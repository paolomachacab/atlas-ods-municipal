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originales" sheetId="1" r:id="rId4"/>
    <sheet state="visible" name="Datos procesados" sheetId="2" r:id="rId5"/>
    <sheet state="visible" name="Indicador_MUN" sheetId="3" r:id="rId6"/>
    <sheet state="visible" name="Absoluto_MUN" sheetId="4" r:id="rId7"/>
    <sheet state="visible" name="Indicador_DEP" sheetId="5" r:id="rId8"/>
    <sheet state="visible" name="Absoluto_DEP" sheetId="6" r:id="rId9"/>
    <sheet state="visible" name="Umbral" sheetId="7" r:id="rId10"/>
    <sheet state="visible" name="Mapa" sheetId="8" r:id="rId11"/>
  </sheets>
  <definedNames>
    <definedName hidden="1" localSheetId="2" name="_xlnm._FilterDatabase">Indicador_MUN!$A$1:$D$344</definedName>
  </definedNames>
  <calcPr/>
  <extLst>
    <ext uri="GoogleSheetsCustomDataVersion2">
      <go:sheetsCustomData xmlns:go="http://customooxmlschemas.google.com/" r:id="rId12" roundtripDataChecksum="BS8AJC7CdzBpw4lQliYwhqtVdktNsHXHujIdIuZvjEA="/>
    </ext>
  </extLst>
</workbook>
</file>

<file path=xl/sharedStrings.xml><?xml version="1.0" encoding="utf-8"?>
<sst xmlns="http://schemas.openxmlformats.org/spreadsheetml/2006/main" count="1530" uniqueCount="393">
  <si>
    <t>Codigo</t>
  </si>
  <si>
    <t>Nombre de municipio/TIOC</t>
  </si>
  <si>
    <t>https://pre.jubileobolivia.org.bo/?</t>
  </si>
  <si>
    <t>Limpieza urbana y rural - GASTO CORRIENTE - FUNCIONAMIENTO Y OTROS (ACTIVIDAD)</t>
  </si>
  <si>
    <t>%</t>
  </si>
  <si>
    <t>Limpieza urbana y rural - PROY.  INVERSIÓN</t>
  </si>
  <si>
    <t>Total</t>
  </si>
  <si>
    <t>Total %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</si>
  <si>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</si>
  <si>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</si>
  <si>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</si>
  <si>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</si>
  <si>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</si>
  <si>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</si>
  <si>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</si>
  <si>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</si>
  <si>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</si>
  <si>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Padilla</t>
  </si>
  <si>
    <t>Tomina</t>
  </si>
  <si>
    <t>Sopachuy</t>
  </si>
  <si>
    <t>Alcalá</t>
  </si>
  <si>
    <t>El Villar</t>
  </si>
  <si>
    <t>Monteagudo</t>
  </si>
  <si>
    <t>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</si>
  <si>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</si>
  <si>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</si>
  <si>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</si>
  <si>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</si>
  <si>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</si>
  <si>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</si>
  <si>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</si>
  <si>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</si>
  <si>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</si>
  <si>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</si>
  <si>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Guzmán</t>
  </si>
  <si>
    <t>Huacaya (Autonomía Guaraní Chaqueño de Huacaya)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</si>
  <si>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</si>
  <si>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</si>
  <si>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</si>
  <si>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</si>
  <si>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</si>
  <si>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</si>
  <si>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</si>
  <si>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Villa Ancoraimes</t>
  </si>
  <si>
    <t>Chua Cocani</t>
  </si>
  <si>
    <t>Huarina</t>
  </si>
  <si>
    <t>Santiago de Huata</t>
  </si>
  <si>
    <t>Huatajata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</si>
  <si>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</si>
  <si>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</si>
  <si>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</si>
  <si>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</si>
  <si>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</si>
  <si>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</si>
  <si>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</si>
  <si>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</si>
  <si>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</si>
  <si>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</si>
  <si>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</si>
  <si>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</si>
  <si>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</si>
  <si>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</si>
  <si>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</si>
  <si>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</si>
  <si>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</si>
  <si>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</si>
  <si>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</si>
  <si>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</si>
  <si>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</si>
  <si>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</si>
  <si>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</si>
  <si>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</si>
  <si>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</si>
  <si>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</si>
  <si>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</si>
  <si>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</si>
  <si>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</si>
  <si>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</si>
  <si>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</si>
  <si>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</si>
  <si>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</si>
  <si>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</si>
  <si>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</si>
  <si>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</si>
  <si>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</si>
  <si>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</si>
  <si>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</si>
  <si>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</si>
  <si>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</si>
  <si>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</si>
  <si>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</si>
  <si>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</si>
  <si>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</si>
  <si>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</si>
  <si>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</si>
  <si>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</si>
  <si>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</si>
  <si>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</si>
  <si>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</si>
  <si>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</si>
  <si>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</si>
  <si>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</si>
  <si>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</si>
  <si>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</si>
  <si>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</si>
  <si>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</si>
  <si>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</si>
  <si>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</si>
  <si>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</si>
  <si>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</si>
  <si>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</si>
  <si>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</si>
  <si>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Charazani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</si>
  <si>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</si>
  <si>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</si>
  <si>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</si>
  <si>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</si>
  <si>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</si>
  <si>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</si>
  <si>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</si>
  <si>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</si>
  <si>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</si>
  <si>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</si>
  <si>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</si>
  <si>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Cochabamba</t>
  </si>
  <si>
    <t>Aiquile</t>
  </si>
  <si>
    <t>Pasorapa</t>
  </si>
  <si>
    <t>Omereque</t>
  </si>
  <si>
    <t>Ayopaya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</si>
  <si>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</si>
  <si>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</si>
  <si>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</si>
  <si>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</si>
  <si>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</si>
  <si>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</si>
  <si>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</si>
  <si>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</si>
  <si>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</si>
  <si>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</si>
  <si>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</si>
  <si>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</si>
  <si>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</si>
  <si>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</si>
  <si>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</si>
  <si>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</si>
  <si>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</si>
  <si>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</si>
  <si>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</si>
  <si>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</si>
  <si>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</si>
  <si>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</si>
  <si>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</si>
  <si>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</si>
  <si>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</si>
  <si>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</si>
  <si>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</si>
  <si>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</si>
  <si>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</si>
  <si>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</si>
  <si>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</si>
  <si>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</si>
  <si>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</si>
  <si>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</si>
  <si>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</si>
  <si>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</si>
  <si>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</si>
  <si>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</si>
  <si>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</si>
  <si>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</si>
  <si>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</si>
  <si>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</si>
  <si>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</si>
  <si>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</si>
  <si>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</si>
  <si>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</si>
  <si>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</si>
  <si>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</si>
  <si>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</si>
  <si>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</si>
  <si>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</si>
  <si>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</si>
  <si>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</si>
  <si>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</si>
  <si>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</si>
  <si>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</si>
  <si>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</si>
  <si>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</si>
  <si>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</si>
  <si>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</si>
  <si>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</si>
  <si>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</si>
  <si>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</si>
  <si>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</si>
  <si>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</si>
  <si>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</si>
  <si>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</si>
  <si>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</si>
  <si>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Toledo</t>
  </si>
  <si>
    <t>Eucaliptus</t>
  </si>
  <si>
    <t>Andamarca</t>
  </si>
  <si>
    <t>Belén de Andamarca</t>
  </si>
  <si>
    <t>Santiago de Huari</t>
  </si>
  <si>
    <t>La Rivera</t>
  </si>
  <si>
    <t>Todos Santos</t>
  </si>
  <si>
    <t>Carangas</t>
  </si>
  <si>
    <t>Santiago de Huayllamarca</t>
  </si>
  <si>
    <t>Potosí</t>
  </si>
  <si>
    <t>Tinguipaya</t>
  </si>
  <si>
    <t>Yocalla</t>
  </si>
  <si>
    <t>Urmiri</t>
  </si>
  <si>
    <t>Uncía</t>
  </si>
  <si>
    <t>Chayanta</t>
  </si>
  <si>
    <t>Llallagua</t>
  </si>
  <si>
    <t>Chuquihuta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</si>
  <si>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</si>
  <si>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</si>
  <si>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</si>
  <si>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</si>
  <si>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</si>
  <si>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</si>
  <si>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</si>
  <si>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</si>
  <si>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</t>
  </si>
  <si>
    <t>Toro Toro</t>
  </si>
  <si>
    <t>Cotagaita</t>
  </si>
  <si>
    <t>Vitichi</t>
  </si>
  <si>
    <t>Sacaca</t>
  </si>
  <si>
    <t>Caripuyo</t>
  </si>
  <si>
    <t>Tupiza</t>
  </si>
  <si>
    <t>Atocha</t>
  </si>
  <si>
    <t>Colcha "K"</t>
  </si>
  <si>
    <t>San Pedro de Quemes</t>
  </si>
  <si>
    <t>San Pablo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</si>
  <si>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</si>
  <si>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</si>
  <si>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</si>
  <si>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</si>
  <si>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</si>
  <si>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</si>
  <si>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</si>
  <si>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</si>
  <si>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</si>
  <si>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</si>
  <si>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</si>
  <si>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</si>
  <si>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</si>
  <si>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</si>
  <si>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</si>
  <si>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Tarija</t>
  </si>
  <si>
    <t>Padcaya</t>
  </si>
  <si>
    <t>Bermejo</t>
  </si>
  <si>
    <t>Yacuiba</t>
  </si>
  <si>
    <t>Caraparí</t>
  </si>
  <si>
    <t>Villa Montes</t>
  </si>
  <si>
    <t>Uriondo</t>
  </si>
  <si>
    <t>Yunchará</t>
  </si>
  <si>
    <t>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</si>
  <si>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</si>
  <si>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</si>
  <si>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</si>
  <si>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</si>
  <si>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</si>
  <si>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</si>
  <si>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</si>
  <si>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</si>
  <si>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</t>
  </si>
  <si>
    <t>San Miguel</t>
  </si>
  <si>
    <t>San Rafael</t>
  </si>
  <si>
    <t>Buena Vista</t>
  </si>
  <si>
    <t>San Carlos</t>
  </si>
  <si>
    <t>Yapacaní</t>
  </si>
  <si>
    <t>San Juan</t>
  </si>
  <si>
    <t>San José</t>
  </si>
  <si>
    <t>Pailón</t>
  </si>
  <si>
    <t>Roboré</t>
  </si>
  <si>
    <t>Portachuelo</t>
  </si>
  <si>
    <t>Santa Rosa</t>
  </si>
  <si>
    <t>Colpa Bélgica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</si>
  <si>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</si>
  <si>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</si>
  <si>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</si>
  <si>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</si>
  <si>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</si>
  <si>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</si>
  <si>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</si>
  <si>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Vallegrande</t>
  </si>
  <si>
    <t>Trigal</t>
  </si>
  <si>
    <t>Moromoro</t>
  </si>
  <si>
    <t>Postrervalle</t>
  </si>
  <si>
    <t>Pucará</t>
  </si>
  <si>
    <t>Samaipata</t>
  </si>
  <si>
    <t>Pampagrande</t>
  </si>
  <si>
    <t>Mairana</t>
  </si>
  <si>
    <t>Quirusillas</t>
  </si>
  <si>
    <t>Montero</t>
  </si>
  <si>
    <t>General Saavedra</t>
  </si>
  <si>
    <t>Mineros</t>
  </si>
  <si>
    <t>Fernández Alonso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</si>
  <si>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</si>
  <si>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</si>
  <si>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</si>
  <si>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</si>
  <si>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</si>
  <si>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</si>
  <si>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</si>
  <si>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</si>
  <si>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</si>
  <si>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Suárez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</si>
  <si>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</si>
  <si>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</si>
  <si>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</si>
  <si>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</si>
  <si>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</si>
  <si>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</si>
  <si>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</si>
  <si>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</si>
  <si>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</si>
  <si>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Puerto Menor de Rurrenabaque</t>
  </si>
  <si>
    <t>Santa Ana</t>
  </si>
  <si>
    <t>Exaltación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</si>
  <si>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</si>
  <si>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</si>
  <si>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</si>
  <si>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</si>
  <si>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</si>
  <si>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</si>
  <si>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</si>
  <si>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Indígena Multiétnico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</si>
  <si>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</si>
  <si>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</si>
  <si>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</si>
  <si>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</si>
  <si>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</si>
  <si>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</si>
  <si>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</si>
  <si>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Sena</t>
  </si>
  <si>
    <t>Ingavi</t>
  </si>
  <si>
    <t>Nueva Esperanza</t>
  </si>
  <si>
    <t>Villa Nueva</t>
  </si>
  <si>
    <t>Santos Mercado</t>
  </si>
  <si>
    <t>Limpieza urbana y rural 2012</t>
  </si>
  <si>
    <t>Población 2012</t>
  </si>
  <si>
    <t>Inversión pública municipal en residuos sólidos per cápita 2012</t>
  </si>
  <si>
    <t>Limpieza urbana y rural 2013</t>
  </si>
  <si>
    <t>Población 2013</t>
  </si>
  <si>
    <t>Inversión pública municipal en residuos sólidos per cápita 2013</t>
  </si>
  <si>
    <t>Limpieza urbana y rural 2014</t>
  </si>
  <si>
    <t>Población 2014</t>
  </si>
  <si>
    <t>Inversión pública municipal en residuos sólidos per cápita 2014</t>
  </si>
  <si>
    <t>Promedio 2012-2014 (per capita)</t>
  </si>
  <si>
    <t>Promedio 2012-2014 (inversion total)</t>
  </si>
  <si>
    <t>Limpieza urbana y rural 2022</t>
  </si>
  <si>
    <t>Población 2022</t>
  </si>
  <si>
    <t>Inversión pública municipal en residuos sólidos per cápita 2022</t>
  </si>
  <si>
    <t>Limpieza urbana y rural 2023</t>
  </si>
  <si>
    <t>Población 2023</t>
  </si>
  <si>
    <t>Inversión pública municipal en residuos sólidos per cápita 2023</t>
  </si>
  <si>
    <t>Limpieza urbana y rural 2024</t>
  </si>
  <si>
    <t>Población 2024</t>
  </si>
  <si>
    <t>Inversión pública municipal en residuos sólidos per cápita 2024</t>
  </si>
  <si>
    <t>Promedio 2022-2024 (per capita)</t>
  </si>
  <si>
    <t>Promedio 2022-2024 (inversion total)</t>
  </si>
  <si>
    <t>id_departamento</t>
  </si>
  <si>
    <t>Departamento</t>
  </si>
  <si>
    <t>Chuquisaca</t>
  </si>
  <si>
    <t>La Paz</t>
  </si>
  <si>
    <t>Santa Cruz</t>
  </si>
  <si>
    <t>Beni</t>
  </si>
  <si>
    <t>Pando</t>
  </si>
  <si>
    <t>Bolivia</t>
  </si>
  <si>
    <t>Gran Chaco</t>
  </si>
  <si>
    <t>Promedio</t>
  </si>
  <si>
    <t>Desv. Est.</t>
  </si>
  <si>
    <t>Min</t>
  </si>
  <si>
    <t>Max</t>
  </si>
  <si>
    <t>Obs</t>
  </si>
  <si>
    <t>sdg12_4_inversion_residuos_2012</t>
  </si>
  <si>
    <t>sdg12_4_inversion_residuos_2024</t>
  </si>
  <si>
    <t>id</t>
  </si>
  <si>
    <t>Municipio</t>
  </si>
  <si>
    <t>sdg12_4_inversion_residuos_abs_2012</t>
  </si>
  <si>
    <t>sdg12_4_inversion_residuos_abs_2024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</si>
  <si>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</si>
  <si>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</si>
  <si>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</si>
  <si>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</si>
  <si>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</si>
  <si>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</si>
  <si>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</si>
  <si>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</si>
  <si>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</si>
  <si>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</si>
  <si>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Inversión pública municipal en residuos sólidos per cápita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</si>
</sst>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0.0"/>
      <color rgb="FF000000"/>
      <name val="Arial"/>
      <scheme val="minor"/>
    </font>
    <font>
      <b/>
      <sz val="10.0"/>
      <color theme="1"/>
      <name val="Arial"/>
    </font>
    <font/>
    <font>
      <u/>
      <sz val="10.0"/>
      <color rgb="FF0000FF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9.0"/>
      <color theme="1"/>
      <name val="Play"/>
    </font>
  </fonts>
  <fills count="18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45818E"/>
        <bgColor rgb="FF45818E"/>
      </patternFill>
    </fill>
    <fill>
      <patternFill patternType="solid">
        <fgColor rgb="FFA4C2F4"/>
        <bgColor rgb="FFA4C2F4"/>
      </patternFill>
    </fill>
    <fill>
      <patternFill patternType="solid">
        <fgColor rgb="FF808080"/>
        <bgColor rgb="FF80808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shrinkToFit="0" wrapText="1"/>
    </xf>
    <xf borderId="3" fillId="2" fontId="1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6" fillId="3" fontId="1" numFmtId="0" xfId="0" applyAlignment="1" applyBorder="1" applyFill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4" fontId="1" numFmtId="0" xfId="0" applyAlignment="1" applyBorder="1" applyFill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0" fillId="0" fontId="3" numFmtId="0" xfId="0" applyFont="1"/>
    <xf borderId="12" fillId="0" fontId="2" numFmtId="0" xfId="0" applyBorder="1" applyFont="1"/>
    <xf borderId="13" fillId="0" fontId="2" numFmtId="0" xfId="0" applyBorder="1" applyFont="1"/>
    <xf borderId="14" fillId="5" fontId="1" numFmtId="0" xfId="0" applyAlignment="1" applyBorder="1" applyFill="1" applyFont="1">
      <alignment shrinkToFit="0" vertical="center" wrapText="1"/>
    </xf>
    <xf borderId="15" fillId="6" fontId="1" numFmtId="2" xfId="0" applyAlignment="1" applyBorder="1" applyFill="1" applyFont="1" applyNumberFormat="1">
      <alignment shrinkToFit="0" vertical="center" wrapText="1"/>
    </xf>
    <xf borderId="15" fillId="5" fontId="1" numFmtId="0" xfId="0" applyAlignment="1" applyBorder="1" applyFont="1">
      <alignment shrinkToFit="0" vertical="center" wrapText="1"/>
    </xf>
    <xf borderId="15" fillId="5" fontId="1" numFmtId="1" xfId="0" applyAlignment="1" applyBorder="1" applyFont="1" applyNumberFormat="1">
      <alignment shrinkToFit="0" vertical="center" wrapText="1"/>
    </xf>
    <xf borderId="16" fillId="6" fontId="1" numFmtId="2" xfId="0" applyAlignment="1" applyBorder="1" applyFont="1" applyNumberFormat="1">
      <alignment shrinkToFit="0" vertical="center" wrapText="1"/>
    </xf>
    <xf borderId="15" fillId="6" fontId="1" numFmtId="164" xfId="0" applyAlignment="1" applyBorder="1" applyFont="1" applyNumberFormat="1">
      <alignment shrinkToFit="0" vertical="center" wrapText="1"/>
    </xf>
    <xf borderId="17" fillId="7" fontId="1" numFmtId="0" xfId="0" applyAlignment="1" applyBorder="1" applyFill="1" applyFont="1">
      <alignment shrinkToFit="0" vertical="center" wrapText="1"/>
    </xf>
    <xf borderId="15" fillId="8" fontId="1" numFmtId="4" xfId="0" applyAlignment="1" applyBorder="1" applyFill="1" applyFont="1" applyNumberFormat="1">
      <alignment shrinkToFit="0" vertical="center" wrapText="1"/>
    </xf>
    <xf borderId="15" fillId="7" fontId="1" numFmtId="0" xfId="0" applyAlignment="1" applyBorder="1" applyFont="1">
      <alignment shrinkToFit="0" vertical="center" wrapText="1"/>
    </xf>
    <xf borderId="15" fillId="7" fontId="1" numFmtId="3" xfId="0" applyAlignment="1" applyBorder="1" applyFont="1" applyNumberFormat="1">
      <alignment shrinkToFit="0" vertical="center" wrapText="1"/>
    </xf>
    <xf borderId="18" fillId="9" fontId="1" numFmtId="0" xfId="0" applyAlignment="1" applyBorder="1" applyFill="1" applyFont="1">
      <alignment shrinkToFit="0" vertical="center" wrapText="1"/>
    </xf>
    <xf borderId="18" fillId="8" fontId="1" numFmtId="4" xfId="0" applyAlignment="1" applyBorder="1" applyFont="1" applyNumberFormat="1">
      <alignment shrinkToFit="0" vertical="center" wrapText="1"/>
    </xf>
    <xf borderId="18" fillId="9" fontId="1" numFmtId="3" xfId="0" applyAlignment="1" applyBorder="1" applyFont="1" applyNumberFormat="1">
      <alignment shrinkToFit="0" vertical="center" wrapText="1"/>
    </xf>
    <xf borderId="0" fillId="0" fontId="1" numFmtId="0" xfId="0" applyFont="1"/>
    <xf borderId="15" fillId="0" fontId="4" numFmtId="0" xfId="0" applyAlignment="1" applyBorder="1" applyFont="1">
      <alignment horizontal="right"/>
    </xf>
    <xf borderId="19" fillId="0" fontId="4" numFmtId="0" xfId="0" applyBorder="1" applyFont="1"/>
    <xf borderId="14" fillId="5" fontId="4" numFmtId="3" xfId="0" applyBorder="1" applyFont="1" applyNumberFormat="1"/>
    <xf borderId="15" fillId="6" fontId="4" numFmtId="2" xfId="0" applyBorder="1" applyFont="1" applyNumberFormat="1"/>
    <xf borderId="15" fillId="5" fontId="4" numFmtId="0" xfId="0" applyBorder="1" applyFont="1"/>
    <xf borderId="15" fillId="5" fontId="4" numFmtId="1" xfId="0" applyBorder="1" applyFont="1" applyNumberFormat="1"/>
    <xf borderId="16" fillId="6" fontId="4" numFmtId="2" xfId="0" applyBorder="1" applyFont="1" applyNumberFormat="1"/>
    <xf borderId="14" fillId="5" fontId="4" numFmtId="2" xfId="0" applyBorder="1" applyFont="1" applyNumberFormat="1"/>
    <xf borderId="15" fillId="6" fontId="4" numFmtId="0" xfId="0" applyBorder="1" applyFont="1"/>
    <xf borderId="15" fillId="5" fontId="4" numFmtId="2" xfId="0" applyBorder="1" applyFont="1" applyNumberFormat="1"/>
    <xf borderId="15" fillId="6" fontId="4" numFmtId="164" xfId="0" applyBorder="1" applyFont="1" applyNumberFormat="1"/>
    <xf borderId="16" fillId="6" fontId="4" numFmtId="0" xfId="0" applyBorder="1" applyFont="1"/>
    <xf borderId="17" fillId="7" fontId="4" numFmtId="0" xfId="0" applyBorder="1" applyFont="1"/>
    <xf borderId="15" fillId="8" fontId="4" numFmtId="4" xfId="0" applyBorder="1" applyFont="1" applyNumberFormat="1"/>
    <xf borderId="15" fillId="7" fontId="4" numFmtId="0" xfId="0" applyBorder="1" applyFont="1"/>
    <xf borderId="15" fillId="7" fontId="4" numFmtId="3" xfId="0" applyBorder="1" applyFont="1" applyNumberFormat="1"/>
    <xf borderId="18" fillId="9" fontId="4" numFmtId="4" xfId="0" applyBorder="1" applyFont="1" applyNumberFormat="1"/>
    <xf borderId="18" fillId="8" fontId="4" numFmtId="4" xfId="0" applyBorder="1" applyFont="1" applyNumberFormat="1"/>
    <xf borderId="17" fillId="7" fontId="4" numFmtId="3" xfId="0" applyBorder="1" applyFont="1" applyNumberFormat="1"/>
    <xf borderId="14" fillId="5" fontId="4" numFmtId="0" xfId="0" applyBorder="1" applyFont="1"/>
    <xf borderId="15" fillId="5" fontId="4" numFmtId="3" xfId="0" applyBorder="1" applyFont="1" applyNumberFormat="1"/>
    <xf borderId="18" fillId="9" fontId="4" numFmtId="0" xfId="0" applyBorder="1" applyFont="1"/>
    <xf borderId="15" fillId="10" fontId="4" numFmtId="0" xfId="0" applyAlignment="1" applyBorder="1" applyFill="1" applyFont="1">
      <alignment horizontal="right"/>
    </xf>
    <xf borderId="20" fillId="10" fontId="4" numFmtId="0" xfId="0" applyBorder="1" applyFont="1"/>
    <xf borderId="15" fillId="7" fontId="4" numFmtId="1" xfId="0" applyBorder="1" applyFont="1" applyNumberFormat="1"/>
    <xf borderId="21" fillId="5" fontId="4" numFmtId="3" xfId="0" applyBorder="1" applyFont="1" applyNumberFormat="1"/>
    <xf borderId="22" fillId="6" fontId="4" numFmtId="2" xfId="0" applyBorder="1" applyFont="1" applyNumberFormat="1"/>
    <xf borderId="22" fillId="5" fontId="4" numFmtId="0" xfId="0" applyBorder="1" applyFont="1"/>
    <xf borderId="22" fillId="5" fontId="4" numFmtId="1" xfId="0" applyBorder="1" applyFont="1" applyNumberFormat="1"/>
    <xf borderId="23" fillId="6" fontId="4" numFmtId="2" xfId="0" applyBorder="1" applyFont="1" applyNumberFormat="1"/>
    <xf borderId="21" fillId="5" fontId="4" numFmtId="2" xfId="0" applyBorder="1" applyFont="1" applyNumberFormat="1"/>
    <xf borderId="22" fillId="6" fontId="4" numFmtId="0" xfId="0" applyBorder="1" applyFont="1"/>
    <xf borderId="22" fillId="6" fontId="4" numFmtId="164" xfId="0" applyBorder="1" applyFont="1" applyNumberFormat="1"/>
    <xf borderId="22" fillId="5" fontId="4" numFmtId="2" xfId="0" applyBorder="1" applyFont="1" applyNumberFormat="1"/>
    <xf borderId="23" fillId="6" fontId="4" numFmtId="0" xfId="0" applyBorder="1" applyFont="1"/>
    <xf borderId="0" fillId="0" fontId="4" numFmtId="0" xfId="0" applyFont="1"/>
    <xf borderId="0" fillId="0" fontId="4" numFmtId="2" xfId="0" applyFont="1" applyNumberFormat="1"/>
    <xf borderId="0" fillId="0" fontId="4" numFmtId="1" xfId="0" applyFont="1" applyNumberFormat="1"/>
    <xf borderId="0" fillId="0" fontId="4" numFmtId="164" xfId="0" applyFont="1" applyNumberFormat="1"/>
    <xf borderId="0" fillId="0" fontId="4" numFmtId="4" xfId="0" applyFont="1" applyNumberFormat="1"/>
    <xf borderId="0" fillId="0" fontId="4" numFmtId="3" xfId="0" applyFont="1" applyNumberFormat="1"/>
    <xf borderId="15" fillId="0" fontId="1" numFmtId="0" xfId="0" applyAlignment="1" applyBorder="1" applyFont="1">
      <alignment shrinkToFit="0" vertical="center" wrapText="1"/>
    </xf>
    <xf borderId="15" fillId="11" fontId="5" numFmtId="2" xfId="0" applyAlignment="1" applyBorder="1" applyFill="1" applyFont="1" applyNumberFormat="1">
      <alignment shrinkToFit="0" vertical="center" wrapText="1"/>
    </xf>
    <xf borderId="15" fillId="12" fontId="6" numFmtId="2" xfId="0" applyAlignment="1" applyBorder="1" applyFill="1" applyFont="1" applyNumberFormat="1">
      <alignment shrinkToFit="0" vertical="center" wrapText="1"/>
    </xf>
    <xf borderId="15" fillId="12" fontId="6" numFmtId="4" xfId="0" applyAlignment="1" applyBorder="1" applyFont="1" applyNumberFormat="1">
      <alignment shrinkToFit="0" vertical="center" wrapText="1"/>
    </xf>
    <xf borderId="15" fillId="11" fontId="5" numFmtId="164" xfId="0" applyAlignment="1" applyBorder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15" fillId="0" fontId="4" numFmtId="0" xfId="0" applyBorder="1" applyFont="1"/>
    <xf borderId="15" fillId="0" fontId="4" numFmtId="3" xfId="0" applyBorder="1" applyFont="1" applyNumberFormat="1"/>
    <xf borderId="15" fillId="0" fontId="4" numFmtId="2" xfId="0" applyBorder="1" applyFont="1" applyNumberFormat="1"/>
    <xf borderId="15" fillId="12" fontId="4" numFmtId="2" xfId="0" applyBorder="1" applyFont="1" applyNumberFormat="1"/>
    <xf borderId="15" fillId="12" fontId="4" numFmtId="3" xfId="0" applyBorder="1" applyFont="1" applyNumberFormat="1"/>
    <xf borderId="15" fillId="0" fontId="4" numFmtId="164" xfId="0" applyBorder="1" applyFont="1" applyNumberFormat="1"/>
    <xf borderId="15" fillId="0" fontId="4" numFmtId="4" xfId="0" applyBorder="1" applyFont="1" applyNumberFormat="1"/>
    <xf borderId="15" fillId="12" fontId="4" numFmtId="164" xfId="0" applyBorder="1" applyFont="1" applyNumberFormat="1"/>
    <xf borderId="15" fillId="12" fontId="4" numFmtId="4" xfId="0" applyBorder="1" applyFont="1" applyNumberFormat="1"/>
    <xf borderId="15" fillId="10" fontId="4" numFmtId="0" xfId="0" applyBorder="1" applyFont="1"/>
    <xf borderId="0" fillId="0" fontId="7" numFmtId="4" xfId="0" applyAlignment="1" applyFont="1" applyNumberFormat="1">
      <alignment horizontal="right"/>
    </xf>
    <xf borderId="0" fillId="0" fontId="7" numFmtId="164" xfId="0" applyAlignment="1" applyFont="1" applyNumberFormat="1">
      <alignment horizontal="right"/>
    </xf>
    <xf borderId="0" fillId="0" fontId="7" numFmtId="0" xfId="0" applyFont="1"/>
    <xf borderId="0" fillId="0" fontId="7" numFmtId="4" xfId="0" applyFont="1" applyNumberFormat="1"/>
    <xf borderId="0" fillId="0" fontId="7" numFmtId="2" xfId="0" applyAlignment="1" applyFont="1" applyNumberFormat="1">
      <alignment horizontal="right"/>
    </xf>
    <xf borderId="15" fillId="0" fontId="1" numFmtId="164" xfId="0" applyAlignment="1" applyBorder="1" applyFont="1" applyNumberFormat="1">
      <alignment shrinkToFit="0" wrapText="1"/>
    </xf>
    <xf borderId="15" fillId="0" fontId="1" numFmtId="3" xfId="0" applyAlignment="1" applyBorder="1" applyFont="1" applyNumberFormat="1">
      <alignment shrinkToFit="0" wrapText="1"/>
    </xf>
    <xf borderId="15" fillId="13" fontId="8" numFmtId="0" xfId="0" applyAlignment="1" applyBorder="1" applyFill="1" applyFont="1">
      <alignment shrinkToFit="0" vertical="center" wrapText="1"/>
    </xf>
    <xf borderId="15" fillId="14" fontId="9" numFmtId="0" xfId="0" applyAlignment="1" applyBorder="1" applyFill="1" applyFont="1">
      <alignment horizontal="center" shrinkToFit="0" vertical="center" wrapText="1"/>
    </xf>
    <xf borderId="15" fillId="15" fontId="9" numFmtId="0" xfId="0" applyAlignment="1" applyBorder="1" applyFill="1" applyFont="1">
      <alignment horizontal="center" shrinkToFit="0" vertical="center" wrapText="1"/>
    </xf>
    <xf borderId="15" fillId="16" fontId="9" numFmtId="0" xfId="0" applyAlignment="1" applyBorder="1" applyFill="1" applyFont="1">
      <alignment horizontal="center" shrinkToFit="0" vertical="center" wrapText="1"/>
    </xf>
    <xf borderId="15" fillId="17" fontId="9" numFmtId="0" xfId="0" applyAlignment="1" applyBorder="1" applyFill="1" applyFont="1">
      <alignment horizontal="center" shrinkToFit="0" vertical="center" wrapText="1"/>
    </xf>
    <xf borderId="15" fillId="0" fontId="4" numFmtId="0" xfId="0" applyAlignment="1" applyBorder="1" applyFont="1">
      <alignment shrinkToFit="0" wrapText="1"/>
    </xf>
    <xf borderId="15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857875" cy="3943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re.jubileobolivia.org.bo/?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7.63"/>
    <col customWidth="1" min="2" max="2" width="15.88"/>
    <col customWidth="1" min="3" max="3" width="13.88"/>
    <col customWidth="1" min="4" max="4" width="6.38"/>
    <col customWidth="1" min="5" max="5" width="13.0"/>
    <col customWidth="1" min="6" max="6" width="5.75"/>
    <col customWidth="1" min="7" max="7" width="6.63"/>
    <col customWidth="1" min="8" max="8" width="5.75"/>
    <col customWidth="1" min="9" max="9" width="13.38"/>
    <col customWidth="1" min="10" max="10" width="5.75"/>
    <col customWidth="1" min="11" max="11" width="12.25"/>
    <col customWidth="1" min="12" max="12" width="5.75"/>
    <col customWidth="1" min="13" max="13" width="6.5"/>
    <col customWidth="1" min="14" max="14" width="5.75"/>
    <col customWidth="1" min="15" max="15" width="13.38"/>
    <col customWidth="1" min="16" max="16" width="5.75"/>
    <col customWidth="1" min="17" max="17" width="12.13"/>
    <col customWidth="1" min="18" max="20" width="5.75"/>
    <col customWidth="1" min="21" max="21" width="13.25"/>
    <col customWidth="1" min="22" max="22" width="5.63"/>
    <col customWidth="1" min="23" max="23" width="12.25"/>
    <col customWidth="1" min="24" max="26" width="5.88"/>
    <col customWidth="1" min="27" max="27" width="13.63"/>
    <col customWidth="1" min="28" max="28" width="5.88"/>
    <col customWidth="1" min="29" max="29" width="14.0"/>
    <col customWidth="1" min="30" max="32" width="5.88"/>
    <col customWidth="1" min="33" max="33" width="13.25"/>
    <col customWidth="1" min="34" max="34" width="5.88"/>
    <col customWidth="1" min="35" max="35" width="12.38"/>
    <col customWidth="1" min="36" max="38" width="5.88"/>
    <col customWidth="1" min="39" max="39" width="14.25"/>
    <col customWidth="1" min="40" max="40" width="5.88"/>
    <col customWidth="1" min="41" max="41" width="14.13"/>
    <col customWidth="1" min="42" max="44" width="5.88"/>
  </cols>
  <sheetData>
    <row r="1" ht="15.75" customHeight="1">
      <c r="A1" s="1" t="s">
        <v>0</v>
      </c>
      <c r="B1" s="2" t="s">
        <v>1</v>
      </c>
      <c r="C1" s="3">
        <v>2012.0</v>
      </c>
      <c r="D1" s="4"/>
      <c r="E1" s="4"/>
      <c r="F1" s="4"/>
      <c r="G1" s="4"/>
      <c r="H1" s="5"/>
      <c r="I1" s="3">
        <v>2013.0</v>
      </c>
      <c r="J1" s="4"/>
      <c r="K1" s="4"/>
      <c r="L1" s="4"/>
      <c r="M1" s="4"/>
      <c r="N1" s="5"/>
      <c r="O1" s="3">
        <v>2014.0</v>
      </c>
      <c r="P1" s="4"/>
      <c r="Q1" s="4"/>
      <c r="R1" s="4"/>
      <c r="S1" s="4"/>
      <c r="T1" s="5"/>
      <c r="U1" s="6">
        <v>2021.0</v>
      </c>
      <c r="V1" s="7"/>
      <c r="W1" s="7"/>
      <c r="X1" s="7"/>
      <c r="Y1" s="7"/>
      <c r="Z1" s="8"/>
      <c r="AA1" s="9">
        <v>2022.0</v>
      </c>
      <c r="AB1" s="10"/>
      <c r="AC1" s="10"/>
      <c r="AD1" s="10"/>
      <c r="AE1" s="10"/>
      <c r="AF1" s="11"/>
      <c r="AG1" s="9">
        <v>2023.0</v>
      </c>
      <c r="AH1" s="10"/>
      <c r="AI1" s="10"/>
      <c r="AJ1" s="10"/>
      <c r="AK1" s="10"/>
      <c r="AL1" s="11"/>
      <c r="AM1" s="9">
        <v>2024.0</v>
      </c>
      <c r="AN1" s="10"/>
      <c r="AO1" s="10"/>
      <c r="AP1" s="10"/>
      <c r="AQ1" s="10"/>
      <c r="AR1" s="11"/>
      <c r="AS1" s="12" t="s">
        <v>2</v>
      </c>
    </row>
    <row r="2" ht="15.75" customHeight="1">
      <c r="A2" s="13"/>
      <c r="B2" s="14"/>
      <c r="C2" s="15" t="s">
        <v>3</v>
      </c>
      <c r="D2" s="16" t="s">
        <v>4</v>
      </c>
      <c r="E2" s="17" t="s">
        <v>5</v>
      </c>
      <c r="F2" s="16" t="s">
        <v>4</v>
      </c>
      <c r="G2" s="18" t="s">
        <v>6</v>
      </c>
      <c r="H2" s="19" t="s">
        <v>7</v>
      </c>
      <c r="I2" s="15" t="s">
        <v>3</v>
      </c>
      <c r="J2" s="16" t="s">
        <v>4</v>
      </c>
      <c r="K2" s="17" t="s">
        <v>5</v>
      </c>
      <c r="L2" s="20" t="s">
        <v>4</v>
      </c>
      <c r="M2" s="18" t="s">
        <v>6</v>
      </c>
      <c r="N2" s="19" t="s">
        <v>7</v>
      </c>
      <c r="O2" s="15" t="s">
        <v>3</v>
      </c>
      <c r="P2" s="16" t="s">
        <v>4</v>
      </c>
      <c r="Q2" s="17" t="s">
        <v>5</v>
      </c>
      <c r="R2" s="16" t="s">
        <v>4</v>
      </c>
      <c r="S2" s="18" t="s">
        <v>6</v>
      </c>
      <c r="T2" s="19" t="s">
        <v>7</v>
      </c>
      <c r="U2" s="21" t="s">
        <v>3</v>
      </c>
      <c r="V2" s="22" t="s">
        <v>4</v>
      </c>
      <c r="W2" s="23" t="s">
        <v>5</v>
      </c>
      <c r="X2" s="22" t="s">
        <v>4</v>
      </c>
      <c r="Y2" s="24" t="s">
        <v>6</v>
      </c>
      <c r="Z2" s="22" t="s">
        <v>7</v>
      </c>
      <c r="AA2" s="25" t="s">
        <v>3</v>
      </c>
      <c r="AB2" s="26" t="s">
        <v>4</v>
      </c>
      <c r="AC2" s="25" t="s">
        <v>5</v>
      </c>
      <c r="AD2" s="26" t="s">
        <v>4</v>
      </c>
      <c r="AE2" s="27" t="s">
        <v>6</v>
      </c>
      <c r="AF2" s="26" t="s">
        <v>7</v>
      </c>
      <c r="AG2" s="25" t="s">
        <v>3</v>
      </c>
      <c r="AH2" s="26" t="s">
        <v>4</v>
      </c>
      <c r="AI2" s="25" t="s">
        <v>5</v>
      </c>
      <c r="AJ2" s="26" t="s">
        <v>4</v>
      </c>
      <c r="AK2" s="27" t="s">
        <v>6</v>
      </c>
      <c r="AL2" s="26" t="s">
        <v>7</v>
      </c>
      <c r="AM2" s="25" t="s">
        <v>3</v>
      </c>
      <c r="AN2" s="26" t="s">
        <v>4</v>
      </c>
      <c r="AO2" s="25" t="s">
        <v>5</v>
      </c>
      <c r="AP2" s="26" t="s">
        <v>4</v>
      </c>
      <c r="AQ2" s="27" t="s">
        <v>6</v>
      </c>
      <c r="AR2" s="26" t="s">
        <v>7</v>
      </c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</row>
    <row r="3" ht="15.75" customHeight="1">
      <c r="A3" s="29">
        <v>10101.0</v>
      </c>
      <c r="B3" s="30" t="s">
        <v>8</v>
      </c>
      <c r="C3" s="31">
        <v>1650000.0</v>
      </c>
      <c r="D3" s="32">
        <v>0.79</v>
      </c>
      <c r="E3" s="33">
        <v>0.0</v>
      </c>
      <c r="F3" s="32">
        <v>0.0</v>
      </c>
      <c r="G3" s="34">
        <v>1650000.0</v>
      </c>
      <c r="H3" s="35">
        <v>0.43</v>
      </c>
      <c r="I3" s="36">
        <v>1800000.0</v>
      </c>
      <c r="J3" s="37">
        <v>0.65</v>
      </c>
      <c r="K3" s="38">
        <v>0.0</v>
      </c>
      <c r="L3" s="39">
        <v>0.0</v>
      </c>
      <c r="M3" s="38">
        <v>1800000.0</v>
      </c>
      <c r="N3" s="40">
        <v>0.38</v>
      </c>
      <c r="O3" s="36">
        <v>2300000.0</v>
      </c>
      <c r="P3" s="37">
        <v>0.75</v>
      </c>
      <c r="Q3" s="38">
        <v>0.0</v>
      </c>
      <c r="R3" s="32">
        <v>0.0</v>
      </c>
      <c r="S3" s="38">
        <v>2300000.0</v>
      </c>
      <c r="T3" s="35">
        <v>0.38</v>
      </c>
      <c r="U3" s="41">
        <v>0.0</v>
      </c>
      <c r="V3" s="42">
        <v>0.0</v>
      </c>
      <c r="W3" s="43">
        <v>0.0</v>
      </c>
      <c r="X3" s="42">
        <v>0.0</v>
      </c>
      <c r="Y3" s="44">
        <v>0.0</v>
      </c>
      <c r="Z3" s="42">
        <v>0.0</v>
      </c>
      <c r="AA3" s="45">
        <v>0.0</v>
      </c>
      <c r="AB3" s="46"/>
      <c r="AC3" s="45">
        <v>0.0</v>
      </c>
      <c r="AD3" s="46"/>
      <c r="AE3" s="45">
        <f t="shared" ref="AE3:AE345" si="1">AA3+AC3</f>
        <v>0</v>
      </c>
      <c r="AF3" s="46"/>
      <c r="AG3" s="45">
        <v>1500000.0</v>
      </c>
      <c r="AH3" s="46"/>
      <c r="AI3" s="45">
        <v>0.0</v>
      </c>
      <c r="AJ3" s="46"/>
      <c r="AK3" s="45">
        <f t="shared" ref="AK3:AK345" si="2">AG3+AI3</f>
        <v>1500000</v>
      </c>
      <c r="AL3" s="46"/>
      <c r="AM3" s="45">
        <v>224028.0</v>
      </c>
      <c r="AN3" s="46"/>
      <c r="AO3" s="45">
        <v>0.0</v>
      </c>
      <c r="AP3" s="46"/>
      <c r="AQ3" s="45">
        <f t="shared" ref="AQ3:AQ345" si="3">AM3+AO3</f>
        <v>224028</v>
      </c>
      <c r="AR3" s="46"/>
    </row>
    <row r="4" ht="15.75" customHeight="1">
      <c r="A4" s="29">
        <v>10102.0</v>
      </c>
      <c r="B4" s="30" t="s">
        <v>9</v>
      </c>
      <c r="C4" s="31">
        <v>66506.0</v>
      </c>
      <c r="D4" s="32">
        <v>0.87</v>
      </c>
      <c r="E4" s="33">
        <v>0.0</v>
      </c>
      <c r="F4" s="32">
        <v>0.0</v>
      </c>
      <c r="G4" s="34">
        <v>66506.0</v>
      </c>
      <c r="H4" s="35">
        <v>0.65</v>
      </c>
      <c r="I4" s="36">
        <v>70000.0</v>
      </c>
      <c r="J4" s="37">
        <v>0.82</v>
      </c>
      <c r="K4" s="38">
        <v>0.0</v>
      </c>
      <c r="L4" s="39">
        <v>0.0</v>
      </c>
      <c r="M4" s="38">
        <v>70000.0</v>
      </c>
      <c r="N4" s="35">
        <v>0.51</v>
      </c>
      <c r="O4" s="36">
        <v>82200.0</v>
      </c>
      <c r="P4" s="37">
        <v>0.95</v>
      </c>
      <c r="Q4" s="38">
        <v>0.0</v>
      </c>
      <c r="R4" s="32">
        <v>0.0</v>
      </c>
      <c r="S4" s="38">
        <v>82200.0</v>
      </c>
      <c r="T4" s="35">
        <v>0.7</v>
      </c>
      <c r="U4" s="41">
        <v>0.0</v>
      </c>
      <c r="V4" s="42">
        <v>0.0</v>
      </c>
      <c r="W4" s="43">
        <v>0.0</v>
      </c>
      <c r="X4" s="42">
        <v>0.0</v>
      </c>
      <c r="Y4" s="44">
        <v>0.0</v>
      </c>
      <c r="Z4" s="42">
        <v>0.0</v>
      </c>
      <c r="AA4" s="45">
        <v>45000.0</v>
      </c>
      <c r="AB4" s="46"/>
      <c r="AC4" s="45">
        <v>0.0</v>
      </c>
      <c r="AD4" s="46"/>
      <c r="AE4" s="45">
        <f t="shared" si="1"/>
        <v>45000</v>
      </c>
      <c r="AF4" s="46"/>
      <c r="AG4" s="45">
        <v>50000.0</v>
      </c>
      <c r="AH4" s="46"/>
      <c r="AI4" s="45">
        <v>0.0</v>
      </c>
      <c r="AJ4" s="46"/>
      <c r="AK4" s="45">
        <f t="shared" si="2"/>
        <v>50000</v>
      </c>
      <c r="AL4" s="46"/>
      <c r="AM4" s="45">
        <v>50000.0</v>
      </c>
      <c r="AN4" s="46"/>
      <c r="AO4" s="45">
        <v>0.0</v>
      </c>
      <c r="AP4" s="46"/>
      <c r="AQ4" s="45">
        <f t="shared" si="3"/>
        <v>50000</v>
      </c>
      <c r="AR4" s="46"/>
    </row>
    <row r="5" ht="15.75" customHeight="1">
      <c r="A5" s="29">
        <v>10103.0</v>
      </c>
      <c r="B5" s="30" t="s">
        <v>10</v>
      </c>
      <c r="C5" s="31">
        <v>30000.0</v>
      </c>
      <c r="D5" s="32">
        <v>0.32</v>
      </c>
      <c r="E5" s="33">
        <v>0.0</v>
      </c>
      <c r="F5" s="32">
        <v>0.0</v>
      </c>
      <c r="G5" s="34">
        <v>30000.0</v>
      </c>
      <c r="H5" s="35">
        <v>0.15</v>
      </c>
      <c r="I5" s="36">
        <v>18000.0</v>
      </c>
      <c r="J5" s="37">
        <v>0.17</v>
      </c>
      <c r="K5" s="38">
        <v>0.0</v>
      </c>
      <c r="L5" s="39">
        <v>0.0</v>
      </c>
      <c r="M5" s="38">
        <v>18000.0</v>
      </c>
      <c r="N5" s="35">
        <v>0.07</v>
      </c>
      <c r="O5" s="36">
        <v>20000.0</v>
      </c>
      <c r="P5" s="37">
        <v>0.15</v>
      </c>
      <c r="Q5" s="38">
        <v>0.0</v>
      </c>
      <c r="R5" s="32">
        <v>0.0</v>
      </c>
      <c r="S5" s="38">
        <v>20000.0</v>
      </c>
      <c r="T5" s="35">
        <v>0.08</v>
      </c>
      <c r="U5" s="47">
        <v>17000.0</v>
      </c>
      <c r="V5" s="42">
        <v>0.12</v>
      </c>
      <c r="W5" s="43">
        <v>0.0</v>
      </c>
      <c r="X5" s="42">
        <v>0.0</v>
      </c>
      <c r="Y5" s="44">
        <v>17000.0</v>
      </c>
      <c r="Z5" s="42">
        <v>0.1</v>
      </c>
      <c r="AA5" s="45">
        <v>17000.0</v>
      </c>
      <c r="AB5" s="46"/>
      <c r="AC5" s="45">
        <v>0.0</v>
      </c>
      <c r="AD5" s="46"/>
      <c r="AE5" s="45">
        <f t="shared" si="1"/>
        <v>17000</v>
      </c>
      <c r="AF5" s="46"/>
      <c r="AG5" s="45">
        <v>17000.0</v>
      </c>
      <c r="AH5" s="46"/>
      <c r="AI5" s="45">
        <v>0.0</v>
      </c>
      <c r="AJ5" s="46"/>
      <c r="AK5" s="45">
        <f t="shared" si="2"/>
        <v>17000</v>
      </c>
      <c r="AL5" s="46"/>
      <c r="AM5" s="45">
        <v>17000.0</v>
      </c>
      <c r="AN5" s="46"/>
      <c r="AO5" s="45">
        <v>0.0</v>
      </c>
      <c r="AP5" s="46"/>
      <c r="AQ5" s="45">
        <f t="shared" si="3"/>
        <v>17000</v>
      </c>
      <c r="AR5" s="46"/>
    </row>
    <row r="6" ht="15.75" customHeight="1">
      <c r="A6" s="29">
        <v>10201.0</v>
      </c>
      <c r="B6" s="30" t="s">
        <v>11</v>
      </c>
      <c r="C6" s="31">
        <v>56700.0</v>
      </c>
      <c r="D6" s="32">
        <v>0.65</v>
      </c>
      <c r="E6" s="33">
        <v>0.0</v>
      </c>
      <c r="F6" s="32">
        <v>0.0</v>
      </c>
      <c r="G6" s="34">
        <v>56700.0</v>
      </c>
      <c r="H6" s="35">
        <v>0.47</v>
      </c>
      <c r="I6" s="36">
        <v>62700.0</v>
      </c>
      <c r="J6" s="37">
        <v>0.53</v>
      </c>
      <c r="K6" s="38">
        <v>0.0</v>
      </c>
      <c r="L6" s="39">
        <v>0.0</v>
      </c>
      <c r="M6" s="38">
        <v>62700.0</v>
      </c>
      <c r="N6" s="35">
        <v>0.31</v>
      </c>
      <c r="O6" s="36">
        <v>59800.0</v>
      </c>
      <c r="P6" s="37">
        <v>0.52</v>
      </c>
      <c r="Q6" s="38">
        <v>0.0</v>
      </c>
      <c r="R6" s="32">
        <v>0.0</v>
      </c>
      <c r="S6" s="38">
        <v>59800.0</v>
      </c>
      <c r="T6" s="35">
        <v>0.45</v>
      </c>
      <c r="U6" s="47">
        <v>13800.0</v>
      </c>
      <c r="V6" s="42">
        <v>0.17</v>
      </c>
      <c r="W6" s="43">
        <v>0.0</v>
      </c>
      <c r="X6" s="42">
        <v>0.0</v>
      </c>
      <c r="Y6" s="44">
        <v>13800.0</v>
      </c>
      <c r="Z6" s="42">
        <v>0.09</v>
      </c>
      <c r="AA6" s="45">
        <v>10000.0</v>
      </c>
      <c r="AB6" s="46"/>
      <c r="AC6" s="45">
        <v>0.0</v>
      </c>
      <c r="AD6" s="46"/>
      <c r="AE6" s="45">
        <f t="shared" si="1"/>
        <v>10000</v>
      </c>
      <c r="AF6" s="46"/>
      <c r="AG6" s="45">
        <v>10000.0</v>
      </c>
      <c r="AH6" s="46"/>
      <c r="AI6" s="45">
        <v>0.0</v>
      </c>
      <c r="AJ6" s="46"/>
      <c r="AK6" s="45">
        <f t="shared" si="2"/>
        <v>10000</v>
      </c>
      <c r="AL6" s="46"/>
      <c r="AM6" s="45">
        <v>5000.0</v>
      </c>
      <c r="AN6" s="46"/>
      <c r="AO6" s="45">
        <v>0.0</v>
      </c>
      <c r="AP6" s="46"/>
      <c r="AQ6" s="45">
        <f t="shared" si="3"/>
        <v>5000</v>
      </c>
      <c r="AR6" s="46"/>
    </row>
    <row r="7" ht="15.75" customHeight="1">
      <c r="A7" s="29">
        <v>10202.0</v>
      </c>
      <c r="B7" s="30" t="s">
        <v>12</v>
      </c>
      <c r="C7" s="31">
        <v>0.0</v>
      </c>
      <c r="D7" s="32">
        <v>0.0</v>
      </c>
      <c r="E7" s="33">
        <v>0.0</v>
      </c>
      <c r="F7" s="32">
        <v>0.0</v>
      </c>
      <c r="G7" s="34">
        <v>0.0</v>
      </c>
      <c r="H7" s="35">
        <v>0.0</v>
      </c>
      <c r="I7" s="36">
        <v>0.0</v>
      </c>
      <c r="J7" s="32">
        <v>0.0</v>
      </c>
      <c r="K7" s="38">
        <v>0.0</v>
      </c>
      <c r="L7" s="39">
        <v>0.0</v>
      </c>
      <c r="M7" s="38">
        <v>0.0</v>
      </c>
      <c r="N7" s="35">
        <v>0.0</v>
      </c>
      <c r="O7" s="36">
        <v>0.0</v>
      </c>
      <c r="P7" s="32">
        <v>0.0</v>
      </c>
      <c r="Q7" s="38">
        <v>0.0</v>
      </c>
      <c r="R7" s="32">
        <v>0.0</v>
      </c>
      <c r="S7" s="38">
        <v>0.0</v>
      </c>
      <c r="T7" s="35">
        <v>0.0</v>
      </c>
      <c r="U7" s="41">
        <v>0.0</v>
      </c>
      <c r="V7" s="42">
        <v>0.0</v>
      </c>
      <c r="W7" s="43">
        <v>0.0</v>
      </c>
      <c r="X7" s="42">
        <v>0.0</v>
      </c>
      <c r="Y7" s="44">
        <v>0.0</v>
      </c>
      <c r="Z7" s="42">
        <v>0.0</v>
      </c>
      <c r="AA7" s="45"/>
      <c r="AB7" s="46"/>
      <c r="AC7" s="45">
        <v>0.0</v>
      </c>
      <c r="AD7" s="46"/>
      <c r="AE7" s="45">
        <f t="shared" si="1"/>
        <v>0</v>
      </c>
      <c r="AF7" s="46"/>
      <c r="AG7" s="45"/>
      <c r="AH7" s="46"/>
      <c r="AI7" s="45">
        <v>0.0</v>
      </c>
      <c r="AJ7" s="46"/>
      <c r="AK7" s="45">
        <f t="shared" si="2"/>
        <v>0</v>
      </c>
      <c r="AL7" s="46"/>
      <c r="AM7" s="45"/>
      <c r="AN7" s="46"/>
      <c r="AO7" s="45">
        <v>0.0</v>
      </c>
      <c r="AP7" s="46"/>
      <c r="AQ7" s="45">
        <f t="shared" si="3"/>
        <v>0</v>
      </c>
      <c r="AR7" s="46"/>
    </row>
    <row r="8" ht="15.75" customHeight="1">
      <c r="A8" s="29">
        <v>10301.0</v>
      </c>
      <c r="B8" s="30" t="s">
        <v>13</v>
      </c>
      <c r="C8" s="31">
        <v>31166.0</v>
      </c>
      <c r="D8" s="32">
        <v>0.66</v>
      </c>
      <c r="E8" s="33">
        <v>0.0</v>
      </c>
      <c r="F8" s="32">
        <v>0.0</v>
      </c>
      <c r="G8" s="34">
        <v>31166.0</v>
      </c>
      <c r="H8" s="35">
        <v>0.41</v>
      </c>
      <c r="I8" s="36">
        <v>66600.0</v>
      </c>
      <c r="J8" s="37">
        <v>0.87</v>
      </c>
      <c r="K8" s="38">
        <v>0.0</v>
      </c>
      <c r="L8" s="39">
        <v>0.0</v>
      </c>
      <c r="M8" s="38">
        <v>66600.0</v>
      </c>
      <c r="N8" s="35">
        <v>0.74</v>
      </c>
      <c r="O8" s="36">
        <v>99200.0</v>
      </c>
      <c r="P8" s="37">
        <v>0.88</v>
      </c>
      <c r="Q8" s="38">
        <v>0.0</v>
      </c>
      <c r="R8" s="32">
        <v>0.0</v>
      </c>
      <c r="S8" s="38">
        <v>99200.0</v>
      </c>
      <c r="T8" s="35">
        <v>0.66</v>
      </c>
      <c r="U8" s="47">
        <v>38600.0</v>
      </c>
      <c r="V8" s="42">
        <v>0.42</v>
      </c>
      <c r="W8" s="43">
        <v>0.0</v>
      </c>
      <c r="X8" s="42">
        <v>0.0</v>
      </c>
      <c r="Y8" s="44">
        <v>38600.0</v>
      </c>
      <c r="Z8" s="42">
        <v>0.28</v>
      </c>
      <c r="AA8" s="45">
        <v>72200.0</v>
      </c>
      <c r="AB8" s="46"/>
      <c r="AC8" s="45">
        <v>0.0</v>
      </c>
      <c r="AD8" s="46"/>
      <c r="AE8" s="45">
        <f t="shared" si="1"/>
        <v>72200</v>
      </c>
      <c r="AF8" s="46"/>
      <c r="AG8" s="45">
        <v>103200.0</v>
      </c>
      <c r="AH8" s="46"/>
      <c r="AI8" s="45">
        <v>0.0</v>
      </c>
      <c r="AJ8" s="46"/>
      <c r="AK8" s="45">
        <f t="shared" si="2"/>
        <v>103200</v>
      </c>
      <c r="AL8" s="46"/>
      <c r="AM8" s="45">
        <v>68450.0</v>
      </c>
      <c r="AN8" s="46"/>
      <c r="AO8" s="45">
        <v>0.0</v>
      </c>
      <c r="AP8" s="46"/>
      <c r="AQ8" s="45">
        <f t="shared" si="3"/>
        <v>68450</v>
      </c>
      <c r="AR8" s="46"/>
    </row>
    <row r="9" ht="15.75" customHeight="1">
      <c r="A9" s="29">
        <v>10302.0</v>
      </c>
      <c r="B9" s="30" t="s">
        <v>14</v>
      </c>
      <c r="C9" s="31">
        <v>0.0</v>
      </c>
      <c r="D9" s="32">
        <v>0.0</v>
      </c>
      <c r="E9" s="33">
        <v>0.0</v>
      </c>
      <c r="F9" s="32">
        <v>0.0</v>
      </c>
      <c r="G9" s="34">
        <v>0.0</v>
      </c>
      <c r="H9" s="35">
        <v>0.0</v>
      </c>
      <c r="I9" s="36">
        <v>0.0</v>
      </c>
      <c r="J9" s="32">
        <v>0.0</v>
      </c>
      <c r="K9" s="38">
        <v>0.0</v>
      </c>
      <c r="L9" s="39">
        <v>0.0</v>
      </c>
      <c r="M9" s="38">
        <v>0.0</v>
      </c>
      <c r="N9" s="35">
        <v>0.0</v>
      </c>
      <c r="O9" s="36">
        <v>0.0</v>
      </c>
      <c r="P9" s="32">
        <v>0.0</v>
      </c>
      <c r="Q9" s="38">
        <v>0.0</v>
      </c>
      <c r="R9" s="32">
        <v>0.0</v>
      </c>
      <c r="S9" s="38">
        <v>0.0</v>
      </c>
      <c r="T9" s="35">
        <v>0.0</v>
      </c>
      <c r="U9" s="41">
        <v>0.0</v>
      </c>
      <c r="V9" s="42">
        <v>0.0</v>
      </c>
      <c r="W9" s="43">
        <v>0.0</v>
      </c>
      <c r="X9" s="42">
        <v>0.0</v>
      </c>
      <c r="Y9" s="44">
        <v>0.0</v>
      </c>
      <c r="Z9" s="42">
        <v>0.0</v>
      </c>
      <c r="AA9" s="45"/>
      <c r="AB9" s="46"/>
      <c r="AC9" s="45">
        <v>0.0</v>
      </c>
      <c r="AD9" s="46"/>
      <c r="AE9" s="45">
        <f t="shared" si="1"/>
        <v>0</v>
      </c>
      <c r="AF9" s="46"/>
      <c r="AG9" s="45"/>
      <c r="AH9" s="46"/>
      <c r="AI9" s="45">
        <v>0.0</v>
      </c>
      <c r="AJ9" s="46"/>
      <c r="AK9" s="45">
        <f t="shared" si="2"/>
        <v>0</v>
      </c>
      <c r="AL9" s="46"/>
      <c r="AM9" s="45"/>
      <c r="AN9" s="46"/>
      <c r="AO9" s="45">
        <v>0.0</v>
      </c>
      <c r="AP9" s="46"/>
      <c r="AQ9" s="45">
        <f t="shared" si="3"/>
        <v>0</v>
      </c>
      <c r="AR9" s="46"/>
    </row>
    <row r="10" ht="15.75" customHeight="1">
      <c r="A10" s="29">
        <v>10303.0</v>
      </c>
      <c r="B10" s="30" t="s">
        <v>15</v>
      </c>
      <c r="C10" s="31">
        <v>50000.0</v>
      </c>
      <c r="D10" s="32">
        <v>0.94</v>
      </c>
      <c r="E10" s="33">
        <v>0.0</v>
      </c>
      <c r="F10" s="32">
        <v>0.0</v>
      </c>
      <c r="G10" s="34">
        <v>50000.0</v>
      </c>
      <c r="H10" s="35">
        <v>0.61</v>
      </c>
      <c r="I10" s="36">
        <v>60001.0</v>
      </c>
      <c r="J10" s="37">
        <v>0.82</v>
      </c>
      <c r="K10" s="38">
        <v>0.0</v>
      </c>
      <c r="L10" s="39">
        <v>0.0</v>
      </c>
      <c r="M10" s="38">
        <v>60001.0</v>
      </c>
      <c r="N10" s="40">
        <v>0.48</v>
      </c>
      <c r="O10" s="36">
        <v>60000.0</v>
      </c>
      <c r="P10" s="37">
        <v>0.74</v>
      </c>
      <c r="Q10" s="38">
        <v>0.0</v>
      </c>
      <c r="R10" s="32">
        <v>0.0</v>
      </c>
      <c r="S10" s="38">
        <v>60000.0</v>
      </c>
      <c r="T10" s="40">
        <v>0.49</v>
      </c>
      <c r="U10" s="47">
        <v>50000.0</v>
      </c>
      <c r="V10" s="42">
        <v>0.74</v>
      </c>
      <c r="W10" s="43">
        <v>0.0</v>
      </c>
      <c r="X10" s="42">
        <v>0.0</v>
      </c>
      <c r="Y10" s="44">
        <v>50000.0</v>
      </c>
      <c r="Z10" s="42">
        <v>0.65</v>
      </c>
      <c r="AA10" s="45">
        <v>40000.0</v>
      </c>
      <c r="AB10" s="46"/>
      <c r="AC10" s="45">
        <v>0.0</v>
      </c>
      <c r="AD10" s="46"/>
      <c r="AE10" s="45">
        <f t="shared" si="1"/>
        <v>40000</v>
      </c>
      <c r="AF10" s="46"/>
      <c r="AG10" s="45">
        <v>40000.0</v>
      </c>
      <c r="AH10" s="46"/>
      <c r="AI10" s="45">
        <v>0.0</v>
      </c>
      <c r="AJ10" s="46"/>
      <c r="AK10" s="45">
        <f t="shared" si="2"/>
        <v>40000</v>
      </c>
      <c r="AL10" s="46"/>
      <c r="AM10" s="45">
        <v>40000.0</v>
      </c>
      <c r="AN10" s="46"/>
      <c r="AO10" s="45">
        <v>0.0</v>
      </c>
      <c r="AP10" s="46"/>
      <c r="AQ10" s="45">
        <f t="shared" si="3"/>
        <v>40000</v>
      </c>
      <c r="AR10" s="46"/>
    </row>
    <row r="11" ht="15.75" customHeight="1">
      <c r="A11" s="29">
        <v>10304.0</v>
      </c>
      <c r="B11" s="30" t="s">
        <v>16</v>
      </c>
      <c r="C11" s="31">
        <v>30000.0</v>
      </c>
      <c r="D11" s="32">
        <v>0.36</v>
      </c>
      <c r="E11" s="33">
        <v>0.0</v>
      </c>
      <c r="F11" s="32">
        <v>0.0</v>
      </c>
      <c r="G11" s="34">
        <v>30000.0</v>
      </c>
      <c r="H11" s="35">
        <v>0.33</v>
      </c>
      <c r="I11" s="36">
        <v>40000.0</v>
      </c>
      <c r="J11" s="37">
        <v>0.43</v>
      </c>
      <c r="K11" s="38">
        <v>0.0</v>
      </c>
      <c r="L11" s="39">
        <v>0.0</v>
      </c>
      <c r="M11" s="38">
        <v>40000.0</v>
      </c>
      <c r="N11" s="40">
        <v>0.35</v>
      </c>
      <c r="O11" s="36">
        <v>39000.0</v>
      </c>
      <c r="P11" s="37">
        <v>0.42</v>
      </c>
      <c r="Q11" s="38">
        <v>0.0</v>
      </c>
      <c r="R11" s="32">
        <v>0.0</v>
      </c>
      <c r="S11" s="38">
        <v>39000.0</v>
      </c>
      <c r="T11" s="40">
        <v>0.31</v>
      </c>
      <c r="U11" s="47">
        <v>7000.0</v>
      </c>
      <c r="V11" s="42">
        <v>0.09</v>
      </c>
      <c r="W11" s="43">
        <v>0.0</v>
      </c>
      <c r="X11" s="42">
        <v>0.0</v>
      </c>
      <c r="Y11" s="44">
        <v>7000.0</v>
      </c>
      <c r="Z11" s="42">
        <v>0.08</v>
      </c>
      <c r="AA11" s="45">
        <v>4488.0</v>
      </c>
      <c r="AB11" s="46"/>
      <c r="AC11" s="45">
        <v>50000.0</v>
      </c>
      <c r="AD11" s="46"/>
      <c r="AE11" s="45">
        <f t="shared" si="1"/>
        <v>54488</v>
      </c>
      <c r="AF11" s="46"/>
      <c r="AG11" s="45">
        <v>4488.0</v>
      </c>
      <c r="AH11" s="46"/>
      <c r="AI11" s="45">
        <v>0.0</v>
      </c>
      <c r="AJ11" s="46"/>
      <c r="AK11" s="45">
        <f t="shared" si="2"/>
        <v>4488</v>
      </c>
      <c r="AL11" s="46"/>
      <c r="AM11" s="45">
        <v>4888.0</v>
      </c>
      <c r="AN11" s="46"/>
      <c r="AO11" s="45">
        <v>0.0</v>
      </c>
      <c r="AP11" s="46"/>
      <c r="AQ11" s="45">
        <f t="shared" si="3"/>
        <v>4888</v>
      </c>
      <c r="AR11" s="46"/>
    </row>
    <row r="12" ht="15.75" customHeight="1">
      <c r="A12" s="29">
        <v>10401.0</v>
      </c>
      <c r="B12" s="30" t="s">
        <v>17</v>
      </c>
      <c r="C12" s="31">
        <v>100000.0</v>
      </c>
      <c r="D12" s="32">
        <v>1.05</v>
      </c>
      <c r="E12" s="33">
        <v>0.0</v>
      </c>
      <c r="F12" s="32">
        <v>0.0</v>
      </c>
      <c r="G12" s="34">
        <v>100000.0</v>
      </c>
      <c r="H12" s="35">
        <v>0.66</v>
      </c>
      <c r="I12" s="36">
        <v>76600.0</v>
      </c>
      <c r="J12" s="37">
        <v>0.71</v>
      </c>
      <c r="K12" s="38">
        <v>0.0</v>
      </c>
      <c r="L12" s="39">
        <v>0.0</v>
      </c>
      <c r="M12" s="38">
        <v>76600.0</v>
      </c>
      <c r="N12" s="40">
        <v>0.41</v>
      </c>
      <c r="O12" s="36">
        <v>137000.0</v>
      </c>
      <c r="P12" s="37">
        <v>1.21</v>
      </c>
      <c r="Q12" s="38">
        <v>0.0</v>
      </c>
      <c r="R12" s="32">
        <v>0.0</v>
      </c>
      <c r="S12" s="38">
        <v>137000.0</v>
      </c>
      <c r="T12" s="40">
        <v>0.69</v>
      </c>
      <c r="U12" s="47">
        <v>42000.0</v>
      </c>
      <c r="V12" s="42">
        <v>0.4</v>
      </c>
      <c r="W12" s="43">
        <v>0.0</v>
      </c>
      <c r="X12" s="42">
        <v>0.0</v>
      </c>
      <c r="Y12" s="44">
        <v>42000.0</v>
      </c>
      <c r="Z12" s="42">
        <v>0.25</v>
      </c>
      <c r="AA12" s="45">
        <v>59900.0</v>
      </c>
      <c r="AB12" s="46"/>
      <c r="AC12" s="45">
        <v>0.0</v>
      </c>
      <c r="AD12" s="46"/>
      <c r="AE12" s="45">
        <f t="shared" si="1"/>
        <v>59900</v>
      </c>
      <c r="AF12" s="46"/>
      <c r="AG12" s="45">
        <v>46720.0</v>
      </c>
      <c r="AH12" s="46"/>
      <c r="AI12" s="45">
        <v>0.0</v>
      </c>
      <c r="AJ12" s="46"/>
      <c r="AK12" s="45">
        <f t="shared" si="2"/>
        <v>46720</v>
      </c>
      <c r="AL12" s="46"/>
      <c r="AM12" s="45">
        <v>49500.0</v>
      </c>
      <c r="AN12" s="46"/>
      <c r="AO12" s="45">
        <v>0.0</v>
      </c>
      <c r="AP12" s="46"/>
      <c r="AQ12" s="45">
        <f t="shared" si="3"/>
        <v>49500</v>
      </c>
      <c r="AR12" s="46"/>
    </row>
    <row r="13" ht="15.75" customHeight="1">
      <c r="A13" s="29">
        <v>10402.0</v>
      </c>
      <c r="B13" s="30" t="s">
        <v>18</v>
      </c>
      <c r="C13" s="31">
        <v>71160.0</v>
      </c>
      <c r="D13" s="32">
        <v>1.14</v>
      </c>
      <c r="E13" s="33">
        <v>0.0</v>
      </c>
      <c r="F13" s="32">
        <v>0.0</v>
      </c>
      <c r="G13" s="34">
        <v>71160.0</v>
      </c>
      <c r="H13" s="35">
        <v>0.79</v>
      </c>
      <c r="I13" s="36">
        <v>60000.0</v>
      </c>
      <c r="J13" s="37">
        <v>0.81</v>
      </c>
      <c r="K13" s="38">
        <v>0.0</v>
      </c>
      <c r="L13" s="39">
        <v>0.0</v>
      </c>
      <c r="M13" s="38">
        <v>60000.0</v>
      </c>
      <c r="N13" s="40">
        <v>0.34</v>
      </c>
      <c r="O13" s="36">
        <v>55285.0</v>
      </c>
      <c r="P13" s="37">
        <v>0.84</v>
      </c>
      <c r="Q13" s="38">
        <v>0.0</v>
      </c>
      <c r="R13" s="32">
        <v>0.0</v>
      </c>
      <c r="S13" s="38">
        <v>55285.0</v>
      </c>
      <c r="T13" s="35">
        <v>0.55</v>
      </c>
      <c r="U13" s="47">
        <v>15220.0</v>
      </c>
      <c r="V13" s="42">
        <v>0.19</v>
      </c>
      <c r="W13" s="43">
        <v>0.0</v>
      </c>
      <c r="X13" s="42">
        <v>0.0</v>
      </c>
      <c r="Y13" s="44">
        <v>15220.0</v>
      </c>
      <c r="Z13" s="42">
        <v>0.18</v>
      </c>
      <c r="AA13" s="45">
        <v>13916.0</v>
      </c>
      <c r="AB13" s="46"/>
      <c r="AC13" s="45">
        <v>0.0</v>
      </c>
      <c r="AD13" s="46"/>
      <c r="AE13" s="45">
        <f t="shared" si="1"/>
        <v>13916</v>
      </c>
      <c r="AF13" s="46"/>
      <c r="AG13" s="45">
        <v>24660.0</v>
      </c>
      <c r="AH13" s="46"/>
      <c r="AI13" s="45">
        <v>0.0</v>
      </c>
      <c r="AJ13" s="46"/>
      <c r="AK13" s="45">
        <f t="shared" si="2"/>
        <v>24660</v>
      </c>
      <c r="AL13" s="46"/>
      <c r="AM13" s="45">
        <v>23160.0</v>
      </c>
      <c r="AN13" s="46"/>
      <c r="AO13" s="45">
        <v>0.0</v>
      </c>
      <c r="AP13" s="46"/>
      <c r="AQ13" s="45">
        <f t="shared" si="3"/>
        <v>23160</v>
      </c>
      <c r="AR13" s="46"/>
    </row>
    <row r="14" ht="15.75" customHeight="1">
      <c r="A14" s="29">
        <v>10403.0</v>
      </c>
      <c r="B14" s="30" t="s">
        <v>19</v>
      </c>
      <c r="C14" s="31">
        <v>0.0</v>
      </c>
      <c r="D14" s="32">
        <v>0.0</v>
      </c>
      <c r="E14" s="33">
        <v>0.0</v>
      </c>
      <c r="F14" s="32">
        <v>0.0</v>
      </c>
      <c r="G14" s="34">
        <v>0.0</v>
      </c>
      <c r="H14" s="35">
        <v>0.0</v>
      </c>
      <c r="I14" s="31">
        <v>0.0</v>
      </c>
      <c r="J14" s="32">
        <v>0.0</v>
      </c>
      <c r="K14" s="38">
        <v>0.0</v>
      </c>
      <c r="L14" s="39">
        <v>0.0</v>
      </c>
      <c r="M14" s="34">
        <v>0.0</v>
      </c>
      <c r="N14" s="35">
        <v>0.0</v>
      </c>
      <c r="O14" s="31">
        <v>0.0</v>
      </c>
      <c r="P14" s="32">
        <v>0.0</v>
      </c>
      <c r="Q14" s="38">
        <v>0.0</v>
      </c>
      <c r="R14" s="32">
        <v>0.0</v>
      </c>
      <c r="S14" s="34">
        <v>0.0</v>
      </c>
      <c r="T14" s="35">
        <v>0.0</v>
      </c>
      <c r="U14" s="41">
        <v>0.0</v>
      </c>
      <c r="V14" s="42">
        <v>0.0</v>
      </c>
      <c r="W14" s="43">
        <v>0.0</v>
      </c>
      <c r="X14" s="42">
        <v>0.0</v>
      </c>
      <c r="Y14" s="44">
        <v>0.0</v>
      </c>
      <c r="Z14" s="42">
        <v>0.0</v>
      </c>
      <c r="AA14" s="45"/>
      <c r="AB14" s="46"/>
      <c r="AC14" s="45">
        <v>0.0</v>
      </c>
      <c r="AD14" s="46"/>
      <c r="AE14" s="45">
        <f t="shared" si="1"/>
        <v>0</v>
      </c>
      <c r="AF14" s="46"/>
      <c r="AG14" s="45"/>
      <c r="AH14" s="46"/>
      <c r="AI14" s="45">
        <v>0.0</v>
      </c>
      <c r="AJ14" s="46"/>
      <c r="AK14" s="45">
        <f t="shared" si="2"/>
        <v>0</v>
      </c>
      <c r="AL14" s="46"/>
      <c r="AM14" s="45"/>
      <c r="AN14" s="46"/>
      <c r="AO14" s="45">
        <v>0.0</v>
      </c>
      <c r="AP14" s="46"/>
      <c r="AQ14" s="45">
        <f t="shared" si="3"/>
        <v>0</v>
      </c>
      <c r="AR14" s="46"/>
    </row>
    <row r="15" ht="15.75" customHeight="1">
      <c r="A15" s="29">
        <v>10404.0</v>
      </c>
      <c r="B15" s="30" t="s">
        <v>20</v>
      </c>
      <c r="C15" s="31">
        <v>13000.0</v>
      </c>
      <c r="D15" s="32">
        <v>0.35</v>
      </c>
      <c r="E15" s="33">
        <v>0.0</v>
      </c>
      <c r="F15" s="32">
        <v>0.0</v>
      </c>
      <c r="G15" s="34">
        <v>13000.0</v>
      </c>
      <c r="H15" s="35">
        <v>0.26</v>
      </c>
      <c r="I15" s="36">
        <v>13000.0</v>
      </c>
      <c r="J15" s="37">
        <v>0.33</v>
      </c>
      <c r="K15" s="38">
        <v>0.0</v>
      </c>
      <c r="L15" s="39">
        <v>0.0</v>
      </c>
      <c r="M15" s="38">
        <v>13000.0</v>
      </c>
      <c r="N15" s="40">
        <v>0.28</v>
      </c>
      <c r="O15" s="36">
        <v>13000.0</v>
      </c>
      <c r="P15" s="37">
        <v>0.27</v>
      </c>
      <c r="Q15" s="38">
        <v>0.0</v>
      </c>
      <c r="R15" s="32">
        <v>0.0</v>
      </c>
      <c r="S15" s="38">
        <v>13000.0</v>
      </c>
      <c r="T15" s="40">
        <v>0.24</v>
      </c>
      <c r="U15" s="47">
        <v>14000.0</v>
      </c>
      <c r="V15" s="42">
        <v>0.29</v>
      </c>
      <c r="W15" s="43">
        <v>0.0</v>
      </c>
      <c r="X15" s="42">
        <v>0.0</v>
      </c>
      <c r="Y15" s="44">
        <v>14000.0</v>
      </c>
      <c r="Z15" s="42">
        <v>0.28</v>
      </c>
      <c r="AA15" s="45">
        <v>89300.0</v>
      </c>
      <c r="AB15" s="46"/>
      <c r="AC15" s="45">
        <v>0.0</v>
      </c>
      <c r="AD15" s="46"/>
      <c r="AE15" s="45">
        <f t="shared" si="1"/>
        <v>89300</v>
      </c>
      <c r="AF15" s="46"/>
      <c r="AG15" s="45">
        <v>89300.0</v>
      </c>
      <c r="AH15" s="46"/>
      <c r="AI15" s="45">
        <v>0.0</v>
      </c>
      <c r="AJ15" s="46"/>
      <c r="AK15" s="45">
        <f t="shared" si="2"/>
        <v>89300</v>
      </c>
      <c r="AL15" s="46"/>
      <c r="AM15" s="45">
        <v>66500.0</v>
      </c>
      <c r="AN15" s="46"/>
      <c r="AO15" s="45">
        <v>0.0</v>
      </c>
      <c r="AP15" s="46"/>
      <c r="AQ15" s="45">
        <f t="shared" si="3"/>
        <v>66500</v>
      </c>
      <c r="AR15" s="46"/>
    </row>
    <row r="16" ht="15.75" customHeight="1">
      <c r="A16" s="29">
        <v>10405.0</v>
      </c>
      <c r="B16" s="30" t="s">
        <v>21</v>
      </c>
      <c r="C16" s="31">
        <v>30000.0</v>
      </c>
      <c r="D16" s="32">
        <v>0.74</v>
      </c>
      <c r="E16" s="33">
        <v>0.0</v>
      </c>
      <c r="F16" s="32">
        <v>0.0</v>
      </c>
      <c r="G16" s="34">
        <v>30000.0</v>
      </c>
      <c r="H16" s="35">
        <v>0.52</v>
      </c>
      <c r="I16" s="36">
        <v>30000.0</v>
      </c>
      <c r="J16" s="37">
        <v>0.66</v>
      </c>
      <c r="K16" s="38">
        <v>0.0</v>
      </c>
      <c r="L16" s="39">
        <v>0.0</v>
      </c>
      <c r="M16" s="38">
        <v>30000.0</v>
      </c>
      <c r="N16" s="40">
        <v>0.63</v>
      </c>
      <c r="O16" s="36">
        <v>33000.0</v>
      </c>
      <c r="P16" s="37">
        <v>0.68</v>
      </c>
      <c r="Q16" s="38">
        <v>0.0</v>
      </c>
      <c r="R16" s="32">
        <v>0.0</v>
      </c>
      <c r="S16" s="38">
        <v>33000.0</v>
      </c>
      <c r="T16" s="40">
        <v>0.62</v>
      </c>
      <c r="U16" s="47">
        <v>14000.0</v>
      </c>
      <c r="V16" s="42">
        <v>0.28</v>
      </c>
      <c r="W16" s="43">
        <v>0.0</v>
      </c>
      <c r="X16" s="42">
        <v>0.0</v>
      </c>
      <c r="Y16" s="44">
        <v>14000.0</v>
      </c>
      <c r="Z16" s="42">
        <v>0.28</v>
      </c>
      <c r="AA16" s="45">
        <v>16000.0</v>
      </c>
      <c r="AB16" s="46"/>
      <c r="AC16" s="45">
        <v>0.0</v>
      </c>
      <c r="AD16" s="46"/>
      <c r="AE16" s="45">
        <f t="shared" si="1"/>
        <v>16000</v>
      </c>
      <c r="AF16" s="46"/>
      <c r="AG16" s="45">
        <v>16000.0</v>
      </c>
      <c r="AH16" s="46"/>
      <c r="AI16" s="45">
        <v>0.0</v>
      </c>
      <c r="AJ16" s="46"/>
      <c r="AK16" s="45">
        <f t="shared" si="2"/>
        <v>16000</v>
      </c>
      <c r="AL16" s="46"/>
      <c r="AM16" s="45">
        <v>17000.0</v>
      </c>
      <c r="AN16" s="46"/>
      <c r="AO16" s="45">
        <v>0.0</v>
      </c>
      <c r="AP16" s="46"/>
      <c r="AQ16" s="45">
        <f t="shared" si="3"/>
        <v>17000</v>
      </c>
      <c r="AR16" s="46"/>
    </row>
    <row r="17" ht="15.75" customHeight="1">
      <c r="A17" s="29">
        <v>10501.0</v>
      </c>
      <c r="B17" s="30" t="s">
        <v>22</v>
      </c>
      <c r="C17" s="31">
        <v>300000.0</v>
      </c>
      <c r="D17" s="32">
        <v>1.36</v>
      </c>
      <c r="E17" s="33">
        <v>0.0</v>
      </c>
      <c r="F17" s="32">
        <v>0.0</v>
      </c>
      <c r="G17" s="34">
        <v>300000.0</v>
      </c>
      <c r="H17" s="35">
        <v>0.97</v>
      </c>
      <c r="I17" s="36">
        <v>300000.0</v>
      </c>
      <c r="J17" s="37">
        <v>1.15</v>
      </c>
      <c r="K17" s="38">
        <v>0.0</v>
      </c>
      <c r="L17" s="39">
        <v>0.0</v>
      </c>
      <c r="M17" s="38">
        <v>300000.0</v>
      </c>
      <c r="N17" s="40">
        <v>0.84</v>
      </c>
      <c r="O17" s="36">
        <v>450000.0</v>
      </c>
      <c r="P17" s="37">
        <v>1.74</v>
      </c>
      <c r="Q17" s="38">
        <v>0.0</v>
      </c>
      <c r="R17" s="32">
        <v>0.0</v>
      </c>
      <c r="S17" s="38">
        <v>450000.0</v>
      </c>
      <c r="T17" s="35">
        <v>1.51</v>
      </c>
      <c r="U17" s="41">
        <v>0.0</v>
      </c>
      <c r="V17" s="42">
        <v>0.0</v>
      </c>
      <c r="W17" s="43">
        <v>0.0</v>
      </c>
      <c r="X17" s="42">
        <v>0.0</v>
      </c>
      <c r="Y17" s="44">
        <v>0.0</v>
      </c>
      <c r="Z17" s="42">
        <v>0.0</v>
      </c>
      <c r="AA17" s="45">
        <v>450000.0</v>
      </c>
      <c r="AB17" s="46"/>
      <c r="AC17" s="45">
        <v>0.0</v>
      </c>
      <c r="AD17" s="46"/>
      <c r="AE17" s="45">
        <f t="shared" si="1"/>
        <v>450000</v>
      </c>
      <c r="AF17" s="46"/>
      <c r="AG17" s="45">
        <v>505505.0</v>
      </c>
      <c r="AH17" s="46"/>
      <c r="AI17" s="45">
        <v>0.0</v>
      </c>
      <c r="AJ17" s="46"/>
      <c r="AK17" s="45">
        <f t="shared" si="2"/>
        <v>505505</v>
      </c>
      <c r="AL17" s="46"/>
      <c r="AM17" s="45">
        <v>456772.0</v>
      </c>
      <c r="AN17" s="46"/>
      <c r="AO17" s="45">
        <v>0.0</v>
      </c>
      <c r="AP17" s="46"/>
      <c r="AQ17" s="45">
        <f t="shared" si="3"/>
        <v>456772</v>
      </c>
      <c r="AR17" s="46"/>
    </row>
    <row r="18" ht="15.75" customHeight="1">
      <c r="A18" s="29">
        <v>10502.0</v>
      </c>
      <c r="B18" s="30" t="s">
        <v>23</v>
      </c>
      <c r="C18" s="31">
        <v>60000.0</v>
      </c>
      <c r="D18" s="32">
        <v>0.7</v>
      </c>
      <c r="E18" s="33">
        <v>0.0</v>
      </c>
      <c r="F18" s="32">
        <v>0.0</v>
      </c>
      <c r="G18" s="34">
        <v>60000.0</v>
      </c>
      <c r="H18" s="35">
        <v>0.57</v>
      </c>
      <c r="I18" s="36">
        <v>66000.0</v>
      </c>
      <c r="J18" s="37">
        <v>0.75</v>
      </c>
      <c r="K18" s="38">
        <v>0.0</v>
      </c>
      <c r="L18" s="39">
        <v>0.0</v>
      </c>
      <c r="M18" s="38">
        <v>66000.0</v>
      </c>
      <c r="N18" s="40">
        <v>0.58</v>
      </c>
      <c r="O18" s="36">
        <v>120000.0</v>
      </c>
      <c r="P18" s="37">
        <v>1.42</v>
      </c>
      <c r="Q18" s="38">
        <v>0.0</v>
      </c>
      <c r="R18" s="32">
        <v>0.0</v>
      </c>
      <c r="S18" s="38">
        <v>120000.0</v>
      </c>
      <c r="T18" s="35">
        <v>0.91</v>
      </c>
      <c r="U18" s="47">
        <v>115000.0</v>
      </c>
      <c r="V18" s="42">
        <v>1.44</v>
      </c>
      <c r="W18" s="43">
        <v>0.0</v>
      </c>
      <c r="X18" s="42">
        <v>0.0</v>
      </c>
      <c r="Y18" s="44">
        <v>115000.0</v>
      </c>
      <c r="Z18" s="42">
        <v>1.3</v>
      </c>
      <c r="AA18" s="45">
        <v>150000.0</v>
      </c>
      <c r="AB18" s="46"/>
      <c r="AC18" s="45">
        <v>0.0</v>
      </c>
      <c r="AD18" s="46"/>
      <c r="AE18" s="45">
        <f t="shared" si="1"/>
        <v>150000</v>
      </c>
      <c r="AF18" s="46"/>
      <c r="AG18" s="45">
        <v>60000.0</v>
      </c>
      <c r="AH18" s="46"/>
      <c r="AI18" s="45">
        <v>0.0</v>
      </c>
      <c r="AJ18" s="46"/>
      <c r="AK18" s="45">
        <f t="shared" si="2"/>
        <v>60000</v>
      </c>
      <c r="AL18" s="46"/>
      <c r="AM18" s="45">
        <v>100000.0</v>
      </c>
      <c r="AN18" s="46"/>
      <c r="AO18" s="45">
        <v>0.0</v>
      </c>
      <c r="AP18" s="46"/>
      <c r="AQ18" s="45">
        <f t="shared" si="3"/>
        <v>100000</v>
      </c>
      <c r="AR18" s="46"/>
    </row>
    <row r="19" ht="15.75" customHeight="1">
      <c r="A19" s="29">
        <v>10601.0</v>
      </c>
      <c r="B19" s="30" t="s">
        <v>24</v>
      </c>
      <c r="C19" s="31">
        <v>53857.0</v>
      </c>
      <c r="D19" s="32">
        <v>0.43</v>
      </c>
      <c r="E19" s="33">
        <v>0.0</v>
      </c>
      <c r="F19" s="32">
        <v>0.0</v>
      </c>
      <c r="G19" s="34">
        <v>53857.0</v>
      </c>
      <c r="H19" s="35">
        <v>0.23</v>
      </c>
      <c r="I19" s="36">
        <v>54032.0</v>
      </c>
      <c r="J19" s="37">
        <v>0.24</v>
      </c>
      <c r="K19" s="38">
        <v>0.0</v>
      </c>
      <c r="L19" s="39">
        <v>0.0</v>
      </c>
      <c r="M19" s="38">
        <v>54032.0</v>
      </c>
      <c r="N19" s="40">
        <v>0.16</v>
      </c>
      <c r="O19" s="36">
        <v>51032.0</v>
      </c>
      <c r="P19" s="37">
        <v>0.37</v>
      </c>
      <c r="Q19" s="38">
        <v>0.0</v>
      </c>
      <c r="R19" s="32">
        <v>0.0</v>
      </c>
      <c r="S19" s="38">
        <v>51032.0</v>
      </c>
      <c r="T19" s="35">
        <v>0.24</v>
      </c>
      <c r="U19" s="47">
        <v>155416.0</v>
      </c>
      <c r="V19" s="42">
        <v>0.84</v>
      </c>
      <c r="W19" s="43">
        <v>0.0</v>
      </c>
      <c r="X19" s="42">
        <v>0.0</v>
      </c>
      <c r="Y19" s="44">
        <v>155416.0</v>
      </c>
      <c r="Z19" s="42">
        <v>0.65</v>
      </c>
      <c r="AA19" s="45">
        <v>150000.0</v>
      </c>
      <c r="AB19" s="46"/>
      <c r="AC19" s="45">
        <v>0.0</v>
      </c>
      <c r="AD19" s="46"/>
      <c r="AE19" s="45">
        <f t="shared" si="1"/>
        <v>150000</v>
      </c>
      <c r="AF19" s="46"/>
      <c r="AG19" s="45">
        <v>134000.0</v>
      </c>
      <c r="AH19" s="46"/>
      <c r="AI19" s="45">
        <v>0.0</v>
      </c>
      <c r="AJ19" s="46"/>
      <c r="AK19" s="45">
        <f t="shared" si="2"/>
        <v>134000</v>
      </c>
      <c r="AL19" s="46"/>
      <c r="AM19" s="45">
        <v>80000.0</v>
      </c>
      <c r="AN19" s="46"/>
      <c r="AO19" s="45">
        <v>0.0</v>
      </c>
      <c r="AP19" s="46"/>
      <c r="AQ19" s="45">
        <f t="shared" si="3"/>
        <v>80000</v>
      </c>
      <c r="AR19" s="46"/>
    </row>
    <row r="20" ht="15.75" customHeight="1">
      <c r="A20" s="29">
        <v>10602.0</v>
      </c>
      <c r="B20" s="30" t="s">
        <v>25</v>
      </c>
      <c r="C20" s="31">
        <v>3000.0</v>
      </c>
      <c r="D20" s="32">
        <v>0.05</v>
      </c>
      <c r="E20" s="33">
        <v>0.0</v>
      </c>
      <c r="F20" s="32">
        <v>0.0</v>
      </c>
      <c r="G20" s="34">
        <v>3000.0</v>
      </c>
      <c r="H20" s="35">
        <v>0.04</v>
      </c>
      <c r="I20" s="36">
        <v>7680.0</v>
      </c>
      <c r="J20" s="37">
        <v>0.11</v>
      </c>
      <c r="K20" s="38">
        <v>0.0</v>
      </c>
      <c r="L20" s="39">
        <v>0.0</v>
      </c>
      <c r="M20" s="38">
        <v>7680.0</v>
      </c>
      <c r="N20" s="40">
        <v>0.07</v>
      </c>
      <c r="O20" s="36">
        <v>7680.0</v>
      </c>
      <c r="P20" s="37">
        <v>0.11</v>
      </c>
      <c r="Q20" s="38">
        <v>0.0</v>
      </c>
      <c r="R20" s="32">
        <v>0.0</v>
      </c>
      <c r="S20" s="38">
        <v>7680.0</v>
      </c>
      <c r="T20" s="35">
        <v>0.09</v>
      </c>
      <c r="U20" s="47">
        <v>5500.0</v>
      </c>
      <c r="V20" s="42">
        <v>0.06</v>
      </c>
      <c r="W20" s="43">
        <v>0.0</v>
      </c>
      <c r="X20" s="42">
        <v>0.0</v>
      </c>
      <c r="Y20" s="44">
        <v>5500.0</v>
      </c>
      <c r="Z20" s="42">
        <v>0.05</v>
      </c>
      <c r="AA20" s="45">
        <v>6000.0</v>
      </c>
      <c r="AB20" s="46"/>
      <c r="AC20" s="45">
        <v>0.0</v>
      </c>
      <c r="AD20" s="46"/>
      <c r="AE20" s="45">
        <f t="shared" si="1"/>
        <v>6000</v>
      </c>
      <c r="AF20" s="46"/>
      <c r="AG20" s="45">
        <v>6000.0</v>
      </c>
      <c r="AH20" s="46"/>
      <c r="AI20" s="45">
        <v>0.0</v>
      </c>
      <c r="AJ20" s="46"/>
      <c r="AK20" s="45">
        <f t="shared" si="2"/>
        <v>6000</v>
      </c>
      <c r="AL20" s="46"/>
      <c r="AM20" s="45">
        <v>6000.0</v>
      </c>
      <c r="AN20" s="46"/>
      <c r="AO20" s="45">
        <v>0.0</v>
      </c>
      <c r="AP20" s="46"/>
      <c r="AQ20" s="45">
        <f t="shared" si="3"/>
        <v>6000</v>
      </c>
      <c r="AR20" s="46"/>
    </row>
    <row r="21" ht="15.75" customHeight="1">
      <c r="A21" s="29">
        <v>10701.0</v>
      </c>
      <c r="B21" s="30" t="s">
        <v>26</v>
      </c>
      <c r="C21" s="31">
        <v>140000.0</v>
      </c>
      <c r="D21" s="32">
        <v>1.27</v>
      </c>
      <c r="E21" s="33">
        <v>0.0</v>
      </c>
      <c r="F21" s="32">
        <v>0.0</v>
      </c>
      <c r="G21" s="34">
        <v>140000.0</v>
      </c>
      <c r="H21" s="35">
        <v>0.8</v>
      </c>
      <c r="I21" s="36">
        <v>183800.0</v>
      </c>
      <c r="J21" s="37">
        <v>1.42</v>
      </c>
      <c r="K21" s="38">
        <v>0.0</v>
      </c>
      <c r="L21" s="39">
        <v>0.0</v>
      </c>
      <c r="M21" s="38">
        <v>183800.0</v>
      </c>
      <c r="N21" s="40">
        <v>0.97</v>
      </c>
      <c r="O21" s="36">
        <v>200000.0</v>
      </c>
      <c r="P21" s="37">
        <v>1.36</v>
      </c>
      <c r="Q21" s="38">
        <v>0.0</v>
      </c>
      <c r="R21" s="32">
        <v>0.0</v>
      </c>
      <c r="S21" s="38">
        <v>200000.0</v>
      </c>
      <c r="T21" s="35">
        <v>0.99</v>
      </c>
      <c r="U21" s="47">
        <v>263268.0</v>
      </c>
      <c r="V21" s="42">
        <v>1.4</v>
      </c>
      <c r="W21" s="43">
        <v>0.0</v>
      </c>
      <c r="X21" s="42">
        <v>0.0</v>
      </c>
      <c r="Y21" s="44">
        <v>263268.0</v>
      </c>
      <c r="Z21" s="42">
        <v>1.25</v>
      </c>
      <c r="AA21" s="45">
        <v>259089.0</v>
      </c>
      <c r="AB21" s="46"/>
      <c r="AC21" s="45">
        <v>0.0</v>
      </c>
      <c r="AD21" s="46"/>
      <c r="AE21" s="45">
        <f t="shared" si="1"/>
        <v>259089</v>
      </c>
      <c r="AF21" s="46"/>
      <c r="AG21" s="45">
        <v>268168.0</v>
      </c>
      <c r="AH21" s="46"/>
      <c r="AI21" s="45">
        <v>0.0</v>
      </c>
      <c r="AJ21" s="46"/>
      <c r="AK21" s="45">
        <f t="shared" si="2"/>
        <v>268168</v>
      </c>
      <c r="AL21" s="46"/>
      <c r="AM21" s="45">
        <v>254890.0</v>
      </c>
      <c r="AN21" s="46"/>
      <c r="AO21" s="45">
        <v>0.0</v>
      </c>
      <c r="AP21" s="46"/>
      <c r="AQ21" s="45">
        <f t="shared" si="3"/>
        <v>254890</v>
      </c>
      <c r="AR21" s="46"/>
    </row>
    <row r="22" ht="15.75" customHeight="1">
      <c r="A22" s="29">
        <v>10702.0</v>
      </c>
      <c r="B22" s="30" t="s">
        <v>27</v>
      </c>
      <c r="C22" s="31">
        <v>5500.0</v>
      </c>
      <c r="D22" s="32">
        <v>0.02</v>
      </c>
      <c r="E22" s="33">
        <v>0.0</v>
      </c>
      <c r="F22" s="32">
        <v>0.0</v>
      </c>
      <c r="G22" s="34">
        <v>5500.0</v>
      </c>
      <c r="H22" s="35">
        <v>0.02</v>
      </c>
      <c r="I22" s="36">
        <v>50000.0</v>
      </c>
      <c r="J22" s="37">
        <v>0.16</v>
      </c>
      <c r="K22" s="38">
        <v>0.0</v>
      </c>
      <c r="L22" s="39">
        <v>0.0</v>
      </c>
      <c r="M22" s="38">
        <v>50000.0</v>
      </c>
      <c r="N22" s="40">
        <v>0.12</v>
      </c>
      <c r="O22" s="36">
        <v>10000.0</v>
      </c>
      <c r="P22" s="37">
        <v>0.03</v>
      </c>
      <c r="Q22" s="38">
        <v>0.0</v>
      </c>
      <c r="R22" s="32">
        <v>0.0</v>
      </c>
      <c r="S22" s="38">
        <v>10000.0</v>
      </c>
      <c r="T22" s="35">
        <v>0.02</v>
      </c>
      <c r="U22" s="47">
        <v>10000.0</v>
      </c>
      <c r="V22" s="42">
        <v>0.03</v>
      </c>
      <c r="W22" s="43">
        <v>0.0</v>
      </c>
      <c r="X22" s="42">
        <v>0.0</v>
      </c>
      <c r="Y22" s="44">
        <v>10000.0</v>
      </c>
      <c r="Z22" s="42">
        <v>0.03</v>
      </c>
      <c r="AA22" s="45">
        <v>70000.0</v>
      </c>
      <c r="AB22" s="46"/>
      <c r="AC22" s="45">
        <v>0.0</v>
      </c>
      <c r="AD22" s="46"/>
      <c r="AE22" s="45">
        <f t="shared" si="1"/>
        <v>70000</v>
      </c>
      <c r="AF22" s="46"/>
      <c r="AG22" s="45">
        <v>70000.0</v>
      </c>
      <c r="AH22" s="46"/>
      <c r="AI22" s="45">
        <v>0.0</v>
      </c>
      <c r="AJ22" s="46"/>
      <c r="AK22" s="45">
        <f t="shared" si="2"/>
        <v>70000</v>
      </c>
      <c r="AL22" s="46"/>
      <c r="AM22" s="45">
        <v>70000.0</v>
      </c>
      <c r="AN22" s="46"/>
      <c r="AO22" s="45">
        <v>0.0</v>
      </c>
      <c r="AP22" s="46"/>
      <c r="AQ22" s="45">
        <f t="shared" si="3"/>
        <v>70000</v>
      </c>
      <c r="AR22" s="46"/>
    </row>
    <row r="23" ht="15.75" customHeight="1">
      <c r="A23" s="29">
        <v>10703.0</v>
      </c>
      <c r="B23" s="30" t="s">
        <v>28</v>
      </c>
      <c r="C23" s="31">
        <v>49090.0</v>
      </c>
      <c r="D23" s="32">
        <v>0.5</v>
      </c>
      <c r="E23" s="33">
        <v>0.0</v>
      </c>
      <c r="F23" s="32">
        <v>0.0</v>
      </c>
      <c r="G23" s="34">
        <v>49090.0</v>
      </c>
      <c r="H23" s="35">
        <v>0.37</v>
      </c>
      <c r="I23" s="36">
        <v>60150.0</v>
      </c>
      <c r="J23" s="37">
        <v>0.58</v>
      </c>
      <c r="K23" s="38">
        <v>0.0</v>
      </c>
      <c r="L23" s="39">
        <v>0.0</v>
      </c>
      <c r="M23" s="38">
        <v>60150.0</v>
      </c>
      <c r="N23" s="40">
        <v>0.43</v>
      </c>
      <c r="O23" s="36">
        <v>66750.0</v>
      </c>
      <c r="P23" s="37">
        <v>0.56</v>
      </c>
      <c r="Q23" s="38">
        <v>0.0</v>
      </c>
      <c r="R23" s="32">
        <v>0.0</v>
      </c>
      <c r="S23" s="38">
        <v>66750.0</v>
      </c>
      <c r="T23" s="35">
        <v>0.52</v>
      </c>
      <c r="U23" s="47">
        <v>63000.0</v>
      </c>
      <c r="V23" s="42">
        <v>0.52</v>
      </c>
      <c r="W23" s="43">
        <v>0.0</v>
      </c>
      <c r="X23" s="42">
        <v>0.0</v>
      </c>
      <c r="Y23" s="44">
        <v>63000.0</v>
      </c>
      <c r="Z23" s="42">
        <v>0.42</v>
      </c>
      <c r="AA23" s="45">
        <v>63000.0</v>
      </c>
      <c r="AB23" s="46"/>
      <c r="AC23" s="45">
        <v>0.0</v>
      </c>
      <c r="AD23" s="46"/>
      <c r="AE23" s="45">
        <f t="shared" si="1"/>
        <v>63000</v>
      </c>
      <c r="AF23" s="46"/>
      <c r="AG23" s="45">
        <v>83880.0</v>
      </c>
      <c r="AH23" s="46"/>
      <c r="AI23" s="45">
        <v>0.0</v>
      </c>
      <c r="AJ23" s="46"/>
      <c r="AK23" s="45">
        <f t="shared" si="2"/>
        <v>83880</v>
      </c>
      <c r="AL23" s="46"/>
      <c r="AM23" s="45">
        <v>83880.0</v>
      </c>
      <c r="AN23" s="46"/>
      <c r="AO23" s="45">
        <v>0.0</v>
      </c>
      <c r="AP23" s="46"/>
      <c r="AQ23" s="45">
        <f t="shared" si="3"/>
        <v>83880</v>
      </c>
      <c r="AR23" s="46"/>
    </row>
    <row r="24" ht="15.75" customHeight="1">
      <c r="A24" s="29">
        <v>10704.0</v>
      </c>
      <c r="B24" s="30" t="s">
        <v>29</v>
      </c>
      <c r="C24" s="31">
        <v>80876.0</v>
      </c>
      <c r="D24" s="32">
        <v>0.82</v>
      </c>
      <c r="E24" s="33">
        <v>0.0</v>
      </c>
      <c r="F24" s="32">
        <v>0.0</v>
      </c>
      <c r="G24" s="34">
        <v>80876.0</v>
      </c>
      <c r="H24" s="35">
        <v>0.79</v>
      </c>
      <c r="I24" s="36">
        <v>115256.0</v>
      </c>
      <c r="J24" s="37">
        <v>1.06</v>
      </c>
      <c r="K24" s="38">
        <v>0.0</v>
      </c>
      <c r="L24" s="39">
        <v>0.0</v>
      </c>
      <c r="M24" s="38">
        <v>115256.0</v>
      </c>
      <c r="N24" s="40">
        <v>0.81</v>
      </c>
      <c r="O24" s="36">
        <v>125792.0</v>
      </c>
      <c r="P24" s="37">
        <v>1.0</v>
      </c>
      <c r="Q24" s="38">
        <v>0.0</v>
      </c>
      <c r="R24" s="32">
        <v>0.0</v>
      </c>
      <c r="S24" s="38">
        <v>125792.0</v>
      </c>
      <c r="T24" s="35">
        <v>0.81</v>
      </c>
      <c r="U24" s="47">
        <v>216400.0</v>
      </c>
      <c r="V24" s="42">
        <v>1.45</v>
      </c>
      <c r="W24" s="43">
        <v>0.0</v>
      </c>
      <c r="X24" s="42">
        <v>0.0</v>
      </c>
      <c r="Y24" s="44">
        <v>216400.0</v>
      </c>
      <c r="Z24" s="42">
        <v>1.16</v>
      </c>
      <c r="AA24" s="45">
        <v>216400.0</v>
      </c>
      <c r="AB24" s="46"/>
      <c r="AC24" s="45">
        <v>0.0</v>
      </c>
      <c r="AD24" s="46"/>
      <c r="AE24" s="45">
        <f t="shared" si="1"/>
        <v>216400</v>
      </c>
      <c r="AF24" s="46"/>
      <c r="AG24" s="45">
        <v>250400.0</v>
      </c>
      <c r="AH24" s="46"/>
      <c r="AI24" s="45">
        <v>0.0</v>
      </c>
      <c r="AJ24" s="46"/>
      <c r="AK24" s="45">
        <f t="shared" si="2"/>
        <v>250400</v>
      </c>
      <c r="AL24" s="46"/>
      <c r="AM24" s="45">
        <v>250000.0</v>
      </c>
      <c r="AN24" s="46"/>
      <c r="AO24" s="45">
        <v>0.0</v>
      </c>
      <c r="AP24" s="46"/>
      <c r="AQ24" s="45">
        <f t="shared" si="3"/>
        <v>250000</v>
      </c>
      <c r="AR24" s="46"/>
    </row>
    <row r="25" ht="15.75" customHeight="1">
      <c r="A25" s="29">
        <v>10801.0</v>
      </c>
      <c r="B25" s="30" t="s">
        <v>30</v>
      </c>
      <c r="C25" s="31">
        <v>161734.0</v>
      </c>
      <c r="D25" s="32">
        <v>1.85</v>
      </c>
      <c r="E25" s="33">
        <v>0.0</v>
      </c>
      <c r="F25" s="32">
        <v>0.0</v>
      </c>
      <c r="G25" s="34">
        <v>161734.0</v>
      </c>
      <c r="H25" s="35">
        <v>1.28</v>
      </c>
      <c r="I25" s="36">
        <v>145000.0</v>
      </c>
      <c r="J25" s="37">
        <v>1.21</v>
      </c>
      <c r="K25" s="38">
        <v>0.0</v>
      </c>
      <c r="L25" s="39">
        <v>0.0</v>
      </c>
      <c r="M25" s="38">
        <v>145000.0</v>
      </c>
      <c r="N25" s="40">
        <v>0.62</v>
      </c>
      <c r="O25" s="36">
        <v>155173.0</v>
      </c>
      <c r="P25" s="37">
        <v>1.26</v>
      </c>
      <c r="Q25" s="38">
        <v>0.0</v>
      </c>
      <c r="R25" s="32">
        <v>0.0</v>
      </c>
      <c r="S25" s="38">
        <v>155173.0</v>
      </c>
      <c r="T25" s="35">
        <v>0.98</v>
      </c>
      <c r="U25" s="47">
        <v>70000.0</v>
      </c>
      <c r="V25" s="42">
        <v>0.72</v>
      </c>
      <c r="W25" s="43">
        <v>0.0</v>
      </c>
      <c r="X25" s="42">
        <v>0.0</v>
      </c>
      <c r="Y25" s="44">
        <v>70000.0</v>
      </c>
      <c r="Z25" s="42">
        <v>0.57</v>
      </c>
      <c r="AA25" s="45">
        <v>70000.0</v>
      </c>
      <c r="AB25" s="46"/>
      <c r="AC25" s="45">
        <v>0.0</v>
      </c>
      <c r="AD25" s="46"/>
      <c r="AE25" s="45">
        <f t="shared" si="1"/>
        <v>70000</v>
      </c>
      <c r="AF25" s="46"/>
      <c r="AG25" s="45">
        <v>70000.0</v>
      </c>
      <c r="AH25" s="46"/>
      <c r="AI25" s="45">
        <v>0.0</v>
      </c>
      <c r="AJ25" s="46"/>
      <c r="AK25" s="45">
        <f t="shared" si="2"/>
        <v>70000</v>
      </c>
      <c r="AL25" s="46"/>
      <c r="AM25" s="45">
        <v>80295.0</v>
      </c>
      <c r="AN25" s="46"/>
      <c r="AO25" s="45">
        <v>0.0</v>
      </c>
      <c r="AP25" s="46"/>
      <c r="AQ25" s="45">
        <f t="shared" si="3"/>
        <v>80295</v>
      </c>
      <c r="AR25" s="46"/>
    </row>
    <row r="26" ht="15.75" customHeight="1">
      <c r="A26" s="29">
        <v>10901.0</v>
      </c>
      <c r="B26" s="30" t="s">
        <v>31</v>
      </c>
      <c r="C26" s="31">
        <v>15996.0</v>
      </c>
      <c r="D26" s="32">
        <v>0.56</v>
      </c>
      <c r="E26" s="33">
        <v>0.0</v>
      </c>
      <c r="F26" s="32">
        <v>0.0</v>
      </c>
      <c r="G26" s="34">
        <v>15996.0</v>
      </c>
      <c r="H26" s="35">
        <v>0.34</v>
      </c>
      <c r="I26" s="36">
        <v>16000.0</v>
      </c>
      <c r="J26" s="37">
        <v>0.55</v>
      </c>
      <c r="K26" s="38">
        <v>0.0</v>
      </c>
      <c r="L26" s="39">
        <v>0.0</v>
      </c>
      <c r="M26" s="38">
        <v>16000.0</v>
      </c>
      <c r="N26" s="40">
        <v>0.44</v>
      </c>
      <c r="O26" s="36">
        <v>40704.0</v>
      </c>
      <c r="P26" s="37">
        <v>1.21</v>
      </c>
      <c r="Q26" s="38">
        <v>0.0</v>
      </c>
      <c r="R26" s="32">
        <v>0.0</v>
      </c>
      <c r="S26" s="38">
        <v>40704.0</v>
      </c>
      <c r="T26" s="35">
        <v>0.65</v>
      </c>
      <c r="U26" s="47">
        <v>53600.0</v>
      </c>
      <c r="V26" s="42">
        <v>1.85</v>
      </c>
      <c r="W26" s="43">
        <v>0.0</v>
      </c>
      <c r="X26" s="42">
        <v>0.0</v>
      </c>
      <c r="Y26" s="44">
        <v>53600.0</v>
      </c>
      <c r="Z26" s="42">
        <v>1.85</v>
      </c>
      <c r="AA26" s="45">
        <v>53600.0</v>
      </c>
      <c r="AB26" s="46"/>
      <c r="AC26" s="45">
        <v>0.0</v>
      </c>
      <c r="AD26" s="46"/>
      <c r="AE26" s="45">
        <f t="shared" si="1"/>
        <v>53600</v>
      </c>
      <c r="AF26" s="46"/>
      <c r="AG26" s="45">
        <v>56800.0</v>
      </c>
      <c r="AH26" s="46"/>
      <c r="AI26" s="45">
        <v>0.0</v>
      </c>
      <c r="AJ26" s="46"/>
      <c r="AK26" s="45">
        <f t="shared" si="2"/>
        <v>56800</v>
      </c>
      <c r="AL26" s="46"/>
      <c r="AM26" s="45">
        <v>56800.0</v>
      </c>
      <c r="AN26" s="46"/>
      <c r="AO26" s="45">
        <v>0.0</v>
      </c>
      <c r="AP26" s="46"/>
      <c r="AQ26" s="45">
        <f t="shared" si="3"/>
        <v>56800</v>
      </c>
      <c r="AR26" s="46"/>
    </row>
    <row r="27" ht="15.75" customHeight="1">
      <c r="A27" s="29">
        <v>10902.0</v>
      </c>
      <c r="B27" s="30" t="s">
        <v>32</v>
      </c>
      <c r="C27" s="31">
        <v>116995.0</v>
      </c>
      <c r="D27" s="32">
        <v>0.83</v>
      </c>
      <c r="E27" s="33">
        <v>0.0</v>
      </c>
      <c r="F27" s="32">
        <v>0.0</v>
      </c>
      <c r="G27" s="34">
        <v>116995.0</v>
      </c>
      <c r="H27" s="35">
        <v>0.43</v>
      </c>
      <c r="I27" s="36">
        <v>170546.0</v>
      </c>
      <c r="J27" s="37">
        <v>1.03</v>
      </c>
      <c r="K27" s="38">
        <v>0.0</v>
      </c>
      <c r="L27" s="39">
        <v>0.0</v>
      </c>
      <c r="M27" s="38">
        <v>170546.0</v>
      </c>
      <c r="N27" s="40">
        <v>0.69</v>
      </c>
      <c r="O27" s="36">
        <v>189451.0</v>
      </c>
      <c r="P27" s="37">
        <v>1.1</v>
      </c>
      <c r="Q27" s="38">
        <v>0.0</v>
      </c>
      <c r="R27" s="32">
        <v>0.0</v>
      </c>
      <c r="S27" s="38">
        <v>189451.0</v>
      </c>
      <c r="T27" s="35">
        <v>0.74</v>
      </c>
      <c r="U27" s="47">
        <v>96594.0</v>
      </c>
      <c r="V27" s="42">
        <v>0.65</v>
      </c>
      <c r="W27" s="43">
        <v>0.0</v>
      </c>
      <c r="X27" s="42">
        <v>0.0</v>
      </c>
      <c r="Y27" s="44">
        <v>96594.0</v>
      </c>
      <c r="Z27" s="42">
        <v>0.65</v>
      </c>
      <c r="AA27" s="45">
        <v>101794.0</v>
      </c>
      <c r="AB27" s="46"/>
      <c r="AC27" s="45">
        <v>0.0</v>
      </c>
      <c r="AD27" s="46"/>
      <c r="AE27" s="45">
        <f t="shared" si="1"/>
        <v>101794</v>
      </c>
      <c r="AF27" s="46"/>
      <c r="AG27" s="45">
        <v>252607.0</v>
      </c>
      <c r="AH27" s="46"/>
      <c r="AI27" s="45">
        <v>120000.0</v>
      </c>
      <c r="AJ27" s="46"/>
      <c r="AK27" s="45">
        <f t="shared" si="2"/>
        <v>372607</v>
      </c>
      <c r="AL27" s="46"/>
      <c r="AM27" s="45">
        <v>263007.0</v>
      </c>
      <c r="AN27" s="46"/>
      <c r="AO27" s="45">
        <v>0.0</v>
      </c>
      <c r="AP27" s="46"/>
      <c r="AQ27" s="45">
        <f t="shared" si="3"/>
        <v>263007</v>
      </c>
      <c r="AR27" s="46"/>
    </row>
    <row r="28" ht="15.75" customHeight="1">
      <c r="A28" s="29">
        <v>10903.0</v>
      </c>
      <c r="B28" s="30" t="s">
        <v>33</v>
      </c>
      <c r="C28" s="48">
        <v>0.0</v>
      </c>
      <c r="D28" s="32">
        <v>0.0</v>
      </c>
      <c r="E28" s="33">
        <v>0.0</v>
      </c>
      <c r="F28" s="32">
        <v>0.0</v>
      </c>
      <c r="G28" s="34">
        <v>0.0</v>
      </c>
      <c r="H28" s="35">
        <v>0.0</v>
      </c>
      <c r="I28" s="36">
        <v>15000.0</v>
      </c>
      <c r="J28" s="37">
        <v>0.41</v>
      </c>
      <c r="K28" s="38">
        <v>0.0</v>
      </c>
      <c r="L28" s="39">
        <v>0.0</v>
      </c>
      <c r="M28" s="38">
        <v>15000.0</v>
      </c>
      <c r="N28" s="40">
        <v>0.39</v>
      </c>
      <c r="O28" s="36">
        <v>15000.0</v>
      </c>
      <c r="P28" s="37">
        <v>0.36</v>
      </c>
      <c r="Q28" s="38">
        <v>0.0</v>
      </c>
      <c r="R28" s="32">
        <v>0.0</v>
      </c>
      <c r="S28" s="38">
        <v>15000.0</v>
      </c>
      <c r="T28" s="35">
        <v>0.34</v>
      </c>
      <c r="U28" s="47">
        <v>15000.0</v>
      </c>
      <c r="V28" s="42">
        <v>0.34</v>
      </c>
      <c r="W28" s="43">
        <v>0.0</v>
      </c>
      <c r="X28" s="42">
        <v>0.0</v>
      </c>
      <c r="Y28" s="44">
        <v>15000.0</v>
      </c>
      <c r="Z28" s="42">
        <v>0.34</v>
      </c>
      <c r="AA28" s="45">
        <v>14400.0</v>
      </c>
      <c r="AB28" s="46"/>
      <c r="AC28" s="45">
        <v>0.0</v>
      </c>
      <c r="AD28" s="46"/>
      <c r="AE28" s="45">
        <f t="shared" si="1"/>
        <v>14400</v>
      </c>
      <c r="AF28" s="46"/>
      <c r="AG28" s="45">
        <v>16245.0</v>
      </c>
      <c r="AH28" s="46"/>
      <c r="AI28" s="45">
        <v>0.0</v>
      </c>
      <c r="AJ28" s="46"/>
      <c r="AK28" s="45">
        <f t="shared" si="2"/>
        <v>16245</v>
      </c>
      <c r="AL28" s="46"/>
      <c r="AM28" s="45">
        <v>21000.0</v>
      </c>
      <c r="AN28" s="46"/>
      <c r="AO28" s="45">
        <v>0.0</v>
      </c>
      <c r="AP28" s="46"/>
      <c r="AQ28" s="45">
        <f t="shared" si="3"/>
        <v>21000</v>
      </c>
      <c r="AR28" s="46"/>
    </row>
    <row r="29" ht="15.75" customHeight="1">
      <c r="A29" s="29">
        <v>11001.0</v>
      </c>
      <c r="B29" s="30" t="s">
        <v>34</v>
      </c>
      <c r="C29" s="31">
        <v>29000.0</v>
      </c>
      <c r="D29" s="32">
        <v>0.38</v>
      </c>
      <c r="E29" s="33">
        <v>0.0</v>
      </c>
      <c r="F29" s="32">
        <v>0.0</v>
      </c>
      <c r="G29" s="34">
        <v>29000.0</v>
      </c>
      <c r="H29" s="35">
        <v>0.24</v>
      </c>
      <c r="I29" s="36">
        <v>29000.0</v>
      </c>
      <c r="J29" s="37">
        <v>0.37</v>
      </c>
      <c r="K29" s="38">
        <v>0.0</v>
      </c>
      <c r="L29" s="39">
        <v>0.0</v>
      </c>
      <c r="M29" s="38">
        <v>29000.0</v>
      </c>
      <c r="N29" s="40">
        <v>0.17</v>
      </c>
      <c r="O29" s="36">
        <v>29000.0</v>
      </c>
      <c r="P29" s="37">
        <v>0.35</v>
      </c>
      <c r="Q29" s="38">
        <v>0.0</v>
      </c>
      <c r="R29" s="32">
        <v>0.0</v>
      </c>
      <c r="S29" s="38">
        <v>29000.0</v>
      </c>
      <c r="T29" s="35">
        <v>0.23</v>
      </c>
      <c r="U29" s="47">
        <v>94058.0</v>
      </c>
      <c r="V29" s="42">
        <v>0.96</v>
      </c>
      <c r="W29" s="43">
        <v>0.0</v>
      </c>
      <c r="X29" s="42">
        <v>0.0</v>
      </c>
      <c r="Y29" s="44">
        <v>94058.0</v>
      </c>
      <c r="Z29" s="42">
        <v>0.69</v>
      </c>
      <c r="AA29" s="45">
        <v>92500.0</v>
      </c>
      <c r="AB29" s="46"/>
      <c r="AC29" s="45">
        <v>0.0</v>
      </c>
      <c r="AD29" s="46"/>
      <c r="AE29" s="45">
        <f t="shared" si="1"/>
        <v>92500</v>
      </c>
      <c r="AF29" s="46"/>
      <c r="AG29" s="45">
        <v>92500.0</v>
      </c>
      <c r="AH29" s="46"/>
      <c r="AI29" s="45">
        <v>0.0</v>
      </c>
      <c r="AJ29" s="46"/>
      <c r="AK29" s="45">
        <f t="shared" si="2"/>
        <v>92500</v>
      </c>
      <c r="AL29" s="46"/>
      <c r="AM29" s="45">
        <v>98500.0</v>
      </c>
      <c r="AN29" s="46"/>
      <c r="AO29" s="45">
        <v>0.0</v>
      </c>
      <c r="AP29" s="46"/>
      <c r="AQ29" s="45">
        <f t="shared" si="3"/>
        <v>98500</v>
      </c>
      <c r="AR29" s="46"/>
    </row>
    <row r="30" ht="15.75" customHeight="1">
      <c r="A30" s="29">
        <v>11002.0</v>
      </c>
      <c r="B30" s="30" t="s">
        <v>35</v>
      </c>
      <c r="C30" s="31">
        <v>21600.0</v>
      </c>
      <c r="D30" s="32">
        <v>1.05</v>
      </c>
      <c r="E30" s="33">
        <v>0.0</v>
      </c>
      <c r="F30" s="32">
        <v>0.0</v>
      </c>
      <c r="G30" s="34">
        <v>21600.0</v>
      </c>
      <c r="H30" s="35">
        <v>0.8</v>
      </c>
      <c r="I30" s="36">
        <v>21600.0</v>
      </c>
      <c r="J30" s="37">
        <v>1.01</v>
      </c>
      <c r="K30" s="38">
        <v>0.0</v>
      </c>
      <c r="L30" s="39">
        <v>0.0</v>
      </c>
      <c r="M30" s="38">
        <v>21600.0</v>
      </c>
      <c r="N30" s="40">
        <v>0.91</v>
      </c>
      <c r="O30" s="36">
        <v>21600.0</v>
      </c>
      <c r="P30" s="37">
        <v>0.89</v>
      </c>
      <c r="Q30" s="38">
        <v>0.0</v>
      </c>
      <c r="R30" s="32">
        <v>0.0</v>
      </c>
      <c r="S30" s="38">
        <v>21600.0</v>
      </c>
      <c r="T30" s="35">
        <v>0.79</v>
      </c>
      <c r="U30" s="47">
        <v>5000.0</v>
      </c>
      <c r="V30" s="42">
        <v>0.19</v>
      </c>
      <c r="W30" s="43">
        <v>0.0</v>
      </c>
      <c r="X30" s="42">
        <v>0.0</v>
      </c>
      <c r="Y30" s="44">
        <v>5000.0</v>
      </c>
      <c r="Z30" s="42">
        <v>0.19</v>
      </c>
      <c r="AA30" s="45">
        <v>15000.0</v>
      </c>
      <c r="AB30" s="46"/>
      <c r="AC30" s="45">
        <v>0.0</v>
      </c>
      <c r="AD30" s="46"/>
      <c r="AE30" s="45">
        <f t="shared" si="1"/>
        <v>15000</v>
      </c>
      <c r="AF30" s="46"/>
      <c r="AG30" s="45">
        <v>15000.0</v>
      </c>
      <c r="AH30" s="46"/>
      <c r="AI30" s="45">
        <v>0.0</v>
      </c>
      <c r="AJ30" s="46"/>
      <c r="AK30" s="45">
        <f t="shared" si="2"/>
        <v>15000</v>
      </c>
      <c r="AL30" s="46"/>
      <c r="AM30" s="45">
        <v>15000.0</v>
      </c>
      <c r="AN30" s="46"/>
      <c r="AO30" s="45">
        <v>0.0</v>
      </c>
      <c r="AP30" s="46"/>
      <c r="AQ30" s="45">
        <f t="shared" si="3"/>
        <v>15000</v>
      </c>
      <c r="AR30" s="46"/>
    </row>
    <row r="31" ht="15.75" customHeight="1">
      <c r="A31" s="29">
        <v>11003.0</v>
      </c>
      <c r="B31" s="30" t="s">
        <v>36</v>
      </c>
      <c r="C31" s="31">
        <v>68000.0</v>
      </c>
      <c r="D31" s="32">
        <v>0.86</v>
      </c>
      <c r="E31" s="33">
        <v>0.0</v>
      </c>
      <c r="F31" s="32">
        <v>0.0</v>
      </c>
      <c r="G31" s="34">
        <v>68000.0</v>
      </c>
      <c r="H31" s="35">
        <v>0.82</v>
      </c>
      <c r="I31" s="36">
        <v>70000.0</v>
      </c>
      <c r="J31" s="37">
        <v>0.77</v>
      </c>
      <c r="K31" s="38">
        <v>0.0</v>
      </c>
      <c r="L31" s="39">
        <v>0.0</v>
      </c>
      <c r="M31" s="38">
        <v>70000.0</v>
      </c>
      <c r="N31" s="40">
        <v>0.76</v>
      </c>
      <c r="O31" s="36">
        <v>80000.0</v>
      </c>
      <c r="P31" s="37">
        <v>1.13</v>
      </c>
      <c r="Q31" s="38">
        <v>0.0</v>
      </c>
      <c r="R31" s="32">
        <v>0.0</v>
      </c>
      <c r="S31" s="38">
        <v>80000.0</v>
      </c>
      <c r="T31" s="35">
        <v>0.98</v>
      </c>
      <c r="U31" s="47">
        <v>37976.0</v>
      </c>
      <c r="V31" s="42">
        <v>0.5</v>
      </c>
      <c r="W31" s="43">
        <v>0.0</v>
      </c>
      <c r="X31" s="42">
        <v>0.0</v>
      </c>
      <c r="Y31" s="44">
        <v>37976.0</v>
      </c>
      <c r="Z31" s="42">
        <v>0.5</v>
      </c>
      <c r="AA31" s="45">
        <v>60000.0</v>
      </c>
      <c r="AB31" s="46"/>
      <c r="AC31" s="45">
        <v>0.0</v>
      </c>
      <c r="AD31" s="46"/>
      <c r="AE31" s="45">
        <f t="shared" si="1"/>
        <v>60000</v>
      </c>
      <c r="AF31" s="46"/>
      <c r="AG31" s="45">
        <v>86535.0</v>
      </c>
      <c r="AH31" s="46"/>
      <c r="AI31" s="45">
        <v>0.0</v>
      </c>
      <c r="AJ31" s="46"/>
      <c r="AK31" s="45">
        <f t="shared" si="2"/>
        <v>86535</v>
      </c>
      <c r="AL31" s="46"/>
      <c r="AM31" s="45">
        <v>70210.0</v>
      </c>
      <c r="AN31" s="46"/>
      <c r="AO31" s="45">
        <v>0.0</v>
      </c>
      <c r="AP31" s="46"/>
      <c r="AQ31" s="45">
        <f t="shared" si="3"/>
        <v>70210</v>
      </c>
      <c r="AR31" s="46"/>
    </row>
    <row r="32" ht="15.75" customHeight="1">
      <c r="A32" s="29">
        <v>20101.0</v>
      </c>
      <c r="B32" s="30" t="s">
        <v>37</v>
      </c>
      <c r="C32" s="31">
        <v>7.55E7</v>
      </c>
      <c r="D32" s="32">
        <v>10.76</v>
      </c>
      <c r="E32" s="49">
        <v>2487987.0</v>
      </c>
      <c r="F32" s="32">
        <v>0.39</v>
      </c>
      <c r="G32" s="34">
        <v>7.7987987E7</v>
      </c>
      <c r="H32" s="35">
        <v>5.8</v>
      </c>
      <c r="I32" s="36">
        <v>4.758E7</v>
      </c>
      <c r="J32" s="37">
        <v>6.33</v>
      </c>
      <c r="K32" s="38">
        <v>0.0</v>
      </c>
      <c r="L32" s="39">
        <v>0.0</v>
      </c>
      <c r="M32" s="38">
        <v>4.758E7</v>
      </c>
      <c r="N32" s="40">
        <v>3.07</v>
      </c>
      <c r="O32" s="36">
        <v>6.8115002E7</v>
      </c>
      <c r="P32" s="37">
        <v>7.93</v>
      </c>
      <c r="Q32" s="38">
        <v>0.0</v>
      </c>
      <c r="R32" s="32">
        <v>0.0</v>
      </c>
      <c r="S32" s="38">
        <v>6.8115002E7</v>
      </c>
      <c r="T32" s="35">
        <v>4.23</v>
      </c>
      <c r="U32" s="47">
        <v>1.14025343E8</v>
      </c>
      <c r="V32" s="42">
        <v>8.98</v>
      </c>
      <c r="W32" s="44">
        <v>1144320.0</v>
      </c>
      <c r="X32" s="42">
        <v>0.26</v>
      </c>
      <c r="Y32" s="44">
        <v>1.15169663E8</v>
      </c>
      <c r="Z32" s="42">
        <v>6.75</v>
      </c>
      <c r="AA32" s="45">
        <v>2.3832283E8</v>
      </c>
      <c r="AB32" s="46"/>
      <c r="AC32" s="45">
        <v>4825040.0</v>
      </c>
      <c r="AD32" s="46"/>
      <c r="AE32" s="45">
        <f t="shared" si="1"/>
        <v>243147870</v>
      </c>
      <c r="AF32" s="46"/>
      <c r="AG32" s="45">
        <v>2.20555391E8</v>
      </c>
      <c r="AH32" s="46"/>
      <c r="AI32" s="45">
        <v>0.0</v>
      </c>
      <c r="AJ32" s="46"/>
      <c r="AK32" s="45">
        <f t="shared" si="2"/>
        <v>220555391</v>
      </c>
      <c r="AL32" s="46"/>
      <c r="AM32" s="45">
        <v>1.90631493E8</v>
      </c>
      <c r="AN32" s="46"/>
      <c r="AO32" s="45">
        <v>0.0</v>
      </c>
      <c r="AP32" s="46"/>
      <c r="AQ32" s="45">
        <f t="shared" si="3"/>
        <v>190631493</v>
      </c>
      <c r="AR32" s="46"/>
    </row>
    <row r="33" ht="15.75" customHeight="1">
      <c r="A33" s="29">
        <v>20102.0</v>
      </c>
      <c r="B33" s="30" t="s">
        <v>38</v>
      </c>
      <c r="C33" s="48">
        <v>0.0</v>
      </c>
      <c r="D33" s="32">
        <v>0.0</v>
      </c>
      <c r="E33" s="33">
        <v>0.0</v>
      </c>
      <c r="F33" s="32">
        <v>0.0</v>
      </c>
      <c r="G33" s="34">
        <v>0.0</v>
      </c>
      <c r="H33" s="35">
        <v>0.0</v>
      </c>
      <c r="I33" s="36">
        <v>10000.0</v>
      </c>
      <c r="J33" s="37">
        <v>0.1</v>
      </c>
      <c r="K33" s="38">
        <v>0.0</v>
      </c>
      <c r="L33" s="39">
        <v>0.0</v>
      </c>
      <c r="M33" s="38">
        <v>10000.0</v>
      </c>
      <c r="N33" s="40">
        <v>0.08</v>
      </c>
      <c r="O33" s="36">
        <v>10000.0</v>
      </c>
      <c r="P33" s="37">
        <v>0.09</v>
      </c>
      <c r="Q33" s="38">
        <v>0.0</v>
      </c>
      <c r="R33" s="32">
        <v>0.0</v>
      </c>
      <c r="S33" s="38">
        <v>10000.0</v>
      </c>
      <c r="T33" s="35">
        <v>0.08</v>
      </c>
      <c r="U33" s="47">
        <v>26000.0</v>
      </c>
      <c r="V33" s="42">
        <v>0.18</v>
      </c>
      <c r="W33" s="43">
        <v>0.0</v>
      </c>
      <c r="X33" s="42">
        <v>0.0</v>
      </c>
      <c r="Y33" s="44">
        <v>26000.0</v>
      </c>
      <c r="Z33" s="42">
        <v>0.15</v>
      </c>
      <c r="AA33" s="45">
        <v>27000.0</v>
      </c>
      <c r="AB33" s="46"/>
      <c r="AC33" s="45">
        <v>0.0</v>
      </c>
      <c r="AD33" s="46"/>
      <c r="AE33" s="45">
        <f t="shared" si="1"/>
        <v>27000</v>
      </c>
      <c r="AF33" s="46"/>
      <c r="AG33" s="45">
        <v>50000.0</v>
      </c>
      <c r="AH33" s="46"/>
      <c r="AI33" s="45">
        <v>0.0</v>
      </c>
      <c r="AJ33" s="46"/>
      <c r="AK33" s="45">
        <f t="shared" si="2"/>
        <v>50000</v>
      </c>
      <c r="AL33" s="46"/>
      <c r="AM33" s="45">
        <v>50000.0</v>
      </c>
      <c r="AN33" s="46"/>
      <c r="AO33" s="45">
        <v>0.0</v>
      </c>
      <c r="AP33" s="46"/>
      <c r="AQ33" s="45">
        <f t="shared" si="3"/>
        <v>50000</v>
      </c>
      <c r="AR33" s="46"/>
    </row>
    <row r="34" ht="15.75" customHeight="1">
      <c r="A34" s="29">
        <v>20103.0</v>
      </c>
      <c r="B34" s="30" t="s">
        <v>39</v>
      </c>
      <c r="C34" s="31">
        <v>50000.0</v>
      </c>
      <c r="D34" s="32">
        <v>0.58</v>
      </c>
      <c r="E34" s="33">
        <v>0.0</v>
      </c>
      <c r="F34" s="32">
        <v>0.0</v>
      </c>
      <c r="G34" s="34">
        <v>50000.0</v>
      </c>
      <c r="H34" s="35">
        <v>0.49</v>
      </c>
      <c r="I34" s="36">
        <v>50000.0</v>
      </c>
      <c r="J34" s="37">
        <v>0.65</v>
      </c>
      <c r="K34" s="38">
        <v>0.0</v>
      </c>
      <c r="L34" s="39">
        <v>0.0</v>
      </c>
      <c r="M34" s="38">
        <v>50000.0</v>
      </c>
      <c r="N34" s="40">
        <v>0.6</v>
      </c>
      <c r="O34" s="36">
        <v>100000.0</v>
      </c>
      <c r="P34" s="37">
        <v>1.24</v>
      </c>
      <c r="Q34" s="38">
        <v>0.0</v>
      </c>
      <c r="R34" s="32">
        <v>0.0</v>
      </c>
      <c r="S34" s="38">
        <v>100000.0</v>
      </c>
      <c r="T34" s="35">
        <v>0.89</v>
      </c>
      <c r="U34" s="47">
        <v>251460.0</v>
      </c>
      <c r="V34" s="42">
        <v>2.02</v>
      </c>
      <c r="W34" s="43">
        <v>0.0</v>
      </c>
      <c r="X34" s="42">
        <v>0.0</v>
      </c>
      <c r="Y34" s="44">
        <v>251460.0</v>
      </c>
      <c r="Z34" s="42">
        <v>1.75</v>
      </c>
      <c r="AA34" s="45">
        <v>274600.0</v>
      </c>
      <c r="AB34" s="46"/>
      <c r="AC34" s="45">
        <v>0.0</v>
      </c>
      <c r="AD34" s="46"/>
      <c r="AE34" s="45">
        <f t="shared" si="1"/>
        <v>274600</v>
      </c>
      <c r="AF34" s="46"/>
      <c r="AG34" s="45">
        <v>274600.0</v>
      </c>
      <c r="AH34" s="46"/>
      <c r="AI34" s="45">
        <v>0.0</v>
      </c>
      <c r="AJ34" s="46"/>
      <c r="AK34" s="45">
        <f t="shared" si="2"/>
        <v>274600</v>
      </c>
      <c r="AL34" s="46"/>
      <c r="AM34" s="45">
        <v>274600.0</v>
      </c>
      <c r="AN34" s="46"/>
      <c r="AO34" s="45">
        <v>0.0</v>
      </c>
      <c r="AP34" s="46"/>
      <c r="AQ34" s="45">
        <f t="shared" si="3"/>
        <v>274600</v>
      </c>
      <c r="AR34" s="46"/>
    </row>
    <row r="35" ht="15.75" customHeight="1">
      <c r="A35" s="29">
        <v>20104.0</v>
      </c>
      <c r="B35" s="30" t="s">
        <v>40</v>
      </c>
      <c r="C35" s="31">
        <v>288800.0</v>
      </c>
      <c r="D35" s="32">
        <v>2.72</v>
      </c>
      <c r="E35" s="33">
        <v>0.0</v>
      </c>
      <c r="F35" s="32">
        <v>0.0</v>
      </c>
      <c r="G35" s="34">
        <v>288800.0</v>
      </c>
      <c r="H35" s="35">
        <v>2.25</v>
      </c>
      <c r="I35" s="36">
        <v>130000.0</v>
      </c>
      <c r="J35" s="37">
        <v>1.06</v>
      </c>
      <c r="K35" s="38">
        <v>0.0</v>
      </c>
      <c r="L35" s="39">
        <v>0.0</v>
      </c>
      <c r="M35" s="38">
        <v>130000.0</v>
      </c>
      <c r="N35" s="40">
        <v>1.06</v>
      </c>
      <c r="O35" s="36">
        <v>548640.0</v>
      </c>
      <c r="P35" s="37">
        <v>4.1</v>
      </c>
      <c r="Q35" s="38">
        <v>0.0</v>
      </c>
      <c r="R35" s="32">
        <v>0.0</v>
      </c>
      <c r="S35" s="38">
        <v>548640.0</v>
      </c>
      <c r="T35" s="35">
        <v>3.92</v>
      </c>
      <c r="U35" s="47">
        <v>1099270.0</v>
      </c>
      <c r="V35" s="42">
        <v>3.29</v>
      </c>
      <c r="W35" s="43">
        <v>0.0</v>
      </c>
      <c r="X35" s="42">
        <v>0.0</v>
      </c>
      <c r="Y35" s="44">
        <v>1099270.0</v>
      </c>
      <c r="Z35" s="42">
        <v>2.23</v>
      </c>
      <c r="AA35" s="45">
        <v>1153098.0</v>
      </c>
      <c r="AB35" s="46"/>
      <c r="AC35" s="45">
        <v>0.0</v>
      </c>
      <c r="AD35" s="46"/>
      <c r="AE35" s="45">
        <f t="shared" si="1"/>
        <v>1153098</v>
      </c>
      <c r="AF35" s="46"/>
      <c r="AG35" s="45">
        <v>1203098.0</v>
      </c>
      <c r="AH35" s="46"/>
      <c r="AI35" s="45">
        <v>0.0</v>
      </c>
      <c r="AJ35" s="46"/>
      <c r="AK35" s="45">
        <f t="shared" si="2"/>
        <v>1203098</v>
      </c>
      <c r="AL35" s="46"/>
      <c r="AM35" s="45">
        <v>1415154.0</v>
      </c>
      <c r="AN35" s="46"/>
      <c r="AO35" s="45">
        <v>0.0</v>
      </c>
      <c r="AP35" s="46"/>
      <c r="AQ35" s="45">
        <f t="shared" si="3"/>
        <v>1415154</v>
      </c>
      <c r="AR35" s="46"/>
    </row>
    <row r="36" ht="15.75" customHeight="1">
      <c r="A36" s="29">
        <v>20105.0</v>
      </c>
      <c r="B36" s="30" t="s">
        <v>41</v>
      </c>
      <c r="C36" s="31">
        <v>1.757813E7</v>
      </c>
      <c r="D36" s="32">
        <v>4.71</v>
      </c>
      <c r="E36" s="49">
        <v>300000.0</v>
      </c>
      <c r="F36" s="32">
        <v>0.06</v>
      </c>
      <c r="G36" s="34">
        <v>1.787813E7</v>
      </c>
      <c r="H36" s="35">
        <v>1.98</v>
      </c>
      <c r="I36" s="36">
        <v>0.0</v>
      </c>
      <c r="J36" s="37">
        <v>0.0</v>
      </c>
      <c r="K36" s="38">
        <v>0.0</v>
      </c>
      <c r="L36" s="39">
        <v>0.0</v>
      </c>
      <c r="M36" s="38">
        <v>0.0</v>
      </c>
      <c r="N36" s="40">
        <v>0.0</v>
      </c>
      <c r="O36" s="36">
        <v>6.1402847E7</v>
      </c>
      <c r="P36" s="37">
        <v>12.85</v>
      </c>
      <c r="Q36" s="38">
        <v>0.0</v>
      </c>
      <c r="R36" s="32">
        <v>0.0</v>
      </c>
      <c r="S36" s="38">
        <v>6.1402847E7</v>
      </c>
      <c r="T36" s="35">
        <v>4.99</v>
      </c>
      <c r="U36" s="47">
        <v>1.50650165E8</v>
      </c>
      <c r="V36" s="42">
        <v>18.3</v>
      </c>
      <c r="W36" s="43">
        <v>0.0</v>
      </c>
      <c r="X36" s="42">
        <v>0.0</v>
      </c>
      <c r="Y36" s="44">
        <v>1.50650165E8</v>
      </c>
      <c r="Z36" s="42">
        <v>14.16</v>
      </c>
      <c r="AA36" s="45">
        <v>1.77793295E8</v>
      </c>
      <c r="AB36" s="46"/>
      <c r="AC36" s="45">
        <v>0.0</v>
      </c>
      <c r="AD36" s="46"/>
      <c r="AE36" s="45">
        <f t="shared" si="1"/>
        <v>177793295</v>
      </c>
      <c r="AF36" s="46"/>
      <c r="AG36" s="45">
        <v>1.68328939E8</v>
      </c>
      <c r="AH36" s="46"/>
      <c r="AI36" s="45">
        <v>0.0</v>
      </c>
      <c r="AJ36" s="46"/>
      <c r="AK36" s="45">
        <f t="shared" si="2"/>
        <v>168328939</v>
      </c>
      <c r="AL36" s="46"/>
      <c r="AM36" s="45">
        <v>1.40413597E8</v>
      </c>
      <c r="AN36" s="46"/>
      <c r="AO36" s="45">
        <v>0.0</v>
      </c>
      <c r="AP36" s="46"/>
      <c r="AQ36" s="45">
        <f t="shared" si="3"/>
        <v>140413597</v>
      </c>
      <c r="AR36" s="46"/>
    </row>
    <row r="37" ht="15.75" customHeight="1">
      <c r="A37" s="29">
        <v>20201.0</v>
      </c>
      <c r="B37" s="30" t="s">
        <v>42</v>
      </c>
      <c r="C37" s="31">
        <v>51264.0</v>
      </c>
      <c r="D37" s="32">
        <v>0.22</v>
      </c>
      <c r="E37" s="49">
        <v>160102.0</v>
      </c>
      <c r="F37" s="32">
        <v>1.25</v>
      </c>
      <c r="G37" s="34">
        <v>211366.0</v>
      </c>
      <c r="H37" s="35">
        <v>0.58</v>
      </c>
      <c r="I37" s="36">
        <v>62926.0</v>
      </c>
      <c r="J37" s="37">
        <v>0.17</v>
      </c>
      <c r="K37" s="38">
        <v>0.0</v>
      </c>
      <c r="L37" s="39">
        <v>0.0</v>
      </c>
      <c r="M37" s="38">
        <v>62926.0</v>
      </c>
      <c r="N37" s="40">
        <v>0.14</v>
      </c>
      <c r="O37" s="36">
        <v>70623.0</v>
      </c>
      <c r="P37" s="37">
        <v>0.21</v>
      </c>
      <c r="Q37" s="38">
        <v>1303463.0</v>
      </c>
      <c r="R37" s="32">
        <v>5.63</v>
      </c>
      <c r="S37" s="38">
        <v>1374086.0</v>
      </c>
      <c r="T37" s="35">
        <v>2.44</v>
      </c>
      <c r="U37" s="41">
        <v>0.0</v>
      </c>
      <c r="V37" s="42">
        <v>0.0</v>
      </c>
      <c r="W37" s="43">
        <v>0.0</v>
      </c>
      <c r="X37" s="42">
        <v>0.0</v>
      </c>
      <c r="Y37" s="44">
        <v>0.0</v>
      </c>
      <c r="Z37" s="42">
        <v>0.0</v>
      </c>
      <c r="AA37" s="45">
        <v>776802.0</v>
      </c>
      <c r="AB37" s="46"/>
      <c r="AC37" s="45">
        <v>0.0</v>
      </c>
      <c r="AD37" s="46"/>
      <c r="AE37" s="45">
        <f t="shared" si="1"/>
        <v>776802</v>
      </c>
      <c r="AF37" s="46"/>
      <c r="AG37" s="45">
        <v>829620.0</v>
      </c>
      <c r="AH37" s="46"/>
      <c r="AI37" s="45">
        <v>0.0</v>
      </c>
      <c r="AJ37" s="46"/>
      <c r="AK37" s="45">
        <f t="shared" si="2"/>
        <v>829620</v>
      </c>
      <c r="AL37" s="46"/>
      <c r="AM37" s="45">
        <v>829620.0</v>
      </c>
      <c r="AN37" s="46"/>
      <c r="AO37" s="45">
        <v>0.0</v>
      </c>
      <c r="AP37" s="46"/>
      <c r="AQ37" s="45">
        <f t="shared" si="3"/>
        <v>829620</v>
      </c>
      <c r="AR37" s="46"/>
    </row>
    <row r="38" ht="15.75" customHeight="1">
      <c r="A38" s="29">
        <v>20202.0</v>
      </c>
      <c r="B38" s="30" t="s">
        <v>43</v>
      </c>
      <c r="C38" s="31">
        <v>5000.0</v>
      </c>
      <c r="D38" s="32">
        <v>0.07</v>
      </c>
      <c r="E38" s="33">
        <v>0.0</v>
      </c>
      <c r="F38" s="32">
        <v>0.0</v>
      </c>
      <c r="G38" s="34">
        <v>5000.0</v>
      </c>
      <c r="H38" s="35">
        <v>0.04</v>
      </c>
      <c r="I38" s="36">
        <v>10000.0</v>
      </c>
      <c r="J38" s="37">
        <v>0.09</v>
      </c>
      <c r="K38" s="38">
        <v>0.0</v>
      </c>
      <c r="L38" s="39">
        <v>0.0</v>
      </c>
      <c r="M38" s="38">
        <v>10000.0</v>
      </c>
      <c r="N38" s="40">
        <v>0.09</v>
      </c>
      <c r="O38" s="36">
        <v>10000.0</v>
      </c>
      <c r="P38" s="37">
        <v>0.12</v>
      </c>
      <c r="Q38" s="38">
        <v>0.0</v>
      </c>
      <c r="R38" s="32">
        <v>0.0</v>
      </c>
      <c r="S38" s="38">
        <v>10000.0</v>
      </c>
      <c r="T38" s="35">
        <v>0.1</v>
      </c>
      <c r="U38" s="47">
        <v>75000.0</v>
      </c>
      <c r="V38" s="42">
        <v>0.98</v>
      </c>
      <c r="W38" s="43">
        <v>0.0</v>
      </c>
      <c r="X38" s="42">
        <v>0.0</v>
      </c>
      <c r="Y38" s="44">
        <v>75000.0</v>
      </c>
      <c r="Z38" s="42">
        <v>0.92</v>
      </c>
      <c r="AA38" s="45">
        <v>22500.0</v>
      </c>
      <c r="AB38" s="46"/>
      <c r="AC38" s="45">
        <v>0.0</v>
      </c>
      <c r="AD38" s="46"/>
      <c r="AE38" s="45">
        <f t="shared" si="1"/>
        <v>22500</v>
      </c>
      <c r="AF38" s="46"/>
      <c r="AG38" s="45"/>
      <c r="AH38" s="46"/>
      <c r="AI38" s="45">
        <v>0.0</v>
      </c>
      <c r="AJ38" s="46"/>
      <c r="AK38" s="45">
        <f t="shared" si="2"/>
        <v>0</v>
      </c>
      <c r="AL38" s="46"/>
      <c r="AM38" s="45">
        <v>60000.0</v>
      </c>
      <c r="AN38" s="46"/>
      <c r="AO38" s="45">
        <v>0.0</v>
      </c>
      <c r="AP38" s="46"/>
      <c r="AQ38" s="45">
        <f t="shared" si="3"/>
        <v>60000</v>
      </c>
      <c r="AR38" s="46"/>
    </row>
    <row r="39" ht="15.75" customHeight="1">
      <c r="A39" s="29">
        <v>20203.0</v>
      </c>
      <c r="B39" s="30" t="s">
        <v>44</v>
      </c>
      <c r="C39" s="48">
        <v>0.0</v>
      </c>
      <c r="D39" s="32">
        <v>0.0</v>
      </c>
      <c r="E39" s="33">
        <v>0.0</v>
      </c>
      <c r="F39" s="32">
        <v>0.0</v>
      </c>
      <c r="G39" s="34">
        <v>0.0</v>
      </c>
      <c r="H39" s="35">
        <v>0.0</v>
      </c>
      <c r="I39" s="36">
        <v>0.0</v>
      </c>
      <c r="J39" s="32">
        <v>0.0</v>
      </c>
      <c r="K39" s="38">
        <v>0.0</v>
      </c>
      <c r="L39" s="39">
        <v>0.0</v>
      </c>
      <c r="M39" s="38">
        <v>0.0</v>
      </c>
      <c r="N39" s="35">
        <v>0.0</v>
      </c>
      <c r="O39" s="36">
        <v>70000.0</v>
      </c>
      <c r="P39" s="37">
        <v>2.38</v>
      </c>
      <c r="Q39" s="38">
        <v>0.0</v>
      </c>
      <c r="R39" s="32">
        <v>0.0</v>
      </c>
      <c r="S39" s="38">
        <v>70000.0</v>
      </c>
      <c r="T39" s="35">
        <v>1.64</v>
      </c>
      <c r="U39" s="47">
        <v>46000.0</v>
      </c>
      <c r="V39" s="42">
        <v>1.52</v>
      </c>
      <c r="W39" s="43">
        <v>0.0</v>
      </c>
      <c r="X39" s="42">
        <v>0.0</v>
      </c>
      <c r="Y39" s="44">
        <v>46000.0</v>
      </c>
      <c r="Z39" s="42">
        <v>1.51</v>
      </c>
      <c r="AA39" s="45">
        <v>40000.0</v>
      </c>
      <c r="AB39" s="46"/>
      <c r="AC39" s="45">
        <v>0.0</v>
      </c>
      <c r="AD39" s="46"/>
      <c r="AE39" s="45">
        <f t="shared" si="1"/>
        <v>40000</v>
      </c>
      <c r="AF39" s="46"/>
      <c r="AG39" s="45">
        <v>35000.0</v>
      </c>
      <c r="AH39" s="46"/>
      <c r="AI39" s="45">
        <v>0.0</v>
      </c>
      <c r="AJ39" s="46"/>
      <c r="AK39" s="45">
        <f t="shared" si="2"/>
        <v>35000</v>
      </c>
      <c r="AL39" s="46"/>
      <c r="AM39" s="45">
        <v>35000.0</v>
      </c>
      <c r="AN39" s="46"/>
      <c r="AO39" s="45">
        <v>0.0</v>
      </c>
      <c r="AP39" s="46"/>
      <c r="AQ39" s="45">
        <f t="shared" si="3"/>
        <v>35000</v>
      </c>
      <c r="AR39" s="46"/>
    </row>
    <row r="40" ht="15.75" customHeight="1">
      <c r="A40" s="29">
        <v>20204.0</v>
      </c>
      <c r="B40" s="30" t="s">
        <v>45</v>
      </c>
      <c r="C40" s="31">
        <v>39584.0</v>
      </c>
      <c r="D40" s="32">
        <v>0.7</v>
      </c>
      <c r="E40" s="33">
        <v>0.0</v>
      </c>
      <c r="F40" s="32">
        <v>0.0</v>
      </c>
      <c r="G40" s="34">
        <v>39584.0</v>
      </c>
      <c r="H40" s="35">
        <v>0.42</v>
      </c>
      <c r="I40" s="36">
        <v>24294.0</v>
      </c>
      <c r="J40" s="37">
        <v>0.36</v>
      </c>
      <c r="K40" s="38">
        <v>0.0</v>
      </c>
      <c r="L40" s="39">
        <v>0.0</v>
      </c>
      <c r="M40" s="38">
        <v>24294.0</v>
      </c>
      <c r="N40" s="40">
        <v>0.26</v>
      </c>
      <c r="O40" s="36">
        <v>32000.0</v>
      </c>
      <c r="P40" s="37">
        <v>0.44</v>
      </c>
      <c r="Q40" s="38">
        <v>0.0</v>
      </c>
      <c r="R40" s="32">
        <v>0.0</v>
      </c>
      <c r="S40" s="38">
        <v>32000.0</v>
      </c>
      <c r="T40" s="35">
        <v>0.38</v>
      </c>
      <c r="U40" s="47">
        <v>70000.0</v>
      </c>
      <c r="V40" s="42">
        <v>1.27</v>
      </c>
      <c r="W40" s="43">
        <v>0.0</v>
      </c>
      <c r="X40" s="42">
        <v>0.0</v>
      </c>
      <c r="Y40" s="44">
        <v>70000.0</v>
      </c>
      <c r="Z40" s="42">
        <v>1.27</v>
      </c>
      <c r="AA40" s="45">
        <v>60000.0</v>
      </c>
      <c r="AB40" s="46"/>
      <c r="AC40" s="45">
        <v>0.0</v>
      </c>
      <c r="AD40" s="46"/>
      <c r="AE40" s="45">
        <f t="shared" si="1"/>
        <v>60000</v>
      </c>
      <c r="AF40" s="46"/>
      <c r="AG40" s="45">
        <v>60000.0</v>
      </c>
      <c r="AH40" s="46"/>
      <c r="AI40" s="45">
        <v>0.0</v>
      </c>
      <c r="AJ40" s="46"/>
      <c r="AK40" s="45">
        <f t="shared" si="2"/>
        <v>60000</v>
      </c>
      <c r="AL40" s="46"/>
      <c r="AM40" s="45">
        <v>60000.0</v>
      </c>
      <c r="AN40" s="46"/>
      <c r="AO40" s="45">
        <v>0.0</v>
      </c>
      <c r="AP40" s="46"/>
      <c r="AQ40" s="45">
        <f t="shared" si="3"/>
        <v>60000</v>
      </c>
      <c r="AR40" s="46"/>
    </row>
    <row r="41" ht="15.75" customHeight="1">
      <c r="A41" s="29">
        <v>20205.0</v>
      </c>
      <c r="B41" s="30" t="s">
        <v>46</v>
      </c>
      <c r="C41" s="48">
        <v>0.0</v>
      </c>
      <c r="D41" s="32">
        <v>0.0</v>
      </c>
      <c r="E41" s="33">
        <v>0.0</v>
      </c>
      <c r="F41" s="32">
        <v>0.0</v>
      </c>
      <c r="G41" s="34">
        <v>0.0</v>
      </c>
      <c r="H41" s="35">
        <v>0.0</v>
      </c>
      <c r="I41" s="36">
        <v>0.0</v>
      </c>
      <c r="J41" s="32">
        <v>0.0</v>
      </c>
      <c r="K41" s="38">
        <v>0.0</v>
      </c>
      <c r="L41" s="39">
        <v>0.0</v>
      </c>
      <c r="M41" s="38">
        <v>0.0</v>
      </c>
      <c r="N41" s="35">
        <v>0.0</v>
      </c>
      <c r="O41" s="36">
        <v>50000.0</v>
      </c>
      <c r="P41" s="37">
        <v>1.07</v>
      </c>
      <c r="Q41" s="38">
        <v>0.0</v>
      </c>
      <c r="R41" s="32">
        <v>0.0</v>
      </c>
      <c r="S41" s="38">
        <v>50000.0</v>
      </c>
      <c r="T41" s="35">
        <v>0.78</v>
      </c>
      <c r="U41" s="41">
        <v>0.0</v>
      </c>
      <c r="V41" s="42">
        <v>0.0</v>
      </c>
      <c r="W41" s="43">
        <v>0.0</v>
      </c>
      <c r="X41" s="42">
        <v>0.0</v>
      </c>
      <c r="Y41" s="44">
        <v>0.0</v>
      </c>
      <c r="Z41" s="42">
        <v>0.0</v>
      </c>
      <c r="AA41" s="45">
        <v>105600.0</v>
      </c>
      <c r="AB41" s="46"/>
      <c r="AC41" s="45">
        <v>0.0</v>
      </c>
      <c r="AD41" s="46"/>
      <c r="AE41" s="45">
        <f t="shared" si="1"/>
        <v>105600</v>
      </c>
      <c r="AF41" s="46"/>
      <c r="AG41" s="45">
        <v>105600.0</v>
      </c>
      <c r="AH41" s="46"/>
      <c r="AI41" s="45">
        <v>0.0</v>
      </c>
      <c r="AJ41" s="46"/>
      <c r="AK41" s="45">
        <f t="shared" si="2"/>
        <v>105600</v>
      </c>
      <c r="AL41" s="46"/>
      <c r="AM41" s="45">
        <v>105600.0</v>
      </c>
      <c r="AN41" s="46"/>
      <c r="AO41" s="45">
        <v>0.0</v>
      </c>
      <c r="AP41" s="46"/>
      <c r="AQ41" s="45">
        <f t="shared" si="3"/>
        <v>105600</v>
      </c>
      <c r="AR41" s="46"/>
    </row>
    <row r="42" ht="15.75" customHeight="1">
      <c r="A42" s="29">
        <v>20206.0</v>
      </c>
      <c r="B42" s="30" t="s">
        <v>47</v>
      </c>
      <c r="C42" s="48">
        <v>0.0</v>
      </c>
      <c r="D42" s="32">
        <v>0.0</v>
      </c>
      <c r="E42" s="33">
        <v>0.0</v>
      </c>
      <c r="F42" s="32">
        <v>0.0</v>
      </c>
      <c r="G42" s="34">
        <v>0.0</v>
      </c>
      <c r="H42" s="35">
        <v>0.0</v>
      </c>
      <c r="I42" s="36">
        <v>0.0</v>
      </c>
      <c r="J42" s="32">
        <v>0.0</v>
      </c>
      <c r="K42" s="38">
        <v>0.0</v>
      </c>
      <c r="L42" s="39">
        <v>0.0</v>
      </c>
      <c r="M42" s="38">
        <v>0.0</v>
      </c>
      <c r="N42" s="35">
        <v>0.0</v>
      </c>
      <c r="O42" s="36">
        <v>9460.0</v>
      </c>
      <c r="P42" s="37">
        <v>0.37</v>
      </c>
      <c r="Q42" s="38">
        <v>0.0</v>
      </c>
      <c r="R42" s="32">
        <v>0.0</v>
      </c>
      <c r="S42" s="38">
        <v>9460.0</v>
      </c>
      <c r="T42" s="35">
        <v>0.22</v>
      </c>
      <c r="U42" s="47">
        <v>10000.0</v>
      </c>
      <c r="V42" s="42">
        <v>0.38</v>
      </c>
      <c r="W42" s="43">
        <v>0.0</v>
      </c>
      <c r="X42" s="42">
        <v>0.0</v>
      </c>
      <c r="Y42" s="44">
        <v>10000.0</v>
      </c>
      <c r="Z42" s="42">
        <v>0.31</v>
      </c>
      <c r="AA42" s="45">
        <v>10000.0</v>
      </c>
      <c r="AB42" s="46"/>
      <c r="AC42" s="45">
        <v>0.0</v>
      </c>
      <c r="AD42" s="46"/>
      <c r="AE42" s="45">
        <f t="shared" si="1"/>
        <v>10000</v>
      </c>
      <c r="AF42" s="46"/>
      <c r="AG42" s="45">
        <v>5000.0</v>
      </c>
      <c r="AH42" s="46"/>
      <c r="AI42" s="45">
        <v>0.0</v>
      </c>
      <c r="AJ42" s="46"/>
      <c r="AK42" s="45">
        <f t="shared" si="2"/>
        <v>5000</v>
      </c>
      <c r="AL42" s="46"/>
      <c r="AM42" s="45">
        <v>20000.0</v>
      </c>
      <c r="AN42" s="46"/>
      <c r="AO42" s="45">
        <v>0.0</v>
      </c>
      <c r="AP42" s="46"/>
      <c r="AQ42" s="45">
        <f t="shared" si="3"/>
        <v>20000</v>
      </c>
      <c r="AR42" s="46"/>
    </row>
    <row r="43" ht="15.75" customHeight="1">
      <c r="A43" s="29">
        <v>20301.0</v>
      </c>
      <c r="B43" s="30" t="s">
        <v>48</v>
      </c>
      <c r="C43" s="31">
        <v>10000.0</v>
      </c>
      <c r="D43" s="32">
        <v>0.13</v>
      </c>
      <c r="E43" s="33">
        <v>0.0</v>
      </c>
      <c r="F43" s="32">
        <v>0.0</v>
      </c>
      <c r="G43" s="34">
        <v>10000.0</v>
      </c>
      <c r="H43" s="35">
        <v>0.1</v>
      </c>
      <c r="I43" s="36">
        <v>15000.0</v>
      </c>
      <c r="J43" s="37">
        <v>0.18</v>
      </c>
      <c r="K43" s="38">
        <v>0.0</v>
      </c>
      <c r="L43" s="39">
        <v>0.0</v>
      </c>
      <c r="M43" s="38">
        <v>15000.0</v>
      </c>
      <c r="N43" s="40">
        <v>0.18</v>
      </c>
      <c r="O43" s="36"/>
      <c r="P43" s="37">
        <v>0.0</v>
      </c>
      <c r="Q43" s="38">
        <v>0.0</v>
      </c>
      <c r="R43" s="32">
        <v>0.0</v>
      </c>
      <c r="S43" s="38"/>
      <c r="T43" s="35">
        <v>0.0</v>
      </c>
      <c r="U43" s="47">
        <v>10000.0</v>
      </c>
      <c r="V43" s="42">
        <v>0.17</v>
      </c>
      <c r="W43" s="43">
        <v>0.0</v>
      </c>
      <c r="X43" s="42">
        <v>0.0</v>
      </c>
      <c r="Y43" s="44">
        <v>10000.0</v>
      </c>
      <c r="Z43" s="42">
        <v>0.14</v>
      </c>
      <c r="AA43" s="45">
        <v>10000.0</v>
      </c>
      <c r="AB43" s="46"/>
      <c r="AC43" s="45">
        <v>0.0</v>
      </c>
      <c r="AD43" s="46"/>
      <c r="AE43" s="45">
        <f t="shared" si="1"/>
        <v>10000</v>
      </c>
      <c r="AF43" s="46"/>
      <c r="AG43" s="45">
        <v>70000.0</v>
      </c>
      <c r="AH43" s="46"/>
      <c r="AI43" s="45">
        <v>0.0</v>
      </c>
      <c r="AJ43" s="46"/>
      <c r="AK43" s="45">
        <f t="shared" si="2"/>
        <v>70000</v>
      </c>
      <c r="AL43" s="46"/>
      <c r="AM43" s="45">
        <v>67000.0</v>
      </c>
      <c r="AN43" s="46"/>
      <c r="AO43" s="45">
        <v>0.0</v>
      </c>
      <c r="AP43" s="46"/>
      <c r="AQ43" s="45">
        <f t="shared" si="3"/>
        <v>67000</v>
      </c>
      <c r="AR43" s="46"/>
    </row>
    <row r="44" ht="15.75" customHeight="1">
      <c r="A44" s="29">
        <v>20302.0</v>
      </c>
      <c r="B44" s="30" t="s">
        <v>49</v>
      </c>
      <c r="C44" s="48">
        <v>0.0</v>
      </c>
      <c r="D44" s="32">
        <v>0.0</v>
      </c>
      <c r="E44" s="33">
        <v>0.0</v>
      </c>
      <c r="F44" s="32">
        <v>0.0</v>
      </c>
      <c r="G44" s="34">
        <v>0.0</v>
      </c>
      <c r="H44" s="35">
        <v>0.0</v>
      </c>
      <c r="I44" s="48">
        <v>0.0</v>
      </c>
      <c r="J44" s="32">
        <v>0.0</v>
      </c>
      <c r="K44" s="38">
        <v>0.0</v>
      </c>
      <c r="L44" s="39">
        <v>0.0</v>
      </c>
      <c r="M44" s="34">
        <v>0.0</v>
      </c>
      <c r="N44" s="35">
        <v>0.0</v>
      </c>
      <c r="O44" s="48">
        <v>0.0</v>
      </c>
      <c r="P44" s="32">
        <v>0.0</v>
      </c>
      <c r="Q44" s="38">
        <v>0.0</v>
      </c>
      <c r="R44" s="32">
        <v>0.0</v>
      </c>
      <c r="S44" s="34">
        <v>0.0</v>
      </c>
      <c r="T44" s="35">
        <v>0.0</v>
      </c>
      <c r="U44" s="41">
        <v>0.0</v>
      </c>
      <c r="V44" s="42">
        <v>0.0</v>
      </c>
      <c r="W44" s="43">
        <v>0.0</v>
      </c>
      <c r="X44" s="42">
        <v>0.0</v>
      </c>
      <c r="Y44" s="44">
        <v>0.0</v>
      </c>
      <c r="Z44" s="42">
        <v>0.0</v>
      </c>
      <c r="AA44" s="45">
        <v>30000.0</v>
      </c>
      <c r="AB44" s="46"/>
      <c r="AC44" s="45">
        <v>0.0</v>
      </c>
      <c r="AD44" s="46"/>
      <c r="AE44" s="45">
        <f t="shared" si="1"/>
        <v>30000</v>
      </c>
      <c r="AF44" s="46"/>
      <c r="AG44" s="45">
        <v>30000.0</v>
      </c>
      <c r="AH44" s="46"/>
      <c r="AI44" s="45">
        <v>0.0</v>
      </c>
      <c r="AJ44" s="46"/>
      <c r="AK44" s="45">
        <f t="shared" si="2"/>
        <v>30000</v>
      </c>
      <c r="AL44" s="46"/>
      <c r="AM44" s="45">
        <v>15000.0</v>
      </c>
      <c r="AN44" s="46"/>
      <c r="AO44" s="45">
        <v>0.0</v>
      </c>
      <c r="AP44" s="46"/>
      <c r="AQ44" s="45">
        <f t="shared" si="3"/>
        <v>15000</v>
      </c>
      <c r="AR44" s="46"/>
    </row>
    <row r="45" ht="15.75" customHeight="1">
      <c r="A45" s="29">
        <v>20303.0</v>
      </c>
      <c r="B45" s="30" t="s">
        <v>50</v>
      </c>
      <c r="C45" s="48">
        <v>0.0</v>
      </c>
      <c r="D45" s="32">
        <v>0.0</v>
      </c>
      <c r="E45" s="33">
        <v>0.0</v>
      </c>
      <c r="F45" s="32">
        <v>0.0</v>
      </c>
      <c r="G45" s="34">
        <v>0.0</v>
      </c>
      <c r="H45" s="35">
        <v>0.0</v>
      </c>
      <c r="I45" s="48">
        <v>0.0</v>
      </c>
      <c r="J45" s="32">
        <v>0.0</v>
      </c>
      <c r="K45" s="38">
        <v>0.0</v>
      </c>
      <c r="L45" s="39">
        <v>0.0</v>
      </c>
      <c r="M45" s="34">
        <v>0.0</v>
      </c>
      <c r="N45" s="35">
        <v>0.0</v>
      </c>
      <c r="O45" s="48">
        <v>0.0</v>
      </c>
      <c r="P45" s="32">
        <v>0.0</v>
      </c>
      <c r="Q45" s="38">
        <v>0.0</v>
      </c>
      <c r="R45" s="32">
        <v>0.0</v>
      </c>
      <c r="S45" s="34">
        <v>0.0</v>
      </c>
      <c r="T45" s="35">
        <v>0.0</v>
      </c>
      <c r="U45" s="41">
        <v>0.0</v>
      </c>
      <c r="V45" s="42">
        <v>0.0</v>
      </c>
      <c r="W45" s="43">
        <v>0.0</v>
      </c>
      <c r="X45" s="42">
        <v>0.0</v>
      </c>
      <c r="Y45" s="44">
        <v>0.0</v>
      </c>
      <c r="Z45" s="42">
        <v>0.0</v>
      </c>
      <c r="AA45" s="45">
        <v>5000.0</v>
      </c>
      <c r="AB45" s="46"/>
      <c r="AC45" s="45">
        <v>0.0</v>
      </c>
      <c r="AD45" s="46"/>
      <c r="AE45" s="45">
        <f t="shared" si="1"/>
        <v>5000</v>
      </c>
      <c r="AF45" s="46"/>
      <c r="AG45" s="45"/>
      <c r="AH45" s="46"/>
      <c r="AI45" s="45">
        <v>0.0</v>
      </c>
      <c r="AJ45" s="46"/>
      <c r="AK45" s="45">
        <f t="shared" si="2"/>
        <v>0</v>
      </c>
      <c r="AL45" s="46"/>
      <c r="AM45" s="45"/>
      <c r="AN45" s="46"/>
      <c r="AO45" s="45">
        <v>0.0</v>
      </c>
      <c r="AP45" s="46"/>
      <c r="AQ45" s="45">
        <f t="shared" si="3"/>
        <v>0</v>
      </c>
      <c r="AR45" s="46"/>
    </row>
    <row r="46" ht="15.75" customHeight="1">
      <c r="A46" s="29">
        <v>20304.0</v>
      </c>
      <c r="B46" s="30" t="s">
        <v>51</v>
      </c>
      <c r="C46" s="48">
        <v>0.0</v>
      </c>
      <c r="D46" s="32">
        <v>0.0</v>
      </c>
      <c r="E46" s="33">
        <v>0.0</v>
      </c>
      <c r="F46" s="32">
        <v>0.0</v>
      </c>
      <c r="G46" s="34">
        <v>0.0</v>
      </c>
      <c r="H46" s="35">
        <v>0.0</v>
      </c>
      <c r="I46" s="48">
        <v>0.0</v>
      </c>
      <c r="J46" s="32">
        <v>0.0</v>
      </c>
      <c r="K46" s="38">
        <v>0.0</v>
      </c>
      <c r="L46" s="39">
        <v>0.0</v>
      </c>
      <c r="M46" s="34">
        <v>0.0</v>
      </c>
      <c r="N46" s="35">
        <v>0.0</v>
      </c>
      <c r="O46" s="48">
        <v>0.0</v>
      </c>
      <c r="P46" s="32">
        <v>0.0</v>
      </c>
      <c r="Q46" s="38">
        <v>0.0</v>
      </c>
      <c r="R46" s="32">
        <v>0.0</v>
      </c>
      <c r="S46" s="34">
        <v>0.0</v>
      </c>
      <c r="T46" s="35">
        <v>0.0</v>
      </c>
      <c r="U46" s="47">
        <v>10000.0</v>
      </c>
      <c r="V46" s="42">
        <v>0.4</v>
      </c>
      <c r="W46" s="43">
        <v>0.0</v>
      </c>
      <c r="X46" s="42">
        <v>0.0</v>
      </c>
      <c r="Y46" s="44">
        <v>10000.0</v>
      </c>
      <c r="Z46" s="42">
        <v>0.16</v>
      </c>
      <c r="AA46" s="45">
        <v>10000.0</v>
      </c>
      <c r="AB46" s="46"/>
      <c r="AC46" s="45">
        <v>0.0</v>
      </c>
      <c r="AD46" s="46"/>
      <c r="AE46" s="45">
        <f t="shared" si="1"/>
        <v>10000</v>
      </c>
      <c r="AF46" s="46"/>
      <c r="AG46" s="45">
        <v>10000.0</v>
      </c>
      <c r="AH46" s="46"/>
      <c r="AI46" s="45">
        <v>0.0</v>
      </c>
      <c r="AJ46" s="46"/>
      <c r="AK46" s="45">
        <f t="shared" si="2"/>
        <v>10000</v>
      </c>
      <c r="AL46" s="46"/>
      <c r="AM46" s="45">
        <v>5000.0</v>
      </c>
      <c r="AN46" s="46"/>
      <c r="AO46" s="45">
        <v>0.0</v>
      </c>
      <c r="AP46" s="46"/>
      <c r="AQ46" s="45">
        <f t="shared" si="3"/>
        <v>5000</v>
      </c>
      <c r="AR46" s="46"/>
    </row>
    <row r="47" ht="15.75" customHeight="1">
      <c r="A47" s="29">
        <v>20305.0</v>
      </c>
      <c r="B47" s="30" t="s">
        <v>52</v>
      </c>
      <c r="C47" s="31">
        <v>5000.0</v>
      </c>
      <c r="D47" s="32">
        <v>0.26</v>
      </c>
      <c r="E47" s="33">
        <v>0.0</v>
      </c>
      <c r="F47" s="32">
        <v>0.0</v>
      </c>
      <c r="G47" s="34">
        <v>5000.0</v>
      </c>
      <c r="H47" s="35">
        <v>0.15</v>
      </c>
      <c r="I47" s="36">
        <v>5000.0</v>
      </c>
      <c r="J47" s="37">
        <v>0.2</v>
      </c>
      <c r="K47" s="38">
        <v>0.0</v>
      </c>
      <c r="L47" s="39">
        <v>0.0</v>
      </c>
      <c r="M47" s="38">
        <v>5000.0</v>
      </c>
      <c r="N47" s="40">
        <v>0.16</v>
      </c>
      <c r="O47" s="36">
        <v>5000.0</v>
      </c>
      <c r="P47" s="37">
        <v>0.23</v>
      </c>
      <c r="Q47" s="38">
        <v>0.0</v>
      </c>
      <c r="R47" s="32">
        <v>0.0</v>
      </c>
      <c r="S47" s="38">
        <v>5000.0</v>
      </c>
      <c r="T47" s="35">
        <v>0.16</v>
      </c>
      <c r="U47" s="47">
        <v>3000.0</v>
      </c>
      <c r="V47" s="42">
        <v>0.12</v>
      </c>
      <c r="W47" s="43">
        <v>0.0</v>
      </c>
      <c r="X47" s="42">
        <v>0.0</v>
      </c>
      <c r="Y47" s="44">
        <v>3000.0</v>
      </c>
      <c r="Z47" s="42">
        <v>0.11</v>
      </c>
      <c r="AA47" s="45">
        <v>3000.0</v>
      </c>
      <c r="AB47" s="46"/>
      <c r="AC47" s="45">
        <v>0.0</v>
      </c>
      <c r="AD47" s="46"/>
      <c r="AE47" s="45">
        <f t="shared" si="1"/>
        <v>3000</v>
      </c>
      <c r="AF47" s="46"/>
      <c r="AG47" s="45">
        <v>3000.0</v>
      </c>
      <c r="AH47" s="46"/>
      <c r="AI47" s="45">
        <v>0.0</v>
      </c>
      <c r="AJ47" s="46"/>
      <c r="AK47" s="45">
        <f t="shared" si="2"/>
        <v>3000</v>
      </c>
      <c r="AL47" s="46"/>
      <c r="AM47" s="45">
        <v>3000.0</v>
      </c>
      <c r="AN47" s="46"/>
      <c r="AO47" s="45">
        <v>0.0</v>
      </c>
      <c r="AP47" s="46"/>
      <c r="AQ47" s="45">
        <f t="shared" si="3"/>
        <v>3000</v>
      </c>
      <c r="AR47" s="46"/>
    </row>
    <row r="48" ht="15.75" customHeight="1">
      <c r="A48" s="29">
        <v>20306.0</v>
      </c>
      <c r="B48" s="30" t="s">
        <v>53</v>
      </c>
      <c r="C48" s="31">
        <v>2000.0</v>
      </c>
      <c r="D48" s="32">
        <v>0.19</v>
      </c>
      <c r="E48" s="33">
        <v>0.0</v>
      </c>
      <c r="F48" s="32">
        <v>0.0</v>
      </c>
      <c r="G48" s="34">
        <v>2000.0</v>
      </c>
      <c r="H48" s="35">
        <v>0.12</v>
      </c>
      <c r="I48" s="36">
        <v>4000.0</v>
      </c>
      <c r="J48" s="37">
        <v>0.37</v>
      </c>
      <c r="K48" s="38">
        <v>0.0</v>
      </c>
      <c r="L48" s="39">
        <v>0.0</v>
      </c>
      <c r="M48" s="38">
        <v>4000.0</v>
      </c>
      <c r="N48" s="40">
        <v>0.37</v>
      </c>
      <c r="O48" s="36">
        <v>10000.0</v>
      </c>
      <c r="P48" s="37">
        <v>0.44</v>
      </c>
      <c r="Q48" s="38">
        <v>0.0</v>
      </c>
      <c r="R48" s="32">
        <v>0.0</v>
      </c>
      <c r="S48" s="38">
        <v>10000.0</v>
      </c>
      <c r="T48" s="35">
        <v>0.43</v>
      </c>
      <c r="U48" s="47">
        <v>19600.0</v>
      </c>
      <c r="V48" s="42">
        <v>0.7</v>
      </c>
      <c r="W48" s="43">
        <v>0.0</v>
      </c>
      <c r="X48" s="42">
        <v>0.0</v>
      </c>
      <c r="Y48" s="44">
        <v>19600.0</v>
      </c>
      <c r="Z48" s="42">
        <v>0.69</v>
      </c>
      <c r="AA48" s="45">
        <v>30968.0</v>
      </c>
      <c r="AB48" s="46"/>
      <c r="AC48" s="45">
        <v>0.0</v>
      </c>
      <c r="AD48" s="46"/>
      <c r="AE48" s="45">
        <f t="shared" si="1"/>
        <v>30968</v>
      </c>
      <c r="AF48" s="46"/>
      <c r="AG48" s="45">
        <v>30968.0</v>
      </c>
      <c r="AH48" s="46"/>
      <c r="AI48" s="45">
        <v>0.0</v>
      </c>
      <c r="AJ48" s="46"/>
      <c r="AK48" s="45">
        <f t="shared" si="2"/>
        <v>30968</v>
      </c>
      <c r="AL48" s="46"/>
      <c r="AM48" s="45">
        <v>31968.0</v>
      </c>
      <c r="AN48" s="46"/>
      <c r="AO48" s="45">
        <v>0.0</v>
      </c>
      <c r="AP48" s="46"/>
      <c r="AQ48" s="45">
        <f t="shared" si="3"/>
        <v>31968</v>
      </c>
      <c r="AR48" s="46"/>
    </row>
    <row r="49" ht="15.75" customHeight="1">
      <c r="A49" s="29">
        <v>20307.0</v>
      </c>
      <c r="B49" s="30" t="s">
        <v>54</v>
      </c>
      <c r="C49" s="48">
        <v>0.0</v>
      </c>
      <c r="D49" s="32">
        <v>0.0</v>
      </c>
      <c r="E49" s="33">
        <v>0.0</v>
      </c>
      <c r="F49" s="32">
        <v>0.0</v>
      </c>
      <c r="G49" s="34">
        <v>0.0</v>
      </c>
      <c r="H49" s="35">
        <v>0.0</v>
      </c>
      <c r="I49" s="48">
        <v>0.0</v>
      </c>
      <c r="J49" s="32">
        <v>0.0</v>
      </c>
      <c r="K49" s="38">
        <v>0.0</v>
      </c>
      <c r="L49" s="39">
        <v>0.0</v>
      </c>
      <c r="M49" s="34">
        <v>0.0</v>
      </c>
      <c r="N49" s="35">
        <v>0.0</v>
      </c>
      <c r="O49" s="48">
        <v>0.0</v>
      </c>
      <c r="P49" s="32">
        <v>0.0</v>
      </c>
      <c r="Q49" s="38">
        <v>0.0</v>
      </c>
      <c r="R49" s="32">
        <v>0.0</v>
      </c>
      <c r="S49" s="34">
        <v>0.0</v>
      </c>
      <c r="T49" s="35">
        <v>0.0</v>
      </c>
      <c r="U49" s="41">
        <v>0.0</v>
      </c>
      <c r="V49" s="42">
        <v>0.0</v>
      </c>
      <c r="W49" s="43">
        <v>0.0</v>
      </c>
      <c r="X49" s="42">
        <v>0.0</v>
      </c>
      <c r="Y49" s="44">
        <v>0.0</v>
      </c>
      <c r="Z49" s="42">
        <v>0.0</v>
      </c>
      <c r="AA49" s="45">
        <v>0.0</v>
      </c>
      <c r="AB49" s="46"/>
      <c r="AC49" s="45">
        <v>0.0</v>
      </c>
      <c r="AD49" s="46"/>
      <c r="AE49" s="45">
        <f t="shared" si="1"/>
        <v>0</v>
      </c>
      <c r="AF49" s="46"/>
      <c r="AG49" s="45">
        <v>1000.0</v>
      </c>
      <c r="AH49" s="46"/>
      <c r="AI49" s="45">
        <v>0.0</v>
      </c>
      <c r="AJ49" s="46"/>
      <c r="AK49" s="45">
        <f t="shared" si="2"/>
        <v>1000</v>
      </c>
      <c r="AL49" s="46"/>
      <c r="AM49" s="45">
        <v>1000.0</v>
      </c>
      <c r="AN49" s="46"/>
      <c r="AO49" s="45">
        <v>0.0</v>
      </c>
      <c r="AP49" s="46"/>
      <c r="AQ49" s="45">
        <f t="shared" si="3"/>
        <v>1000</v>
      </c>
      <c r="AR49" s="46"/>
    </row>
    <row r="50" ht="15.75" customHeight="1">
      <c r="A50" s="29">
        <v>20308.0</v>
      </c>
      <c r="B50" s="30" t="s">
        <v>55</v>
      </c>
      <c r="C50" s="48">
        <v>0.0</v>
      </c>
      <c r="D50" s="32">
        <v>0.0</v>
      </c>
      <c r="E50" s="33">
        <v>0.0</v>
      </c>
      <c r="F50" s="32">
        <v>0.0</v>
      </c>
      <c r="G50" s="34">
        <v>0.0</v>
      </c>
      <c r="H50" s="35">
        <v>0.0</v>
      </c>
      <c r="I50" s="48">
        <v>0.0</v>
      </c>
      <c r="J50" s="32">
        <v>0.0</v>
      </c>
      <c r="K50" s="38">
        <v>0.0</v>
      </c>
      <c r="L50" s="39">
        <v>0.0</v>
      </c>
      <c r="M50" s="34">
        <v>0.0</v>
      </c>
      <c r="N50" s="35">
        <v>0.0</v>
      </c>
      <c r="O50" s="48">
        <v>0.0</v>
      </c>
      <c r="P50" s="32">
        <v>0.0</v>
      </c>
      <c r="Q50" s="38">
        <v>0.0</v>
      </c>
      <c r="R50" s="32">
        <v>0.0</v>
      </c>
      <c r="S50" s="34">
        <v>0.0</v>
      </c>
      <c r="T50" s="35">
        <v>0.0</v>
      </c>
      <c r="U50" s="47">
        <v>20000.0</v>
      </c>
      <c r="V50" s="42">
        <v>0.37</v>
      </c>
      <c r="W50" s="43">
        <v>0.0</v>
      </c>
      <c r="X50" s="42">
        <v>0.0</v>
      </c>
      <c r="Y50" s="44">
        <v>20000.0</v>
      </c>
      <c r="Z50" s="42">
        <v>0.34</v>
      </c>
      <c r="AA50" s="45">
        <v>10000.0</v>
      </c>
      <c r="AB50" s="46"/>
      <c r="AC50" s="45">
        <v>0.0</v>
      </c>
      <c r="AD50" s="46"/>
      <c r="AE50" s="45">
        <f t="shared" si="1"/>
        <v>10000</v>
      </c>
      <c r="AF50" s="46"/>
      <c r="AG50" s="45">
        <v>10000.0</v>
      </c>
      <c r="AH50" s="46"/>
      <c r="AI50" s="45">
        <v>0.0</v>
      </c>
      <c r="AJ50" s="46"/>
      <c r="AK50" s="45">
        <f t="shared" si="2"/>
        <v>10000</v>
      </c>
      <c r="AL50" s="46"/>
      <c r="AM50" s="45">
        <v>10000.0</v>
      </c>
      <c r="AN50" s="46"/>
      <c r="AO50" s="45">
        <v>0.0</v>
      </c>
      <c r="AP50" s="46"/>
      <c r="AQ50" s="45">
        <f t="shared" si="3"/>
        <v>10000</v>
      </c>
      <c r="AR50" s="46"/>
    </row>
    <row r="51" ht="15.75" customHeight="1">
      <c r="A51" s="29">
        <v>20401.0</v>
      </c>
      <c r="B51" s="30" t="s">
        <v>56</v>
      </c>
      <c r="C51" s="48">
        <v>0.0</v>
      </c>
      <c r="D51" s="32">
        <v>0.0</v>
      </c>
      <c r="E51" s="33">
        <v>0.0</v>
      </c>
      <c r="F51" s="32">
        <v>0.0</v>
      </c>
      <c r="G51" s="34">
        <v>0.0</v>
      </c>
      <c r="H51" s="35">
        <v>0.0</v>
      </c>
      <c r="I51" s="36">
        <v>40000.0</v>
      </c>
      <c r="J51" s="37">
        <v>0.53</v>
      </c>
      <c r="K51" s="38">
        <v>0.0</v>
      </c>
      <c r="L51" s="39">
        <v>0.0</v>
      </c>
      <c r="M51" s="38">
        <v>40000.0</v>
      </c>
      <c r="N51" s="40">
        <v>0.51</v>
      </c>
      <c r="O51" s="36">
        <v>70000.0</v>
      </c>
      <c r="P51" s="37">
        <v>0.91</v>
      </c>
      <c r="Q51" s="38">
        <v>0.0</v>
      </c>
      <c r="R51" s="32">
        <v>0.0</v>
      </c>
      <c r="S51" s="38">
        <v>70000.0</v>
      </c>
      <c r="T51" s="35">
        <v>0.42</v>
      </c>
      <c r="U51" s="41">
        <v>0.0</v>
      </c>
      <c r="V51" s="42">
        <v>0.0</v>
      </c>
      <c r="W51" s="43">
        <v>0.0</v>
      </c>
      <c r="X51" s="42">
        <v>0.0</v>
      </c>
      <c r="Y51" s="44">
        <v>0.0</v>
      </c>
      <c r="Z51" s="42">
        <v>0.0</v>
      </c>
      <c r="AA51" s="45">
        <v>70000.0</v>
      </c>
      <c r="AB51" s="46"/>
      <c r="AC51" s="45">
        <v>0.0</v>
      </c>
      <c r="AD51" s="46"/>
      <c r="AE51" s="45">
        <f t="shared" si="1"/>
        <v>70000</v>
      </c>
      <c r="AF51" s="46"/>
      <c r="AG51" s="45">
        <v>65000.0</v>
      </c>
      <c r="AH51" s="46"/>
      <c r="AI51" s="45">
        <v>0.0</v>
      </c>
      <c r="AJ51" s="46"/>
      <c r="AK51" s="45">
        <f t="shared" si="2"/>
        <v>65000</v>
      </c>
      <c r="AL51" s="46"/>
      <c r="AM51" s="45">
        <v>388871.0</v>
      </c>
      <c r="AN51" s="46"/>
      <c r="AO51" s="45">
        <v>0.0</v>
      </c>
      <c r="AP51" s="46"/>
      <c r="AQ51" s="45">
        <f t="shared" si="3"/>
        <v>388871</v>
      </c>
      <c r="AR51" s="46"/>
    </row>
    <row r="52" ht="15.75" customHeight="1">
      <c r="A52" s="29">
        <v>20402.0</v>
      </c>
      <c r="B52" s="30" t="s">
        <v>57</v>
      </c>
      <c r="C52" s="31">
        <v>20000.0</v>
      </c>
      <c r="D52" s="32">
        <v>0.22</v>
      </c>
      <c r="E52" s="33">
        <v>0.0</v>
      </c>
      <c r="F52" s="32">
        <v>0.0</v>
      </c>
      <c r="G52" s="34">
        <v>20000.0</v>
      </c>
      <c r="H52" s="35">
        <v>0.13</v>
      </c>
      <c r="I52" s="36">
        <v>0.0</v>
      </c>
      <c r="J52" s="37">
        <v>0.0</v>
      </c>
      <c r="K52" s="38">
        <v>0.0</v>
      </c>
      <c r="L52" s="39">
        <v>0.0</v>
      </c>
      <c r="M52" s="38">
        <v>0.0</v>
      </c>
      <c r="N52" s="40">
        <v>0.0</v>
      </c>
      <c r="O52" s="36">
        <v>0.0</v>
      </c>
      <c r="P52" s="37">
        <v>0.0</v>
      </c>
      <c r="Q52" s="38">
        <v>0.0</v>
      </c>
      <c r="R52" s="32">
        <v>0.0</v>
      </c>
      <c r="S52" s="38">
        <v>0.0</v>
      </c>
      <c r="T52" s="35">
        <v>0.0</v>
      </c>
      <c r="U52" s="47">
        <v>115000.0</v>
      </c>
      <c r="V52" s="42">
        <v>1.18</v>
      </c>
      <c r="W52" s="43">
        <v>0.0</v>
      </c>
      <c r="X52" s="42">
        <v>0.0</v>
      </c>
      <c r="Y52" s="44">
        <v>115000.0</v>
      </c>
      <c r="Z52" s="42">
        <v>0.77</v>
      </c>
      <c r="AA52" s="45">
        <v>40000.0</v>
      </c>
      <c r="AB52" s="46"/>
      <c r="AC52" s="45">
        <v>0.0</v>
      </c>
      <c r="AD52" s="46"/>
      <c r="AE52" s="45">
        <f t="shared" si="1"/>
        <v>40000</v>
      </c>
      <c r="AF52" s="46"/>
      <c r="AG52" s="45">
        <v>120000.0</v>
      </c>
      <c r="AH52" s="46"/>
      <c r="AI52" s="45">
        <v>0.0</v>
      </c>
      <c r="AJ52" s="46"/>
      <c r="AK52" s="45">
        <f t="shared" si="2"/>
        <v>120000</v>
      </c>
      <c r="AL52" s="46"/>
      <c r="AM52" s="45">
        <v>120000.0</v>
      </c>
      <c r="AN52" s="46"/>
      <c r="AO52" s="45">
        <v>0.0</v>
      </c>
      <c r="AP52" s="46"/>
      <c r="AQ52" s="45">
        <f t="shared" si="3"/>
        <v>120000</v>
      </c>
      <c r="AR52" s="46"/>
    </row>
    <row r="53" ht="15.75" customHeight="1">
      <c r="A53" s="29">
        <v>20403.0</v>
      </c>
      <c r="B53" s="30" t="s">
        <v>58</v>
      </c>
      <c r="C53" s="31">
        <v>50000.0</v>
      </c>
      <c r="D53" s="32">
        <v>0.69</v>
      </c>
      <c r="E53" s="33">
        <v>0.0</v>
      </c>
      <c r="F53" s="32">
        <v>0.0</v>
      </c>
      <c r="G53" s="34">
        <v>50000.0</v>
      </c>
      <c r="H53" s="35">
        <v>0.5</v>
      </c>
      <c r="I53" s="36">
        <v>40000.0</v>
      </c>
      <c r="J53" s="37">
        <v>0.51</v>
      </c>
      <c r="K53" s="38">
        <v>0.0</v>
      </c>
      <c r="L53" s="39">
        <v>0.0</v>
      </c>
      <c r="M53" s="38">
        <v>40000.0</v>
      </c>
      <c r="N53" s="40">
        <v>0.34</v>
      </c>
      <c r="O53" s="36">
        <v>50027.0</v>
      </c>
      <c r="P53" s="37">
        <v>0.77</v>
      </c>
      <c r="Q53" s="38">
        <v>0.0</v>
      </c>
      <c r="R53" s="32">
        <v>0.0</v>
      </c>
      <c r="S53" s="38">
        <v>50027.0</v>
      </c>
      <c r="T53" s="35">
        <v>0.37</v>
      </c>
      <c r="U53" s="47">
        <v>70000.0</v>
      </c>
      <c r="V53" s="42">
        <v>0.84</v>
      </c>
      <c r="W53" s="43">
        <v>0.0</v>
      </c>
      <c r="X53" s="42">
        <v>0.0</v>
      </c>
      <c r="Y53" s="44">
        <v>70000.0</v>
      </c>
      <c r="Z53" s="42">
        <v>0.62</v>
      </c>
      <c r="AA53" s="45">
        <v>105000.0</v>
      </c>
      <c r="AB53" s="46"/>
      <c r="AC53" s="45">
        <v>0.0</v>
      </c>
      <c r="AD53" s="46"/>
      <c r="AE53" s="45">
        <f t="shared" si="1"/>
        <v>105000</v>
      </c>
      <c r="AF53" s="46"/>
      <c r="AG53" s="45">
        <v>60000.0</v>
      </c>
      <c r="AH53" s="46"/>
      <c r="AI53" s="45">
        <v>0.0</v>
      </c>
      <c r="AJ53" s="46"/>
      <c r="AK53" s="45">
        <f t="shared" si="2"/>
        <v>60000</v>
      </c>
      <c r="AL53" s="46"/>
      <c r="AM53" s="45">
        <v>70000.0</v>
      </c>
      <c r="AN53" s="46"/>
      <c r="AO53" s="45">
        <v>0.0</v>
      </c>
      <c r="AP53" s="46"/>
      <c r="AQ53" s="45">
        <f t="shared" si="3"/>
        <v>70000</v>
      </c>
      <c r="AR53" s="46"/>
    </row>
    <row r="54" ht="15.75" customHeight="1">
      <c r="A54" s="29">
        <v>20404.0</v>
      </c>
      <c r="B54" s="30" t="s">
        <v>59</v>
      </c>
      <c r="C54" s="48">
        <v>0.0</v>
      </c>
      <c r="D54" s="32">
        <v>0.0</v>
      </c>
      <c r="E54" s="33">
        <v>0.0</v>
      </c>
      <c r="F54" s="32">
        <v>0.0</v>
      </c>
      <c r="G54" s="34">
        <v>0.0</v>
      </c>
      <c r="H54" s="35">
        <v>0.0</v>
      </c>
      <c r="I54" s="48">
        <v>0.0</v>
      </c>
      <c r="J54" s="32">
        <v>0.0</v>
      </c>
      <c r="K54" s="38">
        <v>0.0</v>
      </c>
      <c r="L54" s="39">
        <v>0.0</v>
      </c>
      <c r="M54" s="34">
        <v>0.0</v>
      </c>
      <c r="N54" s="35">
        <v>0.0</v>
      </c>
      <c r="O54" s="36">
        <v>30000.0</v>
      </c>
      <c r="P54" s="37">
        <v>0.76</v>
      </c>
      <c r="Q54" s="38">
        <v>0.0</v>
      </c>
      <c r="R54" s="32">
        <v>0.0</v>
      </c>
      <c r="S54" s="38">
        <v>30000.0</v>
      </c>
      <c r="T54" s="35">
        <v>0.54</v>
      </c>
      <c r="U54" s="47">
        <v>23342.0</v>
      </c>
      <c r="V54" s="42">
        <v>0.88</v>
      </c>
      <c r="W54" s="43">
        <v>0.0</v>
      </c>
      <c r="X54" s="42">
        <v>0.0</v>
      </c>
      <c r="Y54" s="44">
        <v>23342.0</v>
      </c>
      <c r="Z54" s="42">
        <v>0.75</v>
      </c>
      <c r="AA54" s="45">
        <v>30000.0</v>
      </c>
      <c r="AB54" s="46"/>
      <c r="AC54" s="45">
        <v>0.0</v>
      </c>
      <c r="AD54" s="46"/>
      <c r="AE54" s="45">
        <f t="shared" si="1"/>
        <v>30000</v>
      </c>
      <c r="AF54" s="46"/>
      <c r="AG54" s="45">
        <v>22500.0</v>
      </c>
      <c r="AH54" s="46"/>
      <c r="AI54" s="45">
        <v>0.0</v>
      </c>
      <c r="AJ54" s="46"/>
      <c r="AK54" s="45">
        <f t="shared" si="2"/>
        <v>22500</v>
      </c>
      <c r="AL54" s="46"/>
      <c r="AM54" s="45">
        <v>28344.0</v>
      </c>
      <c r="AN54" s="46"/>
      <c r="AO54" s="45">
        <v>0.0</v>
      </c>
      <c r="AP54" s="46"/>
      <c r="AQ54" s="45">
        <f t="shared" si="3"/>
        <v>28344</v>
      </c>
      <c r="AR54" s="46"/>
    </row>
    <row r="55" ht="15.75" customHeight="1">
      <c r="A55" s="29">
        <v>20405.0</v>
      </c>
      <c r="B55" s="30" t="s">
        <v>60</v>
      </c>
      <c r="C55" s="31">
        <v>20000.0</v>
      </c>
      <c r="D55" s="32">
        <v>0.66</v>
      </c>
      <c r="E55" s="49">
        <v>0.0</v>
      </c>
      <c r="F55" s="32">
        <v>0.0</v>
      </c>
      <c r="G55" s="34">
        <v>20000.0</v>
      </c>
      <c r="H55" s="35">
        <v>0.27</v>
      </c>
      <c r="I55" s="36">
        <v>30000.0</v>
      </c>
      <c r="J55" s="37">
        <v>0.76</v>
      </c>
      <c r="K55" s="38">
        <v>0.0</v>
      </c>
      <c r="L55" s="39">
        <v>0.0</v>
      </c>
      <c r="M55" s="38">
        <v>30000.0</v>
      </c>
      <c r="N55" s="40">
        <v>0.74</v>
      </c>
      <c r="O55" s="36">
        <v>90000.0</v>
      </c>
      <c r="P55" s="37">
        <v>2.1</v>
      </c>
      <c r="Q55" s="38">
        <v>0.0</v>
      </c>
      <c r="R55" s="32">
        <v>0.0</v>
      </c>
      <c r="S55" s="38">
        <v>90000.0</v>
      </c>
      <c r="T55" s="35">
        <v>1.48</v>
      </c>
      <c r="U55" s="47">
        <v>6000.0</v>
      </c>
      <c r="V55" s="42">
        <v>0.14</v>
      </c>
      <c r="W55" s="43">
        <v>0.0</v>
      </c>
      <c r="X55" s="42">
        <v>0.0</v>
      </c>
      <c r="Y55" s="44">
        <v>6000.0</v>
      </c>
      <c r="Z55" s="42">
        <v>0.13</v>
      </c>
      <c r="AA55" s="45">
        <v>0.0</v>
      </c>
      <c r="AB55" s="46"/>
      <c r="AC55" s="45">
        <v>0.0</v>
      </c>
      <c r="AD55" s="46"/>
      <c r="AE55" s="45">
        <f t="shared" si="1"/>
        <v>0</v>
      </c>
      <c r="AF55" s="46"/>
      <c r="AG55" s="45">
        <v>10000.0</v>
      </c>
      <c r="AH55" s="46"/>
      <c r="AI55" s="45">
        <v>0.0</v>
      </c>
      <c r="AJ55" s="46"/>
      <c r="AK55" s="45">
        <f t="shared" si="2"/>
        <v>10000</v>
      </c>
      <c r="AL55" s="46"/>
      <c r="AM55" s="45">
        <v>20000.0</v>
      </c>
      <c r="AN55" s="46"/>
      <c r="AO55" s="45">
        <v>0.0</v>
      </c>
      <c r="AP55" s="46"/>
      <c r="AQ55" s="45">
        <f t="shared" si="3"/>
        <v>20000</v>
      </c>
      <c r="AR55" s="46"/>
    </row>
    <row r="56" ht="15.75" customHeight="1">
      <c r="A56" s="29">
        <v>20501.0</v>
      </c>
      <c r="B56" s="30" t="s">
        <v>61</v>
      </c>
      <c r="C56" s="31">
        <v>20000.0</v>
      </c>
      <c r="D56" s="32">
        <v>0.28</v>
      </c>
      <c r="E56" s="33">
        <v>0.0</v>
      </c>
      <c r="F56" s="32">
        <v>0.0</v>
      </c>
      <c r="G56" s="34">
        <v>20000.0</v>
      </c>
      <c r="H56" s="35">
        <v>0.17</v>
      </c>
      <c r="I56" s="36">
        <v>15000.0</v>
      </c>
      <c r="J56" s="37">
        <v>0.2</v>
      </c>
      <c r="K56" s="38">
        <v>0.0</v>
      </c>
      <c r="L56" s="39">
        <v>0.0</v>
      </c>
      <c r="M56" s="38">
        <v>15000.0</v>
      </c>
      <c r="N56" s="40">
        <v>0.11</v>
      </c>
      <c r="O56" s="36">
        <v>10000.0</v>
      </c>
      <c r="P56" s="37">
        <v>0.14</v>
      </c>
      <c r="Q56" s="38">
        <v>0.0</v>
      </c>
      <c r="R56" s="32">
        <v>0.0</v>
      </c>
      <c r="S56" s="38">
        <v>10000.0</v>
      </c>
      <c r="T56" s="35">
        <v>0.09</v>
      </c>
      <c r="U56" s="41">
        <v>0.0</v>
      </c>
      <c r="V56" s="42">
        <v>0.0</v>
      </c>
      <c r="W56" s="43">
        <v>0.0</v>
      </c>
      <c r="X56" s="42">
        <v>0.0</v>
      </c>
      <c r="Y56" s="44">
        <v>0.0</v>
      </c>
      <c r="Z56" s="42">
        <v>0.0</v>
      </c>
      <c r="AA56" s="45">
        <v>24000.0</v>
      </c>
      <c r="AB56" s="46"/>
      <c r="AC56" s="45">
        <v>0.0</v>
      </c>
      <c r="AD56" s="46"/>
      <c r="AE56" s="45">
        <f t="shared" si="1"/>
        <v>24000</v>
      </c>
      <c r="AF56" s="46"/>
      <c r="AG56" s="45">
        <v>24000.0</v>
      </c>
      <c r="AH56" s="46"/>
      <c r="AI56" s="45">
        <v>0.0</v>
      </c>
      <c r="AJ56" s="46"/>
      <c r="AK56" s="45">
        <f t="shared" si="2"/>
        <v>24000</v>
      </c>
      <c r="AL56" s="46"/>
      <c r="AM56" s="45">
        <v>24000.0</v>
      </c>
      <c r="AN56" s="46"/>
      <c r="AO56" s="45">
        <v>0.0</v>
      </c>
      <c r="AP56" s="46"/>
      <c r="AQ56" s="45">
        <f t="shared" si="3"/>
        <v>24000</v>
      </c>
      <c r="AR56" s="46"/>
    </row>
    <row r="57" ht="15.75" customHeight="1">
      <c r="A57" s="29">
        <v>20502.0</v>
      </c>
      <c r="B57" s="30" t="s">
        <v>62</v>
      </c>
      <c r="C57" s="48">
        <v>0.0</v>
      </c>
      <c r="D57" s="32">
        <v>0.0</v>
      </c>
      <c r="E57" s="33">
        <v>0.0</v>
      </c>
      <c r="F57" s="32">
        <v>0.0</v>
      </c>
      <c r="G57" s="34">
        <v>0.0</v>
      </c>
      <c r="H57" s="35">
        <v>0.0</v>
      </c>
      <c r="I57" s="48">
        <v>0.0</v>
      </c>
      <c r="J57" s="32">
        <v>0.0</v>
      </c>
      <c r="K57" s="38">
        <v>0.0</v>
      </c>
      <c r="L57" s="39">
        <v>0.0</v>
      </c>
      <c r="M57" s="34">
        <v>0.0</v>
      </c>
      <c r="N57" s="35">
        <v>0.0</v>
      </c>
      <c r="O57" s="48">
        <v>0.0</v>
      </c>
      <c r="P57" s="32">
        <v>0.0</v>
      </c>
      <c r="Q57" s="38">
        <v>0.0</v>
      </c>
      <c r="R57" s="32">
        <v>0.0</v>
      </c>
      <c r="S57" s="34">
        <v>0.0</v>
      </c>
      <c r="T57" s="35">
        <v>0.0</v>
      </c>
      <c r="U57" s="47">
        <v>10000.0</v>
      </c>
      <c r="V57" s="42">
        <v>0.21</v>
      </c>
      <c r="W57" s="43">
        <v>0.0</v>
      </c>
      <c r="X57" s="42">
        <v>0.0</v>
      </c>
      <c r="Y57" s="44">
        <v>10000.0</v>
      </c>
      <c r="Z57" s="42">
        <v>0.2</v>
      </c>
      <c r="AA57" s="45">
        <v>50000.0</v>
      </c>
      <c r="AB57" s="46"/>
      <c r="AC57" s="45">
        <v>0.0</v>
      </c>
      <c r="AD57" s="46"/>
      <c r="AE57" s="45">
        <f t="shared" si="1"/>
        <v>50000</v>
      </c>
      <c r="AF57" s="46"/>
      <c r="AG57" s="45">
        <v>50000.0</v>
      </c>
      <c r="AH57" s="46"/>
      <c r="AI57" s="45">
        <v>0.0</v>
      </c>
      <c r="AJ57" s="46"/>
      <c r="AK57" s="45">
        <f t="shared" si="2"/>
        <v>50000</v>
      </c>
      <c r="AL57" s="46"/>
      <c r="AM57" s="45">
        <v>80000.0</v>
      </c>
      <c r="AN57" s="46"/>
      <c r="AO57" s="45">
        <v>0.0</v>
      </c>
      <c r="AP57" s="46"/>
      <c r="AQ57" s="45">
        <f t="shared" si="3"/>
        <v>80000</v>
      </c>
      <c r="AR57" s="46"/>
    </row>
    <row r="58" ht="15.75" customHeight="1">
      <c r="A58" s="29">
        <v>20503.0</v>
      </c>
      <c r="B58" s="30" t="s">
        <v>63</v>
      </c>
      <c r="C58" s="48">
        <v>0.0</v>
      </c>
      <c r="D58" s="32">
        <v>0.0</v>
      </c>
      <c r="E58" s="33">
        <v>0.0</v>
      </c>
      <c r="F58" s="32">
        <v>0.0</v>
      </c>
      <c r="G58" s="34">
        <v>0.0</v>
      </c>
      <c r="H58" s="35">
        <v>0.0</v>
      </c>
      <c r="I58" s="48">
        <v>0.0</v>
      </c>
      <c r="J58" s="32">
        <v>0.0</v>
      </c>
      <c r="K58" s="38">
        <v>0.0</v>
      </c>
      <c r="L58" s="39">
        <v>0.0</v>
      </c>
      <c r="M58" s="34">
        <v>0.0</v>
      </c>
      <c r="N58" s="35">
        <v>0.0</v>
      </c>
      <c r="O58" s="48">
        <v>0.0</v>
      </c>
      <c r="P58" s="32">
        <v>0.0</v>
      </c>
      <c r="Q58" s="38">
        <v>0.0</v>
      </c>
      <c r="R58" s="32">
        <v>0.0</v>
      </c>
      <c r="S58" s="34">
        <v>0.0</v>
      </c>
      <c r="T58" s="35">
        <v>0.0</v>
      </c>
      <c r="U58" s="41">
        <v>0.0</v>
      </c>
      <c r="V58" s="42">
        <v>0.0</v>
      </c>
      <c r="W58" s="43">
        <v>0.0</v>
      </c>
      <c r="X58" s="42">
        <v>0.0</v>
      </c>
      <c r="Y58" s="44">
        <v>0.0</v>
      </c>
      <c r="Z58" s="42">
        <v>0.0</v>
      </c>
      <c r="AA58" s="45"/>
      <c r="AB58" s="46"/>
      <c r="AC58" s="45">
        <v>0.0</v>
      </c>
      <c r="AD58" s="46"/>
      <c r="AE58" s="45">
        <f t="shared" si="1"/>
        <v>0</v>
      </c>
      <c r="AF58" s="46"/>
      <c r="AG58" s="45">
        <v>10000.0</v>
      </c>
      <c r="AH58" s="46"/>
      <c r="AI58" s="45">
        <v>0.0</v>
      </c>
      <c r="AJ58" s="46"/>
      <c r="AK58" s="45">
        <f t="shared" si="2"/>
        <v>10000</v>
      </c>
      <c r="AL58" s="46"/>
      <c r="AM58" s="45">
        <v>10000.0</v>
      </c>
      <c r="AN58" s="46"/>
      <c r="AO58" s="45">
        <v>0.0</v>
      </c>
      <c r="AP58" s="46"/>
      <c r="AQ58" s="45">
        <f t="shared" si="3"/>
        <v>10000</v>
      </c>
      <c r="AR58" s="46"/>
    </row>
    <row r="59" ht="15.75" customHeight="1">
      <c r="A59" s="29">
        <v>20601.0</v>
      </c>
      <c r="B59" s="30" t="s">
        <v>64</v>
      </c>
      <c r="C59" s="31">
        <v>70000.0</v>
      </c>
      <c r="D59" s="32">
        <v>0.67</v>
      </c>
      <c r="E59" s="33">
        <v>0.0</v>
      </c>
      <c r="F59" s="32">
        <v>0.0</v>
      </c>
      <c r="G59" s="34">
        <v>70000.0</v>
      </c>
      <c r="H59" s="35">
        <v>0.59</v>
      </c>
      <c r="I59" s="36">
        <v>95000.0</v>
      </c>
      <c r="J59" s="37">
        <v>0.82</v>
      </c>
      <c r="K59" s="38">
        <v>0.0</v>
      </c>
      <c r="L59" s="39">
        <v>0.0</v>
      </c>
      <c r="M59" s="38">
        <v>95000.0</v>
      </c>
      <c r="N59" s="40">
        <v>0.79</v>
      </c>
      <c r="O59" s="36">
        <v>0.0</v>
      </c>
      <c r="P59" s="37">
        <v>0.0</v>
      </c>
      <c r="Q59" s="38">
        <v>0.0</v>
      </c>
      <c r="R59" s="32">
        <v>0.0</v>
      </c>
      <c r="S59" s="38">
        <v>0.0</v>
      </c>
      <c r="T59" s="35">
        <v>0.0</v>
      </c>
      <c r="U59" s="47">
        <v>120000.0</v>
      </c>
      <c r="V59" s="42">
        <v>0.75</v>
      </c>
      <c r="W59" s="43">
        <v>0.0</v>
      </c>
      <c r="X59" s="42">
        <v>0.0</v>
      </c>
      <c r="Y59" s="44">
        <v>120000.0</v>
      </c>
      <c r="Z59" s="42">
        <v>0.55</v>
      </c>
      <c r="AA59" s="45">
        <v>455400.0</v>
      </c>
      <c r="AB59" s="46"/>
      <c r="AC59" s="45">
        <v>0.0</v>
      </c>
      <c r="AD59" s="46"/>
      <c r="AE59" s="45">
        <f t="shared" si="1"/>
        <v>455400</v>
      </c>
      <c r="AF59" s="46"/>
      <c r="AG59" s="45">
        <v>500000.0</v>
      </c>
      <c r="AH59" s="46"/>
      <c r="AI59" s="45">
        <v>0.0</v>
      </c>
      <c r="AJ59" s="46"/>
      <c r="AK59" s="45">
        <f t="shared" si="2"/>
        <v>500000</v>
      </c>
      <c r="AL59" s="46"/>
      <c r="AM59" s="50">
        <v>540245.0</v>
      </c>
      <c r="AN59" s="46"/>
      <c r="AO59" s="45">
        <v>0.0</v>
      </c>
      <c r="AP59" s="46"/>
      <c r="AQ59" s="45">
        <f t="shared" si="3"/>
        <v>540245</v>
      </c>
      <c r="AR59" s="46"/>
    </row>
    <row r="60" ht="15.75" customHeight="1">
      <c r="A60" s="29">
        <v>20602.0</v>
      </c>
      <c r="B60" s="30" t="s">
        <v>65</v>
      </c>
      <c r="C60" s="31">
        <v>100000.0</v>
      </c>
      <c r="D60" s="32">
        <v>1.24</v>
      </c>
      <c r="E60" s="33">
        <v>0.0</v>
      </c>
      <c r="F60" s="32">
        <v>0.0</v>
      </c>
      <c r="G60" s="34">
        <v>100000.0</v>
      </c>
      <c r="H60" s="35">
        <v>1.02</v>
      </c>
      <c r="I60" s="36">
        <v>100000.0</v>
      </c>
      <c r="J60" s="37">
        <v>1.57</v>
      </c>
      <c r="K60" s="38">
        <v>0.0</v>
      </c>
      <c r="L60" s="39">
        <v>0.0</v>
      </c>
      <c r="M60" s="38">
        <v>100000.0</v>
      </c>
      <c r="N60" s="40">
        <v>1.19</v>
      </c>
      <c r="O60" s="36">
        <v>144000.0</v>
      </c>
      <c r="P60" s="37">
        <v>1.61</v>
      </c>
      <c r="Q60" s="38">
        <v>0.0</v>
      </c>
      <c r="R60" s="32">
        <v>0.0</v>
      </c>
      <c r="S60" s="38">
        <v>144000.0</v>
      </c>
      <c r="T60" s="35">
        <v>0.99</v>
      </c>
      <c r="U60" s="47">
        <v>110000.0</v>
      </c>
      <c r="V60" s="42">
        <v>0.79</v>
      </c>
      <c r="W60" s="43">
        <v>0.0</v>
      </c>
      <c r="X60" s="42">
        <v>0.0</v>
      </c>
      <c r="Y60" s="44">
        <v>110000.0</v>
      </c>
      <c r="Z60" s="42">
        <v>0.79</v>
      </c>
      <c r="AA60" s="45">
        <v>150000.0</v>
      </c>
      <c r="AB60" s="46"/>
      <c r="AC60" s="45">
        <v>0.0</v>
      </c>
      <c r="AD60" s="46"/>
      <c r="AE60" s="45">
        <f t="shared" si="1"/>
        <v>150000</v>
      </c>
      <c r="AF60" s="46"/>
      <c r="AG60" s="45">
        <v>150000.0</v>
      </c>
      <c r="AH60" s="46"/>
      <c r="AI60" s="45">
        <v>0.0</v>
      </c>
      <c r="AJ60" s="46"/>
      <c r="AK60" s="45">
        <f t="shared" si="2"/>
        <v>150000</v>
      </c>
      <c r="AL60" s="46"/>
      <c r="AM60" s="50">
        <v>130000.0</v>
      </c>
      <c r="AN60" s="46"/>
      <c r="AO60" s="45">
        <v>0.0</v>
      </c>
      <c r="AP60" s="46"/>
      <c r="AQ60" s="45">
        <f t="shared" si="3"/>
        <v>130000</v>
      </c>
      <c r="AR60" s="46"/>
    </row>
    <row r="61" ht="15.75" customHeight="1">
      <c r="A61" s="29">
        <v>20603.0</v>
      </c>
      <c r="B61" s="30" t="s">
        <v>66</v>
      </c>
      <c r="C61" s="48">
        <v>0.0</v>
      </c>
      <c r="D61" s="32">
        <v>0.0</v>
      </c>
      <c r="E61" s="33">
        <v>0.0</v>
      </c>
      <c r="F61" s="32">
        <v>0.0</v>
      </c>
      <c r="G61" s="34">
        <v>0.0</v>
      </c>
      <c r="H61" s="35">
        <v>0.0</v>
      </c>
      <c r="I61" s="48">
        <v>0.0</v>
      </c>
      <c r="J61" s="32">
        <v>0.0</v>
      </c>
      <c r="K61" s="38">
        <v>0.0</v>
      </c>
      <c r="L61" s="39">
        <v>0.0</v>
      </c>
      <c r="M61" s="34">
        <v>0.0</v>
      </c>
      <c r="N61" s="35">
        <v>0.0</v>
      </c>
      <c r="O61" s="48">
        <v>0.0</v>
      </c>
      <c r="P61" s="32">
        <v>0.0</v>
      </c>
      <c r="Q61" s="38">
        <v>0.0</v>
      </c>
      <c r="R61" s="32">
        <v>0.0</v>
      </c>
      <c r="S61" s="34">
        <v>0.0</v>
      </c>
      <c r="T61" s="35">
        <v>0.0</v>
      </c>
      <c r="U61" s="41">
        <v>0.0</v>
      </c>
      <c r="V61" s="42">
        <v>0.0</v>
      </c>
      <c r="W61" s="43">
        <v>0.0</v>
      </c>
      <c r="X61" s="42">
        <v>0.0</v>
      </c>
      <c r="Y61" s="44">
        <v>0.0</v>
      </c>
      <c r="Z61" s="42">
        <v>0.0</v>
      </c>
      <c r="AA61" s="45"/>
      <c r="AB61" s="46"/>
      <c r="AC61" s="45">
        <v>0.0</v>
      </c>
      <c r="AD61" s="46"/>
      <c r="AE61" s="45">
        <f t="shared" si="1"/>
        <v>0</v>
      </c>
      <c r="AF61" s="46"/>
      <c r="AG61" s="45"/>
      <c r="AH61" s="46"/>
      <c r="AI61" s="45">
        <v>0.0</v>
      </c>
      <c r="AJ61" s="46"/>
      <c r="AK61" s="45">
        <f t="shared" si="2"/>
        <v>0</v>
      </c>
      <c r="AL61" s="46"/>
      <c r="AM61" s="50"/>
      <c r="AN61" s="46"/>
      <c r="AO61" s="45">
        <v>0.0</v>
      </c>
      <c r="AP61" s="46"/>
      <c r="AQ61" s="45">
        <f t="shared" si="3"/>
        <v>0</v>
      </c>
      <c r="AR61" s="46"/>
    </row>
    <row r="62" ht="15.75" customHeight="1">
      <c r="A62" s="29">
        <v>20604.0</v>
      </c>
      <c r="B62" s="30" t="s">
        <v>67</v>
      </c>
      <c r="C62" s="48">
        <v>0.0</v>
      </c>
      <c r="D62" s="32">
        <v>0.0</v>
      </c>
      <c r="E62" s="33">
        <v>0.0</v>
      </c>
      <c r="F62" s="32">
        <v>0.0</v>
      </c>
      <c r="G62" s="34">
        <v>0.0</v>
      </c>
      <c r="H62" s="35">
        <v>0.0</v>
      </c>
      <c r="I62" s="36">
        <v>20000.0</v>
      </c>
      <c r="J62" s="37">
        <v>1.08</v>
      </c>
      <c r="K62" s="38">
        <v>0.0</v>
      </c>
      <c r="L62" s="39">
        <v>0.0</v>
      </c>
      <c r="M62" s="38">
        <v>20000.0</v>
      </c>
      <c r="N62" s="40">
        <v>0.61</v>
      </c>
      <c r="O62" s="36">
        <v>5000.0</v>
      </c>
      <c r="P62" s="37">
        <v>0.23</v>
      </c>
      <c r="Q62" s="38">
        <v>0.0</v>
      </c>
      <c r="R62" s="32">
        <v>0.0</v>
      </c>
      <c r="S62" s="38">
        <v>5000.0</v>
      </c>
      <c r="T62" s="35">
        <v>0.09</v>
      </c>
      <c r="U62" s="47">
        <v>5000.0</v>
      </c>
      <c r="V62" s="42">
        <v>0.23</v>
      </c>
      <c r="W62" s="43">
        <v>0.0</v>
      </c>
      <c r="X62" s="42">
        <v>0.0</v>
      </c>
      <c r="Y62" s="44">
        <v>5000.0</v>
      </c>
      <c r="Z62" s="42">
        <v>0.23</v>
      </c>
      <c r="AA62" s="45">
        <v>5000.0</v>
      </c>
      <c r="AB62" s="46"/>
      <c r="AC62" s="45">
        <v>0.0</v>
      </c>
      <c r="AD62" s="46"/>
      <c r="AE62" s="45">
        <f t="shared" si="1"/>
        <v>5000</v>
      </c>
      <c r="AF62" s="46"/>
      <c r="AG62" s="45">
        <v>8000.0</v>
      </c>
      <c r="AH62" s="46"/>
      <c r="AI62" s="45">
        <v>0.0</v>
      </c>
      <c r="AJ62" s="46"/>
      <c r="AK62" s="45">
        <f t="shared" si="2"/>
        <v>8000</v>
      </c>
      <c r="AL62" s="46"/>
      <c r="AM62" s="50">
        <v>76057.0</v>
      </c>
      <c r="AN62" s="46"/>
      <c r="AO62" s="45">
        <v>0.0</v>
      </c>
      <c r="AP62" s="46"/>
      <c r="AQ62" s="45">
        <f t="shared" si="3"/>
        <v>76057</v>
      </c>
      <c r="AR62" s="46"/>
    </row>
    <row r="63" ht="15.75" customHeight="1">
      <c r="A63" s="29">
        <v>20605.0</v>
      </c>
      <c r="B63" s="30" t="s">
        <v>68</v>
      </c>
      <c r="C63" s="48">
        <v>0.0</v>
      </c>
      <c r="D63" s="32">
        <v>0.0</v>
      </c>
      <c r="E63" s="33">
        <v>0.0</v>
      </c>
      <c r="F63" s="32">
        <v>0.0</v>
      </c>
      <c r="G63" s="34">
        <v>0.0</v>
      </c>
      <c r="H63" s="35">
        <v>0.0</v>
      </c>
      <c r="I63" s="48">
        <v>0.0</v>
      </c>
      <c r="J63" s="32">
        <v>0.0</v>
      </c>
      <c r="K63" s="38">
        <v>0.0</v>
      </c>
      <c r="L63" s="39">
        <v>0.0</v>
      </c>
      <c r="M63" s="34">
        <v>0.0</v>
      </c>
      <c r="N63" s="35">
        <v>0.0</v>
      </c>
      <c r="O63" s="36">
        <v>10000.0</v>
      </c>
      <c r="P63" s="37">
        <v>0.41</v>
      </c>
      <c r="Q63" s="38">
        <v>0.0</v>
      </c>
      <c r="R63" s="32">
        <v>0.0</v>
      </c>
      <c r="S63" s="38">
        <v>10000.0</v>
      </c>
      <c r="T63" s="35">
        <v>0.24</v>
      </c>
      <c r="U63" s="47">
        <v>2000.0</v>
      </c>
      <c r="V63" s="42">
        <v>0.07</v>
      </c>
      <c r="W63" s="43">
        <v>0.0</v>
      </c>
      <c r="X63" s="42">
        <v>0.0</v>
      </c>
      <c r="Y63" s="44">
        <v>2000.0</v>
      </c>
      <c r="Z63" s="42">
        <v>0.07</v>
      </c>
      <c r="AA63" s="45">
        <v>2000.0</v>
      </c>
      <c r="AB63" s="46"/>
      <c r="AC63" s="45">
        <v>0.0</v>
      </c>
      <c r="AD63" s="46"/>
      <c r="AE63" s="45">
        <f t="shared" si="1"/>
        <v>2000</v>
      </c>
      <c r="AF63" s="46"/>
      <c r="AG63" s="45">
        <v>2000.0</v>
      </c>
      <c r="AH63" s="46"/>
      <c r="AI63" s="45">
        <v>0.0</v>
      </c>
      <c r="AJ63" s="46"/>
      <c r="AK63" s="45">
        <f t="shared" si="2"/>
        <v>2000</v>
      </c>
      <c r="AL63" s="46"/>
      <c r="AM63" s="50">
        <v>2000.0</v>
      </c>
      <c r="AN63" s="46"/>
      <c r="AO63" s="45">
        <v>0.0</v>
      </c>
      <c r="AP63" s="46"/>
      <c r="AQ63" s="45">
        <f t="shared" si="3"/>
        <v>2000</v>
      </c>
      <c r="AR63" s="46"/>
    </row>
    <row r="64" ht="15.75" customHeight="1">
      <c r="A64" s="29">
        <v>20606.0</v>
      </c>
      <c r="B64" s="30" t="s">
        <v>69</v>
      </c>
      <c r="C64" s="31">
        <v>40000.0</v>
      </c>
      <c r="D64" s="32">
        <v>0.95</v>
      </c>
      <c r="E64" s="33">
        <v>0.0</v>
      </c>
      <c r="F64" s="32">
        <v>0.0</v>
      </c>
      <c r="G64" s="34">
        <v>40000.0</v>
      </c>
      <c r="H64" s="35">
        <v>0.72</v>
      </c>
      <c r="I64" s="36">
        <v>50000.0</v>
      </c>
      <c r="J64" s="37">
        <v>0.93</v>
      </c>
      <c r="K64" s="38">
        <v>0.0</v>
      </c>
      <c r="L64" s="39">
        <v>0.0</v>
      </c>
      <c r="M64" s="38">
        <v>50000.0</v>
      </c>
      <c r="N64" s="40">
        <v>0.45</v>
      </c>
      <c r="O64" s="36">
        <v>81326.0</v>
      </c>
      <c r="P64" s="37">
        <v>1.12</v>
      </c>
      <c r="Q64" s="38">
        <v>0.0</v>
      </c>
      <c r="R64" s="32">
        <v>0.0</v>
      </c>
      <c r="S64" s="38">
        <v>81326.0</v>
      </c>
      <c r="T64" s="35">
        <v>0.62</v>
      </c>
      <c r="U64" s="47">
        <v>83682.0</v>
      </c>
      <c r="V64" s="42">
        <v>1.1</v>
      </c>
      <c r="W64" s="43">
        <v>0.0</v>
      </c>
      <c r="X64" s="42">
        <v>0.0</v>
      </c>
      <c r="Y64" s="44">
        <v>83682.0</v>
      </c>
      <c r="Z64" s="42">
        <v>1.1</v>
      </c>
      <c r="AA64" s="45">
        <v>309523.0</v>
      </c>
      <c r="AB64" s="46"/>
      <c r="AC64" s="45">
        <v>0.0</v>
      </c>
      <c r="AD64" s="46"/>
      <c r="AE64" s="45">
        <f t="shared" si="1"/>
        <v>309523</v>
      </c>
      <c r="AF64" s="46"/>
      <c r="AG64" s="45">
        <v>301424.0</v>
      </c>
      <c r="AH64" s="46"/>
      <c r="AI64" s="45">
        <v>0.0</v>
      </c>
      <c r="AJ64" s="46"/>
      <c r="AK64" s="45">
        <f t="shared" si="2"/>
        <v>301424</v>
      </c>
      <c r="AL64" s="46"/>
      <c r="AM64" s="50">
        <v>531826.0</v>
      </c>
      <c r="AN64" s="46"/>
      <c r="AO64" s="45">
        <v>0.0</v>
      </c>
      <c r="AP64" s="46"/>
      <c r="AQ64" s="45">
        <f t="shared" si="3"/>
        <v>531826</v>
      </c>
      <c r="AR64" s="46"/>
    </row>
    <row r="65" ht="15.75" customHeight="1">
      <c r="A65" s="29">
        <v>20607.0</v>
      </c>
      <c r="B65" s="30" t="s">
        <v>70</v>
      </c>
      <c r="C65" s="31">
        <v>40000.0</v>
      </c>
      <c r="D65" s="32">
        <v>0.9</v>
      </c>
      <c r="E65" s="33">
        <v>0.0</v>
      </c>
      <c r="F65" s="32">
        <v>0.0</v>
      </c>
      <c r="G65" s="34">
        <v>40000.0</v>
      </c>
      <c r="H65" s="35">
        <v>0.4</v>
      </c>
      <c r="I65" s="36">
        <v>50000.0</v>
      </c>
      <c r="J65" s="37">
        <v>0.87</v>
      </c>
      <c r="K65" s="38">
        <v>0.0</v>
      </c>
      <c r="L65" s="39">
        <v>0.0</v>
      </c>
      <c r="M65" s="38">
        <v>50000.0</v>
      </c>
      <c r="N65" s="40">
        <v>0.81</v>
      </c>
      <c r="O65" s="36"/>
      <c r="P65" s="37">
        <v>0.0</v>
      </c>
      <c r="Q65" s="38">
        <v>0.0</v>
      </c>
      <c r="R65" s="32">
        <v>0.0</v>
      </c>
      <c r="S65" s="38"/>
      <c r="T65" s="35">
        <v>0.0</v>
      </c>
      <c r="U65" s="41">
        <v>0.0</v>
      </c>
      <c r="V65" s="42">
        <v>0.0</v>
      </c>
      <c r="W65" s="43">
        <v>0.0</v>
      </c>
      <c r="X65" s="42">
        <v>0.0</v>
      </c>
      <c r="Y65" s="44">
        <v>0.0</v>
      </c>
      <c r="Z65" s="42">
        <v>0.0</v>
      </c>
      <c r="AA65" s="45">
        <v>550000.0</v>
      </c>
      <c r="AB65" s="46"/>
      <c r="AC65" s="45">
        <v>0.0</v>
      </c>
      <c r="AD65" s="46"/>
      <c r="AE65" s="45">
        <f t="shared" si="1"/>
        <v>550000</v>
      </c>
      <c r="AF65" s="46"/>
      <c r="AG65" s="45">
        <v>872000.0</v>
      </c>
      <c r="AH65" s="46"/>
      <c r="AI65" s="45">
        <v>0.0</v>
      </c>
      <c r="AJ65" s="46"/>
      <c r="AK65" s="45">
        <f t="shared" si="2"/>
        <v>872000</v>
      </c>
      <c r="AL65" s="46"/>
      <c r="AM65" s="45">
        <v>674800.0</v>
      </c>
      <c r="AN65" s="46"/>
      <c r="AO65" s="45">
        <v>0.0</v>
      </c>
      <c r="AP65" s="46"/>
      <c r="AQ65" s="45">
        <f t="shared" si="3"/>
        <v>674800</v>
      </c>
      <c r="AR65" s="46"/>
    </row>
    <row r="66" ht="15.75" customHeight="1">
      <c r="A66" s="29">
        <v>20608.0</v>
      </c>
      <c r="B66" s="30" t="s">
        <v>71</v>
      </c>
      <c r="C66" s="31">
        <v>25800.0</v>
      </c>
      <c r="D66" s="32">
        <v>0.45</v>
      </c>
      <c r="E66" s="33">
        <v>0.0</v>
      </c>
      <c r="F66" s="32">
        <v>0.0</v>
      </c>
      <c r="G66" s="34">
        <v>25800.0</v>
      </c>
      <c r="H66" s="35">
        <v>0.31</v>
      </c>
      <c r="I66" s="36">
        <v>40000.0</v>
      </c>
      <c r="J66" s="37">
        <v>0.79</v>
      </c>
      <c r="K66" s="38">
        <v>0.0</v>
      </c>
      <c r="L66" s="39">
        <v>0.0</v>
      </c>
      <c r="M66" s="38">
        <v>40000.0</v>
      </c>
      <c r="N66" s="40">
        <v>0.67</v>
      </c>
      <c r="O66" s="36">
        <v>40000.0</v>
      </c>
      <c r="P66" s="37">
        <v>0.56</v>
      </c>
      <c r="Q66" s="38">
        <v>0.0</v>
      </c>
      <c r="R66" s="32">
        <v>0.0</v>
      </c>
      <c r="S66" s="38">
        <v>40000.0</v>
      </c>
      <c r="T66" s="35">
        <v>0.27</v>
      </c>
      <c r="U66" s="47">
        <v>45000.0</v>
      </c>
      <c r="V66" s="42">
        <v>0.76</v>
      </c>
      <c r="W66" s="43">
        <v>0.0</v>
      </c>
      <c r="X66" s="42">
        <v>0.0</v>
      </c>
      <c r="Y66" s="44">
        <v>45000.0</v>
      </c>
      <c r="Z66" s="42">
        <v>0.75</v>
      </c>
      <c r="AA66" s="45">
        <v>50000.0</v>
      </c>
      <c r="AB66" s="46"/>
      <c r="AC66" s="45">
        <v>0.0</v>
      </c>
      <c r="AD66" s="46"/>
      <c r="AE66" s="45">
        <f t="shared" si="1"/>
        <v>50000</v>
      </c>
      <c r="AF66" s="46"/>
      <c r="AG66" s="45">
        <v>50000.0</v>
      </c>
      <c r="AH66" s="46"/>
      <c r="AI66" s="45">
        <v>0.0</v>
      </c>
      <c r="AJ66" s="46"/>
      <c r="AK66" s="45">
        <f t="shared" si="2"/>
        <v>50000</v>
      </c>
      <c r="AL66" s="46"/>
      <c r="AM66" s="45">
        <v>50000.0</v>
      </c>
      <c r="AN66" s="46"/>
      <c r="AO66" s="45">
        <v>0.0</v>
      </c>
      <c r="AP66" s="46"/>
      <c r="AQ66" s="45">
        <f t="shared" si="3"/>
        <v>50000</v>
      </c>
      <c r="AR66" s="46"/>
    </row>
    <row r="67" ht="15.75" customHeight="1">
      <c r="A67" s="29">
        <v>20701.0</v>
      </c>
      <c r="B67" s="30" t="s">
        <v>72</v>
      </c>
      <c r="C67" s="31">
        <v>50000.0</v>
      </c>
      <c r="D67" s="32">
        <v>0.75</v>
      </c>
      <c r="E67" s="33">
        <v>0.0</v>
      </c>
      <c r="F67" s="32">
        <v>0.0</v>
      </c>
      <c r="G67" s="34">
        <v>50000.0</v>
      </c>
      <c r="H67" s="35">
        <v>0.63</v>
      </c>
      <c r="I67" s="36">
        <v>48000.0</v>
      </c>
      <c r="J67" s="37">
        <v>0.4</v>
      </c>
      <c r="K67" s="38">
        <v>0.0</v>
      </c>
      <c r="L67" s="39">
        <v>0.0</v>
      </c>
      <c r="M67" s="38">
        <v>48000.0</v>
      </c>
      <c r="N67" s="40">
        <v>0.38</v>
      </c>
      <c r="O67" s="36">
        <v>96000.0</v>
      </c>
      <c r="P67" s="37">
        <v>0.88</v>
      </c>
      <c r="Q67" s="38">
        <v>0.0</v>
      </c>
      <c r="R67" s="32">
        <v>0.0</v>
      </c>
      <c r="S67" s="38">
        <v>96000.0</v>
      </c>
      <c r="T67" s="35">
        <v>0.5</v>
      </c>
      <c r="U67" s="41">
        <v>0.0</v>
      </c>
      <c r="V67" s="42">
        <v>0.0</v>
      </c>
      <c r="W67" s="43">
        <v>0.0</v>
      </c>
      <c r="X67" s="42">
        <v>0.0</v>
      </c>
      <c r="Y67" s="44">
        <v>0.0</v>
      </c>
      <c r="Z67" s="42">
        <v>0.0</v>
      </c>
      <c r="AA67" s="45">
        <v>280000.0</v>
      </c>
      <c r="AB67" s="46"/>
      <c r="AC67" s="45">
        <v>0.0</v>
      </c>
      <c r="AD67" s="46"/>
      <c r="AE67" s="45">
        <f t="shared" si="1"/>
        <v>280000</v>
      </c>
      <c r="AF67" s="46"/>
      <c r="AG67" s="45">
        <v>630000.0</v>
      </c>
      <c r="AH67" s="46"/>
      <c r="AI67" s="45">
        <v>0.0</v>
      </c>
      <c r="AJ67" s="46"/>
      <c r="AK67" s="45">
        <f t="shared" si="2"/>
        <v>630000</v>
      </c>
      <c r="AL67" s="46"/>
      <c r="AM67" s="45">
        <v>665000.0</v>
      </c>
      <c r="AN67" s="46"/>
      <c r="AO67" s="45">
        <v>0.0</v>
      </c>
      <c r="AP67" s="46"/>
      <c r="AQ67" s="45">
        <f t="shared" si="3"/>
        <v>665000</v>
      </c>
      <c r="AR67" s="46"/>
    </row>
    <row r="68" ht="15.75" customHeight="1">
      <c r="A68" s="29">
        <v>20702.0</v>
      </c>
      <c r="B68" s="30" t="s">
        <v>73</v>
      </c>
      <c r="C68" s="48">
        <v>0.0</v>
      </c>
      <c r="D68" s="32">
        <v>0.0</v>
      </c>
      <c r="E68" s="33">
        <v>0.0</v>
      </c>
      <c r="F68" s="32">
        <v>0.0</v>
      </c>
      <c r="G68" s="34">
        <v>0.0</v>
      </c>
      <c r="H68" s="35">
        <v>0.0</v>
      </c>
      <c r="I68" s="48">
        <v>0.0</v>
      </c>
      <c r="J68" s="32">
        <v>0.0</v>
      </c>
      <c r="K68" s="38">
        <v>0.0</v>
      </c>
      <c r="L68" s="39">
        <v>0.0</v>
      </c>
      <c r="M68" s="34">
        <v>0.0</v>
      </c>
      <c r="N68" s="35">
        <v>0.0</v>
      </c>
      <c r="O68" s="48">
        <v>0.0</v>
      </c>
      <c r="P68" s="32">
        <v>0.0</v>
      </c>
      <c r="Q68" s="38">
        <v>0.0</v>
      </c>
      <c r="R68" s="32">
        <v>0.0</v>
      </c>
      <c r="S68" s="34">
        <v>0.0</v>
      </c>
      <c r="T68" s="35">
        <v>0.0</v>
      </c>
      <c r="U68" s="41">
        <v>0.0</v>
      </c>
      <c r="V68" s="42">
        <v>0.0</v>
      </c>
      <c r="W68" s="43">
        <v>0.0</v>
      </c>
      <c r="X68" s="42">
        <v>0.0</v>
      </c>
      <c r="Y68" s="44">
        <v>0.0</v>
      </c>
      <c r="Z68" s="42">
        <v>0.0</v>
      </c>
      <c r="AA68" s="45"/>
      <c r="AB68" s="46"/>
      <c r="AC68" s="45">
        <v>0.0</v>
      </c>
      <c r="AD68" s="46"/>
      <c r="AE68" s="45">
        <f t="shared" si="1"/>
        <v>0</v>
      </c>
      <c r="AF68" s="46"/>
      <c r="AG68" s="45"/>
      <c r="AH68" s="46"/>
      <c r="AI68" s="45">
        <v>0.0</v>
      </c>
      <c r="AJ68" s="46"/>
      <c r="AK68" s="45">
        <f t="shared" si="2"/>
        <v>0</v>
      </c>
      <c r="AL68" s="46"/>
      <c r="AM68" s="45"/>
      <c r="AN68" s="46"/>
      <c r="AO68" s="45">
        <v>0.0</v>
      </c>
      <c r="AP68" s="46"/>
      <c r="AQ68" s="45">
        <f t="shared" si="3"/>
        <v>0</v>
      </c>
      <c r="AR68" s="46"/>
    </row>
    <row r="69" ht="15.75" customHeight="1">
      <c r="A69" s="29">
        <v>20801.0</v>
      </c>
      <c r="B69" s="30" t="s">
        <v>74</v>
      </c>
      <c r="C69" s="31">
        <v>2188526.0</v>
      </c>
      <c r="D69" s="32">
        <v>5.61</v>
      </c>
      <c r="E69" s="33">
        <v>0.0</v>
      </c>
      <c r="F69" s="32">
        <v>0.0</v>
      </c>
      <c r="G69" s="34">
        <v>2188526.0</v>
      </c>
      <c r="H69" s="35">
        <v>3.43</v>
      </c>
      <c r="I69" s="36">
        <v>2499000.0</v>
      </c>
      <c r="J69" s="37">
        <v>5.3</v>
      </c>
      <c r="K69" s="38">
        <v>0.0</v>
      </c>
      <c r="L69" s="39">
        <v>0.0</v>
      </c>
      <c r="M69" s="38">
        <v>2499000.0</v>
      </c>
      <c r="N69" s="40">
        <v>3.33</v>
      </c>
      <c r="O69" s="36">
        <v>2199000.0</v>
      </c>
      <c r="P69" s="37">
        <v>3.27</v>
      </c>
      <c r="Q69" s="38">
        <v>0.0</v>
      </c>
      <c r="R69" s="32">
        <v>0.0</v>
      </c>
      <c r="S69" s="38">
        <v>2199000.0</v>
      </c>
      <c r="T69" s="35">
        <v>2.69</v>
      </c>
      <c r="U69" s="47">
        <v>2316003.0</v>
      </c>
      <c r="V69" s="42">
        <v>2.65</v>
      </c>
      <c r="W69" s="43">
        <v>0.0</v>
      </c>
      <c r="X69" s="42">
        <v>0.0</v>
      </c>
      <c r="Y69" s="44">
        <v>2316003.0</v>
      </c>
      <c r="Z69" s="42">
        <v>2.48</v>
      </c>
      <c r="AA69" s="45">
        <v>2560000.0</v>
      </c>
      <c r="AB69" s="46"/>
      <c r="AC69" s="45">
        <v>0.0</v>
      </c>
      <c r="AD69" s="46"/>
      <c r="AE69" s="45">
        <f t="shared" si="1"/>
        <v>2560000</v>
      </c>
      <c r="AF69" s="46"/>
      <c r="AG69" s="45">
        <v>3072015.0</v>
      </c>
      <c r="AH69" s="46"/>
      <c r="AI69" s="45">
        <v>0.0</v>
      </c>
      <c r="AJ69" s="46"/>
      <c r="AK69" s="45">
        <f t="shared" si="2"/>
        <v>3072015</v>
      </c>
      <c r="AL69" s="46"/>
      <c r="AM69" s="45">
        <v>5030438.0</v>
      </c>
      <c r="AN69" s="46"/>
      <c r="AO69" s="45">
        <v>0.0</v>
      </c>
      <c r="AP69" s="46"/>
      <c r="AQ69" s="45">
        <f t="shared" si="3"/>
        <v>5030438</v>
      </c>
      <c r="AR69" s="46"/>
    </row>
    <row r="70" ht="15.75" customHeight="1">
      <c r="A70" s="29">
        <v>20802.0</v>
      </c>
      <c r="B70" s="30" t="s">
        <v>75</v>
      </c>
      <c r="C70" s="31">
        <v>40000.0</v>
      </c>
      <c r="D70" s="32">
        <v>0.77</v>
      </c>
      <c r="E70" s="33">
        <v>0.0</v>
      </c>
      <c r="F70" s="32">
        <v>0.0</v>
      </c>
      <c r="G70" s="34">
        <v>40000.0</v>
      </c>
      <c r="H70" s="35">
        <v>0.63</v>
      </c>
      <c r="I70" s="36">
        <v>50000.0</v>
      </c>
      <c r="J70" s="37">
        <v>0.92</v>
      </c>
      <c r="K70" s="38">
        <v>0.0</v>
      </c>
      <c r="L70" s="39">
        <v>0.0</v>
      </c>
      <c r="M70" s="38">
        <v>50000.0</v>
      </c>
      <c r="N70" s="40">
        <v>0.88</v>
      </c>
      <c r="O70" s="36">
        <v>80000.0</v>
      </c>
      <c r="P70" s="37">
        <v>1.62</v>
      </c>
      <c r="Q70" s="38">
        <v>0.0</v>
      </c>
      <c r="R70" s="32">
        <v>0.0</v>
      </c>
      <c r="S70" s="38">
        <v>80000.0</v>
      </c>
      <c r="T70" s="35">
        <v>1.39</v>
      </c>
      <c r="U70" s="47">
        <v>55440.0</v>
      </c>
      <c r="V70" s="42">
        <v>1.27</v>
      </c>
      <c r="W70" s="43">
        <v>0.0</v>
      </c>
      <c r="X70" s="42">
        <v>0.0</v>
      </c>
      <c r="Y70" s="44">
        <v>55440.0</v>
      </c>
      <c r="Z70" s="42">
        <v>1.27</v>
      </c>
      <c r="AA70" s="45">
        <v>55000.0</v>
      </c>
      <c r="AB70" s="46"/>
      <c r="AC70" s="45">
        <v>0.0</v>
      </c>
      <c r="AD70" s="46"/>
      <c r="AE70" s="45">
        <f t="shared" si="1"/>
        <v>55000</v>
      </c>
      <c r="AF70" s="46"/>
      <c r="AG70" s="45">
        <v>55000.0</v>
      </c>
      <c r="AH70" s="46"/>
      <c r="AI70" s="45">
        <v>0.0</v>
      </c>
      <c r="AJ70" s="46"/>
      <c r="AK70" s="45">
        <f t="shared" si="2"/>
        <v>55000</v>
      </c>
      <c r="AL70" s="46"/>
      <c r="AM70" s="45">
        <v>56688.0</v>
      </c>
      <c r="AN70" s="46"/>
      <c r="AO70" s="45">
        <v>0.0</v>
      </c>
      <c r="AP70" s="46"/>
      <c r="AQ70" s="45">
        <f t="shared" si="3"/>
        <v>56688</v>
      </c>
      <c r="AR70" s="46"/>
    </row>
    <row r="71" ht="15.75" customHeight="1">
      <c r="A71" s="29">
        <v>20803.0</v>
      </c>
      <c r="B71" s="30" t="s">
        <v>76</v>
      </c>
      <c r="C71" s="31">
        <v>68000.0</v>
      </c>
      <c r="D71" s="32">
        <v>1.01</v>
      </c>
      <c r="E71" s="49">
        <v>158280.0</v>
      </c>
      <c r="F71" s="32">
        <v>5.87</v>
      </c>
      <c r="G71" s="34">
        <v>226280.0</v>
      </c>
      <c r="H71" s="35">
        <v>2.41</v>
      </c>
      <c r="I71" s="36">
        <v>100000.0</v>
      </c>
      <c r="J71" s="37">
        <v>1.14</v>
      </c>
      <c r="K71" s="38">
        <v>0.0</v>
      </c>
      <c r="L71" s="39">
        <v>0.0</v>
      </c>
      <c r="M71" s="38">
        <v>100000.0</v>
      </c>
      <c r="N71" s="40">
        <v>0.97</v>
      </c>
      <c r="O71" s="36">
        <v>130000.0</v>
      </c>
      <c r="P71" s="37">
        <v>1.66</v>
      </c>
      <c r="Q71" s="38">
        <v>337336.0</v>
      </c>
      <c r="R71" s="32">
        <v>4.68</v>
      </c>
      <c r="S71" s="38">
        <v>467336.0</v>
      </c>
      <c r="T71" s="35">
        <v>3.11</v>
      </c>
      <c r="U71" s="47">
        <v>216720.0</v>
      </c>
      <c r="V71" s="42">
        <v>2.59</v>
      </c>
      <c r="W71" s="43">
        <v>0.0</v>
      </c>
      <c r="X71" s="42">
        <v>0.0</v>
      </c>
      <c r="Y71" s="44">
        <v>216720.0</v>
      </c>
      <c r="Z71" s="42">
        <v>2.3</v>
      </c>
      <c r="AA71" s="45">
        <v>105000.0</v>
      </c>
      <c r="AB71" s="46"/>
      <c r="AC71" s="45">
        <v>0.0</v>
      </c>
      <c r="AD71" s="46"/>
      <c r="AE71" s="45">
        <f t="shared" si="1"/>
        <v>105000</v>
      </c>
      <c r="AF71" s="46"/>
      <c r="AG71" s="45">
        <v>175000.0</v>
      </c>
      <c r="AH71" s="46"/>
      <c r="AI71" s="45">
        <v>0.0</v>
      </c>
      <c r="AJ71" s="46"/>
      <c r="AK71" s="45">
        <f t="shared" si="2"/>
        <v>175000</v>
      </c>
      <c r="AL71" s="46"/>
      <c r="AM71" s="45">
        <v>210000.0</v>
      </c>
      <c r="AN71" s="46"/>
      <c r="AO71" s="45">
        <v>0.0</v>
      </c>
      <c r="AP71" s="46"/>
      <c r="AQ71" s="45">
        <f t="shared" si="3"/>
        <v>210000</v>
      </c>
      <c r="AR71" s="46"/>
    </row>
    <row r="72" ht="15.75" customHeight="1">
      <c r="A72" s="29">
        <v>20804.0</v>
      </c>
      <c r="B72" s="30" t="s">
        <v>77</v>
      </c>
      <c r="C72" s="31">
        <v>120000.0</v>
      </c>
      <c r="D72" s="32">
        <v>3.76</v>
      </c>
      <c r="E72" s="33">
        <v>0.0</v>
      </c>
      <c r="F72" s="32">
        <v>0.0</v>
      </c>
      <c r="G72" s="34">
        <v>120000.0</v>
      </c>
      <c r="H72" s="35">
        <v>2.93</v>
      </c>
      <c r="I72" s="36">
        <v>130000.0</v>
      </c>
      <c r="J72" s="37">
        <v>4.06</v>
      </c>
      <c r="K72" s="38">
        <v>0.0</v>
      </c>
      <c r="L72" s="39">
        <v>0.0</v>
      </c>
      <c r="M72" s="38">
        <v>130000.0</v>
      </c>
      <c r="N72" s="40">
        <v>3.99</v>
      </c>
      <c r="O72" s="36">
        <v>148437.0</v>
      </c>
      <c r="P72" s="37">
        <v>3.77</v>
      </c>
      <c r="Q72" s="38">
        <v>0.0</v>
      </c>
      <c r="R72" s="32">
        <v>0.0</v>
      </c>
      <c r="S72" s="38">
        <v>148437.0</v>
      </c>
      <c r="T72" s="35">
        <v>2.74</v>
      </c>
      <c r="U72" s="47">
        <v>310000.0</v>
      </c>
      <c r="V72" s="42">
        <v>6.57</v>
      </c>
      <c r="W72" s="43">
        <v>0.0</v>
      </c>
      <c r="X72" s="42">
        <v>0.0</v>
      </c>
      <c r="Y72" s="44">
        <v>310000.0</v>
      </c>
      <c r="Z72" s="42">
        <v>6.57</v>
      </c>
      <c r="AA72" s="45">
        <v>310000.0</v>
      </c>
      <c r="AB72" s="46"/>
      <c r="AC72" s="45">
        <v>0.0</v>
      </c>
      <c r="AD72" s="46"/>
      <c r="AE72" s="45">
        <f t="shared" si="1"/>
        <v>310000</v>
      </c>
      <c r="AF72" s="46"/>
      <c r="AG72" s="45">
        <v>268480.0</v>
      </c>
      <c r="AH72" s="46"/>
      <c r="AI72" s="45">
        <v>0.0</v>
      </c>
      <c r="AJ72" s="46"/>
      <c r="AK72" s="45">
        <f t="shared" si="2"/>
        <v>268480</v>
      </c>
      <c r="AL72" s="46"/>
      <c r="AM72" s="45">
        <v>280000.0</v>
      </c>
      <c r="AN72" s="46"/>
      <c r="AO72" s="45">
        <v>0.0</v>
      </c>
      <c r="AP72" s="46"/>
      <c r="AQ72" s="45">
        <f t="shared" si="3"/>
        <v>280000</v>
      </c>
      <c r="AR72" s="46"/>
    </row>
    <row r="73" ht="15.75" customHeight="1">
      <c r="A73" s="29">
        <v>20805.0</v>
      </c>
      <c r="B73" s="30" t="s">
        <v>78</v>
      </c>
      <c r="C73" s="48">
        <v>0.0</v>
      </c>
      <c r="D73" s="32">
        <v>0.0</v>
      </c>
      <c r="E73" s="33">
        <v>0.0</v>
      </c>
      <c r="F73" s="32">
        <v>0.0</v>
      </c>
      <c r="G73" s="34">
        <v>0.0</v>
      </c>
      <c r="H73" s="35">
        <v>0.0</v>
      </c>
      <c r="I73" s="48">
        <v>0.0</v>
      </c>
      <c r="J73" s="32">
        <v>0.0</v>
      </c>
      <c r="K73" s="38">
        <v>0.0</v>
      </c>
      <c r="L73" s="39">
        <v>0.0</v>
      </c>
      <c r="M73" s="34">
        <v>0.0</v>
      </c>
      <c r="N73" s="35">
        <v>0.0</v>
      </c>
      <c r="O73" s="48">
        <v>0.0</v>
      </c>
      <c r="P73" s="32">
        <v>0.0</v>
      </c>
      <c r="Q73" s="38">
        <v>0.0</v>
      </c>
      <c r="R73" s="32">
        <v>0.0</v>
      </c>
      <c r="S73" s="34">
        <v>0.0</v>
      </c>
      <c r="T73" s="35">
        <v>0.0</v>
      </c>
      <c r="U73" s="47">
        <v>15000.0</v>
      </c>
      <c r="V73" s="42">
        <v>0.34</v>
      </c>
      <c r="W73" s="43">
        <v>0.0</v>
      </c>
      <c r="X73" s="42">
        <v>0.0</v>
      </c>
      <c r="Y73" s="44">
        <v>15000.0</v>
      </c>
      <c r="Z73" s="42">
        <v>0.34</v>
      </c>
      <c r="AA73" s="45">
        <v>20000.0</v>
      </c>
      <c r="AB73" s="46"/>
      <c r="AC73" s="45">
        <v>0.0</v>
      </c>
      <c r="AD73" s="46"/>
      <c r="AE73" s="45">
        <f t="shared" si="1"/>
        <v>20000</v>
      </c>
      <c r="AF73" s="46"/>
      <c r="AG73" s="45">
        <v>10000.0</v>
      </c>
      <c r="AH73" s="46"/>
      <c r="AI73" s="45">
        <v>0.0</v>
      </c>
      <c r="AJ73" s="46"/>
      <c r="AK73" s="45">
        <f t="shared" si="2"/>
        <v>10000</v>
      </c>
      <c r="AL73" s="46"/>
      <c r="AM73" s="45">
        <v>10000.0</v>
      </c>
      <c r="AN73" s="46"/>
      <c r="AO73" s="45">
        <v>0.0</v>
      </c>
      <c r="AP73" s="46"/>
      <c r="AQ73" s="45">
        <f t="shared" si="3"/>
        <v>10000</v>
      </c>
      <c r="AR73" s="46"/>
    </row>
    <row r="74" ht="15.75" customHeight="1">
      <c r="A74" s="29">
        <v>20806.0</v>
      </c>
      <c r="B74" s="30" t="s">
        <v>79</v>
      </c>
      <c r="C74" s="31">
        <v>5000.0</v>
      </c>
      <c r="D74" s="32">
        <v>0.07</v>
      </c>
      <c r="E74" s="33">
        <v>0.0</v>
      </c>
      <c r="F74" s="32">
        <v>0.0</v>
      </c>
      <c r="G74" s="34">
        <v>5000.0</v>
      </c>
      <c r="H74" s="35">
        <v>0.04</v>
      </c>
      <c r="I74" s="36">
        <v>5000.0</v>
      </c>
      <c r="J74" s="37">
        <v>0.06</v>
      </c>
      <c r="K74" s="38">
        <v>0.0</v>
      </c>
      <c r="L74" s="39">
        <v>0.0</v>
      </c>
      <c r="M74" s="38">
        <v>5000.0</v>
      </c>
      <c r="N74" s="40">
        <v>0.04</v>
      </c>
      <c r="O74" s="36">
        <v>5000.0</v>
      </c>
      <c r="P74" s="37">
        <v>0.06</v>
      </c>
      <c r="Q74" s="38">
        <v>0.0</v>
      </c>
      <c r="R74" s="32">
        <v>0.0</v>
      </c>
      <c r="S74" s="38">
        <v>5000.0</v>
      </c>
      <c r="T74" s="35">
        <v>0.04</v>
      </c>
      <c r="U74" s="47">
        <v>12200.0</v>
      </c>
      <c r="V74" s="42">
        <v>0.12</v>
      </c>
      <c r="W74" s="43">
        <v>0.0</v>
      </c>
      <c r="X74" s="42">
        <v>0.0</v>
      </c>
      <c r="Y74" s="44">
        <v>12200.0</v>
      </c>
      <c r="Z74" s="42">
        <v>0.12</v>
      </c>
      <c r="AA74" s="45">
        <v>18000.0</v>
      </c>
      <c r="AB74" s="46"/>
      <c r="AC74" s="45">
        <v>0.0</v>
      </c>
      <c r="AD74" s="46"/>
      <c r="AE74" s="45">
        <f t="shared" si="1"/>
        <v>18000</v>
      </c>
      <c r="AF74" s="46"/>
      <c r="AG74" s="45">
        <v>20000.0</v>
      </c>
      <c r="AH74" s="46"/>
      <c r="AI74" s="45">
        <v>0.0</v>
      </c>
      <c r="AJ74" s="46"/>
      <c r="AK74" s="45">
        <f t="shared" si="2"/>
        <v>20000</v>
      </c>
      <c r="AL74" s="46"/>
      <c r="AM74" s="45">
        <v>30000.0</v>
      </c>
      <c r="AN74" s="46"/>
      <c r="AO74" s="45">
        <v>0.0</v>
      </c>
      <c r="AP74" s="46"/>
      <c r="AQ74" s="45">
        <f t="shared" si="3"/>
        <v>30000</v>
      </c>
      <c r="AR74" s="46"/>
    </row>
    <row r="75" ht="15.75" customHeight="1">
      <c r="A75" s="29">
        <v>20807.0</v>
      </c>
      <c r="B75" s="30" t="s">
        <v>80</v>
      </c>
      <c r="C75" s="48">
        <v>0.0</v>
      </c>
      <c r="D75" s="32">
        <v>0.0</v>
      </c>
      <c r="E75" s="33">
        <v>0.0</v>
      </c>
      <c r="F75" s="32">
        <v>0.0</v>
      </c>
      <c r="G75" s="34">
        <v>0.0</v>
      </c>
      <c r="H75" s="35">
        <v>0.0</v>
      </c>
      <c r="I75" s="48">
        <v>0.0</v>
      </c>
      <c r="J75" s="32">
        <v>0.0</v>
      </c>
      <c r="K75" s="38">
        <v>0.0</v>
      </c>
      <c r="L75" s="39">
        <v>0.0</v>
      </c>
      <c r="M75" s="34">
        <v>0.0</v>
      </c>
      <c r="N75" s="35">
        <v>0.0</v>
      </c>
      <c r="O75" s="48">
        <v>0.0</v>
      </c>
      <c r="P75" s="32">
        <v>0.0</v>
      </c>
      <c r="Q75" s="38">
        <v>0.0</v>
      </c>
      <c r="R75" s="32">
        <v>0.0</v>
      </c>
      <c r="S75" s="34">
        <v>0.0</v>
      </c>
      <c r="T75" s="35">
        <v>0.0</v>
      </c>
      <c r="U75" s="41">
        <v>0.0</v>
      </c>
      <c r="V75" s="42">
        <v>0.0</v>
      </c>
      <c r="W75" s="43">
        <v>0.0</v>
      </c>
      <c r="X75" s="42">
        <v>0.0</v>
      </c>
      <c r="Y75" s="44">
        <v>0.0</v>
      </c>
      <c r="Z75" s="42">
        <v>0.0</v>
      </c>
      <c r="AA75" s="45">
        <v>40968.0</v>
      </c>
      <c r="AB75" s="46"/>
      <c r="AC75" s="45">
        <v>0.0</v>
      </c>
      <c r="AD75" s="46"/>
      <c r="AE75" s="45">
        <f t="shared" si="1"/>
        <v>40968</v>
      </c>
      <c r="AF75" s="46"/>
      <c r="AG75" s="45">
        <v>60888.0</v>
      </c>
      <c r="AH75" s="46"/>
      <c r="AI75" s="45">
        <v>0.0</v>
      </c>
      <c r="AJ75" s="46"/>
      <c r="AK75" s="45">
        <f t="shared" si="2"/>
        <v>60888</v>
      </c>
      <c r="AL75" s="46"/>
      <c r="AM75" s="45">
        <v>76000.0</v>
      </c>
      <c r="AN75" s="46"/>
      <c r="AO75" s="45">
        <v>0.0</v>
      </c>
      <c r="AP75" s="46"/>
      <c r="AQ75" s="45">
        <f t="shared" si="3"/>
        <v>76000</v>
      </c>
      <c r="AR75" s="46"/>
    </row>
    <row r="76" ht="15.75" customHeight="1">
      <c r="A76" s="29">
        <v>20901.0</v>
      </c>
      <c r="B76" s="30" t="s">
        <v>81</v>
      </c>
      <c r="C76" s="31">
        <v>120000.0</v>
      </c>
      <c r="D76" s="32">
        <v>1.97</v>
      </c>
      <c r="E76" s="33">
        <v>0.0</v>
      </c>
      <c r="F76" s="32">
        <v>0.0</v>
      </c>
      <c r="G76" s="34">
        <v>120000.0</v>
      </c>
      <c r="H76" s="35">
        <v>1.53</v>
      </c>
      <c r="I76" s="36">
        <v>20000.0</v>
      </c>
      <c r="J76" s="37">
        <v>0.24</v>
      </c>
      <c r="K76" s="38">
        <v>0.0</v>
      </c>
      <c r="L76" s="39">
        <v>0.0</v>
      </c>
      <c r="M76" s="38">
        <v>20000.0</v>
      </c>
      <c r="N76" s="40">
        <v>0.19</v>
      </c>
      <c r="O76" s="36">
        <v>20000.0</v>
      </c>
      <c r="P76" s="37">
        <v>0.3</v>
      </c>
      <c r="Q76" s="38">
        <v>480000.0</v>
      </c>
      <c r="R76" s="32">
        <v>8.16</v>
      </c>
      <c r="S76" s="38">
        <v>500000.0</v>
      </c>
      <c r="T76" s="35">
        <v>4.0</v>
      </c>
      <c r="U76" s="47">
        <v>20000.0</v>
      </c>
      <c r="V76" s="42">
        <v>0.32</v>
      </c>
      <c r="W76" s="43">
        <v>0.0</v>
      </c>
      <c r="X76" s="42">
        <v>0.0</v>
      </c>
      <c r="Y76" s="44">
        <v>20000.0</v>
      </c>
      <c r="Z76" s="42">
        <v>0.23</v>
      </c>
      <c r="AA76" s="45">
        <v>40000.0</v>
      </c>
      <c r="AB76" s="46"/>
      <c r="AC76" s="45">
        <v>0.0</v>
      </c>
      <c r="AD76" s="46"/>
      <c r="AE76" s="45">
        <f t="shared" si="1"/>
        <v>40000</v>
      </c>
      <c r="AF76" s="46"/>
      <c r="AG76" s="45">
        <v>20000.0</v>
      </c>
      <c r="AH76" s="46"/>
      <c r="AI76" s="45">
        <v>0.0</v>
      </c>
      <c r="AJ76" s="46"/>
      <c r="AK76" s="45">
        <f t="shared" si="2"/>
        <v>20000</v>
      </c>
      <c r="AL76" s="46"/>
      <c r="AM76" s="45">
        <v>20000.0</v>
      </c>
      <c r="AN76" s="46"/>
      <c r="AO76" s="45">
        <v>0.0</v>
      </c>
      <c r="AP76" s="46"/>
      <c r="AQ76" s="45">
        <f t="shared" si="3"/>
        <v>20000</v>
      </c>
      <c r="AR76" s="46"/>
    </row>
    <row r="77" ht="15.75" customHeight="1">
      <c r="A77" s="29">
        <v>20902.0</v>
      </c>
      <c r="B77" s="30" t="s">
        <v>82</v>
      </c>
      <c r="C77" s="31">
        <v>14067.0</v>
      </c>
      <c r="D77" s="32">
        <v>0.21</v>
      </c>
      <c r="E77" s="33">
        <v>0.0</v>
      </c>
      <c r="F77" s="32">
        <v>0.0</v>
      </c>
      <c r="G77" s="34">
        <v>14067.0</v>
      </c>
      <c r="H77" s="35">
        <v>0.12</v>
      </c>
      <c r="I77" s="36">
        <v>53067.0</v>
      </c>
      <c r="J77" s="37">
        <v>0.73</v>
      </c>
      <c r="K77" s="38">
        <v>0.0</v>
      </c>
      <c r="L77" s="39">
        <v>0.0</v>
      </c>
      <c r="M77" s="38">
        <v>53067.0</v>
      </c>
      <c r="N77" s="40">
        <v>0.38</v>
      </c>
      <c r="O77" s="36">
        <v>30000.0</v>
      </c>
      <c r="P77" s="37">
        <v>0.4</v>
      </c>
      <c r="Q77" s="38">
        <v>0.0</v>
      </c>
      <c r="R77" s="32">
        <v>0.0</v>
      </c>
      <c r="S77" s="38">
        <v>30000.0</v>
      </c>
      <c r="T77" s="35">
        <v>0.17</v>
      </c>
      <c r="U77" s="41">
        <v>0.0</v>
      </c>
      <c r="V77" s="42">
        <v>0.0</v>
      </c>
      <c r="W77" s="43">
        <v>0.0</v>
      </c>
      <c r="X77" s="42">
        <v>0.0</v>
      </c>
      <c r="Y77" s="44">
        <v>0.0</v>
      </c>
      <c r="Z77" s="42">
        <v>0.0</v>
      </c>
      <c r="AA77" s="45">
        <v>0.0</v>
      </c>
      <c r="AB77" s="46"/>
      <c r="AC77" s="45">
        <v>0.0</v>
      </c>
      <c r="AD77" s="46"/>
      <c r="AE77" s="45">
        <f t="shared" si="1"/>
        <v>0</v>
      </c>
      <c r="AF77" s="46"/>
      <c r="AG77" s="45">
        <v>10000.0</v>
      </c>
      <c r="AH77" s="46"/>
      <c r="AI77" s="45">
        <v>0.0</v>
      </c>
      <c r="AJ77" s="46"/>
      <c r="AK77" s="45">
        <f t="shared" si="2"/>
        <v>10000</v>
      </c>
      <c r="AL77" s="46"/>
      <c r="AM77" s="45">
        <v>30000.0</v>
      </c>
      <c r="AN77" s="46"/>
      <c r="AO77" s="45">
        <v>0.0</v>
      </c>
      <c r="AP77" s="46"/>
      <c r="AQ77" s="45">
        <f t="shared" si="3"/>
        <v>30000</v>
      </c>
      <c r="AR77" s="46"/>
    </row>
    <row r="78" ht="15.75" customHeight="1">
      <c r="A78" s="29">
        <v>20903.0</v>
      </c>
      <c r="B78" s="30" t="s">
        <v>83</v>
      </c>
      <c r="C78" s="48">
        <v>0.0</v>
      </c>
      <c r="D78" s="32">
        <v>0.0</v>
      </c>
      <c r="E78" s="33">
        <v>0.0</v>
      </c>
      <c r="F78" s="32">
        <v>0.0</v>
      </c>
      <c r="G78" s="34">
        <v>0.0</v>
      </c>
      <c r="H78" s="35">
        <v>0.0</v>
      </c>
      <c r="I78" s="48">
        <v>0.0</v>
      </c>
      <c r="J78" s="32">
        <v>0.0</v>
      </c>
      <c r="K78" s="38">
        <v>0.0</v>
      </c>
      <c r="L78" s="39">
        <v>0.0</v>
      </c>
      <c r="M78" s="34">
        <v>0.0</v>
      </c>
      <c r="N78" s="35">
        <v>0.0</v>
      </c>
      <c r="O78" s="48">
        <v>0.0</v>
      </c>
      <c r="P78" s="32">
        <v>0.0</v>
      </c>
      <c r="Q78" s="38">
        <v>0.0</v>
      </c>
      <c r="R78" s="32">
        <v>0.0</v>
      </c>
      <c r="S78" s="34">
        <v>0.0</v>
      </c>
      <c r="T78" s="35">
        <v>0.0</v>
      </c>
      <c r="U78" s="41">
        <v>0.0</v>
      </c>
      <c r="V78" s="42">
        <v>0.0</v>
      </c>
      <c r="W78" s="43">
        <v>0.0</v>
      </c>
      <c r="X78" s="42">
        <v>0.0</v>
      </c>
      <c r="Y78" s="44">
        <v>0.0</v>
      </c>
      <c r="Z78" s="42">
        <v>0.0</v>
      </c>
      <c r="AA78" s="45"/>
      <c r="AB78" s="46"/>
      <c r="AC78" s="45">
        <v>0.0</v>
      </c>
      <c r="AD78" s="46"/>
      <c r="AE78" s="45">
        <f t="shared" si="1"/>
        <v>0</v>
      </c>
      <c r="AF78" s="46"/>
      <c r="AG78" s="45">
        <v>30000.0</v>
      </c>
      <c r="AH78" s="46"/>
      <c r="AI78" s="45">
        <v>0.0</v>
      </c>
      <c r="AJ78" s="46"/>
      <c r="AK78" s="45">
        <f t="shared" si="2"/>
        <v>30000</v>
      </c>
      <c r="AL78" s="46"/>
      <c r="AM78" s="45">
        <v>30000.0</v>
      </c>
      <c r="AN78" s="46"/>
      <c r="AO78" s="45">
        <v>0.0</v>
      </c>
      <c r="AP78" s="46"/>
      <c r="AQ78" s="45">
        <f t="shared" si="3"/>
        <v>30000</v>
      </c>
      <c r="AR78" s="46"/>
    </row>
    <row r="79" ht="15.75" customHeight="1">
      <c r="A79" s="29">
        <v>20904.0</v>
      </c>
      <c r="B79" s="30" t="s">
        <v>84</v>
      </c>
      <c r="C79" s="48">
        <v>0.0</v>
      </c>
      <c r="D79" s="32">
        <v>0.0</v>
      </c>
      <c r="E79" s="33">
        <v>0.0</v>
      </c>
      <c r="F79" s="32">
        <v>0.0</v>
      </c>
      <c r="G79" s="34">
        <v>0.0</v>
      </c>
      <c r="H79" s="35">
        <v>0.0</v>
      </c>
      <c r="I79" s="48">
        <v>0.0</v>
      </c>
      <c r="J79" s="32">
        <v>0.0</v>
      </c>
      <c r="K79" s="38">
        <v>0.0</v>
      </c>
      <c r="L79" s="39">
        <v>0.0</v>
      </c>
      <c r="M79" s="34">
        <v>0.0</v>
      </c>
      <c r="N79" s="35">
        <v>0.0</v>
      </c>
      <c r="O79" s="48">
        <v>0.0</v>
      </c>
      <c r="P79" s="32">
        <v>0.0</v>
      </c>
      <c r="Q79" s="38">
        <v>0.0</v>
      </c>
      <c r="R79" s="32">
        <v>0.0</v>
      </c>
      <c r="S79" s="34">
        <v>0.0</v>
      </c>
      <c r="T79" s="35">
        <v>0.0</v>
      </c>
      <c r="U79" s="41">
        <v>0.0</v>
      </c>
      <c r="V79" s="42">
        <v>0.0</v>
      </c>
      <c r="W79" s="43">
        <v>0.0</v>
      </c>
      <c r="X79" s="42">
        <v>0.0</v>
      </c>
      <c r="Y79" s="44">
        <v>0.0</v>
      </c>
      <c r="Z79" s="42">
        <v>0.0</v>
      </c>
      <c r="AA79" s="45"/>
      <c r="AB79" s="46"/>
      <c r="AC79" s="45">
        <v>0.0</v>
      </c>
      <c r="AD79" s="46"/>
      <c r="AE79" s="45">
        <f t="shared" si="1"/>
        <v>0</v>
      </c>
      <c r="AF79" s="46"/>
      <c r="AG79" s="45"/>
      <c r="AH79" s="46"/>
      <c r="AI79" s="45">
        <v>0.0</v>
      </c>
      <c r="AJ79" s="46"/>
      <c r="AK79" s="45">
        <f t="shared" si="2"/>
        <v>0</v>
      </c>
      <c r="AL79" s="46"/>
      <c r="AM79" s="45"/>
      <c r="AN79" s="46"/>
      <c r="AO79" s="45">
        <v>0.0</v>
      </c>
      <c r="AP79" s="46"/>
      <c r="AQ79" s="45">
        <f t="shared" si="3"/>
        <v>0</v>
      </c>
      <c r="AR79" s="46"/>
    </row>
    <row r="80" ht="15.75" customHeight="1">
      <c r="A80" s="29">
        <v>20905.0</v>
      </c>
      <c r="B80" s="30" t="s">
        <v>85</v>
      </c>
      <c r="C80" s="31">
        <v>5000.0</v>
      </c>
      <c r="D80" s="32">
        <v>0.11</v>
      </c>
      <c r="E80" s="33">
        <v>0.0</v>
      </c>
      <c r="F80" s="32">
        <v>0.0</v>
      </c>
      <c r="G80" s="34">
        <v>5000.0</v>
      </c>
      <c r="H80" s="35">
        <v>0.06</v>
      </c>
      <c r="I80" s="36">
        <v>30000.0</v>
      </c>
      <c r="J80" s="37">
        <v>0.62</v>
      </c>
      <c r="K80" s="38">
        <v>0.0</v>
      </c>
      <c r="L80" s="39">
        <v>0.0</v>
      </c>
      <c r="M80" s="38">
        <v>30000.0</v>
      </c>
      <c r="N80" s="40">
        <v>0.61</v>
      </c>
      <c r="O80" s="36">
        <v>30000.0</v>
      </c>
      <c r="P80" s="37">
        <v>0.54</v>
      </c>
      <c r="Q80" s="38">
        <v>0.0</v>
      </c>
      <c r="R80" s="32">
        <v>0.0</v>
      </c>
      <c r="S80" s="38">
        <v>30000.0</v>
      </c>
      <c r="T80" s="35">
        <v>0.52</v>
      </c>
      <c r="U80" s="47">
        <v>60000.0</v>
      </c>
      <c r="V80" s="42">
        <v>0.79</v>
      </c>
      <c r="W80" s="43">
        <v>0.0</v>
      </c>
      <c r="X80" s="42">
        <v>0.0</v>
      </c>
      <c r="Y80" s="44">
        <v>60000.0</v>
      </c>
      <c r="Z80" s="42">
        <v>0.79</v>
      </c>
      <c r="AA80" s="45">
        <v>80000.0</v>
      </c>
      <c r="AB80" s="46"/>
      <c r="AC80" s="45">
        <v>0.0</v>
      </c>
      <c r="AD80" s="46"/>
      <c r="AE80" s="45">
        <f t="shared" si="1"/>
        <v>80000</v>
      </c>
      <c r="AF80" s="46"/>
      <c r="AG80" s="45">
        <v>150000.0</v>
      </c>
      <c r="AH80" s="46"/>
      <c r="AI80" s="45">
        <v>0.0</v>
      </c>
      <c r="AJ80" s="46"/>
      <c r="AK80" s="45">
        <f t="shared" si="2"/>
        <v>150000</v>
      </c>
      <c r="AL80" s="46"/>
      <c r="AM80" s="45">
        <v>150000.0</v>
      </c>
      <c r="AN80" s="46"/>
      <c r="AO80" s="45">
        <v>0.0</v>
      </c>
      <c r="AP80" s="46"/>
      <c r="AQ80" s="45">
        <f t="shared" si="3"/>
        <v>150000</v>
      </c>
      <c r="AR80" s="46"/>
    </row>
    <row r="81" ht="15.75" customHeight="1">
      <c r="A81" s="29">
        <v>21001.0</v>
      </c>
      <c r="B81" s="30" t="s">
        <v>86</v>
      </c>
      <c r="C81" s="31">
        <v>30000.0</v>
      </c>
      <c r="D81" s="32">
        <v>0.36</v>
      </c>
      <c r="E81" s="33">
        <v>0.0</v>
      </c>
      <c r="F81" s="32">
        <v>0.0</v>
      </c>
      <c r="G81" s="34">
        <v>30000.0</v>
      </c>
      <c r="H81" s="35">
        <v>0.23</v>
      </c>
      <c r="I81" s="36">
        <v>40000.0</v>
      </c>
      <c r="J81" s="37">
        <v>0.42</v>
      </c>
      <c r="K81" s="38">
        <v>0.0</v>
      </c>
      <c r="L81" s="39">
        <v>0.0</v>
      </c>
      <c r="M81" s="38">
        <v>40000.0</v>
      </c>
      <c r="N81" s="40">
        <v>0.41</v>
      </c>
      <c r="O81" s="36">
        <v>40000.0</v>
      </c>
      <c r="P81" s="37">
        <v>0.45</v>
      </c>
      <c r="Q81" s="38">
        <v>0.0</v>
      </c>
      <c r="R81" s="32">
        <v>0.0</v>
      </c>
      <c r="S81" s="38">
        <v>40000.0</v>
      </c>
      <c r="T81" s="35">
        <v>0.31</v>
      </c>
      <c r="U81" s="47">
        <v>50000.0</v>
      </c>
      <c r="V81" s="42">
        <v>0.37</v>
      </c>
      <c r="W81" s="43">
        <v>0.0</v>
      </c>
      <c r="X81" s="42">
        <v>0.0</v>
      </c>
      <c r="Y81" s="44">
        <v>50000.0</v>
      </c>
      <c r="Z81" s="42">
        <v>0.37</v>
      </c>
      <c r="AA81" s="45">
        <v>70000.0</v>
      </c>
      <c r="AB81" s="46"/>
      <c r="AC81" s="45">
        <v>0.0</v>
      </c>
      <c r="AD81" s="46"/>
      <c r="AE81" s="45">
        <f t="shared" si="1"/>
        <v>70000</v>
      </c>
      <c r="AF81" s="46"/>
      <c r="AG81" s="45">
        <v>70000.0</v>
      </c>
      <c r="AH81" s="46"/>
      <c r="AI81" s="45">
        <v>0.0</v>
      </c>
      <c r="AJ81" s="46"/>
      <c r="AK81" s="45">
        <f t="shared" si="2"/>
        <v>70000</v>
      </c>
      <c r="AL81" s="46"/>
      <c r="AM81" s="45">
        <v>70000.0</v>
      </c>
      <c r="AN81" s="46"/>
      <c r="AO81" s="45">
        <v>0.0</v>
      </c>
      <c r="AP81" s="46"/>
      <c r="AQ81" s="45">
        <f t="shared" si="3"/>
        <v>70000</v>
      </c>
      <c r="AR81" s="46"/>
    </row>
    <row r="82" ht="15.75" customHeight="1">
      <c r="A82" s="29">
        <v>21002.0</v>
      </c>
      <c r="B82" s="30" t="s">
        <v>87</v>
      </c>
      <c r="C82" s="31">
        <v>70000.0</v>
      </c>
      <c r="D82" s="32">
        <v>1.37</v>
      </c>
      <c r="E82" s="33">
        <v>0.0</v>
      </c>
      <c r="F82" s="32">
        <v>0.0</v>
      </c>
      <c r="G82" s="34">
        <v>70000.0</v>
      </c>
      <c r="H82" s="35">
        <v>0.78</v>
      </c>
      <c r="I82" s="36">
        <v>70000.0</v>
      </c>
      <c r="J82" s="37">
        <v>1.61</v>
      </c>
      <c r="K82" s="38">
        <v>0.0</v>
      </c>
      <c r="L82" s="39">
        <v>0.0</v>
      </c>
      <c r="M82" s="38">
        <v>70000.0</v>
      </c>
      <c r="N82" s="40">
        <v>0.9</v>
      </c>
      <c r="O82" s="36">
        <v>71804.0</v>
      </c>
      <c r="P82" s="37">
        <v>1.42</v>
      </c>
      <c r="Q82" s="38">
        <v>0.0</v>
      </c>
      <c r="R82" s="32">
        <v>0.0</v>
      </c>
      <c r="S82" s="38">
        <v>71804.0</v>
      </c>
      <c r="T82" s="35">
        <v>0.81</v>
      </c>
      <c r="U82" s="47">
        <v>120000.0</v>
      </c>
      <c r="V82" s="42">
        <v>2.16</v>
      </c>
      <c r="W82" s="43">
        <v>0.0</v>
      </c>
      <c r="X82" s="42">
        <v>0.0</v>
      </c>
      <c r="Y82" s="44">
        <v>120000.0</v>
      </c>
      <c r="Z82" s="42">
        <v>2.14</v>
      </c>
      <c r="AA82" s="45">
        <v>120000.0</v>
      </c>
      <c r="AB82" s="46"/>
      <c r="AC82" s="45">
        <v>0.0</v>
      </c>
      <c r="AD82" s="46"/>
      <c r="AE82" s="45">
        <f t="shared" si="1"/>
        <v>120000</v>
      </c>
      <c r="AF82" s="46"/>
      <c r="AG82" s="45">
        <v>160000.0</v>
      </c>
      <c r="AH82" s="46"/>
      <c r="AI82" s="45">
        <v>0.0</v>
      </c>
      <c r="AJ82" s="46"/>
      <c r="AK82" s="45">
        <f t="shared" si="2"/>
        <v>160000</v>
      </c>
      <c r="AL82" s="46"/>
      <c r="AM82" s="45">
        <v>200000.0</v>
      </c>
      <c r="AN82" s="46"/>
      <c r="AO82" s="45">
        <v>0.0</v>
      </c>
      <c r="AP82" s="46"/>
      <c r="AQ82" s="45">
        <f t="shared" si="3"/>
        <v>200000</v>
      </c>
      <c r="AR82" s="46"/>
    </row>
    <row r="83" ht="15.75" customHeight="1">
      <c r="A83" s="29">
        <v>21003.0</v>
      </c>
      <c r="B83" s="30" t="s">
        <v>88</v>
      </c>
      <c r="C83" s="31">
        <v>86800.0</v>
      </c>
      <c r="D83" s="32">
        <v>1.86</v>
      </c>
      <c r="E83" s="33">
        <v>0.0</v>
      </c>
      <c r="F83" s="32">
        <v>0.0</v>
      </c>
      <c r="G83" s="34">
        <v>86800.0</v>
      </c>
      <c r="H83" s="35">
        <v>1.32</v>
      </c>
      <c r="I83" s="36">
        <v>62400.0</v>
      </c>
      <c r="J83" s="37">
        <v>1.19</v>
      </c>
      <c r="K83" s="38">
        <v>0.0</v>
      </c>
      <c r="L83" s="39">
        <v>0.0</v>
      </c>
      <c r="M83" s="38">
        <v>62400.0</v>
      </c>
      <c r="N83" s="40">
        <v>0.91</v>
      </c>
      <c r="O83" s="36">
        <v>63600.0</v>
      </c>
      <c r="P83" s="37">
        <v>0.95</v>
      </c>
      <c r="Q83" s="38">
        <v>0.0</v>
      </c>
      <c r="R83" s="32">
        <v>0.0</v>
      </c>
      <c r="S83" s="38">
        <v>63600.0</v>
      </c>
      <c r="T83" s="35">
        <v>0.65</v>
      </c>
      <c r="U83" s="47">
        <v>35000.0</v>
      </c>
      <c r="V83" s="42">
        <v>0.52</v>
      </c>
      <c r="W83" s="43">
        <v>0.0</v>
      </c>
      <c r="X83" s="42">
        <v>0.0</v>
      </c>
      <c r="Y83" s="44">
        <v>35000.0</v>
      </c>
      <c r="Z83" s="42">
        <v>0.52</v>
      </c>
      <c r="AA83" s="45">
        <v>68463.0</v>
      </c>
      <c r="AB83" s="46"/>
      <c r="AC83" s="45">
        <v>0.0</v>
      </c>
      <c r="AD83" s="46"/>
      <c r="AE83" s="45">
        <f t="shared" si="1"/>
        <v>68463</v>
      </c>
      <c r="AF83" s="46"/>
      <c r="AG83" s="45">
        <v>130000.0</v>
      </c>
      <c r="AH83" s="46"/>
      <c r="AI83" s="45">
        <v>0.0</v>
      </c>
      <c r="AJ83" s="46"/>
      <c r="AK83" s="45">
        <f t="shared" si="2"/>
        <v>130000</v>
      </c>
      <c r="AL83" s="46"/>
      <c r="AM83" s="45">
        <v>51000.0</v>
      </c>
      <c r="AN83" s="46"/>
      <c r="AO83" s="45">
        <v>0.0</v>
      </c>
      <c r="AP83" s="46"/>
      <c r="AQ83" s="45">
        <f t="shared" si="3"/>
        <v>51000</v>
      </c>
      <c r="AR83" s="46"/>
    </row>
    <row r="84" ht="15.75" customHeight="1">
      <c r="A84" s="29">
        <v>21004.0</v>
      </c>
      <c r="B84" s="30" t="s">
        <v>89</v>
      </c>
      <c r="C84" s="48">
        <v>0.0</v>
      </c>
      <c r="D84" s="32">
        <v>0.0</v>
      </c>
      <c r="E84" s="33">
        <v>0.0</v>
      </c>
      <c r="F84" s="32">
        <v>0.0</v>
      </c>
      <c r="G84" s="34">
        <v>0.0</v>
      </c>
      <c r="H84" s="35">
        <v>0.0</v>
      </c>
      <c r="I84" s="36">
        <v>1000.0</v>
      </c>
      <c r="J84" s="37">
        <v>0.01</v>
      </c>
      <c r="K84" s="38">
        <v>0.0</v>
      </c>
      <c r="L84" s="39">
        <v>0.0</v>
      </c>
      <c r="M84" s="38">
        <v>1000.0</v>
      </c>
      <c r="N84" s="40">
        <v>0.0</v>
      </c>
      <c r="O84" s="36">
        <v>5000.0</v>
      </c>
      <c r="P84" s="37">
        <v>0.04</v>
      </c>
      <c r="Q84" s="38">
        <v>0.0</v>
      </c>
      <c r="R84" s="32">
        <v>0.0</v>
      </c>
      <c r="S84" s="38">
        <v>5000.0</v>
      </c>
      <c r="T84" s="35">
        <v>0.02</v>
      </c>
      <c r="U84" s="47">
        <v>350000.0</v>
      </c>
      <c r="V84" s="42">
        <v>2.41</v>
      </c>
      <c r="W84" s="43">
        <v>0.0</v>
      </c>
      <c r="X84" s="42">
        <v>0.0</v>
      </c>
      <c r="Y84" s="44">
        <v>350000.0</v>
      </c>
      <c r="Z84" s="42">
        <v>2.06</v>
      </c>
      <c r="AA84" s="45">
        <v>350000.0</v>
      </c>
      <c r="AB84" s="46"/>
      <c r="AC84" s="45">
        <v>0.0</v>
      </c>
      <c r="AD84" s="46"/>
      <c r="AE84" s="45">
        <f t="shared" si="1"/>
        <v>350000</v>
      </c>
      <c r="AF84" s="46"/>
      <c r="AG84" s="45">
        <v>350000.0</v>
      </c>
      <c r="AH84" s="46"/>
      <c r="AI84" s="45">
        <v>0.0</v>
      </c>
      <c r="AJ84" s="46"/>
      <c r="AK84" s="45">
        <f t="shared" si="2"/>
        <v>350000</v>
      </c>
      <c r="AL84" s="46"/>
      <c r="AM84" s="45">
        <v>350000.0</v>
      </c>
      <c r="AN84" s="46"/>
      <c r="AO84" s="45">
        <v>0.0</v>
      </c>
      <c r="AP84" s="46"/>
      <c r="AQ84" s="45">
        <f t="shared" si="3"/>
        <v>350000</v>
      </c>
      <c r="AR84" s="46"/>
    </row>
    <row r="85" ht="15.75" customHeight="1">
      <c r="A85" s="29">
        <v>21005.0</v>
      </c>
      <c r="B85" s="30" t="s">
        <v>90</v>
      </c>
      <c r="C85" s="48">
        <v>0.0</v>
      </c>
      <c r="D85" s="32">
        <v>0.0</v>
      </c>
      <c r="E85" s="33">
        <v>0.0</v>
      </c>
      <c r="F85" s="32">
        <v>0.0</v>
      </c>
      <c r="G85" s="34">
        <v>0.0</v>
      </c>
      <c r="H85" s="35">
        <v>0.0</v>
      </c>
      <c r="I85" s="36">
        <v>17300.0</v>
      </c>
      <c r="J85" s="37">
        <v>0.37</v>
      </c>
      <c r="K85" s="38">
        <v>0.0</v>
      </c>
      <c r="L85" s="39">
        <v>0.0</v>
      </c>
      <c r="M85" s="38">
        <v>17300.0</v>
      </c>
      <c r="N85" s="40">
        <v>0.23</v>
      </c>
      <c r="O85" s="36">
        <v>20000.0</v>
      </c>
      <c r="P85" s="37">
        <v>0.42</v>
      </c>
      <c r="Q85" s="38">
        <v>0.0</v>
      </c>
      <c r="R85" s="32">
        <v>0.0</v>
      </c>
      <c r="S85" s="38">
        <v>20000.0</v>
      </c>
      <c r="T85" s="35">
        <v>0.26</v>
      </c>
      <c r="U85" s="47">
        <v>10000.0</v>
      </c>
      <c r="V85" s="42">
        <v>0.19</v>
      </c>
      <c r="W85" s="43">
        <v>0.0</v>
      </c>
      <c r="X85" s="42">
        <v>0.0</v>
      </c>
      <c r="Y85" s="44">
        <v>10000.0</v>
      </c>
      <c r="Z85" s="42">
        <v>0.17</v>
      </c>
      <c r="AA85" s="45">
        <v>10000.0</v>
      </c>
      <c r="AB85" s="46"/>
      <c r="AC85" s="45">
        <v>0.0</v>
      </c>
      <c r="AD85" s="46"/>
      <c r="AE85" s="45">
        <f t="shared" si="1"/>
        <v>10000</v>
      </c>
      <c r="AF85" s="46"/>
      <c r="AG85" s="45">
        <v>10000.0</v>
      </c>
      <c r="AH85" s="46"/>
      <c r="AI85" s="45">
        <v>0.0</v>
      </c>
      <c r="AJ85" s="46"/>
      <c r="AK85" s="45">
        <f t="shared" si="2"/>
        <v>10000</v>
      </c>
      <c r="AL85" s="46"/>
      <c r="AM85" s="45">
        <v>10000.0</v>
      </c>
      <c r="AN85" s="46"/>
      <c r="AO85" s="45">
        <v>0.0</v>
      </c>
      <c r="AP85" s="46"/>
      <c r="AQ85" s="45">
        <f t="shared" si="3"/>
        <v>10000</v>
      </c>
      <c r="AR85" s="46"/>
    </row>
    <row r="86" ht="15.75" customHeight="1">
      <c r="A86" s="29">
        <v>21006.0</v>
      </c>
      <c r="B86" s="30" t="s">
        <v>91</v>
      </c>
      <c r="C86" s="31">
        <v>45000.0</v>
      </c>
      <c r="D86" s="32">
        <v>2.53</v>
      </c>
      <c r="E86" s="33">
        <v>0.0</v>
      </c>
      <c r="F86" s="32">
        <v>0.0</v>
      </c>
      <c r="G86" s="34">
        <v>45000.0</v>
      </c>
      <c r="H86" s="35">
        <v>1.35</v>
      </c>
      <c r="I86" s="36">
        <v>30000.0</v>
      </c>
      <c r="J86" s="37">
        <v>1.75</v>
      </c>
      <c r="K86" s="38">
        <v>0.0</v>
      </c>
      <c r="L86" s="39">
        <v>0.0</v>
      </c>
      <c r="M86" s="38">
        <v>30000.0</v>
      </c>
      <c r="N86" s="40">
        <v>1.72</v>
      </c>
      <c r="O86" s="36">
        <v>75000.0</v>
      </c>
      <c r="P86" s="37">
        <v>2.21</v>
      </c>
      <c r="Q86" s="38">
        <v>0.0</v>
      </c>
      <c r="R86" s="32">
        <v>0.0</v>
      </c>
      <c r="S86" s="38">
        <v>75000.0</v>
      </c>
      <c r="T86" s="35">
        <v>1.41</v>
      </c>
      <c r="U86" s="47">
        <v>46694.0</v>
      </c>
      <c r="V86" s="42">
        <v>1.21</v>
      </c>
      <c r="W86" s="43">
        <v>0.0</v>
      </c>
      <c r="X86" s="42">
        <v>0.0</v>
      </c>
      <c r="Y86" s="44">
        <v>46694.0</v>
      </c>
      <c r="Z86" s="42">
        <v>1.2</v>
      </c>
      <c r="AA86" s="45">
        <v>52800.0</v>
      </c>
      <c r="AB86" s="46"/>
      <c r="AC86" s="45">
        <v>0.0</v>
      </c>
      <c r="AD86" s="46"/>
      <c r="AE86" s="45">
        <f t="shared" si="1"/>
        <v>52800</v>
      </c>
      <c r="AF86" s="46"/>
      <c r="AG86" s="45">
        <v>90000.0</v>
      </c>
      <c r="AH86" s="46"/>
      <c r="AI86" s="45">
        <v>0.0</v>
      </c>
      <c r="AJ86" s="46"/>
      <c r="AK86" s="45">
        <f t="shared" si="2"/>
        <v>90000</v>
      </c>
      <c r="AL86" s="46"/>
      <c r="AM86" s="45">
        <v>80000.0</v>
      </c>
      <c r="AN86" s="46"/>
      <c r="AO86" s="45">
        <v>0.0</v>
      </c>
      <c r="AP86" s="46"/>
      <c r="AQ86" s="45">
        <f t="shared" si="3"/>
        <v>80000</v>
      </c>
      <c r="AR86" s="46"/>
    </row>
    <row r="87" ht="15.75" customHeight="1">
      <c r="A87" s="29">
        <v>21101.0</v>
      </c>
      <c r="B87" s="30" t="s">
        <v>92</v>
      </c>
      <c r="C87" s="31">
        <v>100000.0</v>
      </c>
      <c r="D87" s="32">
        <v>1.58</v>
      </c>
      <c r="E87" s="33">
        <v>0.0</v>
      </c>
      <c r="F87" s="32">
        <v>0.0</v>
      </c>
      <c r="G87" s="34">
        <v>100000.0</v>
      </c>
      <c r="H87" s="35">
        <v>1.25</v>
      </c>
      <c r="I87" s="36">
        <v>50000.0</v>
      </c>
      <c r="J87" s="37">
        <v>0.72</v>
      </c>
      <c r="K87" s="38">
        <v>0.0</v>
      </c>
      <c r="L87" s="39">
        <v>0.0</v>
      </c>
      <c r="M87" s="38">
        <v>50000.0</v>
      </c>
      <c r="N87" s="40">
        <v>0.51</v>
      </c>
      <c r="O87" s="36">
        <v>467838.0</v>
      </c>
      <c r="P87" s="37">
        <v>4.35</v>
      </c>
      <c r="Q87" s="38">
        <v>0.0</v>
      </c>
      <c r="R87" s="32">
        <v>0.0</v>
      </c>
      <c r="S87" s="38">
        <v>467838.0</v>
      </c>
      <c r="T87" s="35">
        <v>3.06</v>
      </c>
      <c r="U87" s="47">
        <v>517402.0</v>
      </c>
      <c r="V87" s="42">
        <v>4.29</v>
      </c>
      <c r="W87" s="43">
        <v>0.0</v>
      </c>
      <c r="X87" s="42">
        <v>0.0</v>
      </c>
      <c r="Y87" s="44">
        <v>517402.0</v>
      </c>
      <c r="Z87" s="42">
        <v>4.27</v>
      </c>
      <c r="AA87" s="45">
        <v>0.0</v>
      </c>
      <c r="AB87" s="46"/>
      <c r="AC87" s="45">
        <v>0.0</v>
      </c>
      <c r="AD87" s="46"/>
      <c r="AE87" s="45">
        <f t="shared" si="1"/>
        <v>0</v>
      </c>
      <c r="AF87" s="46"/>
      <c r="AG87" s="45">
        <v>540000.0</v>
      </c>
      <c r="AH87" s="46"/>
      <c r="AI87" s="45">
        <v>0.0</v>
      </c>
      <c r="AJ87" s="46"/>
      <c r="AK87" s="45">
        <f t="shared" si="2"/>
        <v>540000</v>
      </c>
      <c r="AL87" s="46"/>
      <c r="AM87" s="45">
        <v>956299.0</v>
      </c>
      <c r="AN87" s="46"/>
      <c r="AO87" s="45">
        <v>0.0</v>
      </c>
      <c r="AP87" s="46"/>
      <c r="AQ87" s="45">
        <f t="shared" si="3"/>
        <v>956299</v>
      </c>
      <c r="AR87" s="46"/>
    </row>
    <row r="88" ht="15.75" customHeight="1">
      <c r="A88" s="29">
        <v>21102.0</v>
      </c>
      <c r="B88" s="30" t="s">
        <v>93</v>
      </c>
      <c r="C88" s="31">
        <v>200000.0</v>
      </c>
      <c r="D88" s="32">
        <v>2.45</v>
      </c>
      <c r="E88" s="33">
        <v>0.0</v>
      </c>
      <c r="F88" s="32">
        <v>0.0</v>
      </c>
      <c r="G88" s="34">
        <v>200000.0</v>
      </c>
      <c r="H88" s="35">
        <v>1.59</v>
      </c>
      <c r="I88" s="36">
        <v>220001.0</v>
      </c>
      <c r="J88" s="37">
        <v>2.51</v>
      </c>
      <c r="K88" s="38">
        <v>0.0</v>
      </c>
      <c r="L88" s="39">
        <v>0.0</v>
      </c>
      <c r="M88" s="38">
        <v>220001.0</v>
      </c>
      <c r="N88" s="40">
        <v>1.98</v>
      </c>
      <c r="O88" s="36">
        <v>441528.0</v>
      </c>
      <c r="P88" s="37">
        <v>4.04</v>
      </c>
      <c r="Q88" s="38">
        <v>0.0</v>
      </c>
      <c r="R88" s="32">
        <v>0.0</v>
      </c>
      <c r="S88" s="38">
        <v>441528.0</v>
      </c>
      <c r="T88" s="35">
        <v>3.75</v>
      </c>
      <c r="U88" s="47">
        <v>449722.0</v>
      </c>
      <c r="V88" s="42">
        <v>3.22</v>
      </c>
      <c r="W88" s="43">
        <v>0.0</v>
      </c>
      <c r="X88" s="42">
        <v>0.0</v>
      </c>
      <c r="Y88" s="44">
        <v>449722.0</v>
      </c>
      <c r="Z88" s="42">
        <v>3.22</v>
      </c>
      <c r="AA88" s="45">
        <v>553522.0</v>
      </c>
      <c r="AB88" s="46"/>
      <c r="AC88" s="45">
        <v>0.0</v>
      </c>
      <c r="AD88" s="46"/>
      <c r="AE88" s="45">
        <f t="shared" si="1"/>
        <v>553522</v>
      </c>
      <c r="AF88" s="46"/>
      <c r="AG88" s="45">
        <v>416715.0</v>
      </c>
      <c r="AH88" s="46"/>
      <c r="AI88" s="45">
        <v>0.0</v>
      </c>
      <c r="AJ88" s="46"/>
      <c r="AK88" s="45">
        <f t="shared" si="2"/>
        <v>416715</v>
      </c>
      <c r="AL88" s="46"/>
      <c r="AM88" s="45">
        <v>436622.0</v>
      </c>
      <c r="AN88" s="46"/>
      <c r="AO88" s="45">
        <v>0.0</v>
      </c>
      <c r="AP88" s="46"/>
      <c r="AQ88" s="45">
        <f t="shared" si="3"/>
        <v>436622</v>
      </c>
      <c r="AR88" s="46"/>
    </row>
    <row r="89" ht="15.75" customHeight="1">
      <c r="A89" s="29">
        <v>21103.0</v>
      </c>
      <c r="B89" s="30" t="s">
        <v>94</v>
      </c>
      <c r="C89" s="31">
        <v>30010.0</v>
      </c>
      <c r="D89" s="32">
        <v>1.09</v>
      </c>
      <c r="E89" s="33">
        <v>0.0</v>
      </c>
      <c r="F89" s="32">
        <v>0.0</v>
      </c>
      <c r="G89" s="34">
        <v>30010.0</v>
      </c>
      <c r="H89" s="35">
        <v>0.68</v>
      </c>
      <c r="I89" s="36">
        <v>34392.0</v>
      </c>
      <c r="J89" s="37">
        <v>1.21</v>
      </c>
      <c r="K89" s="38">
        <v>0.0</v>
      </c>
      <c r="L89" s="39">
        <v>0.0</v>
      </c>
      <c r="M89" s="38">
        <v>34392.0</v>
      </c>
      <c r="N89" s="40">
        <v>1.13</v>
      </c>
      <c r="O89" s="36">
        <v>30000.0</v>
      </c>
      <c r="P89" s="37">
        <v>0.73</v>
      </c>
      <c r="Q89" s="38">
        <v>0.0</v>
      </c>
      <c r="R89" s="32">
        <v>0.0</v>
      </c>
      <c r="S89" s="38">
        <v>30000.0</v>
      </c>
      <c r="T89" s="35">
        <v>0.41</v>
      </c>
      <c r="U89" s="47">
        <v>65108.0</v>
      </c>
      <c r="V89" s="42">
        <v>1.78</v>
      </c>
      <c r="W89" s="43">
        <v>0.0</v>
      </c>
      <c r="X89" s="42">
        <v>0.0</v>
      </c>
      <c r="Y89" s="44">
        <v>65108.0</v>
      </c>
      <c r="Z89" s="42">
        <v>1.33</v>
      </c>
      <c r="AA89" s="45"/>
      <c r="AB89" s="46"/>
      <c r="AC89" s="45">
        <v>0.0</v>
      </c>
      <c r="AD89" s="46"/>
      <c r="AE89" s="45">
        <f t="shared" si="1"/>
        <v>0</v>
      </c>
      <c r="AF89" s="46"/>
      <c r="AG89" s="45"/>
      <c r="AH89" s="46"/>
      <c r="AI89" s="45">
        <v>0.0</v>
      </c>
      <c r="AJ89" s="46"/>
      <c r="AK89" s="45">
        <f t="shared" si="2"/>
        <v>0</v>
      </c>
      <c r="AL89" s="46"/>
      <c r="AM89" s="45"/>
      <c r="AN89" s="46"/>
      <c r="AO89" s="45">
        <v>0.0</v>
      </c>
      <c r="AP89" s="46"/>
      <c r="AQ89" s="45">
        <f t="shared" si="3"/>
        <v>0</v>
      </c>
      <c r="AR89" s="46"/>
    </row>
    <row r="90" ht="15.75" customHeight="1">
      <c r="A90" s="29">
        <v>21104.0</v>
      </c>
      <c r="B90" s="30" t="s">
        <v>95</v>
      </c>
      <c r="C90" s="31">
        <v>80000.0</v>
      </c>
      <c r="D90" s="32">
        <v>0.76</v>
      </c>
      <c r="E90" s="33">
        <v>0.0</v>
      </c>
      <c r="F90" s="32">
        <v>0.0</v>
      </c>
      <c r="G90" s="34">
        <v>80000.0</v>
      </c>
      <c r="H90" s="35">
        <v>0.54</v>
      </c>
      <c r="I90" s="36">
        <v>170000.0</v>
      </c>
      <c r="J90" s="37">
        <v>1.45</v>
      </c>
      <c r="K90" s="38">
        <v>0.0</v>
      </c>
      <c r="L90" s="39">
        <v>0.0</v>
      </c>
      <c r="M90" s="38">
        <v>170000.0</v>
      </c>
      <c r="N90" s="40">
        <v>1.11</v>
      </c>
      <c r="O90" s="36">
        <v>30000.0</v>
      </c>
      <c r="P90" s="37">
        <v>0.15</v>
      </c>
      <c r="Q90" s="38">
        <v>0.0</v>
      </c>
      <c r="R90" s="32">
        <v>0.0</v>
      </c>
      <c r="S90" s="38">
        <v>30000.0</v>
      </c>
      <c r="T90" s="35">
        <v>0.14</v>
      </c>
      <c r="U90" s="47">
        <v>750000.0</v>
      </c>
      <c r="V90" s="42">
        <v>3.81</v>
      </c>
      <c r="W90" s="43">
        <v>0.0</v>
      </c>
      <c r="X90" s="42">
        <v>0.0</v>
      </c>
      <c r="Y90" s="44">
        <v>750000.0</v>
      </c>
      <c r="Z90" s="42">
        <v>3.43</v>
      </c>
      <c r="AA90" s="45">
        <v>891544.0</v>
      </c>
      <c r="AB90" s="46"/>
      <c r="AC90" s="45">
        <v>0.0</v>
      </c>
      <c r="AD90" s="46"/>
      <c r="AE90" s="45">
        <f t="shared" si="1"/>
        <v>891544</v>
      </c>
      <c r="AF90" s="46"/>
      <c r="AG90" s="45">
        <v>340000.0</v>
      </c>
      <c r="AH90" s="46"/>
      <c r="AI90" s="45">
        <v>0.0</v>
      </c>
      <c r="AJ90" s="46"/>
      <c r="AK90" s="45">
        <f t="shared" si="2"/>
        <v>340000</v>
      </c>
      <c r="AL90" s="46"/>
      <c r="AM90" s="45">
        <v>501544.0</v>
      </c>
      <c r="AN90" s="46"/>
      <c r="AO90" s="45">
        <v>0.0</v>
      </c>
      <c r="AP90" s="46"/>
      <c r="AQ90" s="45">
        <f t="shared" si="3"/>
        <v>501544</v>
      </c>
      <c r="AR90" s="46"/>
    </row>
    <row r="91" ht="15.75" customHeight="1">
      <c r="A91" s="29">
        <v>21105.0</v>
      </c>
      <c r="B91" s="30" t="s">
        <v>96</v>
      </c>
      <c r="C91" s="31">
        <v>40000.0</v>
      </c>
      <c r="D91" s="32">
        <v>0.47</v>
      </c>
      <c r="E91" s="33">
        <v>0.0</v>
      </c>
      <c r="F91" s="32">
        <v>0.0</v>
      </c>
      <c r="G91" s="34">
        <v>40000.0</v>
      </c>
      <c r="H91" s="35">
        <v>0.43</v>
      </c>
      <c r="I91" s="36">
        <v>130000.0</v>
      </c>
      <c r="J91" s="37">
        <v>1.15</v>
      </c>
      <c r="K91" s="38">
        <v>0.0</v>
      </c>
      <c r="L91" s="39">
        <v>0.0</v>
      </c>
      <c r="M91" s="38">
        <v>130000.0</v>
      </c>
      <c r="N91" s="40">
        <v>1.09</v>
      </c>
      <c r="O91" s="36">
        <v>150000.0</v>
      </c>
      <c r="P91" s="37">
        <v>0.65</v>
      </c>
      <c r="Q91" s="38">
        <v>0.0</v>
      </c>
      <c r="R91" s="32">
        <v>0.0</v>
      </c>
      <c r="S91" s="38">
        <v>150000.0</v>
      </c>
      <c r="T91" s="35">
        <v>0.61</v>
      </c>
      <c r="U91" s="47">
        <v>347332.0</v>
      </c>
      <c r="V91" s="42">
        <v>1.23</v>
      </c>
      <c r="W91" s="43">
        <v>0.0</v>
      </c>
      <c r="X91" s="42">
        <v>0.0</v>
      </c>
      <c r="Y91" s="44">
        <v>347332.0</v>
      </c>
      <c r="Z91" s="42">
        <v>1.22</v>
      </c>
      <c r="AA91" s="45">
        <v>463344.0</v>
      </c>
      <c r="AB91" s="46"/>
      <c r="AC91" s="45">
        <v>0.0</v>
      </c>
      <c r="AD91" s="46"/>
      <c r="AE91" s="45">
        <f t="shared" si="1"/>
        <v>463344</v>
      </c>
      <c r="AF91" s="46"/>
      <c r="AG91" s="45">
        <v>389503.0</v>
      </c>
      <c r="AH91" s="46"/>
      <c r="AI91" s="45">
        <v>0.0</v>
      </c>
      <c r="AJ91" s="46"/>
      <c r="AK91" s="45">
        <f t="shared" si="2"/>
        <v>389503</v>
      </c>
      <c r="AL91" s="46"/>
      <c r="AM91" s="45">
        <v>434939.0</v>
      </c>
      <c r="AN91" s="46"/>
      <c r="AO91" s="45">
        <v>0.0</v>
      </c>
      <c r="AP91" s="46"/>
      <c r="AQ91" s="45">
        <f t="shared" si="3"/>
        <v>434939</v>
      </c>
      <c r="AR91" s="46"/>
    </row>
    <row r="92" ht="15.75" customHeight="1">
      <c r="A92" s="29">
        <v>21201.0</v>
      </c>
      <c r="B92" s="30" t="s">
        <v>97</v>
      </c>
      <c r="C92" s="31">
        <v>27000.0</v>
      </c>
      <c r="D92" s="32">
        <v>0.21</v>
      </c>
      <c r="E92" s="33">
        <v>0.0</v>
      </c>
      <c r="F92" s="32">
        <v>0.0</v>
      </c>
      <c r="G92" s="34">
        <v>27000.0</v>
      </c>
      <c r="H92" s="35">
        <v>0.15</v>
      </c>
      <c r="I92" s="36">
        <v>30000.0</v>
      </c>
      <c r="J92" s="37">
        <v>0.19</v>
      </c>
      <c r="K92" s="38">
        <v>0.0</v>
      </c>
      <c r="L92" s="39">
        <v>0.0</v>
      </c>
      <c r="M92" s="38">
        <v>30000.0</v>
      </c>
      <c r="N92" s="40">
        <v>0.13</v>
      </c>
      <c r="O92" s="36">
        <v>30000.0</v>
      </c>
      <c r="P92" s="37">
        <v>0.18</v>
      </c>
      <c r="Q92" s="38">
        <v>0.0</v>
      </c>
      <c r="R92" s="32">
        <v>0.0</v>
      </c>
      <c r="S92" s="38">
        <v>30000.0</v>
      </c>
      <c r="T92" s="35">
        <v>0.11</v>
      </c>
      <c r="U92" s="47">
        <v>145320.0</v>
      </c>
      <c r="V92" s="42">
        <v>0.68</v>
      </c>
      <c r="W92" s="43">
        <v>0.0</v>
      </c>
      <c r="X92" s="42">
        <v>0.0</v>
      </c>
      <c r="Y92" s="44">
        <v>145320.0</v>
      </c>
      <c r="Z92" s="42">
        <v>0.6</v>
      </c>
      <c r="AA92" s="45">
        <v>100000.0</v>
      </c>
      <c r="AB92" s="46"/>
      <c r="AC92" s="45">
        <v>0.0</v>
      </c>
      <c r="AD92" s="46"/>
      <c r="AE92" s="45">
        <f t="shared" si="1"/>
        <v>100000</v>
      </c>
      <c r="AF92" s="46"/>
      <c r="AG92" s="45">
        <v>125000.0</v>
      </c>
      <c r="AH92" s="46"/>
      <c r="AI92" s="45">
        <v>0.0</v>
      </c>
      <c r="AJ92" s="46"/>
      <c r="AK92" s="45">
        <f t="shared" si="2"/>
        <v>125000</v>
      </c>
      <c r="AL92" s="46"/>
      <c r="AM92" s="45">
        <v>190000.0</v>
      </c>
      <c r="AN92" s="46"/>
      <c r="AO92" s="45">
        <v>0.0</v>
      </c>
      <c r="AP92" s="46"/>
      <c r="AQ92" s="45">
        <f t="shared" si="3"/>
        <v>190000</v>
      </c>
      <c r="AR92" s="46"/>
    </row>
    <row r="93" ht="15.75" customHeight="1">
      <c r="A93" s="29">
        <v>21202.0</v>
      </c>
      <c r="B93" s="30" t="s">
        <v>98</v>
      </c>
      <c r="C93" s="31">
        <v>16000.0</v>
      </c>
      <c r="D93" s="32">
        <v>0.17</v>
      </c>
      <c r="E93" s="33">
        <v>0.0</v>
      </c>
      <c r="F93" s="32">
        <v>0.0</v>
      </c>
      <c r="G93" s="34">
        <v>16000.0</v>
      </c>
      <c r="H93" s="35">
        <v>0.08</v>
      </c>
      <c r="I93" s="36">
        <v>15000.0</v>
      </c>
      <c r="J93" s="37">
        <v>0.18</v>
      </c>
      <c r="K93" s="38">
        <v>0.0</v>
      </c>
      <c r="L93" s="39">
        <v>0.0</v>
      </c>
      <c r="M93" s="38">
        <v>15000.0</v>
      </c>
      <c r="N93" s="40">
        <v>0.11</v>
      </c>
      <c r="O93" s="36">
        <v>30000.0</v>
      </c>
      <c r="P93" s="37">
        <v>0.25</v>
      </c>
      <c r="Q93" s="38">
        <v>0.0</v>
      </c>
      <c r="R93" s="32">
        <v>0.0</v>
      </c>
      <c r="S93" s="38">
        <v>30000.0</v>
      </c>
      <c r="T93" s="35">
        <v>0.14</v>
      </c>
      <c r="U93" s="47">
        <v>220000.0</v>
      </c>
      <c r="V93" s="42">
        <v>1.25</v>
      </c>
      <c r="W93" s="43">
        <v>0.0</v>
      </c>
      <c r="X93" s="42">
        <v>0.0</v>
      </c>
      <c r="Y93" s="44">
        <v>220000.0</v>
      </c>
      <c r="Z93" s="42">
        <v>1.13</v>
      </c>
      <c r="AA93" s="45">
        <v>487600.0</v>
      </c>
      <c r="AB93" s="46"/>
      <c r="AC93" s="45">
        <v>0.0</v>
      </c>
      <c r="AD93" s="46"/>
      <c r="AE93" s="45">
        <f t="shared" si="1"/>
        <v>487600</v>
      </c>
      <c r="AF93" s="46"/>
      <c r="AG93" s="45">
        <v>250000.0</v>
      </c>
      <c r="AH93" s="46"/>
      <c r="AI93" s="45">
        <v>0.0</v>
      </c>
      <c r="AJ93" s="46"/>
      <c r="AK93" s="45">
        <f t="shared" si="2"/>
        <v>250000</v>
      </c>
      <c r="AL93" s="46"/>
      <c r="AM93" s="45">
        <v>245000.0</v>
      </c>
      <c r="AN93" s="46"/>
      <c r="AO93" s="45">
        <v>0.0</v>
      </c>
      <c r="AP93" s="46"/>
      <c r="AQ93" s="45">
        <f t="shared" si="3"/>
        <v>245000</v>
      </c>
      <c r="AR93" s="46"/>
    </row>
    <row r="94" ht="15.75" customHeight="1">
      <c r="A94" s="29">
        <v>21203.0</v>
      </c>
      <c r="B94" s="30" t="s">
        <v>99</v>
      </c>
      <c r="C94" s="31">
        <v>50000.0</v>
      </c>
      <c r="D94" s="32">
        <v>0.45</v>
      </c>
      <c r="E94" s="33">
        <v>0.0</v>
      </c>
      <c r="F94" s="32">
        <v>0.0</v>
      </c>
      <c r="G94" s="34">
        <v>50000.0</v>
      </c>
      <c r="H94" s="35">
        <v>0.41</v>
      </c>
      <c r="I94" s="36">
        <v>120000.0</v>
      </c>
      <c r="J94" s="37">
        <v>0.74</v>
      </c>
      <c r="K94" s="38">
        <v>0.0</v>
      </c>
      <c r="L94" s="39">
        <v>0.0</v>
      </c>
      <c r="M94" s="38">
        <v>120000.0</v>
      </c>
      <c r="N94" s="40">
        <v>0.72</v>
      </c>
      <c r="O94" s="36">
        <v>120000.0</v>
      </c>
      <c r="P94" s="37">
        <v>0.93</v>
      </c>
      <c r="Q94" s="38">
        <v>0.0</v>
      </c>
      <c r="R94" s="32">
        <v>0.0</v>
      </c>
      <c r="S94" s="38">
        <v>120000.0</v>
      </c>
      <c r="T94" s="35">
        <v>0.74</v>
      </c>
      <c r="U94" s="47">
        <v>180000.0</v>
      </c>
      <c r="V94" s="42">
        <v>1.82</v>
      </c>
      <c r="W94" s="43">
        <v>0.0</v>
      </c>
      <c r="X94" s="42">
        <v>0.0</v>
      </c>
      <c r="Y94" s="44">
        <v>180000.0</v>
      </c>
      <c r="Z94" s="42">
        <v>1.38</v>
      </c>
      <c r="AA94" s="45">
        <v>10000.0</v>
      </c>
      <c r="AB94" s="46"/>
      <c r="AC94" s="45">
        <v>0.0</v>
      </c>
      <c r="AD94" s="46"/>
      <c r="AE94" s="45">
        <f t="shared" si="1"/>
        <v>10000</v>
      </c>
      <c r="AF94" s="46"/>
      <c r="AG94" s="45">
        <v>250000.0</v>
      </c>
      <c r="AH94" s="46"/>
      <c r="AI94" s="45">
        <v>0.0</v>
      </c>
      <c r="AJ94" s="46"/>
      <c r="AK94" s="45">
        <f t="shared" si="2"/>
        <v>250000</v>
      </c>
      <c r="AL94" s="46"/>
      <c r="AM94" s="45">
        <v>236398.0</v>
      </c>
      <c r="AN94" s="46"/>
      <c r="AO94" s="45">
        <v>0.0</v>
      </c>
      <c r="AP94" s="46"/>
      <c r="AQ94" s="45">
        <f t="shared" si="3"/>
        <v>236398</v>
      </c>
      <c r="AR94" s="46"/>
    </row>
    <row r="95" ht="15.75" customHeight="1">
      <c r="A95" s="29">
        <v>21204.0</v>
      </c>
      <c r="B95" s="30" t="s">
        <v>100</v>
      </c>
      <c r="C95" s="48">
        <v>0.0</v>
      </c>
      <c r="D95" s="32">
        <v>0.0</v>
      </c>
      <c r="E95" s="33">
        <v>0.0</v>
      </c>
      <c r="F95" s="32">
        <v>0.0</v>
      </c>
      <c r="G95" s="34">
        <v>0.0</v>
      </c>
      <c r="H95" s="35">
        <v>0.0</v>
      </c>
      <c r="I95" s="48">
        <v>0.0</v>
      </c>
      <c r="J95" s="32">
        <v>0.0</v>
      </c>
      <c r="K95" s="38">
        <v>0.0</v>
      </c>
      <c r="L95" s="39">
        <v>0.0</v>
      </c>
      <c r="M95" s="34">
        <v>0.0</v>
      </c>
      <c r="N95" s="35">
        <v>0.0</v>
      </c>
      <c r="O95" s="48">
        <v>0.0</v>
      </c>
      <c r="P95" s="32">
        <v>0.0</v>
      </c>
      <c r="Q95" s="38">
        <v>0.0</v>
      </c>
      <c r="R95" s="32">
        <v>0.0</v>
      </c>
      <c r="S95" s="34">
        <v>0.0</v>
      </c>
      <c r="T95" s="35">
        <v>0.0</v>
      </c>
      <c r="U95" s="41">
        <v>0.0</v>
      </c>
      <c r="V95" s="42">
        <v>0.0</v>
      </c>
      <c r="W95" s="43">
        <v>0.0</v>
      </c>
      <c r="X95" s="42">
        <v>0.0</v>
      </c>
      <c r="Y95" s="44">
        <v>0.0</v>
      </c>
      <c r="Z95" s="42">
        <v>0.0</v>
      </c>
      <c r="AA95" s="45"/>
      <c r="AB95" s="46"/>
      <c r="AC95" s="45">
        <v>0.0</v>
      </c>
      <c r="AD95" s="46"/>
      <c r="AE95" s="45">
        <f t="shared" si="1"/>
        <v>0</v>
      </c>
      <c r="AF95" s="46"/>
      <c r="AG95" s="45">
        <v>10000.0</v>
      </c>
      <c r="AH95" s="46"/>
      <c r="AI95" s="45">
        <v>0.0</v>
      </c>
      <c r="AJ95" s="46"/>
      <c r="AK95" s="45">
        <f t="shared" si="2"/>
        <v>10000</v>
      </c>
      <c r="AL95" s="46"/>
      <c r="AM95" s="45">
        <v>10000.0</v>
      </c>
      <c r="AN95" s="46"/>
      <c r="AO95" s="45">
        <v>0.0</v>
      </c>
      <c r="AP95" s="46"/>
      <c r="AQ95" s="45">
        <f t="shared" si="3"/>
        <v>10000</v>
      </c>
      <c r="AR95" s="46"/>
    </row>
    <row r="96" ht="15.75" customHeight="1">
      <c r="A96" s="29">
        <v>21301.0</v>
      </c>
      <c r="B96" s="30" t="s">
        <v>101</v>
      </c>
      <c r="C96" s="31">
        <v>171600.0</v>
      </c>
      <c r="D96" s="32">
        <v>1.25</v>
      </c>
      <c r="E96" s="33">
        <v>0.0</v>
      </c>
      <c r="F96" s="32">
        <v>0.0</v>
      </c>
      <c r="G96" s="34">
        <v>171600.0</v>
      </c>
      <c r="H96" s="35">
        <v>0.87</v>
      </c>
      <c r="I96" s="36">
        <v>171600.0</v>
      </c>
      <c r="J96" s="37">
        <v>1.06</v>
      </c>
      <c r="K96" s="38">
        <v>0.0</v>
      </c>
      <c r="L96" s="39">
        <v>0.0</v>
      </c>
      <c r="M96" s="38">
        <v>171600.0</v>
      </c>
      <c r="N96" s="40">
        <v>0.64</v>
      </c>
      <c r="O96" s="36">
        <v>155350.0</v>
      </c>
      <c r="P96" s="37">
        <v>1.05</v>
      </c>
      <c r="Q96" s="38">
        <v>0.0</v>
      </c>
      <c r="R96" s="32">
        <v>0.0</v>
      </c>
      <c r="S96" s="38">
        <v>155350.0</v>
      </c>
      <c r="T96" s="35">
        <v>0.68</v>
      </c>
      <c r="U96" s="47">
        <v>96091.0</v>
      </c>
      <c r="V96" s="42">
        <v>0.69</v>
      </c>
      <c r="W96" s="43">
        <v>0.0</v>
      </c>
      <c r="X96" s="42">
        <v>0.0</v>
      </c>
      <c r="Y96" s="44">
        <v>96091.0</v>
      </c>
      <c r="Z96" s="42">
        <v>0.48</v>
      </c>
      <c r="AA96" s="45">
        <v>200000.0</v>
      </c>
      <c r="AB96" s="46"/>
      <c r="AC96" s="45">
        <v>0.0</v>
      </c>
      <c r="AD96" s="46"/>
      <c r="AE96" s="45">
        <f t="shared" si="1"/>
        <v>200000</v>
      </c>
      <c r="AF96" s="46"/>
      <c r="AG96" s="45">
        <v>300000.0</v>
      </c>
      <c r="AH96" s="46"/>
      <c r="AI96" s="45">
        <v>0.0</v>
      </c>
      <c r="AJ96" s="46"/>
      <c r="AK96" s="45">
        <f t="shared" si="2"/>
        <v>300000</v>
      </c>
      <c r="AL96" s="46"/>
      <c r="AM96" s="45">
        <v>360000.0</v>
      </c>
      <c r="AN96" s="46"/>
      <c r="AO96" s="45">
        <v>0.0</v>
      </c>
      <c r="AP96" s="46"/>
      <c r="AQ96" s="45">
        <f t="shared" si="3"/>
        <v>360000</v>
      </c>
      <c r="AR96" s="46"/>
    </row>
    <row r="97" ht="15.75" customHeight="1">
      <c r="A97" s="29">
        <v>21302.0</v>
      </c>
      <c r="B97" s="30" t="s">
        <v>102</v>
      </c>
      <c r="C97" s="48">
        <v>0.0</v>
      </c>
      <c r="D97" s="32">
        <v>0.0</v>
      </c>
      <c r="E97" s="33">
        <v>0.0</v>
      </c>
      <c r="F97" s="32">
        <v>0.0</v>
      </c>
      <c r="G97" s="34">
        <v>0.0</v>
      </c>
      <c r="H97" s="35">
        <v>0.0</v>
      </c>
      <c r="I97" s="48">
        <v>0.0</v>
      </c>
      <c r="J97" s="32">
        <v>0.0</v>
      </c>
      <c r="K97" s="38">
        <v>0.0</v>
      </c>
      <c r="L97" s="39">
        <v>0.0</v>
      </c>
      <c r="M97" s="34">
        <v>0.0</v>
      </c>
      <c r="N97" s="35">
        <v>0.0</v>
      </c>
      <c r="O97" s="48">
        <v>0.0</v>
      </c>
      <c r="P97" s="32">
        <v>0.0</v>
      </c>
      <c r="Q97" s="38">
        <v>0.0</v>
      </c>
      <c r="R97" s="32">
        <v>0.0</v>
      </c>
      <c r="S97" s="34">
        <v>0.0</v>
      </c>
      <c r="T97" s="35">
        <v>0.0</v>
      </c>
      <c r="U97" s="41">
        <v>0.0</v>
      </c>
      <c r="V97" s="42">
        <v>0.0</v>
      </c>
      <c r="W97" s="43">
        <v>0.0</v>
      </c>
      <c r="X97" s="42">
        <v>0.0</v>
      </c>
      <c r="Y97" s="44">
        <v>0.0</v>
      </c>
      <c r="Z97" s="42">
        <v>0.0</v>
      </c>
      <c r="AA97" s="45"/>
      <c r="AB97" s="46"/>
      <c r="AC97" s="45">
        <v>0.0</v>
      </c>
      <c r="AD97" s="46"/>
      <c r="AE97" s="45">
        <f t="shared" si="1"/>
        <v>0</v>
      </c>
      <c r="AF97" s="46"/>
      <c r="AG97" s="45"/>
      <c r="AH97" s="46"/>
      <c r="AI97" s="45">
        <v>0.0</v>
      </c>
      <c r="AJ97" s="46"/>
      <c r="AK97" s="45">
        <f t="shared" si="2"/>
        <v>0</v>
      </c>
      <c r="AL97" s="46"/>
      <c r="AM97" s="45"/>
      <c r="AN97" s="46"/>
      <c r="AO97" s="45">
        <v>0.0</v>
      </c>
      <c r="AP97" s="46"/>
      <c r="AQ97" s="45">
        <f t="shared" si="3"/>
        <v>0</v>
      </c>
      <c r="AR97" s="46"/>
    </row>
    <row r="98" ht="15.75" customHeight="1">
      <c r="A98" s="29">
        <v>21303.0</v>
      </c>
      <c r="B98" s="30" t="s">
        <v>103</v>
      </c>
      <c r="C98" s="48">
        <v>0.0</v>
      </c>
      <c r="D98" s="32">
        <v>0.0</v>
      </c>
      <c r="E98" s="33">
        <v>0.0</v>
      </c>
      <c r="F98" s="32">
        <v>0.0</v>
      </c>
      <c r="G98" s="34">
        <v>0.0</v>
      </c>
      <c r="H98" s="35">
        <v>0.0</v>
      </c>
      <c r="I98" s="48">
        <v>0.0</v>
      </c>
      <c r="J98" s="32">
        <v>0.0</v>
      </c>
      <c r="K98" s="38">
        <v>0.0</v>
      </c>
      <c r="L98" s="39">
        <v>0.0</v>
      </c>
      <c r="M98" s="34">
        <v>0.0</v>
      </c>
      <c r="N98" s="35">
        <v>0.0</v>
      </c>
      <c r="O98" s="36">
        <v>60000.0</v>
      </c>
      <c r="P98" s="37">
        <v>1.28</v>
      </c>
      <c r="Q98" s="38">
        <v>0.0</v>
      </c>
      <c r="R98" s="32">
        <v>0.0</v>
      </c>
      <c r="S98" s="38">
        <v>60000.0</v>
      </c>
      <c r="T98" s="35">
        <v>0.91</v>
      </c>
      <c r="U98" s="47">
        <v>10000.0</v>
      </c>
      <c r="V98" s="42">
        <v>0.23</v>
      </c>
      <c r="W98" s="43">
        <v>0.0</v>
      </c>
      <c r="X98" s="42">
        <v>0.0</v>
      </c>
      <c r="Y98" s="44">
        <v>10000.0</v>
      </c>
      <c r="Z98" s="42">
        <v>0.23</v>
      </c>
      <c r="AA98" s="45">
        <v>15000.0</v>
      </c>
      <c r="AB98" s="46"/>
      <c r="AC98" s="45">
        <v>0.0</v>
      </c>
      <c r="AD98" s="46"/>
      <c r="AE98" s="45">
        <f t="shared" si="1"/>
        <v>15000</v>
      </c>
      <c r="AF98" s="46"/>
      <c r="AG98" s="45">
        <v>15000.0</v>
      </c>
      <c r="AH98" s="46"/>
      <c r="AI98" s="45">
        <v>0.0</v>
      </c>
      <c r="AJ98" s="46"/>
      <c r="AK98" s="45">
        <f t="shared" si="2"/>
        <v>15000</v>
      </c>
      <c r="AL98" s="46"/>
      <c r="AM98" s="45">
        <v>15000.0</v>
      </c>
      <c r="AN98" s="46"/>
      <c r="AO98" s="45">
        <v>0.0</v>
      </c>
      <c r="AP98" s="46"/>
      <c r="AQ98" s="45">
        <f t="shared" si="3"/>
        <v>15000</v>
      </c>
      <c r="AR98" s="46"/>
    </row>
    <row r="99" ht="15.75" customHeight="1">
      <c r="A99" s="29">
        <v>21304.0</v>
      </c>
      <c r="B99" s="30" t="s">
        <v>104</v>
      </c>
      <c r="C99" s="48">
        <v>0.0</v>
      </c>
      <c r="D99" s="32">
        <v>0.0</v>
      </c>
      <c r="E99" s="33">
        <v>0.0</v>
      </c>
      <c r="F99" s="32">
        <v>0.0</v>
      </c>
      <c r="G99" s="34">
        <v>0.0</v>
      </c>
      <c r="H99" s="35">
        <v>0.0</v>
      </c>
      <c r="I99" s="48">
        <v>0.0</v>
      </c>
      <c r="J99" s="32">
        <v>0.0</v>
      </c>
      <c r="K99" s="38">
        <v>0.0</v>
      </c>
      <c r="L99" s="39">
        <v>0.0</v>
      </c>
      <c r="M99" s="34">
        <v>0.0</v>
      </c>
      <c r="N99" s="35">
        <v>0.0</v>
      </c>
      <c r="O99" s="48">
        <v>0.0</v>
      </c>
      <c r="P99" s="32">
        <v>0.0</v>
      </c>
      <c r="Q99" s="38">
        <v>0.0</v>
      </c>
      <c r="R99" s="32">
        <v>0.0</v>
      </c>
      <c r="S99" s="34">
        <v>0.0</v>
      </c>
      <c r="T99" s="35">
        <v>0.0</v>
      </c>
      <c r="U99" s="47">
        <v>20000.0</v>
      </c>
      <c r="V99" s="42">
        <v>0.24</v>
      </c>
      <c r="W99" s="43">
        <v>0.0</v>
      </c>
      <c r="X99" s="42">
        <v>0.0</v>
      </c>
      <c r="Y99" s="44">
        <v>20000.0</v>
      </c>
      <c r="Z99" s="42">
        <v>0.24</v>
      </c>
      <c r="AA99" s="45">
        <v>20000.0</v>
      </c>
      <c r="AB99" s="46"/>
      <c r="AC99" s="45">
        <v>0.0</v>
      </c>
      <c r="AD99" s="46"/>
      <c r="AE99" s="45">
        <f t="shared" si="1"/>
        <v>20000</v>
      </c>
      <c r="AF99" s="46"/>
      <c r="AG99" s="45">
        <v>20000.0</v>
      </c>
      <c r="AH99" s="46"/>
      <c r="AI99" s="45">
        <v>0.0</v>
      </c>
      <c r="AJ99" s="46"/>
      <c r="AK99" s="45">
        <f t="shared" si="2"/>
        <v>20000</v>
      </c>
      <c r="AL99" s="46"/>
      <c r="AM99" s="45">
        <v>5000.0</v>
      </c>
      <c r="AN99" s="46"/>
      <c r="AO99" s="45">
        <v>0.0</v>
      </c>
      <c r="AP99" s="46"/>
      <c r="AQ99" s="45">
        <f t="shared" si="3"/>
        <v>5000</v>
      </c>
      <c r="AR99" s="46"/>
    </row>
    <row r="100" ht="15.75" customHeight="1">
      <c r="A100" s="29">
        <v>21305.0</v>
      </c>
      <c r="B100" s="30" t="s">
        <v>105</v>
      </c>
      <c r="C100" s="48">
        <v>0.0</v>
      </c>
      <c r="D100" s="32">
        <v>0.0</v>
      </c>
      <c r="E100" s="33">
        <v>0.0</v>
      </c>
      <c r="F100" s="32">
        <v>0.0</v>
      </c>
      <c r="G100" s="34">
        <v>0.0</v>
      </c>
      <c r="H100" s="35">
        <v>0.0</v>
      </c>
      <c r="I100" s="36">
        <v>414434.0</v>
      </c>
      <c r="J100" s="37">
        <v>3.29</v>
      </c>
      <c r="K100" s="38">
        <v>0.0</v>
      </c>
      <c r="L100" s="39">
        <v>0.0</v>
      </c>
      <c r="M100" s="38">
        <v>414434.0</v>
      </c>
      <c r="N100" s="40">
        <v>2.14</v>
      </c>
      <c r="O100" s="36">
        <v>364434.0</v>
      </c>
      <c r="P100" s="37">
        <v>2.36</v>
      </c>
      <c r="Q100" s="38">
        <v>0.0</v>
      </c>
      <c r="R100" s="32">
        <v>0.0</v>
      </c>
      <c r="S100" s="38">
        <v>364434.0</v>
      </c>
      <c r="T100" s="35">
        <v>1.79</v>
      </c>
      <c r="U100" s="47">
        <v>50000.0</v>
      </c>
      <c r="V100" s="42">
        <v>0.34</v>
      </c>
      <c r="W100" s="43">
        <v>0.0</v>
      </c>
      <c r="X100" s="42">
        <v>0.0</v>
      </c>
      <c r="Y100" s="44">
        <v>50000.0</v>
      </c>
      <c r="Z100" s="42">
        <v>0.34</v>
      </c>
      <c r="AA100" s="45">
        <v>700000.0</v>
      </c>
      <c r="AB100" s="46"/>
      <c r="AC100" s="45">
        <v>0.0</v>
      </c>
      <c r="AD100" s="46"/>
      <c r="AE100" s="45">
        <f t="shared" si="1"/>
        <v>700000</v>
      </c>
      <c r="AF100" s="46"/>
      <c r="AG100" s="45">
        <v>903935.0</v>
      </c>
      <c r="AH100" s="46"/>
      <c r="AI100" s="45">
        <v>0.0</v>
      </c>
      <c r="AJ100" s="46"/>
      <c r="AK100" s="45">
        <f t="shared" si="2"/>
        <v>903935</v>
      </c>
      <c r="AL100" s="46"/>
      <c r="AM100" s="45">
        <v>903935.0</v>
      </c>
      <c r="AN100" s="46"/>
      <c r="AO100" s="45">
        <v>0.0</v>
      </c>
      <c r="AP100" s="46"/>
      <c r="AQ100" s="45">
        <f t="shared" si="3"/>
        <v>903935</v>
      </c>
      <c r="AR100" s="46"/>
    </row>
    <row r="101" ht="15.75" customHeight="1">
      <c r="A101" s="29">
        <v>21306.0</v>
      </c>
      <c r="B101" s="30" t="s">
        <v>106</v>
      </c>
      <c r="C101" s="31">
        <v>25000.0</v>
      </c>
      <c r="D101" s="32">
        <v>0.47</v>
      </c>
      <c r="E101" s="33">
        <v>0.0</v>
      </c>
      <c r="F101" s="32">
        <v>0.0</v>
      </c>
      <c r="G101" s="34">
        <v>25000.0</v>
      </c>
      <c r="H101" s="35">
        <v>0.33</v>
      </c>
      <c r="I101" s="36">
        <v>50000.0</v>
      </c>
      <c r="J101" s="37">
        <v>0.91</v>
      </c>
      <c r="K101" s="38">
        <v>0.0</v>
      </c>
      <c r="L101" s="39">
        <v>0.0</v>
      </c>
      <c r="M101" s="38">
        <v>50000.0</v>
      </c>
      <c r="N101" s="40">
        <v>0.91</v>
      </c>
      <c r="O101" s="36">
        <v>50000.0</v>
      </c>
      <c r="P101" s="37">
        <v>0.7</v>
      </c>
      <c r="Q101" s="38">
        <v>0.0</v>
      </c>
      <c r="R101" s="32">
        <v>0.0</v>
      </c>
      <c r="S101" s="38">
        <v>50000.0</v>
      </c>
      <c r="T101" s="35">
        <v>0.61</v>
      </c>
      <c r="U101" s="47">
        <v>20000.0</v>
      </c>
      <c r="V101" s="42">
        <v>0.32</v>
      </c>
      <c r="W101" s="43">
        <v>0.0</v>
      </c>
      <c r="X101" s="42">
        <v>0.0</v>
      </c>
      <c r="Y101" s="44">
        <v>20000.0</v>
      </c>
      <c r="Z101" s="42">
        <v>0.3</v>
      </c>
      <c r="AA101" s="45">
        <v>20000.0</v>
      </c>
      <c r="AB101" s="46"/>
      <c r="AC101" s="45">
        <v>0.0</v>
      </c>
      <c r="AD101" s="46"/>
      <c r="AE101" s="45">
        <f t="shared" si="1"/>
        <v>20000</v>
      </c>
      <c r="AF101" s="46"/>
      <c r="AG101" s="45">
        <v>20000.0</v>
      </c>
      <c r="AH101" s="46"/>
      <c r="AI101" s="45">
        <v>0.0</v>
      </c>
      <c r="AJ101" s="46"/>
      <c r="AK101" s="45">
        <f t="shared" si="2"/>
        <v>20000</v>
      </c>
      <c r="AL101" s="46"/>
      <c r="AM101" s="45">
        <v>25000.0</v>
      </c>
      <c r="AN101" s="46"/>
      <c r="AO101" s="45">
        <v>0.0</v>
      </c>
      <c r="AP101" s="46"/>
      <c r="AQ101" s="45">
        <f t="shared" si="3"/>
        <v>25000</v>
      </c>
      <c r="AR101" s="46"/>
    </row>
    <row r="102" ht="15.75" customHeight="1">
      <c r="A102" s="29">
        <v>21307.0</v>
      </c>
      <c r="B102" s="30" t="s">
        <v>107</v>
      </c>
      <c r="C102" s="31">
        <v>1700.0</v>
      </c>
      <c r="D102" s="32">
        <v>0.07</v>
      </c>
      <c r="E102" s="33">
        <v>0.0</v>
      </c>
      <c r="F102" s="32">
        <v>0.0</v>
      </c>
      <c r="G102" s="34">
        <v>1700.0</v>
      </c>
      <c r="H102" s="35">
        <v>0.05</v>
      </c>
      <c r="I102" s="36">
        <v>15000.0</v>
      </c>
      <c r="J102" s="37">
        <v>0.73</v>
      </c>
      <c r="K102" s="38">
        <v>0.0</v>
      </c>
      <c r="L102" s="39">
        <v>0.0</v>
      </c>
      <c r="M102" s="38">
        <v>15000.0</v>
      </c>
      <c r="N102" s="40">
        <v>0.68</v>
      </c>
      <c r="O102" s="36">
        <v>5000.0</v>
      </c>
      <c r="P102" s="37">
        <v>0.17</v>
      </c>
      <c r="Q102" s="38">
        <v>0.0</v>
      </c>
      <c r="R102" s="32">
        <v>0.0</v>
      </c>
      <c r="S102" s="38">
        <v>5000.0</v>
      </c>
      <c r="T102" s="35">
        <v>0.11</v>
      </c>
      <c r="U102" s="47">
        <v>26000.0</v>
      </c>
      <c r="V102" s="42">
        <v>1.09</v>
      </c>
      <c r="W102" s="43">
        <v>0.0</v>
      </c>
      <c r="X102" s="42">
        <v>0.0</v>
      </c>
      <c r="Y102" s="44">
        <v>26000.0</v>
      </c>
      <c r="Z102" s="42">
        <v>1.09</v>
      </c>
      <c r="AA102" s="45">
        <v>77492.0</v>
      </c>
      <c r="AB102" s="46"/>
      <c r="AC102" s="45">
        <v>0.0</v>
      </c>
      <c r="AD102" s="46"/>
      <c r="AE102" s="45">
        <f t="shared" si="1"/>
        <v>77492</v>
      </c>
      <c r="AF102" s="46"/>
      <c r="AG102" s="45">
        <v>85000.0</v>
      </c>
      <c r="AH102" s="46"/>
      <c r="AI102" s="45">
        <v>0.0</v>
      </c>
      <c r="AJ102" s="46"/>
      <c r="AK102" s="45">
        <f t="shared" si="2"/>
        <v>85000</v>
      </c>
      <c r="AL102" s="46"/>
      <c r="AM102" s="45">
        <v>60688.0</v>
      </c>
      <c r="AN102" s="46"/>
      <c r="AO102" s="45">
        <v>0.0</v>
      </c>
      <c r="AP102" s="46"/>
      <c r="AQ102" s="45">
        <f t="shared" si="3"/>
        <v>60688</v>
      </c>
      <c r="AR102" s="46"/>
    </row>
    <row r="103" ht="15.75" customHeight="1">
      <c r="A103" s="29">
        <v>21401.0</v>
      </c>
      <c r="B103" s="30" t="s">
        <v>108</v>
      </c>
      <c r="C103" s="31">
        <v>150000.0</v>
      </c>
      <c r="D103" s="32">
        <v>1.81</v>
      </c>
      <c r="E103" s="33">
        <v>0.0</v>
      </c>
      <c r="F103" s="32">
        <v>0.0</v>
      </c>
      <c r="G103" s="34">
        <v>150000.0</v>
      </c>
      <c r="H103" s="35">
        <v>1.63</v>
      </c>
      <c r="I103" s="36">
        <v>270000.0</v>
      </c>
      <c r="J103" s="37">
        <v>2.98</v>
      </c>
      <c r="K103" s="38">
        <v>0.0</v>
      </c>
      <c r="L103" s="39">
        <v>0.0</v>
      </c>
      <c r="M103" s="38">
        <v>270000.0</v>
      </c>
      <c r="N103" s="40">
        <v>2.89</v>
      </c>
      <c r="O103" s="36">
        <v>300000.0</v>
      </c>
      <c r="P103" s="37">
        <v>2.66</v>
      </c>
      <c r="Q103" s="38">
        <v>0.0</v>
      </c>
      <c r="R103" s="32">
        <v>0.0</v>
      </c>
      <c r="S103" s="38">
        <v>300000.0</v>
      </c>
      <c r="T103" s="35">
        <v>2.22</v>
      </c>
      <c r="U103" s="47">
        <v>530000.0</v>
      </c>
      <c r="V103" s="42">
        <v>4.31</v>
      </c>
      <c r="W103" s="43">
        <v>0.0</v>
      </c>
      <c r="X103" s="42">
        <v>0.0</v>
      </c>
      <c r="Y103" s="44">
        <v>530000.0</v>
      </c>
      <c r="Z103" s="42">
        <v>4.31</v>
      </c>
      <c r="AA103" s="45">
        <v>550000.0</v>
      </c>
      <c r="AB103" s="46"/>
      <c r="AC103" s="45">
        <v>0.0</v>
      </c>
      <c r="AD103" s="46"/>
      <c r="AE103" s="45">
        <f t="shared" si="1"/>
        <v>550000</v>
      </c>
      <c r="AF103" s="46"/>
      <c r="AG103" s="45">
        <v>676137.0</v>
      </c>
      <c r="AH103" s="46"/>
      <c r="AI103" s="45">
        <v>0.0</v>
      </c>
      <c r="AJ103" s="46"/>
      <c r="AK103" s="45">
        <f t="shared" si="2"/>
        <v>676137</v>
      </c>
      <c r="AL103" s="46"/>
      <c r="AM103" s="45"/>
      <c r="AN103" s="46"/>
      <c r="AO103" s="45">
        <v>0.0</v>
      </c>
      <c r="AP103" s="46"/>
      <c r="AQ103" s="45">
        <f t="shared" si="3"/>
        <v>0</v>
      </c>
      <c r="AR103" s="46"/>
    </row>
    <row r="104" ht="15.75" customHeight="1">
      <c r="A104" s="29">
        <v>21402.0</v>
      </c>
      <c r="B104" s="30" t="s">
        <v>109</v>
      </c>
      <c r="C104" s="31">
        <v>80000.0</v>
      </c>
      <c r="D104" s="32">
        <v>1.14</v>
      </c>
      <c r="E104" s="33">
        <v>0.0</v>
      </c>
      <c r="F104" s="32">
        <v>0.0</v>
      </c>
      <c r="G104" s="34">
        <v>80000.0</v>
      </c>
      <c r="H104" s="35">
        <v>1.01</v>
      </c>
      <c r="I104" s="36">
        <v>100000.0</v>
      </c>
      <c r="J104" s="37">
        <v>1.35</v>
      </c>
      <c r="K104" s="38">
        <v>0.0</v>
      </c>
      <c r="L104" s="39">
        <v>0.0</v>
      </c>
      <c r="M104" s="38">
        <v>100000.0</v>
      </c>
      <c r="N104" s="40">
        <v>1.03</v>
      </c>
      <c r="O104" s="36">
        <v>135030.0</v>
      </c>
      <c r="P104" s="37">
        <v>1.21</v>
      </c>
      <c r="Q104" s="38">
        <v>0.0</v>
      </c>
      <c r="R104" s="32">
        <v>0.0</v>
      </c>
      <c r="S104" s="38">
        <v>135030.0</v>
      </c>
      <c r="T104" s="35">
        <v>0.96</v>
      </c>
      <c r="U104" s="47">
        <v>170000.0</v>
      </c>
      <c r="V104" s="42">
        <v>1.67</v>
      </c>
      <c r="W104" s="43">
        <v>0.0</v>
      </c>
      <c r="X104" s="42">
        <v>0.0</v>
      </c>
      <c r="Y104" s="44">
        <v>170000.0</v>
      </c>
      <c r="Z104" s="42">
        <v>1.47</v>
      </c>
      <c r="AA104" s="45">
        <v>210000.0</v>
      </c>
      <c r="AB104" s="46"/>
      <c r="AC104" s="45">
        <v>0.0</v>
      </c>
      <c r="AD104" s="46"/>
      <c r="AE104" s="45">
        <f t="shared" si="1"/>
        <v>210000</v>
      </c>
      <c r="AF104" s="46"/>
      <c r="AG104" s="45">
        <v>220000.0</v>
      </c>
      <c r="AH104" s="46"/>
      <c r="AI104" s="45">
        <v>0.0</v>
      </c>
      <c r="AJ104" s="46"/>
      <c r="AK104" s="45">
        <f t="shared" si="2"/>
        <v>220000</v>
      </c>
      <c r="AL104" s="46"/>
      <c r="AM104" s="45">
        <v>230000.0</v>
      </c>
      <c r="AN104" s="46"/>
      <c r="AO104" s="45">
        <v>0.0</v>
      </c>
      <c r="AP104" s="46"/>
      <c r="AQ104" s="45">
        <f t="shared" si="3"/>
        <v>230000</v>
      </c>
      <c r="AR104" s="46"/>
    </row>
    <row r="105" ht="15.75" customHeight="1">
      <c r="A105" s="29">
        <v>21501.0</v>
      </c>
      <c r="B105" s="30" t="s">
        <v>110</v>
      </c>
      <c r="C105" s="48">
        <v>0.0</v>
      </c>
      <c r="D105" s="32">
        <v>0.0</v>
      </c>
      <c r="E105" s="33">
        <v>0.0</v>
      </c>
      <c r="F105" s="32">
        <v>0.0</v>
      </c>
      <c r="G105" s="34">
        <v>0.0</v>
      </c>
      <c r="H105" s="35">
        <v>0.0</v>
      </c>
      <c r="I105" s="36">
        <v>75000.0</v>
      </c>
      <c r="J105" s="37">
        <v>1.57</v>
      </c>
      <c r="K105" s="38">
        <v>0.0</v>
      </c>
      <c r="L105" s="39">
        <v>0.0</v>
      </c>
      <c r="M105" s="38">
        <v>75000.0</v>
      </c>
      <c r="N105" s="40">
        <v>1.54</v>
      </c>
      <c r="O105" s="36">
        <v>90000.0</v>
      </c>
      <c r="P105" s="37">
        <v>1.48</v>
      </c>
      <c r="Q105" s="38">
        <v>0.0</v>
      </c>
      <c r="R105" s="32">
        <v>0.0</v>
      </c>
      <c r="S105" s="38">
        <v>90000.0</v>
      </c>
      <c r="T105" s="35">
        <v>0.85</v>
      </c>
      <c r="U105" s="47">
        <v>60000.0</v>
      </c>
      <c r="V105" s="42">
        <v>0.93</v>
      </c>
      <c r="W105" s="43">
        <v>0.0</v>
      </c>
      <c r="X105" s="42">
        <v>0.0</v>
      </c>
      <c r="Y105" s="44">
        <v>60000.0</v>
      </c>
      <c r="Z105" s="42">
        <v>0.93</v>
      </c>
      <c r="AA105" s="45">
        <v>197176.0</v>
      </c>
      <c r="AB105" s="46"/>
      <c r="AC105" s="45">
        <v>0.0</v>
      </c>
      <c r="AD105" s="46"/>
      <c r="AE105" s="45">
        <f t="shared" si="1"/>
        <v>197176</v>
      </c>
      <c r="AF105" s="46"/>
      <c r="AG105" s="45">
        <v>222000.0</v>
      </c>
      <c r="AH105" s="46"/>
      <c r="AI105" s="45">
        <v>0.0</v>
      </c>
      <c r="AJ105" s="46"/>
      <c r="AK105" s="45">
        <f t="shared" si="2"/>
        <v>222000</v>
      </c>
      <c r="AL105" s="46"/>
      <c r="AM105" s="45">
        <v>332000.0</v>
      </c>
      <c r="AN105" s="46"/>
      <c r="AO105" s="45">
        <v>0.0</v>
      </c>
      <c r="AP105" s="46"/>
      <c r="AQ105" s="45">
        <f t="shared" si="3"/>
        <v>332000</v>
      </c>
      <c r="AR105" s="46"/>
    </row>
    <row r="106" ht="15.75" customHeight="1">
      <c r="A106" s="29">
        <v>21502.0</v>
      </c>
      <c r="B106" s="30" t="s">
        <v>111</v>
      </c>
      <c r="C106" s="31">
        <v>154000.0</v>
      </c>
      <c r="D106" s="32">
        <v>3.58</v>
      </c>
      <c r="E106" s="33">
        <v>0.0</v>
      </c>
      <c r="F106" s="32">
        <v>0.0</v>
      </c>
      <c r="G106" s="34">
        <v>154000.0</v>
      </c>
      <c r="H106" s="35">
        <v>2.8</v>
      </c>
      <c r="I106" s="36">
        <v>0.0</v>
      </c>
      <c r="J106" s="37">
        <v>0.0</v>
      </c>
      <c r="K106" s="38">
        <v>0.0</v>
      </c>
      <c r="L106" s="39">
        <v>0.0</v>
      </c>
      <c r="M106" s="38">
        <v>0.0</v>
      </c>
      <c r="N106" s="40">
        <v>0.0</v>
      </c>
      <c r="O106" s="36">
        <v>154000.0</v>
      </c>
      <c r="P106" s="37">
        <v>1.78</v>
      </c>
      <c r="Q106" s="38">
        <v>0.0</v>
      </c>
      <c r="R106" s="32">
        <v>0.0</v>
      </c>
      <c r="S106" s="38">
        <v>154000.0</v>
      </c>
      <c r="T106" s="35">
        <v>0.86</v>
      </c>
      <c r="U106" s="47">
        <v>175000.0</v>
      </c>
      <c r="V106" s="42">
        <v>2.86</v>
      </c>
      <c r="W106" s="43">
        <v>0.0</v>
      </c>
      <c r="X106" s="42">
        <v>0.0</v>
      </c>
      <c r="Y106" s="44">
        <v>175000.0</v>
      </c>
      <c r="Z106" s="42">
        <v>2.11</v>
      </c>
      <c r="AA106" s="45">
        <v>216000.0</v>
      </c>
      <c r="AB106" s="46"/>
      <c r="AC106" s="45">
        <v>0.0</v>
      </c>
      <c r="AD106" s="46"/>
      <c r="AE106" s="45">
        <f t="shared" si="1"/>
        <v>216000</v>
      </c>
      <c r="AF106" s="46"/>
      <c r="AG106" s="45">
        <v>196000.0</v>
      </c>
      <c r="AH106" s="46"/>
      <c r="AI106" s="45">
        <v>0.0</v>
      </c>
      <c r="AJ106" s="46"/>
      <c r="AK106" s="45">
        <f t="shared" si="2"/>
        <v>196000</v>
      </c>
      <c r="AL106" s="46"/>
      <c r="AM106" s="45">
        <v>160500.0</v>
      </c>
      <c r="AN106" s="46"/>
      <c r="AO106" s="45">
        <v>0.0</v>
      </c>
      <c r="AP106" s="46"/>
      <c r="AQ106" s="45">
        <f t="shared" si="3"/>
        <v>160500</v>
      </c>
      <c r="AR106" s="46"/>
    </row>
    <row r="107" ht="15.75" customHeight="1">
      <c r="A107" s="29">
        <v>21601.0</v>
      </c>
      <c r="B107" s="30" t="s">
        <v>112</v>
      </c>
      <c r="C107" s="31">
        <v>38000.0</v>
      </c>
      <c r="D107" s="32">
        <v>0.71</v>
      </c>
      <c r="E107" s="49">
        <v>15000.0</v>
      </c>
      <c r="F107" s="32">
        <v>0.55</v>
      </c>
      <c r="G107" s="34">
        <v>53000.0</v>
      </c>
      <c r="H107" s="35">
        <v>0.65</v>
      </c>
      <c r="I107" s="36">
        <v>0.0</v>
      </c>
      <c r="J107" s="37">
        <v>0.0</v>
      </c>
      <c r="K107" s="38">
        <v>0.0</v>
      </c>
      <c r="L107" s="39">
        <v>0.0</v>
      </c>
      <c r="M107" s="38">
        <v>0.0</v>
      </c>
      <c r="N107" s="40">
        <v>0.0</v>
      </c>
      <c r="O107" s="36">
        <v>35000.0</v>
      </c>
      <c r="P107" s="37">
        <v>0.41</v>
      </c>
      <c r="Q107" s="38">
        <v>0.0</v>
      </c>
      <c r="R107" s="32">
        <v>0.0</v>
      </c>
      <c r="S107" s="38">
        <v>35000.0</v>
      </c>
      <c r="T107" s="35">
        <v>0.38</v>
      </c>
      <c r="U107" s="47">
        <v>70000.0</v>
      </c>
      <c r="V107" s="42">
        <v>0.78</v>
      </c>
      <c r="W107" s="43">
        <v>0.0</v>
      </c>
      <c r="X107" s="42">
        <v>0.0</v>
      </c>
      <c r="Y107" s="44">
        <v>70000.0</v>
      </c>
      <c r="Z107" s="42">
        <v>0.74</v>
      </c>
      <c r="AA107" s="45">
        <v>60968.0</v>
      </c>
      <c r="AB107" s="46"/>
      <c r="AC107" s="45">
        <v>0.0</v>
      </c>
      <c r="AD107" s="46"/>
      <c r="AE107" s="45">
        <f t="shared" si="1"/>
        <v>60968</v>
      </c>
      <c r="AF107" s="46"/>
      <c r="AG107" s="45">
        <v>54000.0</v>
      </c>
      <c r="AH107" s="46"/>
      <c r="AI107" s="45">
        <v>0.0</v>
      </c>
      <c r="AJ107" s="46"/>
      <c r="AK107" s="45">
        <f t="shared" si="2"/>
        <v>54000</v>
      </c>
      <c r="AL107" s="46"/>
      <c r="AM107" s="45">
        <v>56688.0</v>
      </c>
      <c r="AN107" s="46"/>
      <c r="AO107" s="45">
        <v>0.0</v>
      </c>
      <c r="AP107" s="46"/>
      <c r="AQ107" s="45">
        <f t="shared" si="3"/>
        <v>56688</v>
      </c>
      <c r="AR107" s="46"/>
    </row>
    <row r="108" ht="15.75" customHeight="1">
      <c r="A108" s="29">
        <v>21602.0</v>
      </c>
      <c r="B108" s="30" t="s">
        <v>113</v>
      </c>
      <c r="C108" s="48">
        <v>0.0</v>
      </c>
      <c r="D108" s="32">
        <v>0.0</v>
      </c>
      <c r="E108" s="33">
        <v>0.0</v>
      </c>
      <c r="F108" s="32">
        <v>0.0</v>
      </c>
      <c r="G108" s="34">
        <v>0.0</v>
      </c>
      <c r="H108" s="35">
        <v>0.0</v>
      </c>
      <c r="I108" s="48">
        <v>0.0</v>
      </c>
      <c r="J108" s="32">
        <v>0.0</v>
      </c>
      <c r="K108" s="38">
        <v>0.0</v>
      </c>
      <c r="L108" s="39">
        <v>0.0</v>
      </c>
      <c r="M108" s="34">
        <v>0.0</v>
      </c>
      <c r="N108" s="35">
        <v>0.0</v>
      </c>
      <c r="O108" s="48">
        <v>0.0</v>
      </c>
      <c r="P108" s="32">
        <v>0.0</v>
      </c>
      <c r="Q108" s="38">
        <v>0.0</v>
      </c>
      <c r="R108" s="32">
        <v>0.0</v>
      </c>
      <c r="S108" s="34">
        <v>0.0</v>
      </c>
      <c r="T108" s="35">
        <v>0.0</v>
      </c>
      <c r="U108" s="41">
        <v>0.0</v>
      </c>
      <c r="V108" s="42">
        <v>0.0</v>
      </c>
      <c r="W108" s="43">
        <v>0.0</v>
      </c>
      <c r="X108" s="42">
        <v>0.0</v>
      </c>
      <c r="Y108" s="44">
        <v>0.0</v>
      </c>
      <c r="Z108" s="42">
        <v>0.0</v>
      </c>
      <c r="AA108" s="45">
        <v>5000.0</v>
      </c>
      <c r="AB108" s="46"/>
      <c r="AC108" s="45">
        <v>0.0</v>
      </c>
      <c r="AD108" s="46"/>
      <c r="AE108" s="45">
        <f t="shared" si="1"/>
        <v>5000</v>
      </c>
      <c r="AF108" s="46"/>
      <c r="AG108" s="45">
        <v>5000.0</v>
      </c>
      <c r="AH108" s="46"/>
      <c r="AI108" s="45">
        <v>0.0</v>
      </c>
      <c r="AJ108" s="46"/>
      <c r="AK108" s="45">
        <f t="shared" si="2"/>
        <v>5000</v>
      </c>
      <c r="AL108" s="46"/>
      <c r="AM108" s="45">
        <v>10000.0</v>
      </c>
      <c r="AN108" s="46"/>
      <c r="AO108" s="45">
        <v>0.0</v>
      </c>
      <c r="AP108" s="46"/>
      <c r="AQ108" s="45">
        <f t="shared" si="3"/>
        <v>10000</v>
      </c>
      <c r="AR108" s="46"/>
    </row>
    <row r="109" ht="15.75" customHeight="1">
      <c r="A109" s="29">
        <v>21701.0</v>
      </c>
      <c r="B109" s="30" t="s">
        <v>114</v>
      </c>
      <c r="C109" s="31">
        <v>150000.0</v>
      </c>
      <c r="D109" s="32">
        <v>1.92</v>
      </c>
      <c r="E109" s="49">
        <v>160102.0</v>
      </c>
      <c r="F109" s="32">
        <v>3.28</v>
      </c>
      <c r="G109" s="34">
        <v>310102.0</v>
      </c>
      <c r="H109" s="35">
        <v>2.45</v>
      </c>
      <c r="I109" s="36">
        <v>160000.0</v>
      </c>
      <c r="J109" s="37">
        <v>1.63</v>
      </c>
      <c r="K109" s="38">
        <v>0.0</v>
      </c>
      <c r="L109" s="39">
        <v>0.0</v>
      </c>
      <c r="M109" s="38">
        <v>160000.0</v>
      </c>
      <c r="N109" s="40">
        <v>1.17</v>
      </c>
      <c r="O109" s="36">
        <v>242261.0</v>
      </c>
      <c r="P109" s="37">
        <v>2.31</v>
      </c>
      <c r="Q109" s="38">
        <v>160103.0</v>
      </c>
      <c r="R109" s="32">
        <v>4.23</v>
      </c>
      <c r="S109" s="38">
        <v>402364.0</v>
      </c>
      <c r="T109" s="35">
        <v>2.82</v>
      </c>
      <c r="U109" s="47">
        <v>250000.0</v>
      </c>
      <c r="V109" s="42">
        <v>2.65</v>
      </c>
      <c r="W109" s="43">
        <v>0.0</v>
      </c>
      <c r="X109" s="42">
        <v>0.0</v>
      </c>
      <c r="Y109" s="44">
        <v>250000.0</v>
      </c>
      <c r="Z109" s="42">
        <v>2.22</v>
      </c>
      <c r="AA109" s="45">
        <v>250000.0</v>
      </c>
      <c r="AB109" s="46"/>
      <c r="AC109" s="45">
        <v>0.0</v>
      </c>
      <c r="AD109" s="46"/>
      <c r="AE109" s="45">
        <f t="shared" si="1"/>
        <v>250000</v>
      </c>
      <c r="AF109" s="46"/>
      <c r="AG109" s="45">
        <v>300000.0</v>
      </c>
      <c r="AH109" s="46"/>
      <c r="AI109" s="45">
        <v>0.0</v>
      </c>
      <c r="AJ109" s="46"/>
      <c r="AK109" s="45">
        <f t="shared" si="2"/>
        <v>300000</v>
      </c>
      <c r="AL109" s="46"/>
      <c r="AM109" s="45">
        <v>410000.0</v>
      </c>
      <c r="AN109" s="46"/>
      <c r="AO109" s="45">
        <v>0.0</v>
      </c>
      <c r="AP109" s="46"/>
      <c r="AQ109" s="45">
        <f t="shared" si="3"/>
        <v>410000</v>
      </c>
      <c r="AR109" s="46"/>
    </row>
    <row r="110" ht="15.75" customHeight="1">
      <c r="A110" s="29">
        <v>21702.0</v>
      </c>
      <c r="B110" s="30" t="s">
        <v>115</v>
      </c>
      <c r="C110" s="31">
        <v>4000.0</v>
      </c>
      <c r="D110" s="32">
        <v>0.14</v>
      </c>
      <c r="E110" s="49">
        <v>1240497.0</v>
      </c>
      <c r="F110" s="32">
        <v>42.58</v>
      </c>
      <c r="G110" s="34">
        <v>1244497.0</v>
      </c>
      <c r="H110" s="35">
        <v>21.67</v>
      </c>
      <c r="I110" s="36">
        <v>20000.0</v>
      </c>
      <c r="J110" s="37">
        <v>0.54</v>
      </c>
      <c r="K110" s="38">
        <v>0.0</v>
      </c>
      <c r="L110" s="39">
        <v>0.0</v>
      </c>
      <c r="M110" s="38">
        <v>20000.0</v>
      </c>
      <c r="N110" s="40">
        <v>0.36</v>
      </c>
      <c r="O110" s="36">
        <v>20000.0</v>
      </c>
      <c r="P110" s="37">
        <v>0.6</v>
      </c>
      <c r="Q110" s="38">
        <v>1243749.0</v>
      </c>
      <c r="R110" s="32">
        <v>51.88</v>
      </c>
      <c r="S110" s="38">
        <v>1263749.0</v>
      </c>
      <c r="T110" s="35">
        <v>22.08</v>
      </c>
      <c r="U110" s="47">
        <v>104180.0</v>
      </c>
      <c r="V110" s="42">
        <v>2.84</v>
      </c>
      <c r="W110" s="43">
        <v>0.0</v>
      </c>
      <c r="X110" s="42">
        <v>0.0</v>
      </c>
      <c r="Y110" s="44">
        <v>104180.0</v>
      </c>
      <c r="Z110" s="42">
        <v>2.81</v>
      </c>
      <c r="AA110" s="45">
        <v>68200.0</v>
      </c>
      <c r="AB110" s="46"/>
      <c r="AC110" s="45">
        <v>0.0</v>
      </c>
      <c r="AD110" s="46"/>
      <c r="AE110" s="45">
        <f t="shared" si="1"/>
        <v>68200</v>
      </c>
      <c r="AF110" s="46"/>
      <c r="AG110" s="45">
        <v>70000.0</v>
      </c>
      <c r="AH110" s="46"/>
      <c r="AI110" s="45">
        <v>0.0</v>
      </c>
      <c r="AJ110" s="46"/>
      <c r="AK110" s="45">
        <f t="shared" si="2"/>
        <v>70000</v>
      </c>
      <c r="AL110" s="46"/>
      <c r="AM110" s="45">
        <v>70000.0</v>
      </c>
      <c r="AN110" s="46"/>
      <c r="AO110" s="45">
        <v>0.0</v>
      </c>
      <c r="AP110" s="46"/>
      <c r="AQ110" s="45">
        <f t="shared" si="3"/>
        <v>70000</v>
      </c>
      <c r="AR110" s="46"/>
    </row>
    <row r="111" ht="15.75" customHeight="1">
      <c r="A111" s="29">
        <v>21703.0</v>
      </c>
      <c r="B111" s="30" t="s">
        <v>116</v>
      </c>
      <c r="C111" s="31">
        <v>15000.0</v>
      </c>
      <c r="D111" s="32">
        <v>1.16</v>
      </c>
      <c r="E111" s="33">
        <v>0.0</v>
      </c>
      <c r="F111" s="32">
        <v>0.0</v>
      </c>
      <c r="G111" s="34">
        <v>15000.0</v>
      </c>
      <c r="H111" s="35">
        <v>0.57</v>
      </c>
      <c r="I111" s="36">
        <v>10000.0</v>
      </c>
      <c r="J111" s="37">
        <v>0.67</v>
      </c>
      <c r="K111" s="38">
        <v>0.0</v>
      </c>
      <c r="L111" s="39">
        <v>0.0</v>
      </c>
      <c r="M111" s="38">
        <v>10000.0</v>
      </c>
      <c r="N111" s="40">
        <v>0.49</v>
      </c>
      <c r="O111" s="36">
        <v>10000.0</v>
      </c>
      <c r="P111" s="37">
        <v>0.32</v>
      </c>
      <c r="Q111" s="38">
        <v>0.0</v>
      </c>
      <c r="R111" s="32">
        <v>0.0</v>
      </c>
      <c r="S111" s="38">
        <v>10000.0</v>
      </c>
      <c r="T111" s="35">
        <v>0.18</v>
      </c>
      <c r="U111" s="47">
        <v>15000.0</v>
      </c>
      <c r="V111" s="42">
        <v>0.36</v>
      </c>
      <c r="W111" s="43">
        <v>0.0</v>
      </c>
      <c r="X111" s="42">
        <v>0.0</v>
      </c>
      <c r="Y111" s="44">
        <v>15000.0</v>
      </c>
      <c r="Z111" s="42">
        <v>0.36</v>
      </c>
      <c r="AA111" s="45">
        <v>57916.0</v>
      </c>
      <c r="AB111" s="46"/>
      <c r="AC111" s="45">
        <v>0.0</v>
      </c>
      <c r="AD111" s="46"/>
      <c r="AE111" s="45">
        <f t="shared" si="1"/>
        <v>57916</v>
      </c>
      <c r="AF111" s="46"/>
      <c r="AG111" s="45">
        <v>57916.0</v>
      </c>
      <c r="AH111" s="46"/>
      <c r="AI111" s="45">
        <v>0.0</v>
      </c>
      <c r="AJ111" s="46"/>
      <c r="AK111" s="45">
        <f t="shared" si="2"/>
        <v>57916</v>
      </c>
      <c r="AL111" s="46"/>
      <c r="AM111" s="45">
        <v>57916.0</v>
      </c>
      <c r="AN111" s="46"/>
      <c r="AO111" s="45">
        <v>0.0</v>
      </c>
      <c r="AP111" s="46"/>
      <c r="AQ111" s="45">
        <f t="shared" si="3"/>
        <v>57916</v>
      </c>
      <c r="AR111" s="46"/>
    </row>
    <row r="112" ht="15.75" customHeight="1">
      <c r="A112" s="29">
        <v>21801.0</v>
      </c>
      <c r="B112" s="30" t="s">
        <v>117</v>
      </c>
      <c r="C112" s="31">
        <v>18991.0</v>
      </c>
      <c r="D112" s="32">
        <v>0.36</v>
      </c>
      <c r="E112" s="33">
        <v>0.0</v>
      </c>
      <c r="F112" s="32">
        <v>0.0</v>
      </c>
      <c r="G112" s="34">
        <v>18991.0</v>
      </c>
      <c r="H112" s="35">
        <v>0.3</v>
      </c>
      <c r="I112" s="48">
        <v>0.0</v>
      </c>
      <c r="J112" s="32">
        <v>0.0</v>
      </c>
      <c r="K112" s="38">
        <v>0.0</v>
      </c>
      <c r="L112" s="39">
        <v>0.0</v>
      </c>
      <c r="M112" s="34">
        <v>0.0</v>
      </c>
      <c r="N112" s="35">
        <v>0.0</v>
      </c>
      <c r="O112" s="48">
        <v>0.0</v>
      </c>
      <c r="P112" s="32">
        <v>0.0</v>
      </c>
      <c r="Q112" s="38">
        <v>0.0</v>
      </c>
      <c r="R112" s="32">
        <v>0.0</v>
      </c>
      <c r="S112" s="34">
        <v>0.0</v>
      </c>
      <c r="T112" s="35">
        <v>0.0</v>
      </c>
      <c r="U112" s="47">
        <v>20000.0</v>
      </c>
      <c r="V112" s="42">
        <v>0.4</v>
      </c>
      <c r="W112" s="43">
        <v>0.0</v>
      </c>
      <c r="X112" s="42">
        <v>0.0</v>
      </c>
      <c r="Y112" s="44">
        <v>20000.0</v>
      </c>
      <c r="Z112" s="42">
        <v>0.4</v>
      </c>
      <c r="AA112" s="45">
        <v>0.0</v>
      </c>
      <c r="AB112" s="46"/>
      <c r="AC112" s="45">
        <v>0.0</v>
      </c>
      <c r="AD112" s="46"/>
      <c r="AE112" s="45">
        <f t="shared" si="1"/>
        <v>0</v>
      </c>
      <c r="AF112" s="46"/>
      <c r="AG112" s="45">
        <v>20000.0</v>
      </c>
      <c r="AH112" s="46"/>
      <c r="AI112" s="45">
        <v>0.0</v>
      </c>
      <c r="AJ112" s="46"/>
      <c r="AK112" s="45">
        <f t="shared" si="2"/>
        <v>20000</v>
      </c>
      <c r="AL112" s="46"/>
      <c r="AM112" s="45"/>
      <c r="AN112" s="46"/>
      <c r="AO112" s="45">
        <v>0.0</v>
      </c>
      <c r="AP112" s="46"/>
      <c r="AQ112" s="45">
        <f t="shared" si="3"/>
        <v>0</v>
      </c>
      <c r="AR112" s="46"/>
    </row>
    <row r="113" ht="15.75" customHeight="1">
      <c r="A113" s="29">
        <v>21802.0</v>
      </c>
      <c r="B113" s="30" t="s">
        <v>118</v>
      </c>
      <c r="C113" s="48">
        <v>0.0</v>
      </c>
      <c r="D113" s="32">
        <v>0.0</v>
      </c>
      <c r="E113" s="33">
        <v>0.0</v>
      </c>
      <c r="F113" s="32">
        <v>0.0</v>
      </c>
      <c r="G113" s="34">
        <v>0.0</v>
      </c>
      <c r="H113" s="35">
        <v>0.0</v>
      </c>
      <c r="I113" s="48">
        <v>0.0</v>
      </c>
      <c r="J113" s="32">
        <v>0.0</v>
      </c>
      <c r="K113" s="38">
        <v>0.0</v>
      </c>
      <c r="L113" s="39">
        <v>0.0</v>
      </c>
      <c r="M113" s="34">
        <v>0.0</v>
      </c>
      <c r="N113" s="35">
        <v>0.0</v>
      </c>
      <c r="O113" s="48">
        <v>0.0</v>
      </c>
      <c r="P113" s="32">
        <v>0.0</v>
      </c>
      <c r="Q113" s="38">
        <v>0.0</v>
      </c>
      <c r="R113" s="32">
        <v>0.0</v>
      </c>
      <c r="S113" s="34">
        <v>0.0</v>
      </c>
      <c r="T113" s="35">
        <v>0.0</v>
      </c>
      <c r="U113" s="47">
        <v>101856.0</v>
      </c>
      <c r="V113" s="42">
        <v>1.96</v>
      </c>
      <c r="W113" s="43">
        <v>0.0</v>
      </c>
      <c r="X113" s="42">
        <v>0.0</v>
      </c>
      <c r="Y113" s="44">
        <v>101856.0</v>
      </c>
      <c r="Z113" s="42">
        <v>1.96</v>
      </c>
      <c r="AA113" s="45">
        <v>102000.0</v>
      </c>
      <c r="AB113" s="46"/>
      <c r="AC113" s="45">
        <v>0.0</v>
      </c>
      <c r="AD113" s="46"/>
      <c r="AE113" s="45">
        <f t="shared" si="1"/>
        <v>102000</v>
      </c>
      <c r="AF113" s="46"/>
      <c r="AG113" s="45">
        <v>108480.0</v>
      </c>
      <c r="AH113" s="46"/>
      <c r="AI113" s="45">
        <v>0.0</v>
      </c>
      <c r="AJ113" s="46"/>
      <c r="AK113" s="45">
        <f t="shared" si="2"/>
        <v>108480</v>
      </c>
      <c r="AL113" s="46"/>
      <c r="AM113" s="45">
        <v>108480.0</v>
      </c>
      <c r="AN113" s="46"/>
      <c r="AO113" s="45">
        <v>0.0</v>
      </c>
      <c r="AP113" s="46"/>
      <c r="AQ113" s="45">
        <f t="shared" si="3"/>
        <v>108480</v>
      </c>
      <c r="AR113" s="46"/>
    </row>
    <row r="114" ht="15.75" customHeight="1">
      <c r="A114" s="29">
        <v>21803.0</v>
      </c>
      <c r="B114" s="30" t="s">
        <v>119</v>
      </c>
      <c r="C114" s="48">
        <v>0.0</v>
      </c>
      <c r="D114" s="32">
        <v>0.0</v>
      </c>
      <c r="E114" s="33">
        <v>0.0</v>
      </c>
      <c r="F114" s="32">
        <v>0.0</v>
      </c>
      <c r="G114" s="34">
        <v>0.0</v>
      </c>
      <c r="H114" s="35">
        <v>0.0</v>
      </c>
      <c r="I114" s="48">
        <v>0.0</v>
      </c>
      <c r="J114" s="32">
        <v>0.0</v>
      </c>
      <c r="K114" s="38">
        <v>0.0</v>
      </c>
      <c r="L114" s="39">
        <v>0.0</v>
      </c>
      <c r="M114" s="34">
        <v>0.0</v>
      </c>
      <c r="N114" s="35">
        <v>0.0</v>
      </c>
      <c r="O114" s="48">
        <v>0.0</v>
      </c>
      <c r="P114" s="32">
        <v>0.0</v>
      </c>
      <c r="Q114" s="38">
        <v>0.0</v>
      </c>
      <c r="R114" s="32">
        <v>0.0</v>
      </c>
      <c r="S114" s="34">
        <v>0.0</v>
      </c>
      <c r="T114" s="35">
        <v>0.0</v>
      </c>
      <c r="U114" s="47">
        <v>800.0</v>
      </c>
      <c r="V114" s="42">
        <v>0.07</v>
      </c>
      <c r="W114" s="43">
        <v>0.0</v>
      </c>
      <c r="X114" s="42">
        <v>0.0</v>
      </c>
      <c r="Y114" s="44">
        <v>800.0</v>
      </c>
      <c r="Z114" s="42">
        <v>0.07</v>
      </c>
      <c r="AA114" s="45">
        <v>11600.0</v>
      </c>
      <c r="AB114" s="46"/>
      <c r="AC114" s="45">
        <v>0.0</v>
      </c>
      <c r="AD114" s="46"/>
      <c r="AE114" s="45">
        <f t="shared" si="1"/>
        <v>11600</v>
      </c>
      <c r="AF114" s="46"/>
      <c r="AG114" s="45">
        <v>14500.0</v>
      </c>
      <c r="AH114" s="46"/>
      <c r="AI114" s="45">
        <v>0.0</v>
      </c>
      <c r="AJ114" s="46"/>
      <c r="AK114" s="45">
        <f t="shared" si="2"/>
        <v>14500</v>
      </c>
      <c r="AL114" s="46"/>
      <c r="AM114" s="45">
        <v>15300.0</v>
      </c>
      <c r="AN114" s="46"/>
      <c r="AO114" s="45">
        <v>0.0</v>
      </c>
      <c r="AP114" s="46"/>
      <c r="AQ114" s="45">
        <f t="shared" si="3"/>
        <v>15300</v>
      </c>
      <c r="AR114" s="46"/>
    </row>
    <row r="115" ht="15.75" customHeight="1">
      <c r="A115" s="29">
        <v>21901.0</v>
      </c>
      <c r="B115" s="30" t="s">
        <v>120</v>
      </c>
      <c r="C115" s="48">
        <v>0.0</v>
      </c>
      <c r="D115" s="32">
        <v>0.0</v>
      </c>
      <c r="E115" s="33">
        <v>0.0</v>
      </c>
      <c r="F115" s="32">
        <v>0.0</v>
      </c>
      <c r="G115" s="34">
        <v>0.0</v>
      </c>
      <c r="H115" s="35">
        <v>0.0</v>
      </c>
      <c r="I115" s="48">
        <v>0.0</v>
      </c>
      <c r="J115" s="32">
        <v>0.0</v>
      </c>
      <c r="K115" s="38">
        <v>0.0</v>
      </c>
      <c r="L115" s="39">
        <v>0.0</v>
      </c>
      <c r="M115" s="34">
        <v>0.0</v>
      </c>
      <c r="N115" s="35">
        <v>0.0</v>
      </c>
      <c r="O115" s="36">
        <v>5000.0</v>
      </c>
      <c r="P115" s="37">
        <v>0.18</v>
      </c>
      <c r="Q115" s="38">
        <v>0.0</v>
      </c>
      <c r="R115" s="32">
        <v>0.0</v>
      </c>
      <c r="S115" s="38">
        <v>5000.0</v>
      </c>
      <c r="T115" s="35">
        <v>0.13</v>
      </c>
      <c r="U115" s="47">
        <v>25464.0</v>
      </c>
      <c r="V115" s="42">
        <v>0.8</v>
      </c>
      <c r="W115" s="43">
        <v>0.0</v>
      </c>
      <c r="X115" s="42">
        <v>0.0</v>
      </c>
      <c r="Y115" s="44">
        <v>25464.0</v>
      </c>
      <c r="Z115" s="42">
        <v>0.8</v>
      </c>
      <c r="AA115" s="45">
        <v>30000.0</v>
      </c>
      <c r="AB115" s="46"/>
      <c r="AC115" s="45">
        <v>0.0</v>
      </c>
      <c r="AD115" s="46"/>
      <c r="AE115" s="45">
        <f t="shared" si="1"/>
        <v>30000</v>
      </c>
      <c r="AF115" s="46"/>
      <c r="AG115" s="45">
        <v>30000.0</v>
      </c>
      <c r="AH115" s="46"/>
      <c r="AI115" s="45">
        <v>0.0</v>
      </c>
      <c r="AJ115" s="46"/>
      <c r="AK115" s="45">
        <f t="shared" si="2"/>
        <v>30000</v>
      </c>
      <c r="AL115" s="46"/>
      <c r="AM115" s="45">
        <v>40000.0</v>
      </c>
      <c r="AN115" s="46"/>
      <c r="AO115" s="45">
        <v>0.0</v>
      </c>
      <c r="AP115" s="46"/>
      <c r="AQ115" s="45">
        <f t="shared" si="3"/>
        <v>40000</v>
      </c>
      <c r="AR115" s="46"/>
    </row>
    <row r="116" ht="15.75" customHeight="1">
      <c r="A116" s="29">
        <v>21902.0</v>
      </c>
      <c r="B116" s="30" t="s">
        <v>121</v>
      </c>
      <c r="C116" s="48">
        <v>0.0</v>
      </c>
      <c r="D116" s="32">
        <v>0.0</v>
      </c>
      <c r="E116" s="33">
        <v>0.0</v>
      </c>
      <c r="F116" s="32">
        <v>0.0</v>
      </c>
      <c r="G116" s="34">
        <v>0.0</v>
      </c>
      <c r="H116" s="35">
        <v>0.0</v>
      </c>
      <c r="I116" s="48">
        <v>0.0</v>
      </c>
      <c r="J116" s="32">
        <v>0.0</v>
      </c>
      <c r="K116" s="38">
        <v>0.0</v>
      </c>
      <c r="L116" s="39">
        <v>0.0</v>
      </c>
      <c r="M116" s="34">
        <v>0.0</v>
      </c>
      <c r="N116" s="35">
        <v>0.0</v>
      </c>
      <c r="O116" s="48">
        <v>0.0</v>
      </c>
      <c r="P116" s="32">
        <v>0.0</v>
      </c>
      <c r="Q116" s="38">
        <v>0.0</v>
      </c>
      <c r="R116" s="32">
        <v>0.0</v>
      </c>
      <c r="S116" s="34">
        <v>0.0</v>
      </c>
      <c r="T116" s="35">
        <v>0.0</v>
      </c>
      <c r="U116" s="41">
        <v>0.0</v>
      </c>
      <c r="V116" s="42">
        <v>0.0</v>
      </c>
      <c r="W116" s="43">
        <v>0.0</v>
      </c>
      <c r="X116" s="42">
        <v>0.0</v>
      </c>
      <c r="Y116" s="44">
        <v>0.0</v>
      </c>
      <c r="Z116" s="42">
        <v>0.0</v>
      </c>
      <c r="AA116" s="45"/>
      <c r="AB116" s="46"/>
      <c r="AC116" s="45">
        <v>0.0</v>
      </c>
      <c r="AD116" s="46"/>
      <c r="AE116" s="45">
        <f t="shared" si="1"/>
        <v>0</v>
      </c>
      <c r="AF116" s="46"/>
      <c r="AG116" s="45"/>
      <c r="AH116" s="46"/>
      <c r="AI116" s="45">
        <v>0.0</v>
      </c>
      <c r="AJ116" s="46"/>
      <c r="AK116" s="45">
        <f t="shared" si="2"/>
        <v>0</v>
      </c>
      <c r="AL116" s="46"/>
      <c r="AM116" s="45"/>
      <c r="AN116" s="46"/>
      <c r="AO116" s="45">
        <v>0.0</v>
      </c>
      <c r="AP116" s="46"/>
      <c r="AQ116" s="45">
        <f t="shared" si="3"/>
        <v>0</v>
      </c>
      <c r="AR116" s="46"/>
    </row>
    <row r="117" ht="15.75" customHeight="1">
      <c r="A117" s="29">
        <v>22001.0</v>
      </c>
      <c r="B117" s="30" t="s">
        <v>122</v>
      </c>
      <c r="C117" s="31">
        <v>670391.0</v>
      </c>
      <c r="D117" s="32">
        <v>2.67</v>
      </c>
      <c r="E117" s="33">
        <v>0.0</v>
      </c>
      <c r="F117" s="32">
        <v>0.0</v>
      </c>
      <c r="G117" s="34">
        <v>670391.0</v>
      </c>
      <c r="H117" s="35">
        <v>1.67</v>
      </c>
      <c r="I117" s="36">
        <v>690000.0</v>
      </c>
      <c r="J117" s="37">
        <v>2.59</v>
      </c>
      <c r="K117" s="38">
        <v>0.0</v>
      </c>
      <c r="L117" s="39">
        <v>0.0</v>
      </c>
      <c r="M117" s="38">
        <v>690000.0</v>
      </c>
      <c r="N117" s="40">
        <v>1.62</v>
      </c>
      <c r="O117" s="36">
        <v>680000.0</v>
      </c>
      <c r="P117" s="37">
        <v>2.69</v>
      </c>
      <c r="Q117" s="38">
        <v>0.0</v>
      </c>
      <c r="R117" s="32">
        <v>0.0</v>
      </c>
      <c r="S117" s="38">
        <v>680000.0</v>
      </c>
      <c r="T117" s="35">
        <v>2.48</v>
      </c>
      <c r="U117" s="47">
        <v>1014356.0</v>
      </c>
      <c r="V117" s="42">
        <v>3.04</v>
      </c>
      <c r="W117" s="43">
        <v>0.0</v>
      </c>
      <c r="X117" s="42">
        <v>0.0</v>
      </c>
      <c r="Y117" s="44">
        <v>1014356.0</v>
      </c>
      <c r="Z117" s="42">
        <v>2.93</v>
      </c>
      <c r="AA117" s="45">
        <v>1690043.0</v>
      </c>
      <c r="AB117" s="46"/>
      <c r="AC117" s="45">
        <v>0.0</v>
      </c>
      <c r="AD117" s="46"/>
      <c r="AE117" s="45">
        <f t="shared" si="1"/>
        <v>1690043</v>
      </c>
      <c r="AF117" s="46"/>
      <c r="AG117" s="45">
        <v>1690043.0</v>
      </c>
      <c r="AH117" s="46"/>
      <c r="AI117" s="45">
        <v>0.0</v>
      </c>
      <c r="AJ117" s="46"/>
      <c r="AK117" s="45">
        <f t="shared" si="2"/>
        <v>1690043</v>
      </c>
      <c r="AL117" s="46"/>
      <c r="AM117" s="45">
        <v>3231434.0</v>
      </c>
      <c r="AN117" s="46"/>
      <c r="AO117" s="45">
        <v>0.0</v>
      </c>
      <c r="AP117" s="46"/>
      <c r="AQ117" s="45">
        <f t="shared" si="3"/>
        <v>3231434</v>
      </c>
      <c r="AR117" s="46"/>
    </row>
    <row r="118" ht="15.75" customHeight="1">
      <c r="A118" s="29">
        <v>22002.0</v>
      </c>
      <c r="B118" s="30" t="s">
        <v>123</v>
      </c>
      <c r="C118" s="31">
        <v>50000.0</v>
      </c>
      <c r="D118" s="32">
        <v>0.98</v>
      </c>
      <c r="E118" s="33">
        <v>0.0</v>
      </c>
      <c r="F118" s="32">
        <v>0.0</v>
      </c>
      <c r="G118" s="34">
        <v>50000.0</v>
      </c>
      <c r="H118" s="35">
        <v>0.54</v>
      </c>
      <c r="I118" s="48">
        <v>0.0</v>
      </c>
      <c r="J118" s="32">
        <v>0.0</v>
      </c>
      <c r="K118" s="38">
        <v>0.0</v>
      </c>
      <c r="L118" s="39">
        <v>0.0</v>
      </c>
      <c r="M118" s="34">
        <v>0.0</v>
      </c>
      <c r="N118" s="35">
        <v>0.0</v>
      </c>
      <c r="O118" s="48">
        <v>0.0</v>
      </c>
      <c r="P118" s="32">
        <v>0.0</v>
      </c>
      <c r="Q118" s="38">
        <v>0.0</v>
      </c>
      <c r="R118" s="32">
        <v>0.0</v>
      </c>
      <c r="S118" s="34">
        <v>0.0</v>
      </c>
      <c r="T118" s="35">
        <v>0.0</v>
      </c>
      <c r="U118" s="41">
        <v>0.0</v>
      </c>
      <c r="V118" s="42">
        <v>0.0</v>
      </c>
      <c r="W118" s="43">
        <v>0.0</v>
      </c>
      <c r="X118" s="42">
        <v>0.0</v>
      </c>
      <c r="Y118" s="44">
        <v>0.0</v>
      </c>
      <c r="Z118" s="42">
        <v>0.0</v>
      </c>
      <c r="AA118" s="45">
        <v>79599.0</v>
      </c>
      <c r="AB118" s="46"/>
      <c r="AC118" s="45">
        <v>0.0</v>
      </c>
      <c r="AD118" s="46"/>
      <c r="AE118" s="45">
        <f t="shared" si="1"/>
        <v>79599</v>
      </c>
      <c r="AF118" s="46"/>
      <c r="AG118" s="45">
        <v>98569.0</v>
      </c>
      <c r="AH118" s="46"/>
      <c r="AI118" s="45">
        <v>0.0</v>
      </c>
      <c r="AJ118" s="46"/>
      <c r="AK118" s="45">
        <f t="shared" si="2"/>
        <v>98569</v>
      </c>
      <c r="AL118" s="46"/>
      <c r="AM118" s="45">
        <v>39408.0</v>
      </c>
      <c r="AN118" s="46"/>
      <c r="AO118" s="45">
        <v>0.0</v>
      </c>
      <c r="AP118" s="46"/>
      <c r="AQ118" s="45">
        <f t="shared" si="3"/>
        <v>39408</v>
      </c>
      <c r="AR118" s="46"/>
    </row>
    <row r="119" ht="15.75" customHeight="1">
      <c r="A119" s="29">
        <v>30101.0</v>
      </c>
      <c r="B119" s="30" t="s">
        <v>124</v>
      </c>
      <c r="C119" s="31">
        <v>1.79212E7</v>
      </c>
      <c r="D119" s="32">
        <v>4.51</v>
      </c>
      <c r="E119" s="49">
        <v>1.72202E7</v>
      </c>
      <c r="F119" s="32">
        <v>4.64</v>
      </c>
      <c r="G119" s="34">
        <v>3.51414E7</v>
      </c>
      <c r="H119" s="35">
        <v>4.58</v>
      </c>
      <c r="I119" s="36">
        <v>4.52E7</v>
      </c>
      <c r="J119" s="37">
        <v>7.73</v>
      </c>
      <c r="K119" s="38">
        <v>1282000.0</v>
      </c>
      <c r="L119" s="39">
        <v>0.22</v>
      </c>
      <c r="M119" s="38">
        <v>4.6482E7</v>
      </c>
      <c r="N119" s="40">
        <v>3.98</v>
      </c>
      <c r="O119" s="36">
        <v>4.88E7</v>
      </c>
      <c r="P119" s="37">
        <v>7.17</v>
      </c>
      <c r="Q119" s="38">
        <v>460900.0</v>
      </c>
      <c r="R119" s="32">
        <v>0.11</v>
      </c>
      <c r="S119" s="38">
        <v>4.92609E7</v>
      </c>
      <c r="T119" s="35">
        <v>4.51</v>
      </c>
      <c r="U119" s="47">
        <v>9.175143E7</v>
      </c>
      <c r="V119" s="42">
        <v>10.21</v>
      </c>
      <c r="W119" s="43">
        <v>0.0</v>
      </c>
      <c r="X119" s="42">
        <v>0.0</v>
      </c>
      <c r="Y119" s="44">
        <v>9.175143E7</v>
      </c>
      <c r="Z119" s="42">
        <v>8.63</v>
      </c>
      <c r="AA119" s="45">
        <v>1.5101E8</v>
      </c>
      <c r="AB119" s="46"/>
      <c r="AC119" s="45">
        <v>0.0</v>
      </c>
      <c r="AD119" s="46"/>
      <c r="AE119" s="45">
        <f t="shared" si="1"/>
        <v>151010000</v>
      </c>
      <c r="AF119" s="46"/>
      <c r="AG119" s="45">
        <v>1.6369866E8</v>
      </c>
      <c r="AH119" s="46"/>
      <c r="AI119" s="45">
        <v>0.0</v>
      </c>
      <c r="AJ119" s="46"/>
      <c r="AK119" s="45">
        <f t="shared" si="2"/>
        <v>163698660</v>
      </c>
      <c r="AL119" s="46"/>
      <c r="AM119" s="45">
        <v>1.57330975E8</v>
      </c>
      <c r="AN119" s="46"/>
      <c r="AO119" s="45">
        <v>0.0</v>
      </c>
      <c r="AP119" s="46"/>
      <c r="AQ119" s="45">
        <f t="shared" si="3"/>
        <v>157330975</v>
      </c>
      <c r="AR119" s="46"/>
    </row>
    <row r="120" ht="15.75" customHeight="1">
      <c r="A120" s="29">
        <v>30201.0</v>
      </c>
      <c r="B120" s="30" t="s">
        <v>125</v>
      </c>
      <c r="C120" s="31">
        <v>150000.0</v>
      </c>
      <c r="D120" s="32">
        <v>0.74</v>
      </c>
      <c r="E120" s="33">
        <v>0.0</v>
      </c>
      <c r="F120" s="32">
        <v>0.0</v>
      </c>
      <c r="G120" s="34">
        <v>150000.0</v>
      </c>
      <c r="H120" s="35">
        <v>0.45</v>
      </c>
      <c r="I120" s="36">
        <v>150000.0</v>
      </c>
      <c r="J120" s="37">
        <v>0.72</v>
      </c>
      <c r="K120" s="38">
        <v>0.0</v>
      </c>
      <c r="L120" s="39">
        <v>0.0</v>
      </c>
      <c r="M120" s="38">
        <v>150000.0</v>
      </c>
      <c r="N120" s="40">
        <v>0.4</v>
      </c>
      <c r="O120" s="36">
        <v>200000.0</v>
      </c>
      <c r="P120" s="37">
        <v>0.89</v>
      </c>
      <c r="Q120" s="38">
        <v>0.0</v>
      </c>
      <c r="R120" s="32">
        <v>0.0</v>
      </c>
      <c r="S120" s="38">
        <v>200000.0</v>
      </c>
      <c r="T120" s="35">
        <v>0.41</v>
      </c>
      <c r="U120" s="47">
        <v>200000.0</v>
      </c>
      <c r="V120" s="42">
        <v>0.84</v>
      </c>
      <c r="W120" s="43">
        <v>0.0</v>
      </c>
      <c r="X120" s="42">
        <v>0.0</v>
      </c>
      <c r="Y120" s="44">
        <v>200000.0</v>
      </c>
      <c r="Z120" s="42">
        <v>0.76</v>
      </c>
      <c r="AA120" s="45">
        <v>150000.0</v>
      </c>
      <c r="AB120" s="46"/>
      <c r="AC120" s="45">
        <v>0.0</v>
      </c>
      <c r="AD120" s="46"/>
      <c r="AE120" s="45">
        <f t="shared" si="1"/>
        <v>150000</v>
      </c>
      <c r="AF120" s="46"/>
      <c r="AG120" s="45">
        <v>180000.0</v>
      </c>
      <c r="AH120" s="46"/>
      <c r="AI120" s="45">
        <v>0.0</v>
      </c>
      <c r="AJ120" s="46"/>
      <c r="AK120" s="45">
        <f t="shared" si="2"/>
        <v>180000</v>
      </c>
      <c r="AL120" s="46"/>
      <c r="AM120" s="45">
        <v>200000.0</v>
      </c>
      <c r="AN120" s="46"/>
      <c r="AO120" s="45">
        <v>0.0</v>
      </c>
      <c r="AP120" s="46"/>
      <c r="AQ120" s="45">
        <f t="shared" si="3"/>
        <v>200000</v>
      </c>
      <c r="AR120" s="46"/>
    </row>
    <row r="121" ht="15.75" customHeight="1">
      <c r="A121" s="29">
        <v>30202.0</v>
      </c>
      <c r="B121" s="30" t="s">
        <v>126</v>
      </c>
      <c r="C121" s="31">
        <v>25000.0</v>
      </c>
      <c r="D121" s="32">
        <v>0.76</v>
      </c>
      <c r="E121" s="33">
        <v>0.0</v>
      </c>
      <c r="F121" s="32">
        <v>0.0</v>
      </c>
      <c r="G121" s="34">
        <v>25000.0</v>
      </c>
      <c r="H121" s="35">
        <v>0.53</v>
      </c>
      <c r="I121" s="36">
        <v>30000.0</v>
      </c>
      <c r="J121" s="37">
        <v>0.73</v>
      </c>
      <c r="K121" s="38">
        <v>0.0</v>
      </c>
      <c r="L121" s="39">
        <v>0.0</v>
      </c>
      <c r="M121" s="38">
        <v>30000.0</v>
      </c>
      <c r="N121" s="40">
        <v>0.61</v>
      </c>
      <c r="O121" s="36">
        <v>25000.0</v>
      </c>
      <c r="P121" s="37">
        <v>0.42</v>
      </c>
      <c r="Q121" s="38">
        <v>0.0</v>
      </c>
      <c r="R121" s="32">
        <v>0.0</v>
      </c>
      <c r="S121" s="38">
        <v>25000.0</v>
      </c>
      <c r="T121" s="35">
        <v>0.2</v>
      </c>
      <c r="U121" s="47">
        <v>80000.0</v>
      </c>
      <c r="V121" s="42">
        <v>1.16</v>
      </c>
      <c r="W121" s="43">
        <v>0.0</v>
      </c>
      <c r="X121" s="42">
        <v>0.0</v>
      </c>
      <c r="Y121" s="44">
        <v>80000.0</v>
      </c>
      <c r="Z121" s="42">
        <v>1.04</v>
      </c>
      <c r="AA121" s="45">
        <v>60000.0</v>
      </c>
      <c r="AB121" s="46"/>
      <c r="AC121" s="45">
        <v>0.0</v>
      </c>
      <c r="AD121" s="46"/>
      <c r="AE121" s="45">
        <f t="shared" si="1"/>
        <v>60000</v>
      </c>
      <c r="AF121" s="46"/>
      <c r="AG121" s="45">
        <v>40000.0</v>
      </c>
      <c r="AH121" s="46"/>
      <c r="AI121" s="45">
        <v>0.0</v>
      </c>
      <c r="AJ121" s="46"/>
      <c r="AK121" s="45">
        <f t="shared" si="2"/>
        <v>40000</v>
      </c>
      <c r="AL121" s="46"/>
      <c r="AM121" s="45">
        <v>40000.0</v>
      </c>
      <c r="AN121" s="46"/>
      <c r="AO121" s="45">
        <v>0.0</v>
      </c>
      <c r="AP121" s="46"/>
      <c r="AQ121" s="45">
        <f t="shared" si="3"/>
        <v>40000</v>
      </c>
      <c r="AR121" s="46"/>
    </row>
    <row r="122" ht="15.75" customHeight="1">
      <c r="A122" s="29">
        <v>30203.0</v>
      </c>
      <c r="B122" s="30" t="s">
        <v>127</v>
      </c>
      <c r="C122" s="31">
        <v>25000.0</v>
      </c>
      <c r="D122" s="32">
        <v>0.56</v>
      </c>
      <c r="E122" s="33">
        <v>0.0</v>
      </c>
      <c r="F122" s="32">
        <v>0.0</v>
      </c>
      <c r="G122" s="34">
        <v>25000.0</v>
      </c>
      <c r="H122" s="35">
        <v>0.43</v>
      </c>
      <c r="I122" s="36">
        <v>53000.0</v>
      </c>
      <c r="J122" s="37">
        <v>1.05</v>
      </c>
      <c r="K122" s="38">
        <v>0.0</v>
      </c>
      <c r="L122" s="39">
        <v>0.0</v>
      </c>
      <c r="M122" s="38">
        <v>53000.0</v>
      </c>
      <c r="N122" s="40">
        <v>0.85</v>
      </c>
      <c r="O122" s="36">
        <v>40000.0</v>
      </c>
      <c r="P122" s="37">
        <v>0.77</v>
      </c>
      <c r="Q122" s="38">
        <v>0.0</v>
      </c>
      <c r="R122" s="32">
        <v>0.0</v>
      </c>
      <c r="S122" s="38">
        <v>40000.0</v>
      </c>
      <c r="T122" s="35">
        <v>0.63</v>
      </c>
      <c r="U122" s="47">
        <v>65020.0</v>
      </c>
      <c r="V122" s="42">
        <v>1.31</v>
      </c>
      <c r="W122" s="43">
        <v>0.0</v>
      </c>
      <c r="X122" s="42">
        <v>0.0</v>
      </c>
      <c r="Y122" s="44">
        <v>65020.0</v>
      </c>
      <c r="Z122" s="42">
        <v>1.3</v>
      </c>
      <c r="AA122" s="45">
        <v>64920.0</v>
      </c>
      <c r="AB122" s="46"/>
      <c r="AC122" s="45">
        <v>0.0</v>
      </c>
      <c r="AD122" s="46"/>
      <c r="AE122" s="45">
        <f t="shared" si="1"/>
        <v>64920</v>
      </c>
      <c r="AF122" s="46"/>
      <c r="AG122" s="45">
        <v>64920.0</v>
      </c>
      <c r="AH122" s="46"/>
      <c r="AI122" s="45">
        <v>0.0</v>
      </c>
      <c r="AJ122" s="46"/>
      <c r="AK122" s="45">
        <f t="shared" si="2"/>
        <v>64920</v>
      </c>
      <c r="AL122" s="46"/>
      <c r="AM122" s="45">
        <v>69720.0</v>
      </c>
      <c r="AN122" s="46"/>
      <c r="AO122" s="45">
        <v>0.0</v>
      </c>
      <c r="AP122" s="46"/>
      <c r="AQ122" s="45">
        <f t="shared" si="3"/>
        <v>69720</v>
      </c>
      <c r="AR122" s="46"/>
    </row>
    <row r="123" ht="15.75" customHeight="1">
      <c r="A123" s="29">
        <v>30301.0</v>
      </c>
      <c r="B123" s="30" t="s">
        <v>128</v>
      </c>
      <c r="C123" s="31">
        <v>90000.0</v>
      </c>
      <c r="D123" s="32">
        <v>0.45</v>
      </c>
      <c r="E123" s="33">
        <v>0.0</v>
      </c>
      <c r="F123" s="32">
        <v>0.0</v>
      </c>
      <c r="G123" s="34">
        <v>90000.0</v>
      </c>
      <c r="H123" s="35">
        <v>0.36</v>
      </c>
      <c r="I123" s="36">
        <v>90000.0</v>
      </c>
      <c r="J123" s="37">
        <v>0.43</v>
      </c>
      <c r="K123" s="38">
        <v>0.0</v>
      </c>
      <c r="L123" s="39">
        <v>0.0</v>
      </c>
      <c r="M123" s="38">
        <v>90000.0</v>
      </c>
      <c r="N123" s="40">
        <v>0.39</v>
      </c>
      <c r="O123" s="36">
        <v>80000.0</v>
      </c>
      <c r="P123" s="37">
        <v>0.39</v>
      </c>
      <c r="Q123" s="38">
        <v>0.0</v>
      </c>
      <c r="R123" s="32">
        <v>0.0</v>
      </c>
      <c r="S123" s="38">
        <v>80000.0</v>
      </c>
      <c r="T123" s="35">
        <v>0.29</v>
      </c>
      <c r="U123" s="47">
        <v>90000.0</v>
      </c>
      <c r="V123" s="42">
        <v>0.46</v>
      </c>
      <c r="W123" s="43">
        <v>0.0</v>
      </c>
      <c r="X123" s="42">
        <v>0.0</v>
      </c>
      <c r="Y123" s="44">
        <v>90000.0</v>
      </c>
      <c r="Z123" s="42">
        <v>0.44</v>
      </c>
      <c r="AA123" s="45">
        <v>150000.0</v>
      </c>
      <c r="AB123" s="46"/>
      <c r="AC123" s="45">
        <v>0.0</v>
      </c>
      <c r="AD123" s="46"/>
      <c r="AE123" s="45">
        <f t="shared" si="1"/>
        <v>150000</v>
      </c>
      <c r="AF123" s="46"/>
      <c r="AG123" s="45">
        <v>149908.0</v>
      </c>
      <c r="AH123" s="46"/>
      <c r="AI123" s="45">
        <v>0.0</v>
      </c>
      <c r="AJ123" s="46"/>
      <c r="AK123" s="45">
        <f t="shared" si="2"/>
        <v>149908</v>
      </c>
      <c r="AL123" s="46"/>
      <c r="AM123" s="45">
        <v>151252.0</v>
      </c>
      <c r="AN123" s="46"/>
      <c r="AO123" s="45">
        <v>0.0</v>
      </c>
      <c r="AP123" s="46"/>
      <c r="AQ123" s="45">
        <f t="shared" si="3"/>
        <v>151252</v>
      </c>
      <c r="AR123" s="46"/>
    </row>
    <row r="124" ht="15.75" customHeight="1">
      <c r="A124" s="29">
        <v>30302.0</v>
      </c>
      <c r="B124" s="30" t="s">
        <v>129</v>
      </c>
      <c r="C124" s="31">
        <v>45000.0</v>
      </c>
      <c r="D124" s="32">
        <v>0.38</v>
      </c>
      <c r="E124" s="33">
        <v>0.0</v>
      </c>
      <c r="F124" s="32">
        <v>0.0</v>
      </c>
      <c r="G124" s="34">
        <v>45000.0</v>
      </c>
      <c r="H124" s="35">
        <v>0.19</v>
      </c>
      <c r="I124" s="36">
        <v>45000.0</v>
      </c>
      <c r="J124" s="37">
        <v>0.33</v>
      </c>
      <c r="K124" s="38">
        <v>0.0</v>
      </c>
      <c r="L124" s="39">
        <v>0.0</v>
      </c>
      <c r="M124" s="38">
        <v>45000.0</v>
      </c>
      <c r="N124" s="40">
        <v>0.17</v>
      </c>
      <c r="O124" s="36">
        <v>45000.0</v>
      </c>
      <c r="P124" s="37">
        <v>0.35</v>
      </c>
      <c r="Q124" s="38">
        <v>0.0</v>
      </c>
      <c r="R124" s="32">
        <v>0.0</v>
      </c>
      <c r="S124" s="38">
        <v>45000.0</v>
      </c>
      <c r="T124" s="35">
        <v>0.23</v>
      </c>
      <c r="U124" s="47">
        <v>38000.0</v>
      </c>
      <c r="V124" s="42">
        <v>0.38</v>
      </c>
      <c r="W124" s="43">
        <v>0.0</v>
      </c>
      <c r="X124" s="42">
        <v>0.0</v>
      </c>
      <c r="Y124" s="44">
        <v>38000.0</v>
      </c>
      <c r="Z124" s="42">
        <v>0.37</v>
      </c>
      <c r="AA124" s="45">
        <v>69500.0</v>
      </c>
      <c r="AB124" s="46"/>
      <c r="AC124" s="45">
        <v>0.0</v>
      </c>
      <c r="AD124" s="46"/>
      <c r="AE124" s="45">
        <f t="shared" si="1"/>
        <v>69500</v>
      </c>
      <c r="AF124" s="46"/>
      <c r="AG124" s="45">
        <v>45000.0</v>
      </c>
      <c r="AH124" s="46"/>
      <c r="AI124" s="45">
        <v>0.0</v>
      </c>
      <c r="AJ124" s="46"/>
      <c r="AK124" s="45">
        <f t="shared" si="2"/>
        <v>45000</v>
      </c>
      <c r="AL124" s="46"/>
      <c r="AM124" s="45">
        <v>45000.0</v>
      </c>
      <c r="AN124" s="46"/>
      <c r="AO124" s="45">
        <v>0.0</v>
      </c>
      <c r="AP124" s="46"/>
      <c r="AQ124" s="45">
        <f t="shared" si="3"/>
        <v>45000</v>
      </c>
      <c r="AR124" s="46"/>
    </row>
    <row r="125" ht="15.75" customHeight="1">
      <c r="A125" s="29">
        <v>30303.0</v>
      </c>
      <c r="B125" s="30" t="s">
        <v>130</v>
      </c>
      <c r="C125" s="31">
        <v>35000.0</v>
      </c>
      <c r="D125" s="32">
        <v>0.33</v>
      </c>
      <c r="E125" s="33">
        <v>0.0</v>
      </c>
      <c r="F125" s="32">
        <v>0.0</v>
      </c>
      <c r="G125" s="34">
        <v>35000.0</v>
      </c>
      <c r="H125" s="35">
        <v>0.22</v>
      </c>
      <c r="I125" s="36">
        <v>30000.0</v>
      </c>
      <c r="J125" s="37">
        <v>0.27</v>
      </c>
      <c r="K125" s="38">
        <v>0.0</v>
      </c>
      <c r="L125" s="39">
        <v>0.0</v>
      </c>
      <c r="M125" s="38">
        <v>30000.0</v>
      </c>
      <c r="N125" s="40">
        <v>0.16</v>
      </c>
      <c r="O125" s="36">
        <v>30000.0</v>
      </c>
      <c r="P125" s="37">
        <v>0.24</v>
      </c>
      <c r="Q125" s="38">
        <v>0.0</v>
      </c>
      <c r="R125" s="32">
        <v>0.0</v>
      </c>
      <c r="S125" s="38">
        <v>30000.0</v>
      </c>
      <c r="T125" s="35">
        <v>0.17</v>
      </c>
      <c r="U125" s="47">
        <v>40000.0</v>
      </c>
      <c r="V125" s="42">
        <v>0.3</v>
      </c>
      <c r="W125" s="43">
        <v>0.0</v>
      </c>
      <c r="X125" s="42">
        <v>0.0</v>
      </c>
      <c r="Y125" s="44">
        <v>40000.0</v>
      </c>
      <c r="Z125" s="42">
        <v>0.25</v>
      </c>
      <c r="AA125" s="45"/>
      <c r="AB125" s="46"/>
      <c r="AC125" s="45">
        <v>0.0</v>
      </c>
      <c r="AD125" s="46"/>
      <c r="AE125" s="45">
        <f t="shared" si="1"/>
        <v>0</v>
      </c>
      <c r="AF125" s="46"/>
      <c r="AG125" s="45"/>
      <c r="AH125" s="46"/>
      <c r="AI125" s="45">
        <v>0.0</v>
      </c>
      <c r="AJ125" s="46"/>
      <c r="AK125" s="45">
        <f t="shared" si="2"/>
        <v>0</v>
      </c>
      <c r="AL125" s="46"/>
      <c r="AM125" s="45"/>
      <c r="AN125" s="46"/>
      <c r="AO125" s="45">
        <v>0.0</v>
      </c>
      <c r="AP125" s="46"/>
      <c r="AQ125" s="45">
        <f t="shared" si="3"/>
        <v>0</v>
      </c>
      <c r="AR125" s="46"/>
    </row>
    <row r="126" ht="15.75" customHeight="1">
      <c r="A126" s="29">
        <v>30401.0</v>
      </c>
      <c r="B126" s="30" t="s">
        <v>131</v>
      </c>
      <c r="C126" s="31">
        <v>50000.0</v>
      </c>
      <c r="D126" s="32">
        <v>0.89</v>
      </c>
      <c r="E126" s="33">
        <v>0.0</v>
      </c>
      <c r="F126" s="32">
        <v>0.0</v>
      </c>
      <c r="G126" s="34">
        <v>50000.0</v>
      </c>
      <c r="H126" s="35">
        <v>0.46</v>
      </c>
      <c r="I126" s="36">
        <v>50000.0</v>
      </c>
      <c r="J126" s="37">
        <v>0.79</v>
      </c>
      <c r="K126" s="38">
        <v>0.0</v>
      </c>
      <c r="L126" s="39">
        <v>0.0</v>
      </c>
      <c r="M126" s="38">
        <v>50000.0</v>
      </c>
      <c r="N126" s="40">
        <v>0.48</v>
      </c>
      <c r="O126" s="36">
        <v>50000.0</v>
      </c>
      <c r="P126" s="37">
        <v>0.81</v>
      </c>
      <c r="Q126" s="38">
        <v>0.0</v>
      </c>
      <c r="R126" s="32">
        <v>0.0</v>
      </c>
      <c r="S126" s="38">
        <v>50000.0</v>
      </c>
      <c r="T126" s="35">
        <v>0.35</v>
      </c>
      <c r="U126" s="47">
        <v>140000.0</v>
      </c>
      <c r="V126" s="42">
        <v>1.78</v>
      </c>
      <c r="W126" s="43">
        <v>0.0</v>
      </c>
      <c r="X126" s="42">
        <v>0.0</v>
      </c>
      <c r="Y126" s="44">
        <v>140000.0</v>
      </c>
      <c r="Z126" s="42">
        <v>1.44</v>
      </c>
      <c r="AA126" s="45">
        <v>140000.0</v>
      </c>
      <c r="AB126" s="46"/>
      <c r="AC126" s="45">
        <v>0.0</v>
      </c>
      <c r="AD126" s="46"/>
      <c r="AE126" s="45">
        <f t="shared" si="1"/>
        <v>140000</v>
      </c>
      <c r="AF126" s="46"/>
      <c r="AG126" s="45">
        <v>140000.0</v>
      </c>
      <c r="AH126" s="46"/>
      <c r="AI126" s="45">
        <v>0.0</v>
      </c>
      <c r="AJ126" s="46"/>
      <c r="AK126" s="45">
        <f t="shared" si="2"/>
        <v>140000</v>
      </c>
      <c r="AL126" s="46"/>
      <c r="AM126" s="45">
        <v>141488.0</v>
      </c>
      <c r="AN126" s="46"/>
      <c r="AO126" s="45">
        <v>0.0</v>
      </c>
      <c r="AP126" s="46"/>
      <c r="AQ126" s="45">
        <f t="shared" si="3"/>
        <v>141488</v>
      </c>
      <c r="AR126" s="46"/>
    </row>
    <row r="127" ht="15.75" customHeight="1">
      <c r="A127" s="29">
        <v>30402.0</v>
      </c>
      <c r="B127" s="30" t="s">
        <v>132</v>
      </c>
      <c r="C127" s="31">
        <v>40000.0</v>
      </c>
      <c r="D127" s="32">
        <v>0.53</v>
      </c>
      <c r="E127" s="33">
        <v>0.0</v>
      </c>
      <c r="F127" s="32">
        <v>0.0</v>
      </c>
      <c r="G127" s="34">
        <v>40000.0</v>
      </c>
      <c r="H127" s="35">
        <v>0.41</v>
      </c>
      <c r="I127" s="36">
        <v>44000.0</v>
      </c>
      <c r="J127" s="37">
        <v>0.64</v>
      </c>
      <c r="K127" s="38">
        <v>0.0</v>
      </c>
      <c r="L127" s="39">
        <v>0.0</v>
      </c>
      <c r="M127" s="38">
        <v>44000.0</v>
      </c>
      <c r="N127" s="40">
        <v>0.49</v>
      </c>
      <c r="O127" s="36">
        <v>30000.0</v>
      </c>
      <c r="P127" s="37">
        <v>0.49</v>
      </c>
      <c r="Q127" s="38">
        <v>0.0</v>
      </c>
      <c r="R127" s="32">
        <v>0.0</v>
      </c>
      <c r="S127" s="38">
        <v>30000.0</v>
      </c>
      <c r="T127" s="35">
        <v>0.34</v>
      </c>
      <c r="U127" s="47">
        <v>10000.0</v>
      </c>
      <c r="V127" s="42">
        <v>0.17</v>
      </c>
      <c r="W127" s="43">
        <v>0.0</v>
      </c>
      <c r="X127" s="42">
        <v>0.0</v>
      </c>
      <c r="Y127" s="44">
        <v>10000.0</v>
      </c>
      <c r="Z127" s="42">
        <v>0.16</v>
      </c>
      <c r="AA127" s="45">
        <v>20000.0</v>
      </c>
      <c r="AB127" s="46"/>
      <c r="AC127" s="45">
        <v>0.0</v>
      </c>
      <c r="AD127" s="46"/>
      <c r="AE127" s="45">
        <f t="shared" si="1"/>
        <v>20000</v>
      </c>
      <c r="AF127" s="46"/>
      <c r="AG127" s="45">
        <v>20000.0</v>
      </c>
      <c r="AH127" s="46"/>
      <c r="AI127" s="45">
        <v>0.0</v>
      </c>
      <c r="AJ127" s="46"/>
      <c r="AK127" s="45">
        <f t="shared" si="2"/>
        <v>20000</v>
      </c>
      <c r="AL127" s="46"/>
      <c r="AM127" s="45">
        <v>25000.0</v>
      </c>
      <c r="AN127" s="46"/>
      <c r="AO127" s="45">
        <v>0.0</v>
      </c>
      <c r="AP127" s="46"/>
      <c r="AQ127" s="45">
        <f t="shared" si="3"/>
        <v>25000</v>
      </c>
      <c r="AR127" s="46"/>
    </row>
    <row r="128" ht="15.75" customHeight="1">
      <c r="A128" s="29">
        <v>30403.0</v>
      </c>
      <c r="B128" s="30" t="s">
        <v>133</v>
      </c>
      <c r="C128" s="48">
        <v>0.0</v>
      </c>
      <c r="D128" s="32">
        <v>0.0</v>
      </c>
      <c r="E128" s="33">
        <v>0.0</v>
      </c>
      <c r="F128" s="32">
        <v>0.0</v>
      </c>
      <c r="G128" s="34">
        <v>0.0</v>
      </c>
      <c r="H128" s="35">
        <v>0.0</v>
      </c>
      <c r="I128" s="36">
        <v>30000.0</v>
      </c>
      <c r="J128" s="37">
        <v>0.34</v>
      </c>
      <c r="K128" s="38">
        <v>0.0</v>
      </c>
      <c r="L128" s="39">
        <v>0.0</v>
      </c>
      <c r="M128" s="38">
        <v>30000.0</v>
      </c>
      <c r="N128" s="40">
        <v>0.28</v>
      </c>
      <c r="O128" s="36">
        <v>35000.0</v>
      </c>
      <c r="P128" s="37">
        <v>0.3</v>
      </c>
      <c r="Q128" s="38">
        <v>0.0</v>
      </c>
      <c r="R128" s="32">
        <v>0.0</v>
      </c>
      <c r="S128" s="38">
        <v>35000.0</v>
      </c>
      <c r="T128" s="35">
        <v>0.22</v>
      </c>
      <c r="U128" s="47">
        <v>210000.0</v>
      </c>
      <c r="V128" s="42">
        <v>1.49</v>
      </c>
      <c r="W128" s="43">
        <v>0.0</v>
      </c>
      <c r="X128" s="42">
        <v>0.0</v>
      </c>
      <c r="Y128" s="44">
        <v>210000.0</v>
      </c>
      <c r="Z128" s="42">
        <v>1.45</v>
      </c>
      <c r="AA128" s="45">
        <v>240000.0</v>
      </c>
      <c r="AB128" s="46"/>
      <c r="AC128" s="45">
        <v>0.0</v>
      </c>
      <c r="AD128" s="46"/>
      <c r="AE128" s="45">
        <f t="shared" si="1"/>
        <v>240000</v>
      </c>
      <c r="AF128" s="46"/>
      <c r="AG128" s="45">
        <v>185000.0</v>
      </c>
      <c r="AH128" s="46"/>
      <c r="AI128" s="45">
        <v>0.0</v>
      </c>
      <c r="AJ128" s="46"/>
      <c r="AK128" s="45">
        <f t="shared" si="2"/>
        <v>185000</v>
      </c>
      <c r="AL128" s="46"/>
      <c r="AM128" s="45">
        <v>185000.0</v>
      </c>
      <c r="AN128" s="46"/>
      <c r="AO128" s="45">
        <v>0.0</v>
      </c>
      <c r="AP128" s="46"/>
      <c r="AQ128" s="45">
        <f t="shared" si="3"/>
        <v>185000</v>
      </c>
      <c r="AR128" s="46"/>
    </row>
    <row r="129" ht="15.75" customHeight="1">
      <c r="A129" s="29">
        <v>30404.0</v>
      </c>
      <c r="B129" s="30" t="s">
        <v>134</v>
      </c>
      <c r="C129" s="48">
        <v>0.0</v>
      </c>
      <c r="D129" s="32">
        <v>0.0</v>
      </c>
      <c r="E129" s="33">
        <v>0.0</v>
      </c>
      <c r="F129" s="32">
        <v>0.0</v>
      </c>
      <c r="G129" s="34">
        <v>0.0</v>
      </c>
      <c r="H129" s="35">
        <v>0.0</v>
      </c>
      <c r="I129" s="48">
        <v>0.0</v>
      </c>
      <c r="J129" s="32">
        <v>0.0</v>
      </c>
      <c r="K129" s="38">
        <v>0.0</v>
      </c>
      <c r="L129" s="39">
        <v>0.0</v>
      </c>
      <c r="M129" s="34">
        <v>0.0</v>
      </c>
      <c r="N129" s="35">
        <v>0.0</v>
      </c>
      <c r="O129" s="48">
        <v>0.0</v>
      </c>
      <c r="P129" s="32">
        <v>0.0</v>
      </c>
      <c r="Q129" s="38">
        <v>0.0</v>
      </c>
      <c r="R129" s="32">
        <v>0.0</v>
      </c>
      <c r="S129" s="34">
        <v>0.0</v>
      </c>
      <c r="T129" s="35">
        <v>0.0</v>
      </c>
      <c r="U129" s="47">
        <v>20000.0</v>
      </c>
      <c r="V129" s="42">
        <v>0.58</v>
      </c>
      <c r="W129" s="43">
        <v>0.0</v>
      </c>
      <c r="X129" s="42">
        <v>0.0</v>
      </c>
      <c r="Y129" s="44">
        <v>20000.0</v>
      </c>
      <c r="Z129" s="42">
        <v>0.58</v>
      </c>
      <c r="AA129" s="45">
        <v>20000.0</v>
      </c>
      <c r="AB129" s="46"/>
      <c r="AC129" s="45">
        <v>0.0</v>
      </c>
      <c r="AD129" s="46"/>
      <c r="AE129" s="45">
        <f t="shared" si="1"/>
        <v>20000</v>
      </c>
      <c r="AF129" s="46"/>
      <c r="AG129" s="45">
        <v>15200.0</v>
      </c>
      <c r="AH129" s="46"/>
      <c r="AI129" s="45">
        <v>0.0</v>
      </c>
      <c r="AJ129" s="46"/>
      <c r="AK129" s="45">
        <f t="shared" si="2"/>
        <v>15200</v>
      </c>
      <c r="AL129" s="46"/>
      <c r="AM129" s="45">
        <v>10000.0</v>
      </c>
      <c r="AN129" s="46"/>
      <c r="AO129" s="45">
        <v>0.0</v>
      </c>
      <c r="AP129" s="46"/>
      <c r="AQ129" s="45">
        <f t="shared" si="3"/>
        <v>10000</v>
      </c>
      <c r="AR129" s="46"/>
    </row>
    <row r="130" ht="15.75" customHeight="1">
      <c r="A130" s="29">
        <v>30501.0</v>
      </c>
      <c r="B130" s="30" t="s">
        <v>135</v>
      </c>
      <c r="C130" s="31">
        <v>35000.0</v>
      </c>
      <c r="D130" s="32">
        <v>0.55</v>
      </c>
      <c r="E130" s="33">
        <v>0.0</v>
      </c>
      <c r="F130" s="32">
        <v>0.0</v>
      </c>
      <c r="G130" s="34">
        <v>35000.0</v>
      </c>
      <c r="H130" s="35">
        <v>0.36</v>
      </c>
      <c r="I130" s="36">
        <v>35000.0</v>
      </c>
      <c r="J130" s="37">
        <v>0.44</v>
      </c>
      <c r="K130" s="38">
        <v>0.0</v>
      </c>
      <c r="L130" s="39">
        <v>0.0</v>
      </c>
      <c r="M130" s="38">
        <v>35000.0</v>
      </c>
      <c r="N130" s="40">
        <v>0.37</v>
      </c>
      <c r="O130" s="36">
        <v>50000.0</v>
      </c>
      <c r="P130" s="37">
        <v>0.69</v>
      </c>
      <c r="Q130" s="38">
        <v>0.0</v>
      </c>
      <c r="R130" s="32">
        <v>0.0</v>
      </c>
      <c r="S130" s="38">
        <v>50000.0</v>
      </c>
      <c r="T130" s="35">
        <v>0.29</v>
      </c>
      <c r="U130" s="47">
        <v>50000.0</v>
      </c>
      <c r="V130" s="42">
        <v>0.55</v>
      </c>
      <c r="W130" s="43">
        <v>0.0</v>
      </c>
      <c r="X130" s="42">
        <v>0.0</v>
      </c>
      <c r="Y130" s="44">
        <v>50000.0</v>
      </c>
      <c r="Z130" s="42">
        <v>0.4</v>
      </c>
      <c r="AA130" s="45">
        <v>35000.0</v>
      </c>
      <c r="AB130" s="46"/>
      <c r="AC130" s="45">
        <v>0.0</v>
      </c>
      <c r="AD130" s="46"/>
      <c r="AE130" s="45">
        <f t="shared" si="1"/>
        <v>35000</v>
      </c>
      <c r="AF130" s="46"/>
      <c r="AG130" s="45">
        <v>40000.0</v>
      </c>
      <c r="AH130" s="46"/>
      <c r="AI130" s="45">
        <v>0.0</v>
      </c>
      <c r="AJ130" s="46"/>
      <c r="AK130" s="45">
        <f t="shared" si="2"/>
        <v>40000</v>
      </c>
      <c r="AL130" s="46"/>
      <c r="AM130" s="45">
        <v>55000.0</v>
      </c>
      <c r="AN130" s="46"/>
      <c r="AO130" s="45">
        <v>0.0</v>
      </c>
      <c r="AP130" s="46"/>
      <c r="AQ130" s="45">
        <f t="shared" si="3"/>
        <v>55000</v>
      </c>
      <c r="AR130" s="46"/>
    </row>
    <row r="131" ht="15.75" customHeight="1">
      <c r="A131" s="29">
        <v>30502.0</v>
      </c>
      <c r="B131" s="30" t="s">
        <v>136</v>
      </c>
      <c r="C131" s="31">
        <v>10000.0</v>
      </c>
      <c r="D131" s="32">
        <v>0.11</v>
      </c>
      <c r="E131" s="49">
        <v>125000.0</v>
      </c>
      <c r="F131" s="32">
        <v>1.94</v>
      </c>
      <c r="G131" s="34">
        <v>135000.0</v>
      </c>
      <c r="H131" s="35">
        <v>0.88</v>
      </c>
      <c r="I131" s="36">
        <v>11000.0</v>
      </c>
      <c r="J131" s="37">
        <v>0.1</v>
      </c>
      <c r="K131" s="38">
        <v>0.0</v>
      </c>
      <c r="L131" s="39">
        <v>0.0</v>
      </c>
      <c r="M131" s="38">
        <v>11000.0</v>
      </c>
      <c r="N131" s="40">
        <v>0.07</v>
      </c>
      <c r="O131" s="36">
        <v>10000.0</v>
      </c>
      <c r="P131" s="37">
        <v>0.15</v>
      </c>
      <c r="Q131" s="38">
        <v>0.0</v>
      </c>
      <c r="R131" s="32">
        <v>0.0</v>
      </c>
      <c r="S131" s="38">
        <v>10000.0</v>
      </c>
      <c r="T131" s="35">
        <v>0.11</v>
      </c>
      <c r="U131" s="47">
        <v>6000.0</v>
      </c>
      <c r="V131" s="42">
        <v>0.09</v>
      </c>
      <c r="W131" s="43">
        <v>0.0</v>
      </c>
      <c r="X131" s="42">
        <v>0.0</v>
      </c>
      <c r="Y131" s="44">
        <v>6000.0</v>
      </c>
      <c r="Z131" s="42">
        <v>0.09</v>
      </c>
      <c r="AA131" s="45">
        <v>4000.0</v>
      </c>
      <c r="AB131" s="46"/>
      <c r="AC131" s="45">
        <v>0.0</v>
      </c>
      <c r="AD131" s="46"/>
      <c r="AE131" s="45">
        <f t="shared" si="1"/>
        <v>4000</v>
      </c>
      <c r="AF131" s="46"/>
      <c r="AG131" s="45">
        <v>4000.0</v>
      </c>
      <c r="AH131" s="46"/>
      <c r="AI131" s="45">
        <v>0.0</v>
      </c>
      <c r="AJ131" s="46"/>
      <c r="AK131" s="45">
        <f t="shared" si="2"/>
        <v>4000</v>
      </c>
      <c r="AL131" s="46"/>
      <c r="AM131" s="45">
        <v>4000.0</v>
      </c>
      <c r="AN131" s="46"/>
      <c r="AO131" s="45">
        <v>0.0</v>
      </c>
      <c r="AP131" s="46"/>
      <c r="AQ131" s="45">
        <f t="shared" si="3"/>
        <v>4000</v>
      </c>
      <c r="AR131" s="46"/>
    </row>
    <row r="132" ht="15.75" customHeight="1">
      <c r="A132" s="29">
        <v>30601.0</v>
      </c>
      <c r="B132" s="30" t="s">
        <v>137</v>
      </c>
      <c r="C132" s="31">
        <v>40000.0</v>
      </c>
      <c r="D132" s="32">
        <v>0.42</v>
      </c>
      <c r="E132" s="33">
        <v>0.0</v>
      </c>
      <c r="F132" s="32">
        <v>0.0</v>
      </c>
      <c r="G132" s="34">
        <v>40000.0</v>
      </c>
      <c r="H132" s="35">
        <v>0.3</v>
      </c>
      <c r="I132" s="36">
        <v>50000.0</v>
      </c>
      <c r="J132" s="37">
        <v>0.52</v>
      </c>
      <c r="K132" s="38">
        <v>0.0</v>
      </c>
      <c r="L132" s="39">
        <v>0.0</v>
      </c>
      <c r="M132" s="38">
        <v>50000.0</v>
      </c>
      <c r="N132" s="40">
        <v>0.38</v>
      </c>
      <c r="O132" s="36">
        <v>40000.0</v>
      </c>
      <c r="P132" s="37">
        <v>0.44</v>
      </c>
      <c r="Q132" s="38">
        <v>0.0</v>
      </c>
      <c r="R132" s="32">
        <v>0.0</v>
      </c>
      <c r="S132" s="38">
        <v>40000.0</v>
      </c>
      <c r="T132" s="35">
        <v>0.34</v>
      </c>
      <c r="U132" s="47">
        <v>40000.0</v>
      </c>
      <c r="V132" s="42">
        <v>0.55</v>
      </c>
      <c r="W132" s="43">
        <v>0.0</v>
      </c>
      <c r="X132" s="42">
        <v>0.0</v>
      </c>
      <c r="Y132" s="44">
        <v>40000.0</v>
      </c>
      <c r="Z132" s="42">
        <v>0.54</v>
      </c>
      <c r="AA132" s="45">
        <v>25000.0</v>
      </c>
      <c r="AB132" s="46"/>
      <c r="AC132" s="45">
        <v>0.0</v>
      </c>
      <c r="AD132" s="46"/>
      <c r="AE132" s="45">
        <f t="shared" si="1"/>
        <v>25000</v>
      </c>
      <c r="AF132" s="46"/>
      <c r="AG132" s="45">
        <v>30000.0</v>
      </c>
      <c r="AH132" s="46"/>
      <c r="AI132" s="45">
        <v>0.0</v>
      </c>
      <c r="AJ132" s="46"/>
      <c r="AK132" s="45">
        <f t="shared" si="2"/>
        <v>30000</v>
      </c>
      <c r="AL132" s="46"/>
      <c r="AM132" s="45">
        <v>40000.0</v>
      </c>
      <c r="AN132" s="46"/>
      <c r="AO132" s="45">
        <v>0.0</v>
      </c>
      <c r="AP132" s="46"/>
      <c r="AQ132" s="45">
        <f t="shared" si="3"/>
        <v>40000</v>
      </c>
      <c r="AR132" s="46"/>
    </row>
    <row r="133" ht="15.75" customHeight="1">
      <c r="A133" s="29">
        <v>30602.0</v>
      </c>
      <c r="B133" s="30" t="s">
        <v>138</v>
      </c>
      <c r="C133" s="48">
        <v>0.0</v>
      </c>
      <c r="D133" s="32">
        <v>0.0</v>
      </c>
      <c r="E133" s="33">
        <v>0.0</v>
      </c>
      <c r="F133" s="32">
        <v>0.0</v>
      </c>
      <c r="G133" s="34">
        <v>0.0</v>
      </c>
      <c r="H133" s="35">
        <v>0.0</v>
      </c>
      <c r="I133" s="48">
        <v>0.0</v>
      </c>
      <c r="J133" s="32">
        <v>0.0</v>
      </c>
      <c r="K133" s="38">
        <v>0.0</v>
      </c>
      <c r="L133" s="39">
        <v>0.0</v>
      </c>
      <c r="M133" s="34">
        <v>0.0</v>
      </c>
      <c r="N133" s="35">
        <v>0.0</v>
      </c>
      <c r="O133" s="48">
        <v>0.0</v>
      </c>
      <c r="P133" s="32">
        <v>0.0</v>
      </c>
      <c r="Q133" s="38">
        <v>0.0</v>
      </c>
      <c r="R133" s="32">
        <v>0.0</v>
      </c>
      <c r="S133" s="34">
        <v>0.0</v>
      </c>
      <c r="T133" s="35">
        <v>0.0</v>
      </c>
      <c r="U133" s="47">
        <v>10000.0</v>
      </c>
      <c r="V133" s="42">
        <v>0.09</v>
      </c>
      <c r="W133" s="43">
        <v>0.0</v>
      </c>
      <c r="X133" s="42">
        <v>0.0</v>
      </c>
      <c r="Y133" s="44">
        <v>10000.0</v>
      </c>
      <c r="Z133" s="42">
        <v>0.09</v>
      </c>
      <c r="AA133" s="45">
        <v>6000.0</v>
      </c>
      <c r="AB133" s="46"/>
      <c r="AC133" s="45">
        <v>0.0</v>
      </c>
      <c r="AD133" s="46"/>
      <c r="AE133" s="45">
        <f t="shared" si="1"/>
        <v>6000</v>
      </c>
      <c r="AF133" s="46"/>
      <c r="AG133" s="45">
        <v>5000.0</v>
      </c>
      <c r="AH133" s="46"/>
      <c r="AI133" s="45">
        <v>0.0</v>
      </c>
      <c r="AJ133" s="46"/>
      <c r="AK133" s="45">
        <f t="shared" si="2"/>
        <v>5000</v>
      </c>
      <c r="AL133" s="46"/>
      <c r="AM133" s="45">
        <v>3000.0</v>
      </c>
      <c r="AN133" s="46"/>
      <c r="AO133" s="45">
        <v>0.0</v>
      </c>
      <c r="AP133" s="46"/>
      <c r="AQ133" s="45">
        <f t="shared" si="3"/>
        <v>3000</v>
      </c>
      <c r="AR133" s="46"/>
    </row>
    <row r="134" ht="15.75" customHeight="1">
      <c r="A134" s="29">
        <v>30701.0</v>
      </c>
      <c r="B134" s="30" t="s">
        <v>139</v>
      </c>
      <c r="C134" s="48">
        <v>0.0</v>
      </c>
      <c r="D134" s="32">
        <v>0.0</v>
      </c>
      <c r="E134" s="33">
        <v>0.0</v>
      </c>
      <c r="F134" s="32">
        <v>0.0</v>
      </c>
      <c r="G134" s="34">
        <v>0.0</v>
      </c>
      <c r="H134" s="35">
        <v>0.0</v>
      </c>
      <c r="I134" s="36">
        <v>50000.0</v>
      </c>
      <c r="J134" s="37">
        <v>0.4</v>
      </c>
      <c r="K134" s="38">
        <v>0.0</v>
      </c>
      <c r="L134" s="39">
        <v>0.0</v>
      </c>
      <c r="M134" s="38">
        <v>50000.0</v>
      </c>
      <c r="N134" s="40">
        <v>0.21</v>
      </c>
      <c r="O134" s="36">
        <v>50000.0</v>
      </c>
      <c r="P134" s="37">
        <v>0.31</v>
      </c>
      <c r="Q134" s="38">
        <v>0.0</v>
      </c>
      <c r="R134" s="32">
        <v>0.0</v>
      </c>
      <c r="S134" s="38">
        <v>50000.0</v>
      </c>
      <c r="T134" s="35">
        <v>0.15</v>
      </c>
      <c r="U134" s="47">
        <v>260000.0</v>
      </c>
      <c r="V134" s="42">
        <v>1.29</v>
      </c>
      <c r="W134" s="43">
        <v>0.0</v>
      </c>
      <c r="X134" s="42">
        <v>0.0</v>
      </c>
      <c r="Y134" s="44">
        <v>260000.0</v>
      </c>
      <c r="Z134" s="42">
        <v>1.1</v>
      </c>
      <c r="AA134" s="45">
        <v>245000.0</v>
      </c>
      <c r="AB134" s="46"/>
      <c r="AC134" s="45">
        <v>0.0</v>
      </c>
      <c r="AD134" s="46"/>
      <c r="AE134" s="45">
        <f t="shared" si="1"/>
        <v>245000</v>
      </c>
      <c r="AF134" s="46"/>
      <c r="AG134" s="45">
        <v>200000.0</v>
      </c>
      <c r="AH134" s="46"/>
      <c r="AI134" s="45">
        <v>0.0</v>
      </c>
      <c r="AJ134" s="46"/>
      <c r="AK134" s="45">
        <f t="shared" si="2"/>
        <v>200000</v>
      </c>
      <c r="AL134" s="46"/>
      <c r="AM134" s="45">
        <v>200000.0</v>
      </c>
      <c r="AN134" s="46"/>
      <c r="AO134" s="45">
        <v>0.0</v>
      </c>
      <c r="AP134" s="46"/>
      <c r="AQ134" s="45">
        <f t="shared" si="3"/>
        <v>200000</v>
      </c>
      <c r="AR134" s="46"/>
    </row>
    <row r="135" ht="15.75" customHeight="1">
      <c r="A135" s="29">
        <v>30702.0</v>
      </c>
      <c r="B135" s="30" t="s">
        <v>140</v>
      </c>
      <c r="C135" s="31">
        <v>30000.0</v>
      </c>
      <c r="D135" s="32">
        <v>0.54</v>
      </c>
      <c r="E135" s="33">
        <v>0.0</v>
      </c>
      <c r="F135" s="32">
        <v>0.0</v>
      </c>
      <c r="G135" s="34">
        <v>30000.0</v>
      </c>
      <c r="H135" s="35">
        <v>0.45</v>
      </c>
      <c r="I135" s="36">
        <v>30000.0</v>
      </c>
      <c r="J135" s="37">
        <v>0.52</v>
      </c>
      <c r="K135" s="38">
        <v>0.0</v>
      </c>
      <c r="L135" s="39">
        <v>0.0</v>
      </c>
      <c r="M135" s="38">
        <v>30000.0</v>
      </c>
      <c r="N135" s="40">
        <v>0.45</v>
      </c>
      <c r="O135" s="36">
        <v>30000.0</v>
      </c>
      <c r="P135" s="37">
        <v>0.54</v>
      </c>
      <c r="Q135" s="38">
        <v>0.0</v>
      </c>
      <c r="R135" s="32">
        <v>0.0</v>
      </c>
      <c r="S135" s="38">
        <v>30000.0</v>
      </c>
      <c r="T135" s="35">
        <v>0.48</v>
      </c>
      <c r="U135" s="47">
        <v>30000.0</v>
      </c>
      <c r="V135" s="42">
        <v>0.42</v>
      </c>
      <c r="W135" s="43">
        <v>0.0</v>
      </c>
      <c r="X135" s="42">
        <v>0.0</v>
      </c>
      <c r="Y135" s="44">
        <v>30000.0</v>
      </c>
      <c r="Z135" s="42">
        <v>0.32</v>
      </c>
      <c r="AA135" s="45">
        <v>35000.0</v>
      </c>
      <c r="AB135" s="46"/>
      <c r="AC135" s="45">
        <v>0.0</v>
      </c>
      <c r="AD135" s="46"/>
      <c r="AE135" s="45">
        <f t="shared" si="1"/>
        <v>35000</v>
      </c>
      <c r="AF135" s="46"/>
      <c r="AG135" s="45">
        <v>18000.0</v>
      </c>
      <c r="AH135" s="46"/>
      <c r="AI135" s="45">
        <v>0.0</v>
      </c>
      <c r="AJ135" s="46"/>
      <c r="AK135" s="45">
        <f t="shared" si="2"/>
        <v>18000</v>
      </c>
      <c r="AL135" s="46"/>
      <c r="AM135" s="45">
        <v>18000.0</v>
      </c>
      <c r="AN135" s="46"/>
      <c r="AO135" s="45">
        <v>0.0</v>
      </c>
      <c r="AP135" s="46"/>
      <c r="AQ135" s="45">
        <f t="shared" si="3"/>
        <v>18000</v>
      </c>
      <c r="AR135" s="46"/>
    </row>
    <row r="136" ht="15.75" customHeight="1">
      <c r="A136" s="29">
        <v>30703.0</v>
      </c>
      <c r="B136" s="30" t="s">
        <v>141</v>
      </c>
      <c r="C136" s="48">
        <v>0.0</v>
      </c>
      <c r="D136" s="32">
        <v>0.0</v>
      </c>
      <c r="E136" s="33">
        <v>0.0</v>
      </c>
      <c r="F136" s="32">
        <v>0.0</v>
      </c>
      <c r="G136" s="34">
        <v>0.0</v>
      </c>
      <c r="H136" s="35">
        <v>0.0</v>
      </c>
      <c r="I136" s="48">
        <v>0.0</v>
      </c>
      <c r="J136" s="32">
        <v>0.0</v>
      </c>
      <c r="K136" s="38">
        <v>0.0</v>
      </c>
      <c r="L136" s="39">
        <v>0.0</v>
      </c>
      <c r="M136" s="34">
        <v>0.0</v>
      </c>
      <c r="N136" s="35">
        <v>0.0</v>
      </c>
      <c r="O136" s="48">
        <v>0.0</v>
      </c>
      <c r="P136" s="32">
        <v>0.0</v>
      </c>
      <c r="Q136" s="38">
        <v>0.0</v>
      </c>
      <c r="R136" s="32">
        <v>0.0</v>
      </c>
      <c r="S136" s="34">
        <v>0.0</v>
      </c>
      <c r="T136" s="35">
        <v>0.0</v>
      </c>
      <c r="U136" s="47">
        <v>1680.0</v>
      </c>
      <c r="V136" s="42">
        <v>0.05</v>
      </c>
      <c r="W136" s="43">
        <v>0.0</v>
      </c>
      <c r="X136" s="42">
        <v>0.0</v>
      </c>
      <c r="Y136" s="44">
        <v>1680.0</v>
      </c>
      <c r="Z136" s="42">
        <v>0.05</v>
      </c>
      <c r="AA136" s="45">
        <v>2000.0</v>
      </c>
      <c r="AB136" s="46"/>
      <c r="AC136" s="45">
        <v>0.0</v>
      </c>
      <c r="AD136" s="46"/>
      <c r="AE136" s="45">
        <f t="shared" si="1"/>
        <v>2000</v>
      </c>
      <c r="AF136" s="46"/>
      <c r="AG136" s="45">
        <v>2000.0</v>
      </c>
      <c r="AH136" s="46"/>
      <c r="AI136" s="45">
        <v>0.0</v>
      </c>
      <c r="AJ136" s="46"/>
      <c r="AK136" s="45">
        <f t="shared" si="2"/>
        <v>2000</v>
      </c>
      <c r="AL136" s="46"/>
      <c r="AM136" s="45">
        <v>2000.0</v>
      </c>
      <c r="AN136" s="46"/>
      <c r="AO136" s="45">
        <v>0.0</v>
      </c>
      <c r="AP136" s="46"/>
      <c r="AQ136" s="45">
        <f t="shared" si="3"/>
        <v>2000</v>
      </c>
      <c r="AR136" s="46"/>
    </row>
    <row r="137" ht="15.75" customHeight="1">
      <c r="A137" s="29">
        <v>30801.0</v>
      </c>
      <c r="B137" s="30" t="s">
        <v>142</v>
      </c>
      <c r="C137" s="31">
        <v>175000.0</v>
      </c>
      <c r="D137" s="32">
        <v>1.28</v>
      </c>
      <c r="E137" s="33">
        <v>0.0</v>
      </c>
      <c r="F137" s="32">
        <v>0.0</v>
      </c>
      <c r="G137" s="34">
        <v>175000.0</v>
      </c>
      <c r="H137" s="35">
        <v>0.82</v>
      </c>
      <c r="I137" s="36">
        <v>187000.0</v>
      </c>
      <c r="J137" s="37">
        <v>1.26</v>
      </c>
      <c r="K137" s="38">
        <v>0.0</v>
      </c>
      <c r="L137" s="39">
        <v>0.0</v>
      </c>
      <c r="M137" s="38">
        <v>187000.0</v>
      </c>
      <c r="N137" s="40">
        <v>0.75</v>
      </c>
      <c r="O137" s="36">
        <v>251000.0</v>
      </c>
      <c r="P137" s="37">
        <v>1.45</v>
      </c>
      <c r="Q137" s="38">
        <v>0.0</v>
      </c>
      <c r="R137" s="32">
        <v>0.0</v>
      </c>
      <c r="S137" s="38">
        <v>251000.0</v>
      </c>
      <c r="T137" s="35">
        <v>0.66</v>
      </c>
      <c r="U137" s="47">
        <v>417428.0</v>
      </c>
      <c r="V137" s="42">
        <v>1.9</v>
      </c>
      <c r="W137" s="43">
        <v>0.0</v>
      </c>
      <c r="X137" s="42">
        <v>0.0</v>
      </c>
      <c r="Y137" s="44">
        <v>417428.0</v>
      </c>
      <c r="Z137" s="42">
        <v>1.86</v>
      </c>
      <c r="AA137" s="45">
        <v>417500.0</v>
      </c>
      <c r="AB137" s="46"/>
      <c r="AC137" s="45">
        <v>0.0</v>
      </c>
      <c r="AD137" s="46"/>
      <c r="AE137" s="45">
        <f t="shared" si="1"/>
        <v>417500</v>
      </c>
      <c r="AF137" s="46"/>
      <c r="AG137" s="45">
        <v>543700.0</v>
      </c>
      <c r="AH137" s="46"/>
      <c r="AI137" s="45">
        <v>0.0</v>
      </c>
      <c r="AJ137" s="46"/>
      <c r="AK137" s="45">
        <f t="shared" si="2"/>
        <v>543700</v>
      </c>
      <c r="AL137" s="46"/>
      <c r="AM137" s="45">
        <v>581500.0</v>
      </c>
      <c r="AN137" s="46"/>
      <c r="AO137" s="45">
        <v>0.0</v>
      </c>
      <c r="AP137" s="46"/>
      <c r="AQ137" s="45">
        <f t="shared" si="3"/>
        <v>581500</v>
      </c>
      <c r="AR137" s="46"/>
    </row>
    <row r="138" ht="15.75" customHeight="1">
      <c r="A138" s="29">
        <v>30802.0</v>
      </c>
      <c r="B138" s="30" t="s">
        <v>143</v>
      </c>
      <c r="C138" s="31">
        <v>10000.0</v>
      </c>
      <c r="D138" s="32">
        <v>0.28</v>
      </c>
      <c r="E138" s="33">
        <v>0.0</v>
      </c>
      <c r="F138" s="32">
        <v>0.0</v>
      </c>
      <c r="G138" s="34">
        <v>10000.0</v>
      </c>
      <c r="H138" s="35">
        <v>0.11</v>
      </c>
      <c r="I138" s="36">
        <v>10000.0</v>
      </c>
      <c r="J138" s="37">
        <v>0.24</v>
      </c>
      <c r="K138" s="38">
        <v>0.0</v>
      </c>
      <c r="L138" s="39">
        <v>0.0</v>
      </c>
      <c r="M138" s="38">
        <v>10000.0</v>
      </c>
      <c r="N138" s="40">
        <v>0.16</v>
      </c>
      <c r="O138" s="36">
        <v>10000.0</v>
      </c>
      <c r="P138" s="37">
        <v>0.22</v>
      </c>
      <c r="Q138" s="38">
        <v>0.0</v>
      </c>
      <c r="R138" s="32">
        <v>0.0</v>
      </c>
      <c r="S138" s="38">
        <v>10000.0</v>
      </c>
      <c r="T138" s="35">
        <v>0.12</v>
      </c>
      <c r="U138" s="47">
        <v>5000.0</v>
      </c>
      <c r="V138" s="42">
        <v>0.09</v>
      </c>
      <c r="W138" s="43">
        <v>0.0</v>
      </c>
      <c r="X138" s="42">
        <v>0.0</v>
      </c>
      <c r="Y138" s="44">
        <v>5000.0</v>
      </c>
      <c r="Z138" s="42">
        <v>0.08</v>
      </c>
      <c r="AA138" s="45">
        <v>10000.0</v>
      </c>
      <c r="AB138" s="46"/>
      <c r="AC138" s="45">
        <v>0.0</v>
      </c>
      <c r="AD138" s="46"/>
      <c r="AE138" s="45">
        <f t="shared" si="1"/>
        <v>10000</v>
      </c>
      <c r="AF138" s="46"/>
      <c r="AG138" s="45">
        <v>15000.0</v>
      </c>
      <c r="AH138" s="46"/>
      <c r="AI138" s="45">
        <v>0.0</v>
      </c>
      <c r="AJ138" s="46"/>
      <c r="AK138" s="45">
        <f t="shared" si="2"/>
        <v>15000</v>
      </c>
      <c r="AL138" s="46"/>
      <c r="AM138" s="45">
        <v>15000.0</v>
      </c>
      <c r="AN138" s="46"/>
      <c r="AO138" s="45">
        <v>0.0</v>
      </c>
      <c r="AP138" s="46"/>
      <c r="AQ138" s="45">
        <f t="shared" si="3"/>
        <v>15000</v>
      </c>
      <c r="AR138" s="46"/>
    </row>
    <row r="139" ht="15.75" customHeight="1">
      <c r="A139" s="29">
        <v>30803.0</v>
      </c>
      <c r="B139" s="30" t="s">
        <v>144</v>
      </c>
      <c r="C139" s="31">
        <v>20000.0</v>
      </c>
      <c r="D139" s="32">
        <v>0.53</v>
      </c>
      <c r="E139" s="33">
        <v>0.0</v>
      </c>
      <c r="F139" s="32">
        <v>0.0</v>
      </c>
      <c r="G139" s="34">
        <v>20000.0</v>
      </c>
      <c r="H139" s="35">
        <v>0.36</v>
      </c>
      <c r="I139" s="36">
        <v>20000.0</v>
      </c>
      <c r="J139" s="37">
        <v>0.51</v>
      </c>
      <c r="K139" s="38">
        <v>0.0</v>
      </c>
      <c r="L139" s="39">
        <v>0.0</v>
      </c>
      <c r="M139" s="38">
        <v>20000.0</v>
      </c>
      <c r="N139" s="40">
        <v>0.34</v>
      </c>
      <c r="O139" s="36">
        <v>30000.0</v>
      </c>
      <c r="P139" s="37">
        <v>0.67</v>
      </c>
      <c r="Q139" s="38">
        <v>0.0</v>
      </c>
      <c r="R139" s="32">
        <v>0.0</v>
      </c>
      <c r="S139" s="38">
        <v>30000.0</v>
      </c>
      <c r="T139" s="35">
        <v>0.47</v>
      </c>
      <c r="U139" s="47">
        <v>30000.0</v>
      </c>
      <c r="V139" s="42">
        <v>0.62</v>
      </c>
      <c r="W139" s="43">
        <v>0.0</v>
      </c>
      <c r="X139" s="42">
        <v>0.0</v>
      </c>
      <c r="Y139" s="44">
        <v>30000.0</v>
      </c>
      <c r="Z139" s="42">
        <v>0.62</v>
      </c>
      <c r="AA139" s="45">
        <v>20000.0</v>
      </c>
      <c r="AB139" s="46"/>
      <c r="AC139" s="45">
        <v>0.0</v>
      </c>
      <c r="AD139" s="46"/>
      <c r="AE139" s="45">
        <f t="shared" si="1"/>
        <v>20000</v>
      </c>
      <c r="AF139" s="46"/>
      <c r="AG139" s="45">
        <v>20000.0</v>
      </c>
      <c r="AH139" s="46"/>
      <c r="AI139" s="45">
        <v>0.0</v>
      </c>
      <c r="AJ139" s="46"/>
      <c r="AK139" s="45">
        <f t="shared" si="2"/>
        <v>20000</v>
      </c>
      <c r="AL139" s="46"/>
      <c r="AM139" s="45"/>
      <c r="AN139" s="46"/>
      <c r="AO139" s="45">
        <v>0.0</v>
      </c>
      <c r="AP139" s="46"/>
      <c r="AQ139" s="45">
        <f t="shared" si="3"/>
        <v>0</v>
      </c>
      <c r="AR139" s="46"/>
    </row>
    <row r="140" ht="15.75" customHeight="1">
      <c r="A140" s="29">
        <v>30901.0</v>
      </c>
      <c r="B140" s="30" t="s">
        <v>145</v>
      </c>
      <c r="C140" s="48">
        <v>0.0</v>
      </c>
      <c r="D140" s="32">
        <v>0.0</v>
      </c>
      <c r="E140" s="33">
        <v>0.0</v>
      </c>
      <c r="F140" s="32">
        <v>0.0</v>
      </c>
      <c r="G140" s="34">
        <v>0.0</v>
      </c>
      <c r="H140" s="35">
        <v>0.0</v>
      </c>
      <c r="I140" s="48">
        <v>0.0</v>
      </c>
      <c r="J140" s="32">
        <v>0.0</v>
      </c>
      <c r="K140" s="38">
        <v>0.0</v>
      </c>
      <c r="L140" s="39">
        <v>0.0</v>
      </c>
      <c r="M140" s="34">
        <v>0.0</v>
      </c>
      <c r="N140" s="35">
        <v>0.0</v>
      </c>
      <c r="O140" s="36">
        <v>4835490.0</v>
      </c>
      <c r="P140" s="37">
        <v>3.68</v>
      </c>
      <c r="Q140" s="38">
        <v>0.0</v>
      </c>
      <c r="R140" s="32">
        <v>0.0</v>
      </c>
      <c r="S140" s="38">
        <v>4835490.0</v>
      </c>
      <c r="T140" s="35">
        <v>2.31</v>
      </c>
      <c r="U140" s="47">
        <v>1.4119451E7</v>
      </c>
      <c r="V140" s="42">
        <v>6.86</v>
      </c>
      <c r="W140" s="43">
        <v>0.0</v>
      </c>
      <c r="X140" s="42">
        <v>0.0</v>
      </c>
      <c r="Y140" s="44">
        <v>1.4119451E7</v>
      </c>
      <c r="Z140" s="42">
        <v>6.8</v>
      </c>
      <c r="AA140" s="45">
        <v>1.8485814E7</v>
      </c>
      <c r="AB140" s="46"/>
      <c r="AC140" s="45">
        <v>0.0</v>
      </c>
      <c r="AD140" s="46"/>
      <c r="AE140" s="45">
        <f t="shared" si="1"/>
        <v>18485814</v>
      </c>
      <c r="AF140" s="46"/>
      <c r="AG140" s="45">
        <v>2.0539026E7</v>
      </c>
      <c r="AH140" s="46"/>
      <c r="AI140" s="45">
        <v>0.0</v>
      </c>
      <c r="AJ140" s="46"/>
      <c r="AK140" s="45">
        <f t="shared" si="2"/>
        <v>20539026</v>
      </c>
      <c r="AL140" s="46"/>
      <c r="AM140" s="45">
        <v>1.0835109E7</v>
      </c>
      <c r="AN140" s="46"/>
      <c r="AO140" s="45">
        <v>0.0</v>
      </c>
      <c r="AP140" s="46"/>
      <c r="AQ140" s="45">
        <f t="shared" si="3"/>
        <v>10835109</v>
      </c>
      <c r="AR140" s="46"/>
    </row>
    <row r="141" ht="15.75" customHeight="1">
      <c r="A141" s="29">
        <v>30902.0</v>
      </c>
      <c r="B141" s="30" t="s">
        <v>146</v>
      </c>
      <c r="C141" s="31">
        <v>100000.0</v>
      </c>
      <c r="D141" s="32">
        <v>0.5</v>
      </c>
      <c r="E141" s="33">
        <v>0.0</v>
      </c>
      <c r="F141" s="32">
        <v>0.0</v>
      </c>
      <c r="G141" s="34">
        <v>100000.0</v>
      </c>
      <c r="H141" s="35">
        <v>0.36</v>
      </c>
      <c r="I141" s="36">
        <v>250000.0</v>
      </c>
      <c r="J141" s="37">
        <v>1.11</v>
      </c>
      <c r="K141" s="38">
        <v>0.0</v>
      </c>
      <c r="L141" s="39">
        <v>0.0</v>
      </c>
      <c r="M141" s="38">
        <v>250000.0</v>
      </c>
      <c r="N141" s="40">
        <v>0.81</v>
      </c>
      <c r="O141" s="36">
        <v>300000.0</v>
      </c>
      <c r="P141" s="37">
        <v>1.08</v>
      </c>
      <c r="Q141" s="38">
        <v>0.0</v>
      </c>
      <c r="R141" s="32">
        <v>0.0</v>
      </c>
      <c r="S141" s="38">
        <v>300000.0</v>
      </c>
      <c r="T141" s="35">
        <v>0.8</v>
      </c>
      <c r="U141" s="47">
        <v>350000.0</v>
      </c>
      <c r="V141" s="42">
        <v>1.05</v>
      </c>
      <c r="W141" s="43">
        <v>0.0</v>
      </c>
      <c r="X141" s="42">
        <v>0.0</v>
      </c>
      <c r="Y141" s="44">
        <v>350000.0</v>
      </c>
      <c r="Z141" s="42">
        <v>0.94</v>
      </c>
      <c r="AA141" s="45">
        <v>350000.0</v>
      </c>
      <c r="AB141" s="46"/>
      <c r="AC141" s="45">
        <v>0.0</v>
      </c>
      <c r="AD141" s="46"/>
      <c r="AE141" s="45">
        <f t="shared" si="1"/>
        <v>350000</v>
      </c>
      <c r="AF141" s="46"/>
      <c r="AG141" s="45">
        <v>510150.0</v>
      </c>
      <c r="AH141" s="46"/>
      <c r="AI141" s="45">
        <v>0.0</v>
      </c>
      <c r="AJ141" s="46"/>
      <c r="AK141" s="45">
        <f t="shared" si="2"/>
        <v>510150</v>
      </c>
      <c r="AL141" s="46"/>
      <c r="AM141" s="45">
        <v>535150.0</v>
      </c>
      <c r="AN141" s="46"/>
      <c r="AO141" s="45">
        <v>0.0</v>
      </c>
      <c r="AP141" s="46"/>
      <c r="AQ141" s="45">
        <f t="shared" si="3"/>
        <v>535150</v>
      </c>
      <c r="AR141" s="46"/>
    </row>
    <row r="142" ht="15.75" customHeight="1">
      <c r="A142" s="29">
        <v>30903.0</v>
      </c>
      <c r="B142" s="30" t="s">
        <v>147</v>
      </c>
      <c r="C142" s="31">
        <v>855000.0</v>
      </c>
      <c r="D142" s="32">
        <v>2.83</v>
      </c>
      <c r="E142" s="49">
        <v>116166.0</v>
      </c>
      <c r="F142" s="32">
        <v>0.99</v>
      </c>
      <c r="G142" s="34">
        <v>971166.0</v>
      </c>
      <c r="H142" s="35">
        <v>2.31</v>
      </c>
      <c r="I142" s="36">
        <v>1100000.0</v>
      </c>
      <c r="J142" s="37">
        <v>2.93</v>
      </c>
      <c r="K142" s="38">
        <v>116343.0</v>
      </c>
      <c r="L142" s="39">
        <v>1.28</v>
      </c>
      <c r="M142" s="38">
        <v>1216343.0</v>
      </c>
      <c r="N142" s="40">
        <v>2.61</v>
      </c>
      <c r="O142" s="36">
        <v>1100000.0</v>
      </c>
      <c r="P142" s="37">
        <v>2.26</v>
      </c>
      <c r="Q142" s="38">
        <v>0.0</v>
      </c>
      <c r="R142" s="32">
        <v>0.0</v>
      </c>
      <c r="S142" s="38">
        <v>1100000.0</v>
      </c>
      <c r="T142" s="35">
        <v>1.75</v>
      </c>
      <c r="U142" s="47">
        <v>1351142.0</v>
      </c>
      <c r="V142" s="42">
        <v>2.72</v>
      </c>
      <c r="W142" s="43">
        <v>0.0</v>
      </c>
      <c r="X142" s="42">
        <v>0.0</v>
      </c>
      <c r="Y142" s="44">
        <v>1351142.0</v>
      </c>
      <c r="Z142" s="42">
        <v>2.25</v>
      </c>
      <c r="AA142" s="45">
        <v>1477183.0</v>
      </c>
      <c r="AB142" s="46"/>
      <c r="AC142" s="45">
        <v>0.0</v>
      </c>
      <c r="AD142" s="46"/>
      <c r="AE142" s="45">
        <f t="shared" si="1"/>
        <v>1477183</v>
      </c>
      <c r="AF142" s="46"/>
      <c r="AG142" s="45">
        <v>1611951.0</v>
      </c>
      <c r="AH142" s="46"/>
      <c r="AI142" s="45">
        <v>0.0</v>
      </c>
      <c r="AJ142" s="46"/>
      <c r="AK142" s="45">
        <f t="shared" si="2"/>
        <v>1611951</v>
      </c>
      <c r="AL142" s="46"/>
      <c r="AM142" s="45">
        <v>1611951.0</v>
      </c>
      <c r="AN142" s="46"/>
      <c r="AO142" s="45">
        <v>0.0</v>
      </c>
      <c r="AP142" s="46"/>
      <c r="AQ142" s="45">
        <f t="shared" si="3"/>
        <v>1611951</v>
      </c>
      <c r="AR142" s="46"/>
    </row>
    <row r="143" ht="15.75" customHeight="1">
      <c r="A143" s="29">
        <v>30904.0</v>
      </c>
      <c r="B143" s="30" t="s">
        <v>148</v>
      </c>
      <c r="C143" s="31">
        <v>225000.0</v>
      </c>
      <c r="D143" s="32">
        <v>1.16</v>
      </c>
      <c r="E143" s="49">
        <v>124706.0</v>
      </c>
      <c r="F143" s="32">
        <v>1.76</v>
      </c>
      <c r="G143" s="34">
        <v>349706.0</v>
      </c>
      <c r="H143" s="35">
        <v>1.32</v>
      </c>
      <c r="I143" s="36">
        <v>303500.0</v>
      </c>
      <c r="J143" s="37">
        <v>1.29</v>
      </c>
      <c r="K143" s="38">
        <v>0.0</v>
      </c>
      <c r="L143" s="39">
        <v>0.0</v>
      </c>
      <c r="M143" s="38">
        <v>303500.0</v>
      </c>
      <c r="N143" s="40">
        <v>0.86</v>
      </c>
      <c r="O143" s="36">
        <v>350000.0</v>
      </c>
      <c r="P143" s="37">
        <v>0.87</v>
      </c>
      <c r="Q143" s="38">
        <v>0.0</v>
      </c>
      <c r="R143" s="32">
        <v>0.0</v>
      </c>
      <c r="S143" s="38">
        <v>350000.0</v>
      </c>
      <c r="T143" s="35">
        <v>0.63</v>
      </c>
      <c r="U143" s="47">
        <v>297000.0</v>
      </c>
      <c r="V143" s="42">
        <v>0.63</v>
      </c>
      <c r="W143" s="43">
        <v>0.0</v>
      </c>
      <c r="X143" s="42">
        <v>0.0</v>
      </c>
      <c r="Y143" s="44">
        <v>297000.0</v>
      </c>
      <c r="Z143" s="42">
        <v>0.53</v>
      </c>
      <c r="AA143" s="45">
        <v>730000.0</v>
      </c>
      <c r="AB143" s="46"/>
      <c r="AC143" s="45">
        <v>0.0</v>
      </c>
      <c r="AD143" s="46"/>
      <c r="AE143" s="45">
        <f t="shared" si="1"/>
        <v>730000</v>
      </c>
      <c r="AF143" s="46"/>
      <c r="AG143" s="45">
        <v>750000.0</v>
      </c>
      <c r="AH143" s="46"/>
      <c r="AI143" s="45">
        <v>0.0</v>
      </c>
      <c r="AJ143" s="46"/>
      <c r="AK143" s="45">
        <f t="shared" si="2"/>
        <v>750000</v>
      </c>
      <c r="AL143" s="46"/>
      <c r="AM143" s="45">
        <v>750000.0</v>
      </c>
      <c r="AN143" s="46"/>
      <c r="AO143" s="45">
        <v>0.0</v>
      </c>
      <c r="AP143" s="46"/>
      <c r="AQ143" s="45">
        <f t="shared" si="3"/>
        <v>750000</v>
      </c>
      <c r="AR143" s="46"/>
    </row>
    <row r="144" ht="15.75" customHeight="1">
      <c r="A144" s="29">
        <v>30905.0</v>
      </c>
      <c r="B144" s="30" t="s">
        <v>149</v>
      </c>
      <c r="C144" s="31">
        <v>300000.0</v>
      </c>
      <c r="D144" s="32">
        <v>1.21</v>
      </c>
      <c r="E144" s="33">
        <v>0.0</v>
      </c>
      <c r="F144" s="32">
        <v>0.0</v>
      </c>
      <c r="G144" s="34">
        <v>300000.0</v>
      </c>
      <c r="H144" s="35">
        <v>0.73</v>
      </c>
      <c r="I144" s="36">
        <v>970000.0</v>
      </c>
      <c r="J144" s="37">
        <v>3.32</v>
      </c>
      <c r="K144" s="38">
        <v>0.0</v>
      </c>
      <c r="L144" s="39">
        <v>0.0</v>
      </c>
      <c r="M144" s="38">
        <v>970000.0</v>
      </c>
      <c r="N144" s="40">
        <v>1.66</v>
      </c>
      <c r="O144" s="36">
        <v>550000.0</v>
      </c>
      <c r="P144" s="37">
        <v>1.6</v>
      </c>
      <c r="Q144" s="38">
        <v>0.0</v>
      </c>
      <c r="R144" s="32">
        <v>0.0</v>
      </c>
      <c r="S144" s="38">
        <v>550000.0</v>
      </c>
      <c r="T144" s="35">
        <v>0.85</v>
      </c>
      <c r="U144" s="47">
        <v>3400000.0</v>
      </c>
      <c r="V144" s="42">
        <v>5.47</v>
      </c>
      <c r="W144" s="43">
        <v>0.0</v>
      </c>
      <c r="X144" s="42">
        <v>0.0</v>
      </c>
      <c r="Y144" s="44">
        <v>3400000.0</v>
      </c>
      <c r="Z144" s="42">
        <v>4.89</v>
      </c>
      <c r="AA144" s="45">
        <v>3700000.0</v>
      </c>
      <c r="AB144" s="46"/>
      <c r="AC144" s="45">
        <v>0.0</v>
      </c>
      <c r="AD144" s="46"/>
      <c r="AE144" s="45">
        <f t="shared" si="1"/>
        <v>3700000</v>
      </c>
      <c r="AF144" s="46"/>
      <c r="AG144" s="45">
        <v>3100000.0</v>
      </c>
      <c r="AH144" s="46"/>
      <c r="AI144" s="45">
        <v>0.0</v>
      </c>
      <c r="AJ144" s="46"/>
      <c r="AK144" s="45">
        <f t="shared" si="2"/>
        <v>3100000</v>
      </c>
      <c r="AL144" s="46"/>
      <c r="AM144" s="45">
        <v>3580000.0</v>
      </c>
      <c r="AN144" s="46"/>
      <c r="AO144" s="45">
        <v>0.0</v>
      </c>
      <c r="AP144" s="46"/>
      <c r="AQ144" s="45">
        <f t="shared" si="3"/>
        <v>3580000</v>
      </c>
      <c r="AR144" s="46"/>
    </row>
    <row r="145" ht="15.75" customHeight="1">
      <c r="A145" s="29">
        <v>31001.0</v>
      </c>
      <c r="B145" s="30" t="s">
        <v>150</v>
      </c>
      <c r="C145" s="31">
        <v>1000000.0</v>
      </c>
      <c r="D145" s="32">
        <v>1.23</v>
      </c>
      <c r="E145" s="33">
        <v>0.0</v>
      </c>
      <c r="F145" s="32">
        <v>0.0</v>
      </c>
      <c r="G145" s="34">
        <v>1000000.0</v>
      </c>
      <c r="H145" s="35">
        <v>0.57</v>
      </c>
      <c r="I145" s="36">
        <v>1050000.0</v>
      </c>
      <c r="J145" s="37">
        <v>1.2</v>
      </c>
      <c r="K145" s="38">
        <v>0.0</v>
      </c>
      <c r="L145" s="39">
        <v>0.0</v>
      </c>
      <c r="M145" s="38">
        <v>1050000.0</v>
      </c>
      <c r="N145" s="40">
        <v>0.63</v>
      </c>
      <c r="O145" s="36">
        <v>1000000.0</v>
      </c>
      <c r="P145" s="37">
        <v>0.95</v>
      </c>
      <c r="Q145" s="38">
        <v>0.0</v>
      </c>
      <c r="R145" s="32">
        <v>0.0</v>
      </c>
      <c r="S145" s="38">
        <v>1000000.0</v>
      </c>
      <c r="T145" s="35">
        <v>0.55</v>
      </c>
      <c r="U145" s="47">
        <v>2400000.0</v>
      </c>
      <c r="V145" s="42">
        <v>1.38</v>
      </c>
      <c r="W145" s="43">
        <v>0.0</v>
      </c>
      <c r="X145" s="42">
        <v>0.0</v>
      </c>
      <c r="Y145" s="44">
        <v>2400000.0</v>
      </c>
      <c r="Z145" s="42">
        <v>1.04</v>
      </c>
      <c r="AA145" s="45">
        <v>3000000.0</v>
      </c>
      <c r="AB145" s="46"/>
      <c r="AC145" s="45">
        <v>0.0</v>
      </c>
      <c r="AD145" s="46"/>
      <c r="AE145" s="45">
        <f t="shared" si="1"/>
        <v>3000000</v>
      </c>
      <c r="AF145" s="46"/>
      <c r="AG145" s="45">
        <v>3000000.0</v>
      </c>
      <c r="AH145" s="46"/>
      <c r="AI145" s="45">
        <v>0.0</v>
      </c>
      <c r="AJ145" s="46"/>
      <c r="AK145" s="45">
        <f t="shared" si="2"/>
        <v>3000000</v>
      </c>
      <c r="AL145" s="46"/>
      <c r="AM145" s="45">
        <v>3300000.0</v>
      </c>
      <c r="AN145" s="46"/>
      <c r="AO145" s="45">
        <v>0.0</v>
      </c>
      <c r="AP145" s="46"/>
      <c r="AQ145" s="45">
        <f t="shared" si="3"/>
        <v>3300000</v>
      </c>
      <c r="AR145" s="46"/>
    </row>
    <row r="146" ht="15.75" customHeight="1">
      <c r="A146" s="29">
        <v>31002.0</v>
      </c>
      <c r="B146" s="30" t="s">
        <v>151</v>
      </c>
      <c r="C146" s="31">
        <v>150000.0</v>
      </c>
      <c r="D146" s="32">
        <v>1.24</v>
      </c>
      <c r="E146" s="33">
        <v>0.0</v>
      </c>
      <c r="F146" s="32">
        <v>0.0</v>
      </c>
      <c r="G146" s="34">
        <v>150000.0</v>
      </c>
      <c r="H146" s="35">
        <v>0.93</v>
      </c>
      <c r="I146" s="36">
        <v>150000.0</v>
      </c>
      <c r="J146" s="37">
        <v>1.1</v>
      </c>
      <c r="K146" s="38">
        <v>0.0</v>
      </c>
      <c r="L146" s="39">
        <v>0.0</v>
      </c>
      <c r="M146" s="38">
        <v>150000.0</v>
      </c>
      <c r="N146" s="40">
        <v>0.58</v>
      </c>
      <c r="O146" s="36">
        <v>147644.0</v>
      </c>
      <c r="P146" s="37">
        <v>0.87</v>
      </c>
      <c r="Q146" s="38">
        <v>0.0</v>
      </c>
      <c r="R146" s="32">
        <v>0.0</v>
      </c>
      <c r="S146" s="38">
        <v>147644.0</v>
      </c>
      <c r="T146" s="35">
        <v>0.49</v>
      </c>
      <c r="U146" s="47">
        <v>130000.0</v>
      </c>
      <c r="V146" s="42">
        <v>0.84</v>
      </c>
      <c r="W146" s="43">
        <v>0.0</v>
      </c>
      <c r="X146" s="42">
        <v>0.0</v>
      </c>
      <c r="Y146" s="44">
        <v>130000.0</v>
      </c>
      <c r="Z146" s="42">
        <v>0.83</v>
      </c>
      <c r="AA146" s="45">
        <v>128000.0</v>
      </c>
      <c r="AB146" s="46"/>
      <c r="AC146" s="45">
        <v>0.0</v>
      </c>
      <c r="AD146" s="46"/>
      <c r="AE146" s="45">
        <f t="shared" si="1"/>
        <v>128000</v>
      </c>
      <c r="AF146" s="46"/>
      <c r="AG146" s="45">
        <v>128000.0</v>
      </c>
      <c r="AH146" s="46"/>
      <c r="AI146" s="45">
        <v>0.0</v>
      </c>
      <c r="AJ146" s="46"/>
      <c r="AK146" s="45">
        <f t="shared" si="2"/>
        <v>128000</v>
      </c>
      <c r="AL146" s="46"/>
      <c r="AM146" s="45">
        <v>121500.0</v>
      </c>
      <c r="AN146" s="46"/>
      <c r="AO146" s="45">
        <v>0.0</v>
      </c>
      <c r="AP146" s="46"/>
      <c r="AQ146" s="45">
        <f t="shared" si="3"/>
        <v>121500</v>
      </c>
      <c r="AR146" s="46"/>
    </row>
    <row r="147" ht="15.75" customHeight="1">
      <c r="A147" s="29">
        <v>31003.0</v>
      </c>
      <c r="B147" s="30" t="s">
        <v>152</v>
      </c>
      <c r="C147" s="31">
        <v>250000.0</v>
      </c>
      <c r="D147" s="32">
        <v>0.75</v>
      </c>
      <c r="E147" s="33">
        <v>0.0</v>
      </c>
      <c r="F147" s="32">
        <v>0.0</v>
      </c>
      <c r="G147" s="34">
        <v>250000.0</v>
      </c>
      <c r="H147" s="35">
        <v>0.5</v>
      </c>
      <c r="I147" s="36">
        <v>250000.0</v>
      </c>
      <c r="J147" s="37">
        <v>0.61</v>
      </c>
      <c r="K147" s="38">
        <v>0.0</v>
      </c>
      <c r="L147" s="39">
        <v>0.0</v>
      </c>
      <c r="M147" s="38">
        <v>250000.0</v>
      </c>
      <c r="N147" s="40">
        <v>0.4</v>
      </c>
      <c r="O147" s="36">
        <v>250000.0</v>
      </c>
      <c r="P147" s="37">
        <v>0.52</v>
      </c>
      <c r="Q147" s="38">
        <v>0.0</v>
      </c>
      <c r="R147" s="32">
        <v>0.0</v>
      </c>
      <c r="S147" s="38">
        <v>250000.0</v>
      </c>
      <c r="T147" s="35">
        <v>0.34</v>
      </c>
      <c r="U147" s="47">
        <v>1400000.0</v>
      </c>
      <c r="V147" s="42">
        <v>2.29</v>
      </c>
      <c r="W147" s="43">
        <v>0.0</v>
      </c>
      <c r="X147" s="42">
        <v>0.0</v>
      </c>
      <c r="Y147" s="44">
        <v>1400000.0</v>
      </c>
      <c r="Z147" s="42">
        <v>1.82</v>
      </c>
      <c r="AA147" s="45">
        <v>1500000.0</v>
      </c>
      <c r="AB147" s="46"/>
      <c r="AC147" s="45">
        <v>0.0</v>
      </c>
      <c r="AD147" s="46"/>
      <c r="AE147" s="45">
        <f t="shared" si="1"/>
        <v>1500000</v>
      </c>
      <c r="AF147" s="46"/>
      <c r="AG147" s="45">
        <v>1700000.0</v>
      </c>
      <c r="AH147" s="46"/>
      <c r="AI147" s="45">
        <v>0.0</v>
      </c>
      <c r="AJ147" s="46"/>
      <c r="AK147" s="45">
        <f t="shared" si="2"/>
        <v>1700000</v>
      </c>
      <c r="AL147" s="46"/>
      <c r="AM147" s="45">
        <v>1670000.0</v>
      </c>
      <c r="AN147" s="46"/>
      <c r="AO147" s="45">
        <v>0.0</v>
      </c>
      <c r="AP147" s="46"/>
      <c r="AQ147" s="45">
        <f t="shared" si="3"/>
        <v>1670000</v>
      </c>
      <c r="AR147" s="46"/>
    </row>
    <row r="148" ht="15.75" customHeight="1">
      <c r="A148" s="29">
        <v>31101.0</v>
      </c>
      <c r="B148" s="30" t="s">
        <v>153</v>
      </c>
      <c r="C148" s="48">
        <v>0.0</v>
      </c>
      <c r="D148" s="32">
        <v>0.0</v>
      </c>
      <c r="E148" s="33">
        <v>0.0</v>
      </c>
      <c r="F148" s="32">
        <v>0.0</v>
      </c>
      <c r="G148" s="34">
        <v>0.0</v>
      </c>
      <c r="H148" s="35">
        <v>0.0</v>
      </c>
      <c r="I148" s="48">
        <v>0.0</v>
      </c>
      <c r="J148" s="32">
        <v>0.0</v>
      </c>
      <c r="K148" s="38">
        <v>0.0</v>
      </c>
      <c r="L148" s="39">
        <v>0.0</v>
      </c>
      <c r="M148" s="34">
        <v>0.0</v>
      </c>
      <c r="N148" s="35">
        <v>0.0</v>
      </c>
      <c r="O148" s="48">
        <v>0.0</v>
      </c>
      <c r="P148" s="32">
        <v>0.0</v>
      </c>
      <c r="Q148" s="38">
        <v>0.0</v>
      </c>
      <c r="R148" s="32">
        <v>0.0</v>
      </c>
      <c r="S148" s="34">
        <v>0.0</v>
      </c>
      <c r="T148" s="35">
        <v>0.0</v>
      </c>
      <c r="U148" s="41">
        <v>0.0</v>
      </c>
      <c r="V148" s="42">
        <v>0.0</v>
      </c>
      <c r="W148" s="43">
        <v>0.0</v>
      </c>
      <c r="X148" s="42">
        <v>0.0</v>
      </c>
      <c r="Y148" s="44">
        <v>0.0</v>
      </c>
      <c r="Z148" s="42">
        <v>0.0</v>
      </c>
      <c r="AA148" s="45"/>
      <c r="AB148" s="46"/>
      <c r="AC148" s="45">
        <v>0.0</v>
      </c>
      <c r="AD148" s="46"/>
      <c r="AE148" s="45">
        <f t="shared" si="1"/>
        <v>0</v>
      </c>
      <c r="AF148" s="46"/>
      <c r="AG148" s="45">
        <v>10000.0</v>
      </c>
      <c r="AH148" s="46"/>
      <c r="AI148" s="45">
        <v>0.0</v>
      </c>
      <c r="AJ148" s="46"/>
      <c r="AK148" s="45">
        <f t="shared" si="2"/>
        <v>10000</v>
      </c>
      <c r="AL148" s="46"/>
      <c r="AM148" s="45">
        <v>10000.0</v>
      </c>
      <c r="AN148" s="46"/>
      <c r="AO148" s="45">
        <v>0.0</v>
      </c>
      <c r="AP148" s="46"/>
      <c r="AQ148" s="45">
        <f t="shared" si="3"/>
        <v>10000</v>
      </c>
      <c r="AR148" s="46"/>
    </row>
    <row r="149" ht="15.75" customHeight="1">
      <c r="A149" s="29">
        <v>31201.0</v>
      </c>
      <c r="B149" s="30" t="s">
        <v>154</v>
      </c>
      <c r="C149" s="31">
        <v>110000.0</v>
      </c>
      <c r="D149" s="32">
        <v>1.3</v>
      </c>
      <c r="E149" s="33">
        <v>0.0</v>
      </c>
      <c r="F149" s="32">
        <v>0.0</v>
      </c>
      <c r="G149" s="34">
        <v>110000.0</v>
      </c>
      <c r="H149" s="35">
        <v>0.83</v>
      </c>
      <c r="I149" s="36">
        <v>145000.0</v>
      </c>
      <c r="J149" s="37">
        <v>1.58</v>
      </c>
      <c r="K149" s="38">
        <v>0.0</v>
      </c>
      <c r="L149" s="39">
        <v>0.0</v>
      </c>
      <c r="M149" s="38">
        <v>145000.0</v>
      </c>
      <c r="N149" s="40">
        <v>1.07</v>
      </c>
      <c r="O149" s="36">
        <v>130000.0</v>
      </c>
      <c r="P149" s="37">
        <v>1.33</v>
      </c>
      <c r="Q149" s="38">
        <v>0.0</v>
      </c>
      <c r="R149" s="32">
        <v>0.0</v>
      </c>
      <c r="S149" s="38">
        <v>130000.0</v>
      </c>
      <c r="T149" s="35">
        <v>0.86</v>
      </c>
      <c r="U149" s="47">
        <v>147600.0</v>
      </c>
      <c r="V149" s="42">
        <v>1.25</v>
      </c>
      <c r="W149" s="43">
        <v>0.0</v>
      </c>
      <c r="X149" s="42">
        <v>0.0</v>
      </c>
      <c r="Y149" s="44">
        <v>147600.0</v>
      </c>
      <c r="Z149" s="42">
        <v>1.25</v>
      </c>
      <c r="AA149" s="45">
        <v>295200.0</v>
      </c>
      <c r="AB149" s="46"/>
      <c r="AC149" s="45">
        <v>0.0</v>
      </c>
      <c r="AD149" s="46"/>
      <c r="AE149" s="45">
        <f t="shared" si="1"/>
        <v>295200</v>
      </c>
      <c r="AF149" s="46"/>
      <c r="AG149" s="45">
        <v>157600.0</v>
      </c>
      <c r="AH149" s="46"/>
      <c r="AI149" s="45">
        <v>0.0</v>
      </c>
      <c r="AJ149" s="46"/>
      <c r="AK149" s="45">
        <f t="shared" si="2"/>
        <v>157600</v>
      </c>
      <c r="AL149" s="46"/>
      <c r="AM149" s="45">
        <v>157600.0</v>
      </c>
      <c r="AN149" s="46"/>
      <c r="AO149" s="45">
        <v>0.0</v>
      </c>
      <c r="AP149" s="46"/>
      <c r="AQ149" s="45">
        <f t="shared" si="3"/>
        <v>157600</v>
      </c>
      <c r="AR149" s="46"/>
    </row>
    <row r="150" ht="15.75" customHeight="1">
      <c r="A150" s="29">
        <v>31202.0</v>
      </c>
      <c r="B150" s="30" t="s">
        <v>155</v>
      </c>
      <c r="C150" s="31">
        <v>15000.0</v>
      </c>
      <c r="D150" s="32">
        <v>0.23</v>
      </c>
      <c r="E150" s="33">
        <v>0.0</v>
      </c>
      <c r="F150" s="32">
        <v>0.0</v>
      </c>
      <c r="G150" s="34">
        <v>15000.0</v>
      </c>
      <c r="H150" s="35">
        <v>0.14</v>
      </c>
      <c r="I150" s="36">
        <v>15000.0</v>
      </c>
      <c r="J150" s="37">
        <v>0.21</v>
      </c>
      <c r="K150" s="38">
        <v>0.0</v>
      </c>
      <c r="L150" s="39">
        <v>0.0</v>
      </c>
      <c r="M150" s="38">
        <v>15000.0</v>
      </c>
      <c r="N150" s="40">
        <v>0.14</v>
      </c>
      <c r="O150" s="36">
        <v>15000.0</v>
      </c>
      <c r="P150" s="37">
        <v>0.21</v>
      </c>
      <c r="Q150" s="38">
        <v>0.0</v>
      </c>
      <c r="R150" s="32">
        <v>0.0</v>
      </c>
      <c r="S150" s="38">
        <v>15000.0</v>
      </c>
      <c r="T150" s="35">
        <v>0.07</v>
      </c>
      <c r="U150" s="47">
        <v>10000.0</v>
      </c>
      <c r="V150" s="42">
        <v>0.12</v>
      </c>
      <c r="W150" s="43">
        <v>0.0</v>
      </c>
      <c r="X150" s="42">
        <v>0.0</v>
      </c>
      <c r="Y150" s="44">
        <v>10000.0</v>
      </c>
      <c r="Z150" s="42">
        <v>0.12</v>
      </c>
      <c r="AA150" s="45">
        <v>10000.0</v>
      </c>
      <c r="AB150" s="46"/>
      <c r="AC150" s="45">
        <v>0.0</v>
      </c>
      <c r="AD150" s="46"/>
      <c r="AE150" s="45">
        <f t="shared" si="1"/>
        <v>10000</v>
      </c>
      <c r="AF150" s="46"/>
      <c r="AG150" s="45">
        <v>14000.0</v>
      </c>
      <c r="AH150" s="46"/>
      <c r="AI150" s="45">
        <v>0.0</v>
      </c>
      <c r="AJ150" s="46"/>
      <c r="AK150" s="45">
        <f t="shared" si="2"/>
        <v>14000</v>
      </c>
      <c r="AL150" s="46"/>
      <c r="AM150" s="45">
        <v>53600.0</v>
      </c>
      <c r="AN150" s="46"/>
      <c r="AO150" s="45">
        <v>0.0</v>
      </c>
      <c r="AP150" s="46"/>
      <c r="AQ150" s="45">
        <f t="shared" si="3"/>
        <v>53600</v>
      </c>
      <c r="AR150" s="46"/>
    </row>
    <row r="151" ht="15.75" customHeight="1">
      <c r="A151" s="29">
        <v>31203.0</v>
      </c>
      <c r="B151" s="30" t="s">
        <v>156</v>
      </c>
      <c r="C151" s="48">
        <v>0.0</v>
      </c>
      <c r="D151" s="32">
        <v>0.0</v>
      </c>
      <c r="E151" s="33">
        <v>0.0</v>
      </c>
      <c r="F151" s="32">
        <v>0.0</v>
      </c>
      <c r="G151" s="34">
        <v>0.0</v>
      </c>
      <c r="H151" s="35">
        <v>0.0</v>
      </c>
      <c r="I151" s="48">
        <v>0.0</v>
      </c>
      <c r="J151" s="32">
        <v>0.0</v>
      </c>
      <c r="K151" s="38">
        <v>0.0</v>
      </c>
      <c r="L151" s="39">
        <v>0.0</v>
      </c>
      <c r="M151" s="34">
        <v>0.0</v>
      </c>
      <c r="N151" s="35">
        <v>0.0</v>
      </c>
      <c r="O151" s="48">
        <v>0.0</v>
      </c>
      <c r="P151" s="32">
        <v>0.0</v>
      </c>
      <c r="Q151" s="38">
        <v>0.0</v>
      </c>
      <c r="R151" s="32">
        <v>0.0</v>
      </c>
      <c r="S151" s="34">
        <v>0.0</v>
      </c>
      <c r="T151" s="35">
        <v>0.0</v>
      </c>
      <c r="U151" s="41">
        <v>0.0</v>
      </c>
      <c r="V151" s="42">
        <v>0.0</v>
      </c>
      <c r="W151" s="43">
        <v>0.0</v>
      </c>
      <c r="X151" s="42">
        <v>0.0</v>
      </c>
      <c r="Y151" s="44">
        <v>0.0</v>
      </c>
      <c r="Z151" s="42">
        <v>0.0</v>
      </c>
      <c r="AA151" s="45">
        <v>35000.0</v>
      </c>
      <c r="AB151" s="46"/>
      <c r="AC151" s="45">
        <v>0.0</v>
      </c>
      <c r="AD151" s="46"/>
      <c r="AE151" s="45">
        <f t="shared" si="1"/>
        <v>35000</v>
      </c>
      <c r="AF151" s="46"/>
      <c r="AG151" s="50"/>
      <c r="AH151" s="46"/>
      <c r="AI151" s="45">
        <v>0.0</v>
      </c>
      <c r="AJ151" s="46"/>
      <c r="AK151" s="45">
        <f t="shared" si="2"/>
        <v>0</v>
      </c>
      <c r="AL151" s="46"/>
      <c r="AM151" s="45"/>
      <c r="AN151" s="46"/>
      <c r="AO151" s="45">
        <v>0.0</v>
      </c>
      <c r="AP151" s="46"/>
      <c r="AQ151" s="45">
        <f t="shared" si="3"/>
        <v>0</v>
      </c>
      <c r="AR151" s="46"/>
    </row>
    <row r="152" ht="15.75" customHeight="1">
      <c r="A152" s="29">
        <v>31204.0</v>
      </c>
      <c r="B152" s="30" t="s">
        <v>157</v>
      </c>
      <c r="C152" s="31">
        <v>160000.0</v>
      </c>
      <c r="D152" s="32">
        <v>1.39</v>
      </c>
      <c r="E152" s="33">
        <v>0.0</v>
      </c>
      <c r="F152" s="32">
        <v>0.0</v>
      </c>
      <c r="G152" s="34">
        <v>160000.0</v>
      </c>
      <c r="H152" s="35">
        <v>1.1</v>
      </c>
      <c r="I152" s="36">
        <v>250000.0</v>
      </c>
      <c r="J152" s="37">
        <v>1.57</v>
      </c>
      <c r="K152" s="38">
        <v>0.0</v>
      </c>
      <c r="L152" s="39">
        <v>0.0</v>
      </c>
      <c r="M152" s="38">
        <v>250000.0</v>
      </c>
      <c r="N152" s="40">
        <v>1.27</v>
      </c>
      <c r="O152" s="36">
        <v>295104.0</v>
      </c>
      <c r="P152" s="37">
        <v>1.5</v>
      </c>
      <c r="Q152" s="38">
        <v>0.0</v>
      </c>
      <c r="R152" s="32">
        <v>0.0</v>
      </c>
      <c r="S152" s="38">
        <v>295104.0</v>
      </c>
      <c r="T152" s="35">
        <v>1.13</v>
      </c>
      <c r="U152" s="47">
        <v>430000.0</v>
      </c>
      <c r="V152" s="42">
        <v>2.22</v>
      </c>
      <c r="W152" s="43">
        <v>0.0</v>
      </c>
      <c r="X152" s="42">
        <v>0.0</v>
      </c>
      <c r="Y152" s="44">
        <v>430000.0</v>
      </c>
      <c r="Z152" s="42">
        <v>2.22</v>
      </c>
      <c r="AA152" s="45">
        <v>430000.0</v>
      </c>
      <c r="AB152" s="46"/>
      <c r="AC152" s="45">
        <v>0.0</v>
      </c>
      <c r="AD152" s="46"/>
      <c r="AE152" s="45">
        <f t="shared" si="1"/>
        <v>430000</v>
      </c>
      <c r="AF152" s="46"/>
      <c r="AG152" s="45">
        <v>320000.0</v>
      </c>
      <c r="AH152" s="46"/>
      <c r="AI152" s="45">
        <v>0.0</v>
      </c>
      <c r="AJ152" s="46"/>
      <c r="AK152" s="45">
        <f t="shared" si="2"/>
        <v>320000</v>
      </c>
      <c r="AL152" s="46"/>
      <c r="AM152" s="45">
        <v>330000.0</v>
      </c>
      <c r="AN152" s="46"/>
      <c r="AO152" s="45">
        <v>0.0</v>
      </c>
      <c r="AP152" s="46"/>
      <c r="AQ152" s="45">
        <f t="shared" si="3"/>
        <v>330000</v>
      </c>
      <c r="AR152" s="46"/>
    </row>
    <row r="153" ht="15.75" customHeight="1">
      <c r="A153" s="29">
        <v>31205.0</v>
      </c>
      <c r="B153" s="30" t="s">
        <v>158</v>
      </c>
      <c r="C153" s="31">
        <v>157941.0</v>
      </c>
      <c r="D153" s="32">
        <v>0.63</v>
      </c>
      <c r="E153" s="33">
        <v>0.0</v>
      </c>
      <c r="F153" s="32">
        <v>0.0</v>
      </c>
      <c r="G153" s="34">
        <v>157941.0</v>
      </c>
      <c r="H153" s="35">
        <v>0.46</v>
      </c>
      <c r="I153" s="36">
        <v>133000.0</v>
      </c>
      <c r="J153" s="37">
        <v>0.41</v>
      </c>
      <c r="K153" s="38">
        <v>0.0</v>
      </c>
      <c r="L153" s="39">
        <v>0.0</v>
      </c>
      <c r="M153" s="38">
        <v>133000.0</v>
      </c>
      <c r="N153" s="40">
        <v>0.3</v>
      </c>
      <c r="O153" s="36">
        <v>135000.0</v>
      </c>
      <c r="P153" s="37">
        <v>0.34</v>
      </c>
      <c r="Q153" s="38">
        <v>0.0</v>
      </c>
      <c r="R153" s="32">
        <v>0.0</v>
      </c>
      <c r="S153" s="38">
        <v>135000.0</v>
      </c>
      <c r="T153" s="35">
        <v>0.28</v>
      </c>
      <c r="U153" s="47">
        <v>1299500.0</v>
      </c>
      <c r="V153" s="42">
        <v>2.73</v>
      </c>
      <c r="W153" s="43">
        <v>0.0</v>
      </c>
      <c r="X153" s="42">
        <v>0.0</v>
      </c>
      <c r="Y153" s="44">
        <v>1299500.0</v>
      </c>
      <c r="Z153" s="42">
        <v>2.66</v>
      </c>
      <c r="AA153" s="45">
        <v>1494500.0</v>
      </c>
      <c r="AB153" s="46"/>
      <c r="AC153" s="45">
        <v>0.0</v>
      </c>
      <c r="AD153" s="46"/>
      <c r="AE153" s="45">
        <f t="shared" si="1"/>
        <v>1494500</v>
      </c>
      <c r="AF153" s="46"/>
      <c r="AG153" s="45">
        <v>1494500.0</v>
      </c>
      <c r="AH153" s="46"/>
      <c r="AI153" s="45">
        <v>0.0</v>
      </c>
      <c r="AJ153" s="46"/>
      <c r="AK153" s="45">
        <f t="shared" si="2"/>
        <v>1494500</v>
      </c>
      <c r="AL153" s="46"/>
      <c r="AM153" s="45">
        <v>1744500.0</v>
      </c>
      <c r="AN153" s="46"/>
      <c r="AO153" s="45">
        <v>0.0</v>
      </c>
      <c r="AP153" s="46"/>
      <c r="AQ153" s="45">
        <f t="shared" si="3"/>
        <v>1744500</v>
      </c>
      <c r="AR153" s="46"/>
    </row>
    <row r="154" ht="15.75" customHeight="1">
      <c r="A154" s="29">
        <v>31206.0</v>
      </c>
      <c r="B154" s="30" t="s">
        <v>159</v>
      </c>
      <c r="C154" s="31">
        <v>240000.0</v>
      </c>
      <c r="D154" s="32">
        <v>1.78</v>
      </c>
      <c r="E154" s="33">
        <v>0.0</v>
      </c>
      <c r="F154" s="32">
        <v>0.0</v>
      </c>
      <c r="G154" s="34">
        <v>240000.0</v>
      </c>
      <c r="H154" s="35">
        <v>1.11</v>
      </c>
      <c r="I154" s="36">
        <v>300000.0</v>
      </c>
      <c r="J154" s="37">
        <v>1.83</v>
      </c>
      <c r="K154" s="38">
        <v>0.0</v>
      </c>
      <c r="L154" s="39">
        <v>0.0</v>
      </c>
      <c r="M154" s="38">
        <v>300000.0</v>
      </c>
      <c r="N154" s="40">
        <v>1.22</v>
      </c>
      <c r="O154" s="36">
        <v>400000.0</v>
      </c>
      <c r="P154" s="37">
        <v>1.63</v>
      </c>
      <c r="Q154" s="38">
        <v>0.0</v>
      </c>
      <c r="R154" s="32">
        <v>0.0</v>
      </c>
      <c r="S154" s="38">
        <v>400000.0</v>
      </c>
      <c r="T154" s="35">
        <v>1.2</v>
      </c>
      <c r="U154" s="47">
        <v>502550.0</v>
      </c>
      <c r="V154" s="42">
        <v>1.73</v>
      </c>
      <c r="W154" s="44">
        <v>250000.0</v>
      </c>
      <c r="X154" s="42">
        <v>14.44</v>
      </c>
      <c r="Y154" s="44">
        <v>752550.0</v>
      </c>
      <c r="Z154" s="42">
        <v>2.45</v>
      </c>
      <c r="AA154" s="45">
        <v>580000.0</v>
      </c>
      <c r="AB154" s="46"/>
      <c r="AC154" s="45">
        <v>0.0</v>
      </c>
      <c r="AD154" s="46"/>
      <c r="AE154" s="45">
        <f t="shared" si="1"/>
        <v>580000</v>
      </c>
      <c r="AF154" s="46"/>
      <c r="AG154" s="45">
        <v>750000.0</v>
      </c>
      <c r="AH154" s="46"/>
      <c r="AI154" s="45">
        <v>0.0</v>
      </c>
      <c r="AJ154" s="46"/>
      <c r="AK154" s="45">
        <f t="shared" si="2"/>
        <v>750000</v>
      </c>
      <c r="AL154" s="46"/>
      <c r="AM154" s="45">
        <v>750000.0</v>
      </c>
      <c r="AN154" s="46"/>
      <c r="AO154" s="45">
        <v>0.0</v>
      </c>
      <c r="AP154" s="46"/>
      <c r="AQ154" s="45">
        <f t="shared" si="3"/>
        <v>750000</v>
      </c>
      <c r="AR154" s="46"/>
    </row>
    <row r="155" ht="15.75" customHeight="1">
      <c r="A155" s="29">
        <v>31301.0</v>
      </c>
      <c r="B155" s="30" t="s">
        <v>160</v>
      </c>
      <c r="C155" s="31">
        <v>100000.0</v>
      </c>
      <c r="D155" s="32">
        <v>0.51</v>
      </c>
      <c r="E155" s="33">
        <v>0.0</v>
      </c>
      <c r="F155" s="32">
        <v>0.0</v>
      </c>
      <c r="G155" s="34">
        <v>100000.0</v>
      </c>
      <c r="H155" s="35">
        <v>0.36</v>
      </c>
      <c r="I155" s="36">
        <v>190000.0</v>
      </c>
      <c r="J155" s="37">
        <v>0.96</v>
      </c>
      <c r="K155" s="38">
        <v>0.0</v>
      </c>
      <c r="L155" s="39">
        <v>0.0</v>
      </c>
      <c r="M155" s="38">
        <v>190000.0</v>
      </c>
      <c r="N155" s="40">
        <v>0.68</v>
      </c>
      <c r="O155" s="36">
        <v>125000.0</v>
      </c>
      <c r="P155" s="37">
        <v>0.58</v>
      </c>
      <c r="Q155" s="38">
        <v>0.0</v>
      </c>
      <c r="R155" s="32">
        <v>0.0</v>
      </c>
      <c r="S155" s="38">
        <v>125000.0</v>
      </c>
      <c r="T155" s="35">
        <v>0.44</v>
      </c>
      <c r="U155" s="47">
        <v>110000.0</v>
      </c>
      <c r="V155" s="42">
        <v>0.63</v>
      </c>
      <c r="W155" s="43">
        <v>0.0</v>
      </c>
      <c r="X155" s="42">
        <v>0.0</v>
      </c>
      <c r="Y155" s="44">
        <v>110000.0</v>
      </c>
      <c r="Z155" s="42">
        <v>0.57</v>
      </c>
      <c r="AA155" s="45">
        <v>60660.0</v>
      </c>
      <c r="AB155" s="46"/>
      <c r="AC155" s="45">
        <v>0.0</v>
      </c>
      <c r="AD155" s="46"/>
      <c r="AE155" s="45">
        <f t="shared" si="1"/>
        <v>60660</v>
      </c>
      <c r="AF155" s="46"/>
      <c r="AG155" s="45">
        <v>160000.0</v>
      </c>
      <c r="AH155" s="46"/>
      <c r="AI155" s="45">
        <v>0.0</v>
      </c>
      <c r="AJ155" s="46"/>
      <c r="AK155" s="45">
        <f t="shared" si="2"/>
        <v>160000</v>
      </c>
      <c r="AL155" s="46"/>
      <c r="AM155" s="45">
        <v>120000.0</v>
      </c>
      <c r="AN155" s="46"/>
      <c r="AO155" s="45">
        <v>0.0</v>
      </c>
      <c r="AP155" s="46"/>
      <c r="AQ155" s="45">
        <f t="shared" si="3"/>
        <v>120000</v>
      </c>
      <c r="AR155" s="46"/>
    </row>
    <row r="156" ht="15.75" customHeight="1">
      <c r="A156" s="29">
        <v>31302.0</v>
      </c>
      <c r="B156" s="30" t="s">
        <v>161</v>
      </c>
      <c r="C156" s="31">
        <v>15000.0</v>
      </c>
      <c r="D156" s="32">
        <v>0.49</v>
      </c>
      <c r="E156" s="33">
        <v>0.0</v>
      </c>
      <c r="F156" s="32">
        <v>0.0</v>
      </c>
      <c r="G156" s="34">
        <v>15000.0</v>
      </c>
      <c r="H156" s="35">
        <v>0.31</v>
      </c>
      <c r="I156" s="36">
        <v>20000.0</v>
      </c>
      <c r="J156" s="37">
        <v>0.53</v>
      </c>
      <c r="K156" s="38">
        <v>0.0</v>
      </c>
      <c r="L156" s="39">
        <v>0.0</v>
      </c>
      <c r="M156" s="38">
        <v>20000.0</v>
      </c>
      <c r="N156" s="40">
        <v>0.44</v>
      </c>
      <c r="O156" s="36">
        <v>20000.0</v>
      </c>
      <c r="P156" s="37">
        <v>0.45</v>
      </c>
      <c r="Q156" s="38">
        <v>0.0</v>
      </c>
      <c r="R156" s="32">
        <v>0.0</v>
      </c>
      <c r="S156" s="38">
        <v>20000.0</v>
      </c>
      <c r="T156" s="35">
        <v>0.38</v>
      </c>
      <c r="U156" s="47">
        <v>6000.0</v>
      </c>
      <c r="V156" s="42">
        <v>0.15</v>
      </c>
      <c r="W156" s="43">
        <v>0.0</v>
      </c>
      <c r="X156" s="42">
        <v>0.0</v>
      </c>
      <c r="Y156" s="44">
        <v>6000.0</v>
      </c>
      <c r="Z156" s="42">
        <v>0.13</v>
      </c>
      <c r="AA156" s="45">
        <v>10000.0</v>
      </c>
      <c r="AB156" s="46"/>
      <c r="AC156" s="45">
        <v>0.0</v>
      </c>
      <c r="AD156" s="46"/>
      <c r="AE156" s="45">
        <f t="shared" si="1"/>
        <v>10000</v>
      </c>
      <c r="AF156" s="46"/>
      <c r="AG156" s="45"/>
      <c r="AH156" s="46"/>
      <c r="AI156" s="45">
        <v>0.0</v>
      </c>
      <c r="AJ156" s="46"/>
      <c r="AK156" s="45">
        <f t="shared" si="2"/>
        <v>0</v>
      </c>
      <c r="AL156" s="46"/>
      <c r="AM156" s="45">
        <v>10000.0</v>
      </c>
      <c r="AN156" s="46"/>
      <c r="AO156" s="45">
        <v>0.0</v>
      </c>
      <c r="AP156" s="46"/>
      <c r="AQ156" s="45">
        <f t="shared" si="3"/>
        <v>10000</v>
      </c>
      <c r="AR156" s="46"/>
    </row>
    <row r="157" ht="15.75" customHeight="1">
      <c r="A157" s="29">
        <v>31303.0</v>
      </c>
      <c r="B157" s="30" t="s">
        <v>162</v>
      </c>
      <c r="C157" s="48">
        <v>0.0</v>
      </c>
      <c r="D157" s="32">
        <v>0.0</v>
      </c>
      <c r="E157" s="33">
        <v>0.0</v>
      </c>
      <c r="F157" s="32">
        <v>0.0</v>
      </c>
      <c r="G157" s="34">
        <v>0.0</v>
      </c>
      <c r="H157" s="35">
        <v>0.0</v>
      </c>
      <c r="I157" s="48">
        <v>0.0</v>
      </c>
      <c r="J157" s="32">
        <v>0.0</v>
      </c>
      <c r="K157" s="38">
        <v>0.0</v>
      </c>
      <c r="L157" s="39">
        <v>0.0</v>
      </c>
      <c r="M157" s="34">
        <v>0.0</v>
      </c>
      <c r="N157" s="35">
        <v>0.0</v>
      </c>
      <c r="O157" s="48">
        <v>0.0</v>
      </c>
      <c r="P157" s="32">
        <v>0.0</v>
      </c>
      <c r="Q157" s="38">
        <v>0.0</v>
      </c>
      <c r="R157" s="32">
        <v>0.0</v>
      </c>
      <c r="S157" s="34">
        <v>0.0</v>
      </c>
      <c r="T157" s="35">
        <v>0.0</v>
      </c>
      <c r="U157" s="41">
        <v>0.0</v>
      </c>
      <c r="V157" s="42">
        <v>0.0</v>
      </c>
      <c r="W157" s="43">
        <v>0.0</v>
      </c>
      <c r="X157" s="42">
        <v>0.0</v>
      </c>
      <c r="Y157" s="44">
        <v>0.0</v>
      </c>
      <c r="Z157" s="42">
        <v>0.0</v>
      </c>
      <c r="AA157" s="45"/>
      <c r="AB157" s="46"/>
      <c r="AC157" s="45">
        <v>0.0</v>
      </c>
      <c r="AD157" s="46"/>
      <c r="AE157" s="45">
        <f t="shared" si="1"/>
        <v>0</v>
      </c>
      <c r="AF157" s="46"/>
      <c r="AG157" s="45"/>
      <c r="AH157" s="46"/>
      <c r="AI157" s="45">
        <v>0.0</v>
      </c>
      <c r="AJ157" s="46"/>
      <c r="AK157" s="45">
        <f t="shared" si="2"/>
        <v>0</v>
      </c>
      <c r="AL157" s="46"/>
      <c r="AM157" s="45"/>
      <c r="AN157" s="46"/>
      <c r="AO157" s="45">
        <v>0.0</v>
      </c>
      <c r="AP157" s="46"/>
      <c r="AQ157" s="45">
        <f t="shared" si="3"/>
        <v>0</v>
      </c>
      <c r="AR157" s="46"/>
    </row>
    <row r="158" ht="15.75" customHeight="1">
      <c r="A158" s="29">
        <v>31304.0</v>
      </c>
      <c r="B158" s="30" t="s">
        <v>163</v>
      </c>
      <c r="C158" s="48">
        <v>0.0</v>
      </c>
      <c r="D158" s="32">
        <v>0.0</v>
      </c>
      <c r="E158" s="33">
        <v>0.0</v>
      </c>
      <c r="F158" s="32">
        <v>0.0</v>
      </c>
      <c r="G158" s="34">
        <v>0.0</v>
      </c>
      <c r="H158" s="35">
        <v>0.0</v>
      </c>
      <c r="I158" s="48">
        <v>0.0</v>
      </c>
      <c r="J158" s="32">
        <v>0.0</v>
      </c>
      <c r="K158" s="38">
        <v>0.0</v>
      </c>
      <c r="L158" s="39">
        <v>0.0</v>
      </c>
      <c r="M158" s="34">
        <v>0.0</v>
      </c>
      <c r="N158" s="35">
        <v>0.0</v>
      </c>
      <c r="O158" s="48">
        <v>0.0</v>
      </c>
      <c r="P158" s="32">
        <v>0.0</v>
      </c>
      <c r="Q158" s="38">
        <v>0.0</v>
      </c>
      <c r="R158" s="32">
        <v>0.0</v>
      </c>
      <c r="S158" s="34">
        <v>0.0</v>
      </c>
      <c r="T158" s="35">
        <v>0.0</v>
      </c>
      <c r="U158" s="41">
        <v>0.0</v>
      </c>
      <c r="V158" s="42">
        <v>0.0</v>
      </c>
      <c r="W158" s="43">
        <v>0.0</v>
      </c>
      <c r="X158" s="42">
        <v>0.0</v>
      </c>
      <c r="Y158" s="44">
        <v>0.0</v>
      </c>
      <c r="Z158" s="42">
        <v>0.0</v>
      </c>
      <c r="AA158" s="45"/>
      <c r="AB158" s="46"/>
      <c r="AC158" s="45">
        <v>0.0</v>
      </c>
      <c r="AD158" s="46"/>
      <c r="AE158" s="45">
        <f t="shared" si="1"/>
        <v>0</v>
      </c>
      <c r="AF158" s="46"/>
      <c r="AG158" s="45"/>
      <c r="AH158" s="46"/>
      <c r="AI158" s="45">
        <v>0.0</v>
      </c>
      <c r="AJ158" s="46"/>
      <c r="AK158" s="45">
        <f t="shared" si="2"/>
        <v>0</v>
      </c>
      <c r="AL158" s="46"/>
      <c r="AM158" s="45"/>
      <c r="AN158" s="46"/>
      <c r="AO158" s="45">
        <v>0.0</v>
      </c>
      <c r="AP158" s="46"/>
      <c r="AQ158" s="45">
        <f t="shared" si="3"/>
        <v>0</v>
      </c>
      <c r="AR158" s="46"/>
    </row>
    <row r="159" ht="15.75" customHeight="1">
      <c r="A159" s="29">
        <v>31401.0</v>
      </c>
      <c r="B159" s="30" t="s">
        <v>164</v>
      </c>
      <c r="C159" s="31">
        <v>350000.0</v>
      </c>
      <c r="D159" s="32">
        <v>1.86</v>
      </c>
      <c r="E159" s="33">
        <v>0.0</v>
      </c>
      <c r="F159" s="32">
        <v>0.0</v>
      </c>
      <c r="G159" s="34">
        <v>350000.0</v>
      </c>
      <c r="H159" s="35">
        <v>1.27</v>
      </c>
      <c r="I159" s="36">
        <v>550000.0</v>
      </c>
      <c r="J159" s="37">
        <v>2.16</v>
      </c>
      <c r="K159" s="38">
        <v>0.0</v>
      </c>
      <c r="L159" s="39">
        <v>0.0</v>
      </c>
      <c r="M159" s="38">
        <v>550000.0</v>
      </c>
      <c r="N159" s="40">
        <v>1.65</v>
      </c>
      <c r="O159" s="36">
        <v>410000.0</v>
      </c>
      <c r="P159" s="37">
        <v>1.56</v>
      </c>
      <c r="Q159" s="38">
        <v>0.0</v>
      </c>
      <c r="R159" s="32">
        <v>0.0</v>
      </c>
      <c r="S159" s="38">
        <v>410000.0</v>
      </c>
      <c r="T159" s="35">
        <v>0.71</v>
      </c>
      <c r="U159" s="47">
        <v>360000.0</v>
      </c>
      <c r="V159" s="42">
        <v>1.03</v>
      </c>
      <c r="W159" s="43">
        <v>0.0</v>
      </c>
      <c r="X159" s="42">
        <v>0.0</v>
      </c>
      <c r="Y159" s="44">
        <v>360000.0</v>
      </c>
      <c r="Z159" s="42">
        <v>0.83</v>
      </c>
      <c r="AA159" s="45">
        <v>360000.0</v>
      </c>
      <c r="AB159" s="46"/>
      <c r="AC159" s="45">
        <v>0.0</v>
      </c>
      <c r="AD159" s="46"/>
      <c r="AE159" s="45">
        <f t="shared" si="1"/>
        <v>360000</v>
      </c>
      <c r="AF159" s="46"/>
      <c r="AG159" s="45">
        <v>500000.0</v>
      </c>
      <c r="AH159" s="46"/>
      <c r="AI159" s="45">
        <v>0.0</v>
      </c>
      <c r="AJ159" s="46"/>
      <c r="AK159" s="45">
        <f t="shared" si="2"/>
        <v>500000</v>
      </c>
      <c r="AL159" s="46"/>
      <c r="AM159" s="45">
        <v>500000.0</v>
      </c>
      <c r="AN159" s="46"/>
      <c r="AO159" s="45">
        <v>0.0</v>
      </c>
      <c r="AP159" s="46"/>
      <c r="AQ159" s="45">
        <f t="shared" si="3"/>
        <v>500000</v>
      </c>
      <c r="AR159" s="46"/>
    </row>
    <row r="160" ht="15.75" customHeight="1">
      <c r="A160" s="29">
        <v>31402.0</v>
      </c>
      <c r="B160" s="30" t="s">
        <v>165</v>
      </c>
      <c r="C160" s="31">
        <v>20000.0</v>
      </c>
      <c r="D160" s="32">
        <v>0.47</v>
      </c>
      <c r="E160" s="33">
        <v>0.0</v>
      </c>
      <c r="F160" s="32">
        <v>0.0</v>
      </c>
      <c r="G160" s="34">
        <v>20000.0</v>
      </c>
      <c r="H160" s="35">
        <v>0.39</v>
      </c>
      <c r="I160" s="36">
        <v>30000.0</v>
      </c>
      <c r="J160" s="37">
        <v>0.6</v>
      </c>
      <c r="K160" s="38">
        <v>0.0</v>
      </c>
      <c r="L160" s="39">
        <v>0.0</v>
      </c>
      <c r="M160" s="38">
        <v>30000.0</v>
      </c>
      <c r="N160" s="40">
        <v>0.52</v>
      </c>
      <c r="O160" s="36">
        <v>35000.0</v>
      </c>
      <c r="P160" s="37">
        <v>0.61</v>
      </c>
      <c r="Q160" s="38">
        <v>0.0</v>
      </c>
      <c r="R160" s="32">
        <v>0.0</v>
      </c>
      <c r="S160" s="38">
        <v>35000.0</v>
      </c>
      <c r="T160" s="35">
        <v>0.42</v>
      </c>
      <c r="U160" s="47">
        <v>45000.0</v>
      </c>
      <c r="V160" s="42">
        <v>0.72</v>
      </c>
      <c r="W160" s="43">
        <v>0.0</v>
      </c>
      <c r="X160" s="42">
        <v>0.0</v>
      </c>
      <c r="Y160" s="44">
        <v>45000.0</v>
      </c>
      <c r="Z160" s="42">
        <v>0.57</v>
      </c>
      <c r="AA160" s="45">
        <v>80000.0</v>
      </c>
      <c r="AB160" s="46"/>
      <c r="AC160" s="45">
        <v>0.0</v>
      </c>
      <c r="AD160" s="46"/>
      <c r="AE160" s="45">
        <f t="shared" si="1"/>
        <v>80000</v>
      </c>
      <c r="AF160" s="46"/>
      <c r="AG160" s="45">
        <v>80000.0</v>
      </c>
      <c r="AH160" s="46"/>
      <c r="AI160" s="45">
        <v>0.0</v>
      </c>
      <c r="AJ160" s="46"/>
      <c r="AK160" s="45">
        <f t="shared" si="2"/>
        <v>80000</v>
      </c>
      <c r="AL160" s="46"/>
      <c r="AM160" s="45">
        <v>70000.0</v>
      </c>
      <c r="AN160" s="46"/>
      <c r="AO160" s="45">
        <v>0.0</v>
      </c>
      <c r="AP160" s="46"/>
      <c r="AQ160" s="45">
        <f t="shared" si="3"/>
        <v>70000</v>
      </c>
      <c r="AR160" s="46"/>
    </row>
    <row r="161" ht="15.75" customHeight="1">
      <c r="A161" s="29">
        <v>31403.0</v>
      </c>
      <c r="B161" s="30" t="s">
        <v>166</v>
      </c>
      <c r="C161" s="31">
        <v>50000.0</v>
      </c>
      <c r="D161" s="32">
        <v>0.62</v>
      </c>
      <c r="E161" s="33">
        <v>0.0</v>
      </c>
      <c r="F161" s="32">
        <v>0.0</v>
      </c>
      <c r="G161" s="34">
        <v>50000.0</v>
      </c>
      <c r="H161" s="35">
        <v>0.48</v>
      </c>
      <c r="I161" s="36">
        <v>70000.0</v>
      </c>
      <c r="J161" s="37">
        <v>0.77</v>
      </c>
      <c r="K161" s="38">
        <v>0.0</v>
      </c>
      <c r="L161" s="39">
        <v>0.0</v>
      </c>
      <c r="M161" s="38">
        <v>70000.0</v>
      </c>
      <c r="N161" s="40">
        <v>0.52</v>
      </c>
      <c r="O161" s="36">
        <v>80000.0</v>
      </c>
      <c r="P161" s="37">
        <v>0.84</v>
      </c>
      <c r="Q161" s="38">
        <v>0.0</v>
      </c>
      <c r="R161" s="32">
        <v>0.0</v>
      </c>
      <c r="S161" s="38">
        <v>80000.0</v>
      </c>
      <c r="T161" s="35">
        <v>0.55</v>
      </c>
      <c r="U161" s="47">
        <v>108800.0</v>
      </c>
      <c r="V161" s="42">
        <v>1.01</v>
      </c>
      <c r="W161" s="43">
        <v>0.0</v>
      </c>
      <c r="X161" s="42">
        <v>0.0</v>
      </c>
      <c r="Y161" s="44">
        <v>108800.0</v>
      </c>
      <c r="Z161" s="42">
        <v>0.78</v>
      </c>
      <c r="AA161" s="45">
        <v>108800.0</v>
      </c>
      <c r="AB161" s="46"/>
      <c r="AC161" s="45">
        <v>0.0</v>
      </c>
      <c r="AD161" s="46"/>
      <c r="AE161" s="45">
        <f t="shared" si="1"/>
        <v>108800</v>
      </c>
      <c r="AF161" s="46"/>
      <c r="AG161" s="45">
        <v>108800.0</v>
      </c>
      <c r="AH161" s="46"/>
      <c r="AI161" s="45">
        <v>0.0</v>
      </c>
      <c r="AJ161" s="46"/>
      <c r="AK161" s="45">
        <f t="shared" si="2"/>
        <v>108800</v>
      </c>
      <c r="AL161" s="46"/>
      <c r="AM161" s="45">
        <v>121200.0</v>
      </c>
      <c r="AN161" s="46"/>
      <c r="AO161" s="45">
        <v>0.0</v>
      </c>
      <c r="AP161" s="46"/>
      <c r="AQ161" s="45">
        <f t="shared" si="3"/>
        <v>121200</v>
      </c>
      <c r="AR161" s="46"/>
    </row>
    <row r="162" ht="15.75" customHeight="1">
      <c r="A162" s="29">
        <v>31404.0</v>
      </c>
      <c r="B162" s="30" t="s">
        <v>167</v>
      </c>
      <c r="C162" s="48">
        <v>0.0</v>
      </c>
      <c r="D162" s="32">
        <v>0.0</v>
      </c>
      <c r="E162" s="33">
        <v>0.0</v>
      </c>
      <c r="F162" s="32">
        <v>0.0</v>
      </c>
      <c r="G162" s="34">
        <v>0.0</v>
      </c>
      <c r="H162" s="35">
        <v>0.0</v>
      </c>
      <c r="I162" s="48">
        <v>0.0</v>
      </c>
      <c r="J162" s="32">
        <v>0.0</v>
      </c>
      <c r="K162" s="38">
        <v>0.0</v>
      </c>
      <c r="L162" s="39">
        <v>0.0</v>
      </c>
      <c r="M162" s="34">
        <v>0.0</v>
      </c>
      <c r="N162" s="35">
        <v>0.0</v>
      </c>
      <c r="O162" s="48">
        <v>0.0</v>
      </c>
      <c r="P162" s="32">
        <v>0.0</v>
      </c>
      <c r="Q162" s="38">
        <v>0.0</v>
      </c>
      <c r="R162" s="32">
        <v>0.0</v>
      </c>
      <c r="S162" s="34">
        <v>0.0</v>
      </c>
      <c r="T162" s="35">
        <v>0.0</v>
      </c>
      <c r="U162" s="41">
        <v>0.0</v>
      </c>
      <c r="V162" s="42">
        <v>0.0</v>
      </c>
      <c r="W162" s="43">
        <v>0.0</v>
      </c>
      <c r="X162" s="42">
        <v>0.0</v>
      </c>
      <c r="Y162" s="44">
        <v>0.0</v>
      </c>
      <c r="Z162" s="42">
        <v>0.0</v>
      </c>
      <c r="AA162" s="45"/>
      <c r="AB162" s="46"/>
      <c r="AC162" s="45">
        <v>0.0</v>
      </c>
      <c r="AD162" s="46"/>
      <c r="AE162" s="45">
        <f t="shared" si="1"/>
        <v>0</v>
      </c>
      <c r="AF162" s="46"/>
      <c r="AG162" s="45"/>
      <c r="AH162" s="46"/>
      <c r="AI162" s="45">
        <v>0.0</v>
      </c>
      <c r="AJ162" s="46"/>
      <c r="AK162" s="45">
        <f t="shared" si="2"/>
        <v>0</v>
      </c>
      <c r="AL162" s="46"/>
      <c r="AM162" s="45"/>
      <c r="AN162" s="46"/>
      <c r="AO162" s="45">
        <v>0.0</v>
      </c>
      <c r="AP162" s="46"/>
      <c r="AQ162" s="45">
        <f t="shared" si="3"/>
        <v>0</v>
      </c>
      <c r="AR162" s="46"/>
    </row>
    <row r="163" ht="15.75" customHeight="1">
      <c r="A163" s="29">
        <v>31405.0</v>
      </c>
      <c r="B163" s="30" t="s">
        <v>168</v>
      </c>
      <c r="C163" s="48">
        <v>0.0</v>
      </c>
      <c r="D163" s="32">
        <v>0.0</v>
      </c>
      <c r="E163" s="33">
        <v>0.0</v>
      </c>
      <c r="F163" s="32">
        <v>0.0</v>
      </c>
      <c r="G163" s="34">
        <v>0.0</v>
      </c>
      <c r="H163" s="35">
        <v>0.0</v>
      </c>
      <c r="I163" s="48">
        <v>0.0</v>
      </c>
      <c r="J163" s="32">
        <v>0.0</v>
      </c>
      <c r="K163" s="38">
        <v>0.0</v>
      </c>
      <c r="L163" s="39">
        <v>0.0</v>
      </c>
      <c r="M163" s="34">
        <v>0.0</v>
      </c>
      <c r="N163" s="35">
        <v>0.0</v>
      </c>
      <c r="O163" s="36">
        <v>5000.0</v>
      </c>
      <c r="P163" s="37">
        <v>0.26</v>
      </c>
      <c r="Q163" s="38">
        <v>0.0</v>
      </c>
      <c r="R163" s="32">
        <v>0.0</v>
      </c>
      <c r="S163" s="38">
        <v>5000.0</v>
      </c>
      <c r="T163" s="35">
        <v>0.2</v>
      </c>
      <c r="U163" s="47">
        <v>7000.0</v>
      </c>
      <c r="V163" s="42">
        <v>0.32</v>
      </c>
      <c r="W163" s="43">
        <v>0.0</v>
      </c>
      <c r="X163" s="42">
        <v>0.0</v>
      </c>
      <c r="Y163" s="44">
        <v>7000.0</v>
      </c>
      <c r="Z163" s="42">
        <v>0.32</v>
      </c>
      <c r="AA163" s="45">
        <v>5000.0</v>
      </c>
      <c r="AB163" s="46"/>
      <c r="AC163" s="45">
        <v>0.0</v>
      </c>
      <c r="AD163" s="46"/>
      <c r="AE163" s="45">
        <f t="shared" si="1"/>
        <v>5000</v>
      </c>
      <c r="AF163" s="46"/>
      <c r="AG163" s="45">
        <v>3500.0</v>
      </c>
      <c r="AH163" s="46"/>
      <c r="AI163" s="45">
        <v>0.0</v>
      </c>
      <c r="AJ163" s="46"/>
      <c r="AK163" s="45">
        <f t="shared" si="2"/>
        <v>3500</v>
      </c>
      <c r="AL163" s="46"/>
      <c r="AM163" s="45">
        <v>5000.0</v>
      </c>
      <c r="AN163" s="46"/>
      <c r="AO163" s="45">
        <v>0.0</v>
      </c>
      <c r="AP163" s="46"/>
      <c r="AQ163" s="45">
        <f t="shared" si="3"/>
        <v>5000</v>
      </c>
      <c r="AR163" s="46"/>
    </row>
    <row r="164" ht="15.75" customHeight="1">
      <c r="A164" s="29">
        <v>31501.0</v>
      </c>
      <c r="B164" s="30" t="s">
        <v>169</v>
      </c>
      <c r="C164" s="31">
        <v>35000.0</v>
      </c>
      <c r="D164" s="32">
        <v>0.59</v>
      </c>
      <c r="E164" s="33">
        <v>0.0</v>
      </c>
      <c r="F164" s="32">
        <v>0.0</v>
      </c>
      <c r="G164" s="34">
        <v>35000.0</v>
      </c>
      <c r="H164" s="35">
        <v>0.36</v>
      </c>
      <c r="I164" s="36">
        <v>50000.0</v>
      </c>
      <c r="J164" s="37">
        <v>0.76</v>
      </c>
      <c r="K164" s="38">
        <v>0.0</v>
      </c>
      <c r="L164" s="39">
        <v>0.0</v>
      </c>
      <c r="M164" s="38">
        <v>50000.0</v>
      </c>
      <c r="N164" s="40">
        <v>0.54</v>
      </c>
      <c r="O164" s="36">
        <v>40000.0</v>
      </c>
      <c r="P164" s="37">
        <v>0.66</v>
      </c>
      <c r="Q164" s="38">
        <v>0.0</v>
      </c>
      <c r="R164" s="32">
        <v>0.0</v>
      </c>
      <c r="S164" s="38">
        <v>40000.0</v>
      </c>
      <c r="T164" s="35">
        <v>0.46</v>
      </c>
      <c r="U164" s="47">
        <v>32000.0</v>
      </c>
      <c r="V164" s="42">
        <v>0.55</v>
      </c>
      <c r="W164" s="43">
        <v>0.0</v>
      </c>
      <c r="X164" s="42">
        <v>0.0</v>
      </c>
      <c r="Y164" s="44">
        <v>32000.0</v>
      </c>
      <c r="Z164" s="42">
        <v>0.5</v>
      </c>
      <c r="AA164" s="45">
        <v>42000.0</v>
      </c>
      <c r="AB164" s="46"/>
      <c r="AC164" s="45">
        <v>0.0</v>
      </c>
      <c r="AD164" s="46"/>
      <c r="AE164" s="45">
        <f t="shared" si="1"/>
        <v>42000</v>
      </c>
      <c r="AF164" s="46"/>
      <c r="AG164" s="45">
        <v>39000.0</v>
      </c>
      <c r="AH164" s="46"/>
      <c r="AI164" s="45">
        <v>0.0</v>
      </c>
      <c r="AJ164" s="46"/>
      <c r="AK164" s="45">
        <f t="shared" si="2"/>
        <v>39000</v>
      </c>
      <c r="AL164" s="46"/>
      <c r="AM164" s="45">
        <v>41000.0</v>
      </c>
      <c r="AN164" s="46"/>
      <c r="AO164" s="45">
        <v>0.0</v>
      </c>
      <c r="AP164" s="46"/>
      <c r="AQ164" s="45">
        <f t="shared" si="3"/>
        <v>41000</v>
      </c>
      <c r="AR164" s="46"/>
    </row>
    <row r="165" ht="15.75" customHeight="1">
      <c r="A165" s="29">
        <v>31601.0</v>
      </c>
      <c r="B165" s="30" t="s">
        <v>170</v>
      </c>
      <c r="C165" s="31">
        <v>10000.0</v>
      </c>
      <c r="D165" s="32">
        <v>0.09</v>
      </c>
      <c r="E165" s="49">
        <v>54000.0</v>
      </c>
      <c r="F165" s="32">
        <v>0.67</v>
      </c>
      <c r="G165" s="34">
        <v>64000.0</v>
      </c>
      <c r="H165" s="35">
        <v>0.34</v>
      </c>
      <c r="I165" s="36">
        <v>10000.0</v>
      </c>
      <c r="J165" s="37">
        <v>0.07</v>
      </c>
      <c r="K165" s="38">
        <v>0.0</v>
      </c>
      <c r="L165" s="39">
        <v>0.0</v>
      </c>
      <c r="M165" s="38">
        <v>10000.0</v>
      </c>
      <c r="N165" s="40">
        <v>0.04</v>
      </c>
      <c r="O165" s="36">
        <v>210000.0</v>
      </c>
      <c r="P165" s="37">
        <v>1.22</v>
      </c>
      <c r="Q165" s="38">
        <v>0.0</v>
      </c>
      <c r="R165" s="32">
        <v>0.0</v>
      </c>
      <c r="S165" s="38">
        <v>210000.0</v>
      </c>
      <c r="T165" s="35">
        <v>0.78</v>
      </c>
      <c r="U165" s="47">
        <v>293426.0</v>
      </c>
      <c r="V165" s="42">
        <v>1.82</v>
      </c>
      <c r="W165" s="43">
        <v>0.0</v>
      </c>
      <c r="X165" s="42">
        <v>0.0</v>
      </c>
      <c r="Y165" s="44">
        <v>293426.0</v>
      </c>
      <c r="Z165" s="42">
        <v>1.21</v>
      </c>
      <c r="AA165" s="45">
        <v>232110.0</v>
      </c>
      <c r="AB165" s="46"/>
      <c r="AC165" s="45">
        <v>0.0</v>
      </c>
      <c r="AD165" s="46"/>
      <c r="AE165" s="45">
        <f t="shared" si="1"/>
        <v>232110</v>
      </c>
      <c r="AF165" s="46"/>
      <c r="AG165" s="45">
        <v>182200.0</v>
      </c>
      <c r="AH165" s="46"/>
      <c r="AI165" s="45">
        <v>0.0</v>
      </c>
      <c r="AJ165" s="46"/>
      <c r="AK165" s="45">
        <f t="shared" si="2"/>
        <v>182200</v>
      </c>
      <c r="AL165" s="46"/>
      <c r="AM165" s="45">
        <v>182200.0</v>
      </c>
      <c r="AN165" s="46"/>
      <c r="AO165" s="45">
        <v>0.0</v>
      </c>
      <c r="AP165" s="46"/>
      <c r="AQ165" s="45">
        <f t="shared" si="3"/>
        <v>182200</v>
      </c>
      <c r="AR165" s="46"/>
    </row>
    <row r="166" ht="15.75" customHeight="1">
      <c r="A166" s="29">
        <v>31602.0</v>
      </c>
      <c r="B166" s="30" t="s">
        <v>171</v>
      </c>
      <c r="C166" s="31">
        <v>150000.0</v>
      </c>
      <c r="D166" s="32">
        <v>1.69</v>
      </c>
      <c r="E166" s="33">
        <v>0.0</v>
      </c>
      <c r="F166" s="32">
        <v>0.0</v>
      </c>
      <c r="G166" s="34">
        <v>150000.0</v>
      </c>
      <c r="H166" s="35">
        <v>0.84</v>
      </c>
      <c r="I166" s="36">
        <v>151039.0</v>
      </c>
      <c r="J166" s="37">
        <v>1.8</v>
      </c>
      <c r="K166" s="38">
        <v>0.0</v>
      </c>
      <c r="L166" s="39">
        <v>0.0</v>
      </c>
      <c r="M166" s="38">
        <v>151039.0</v>
      </c>
      <c r="N166" s="40">
        <v>1.35</v>
      </c>
      <c r="O166" s="36">
        <v>181333.0</v>
      </c>
      <c r="P166" s="37">
        <v>1.85</v>
      </c>
      <c r="Q166" s="38">
        <v>0.0</v>
      </c>
      <c r="R166" s="32">
        <v>0.0</v>
      </c>
      <c r="S166" s="38">
        <v>181333.0</v>
      </c>
      <c r="T166" s="35">
        <v>0.82</v>
      </c>
      <c r="U166" s="47">
        <v>346504.0</v>
      </c>
      <c r="V166" s="42">
        <v>1.79</v>
      </c>
      <c r="W166" s="43">
        <v>0.0</v>
      </c>
      <c r="X166" s="42">
        <v>0.0</v>
      </c>
      <c r="Y166" s="44">
        <v>346504.0</v>
      </c>
      <c r="Z166" s="42">
        <v>1.58</v>
      </c>
      <c r="AA166" s="45">
        <v>414600.0</v>
      </c>
      <c r="AB166" s="46"/>
      <c r="AC166" s="45">
        <v>0.0</v>
      </c>
      <c r="AD166" s="46"/>
      <c r="AE166" s="45">
        <f t="shared" si="1"/>
        <v>414600</v>
      </c>
      <c r="AF166" s="46"/>
      <c r="AG166" s="45">
        <v>417686.0</v>
      </c>
      <c r="AH166" s="46"/>
      <c r="AI166" s="45">
        <v>0.0</v>
      </c>
      <c r="AJ166" s="46"/>
      <c r="AK166" s="45">
        <f t="shared" si="2"/>
        <v>417686</v>
      </c>
      <c r="AL166" s="46"/>
      <c r="AM166" s="45">
        <v>447686.0</v>
      </c>
      <c r="AN166" s="46"/>
      <c r="AO166" s="45">
        <v>0.0</v>
      </c>
      <c r="AP166" s="46"/>
      <c r="AQ166" s="45">
        <f t="shared" si="3"/>
        <v>447686</v>
      </c>
      <c r="AR166" s="46"/>
    </row>
    <row r="167" ht="15.75" customHeight="1">
      <c r="A167" s="29">
        <v>40101.0</v>
      </c>
      <c r="B167" s="30" t="s">
        <v>172</v>
      </c>
      <c r="C167" s="48">
        <v>0.0</v>
      </c>
      <c r="D167" s="32">
        <v>0.0</v>
      </c>
      <c r="E167" s="33">
        <v>0.0</v>
      </c>
      <c r="F167" s="32">
        <v>0.0</v>
      </c>
      <c r="G167" s="34">
        <v>0.0</v>
      </c>
      <c r="H167" s="35">
        <v>0.0</v>
      </c>
      <c r="I167" s="48">
        <v>0.0</v>
      </c>
      <c r="J167" s="32">
        <v>0.0</v>
      </c>
      <c r="K167" s="38">
        <v>0.0</v>
      </c>
      <c r="L167" s="39">
        <v>0.0</v>
      </c>
      <c r="M167" s="34">
        <v>0.0</v>
      </c>
      <c r="N167" s="35">
        <v>0.0</v>
      </c>
      <c r="O167" s="36">
        <v>999808.0</v>
      </c>
      <c r="P167" s="37">
        <v>0.42</v>
      </c>
      <c r="Q167" s="38">
        <v>0.0</v>
      </c>
      <c r="R167" s="32">
        <v>0.0</v>
      </c>
      <c r="S167" s="38">
        <v>999808.0</v>
      </c>
      <c r="T167" s="35">
        <v>0.16</v>
      </c>
      <c r="U167" s="47">
        <v>1400000.0</v>
      </c>
      <c r="V167" s="42">
        <v>0.35</v>
      </c>
      <c r="W167" s="43">
        <v>0.0</v>
      </c>
      <c r="X167" s="42">
        <v>0.0</v>
      </c>
      <c r="Y167" s="44">
        <v>1400000.0</v>
      </c>
      <c r="Z167" s="42">
        <v>0.32</v>
      </c>
      <c r="AA167" s="45">
        <v>1400000.0</v>
      </c>
      <c r="AB167" s="46"/>
      <c r="AC167" s="45">
        <v>0.0</v>
      </c>
      <c r="AD167" s="46"/>
      <c r="AE167" s="45">
        <f t="shared" si="1"/>
        <v>1400000</v>
      </c>
      <c r="AF167" s="46"/>
      <c r="AG167" s="45">
        <v>1264853.0</v>
      </c>
      <c r="AH167" s="46"/>
      <c r="AI167" s="45">
        <v>0.0</v>
      </c>
      <c r="AJ167" s="46"/>
      <c r="AK167" s="45">
        <f t="shared" si="2"/>
        <v>1264853</v>
      </c>
      <c r="AL167" s="46"/>
      <c r="AM167" s="45">
        <v>1956991.0</v>
      </c>
      <c r="AN167" s="46"/>
      <c r="AO167" s="45">
        <v>0.0</v>
      </c>
      <c r="AP167" s="46"/>
      <c r="AQ167" s="45">
        <f t="shared" si="3"/>
        <v>1956991</v>
      </c>
      <c r="AR167" s="46"/>
    </row>
    <row r="168" ht="15.75" customHeight="1">
      <c r="A168" s="29">
        <v>40102.0</v>
      </c>
      <c r="B168" s="30" t="s">
        <v>173</v>
      </c>
      <c r="C168" s="31">
        <v>57893.0</v>
      </c>
      <c r="D168" s="32">
        <v>0.42</v>
      </c>
      <c r="E168" s="33">
        <v>0.0</v>
      </c>
      <c r="F168" s="32">
        <v>0.0</v>
      </c>
      <c r="G168" s="34">
        <v>57893.0</v>
      </c>
      <c r="H168" s="35">
        <v>0.21</v>
      </c>
      <c r="I168" s="36">
        <v>300000.0</v>
      </c>
      <c r="J168" s="37">
        <v>1.9</v>
      </c>
      <c r="K168" s="38">
        <v>0.0</v>
      </c>
      <c r="L168" s="39">
        <v>0.0</v>
      </c>
      <c r="M168" s="38">
        <v>300000.0</v>
      </c>
      <c r="N168" s="40">
        <v>0.94</v>
      </c>
      <c r="O168" s="36">
        <v>120000.0</v>
      </c>
      <c r="P168" s="37">
        <v>0.67</v>
      </c>
      <c r="Q168" s="38">
        <v>0.0</v>
      </c>
      <c r="R168" s="32">
        <v>0.0</v>
      </c>
      <c r="S168" s="38">
        <v>120000.0</v>
      </c>
      <c r="T168" s="35">
        <v>0.39</v>
      </c>
      <c r="U168" s="47">
        <v>480000.0</v>
      </c>
      <c r="V168" s="42">
        <v>1.99</v>
      </c>
      <c r="W168" s="43">
        <v>0.0</v>
      </c>
      <c r="X168" s="42">
        <v>0.0</v>
      </c>
      <c r="Y168" s="44">
        <v>480000.0</v>
      </c>
      <c r="Z168" s="42">
        <v>1.56</v>
      </c>
      <c r="AA168" s="45">
        <v>550000.0</v>
      </c>
      <c r="AB168" s="46"/>
      <c r="AC168" s="45">
        <v>0.0</v>
      </c>
      <c r="AD168" s="46"/>
      <c r="AE168" s="45">
        <f t="shared" si="1"/>
        <v>550000</v>
      </c>
      <c r="AF168" s="46"/>
      <c r="AG168" s="45">
        <v>500000.0</v>
      </c>
      <c r="AH168" s="46"/>
      <c r="AI168" s="45">
        <v>0.0</v>
      </c>
      <c r="AJ168" s="46"/>
      <c r="AK168" s="45">
        <f t="shared" si="2"/>
        <v>500000</v>
      </c>
      <c r="AL168" s="46"/>
      <c r="AM168" s="45">
        <v>500000.0</v>
      </c>
      <c r="AN168" s="46"/>
      <c r="AO168" s="45">
        <v>0.0</v>
      </c>
      <c r="AP168" s="46"/>
      <c r="AQ168" s="45">
        <f t="shared" si="3"/>
        <v>500000</v>
      </c>
      <c r="AR168" s="46"/>
    </row>
    <row r="169" ht="15.75" customHeight="1">
      <c r="A169" s="29">
        <v>40103.0</v>
      </c>
      <c r="B169" s="30" t="s">
        <v>174</v>
      </c>
      <c r="C169" s="48">
        <v>0.0</v>
      </c>
      <c r="D169" s="32">
        <v>0.0</v>
      </c>
      <c r="E169" s="33">
        <v>0.0</v>
      </c>
      <c r="F169" s="32">
        <v>0.0</v>
      </c>
      <c r="G169" s="34">
        <v>0.0</v>
      </c>
      <c r="H169" s="35">
        <v>0.0</v>
      </c>
      <c r="I169" s="48">
        <v>0.0</v>
      </c>
      <c r="J169" s="32">
        <v>0.0</v>
      </c>
      <c r="K169" s="38">
        <v>0.0</v>
      </c>
      <c r="L169" s="39">
        <v>0.0</v>
      </c>
      <c r="M169" s="34">
        <v>0.0</v>
      </c>
      <c r="N169" s="35">
        <v>0.0</v>
      </c>
      <c r="O169" s="48">
        <v>0.0</v>
      </c>
      <c r="P169" s="32">
        <v>0.0</v>
      </c>
      <c r="Q169" s="38">
        <v>0.0</v>
      </c>
      <c r="R169" s="32">
        <v>0.0</v>
      </c>
      <c r="S169" s="34">
        <v>0.0</v>
      </c>
      <c r="T169" s="35">
        <v>0.0</v>
      </c>
      <c r="U169" s="41">
        <v>0.0</v>
      </c>
      <c r="V169" s="42">
        <v>0.0</v>
      </c>
      <c r="W169" s="43">
        <v>0.0</v>
      </c>
      <c r="X169" s="42">
        <v>0.0</v>
      </c>
      <c r="Y169" s="44">
        <v>0.0</v>
      </c>
      <c r="Z169" s="42">
        <v>0.0</v>
      </c>
      <c r="AA169" s="45">
        <v>0.0</v>
      </c>
      <c r="AB169" s="46"/>
      <c r="AC169" s="45">
        <v>0.0</v>
      </c>
      <c r="AD169" s="46"/>
      <c r="AE169" s="45">
        <f t="shared" si="1"/>
        <v>0</v>
      </c>
      <c r="AF169" s="46"/>
      <c r="AG169" s="45"/>
      <c r="AH169" s="46"/>
      <c r="AI169" s="45">
        <v>0.0</v>
      </c>
      <c r="AJ169" s="46"/>
      <c r="AK169" s="45">
        <f t="shared" si="2"/>
        <v>0</v>
      </c>
      <c r="AL169" s="46"/>
      <c r="AM169" s="45">
        <v>60000.0</v>
      </c>
      <c r="AN169" s="46"/>
      <c r="AO169" s="45">
        <v>0.0</v>
      </c>
      <c r="AP169" s="46"/>
      <c r="AQ169" s="45">
        <f t="shared" si="3"/>
        <v>60000</v>
      </c>
      <c r="AR169" s="46"/>
    </row>
    <row r="170" ht="15.75" customHeight="1">
      <c r="A170" s="29">
        <v>40104.0</v>
      </c>
      <c r="B170" s="30" t="s">
        <v>175</v>
      </c>
      <c r="C170" s="48">
        <v>0.0</v>
      </c>
      <c r="D170" s="32">
        <v>0.0</v>
      </c>
      <c r="E170" s="33">
        <v>0.0</v>
      </c>
      <c r="F170" s="32">
        <v>0.0</v>
      </c>
      <c r="G170" s="34">
        <v>0.0</v>
      </c>
      <c r="H170" s="35">
        <v>0.0</v>
      </c>
      <c r="I170" s="48">
        <v>0.0</v>
      </c>
      <c r="J170" s="32">
        <v>0.0</v>
      </c>
      <c r="K170" s="38">
        <v>0.0</v>
      </c>
      <c r="L170" s="39">
        <v>0.0</v>
      </c>
      <c r="M170" s="34">
        <v>0.0</v>
      </c>
      <c r="N170" s="35">
        <v>0.0</v>
      </c>
      <c r="O170" s="48">
        <v>0.0</v>
      </c>
      <c r="P170" s="32">
        <v>0.0</v>
      </c>
      <c r="Q170" s="38">
        <v>0.0</v>
      </c>
      <c r="R170" s="32">
        <v>0.0</v>
      </c>
      <c r="S170" s="34">
        <v>0.0</v>
      </c>
      <c r="T170" s="35">
        <v>0.0</v>
      </c>
      <c r="U170" s="41">
        <v>0.0</v>
      </c>
      <c r="V170" s="42">
        <v>0.0</v>
      </c>
      <c r="W170" s="43">
        <v>0.0</v>
      </c>
      <c r="X170" s="42">
        <v>0.0</v>
      </c>
      <c r="Y170" s="44">
        <v>0.0</v>
      </c>
      <c r="Z170" s="42">
        <v>0.0</v>
      </c>
      <c r="AA170" s="45"/>
      <c r="AB170" s="46"/>
      <c r="AC170" s="45">
        <v>0.0</v>
      </c>
      <c r="AD170" s="46"/>
      <c r="AE170" s="45">
        <f t="shared" si="1"/>
        <v>0</v>
      </c>
      <c r="AF170" s="46"/>
      <c r="AG170" s="45"/>
      <c r="AH170" s="46"/>
      <c r="AI170" s="45">
        <v>0.0</v>
      </c>
      <c r="AJ170" s="46"/>
      <c r="AK170" s="45">
        <f t="shared" si="2"/>
        <v>0</v>
      </c>
      <c r="AL170" s="46"/>
      <c r="AM170" s="45"/>
      <c r="AN170" s="46"/>
      <c r="AO170" s="45">
        <v>0.0</v>
      </c>
      <c r="AP170" s="46"/>
      <c r="AQ170" s="45">
        <f t="shared" si="3"/>
        <v>0</v>
      </c>
      <c r="AR170" s="46"/>
    </row>
    <row r="171" ht="15.75" customHeight="1">
      <c r="A171" s="29">
        <v>40201.0</v>
      </c>
      <c r="B171" s="30" t="s">
        <v>176</v>
      </c>
      <c r="C171" s="31">
        <v>210462.0</v>
      </c>
      <c r="D171" s="32">
        <v>1.2</v>
      </c>
      <c r="E171" s="33">
        <v>0.0</v>
      </c>
      <c r="F171" s="32">
        <v>0.0</v>
      </c>
      <c r="G171" s="34">
        <v>210462.0</v>
      </c>
      <c r="H171" s="35">
        <v>0.56</v>
      </c>
      <c r="I171" s="36">
        <v>450000.0</v>
      </c>
      <c r="J171" s="37">
        <v>2.11</v>
      </c>
      <c r="K171" s="38">
        <v>0.0</v>
      </c>
      <c r="L171" s="39">
        <v>0.0</v>
      </c>
      <c r="M171" s="38">
        <v>450000.0</v>
      </c>
      <c r="N171" s="40">
        <v>1.75</v>
      </c>
      <c r="O171" s="36">
        <v>250000.0</v>
      </c>
      <c r="P171" s="37">
        <v>0.9</v>
      </c>
      <c r="Q171" s="38">
        <v>0.0</v>
      </c>
      <c r="R171" s="32">
        <v>0.0</v>
      </c>
      <c r="S171" s="38">
        <v>250000.0</v>
      </c>
      <c r="T171" s="35">
        <v>0.5</v>
      </c>
      <c r="U171" s="47">
        <v>750000.0</v>
      </c>
      <c r="V171" s="42">
        <v>2.13</v>
      </c>
      <c r="W171" s="43">
        <v>0.0</v>
      </c>
      <c r="X171" s="42">
        <v>0.0</v>
      </c>
      <c r="Y171" s="44">
        <v>750000.0</v>
      </c>
      <c r="Z171" s="42">
        <v>2.03</v>
      </c>
      <c r="AA171" s="45">
        <v>895535.0</v>
      </c>
      <c r="AB171" s="46"/>
      <c r="AC171" s="45">
        <v>0.0</v>
      </c>
      <c r="AD171" s="46"/>
      <c r="AE171" s="45">
        <f t="shared" si="1"/>
        <v>895535</v>
      </c>
      <c r="AF171" s="46"/>
      <c r="AG171" s="45">
        <v>895535.0</v>
      </c>
      <c r="AH171" s="46"/>
      <c r="AI171" s="45">
        <v>0.0</v>
      </c>
      <c r="AJ171" s="46"/>
      <c r="AK171" s="45">
        <f t="shared" si="2"/>
        <v>895535</v>
      </c>
      <c r="AL171" s="46"/>
      <c r="AM171" s="45">
        <v>895535.0</v>
      </c>
      <c r="AN171" s="46"/>
      <c r="AO171" s="45">
        <v>0.0</v>
      </c>
      <c r="AP171" s="46"/>
      <c r="AQ171" s="45">
        <f t="shared" si="3"/>
        <v>895535</v>
      </c>
      <c r="AR171" s="46"/>
    </row>
    <row r="172" ht="15.75" customHeight="1">
      <c r="A172" s="29">
        <v>40202.0</v>
      </c>
      <c r="B172" s="30" t="s">
        <v>177</v>
      </c>
      <c r="C172" s="48">
        <v>0.0</v>
      </c>
      <c r="D172" s="32">
        <v>0.0</v>
      </c>
      <c r="E172" s="33">
        <v>0.0</v>
      </c>
      <c r="F172" s="32">
        <v>0.0</v>
      </c>
      <c r="G172" s="34">
        <v>0.0</v>
      </c>
      <c r="H172" s="35">
        <v>0.0</v>
      </c>
      <c r="I172" s="48">
        <v>0.0</v>
      </c>
      <c r="J172" s="32">
        <v>0.0</v>
      </c>
      <c r="K172" s="38">
        <v>0.0</v>
      </c>
      <c r="L172" s="39">
        <v>0.0</v>
      </c>
      <c r="M172" s="34">
        <v>0.0</v>
      </c>
      <c r="N172" s="35">
        <v>0.0</v>
      </c>
      <c r="O172" s="48">
        <v>0.0</v>
      </c>
      <c r="P172" s="32">
        <v>0.0</v>
      </c>
      <c r="Q172" s="38">
        <v>0.0</v>
      </c>
      <c r="R172" s="32">
        <v>0.0</v>
      </c>
      <c r="S172" s="34">
        <v>0.0</v>
      </c>
      <c r="T172" s="35">
        <v>0.0</v>
      </c>
      <c r="U172" s="41">
        <v>0.0</v>
      </c>
      <c r="V172" s="42">
        <v>0.0</v>
      </c>
      <c r="W172" s="43">
        <v>0.0</v>
      </c>
      <c r="X172" s="42">
        <v>0.0</v>
      </c>
      <c r="Y172" s="44">
        <v>0.0</v>
      </c>
      <c r="Z172" s="42">
        <v>0.0</v>
      </c>
      <c r="AA172" s="45"/>
      <c r="AB172" s="46"/>
      <c r="AC172" s="45">
        <v>0.0</v>
      </c>
      <c r="AD172" s="46"/>
      <c r="AE172" s="45">
        <f t="shared" si="1"/>
        <v>0</v>
      </c>
      <c r="AF172" s="46"/>
      <c r="AG172" s="45"/>
      <c r="AH172" s="46"/>
      <c r="AI172" s="45">
        <v>0.0</v>
      </c>
      <c r="AJ172" s="46"/>
      <c r="AK172" s="45">
        <f t="shared" si="2"/>
        <v>0</v>
      </c>
      <c r="AL172" s="46"/>
      <c r="AM172" s="45"/>
      <c r="AN172" s="46"/>
      <c r="AO172" s="45">
        <v>0.0</v>
      </c>
      <c r="AP172" s="46"/>
      <c r="AQ172" s="45">
        <f t="shared" si="3"/>
        <v>0</v>
      </c>
      <c r="AR172" s="46"/>
    </row>
    <row r="173" ht="15.75" customHeight="1">
      <c r="A173" s="29">
        <v>40301.0</v>
      </c>
      <c r="B173" s="30" t="s">
        <v>178</v>
      </c>
      <c r="C173" s="31">
        <v>12000.0</v>
      </c>
      <c r="D173" s="32">
        <v>0.23</v>
      </c>
      <c r="E173" s="33">
        <v>0.0</v>
      </c>
      <c r="F173" s="32">
        <v>0.0</v>
      </c>
      <c r="G173" s="34">
        <v>12000.0</v>
      </c>
      <c r="H173" s="35">
        <v>0.09</v>
      </c>
      <c r="I173" s="36">
        <v>12000.0</v>
      </c>
      <c r="J173" s="37">
        <v>0.22</v>
      </c>
      <c r="K173" s="38">
        <v>0.0</v>
      </c>
      <c r="L173" s="39">
        <v>0.0</v>
      </c>
      <c r="M173" s="38">
        <v>12000.0</v>
      </c>
      <c r="N173" s="40">
        <v>0.08</v>
      </c>
      <c r="O173" s="36">
        <v>12000.0</v>
      </c>
      <c r="P173" s="37">
        <v>0.16</v>
      </c>
      <c r="Q173" s="38">
        <v>0.0</v>
      </c>
      <c r="R173" s="32">
        <v>0.0</v>
      </c>
      <c r="S173" s="38">
        <v>12000.0</v>
      </c>
      <c r="T173" s="35">
        <v>0.08</v>
      </c>
      <c r="U173" s="47">
        <v>39000.0</v>
      </c>
      <c r="V173" s="42">
        <v>0.49</v>
      </c>
      <c r="W173" s="43">
        <v>0.0</v>
      </c>
      <c r="X173" s="42">
        <v>0.0</v>
      </c>
      <c r="Y173" s="44">
        <v>39000.0</v>
      </c>
      <c r="Z173" s="42">
        <v>0.45</v>
      </c>
      <c r="AA173" s="45">
        <v>30000.0</v>
      </c>
      <c r="AB173" s="46"/>
      <c r="AC173" s="45">
        <v>0.0</v>
      </c>
      <c r="AD173" s="46"/>
      <c r="AE173" s="45">
        <f t="shared" si="1"/>
        <v>30000</v>
      </c>
      <c r="AF173" s="46"/>
      <c r="AG173" s="45">
        <v>30000.0</v>
      </c>
      <c r="AH173" s="46"/>
      <c r="AI173" s="45">
        <v>0.0</v>
      </c>
      <c r="AJ173" s="46"/>
      <c r="AK173" s="45">
        <f t="shared" si="2"/>
        <v>30000</v>
      </c>
      <c r="AL173" s="46"/>
      <c r="AM173" s="45">
        <v>30000.0</v>
      </c>
      <c r="AN173" s="46"/>
      <c r="AO173" s="45">
        <v>0.0</v>
      </c>
      <c r="AP173" s="46"/>
      <c r="AQ173" s="45">
        <f t="shared" si="3"/>
        <v>30000</v>
      </c>
      <c r="AR173" s="46"/>
    </row>
    <row r="174" ht="15.75" customHeight="1">
      <c r="A174" s="29">
        <v>40302.0</v>
      </c>
      <c r="B174" s="30" t="s">
        <v>179</v>
      </c>
      <c r="C174" s="48">
        <v>0.0</v>
      </c>
      <c r="D174" s="32">
        <v>0.0</v>
      </c>
      <c r="E174" s="33">
        <v>0.0</v>
      </c>
      <c r="F174" s="32">
        <v>0.0</v>
      </c>
      <c r="G174" s="34">
        <v>0.0</v>
      </c>
      <c r="H174" s="35">
        <v>0.0</v>
      </c>
      <c r="I174" s="36">
        <v>20000.0</v>
      </c>
      <c r="J174" s="37">
        <v>1.65</v>
      </c>
      <c r="K174" s="38">
        <v>0.0</v>
      </c>
      <c r="L174" s="39">
        <v>0.0</v>
      </c>
      <c r="M174" s="38">
        <v>20000.0</v>
      </c>
      <c r="N174" s="40">
        <v>0.89</v>
      </c>
      <c r="O174" s="36">
        <v>12000.0</v>
      </c>
      <c r="P174" s="37">
        <v>1.04</v>
      </c>
      <c r="Q174" s="38">
        <v>0.0</v>
      </c>
      <c r="R174" s="32">
        <v>0.0</v>
      </c>
      <c r="S174" s="38">
        <v>12000.0</v>
      </c>
      <c r="T174" s="35">
        <v>0.56</v>
      </c>
      <c r="U174" s="47">
        <v>40000.0</v>
      </c>
      <c r="V174" s="42">
        <v>2.27</v>
      </c>
      <c r="W174" s="43">
        <v>0.0</v>
      </c>
      <c r="X174" s="42">
        <v>0.0</v>
      </c>
      <c r="Y174" s="44">
        <v>40000.0</v>
      </c>
      <c r="Z174" s="42">
        <v>2.05</v>
      </c>
      <c r="AA174" s="45">
        <v>50000.0</v>
      </c>
      <c r="AB174" s="46"/>
      <c r="AC174" s="45">
        <v>0.0</v>
      </c>
      <c r="AD174" s="46"/>
      <c r="AE174" s="45">
        <f t="shared" si="1"/>
        <v>50000</v>
      </c>
      <c r="AF174" s="46"/>
      <c r="AG174" s="45">
        <v>20000.0</v>
      </c>
      <c r="AH174" s="46"/>
      <c r="AI174" s="45">
        <v>0.0</v>
      </c>
      <c r="AJ174" s="46"/>
      <c r="AK174" s="45">
        <f t="shared" si="2"/>
        <v>20000</v>
      </c>
      <c r="AL174" s="46"/>
      <c r="AM174" s="45">
        <v>22900.0</v>
      </c>
      <c r="AN174" s="46"/>
      <c r="AO174" s="45">
        <v>0.0</v>
      </c>
      <c r="AP174" s="46"/>
      <c r="AQ174" s="45">
        <f t="shared" si="3"/>
        <v>22900</v>
      </c>
      <c r="AR174" s="46"/>
    </row>
    <row r="175" ht="15.75" customHeight="1">
      <c r="A175" s="29">
        <v>40401.0</v>
      </c>
      <c r="B175" s="30" t="s">
        <v>180</v>
      </c>
      <c r="C175" s="31">
        <v>50000.0</v>
      </c>
      <c r="D175" s="32">
        <v>1.4</v>
      </c>
      <c r="E175" s="33">
        <v>0.0</v>
      </c>
      <c r="F175" s="32">
        <v>0.0</v>
      </c>
      <c r="G175" s="34">
        <v>50000.0</v>
      </c>
      <c r="H175" s="35">
        <v>0.66</v>
      </c>
      <c r="I175" s="36">
        <v>60000.0</v>
      </c>
      <c r="J175" s="37">
        <v>1.58</v>
      </c>
      <c r="K175" s="38">
        <v>0.0</v>
      </c>
      <c r="L175" s="39">
        <v>0.0</v>
      </c>
      <c r="M175" s="38">
        <v>60000.0</v>
      </c>
      <c r="N175" s="40">
        <v>0.75</v>
      </c>
      <c r="O175" s="36">
        <v>65000.0</v>
      </c>
      <c r="P175" s="37">
        <v>1.51</v>
      </c>
      <c r="Q175" s="38">
        <v>0.0</v>
      </c>
      <c r="R175" s="32">
        <v>0.0</v>
      </c>
      <c r="S175" s="38">
        <v>65000.0</v>
      </c>
      <c r="T175" s="35">
        <v>1.33</v>
      </c>
      <c r="U175" s="47">
        <v>50000.0</v>
      </c>
      <c r="V175" s="42">
        <v>1.16</v>
      </c>
      <c r="W175" s="44">
        <v>20000.0</v>
      </c>
      <c r="X175" s="42">
        <v>1.22</v>
      </c>
      <c r="Y175" s="44">
        <v>70000.0</v>
      </c>
      <c r="Z175" s="42">
        <v>1.18</v>
      </c>
      <c r="AA175" s="45">
        <v>70000.0</v>
      </c>
      <c r="AB175" s="46"/>
      <c r="AC175" s="45">
        <v>0.0</v>
      </c>
      <c r="AD175" s="46"/>
      <c r="AE175" s="45">
        <f t="shared" si="1"/>
        <v>70000</v>
      </c>
      <c r="AF175" s="46"/>
      <c r="AG175" s="45">
        <v>70000.0</v>
      </c>
      <c r="AH175" s="46"/>
      <c r="AI175" s="45">
        <v>0.0</v>
      </c>
      <c r="AJ175" s="46"/>
      <c r="AK175" s="45">
        <f t="shared" si="2"/>
        <v>70000</v>
      </c>
      <c r="AL175" s="46"/>
      <c r="AM175" s="45">
        <v>70000.0</v>
      </c>
      <c r="AN175" s="46"/>
      <c r="AO175" s="45">
        <v>0.0</v>
      </c>
      <c r="AP175" s="46"/>
      <c r="AQ175" s="45">
        <f t="shared" si="3"/>
        <v>70000</v>
      </c>
      <c r="AR175" s="46"/>
    </row>
    <row r="176" ht="15.75" customHeight="1">
      <c r="A176" s="29">
        <v>40402.0</v>
      </c>
      <c r="B176" s="30" t="s">
        <v>181</v>
      </c>
      <c r="C176" s="31">
        <v>30000.0</v>
      </c>
      <c r="D176" s="32">
        <v>1.08</v>
      </c>
      <c r="E176" s="33">
        <v>0.0</v>
      </c>
      <c r="F176" s="32">
        <v>0.0</v>
      </c>
      <c r="G176" s="34">
        <v>30000.0</v>
      </c>
      <c r="H176" s="35">
        <v>0.22</v>
      </c>
      <c r="I176" s="36">
        <v>50000.0</v>
      </c>
      <c r="J176" s="37">
        <v>1.66</v>
      </c>
      <c r="K176" s="38">
        <v>0.0</v>
      </c>
      <c r="L176" s="39">
        <v>0.0</v>
      </c>
      <c r="M176" s="38">
        <v>50000.0</v>
      </c>
      <c r="N176" s="40">
        <v>0.57</v>
      </c>
      <c r="O176" s="36">
        <v>30000.0</v>
      </c>
      <c r="P176" s="37">
        <v>0.87</v>
      </c>
      <c r="Q176" s="38">
        <v>0.0</v>
      </c>
      <c r="R176" s="32">
        <v>0.0</v>
      </c>
      <c r="S176" s="38">
        <v>30000.0</v>
      </c>
      <c r="T176" s="35">
        <v>0.2</v>
      </c>
      <c r="U176" s="47">
        <v>55000.0</v>
      </c>
      <c r="V176" s="42">
        <v>1.01</v>
      </c>
      <c r="W176" s="43">
        <v>0.0</v>
      </c>
      <c r="X176" s="42">
        <v>0.0</v>
      </c>
      <c r="Y176" s="44">
        <v>55000.0</v>
      </c>
      <c r="Z176" s="42">
        <v>0.92</v>
      </c>
      <c r="AA176" s="45">
        <v>55000.0</v>
      </c>
      <c r="AB176" s="46"/>
      <c r="AC176" s="45">
        <v>0.0</v>
      </c>
      <c r="AD176" s="46"/>
      <c r="AE176" s="45">
        <f t="shared" si="1"/>
        <v>55000</v>
      </c>
      <c r="AF176" s="46"/>
      <c r="AG176" s="45">
        <v>70000.0</v>
      </c>
      <c r="AH176" s="46"/>
      <c r="AI176" s="45">
        <v>0.0</v>
      </c>
      <c r="AJ176" s="46"/>
      <c r="AK176" s="45">
        <f t="shared" si="2"/>
        <v>70000</v>
      </c>
      <c r="AL176" s="46"/>
      <c r="AM176" s="45">
        <v>70000.0</v>
      </c>
      <c r="AN176" s="46"/>
      <c r="AO176" s="45">
        <v>0.0</v>
      </c>
      <c r="AP176" s="46"/>
      <c r="AQ176" s="45">
        <f t="shared" si="3"/>
        <v>70000</v>
      </c>
      <c r="AR176" s="46"/>
    </row>
    <row r="177" ht="15.75" customHeight="1">
      <c r="A177" s="29">
        <v>40501.0</v>
      </c>
      <c r="B177" s="30" t="s">
        <v>182</v>
      </c>
      <c r="C177" s="48">
        <v>0.0</v>
      </c>
      <c r="D177" s="32">
        <v>0.0</v>
      </c>
      <c r="E177" s="33">
        <v>0.0</v>
      </c>
      <c r="F177" s="32">
        <v>0.0</v>
      </c>
      <c r="G177" s="34">
        <v>0.0</v>
      </c>
      <c r="H177" s="35">
        <v>0.0</v>
      </c>
      <c r="I177" s="48">
        <v>0.0</v>
      </c>
      <c r="J177" s="32">
        <v>0.0</v>
      </c>
      <c r="K177" s="38">
        <v>0.0</v>
      </c>
      <c r="L177" s="39">
        <v>0.0</v>
      </c>
      <c r="M177" s="34">
        <v>0.0</v>
      </c>
      <c r="N177" s="35">
        <v>0.0</v>
      </c>
      <c r="O177" s="48">
        <v>0.0</v>
      </c>
      <c r="P177" s="32">
        <v>0.0</v>
      </c>
      <c r="Q177" s="38">
        <v>0.0</v>
      </c>
      <c r="R177" s="32">
        <v>0.0</v>
      </c>
      <c r="S177" s="34">
        <v>0.0</v>
      </c>
      <c r="T177" s="35">
        <v>0.0</v>
      </c>
      <c r="U177" s="41">
        <v>0.0</v>
      </c>
      <c r="V177" s="42">
        <v>0.0</v>
      </c>
      <c r="W177" s="43">
        <v>0.0</v>
      </c>
      <c r="X177" s="42">
        <v>0.0</v>
      </c>
      <c r="Y177" s="44">
        <v>0.0</v>
      </c>
      <c r="Z177" s="42">
        <v>0.0</v>
      </c>
      <c r="AA177" s="45"/>
      <c r="AB177" s="46"/>
      <c r="AC177" s="45">
        <v>0.0</v>
      </c>
      <c r="AD177" s="46"/>
      <c r="AE177" s="45">
        <f t="shared" si="1"/>
        <v>0</v>
      </c>
      <c r="AF177" s="46"/>
      <c r="AG177" s="45"/>
      <c r="AH177" s="46"/>
      <c r="AI177" s="45">
        <v>0.0</v>
      </c>
      <c r="AJ177" s="46"/>
      <c r="AK177" s="45">
        <f t="shared" si="2"/>
        <v>0</v>
      </c>
      <c r="AL177" s="46"/>
      <c r="AM177" s="45"/>
      <c r="AN177" s="46"/>
      <c r="AO177" s="45">
        <v>0.0</v>
      </c>
      <c r="AP177" s="46"/>
      <c r="AQ177" s="45">
        <f t="shared" si="3"/>
        <v>0</v>
      </c>
      <c r="AR177" s="46"/>
    </row>
    <row r="178" ht="15.75" customHeight="1">
      <c r="A178" s="29">
        <v>40502.0</v>
      </c>
      <c r="B178" s="30" t="s">
        <v>183</v>
      </c>
      <c r="C178" s="48">
        <v>0.0</v>
      </c>
      <c r="D178" s="32">
        <v>0.0</v>
      </c>
      <c r="E178" s="33">
        <v>0.0</v>
      </c>
      <c r="F178" s="32">
        <v>0.0</v>
      </c>
      <c r="G178" s="34">
        <v>0.0</v>
      </c>
      <c r="H178" s="35">
        <v>0.0</v>
      </c>
      <c r="I178" s="48">
        <v>0.0</v>
      </c>
      <c r="J178" s="32">
        <v>0.0</v>
      </c>
      <c r="K178" s="38">
        <v>0.0</v>
      </c>
      <c r="L178" s="39">
        <v>0.0</v>
      </c>
      <c r="M178" s="34">
        <v>0.0</v>
      </c>
      <c r="N178" s="35">
        <v>0.0</v>
      </c>
      <c r="O178" s="48">
        <v>0.0</v>
      </c>
      <c r="P178" s="32">
        <v>0.0</v>
      </c>
      <c r="Q178" s="38">
        <v>0.0</v>
      </c>
      <c r="R178" s="32">
        <v>0.0</v>
      </c>
      <c r="S178" s="34">
        <v>0.0</v>
      </c>
      <c r="T178" s="35">
        <v>0.0</v>
      </c>
      <c r="U178" s="41">
        <v>0.0</v>
      </c>
      <c r="V178" s="42">
        <v>0.0</v>
      </c>
      <c r="W178" s="43">
        <v>0.0</v>
      </c>
      <c r="X178" s="42">
        <v>0.0</v>
      </c>
      <c r="Y178" s="44">
        <v>0.0</v>
      </c>
      <c r="Z178" s="42">
        <v>0.0</v>
      </c>
      <c r="AA178" s="45"/>
      <c r="AB178" s="46"/>
      <c r="AC178" s="45">
        <v>0.0</v>
      </c>
      <c r="AD178" s="46"/>
      <c r="AE178" s="45">
        <f t="shared" si="1"/>
        <v>0</v>
      </c>
      <c r="AF178" s="46"/>
      <c r="AG178" s="45"/>
      <c r="AH178" s="46"/>
      <c r="AI178" s="45">
        <v>0.0</v>
      </c>
      <c r="AJ178" s="46"/>
      <c r="AK178" s="45">
        <f t="shared" si="2"/>
        <v>0</v>
      </c>
      <c r="AL178" s="46"/>
      <c r="AM178" s="45"/>
      <c r="AN178" s="46"/>
      <c r="AO178" s="45">
        <v>0.0</v>
      </c>
      <c r="AP178" s="46"/>
      <c r="AQ178" s="45">
        <f t="shared" si="3"/>
        <v>0</v>
      </c>
      <c r="AR178" s="46"/>
    </row>
    <row r="179" ht="15.75" customHeight="1">
      <c r="A179" s="29">
        <v>40503.0</v>
      </c>
      <c r="B179" s="30" t="s">
        <v>184</v>
      </c>
      <c r="C179" s="48">
        <v>0.0</v>
      </c>
      <c r="D179" s="32">
        <v>0.0</v>
      </c>
      <c r="E179" s="33">
        <v>0.0</v>
      </c>
      <c r="F179" s="32">
        <v>0.0</v>
      </c>
      <c r="G179" s="34">
        <v>0.0</v>
      </c>
      <c r="H179" s="35">
        <v>0.0</v>
      </c>
      <c r="I179" s="48">
        <v>0.0</v>
      </c>
      <c r="J179" s="32">
        <v>0.0</v>
      </c>
      <c r="K179" s="38">
        <v>0.0</v>
      </c>
      <c r="L179" s="39">
        <v>0.0</v>
      </c>
      <c r="M179" s="34">
        <v>0.0</v>
      </c>
      <c r="N179" s="35">
        <v>0.0</v>
      </c>
      <c r="O179" s="48">
        <v>0.0</v>
      </c>
      <c r="P179" s="32">
        <v>0.0</v>
      </c>
      <c r="Q179" s="38">
        <v>0.0</v>
      </c>
      <c r="R179" s="32">
        <v>0.0</v>
      </c>
      <c r="S179" s="34">
        <v>0.0</v>
      </c>
      <c r="T179" s="35">
        <v>0.0</v>
      </c>
      <c r="U179" s="41">
        <v>0.0</v>
      </c>
      <c r="V179" s="42">
        <v>0.0</v>
      </c>
      <c r="W179" s="43">
        <v>0.0</v>
      </c>
      <c r="X179" s="42">
        <v>0.0</v>
      </c>
      <c r="Y179" s="44">
        <v>0.0</v>
      </c>
      <c r="Z179" s="42">
        <v>0.0</v>
      </c>
      <c r="AA179" s="45"/>
      <c r="AB179" s="46"/>
      <c r="AC179" s="45">
        <v>0.0</v>
      </c>
      <c r="AD179" s="46"/>
      <c r="AE179" s="45">
        <f t="shared" si="1"/>
        <v>0</v>
      </c>
      <c r="AF179" s="46"/>
      <c r="AG179" s="45"/>
      <c r="AH179" s="46"/>
      <c r="AI179" s="45">
        <v>0.0</v>
      </c>
      <c r="AJ179" s="46"/>
      <c r="AK179" s="45">
        <f t="shared" si="2"/>
        <v>0</v>
      </c>
      <c r="AL179" s="46"/>
      <c r="AM179" s="45"/>
      <c r="AN179" s="46"/>
      <c r="AO179" s="45">
        <v>0.0</v>
      </c>
      <c r="AP179" s="46"/>
      <c r="AQ179" s="45">
        <f t="shared" si="3"/>
        <v>0</v>
      </c>
      <c r="AR179" s="46"/>
    </row>
    <row r="180" ht="15.75" customHeight="1">
      <c r="A180" s="29">
        <v>40504.0</v>
      </c>
      <c r="B180" s="30" t="s">
        <v>185</v>
      </c>
      <c r="C180" s="48">
        <v>0.0</v>
      </c>
      <c r="D180" s="32">
        <v>0.0</v>
      </c>
      <c r="E180" s="33">
        <v>0.0</v>
      </c>
      <c r="F180" s="32">
        <v>0.0</v>
      </c>
      <c r="G180" s="34">
        <v>0.0</v>
      </c>
      <c r="H180" s="35">
        <v>0.0</v>
      </c>
      <c r="I180" s="48">
        <v>0.0</v>
      </c>
      <c r="J180" s="32">
        <v>0.0</v>
      </c>
      <c r="K180" s="38">
        <v>0.0</v>
      </c>
      <c r="L180" s="39">
        <v>0.0</v>
      </c>
      <c r="M180" s="34">
        <v>0.0</v>
      </c>
      <c r="N180" s="35">
        <v>0.0</v>
      </c>
      <c r="O180" s="48">
        <v>0.0</v>
      </c>
      <c r="P180" s="32">
        <v>0.0</v>
      </c>
      <c r="Q180" s="38">
        <v>0.0</v>
      </c>
      <c r="R180" s="32">
        <v>0.0</v>
      </c>
      <c r="S180" s="34">
        <v>0.0</v>
      </c>
      <c r="T180" s="35">
        <v>0.0</v>
      </c>
      <c r="U180" s="41">
        <v>0.0</v>
      </c>
      <c r="V180" s="42">
        <v>0.0</v>
      </c>
      <c r="W180" s="43">
        <v>0.0</v>
      </c>
      <c r="X180" s="42">
        <v>0.0</v>
      </c>
      <c r="Y180" s="44">
        <v>0.0</v>
      </c>
      <c r="Z180" s="42">
        <v>0.0</v>
      </c>
      <c r="AA180" s="45"/>
      <c r="AB180" s="46"/>
      <c r="AC180" s="45">
        <v>0.0</v>
      </c>
      <c r="AD180" s="46"/>
      <c r="AE180" s="45">
        <f t="shared" si="1"/>
        <v>0</v>
      </c>
      <c r="AF180" s="46"/>
      <c r="AG180" s="45"/>
      <c r="AH180" s="46"/>
      <c r="AI180" s="45">
        <v>0.0</v>
      </c>
      <c r="AJ180" s="46"/>
      <c r="AK180" s="45">
        <f t="shared" si="2"/>
        <v>0</v>
      </c>
      <c r="AL180" s="46"/>
      <c r="AM180" s="45"/>
      <c r="AN180" s="46"/>
      <c r="AO180" s="45">
        <v>0.0</v>
      </c>
      <c r="AP180" s="46"/>
      <c r="AQ180" s="45">
        <f t="shared" si="3"/>
        <v>0</v>
      </c>
      <c r="AR180" s="46"/>
    </row>
    <row r="181" ht="15.75" customHeight="1">
      <c r="A181" s="29">
        <v>40505.0</v>
      </c>
      <c r="B181" s="30" t="s">
        <v>186</v>
      </c>
      <c r="C181" s="48">
        <v>0.0</v>
      </c>
      <c r="D181" s="32">
        <v>0.0</v>
      </c>
      <c r="E181" s="33">
        <v>0.0</v>
      </c>
      <c r="F181" s="32">
        <v>0.0</v>
      </c>
      <c r="G181" s="34">
        <v>0.0</v>
      </c>
      <c r="H181" s="35">
        <v>0.0</v>
      </c>
      <c r="I181" s="48">
        <v>0.0</v>
      </c>
      <c r="J181" s="32">
        <v>0.0</v>
      </c>
      <c r="K181" s="38">
        <v>0.0</v>
      </c>
      <c r="L181" s="39">
        <v>0.0</v>
      </c>
      <c r="M181" s="34">
        <v>0.0</v>
      </c>
      <c r="N181" s="35">
        <v>0.0</v>
      </c>
      <c r="O181" s="48">
        <v>0.0</v>
      </c>
      <c r="P181" s="32">
        <v>0.0</v>
      </c>
      <c r="Q181" s="38">
        <v>0.0</v>
      </c>
      <c r="R181" s="32">
        <v>0.0</v>
      </c>
      <c r="S181" s="34">
        <v>0.0</v>
      </c>
      <c r="T181" s="35">
        <v>0.0</v>
      </c>
      <c r="U181" s="41">
        <v>0.0</v>
      </c>
      <c r="V181" s="42">
        <v>0.0</v>
      </c>
      <c r="W181" s="43">
        <v>0.0</v>
      </c>
      <c r="X181" s="42">
        <v>0.0</v>
      </c>
      <c r="Y181" s="44">
        <v>0.0</v>
      </c>
      <c r="Z181" s="42">
        <v>0.0</v>
      </c>
      <c r="AA181" s="45"/>
      <c r="AB181" s="46"/>
      <c r="AC181" s="45">
        <v>0.0</v>
      </c>
      <c r="AD181" s="46"/>
      <c r="AE181" s="45">
        <f t="shared" si="1"/>
        <v>0</v>
      </c>
      <c r="AF181" s="46"/>
      <c r="AG181" s="45"/>
      <c r="AH181" s="46"/>
      <c r="AI181" s="45">
        <v>0.0</v>
      </c>
      <c r="AJ181" s="46"/>
      <c r="AK181" s="45">
        <f t="shared" si="2"/>
        <v>0</v>
      </c>
      <c r="AL181" s="46"/>
      <c r="AM181" s="45"/>
      <c r="AN181" s="46"/>
      <c r="AO181" s="45">
        <v>0.0</v>
      </c>
      <c r="AP181" s="46"/>
      <c r="AQ181" s="45">
        <f t="shared" si="3"/>
        <v>0</v>
      </c>
      <c r="AR181" s="46"/>
    </row>
    <row r="182" ht="15.75" customHeight="1">
      <c r="A182" s="29">
        <v>40601.0</v>
      </c>
      <c r="B182" s="30" t="s">
        <v>187</v>
      </c>
      <c r="C182" s="31">
        <v>20000.0</v>
      </c>
      <c r="D182" s="32">
        <v>0.59</v>
      </c>
      <c r="E182" s="33">
        <v>0.0</v>
      </c>
      <c r="F182" s="32">
        <v>0.0</v>
      </c>
      <c r="G182" s="34">
        <v>20000.0</v>
      </c>
      <c r="H182" s="35">
        <v>0.19</v>
      </c>
      <c r="I182" s="36">
        <v>30000.0</v>
      </c>
      <c r="J182" s="37">
        <v>0.59</v>
      </c>
      <c r="K182" s="38">
        <v>0.0</v>
      </c>
      <c r="L182" s="39">
        <v>0.0</v>
      </c>
      <c r="M182" s="38">
        <v>30000.0</v>
      </c>
      <c r="N182" s="40">
        <v>0.35</v>
      </c>
      <c r="O182" s="36">
        <v>30000.0</v>
      </c>
      <c r="P182" s="37">
        <v>0.47</v>
      </c>
      <c r="Q182" s="38">
        <v>0.0</v>
      </c>
      <c r="R182" s="32">
        <v>0.0</v>
      </c>
      <c r="S182" s="38">
        <v>30000.0</v>
      </c>
      <c r="T182" s="35">
        <v>0.29</v>
      </c>
      <c r="U182" s="47">
        <v>60000.0</v>
      </c>
      <c r="V182" s="42">
        <v>0.65</v>
      </c>
      <c r="W182" s="43">
        <v>0.0</v>
      </c>
      <c r="X182" s="42">
        <v>0.0</v>
      </c>
      <c r="Y182" s="44">
        <v>60000.0</v>
      </c>
      <c r="Z182" s="42">
        <v>0.56</v>
      </c>
      <c r="AA182" s="45">
        <v>90000.0</v>
      </c>
      <c r="AB182" s="46"/>
      <c r="AC182" s="45">
        <v>0.0</v>
      </c>
      <c r="AD182" s="46"/>
      <c r="AE182" s="45">
        <f t="shared" si="1"/>
        <v>90000</v>
      </c>
      <c r="AF182" s="46"/>
      <c r="AG182" s="45">
        <v>120000.0</v>
      </c>
      <c r="AH182" s="46"/>
      <c r="AI182" s="45">
        <v>0.0</v>
      </c>
      <c r="AJ182" s="46"/>
      <c r="AK182" s="45">
        <f t="shared" si="2"/>
        <v>120000</v>
      </c>
      <c r="AL182" s="46"/>
      <c r="AM182" s="45">
        <v>170000.0</v>
      </c>
      <c r="AN182" s="46"/>
      <c r="AO182" s="45">
        <v>0.0</v>
      </c>
      <c r="AP182" s="46"/>
      <c r="AQ182" s="45">
        <f t="shared" si="3"/>
        <v>170000</v>
      </c>
      <c r="AR182" s="46"/>
    </row>
    <row r="183" ht="15.75" customHeight="1">
      <c r="A183" s="29">
        <v>40602.0</v>
      </c>
      <c r="B183" s="30" t="s">
        <v>188</v>
      </c>
      <c r="C183" s="31">
        <v>5000.0</v>
      </c>
      <c r="D183" s="32">
        <v>0.12</v>
      </c>
      <c r="E183" s="33">
        <v>0.0</v>
      </c>
      <c r="F183" s="32">
        <v>0.0</v>
      </c>
      <c r="G183" s="34">
        <v>5000.0</v>
      </c>
      <c r="H183" s="35">
        <v>0.06</v>
      </c>
      <c r="I183" s="36">
        <v>5000.0</v>
      </c>
      <c r="J183" s="37">
        <v>0.12</v>
      </c>
      <c r="K183" s="38">
        <v>0.0</v>
      </c>
      <c r="L183" s="39">
        <v>0.0</v>
      </c>
      <c r="M183" s="38">
        <v>5000.0</v>
      </c>
      <c r="N183" s="40">
        <v>0.05</v>
      </c>
      <c r="O183" s="36">
        <v>35000.0</v>
      </c>
      <c r="P183" s="37">
        <v>0.79</v>
      </c>
      <c r="Q183" s="38">
        <v>0.0</v>
      </c>
      <c r="R183" s="32">
        <v>0.0</v>
      </c>
      <c r="S183" s="38">
        <v>35000.0</v>
      </c>
      <c r="T183" s="35">
        <v>0.4</v>
      </c>
      <c r="U183" s="47">
        <v>35000.0</v>
      </c>
      <c r="V183" s="42">
        <v>0.53</v>
      </c>
      <c r="W183" s="43">
        <v>0.0</v>
      </c>
      <c r="X183" s="42">
        <v>0.0</v>
      </c>
      <c r="Y183" s="44">
        <v>35000.0</v>
      </c>
      <c r="Z183" s="42">
        <v>0.47</v>
      </c>
      <c r="AA183" s="45">
        <v>26000.0</v>
      </c>
      <c r="AB183" s="46"/>
      <c r="AC183" s="45">
        <v>0.0</v>
      </c>
      <c r="AD183" s="46"/>
      <c r="AE183" s="45">
        <f t="shared" si="1"/>
        <v>26000</v>
      </c>
      <c r="AF183" s="46"/>
      <c r="AG183" s="45">
        <v>35000.0</v>
      </c>
      <c r="AH183" s="46"/>
      <c r="AI183" s="45">
        <v>0.0</v>
      </c>
      <c r="AJ183" s="46"/>
      <c r="AK183" s="45">
        <f t="shared" si="2"/>
        <v>35000</v>
      </c>
      <c r="AL183" s="46"/>
      <c r="AM183" s="45">
        <v>35000.0</v>
      </c>
      <c r="AN183" s="46"/>
      <c r="AO183" s="45">
        <v>0.0</v>
      </c>
      <c r="AP183" s="46"/>
      <c r="AQ183" s="45">
        <f t="shared" si="3"/>
        <v>35000</v>
      </c>
      <c r="AR183" s="46"/>
    </row>
    <row r="184" ht="15.75" customHeight="1">
      <c r="A184" s="29">
        <v>40603.0</v>
      </c>
      <c r="B184" s="30" t="s">
        <v>189</v>
      </c>
      <c r="C184" s="31">
        <v>5000.0</v>
      </c>
      <c r="D184" s="32">
        <v>0.17</v>
      </c>
      <c r="E184" s="33">
        <v>0.0</v>
      </c>
      <c r="F184" s="32">
        <v>0.0</v>
      </c>
      <c r="G184" s="34">
        <v>5000.0</v>
      </c>
      <c r="H184" s="35">
        <v>0.09</v>
      </c>
      <c r="I184" s="36">
        <v>25000.0</v>
      </c>
      <c r="J184" s="37">
        <v>0.79</v>
      </c>
      <c r="K184" s="38">
        <v>0.0</v>
      </c>
      <c r="L184" s="39">
        <v>0.0</v>
      </c>
      <c r="M184" s="38">
        <v>25000.0</v>
      </c>
      <c r="N184" s="40">
        <v>0.42</v>
      </c>
      <c r="O184" s="36">
        <v>25000.0</v>
      </c>
      <c r="P184" s="37">
        <v>0.67</v>
      </c>
      <c r="Q184" s="38">
        <v>0.0</v>
      </c>
      <c r="R184" s="32">
        <v>0.0</v>
      </c>
      <c r="S184" s="38">
        <v>25000.0</v>
      </c>
      <c r="T184" s="35">
        <v>0.51</v>
      </c>
      <c r="U184" s="47">
        <v>60000.0</v>
      </c>
      <c r="V184" s="42">
        <v>0.94</v>
      </c>
      <c r="W184" s="43">
        <v>0.0</v>
      </c>
      <c r="X184" s="42">
        <v>0.0</v>
      </c>
      <c r="Y184" s="44">
        <v>60000.0</v>
      </c>
      <c r="Z184" s="42">
        <v>0.86</v>
      </c>
      <c r="AA184" s="45">
        <v>60000.0</v>
      </c>
      <c r="AB184" s="46"/>
      <c r="AC184" s="45">
        <v>0.0</v>
      </c>
      <c r="AD184" s="46"/>
      <c r="AE184" s="45">
        <f t="shared" si="1"/>
        <v>60000</v>
      </c>
      <c r="AF184" s="46"/>
      <c r="AG184" s="45">
        <v>60000.0</v>
      </c>
      <c r="AH184" s="46"/>
      <c r="AI184" s="45">
        <v>0.0</v>
      </c>
      <c r="AJ184" s="46"/>
      <c r="AK184" s="45">
        <f t="shared" si="2"/>
        <v>60000</v>
      </c>
      <c r="AL184" s="46"/>
      <c r="AM184" s="45">
        <v>100000.0</v>
      </c>
      <c r="AN184" s="46"/>
      <c r="AO184" s="45">
        <v>0.0</v>
      </c>
      <c r="AP184" s="46"/>
      <c r="AQ184" s="45">
        <f t="shared" si="3"/>
        <v>100000</v>
      </c>
      <c r="AR184" s="46"/>
    </row>
    <row r="185" ht="15.75" customHeight="1">
      <c r="A185" s="29">
        <v>40701.0</v>
      </c>
      <c r="B185" s="30" t="s">
        <v>190</v>
      </c>
      <c r="C185" s="31">
        <v>200000.0</v>
      </c>
      <c r="D185" s="32">
        <v>1.17</v>
      </c>
      <c r="E185" s="33">
        <v>0.0</v>
      </c>
      <c r="F185" s="32">
        <v>0.0</v>
      </c>
      <c r="G185" s="34">
        <v>200000.0</v>
      </c>
      <c r="H185" s="35">
        <v>0.69</v>
      </c>
      <c r="I185" s="36">
        <v>200000.0</v>
      </c>
      <c r="J185" s="37">
        <v>1.03</v>
      </c>
      <c r="K185" s="38">
        <v>0.0</v>
      </c>
      <c r="L185" s="39">
        <v>0.0</v>
      </c>
      <c r="M185" s="38">
        <v>200000.0</v>
      </c>
      <c r="N185" s="40">
        <v>0.59</v>
      </c>
      <c r="O185" s="36">
        <v>200000.0</v>
      </c>
      <c r="P185" s="37">
        <v>0.97</v>
      </c>
      <c r="Q185" s="38">
        <v>0.0</v>
      </c>
      <c r="R185" s="32">
        <v>0.0</v>
      </c>
      <c r="S185" s="38">
        <v>200000.0</v>
      </c>
      <c r="T185" s="35">
        <v>0.53</v>
      </c>
      <c r="U185" s="47">
        <v>1266653.0</v>
      </c>
      <c r="V185" s="42">
        <v>4.52</v>
      </c>
      <c r="W185" s="43">
        <v>0.0</v>
      </c>
      <c r="X185" s="42">
        <v>0.0</v>
      </c>
      <c r="Y185" s="44">
        <v>1266653.0</v>
      </c>
      <c r="Z185" s="42">
        <v>3.17</v>
      </c>
      <c r="AA185" s="45">
        <v>1282653.0</v>
      </c>
      <c r="AB185" s="46"/>
      <c r="AC185" s="45">
        <v>0.0</v>
      </c>
      <c r="AD185" s="46"/>
      <c r="AE185" s="45">
        <f t="shared" si="1"/>
        <v>1282653</v>
      </c>
      <c r="AF185" s="46"/>
      <c r="AG185" s="45">
        <v>1336653.0</v>
      </c>
      <c r="AH185" s="46"/>
      <c r="AI185" s="45">
        <v>0.0</v>
      </c>
      <c r="AJ185" s="46"/>
      <c r="AK185" s="45">
        <f t="shared" si="2"/>
        <v>1336653</v>
      </c>
      <c r="AL185" s="46"/>
      <c r="AM185" s="45">
        <v>1351363.0</v>
      </c>
      <c r="AN185" s="46"/>
      <c r="AO185" s="45">
        <v>0.0</v>
      </c>
      <c r="AP185" s="46"/>
      <c r="AQ185" s="45">
        <f t="shared" si="3"/>
        <v>1351363</v>
      </c>
      <c r="AR185" s="46"/>
    </row>
    <row r="186" ht="15.75" customHeight="1">
      <c r="A186" s="29">
        <v>40702.0</v>
      </c>
      <c r="B186" s="30" t="s">
        <v>191</v>
      </c>
      <c r="C186" s="48">
        <v>0.0</v>
      </c>
      <c r="D186" s="32">
        <v>0.0</v>
      </c>
      <c r="E186" s="33">
        <v>0.0</v>
      </c>
      <c r="F186" s="32">
        <v>0.0</v>
      </c>
      <c r="G186" s="34">
        <v>0.0</v>
      </c>
      <c r="H186" s="35">
        <v>0.0</v>
      </c>
      <c r="I186" s="48">
        <v>0.0</v>
      </c>
      <c r="J186" s="32">
        <v>0.0</v>
      </c>
      <c r="K186" s="38">
        <v>0.0</v>
      </c>
      <c r="L186" s="39">
        <v>0.0</v>
      </c>
      <c r="M186" s="34">
        <v>0.0</v>
      </c>
      <c r="N186" s="35">
        <v>0.0</v>
      </c>
      <c r="O186" s="36">
        <v>58000.0</v>
      </c>
      <c r="P186" s="37">
        <v>1.54</v>
      </c>
      <c r="Q186" s="38">
        <v>0.0</v>
      </c>
      <c r="R186" s="32">
        <v>0.0</v>
      </c>
      <c r="S186" s="38">
        <v>58000.0</v>
      </c>
      <c r="T186" s="35">
        <v>1.05</v>
      </c>
      <c r="U186" s="47">
        <v>65000.0</v>
      </c>
      <c r="V186" s="42">
        <v>1.13</v>
      </c>
      <c r="W186" s="43">
        <v>0.0</v>
      </c>
      <c r="X186" s="42">
        <v>0.0</v>
      </c>
      <c r="Y186" s="44">
        <v>65000.0</v>
      </c>
      <c r="Z186" s="42">
        <v>0.79</v>
      </c>
      <c r="AA186" s="45">
        <v>77000.0</v>
      </c>
      <c r="AB186" s="46"/>
      <c r="AC186" s="45">
        <v>0.0</v>
      </c>
      <c r="AD186" s="46"/>
      <c r="AE186" s="45">
        <f t="shared" si="1"/>
        <v>77000</v>
      </c>
      <c r="AF186" s="46"/>
      <c r="AG186" s="45">
        <v>85000.0</v>
      </c>
      <c r="AH186" s="46"/>
      <c r="AI186" s="45">
        <v>0.0</v>
      </c>
      <c r="AJ186" s="46"/>
      <c r="AK186" s="45">
        <f t="shared" si="2"/>
        <v>85000</v>
      </c>
      <c r="AL186" s="46"/>
      <c r="AM186" s="45">
        <v>124853.0</v>
      </c>
      <c r="AN186" s="46"/>
      <c r="AO186" s="45">
        <v>0.0</v>
      </c>
      <c r="AP186" s="46"/>
      <c r="AQ186" s="45">
        <f t="shared" si="3"/>
        <v>124853</v>
      </c>
      <c r="AR186" s="46"/>
    </row>
    <row r="187" ht="15.75" customHeight="1">
      <c r="A187" s="29">
        <v>40801.0</v>
      </c>
      <c r="B187" s="30" t="s">
        <v>192</v>
      </c>
      <c r="C187" s="48">
        <v>0.0</v>
      </c>
      <c r="D187" s="32">
        <v>0.0</v>
      </c>
      <c r="E187" s="33">
        <v>0.0</v>
      </c>
      <c r="F187" s="32">
        <v>0.0</v>
      </c>
      <c r="G187" s="34">
        <v>0.0</v>
      </c>
      <c r="H187" s="35">
        <v>0.0</v>
      </c>
      <c r="I187" s="48">
        <v>0.0</v>
      </c>
      <c r="J187" s="32">
        <v>0.0</v>
      </c>
      <c r="K187" s="38">
        <v>0.0</v>
      </c>
      <c r="L187" s="39">
        <v>0.0</v>
      </c>
      <c r="M187" s="34">
        <v>0.0</v>
      </c>
      <c r="N187" s="35">
        <v>0.0</v>
      </c>
      <c r="O187" s="48">
        <v>0.0</v>
      </c>
      <c r="P187" s="32">
        <v>0.0</v>
      </c>
      <c r="Q187" s="38">
        <v>0.0</v>
      </c>
      <c r="R187" s="32">
        <v>0.0</v>
      </c>
      <c r="S187" s="34">
        <v>0.0</v>
      </c>
      <c r="T187" s="35">
        <v>0.0</v>
      </c>
      <c r="U187" s="41">
        <v>0.0</v>
      </c>
      <c r="V187" s="42">
        <v>0.0</v>
      </c>
      <c r="W187" s="43">
        <v>0.0</v>
      </c>
      <c r="X187" s="42">
        <v>0.0</v>
      </c>
      <c r="Y187" s="44">
        <v>0.0</v>
      </c>
      <c r="Z187" s="42">
        <v>0.0</v>
      </c>
      <c r="AA187" s="45"/>
      <c r="AB187" s="46"/>
      <c r="AC187" s="45">
        <v>0.0</v>
      </c>
      <c r="AD187" s="46"/>
      <c r="AE187" s="45">
        <f t="shared" si="1"/>
        <v>0</v>
      </c>
      <c r="AF187" s="46"/>
      <c r="AG187" s="45">
        <v>10000.0</v>
      </c>
      <c r="AH187" s="46"/>
      <c r="AI187" s="45">
        <v>0.0</v>
      </c>
      <c r="AJ187" s="46"/>
      <c r="AK187" s="45">
        <f t="shared" si="2"/>
        <v>10000</v>
      </c>
      <c r="AL187" s="46"/>
      <c r="AM187" s="45">
        <v>45000.0</v>
      </c>
      <c r="AN187" s="46"/>
      <c r="AO187" s="45">
        <v>0.0</v>
      </c>
      <c r="AP187" s="46"/>
      <c r="AQ187" s="45">
        <f t="shared" si="3"/>
        <v>45000</v>
      </c>
      <c r="AR187" s="46"/>
    </row>
    <row r="188" ht="15.75" customHeight="1">
      <c r="A188" s="29">
        <v>40802.0</v>
      </c>
      <c r="B188" s="30" t="s">
        <v>193</v>
      </c>
      <c r="C188" s="31">
        <v>25000.0</v>
      </c>
      <c r="D188" s="32">
        <v>1.11</v>
      </c>
      <c r="E188" s="33">
        <v>0.0</v>
      </c>
      <c r="F188" s="32">
        <v>0.0</v>
      </c>
      <c r="G188" s="34">
        <v>25000.0</v>
      </c>
      <c r="H188" s="35">
        <v>0.63</v>
      </c>
      <c r="I188" s="36">
        <v>30000.0</v>
      </c>
      <c r="J188" s="37">
        <v>0.99</v>
      </c>
      <c r="K188" s="38">
        <v>0.0</v>
      </c>
      <c r="L188" s="39">
        <v>0.0</v>
      </c>
      <c r="M188" s="38">
        <v>30000.0</v>
      </c>
      <c r="N188" s="40">
        <v>0.72</v>
      </c>
      <c r="O188" s="36">
        <v>30000.0</v>
      </c>
      <c r="P188" s="37">
        <v>1.01</v>
      </c>
      <c r="Q188" s="38">
        <v>0.0</v>
      </c>
      <c r="R188" s="32">
        <v>0.0</v>
      </c>
      <c r="S188" s="38">
        <v>30000.0</v>
      </c>
      <c r="T188" s="35">
        <v>0.94</v>
      </c>
      <c r="U188" s="47">
        <v>23700.0</v>
      </c>
      <c r="V188" s="42">
        <v>0.8</v>
      </c>
      <c r="W188" s="43">
        <v>0.0</v>
      </c>
      <c r="X188" s="42">
        <v>0.0</v>
      </c>
      <c r="Y188" s="44">
        <v>23700.0</v>
      </c>
      <c r="Z188" s="42">
        <v>0.68</v>
      </c>
      <c r="AA188" s="45">
        <v>40000.0</v>
      </c>
      <c r="AB188" s="46"/>
      <c r="AC188" s="45">
        <v>0.0</v>
      </c>
      <c r="AD188" s="46"/>
      <c r="AE188" s="45">
        <f t="shared" si="1"/>
        <v>40000</v>
      </c>
      <c r="AF188" s="46"/>
      <c r="AG188" s="45">
        <v>60940.0</v>
      </c>
      <c r="AH188" s="46"/>
      <c r="AI188" s="45">
        <v>0.0</v>
      </c>
      <c r="AJ188" s="46"/>
      <c r="AK188" s="45">
        <f t="shared" si="2"/>
        <v>60940</v>
      </c>
      <c r="AL188" s="46"/>
      <c r="AM188" s="45">
        <v>60400.0</v>
      </c>
      <c r="AN188" s="46"/>
      <c r="AO188" s="45">
        <v>0.0</v>
      </c>
      <c r="AP188" s="46"/>
      <c r="AQ188" s="45">
        <f t="shared" si="3"/>
        <v>60400</v>
      </c>
      <c r="AR188" s="46"/>
    </row>
    <row r="189" ht="15.75" customHeight="1">
      <c r="A189" s="29">
        <v>40901.0</v>
      </c>
      <c r="B189" s="30" t="s">
        <v>194</v>
      </c>
      <c r="C189" s="48">
        <v>0.0</v>
      </c>
      <c r="D189" s="32">
        <v>0.0</v>
      </c>
      <c r="E189" s="33">
        <v>0.0</v>
      </c>
      <c r="F189" s="32">
        <v>0.0</v>
      </c>
      <c r="G189" s="34">
        <v>0.0</v>
      </c>
      <c r="H189" s="35">
        <v>0.0</v>
      </c>
      <c r="I189" s="36">
        <v>30000.0</v>
      </c>
      <c r="J189" s="37">
        <v>0.98</v>
      </c>
      <c r="K189" s="38">
        <v>0.0</v>
      </c>
      <c r="L189" s="39">
        <v>0.0</v>
      </c>
      <c r="M189" s="38">
        <v>30000.0</v>
      </c>
      <c r="N189" s="40">
        <v>0.3</v>
      </c>
      <c r="O189" s="36">
        <v>50000.0</v>
      </c>
      <c r="P189" s="37">
        <v>0.9</v>
      </c>
      <c r="Q189" s="38">
        <v>0.0</v>
      </c>
      <c r="R189" s="32">
        <v>0.0</v>
      </c>
      <c r="S189" s="38">
        <v>50000.0</v>
      </c>
      <c r="T189" s="35">
        <v>0.51</v>
      </c>
      <c r="U189" s="47">
        <v>100000.0</v>
      </c>
      <c r="V189" s="42">
        <v>1.38</v>
      </c>
      <c r="W189" s="43">
        <v>0.0</v>
      </c>
      <c r="X189" s="42">
        <v>0.0</v>
      </c>
      <c r="Y189" s="44">
        <v>100000.0</v>
      </c>
      <c r="Z189" s="42">
        <v>0.87</v>
      </c>
      <c r="AA189" s="45">
        <v>80000.0</v>
      </c>
      <c r="AB189" s="46"/>
      <c r="AC189" s="45">
        <v>0.0</v>
      </c>
      <c r="AD189" s="46"/>
      <c r="AE189" s="45">
        <f t="shared" si="1"/>
        <v>80000</v>
      </c>
      <c r="AF189" s="46"/>
      <c r="AG189" s="45">
        <v>80000.0</v>
      </c>
      <c r="AH189" s="46"/>
      <c r="AI189" s="45">
        <v>0.0</v>
      </c>
      <c r="AJ189" s="46"/>
      <c r="AK189" s="45">
        <f t="shared" si="2"/>
        <v>80000</v>
      </c>
      <c r="AL189" s="46"/>
      <c r="AM189" s="45">
        <v>100000.0</v>
      </c>
      <c r="AN189" s="46"/>
      <c r="AO189" s="45">
        <v>0.0</v>
      </c>
      <c r="AP189" s="46"/>
      <c r="AQ189" s="45">
        <f t="shared" si="3"/>
        <v>100000</v>
      </c>
      <c r="AR189" s="46"/>
    </row>
    <row r="190" ht="15.75" customHeight="1">
      <c r="A190" s="29">
        <v>40902.0</v>
      </c>
      <c r="B190" s="30" t="s">
        <v>195</v>
      </c>
      <c r="C190" s="48">
        <v>0.0</v>
      </c>
      <c r="D190" s="32">
        <v>0.0</v>
      </c>
      <c r="E190" s="33">
        <v>0.0</v>
      </c>
      <c r="F190" s="32">
        <v>0.0</v>
      </c>
      <c r="G190" s="34">
        <v>0.0</v>
      </c>
      <c r="H190" s="35">
        <v>0.0</v>
      </c>
      <c r="I190" s="48">
        <v>0.0</v>
      </c>
      <c r="J190" s="32">
        <v>0.0</v>
      </c>
      <c r="K190" s="38">
        <v>0.0</v>
      </c>
      <c r="L190" s="39">
        <v>0.0</v>
      </c>
      <c r="M190" s="34">
        <v>0.0</v>
      </c>
      <c r="N190" s="35">
        <v>0.0</v>
      </c>
      <c r="O190" s="48">
        <v>0.0</v>
      </c>
      <c r="P190" s="32">
        <v>0.0</v>
      </c>
      <c r="Q190" s="38">
        <v>0.0</v>
      </c>
      <c r="R190" s="32">
        <v>0.0</v>
      </c>
      <c r="S190" s="34">
        <v>0.0</v>
      </c>
      <c r="T190" s="35">
        <v>0.0</v>
      </c>
      <c r="U190" s="47">
        <v>6000.0</v>
      </c>
      <c r="V190" s="42">
        <v>0.46</v>
      </c>
      <c r="W190" s="43">
        <v>0.0</v>
      </c>
      <c r="X190" s="42">
        <v>0.0</v>
      </c>
      <c r="Y190" s="44">
        <v>6000.0</v>
      </c>
      <c r="Z190" s="42">
        <v>0.1</v>
      </c>
      <c r="AA190" s="45">
        <v>6000.0</v>
      </c>
      <c r="AB190" s="46"/>
      <c r="AC190" s="45">
        <v>0.0</v>
      </c>
      <c r="AD190" s="46"/>
      <c r="AE190" s="45">
        <f t="shared" si="1"/>
        <v>6000</v>
      </c>
      <c r="AF190" s="46"/>
      <c r="AG190" s="45">
        <v>3000.0</v>
      </c>
      <c r="AH190" s="46"/>
      <c r="AI190" s="45">
        <v>0.0</v>
      </c>
      <c r="AJ190" s="46"/>
      <c r="AK190" s="45">
        <f t="shared" si="2"/>
        <v>3000</v>
      </c>
      <c r="AL190" s="46"/>
      <c r="AM190" s="45">
        <v>20000.0</v>
      </c>
      <c r="AN190" s="46"/>
      <c r="AO190" s="45">
        <v>0.0</v>
      </c>
      <c r="AP190" s="46"/>
      <c r="AQ190" s="45">
        <f t="shared" si="3"/>
        <v>20000</v>
      </c>
      <c r="AR190" s="46"/>
    </row>
    <row r="191" ht="15.75" customHeight="1">
      <c r="A191" s="29">
        <v>40903.0</v>
      </c>
      <c r="B191" s="30" t="s">
        <v>196</v>
      </c>
      <c r="C191" s="48">
        <v>0.0</v>
      </c>
      <c r="D191" s="32">
        <v>0.0</v>
      </c>
      <c r="E191" s="33">
        <v>0.0</v>
      </c>
      <c r="F191" s="32">
        <v>0.0</v>
      </c>
      <c r="G191" s="34">
        <v>0.0</v>
      </c>
      <c r="H191" s="35">
        <v>0.0</v>
      </c>
      <c r="I191" s="48">
        <v>0.0</v>
      </c>
      <c r="J191" s="32">
        <v>0.0</v>
      </c>
      <c r="K191" s="38">
        <v>0.0</v>
      </c>
      <c r="L191" s="39">
        <v>0.0</v>
      </c>
      <c r="M191" s="34">
        <v>0.0</v>
      </c>
      <c r="N191" s="35">
        <v>0.0</v>
      </c>
      <c r="O191" s="48">
        <v>0.0</v>
      </c>
      <c r="P191" s="32">
        <v>0.0</v>
      </c>
      <c r="Q191" s="38">
        <v>0.0</v>
      </c>
      <c r="R191" s="32">
        <v>0.0</v>
      </c>
      <c r="S191" s="34">
        <v>0.0</v>
      </c>
      <c r="T191" s="35">
        <v>0.0</v>
      </c>
      <c r="U191" s="41">
        <v>0.0</v>
      </c>
      <c r="V191" s="42">
        <v>0.0</v>
      </c>
      <c r="W191" s="43">
        <v>0.0</v>
      </c>
      <c r="X191" s="42">
        <v>0.0</v>
      </c>
      <c r="Y191" s="44">
        <v>0.0</v>
      </c>
      <c r="Z191" s="42">
        <v>0.0</v>
      </c>
      <c r="AA191" s="45"/>
      <c r="AB191" s="46"/>
      <c r="AC191" s="45">
        <v>0.0</v>
      </c>
      <c r="AD191" s="46"/>
      <c r="AE191" s="45">
        <f t="shared" si="1"/>
        <v>0</v>
      </c>
      <c r="AF191" s="46"/>
      <c r="AG191" s="45">
        <v>6000.0</v>
      </c>
      <c r="AH191" s="46"/>
      <c r="AI191" s="45">
        <v>0.0</v>
      </c>
      <c r="AJ191" s="46"/>
      <c r="AK191" s="45">
        <f t="shared" si="2"/>
        <v>6000</v>
      </c>
      <c r="AL191" s="46"/>
      <c r="AM191" s="45">
        <v>6000.0</v>
      </c>
      <c r="AN191" s="46"/>
      <c r="AO191" s="45">
        <v>0.0</v>
      </c>
      <c r="AP191" s="46"/>
      <c r="AQ191" s="45">
        <f t="shared" si="3"/>
        <v>6000</v>
      </c>
      <c r="AR191" s="46"/>
    </row>
    <row r="192" ht="15.75" customHeight="1">
      <c r="A192" s="29">
        <v>41001.0</v>
      </c>
      <c r="B192" s="30" t="s">
        <v>197</v>
      </c>
      <c r="C192" s="31">
        <v>15000.0</v>
      </c>
      <c r="D192" s="32">
        <v>0.31</v>
      </c>
      <c r="E192" s="33">
        <v>0.0</v>
      </c>
      <c r="F192" s="32">
        <v>0.0</v>
      </c>
      <c r="G192" s="34">
        <v>15000.0</v>
      </c>
      <c r="H192" s="35">
        <v>0.14</v>
      </c>
      <c r="I192" s="36">
        <v>15000.0</v>
      </c>
      <c r="J192" s="37">
        <v>0.28</v>
      </c>
      <c r="K192" s="38">
        <v>0.0</v>
      </c>
      <c r="L192" s="39">
        <v>0.0</v>
      </c>
      <c r="M192" s="38">
        <v>15000.0</v>
      </c>
      <c r="N192" s="40">
        <v>0.19</v>
      </c>
      <c r="O192" s="36">
        <v>15000.0</v>
      </c>
      <c r="P192" s="37">
        <v>0.21</v>
      </c>
      <c r="Q192" s="38">
        <v>0.0</v>
      </c>
      <c r="R192" s="32">
        <v>0.0</v>
      </c>
      <c r="S192" s="38">
        <v>15000.0</v>
      </c>
      <c r="T192" s="35">
        <v>0.14</v>
      </c>
      <c r="U192" s="47">
        <v>50000.0</v>
      </c>
      <c r="V192" s="42">
        <v>0.58</v>
      </c>
      <c r="W192" s="43">
        <v>0.0</v>
      </c>
      <c r="X192" s="42">
        <v>0.0</v>
      </c>
      <c r="Y192" s="44">
        <v>50000.0</v>
      </c>
      <c r="Z192" s="42">
        <v>0.42</v>
      </c>
      <c r="AA192" s="45">
        <v>50000.0</v>
      </c>
      <c r="AB192" s="46"/>
      <c r="AC192" s="45">
        <v>0.0</v>
      </c>
      <c r="AD192" s="46"/>
      <c r="AE192" s="45">
        <f t="shared" si="1"/>
        <v>50000</v>
      </c>
      <c r="AF192" s="46"/>
      <c r="AG192" s="45">
        <v>50000.0</v>
      </c>
      <c r="AH192" s="46"/>
      <c r="AI192" s="45">
        <v>0.0</v>
      </c>
      <c r="AJ192" s="46"/>
      <c r="AK192" s="45">
        <f t="shared" si="2"/>
        <v>50000</v>
      </c>
      <c r="AL192" s="46"/>
      <c r="AM192" s="45">
        <v>50000.0</v>
      </c>
      <c r="AN192" s="46"/>
      <c r="AO192" s="45">
        <v>0.0</v>
      </c>
      <c r="AP192" s="46"/>
      <c r="AQ192" s="45">
        <f t="shared" si="3"/>
        <v>50000</v>
      </c>
      <c r="AR192" s="46"/>
    </row>
    <row r="193" ht="15.75" customHeight="1">
      <c r="A193" s="29">
        <v>41101.0</v>
      </c>
      <c r="B193" s="30" t="s">
        <v>198</v>
      </c>
      <c r="C193" s="48">
        <v>0.0</v>
      </c>
      <c r="D193" s="32">
        <v>0.0</v>
      </c>
      <c r="E193" s="33">
        <v>0.0</v>
      </c>
      <c r="F193" s="32">
        <v>0.0</v>
      </c>
      <c r="G193" s="34">
        <v>0.0</v>
      </c>
      <c r="H193" s="35">
        <v>0.0</v>
      </c>
      <c r="I193" s="36">
        <v>30000.0</v>
      </c>
      <c r="J193" s="37">
        <v>0.8</v>
      </c>
      <c r="K193" s="38">
        <v>0.0</v>
      </c>
      <c r="L193" s="39">
        <v>0.0</v>
      </c>
      <c r="M193" s="38">
        <v>30000.0</v>
      </c>
      <c r="N193" s="40">
        <v>0.58</v>
      </c>
      <c r="O193" s="36">
        <v>35000.0</v>
      </c>
      <c r="P193" s="37">
        <v>1.01</v>
      </c>
      <c r="Q193" s="38">
        <v>0.0</v>
      </c>
      <c r="R193" s="32">
        <v>0.0</v>
      </c>
      <c r="S193" s="38">
        <v>35000.0</v>
      </c>
      <c r="T193" s="35">
        <v>0.73</v>
      </c>
      <c r="U193" s="47">
        <v>88000.0</v>
      </c>
      <c r="V193" s="42">
        <v>1.59</v>
      </c>
      <c r="W193" s="43">
        <v>0.0</v>
      </c>
      <c r="X193" s="42">
        <v>0.0</v>
      </c>
      <c r="Y193" s="44">
        <v>88000.0</v>
      </c>
      <c r="Z193" s="42">
        <v>1.59</v>
      </c>
      <c r="AA193" s="45">
        <v>94500.0</v>
      </c>
      <c r="AB193" s="46"/>
      <c r="AC193" s="45">
        <v>0.0</v>
      </c>
      <c r="AD193" s="46"/>
      <c r="AE193" s="45">
        <f t="shared" si="1"/>
        <v>94500</v>
      </c>
      <c r="AF193" s="46"/>
      <c r="AG193" s="45">
        <v>105000.0</v>
      </c>
      <c r="AH193" s="46"/>
      <c r="AI193" s="45">
        <v>0.0</v>
      </c>
      <c r="AJ193" s="46"/>
      <c r="AK193" s="45">
        <f t="shared" si="2"/>
        <v>105000</v>
      </c>
      <c r="AL193" s="46"/>
      <c r="AM193" s="45">
        <v>120000.0</v>
      </c>
      <c r="AN193" s="46"/>
      <c r="AO193" s="45">
        <v>0.0</v>
      </c>
      <c r="AP193" s="46"/>
      <c r="AQ193" s="45">
        <f t="shared" si="3"/>
        <v>120000</v>
      </c>
      <c r="AR193" s="46"/>
    </row>
    <row r="194" ht="15.75" customHeight="1">
      <c r="A194" s="29">
        <v>41201.0</v>
      </c>
      <c r="B194" s="30" t="s">
        <v>199</v>
      </c>
      <c r="C194" s="48">
        <v>0.0</v>
      </c>
      <c r="D194" s="32">
        <v>0.0</v>
      </c>
      <c r="E194" s="33">
        <v>0.0</v>
      </c>
      <c r="F194" s="32">
        <v>0.0</v>
      </c>
      <c r="G194" s="34">
        <v>0.0</v>
      </c>
      <c r="H194" s="35">
        <v>0.0</v>
      </c>
      <c r="I194" s="48">
        <v>0.0</v>
      </c>
      <c r="J194" s="32">
        <v>0.0</v>
      </c>
      <c r="K194" s="38">
        <v>0.0</v>
      </c>
      <c r="L194" s="39">
        <v>0.0</v>
      </c>
      <c r="M194" s="34">
        <v>0.0</v>
      </c>
      <c r="N194" s="35">
        <v>0.0</v>
      </c>
      <c r="O194" s="48">
        <v>0.0</v>
      </c>
      <c r="P194" s="32">
        <v>0.0</v>
      </c>
      <c r="Q194" s="38">
        <v>0.0</v>
      </c>
      <c r="R194" s="32">
        <v>0.0</v>
      </c>
      <c r="S194" s="34">
        <v>0.0</v>
      </c>
      <c r="T194" s="35">
        <v>0.0</v>
      </c>
      <c r="U194" s="47">
        <v>90000.0</v>
      </c>
      <c r="V194" s="42">
        <v>1.75</v>
      </c>
      <c r="W194" s="43">
        <v>0.0</v>
      </c>
      <c r="X194" s="42">
        <v>0.0</v>
      </c>
      <c r="Y194" s="44">
        <v>90000.0</v>
      </c>
      <c r="Z194" s="42">
        <v>0.95</v>
      </c>
      <c r="AA194" s="45">
        <v>100000.0</v>
      </c>
      <c r="AB194" s="46"/>
      <c r="AC194" s="45">
        <v>0.0</v>
      </c>
      <c r="AD194" s="46"/>
      <c r="AE194" s="45">
        <f t="shared" si="1"/>
        <v>100000</v>
      </c>
      <c r="AF194" s="46"/>
      <c r="AG194" s="45">
        <v>100000.0</v>
      </c>
      <c r="AH194" s="46"/>
      <c r="AI194" s="45">
        <v>0.0</v>
      </c>
      <c r="AJ194" s="46"/>
      <c r="AK194" s="45">
        <f t="shared" si="2"/>
        <v>100000</v>
      </c>
      <c r="AL194" s="46"/>
      <c r="AM194" s="45">
        <v>98000.0</v>
      </c>
      <c r="AN194" s="46"/>
      <c r="AO194" s="45">
        <v>0.0</v>
      </c>
      <c r="AP194" s="46"/>
      <c r="AQ194" s="45">
        <f t="shared" si="3"/>
        <v>98000</v>
      </c>
      <c r="AR194" s="46"/>
    </row>
    <row r="195" ht="15.75" customHeight="1">
      <c r="A195" s="29">
        <v>41202.0</v>
      </c>
      <c r="B195" s="30" t="s">
        <v>200</v>
      </c>
      <c r="C195" s="31">
        <v>20000.0</v>
      </c>
      <c r="D195" s="32">
        <v>1.6</v>
      </c>
      <c r="E195" s="33">
        <v>0.0</v>
      </c>
      <c r="F195" s="32">
        <v>0.0</v>
      </c>
      <c r="G195" s="34">
        <v>20000.0</v>
      </c>
      <c r="H195" s="35">
        <v>0.66</v>
      </c>
      <c r="I195" s="48">
        <v>0.0</v>
      </c>
      <c r="J195" s="32">
        <v>0.0</v>
      </c>
      <c r="K195" s="38">
        <v>0.0</v>
      </c>
      <c r="L195" s="39">
        <v>0.0</v>
      </c>
      <c r="M195" s="34">
        <v>0.0</v>
      </c>
      <c r="N195" s="35">
        <v>0.0</v>
      </c>
      <c r="O195" s="48">
        <v>0.0</v>
      </c>
      <c r="P195" s="32">
        <v>0.0</v>
      </c>
      <c r="Q195" s="38">
        <v>0.0</v>
      </c>
      <c r="R195" s="32">
        <v>0.0</v>
      </c>
      <c r="S195" s="34">
        <v>0.0</v>
      </c>
      <c r="T195" s="35">
        <v>0.0</v>
      </c>
      <c r="U195" s="41">
        <v>0.0</v>
      </c>
      <c r="V195" s="42">
        <v>0.0</v>
      </c>
      <c r="W195" s="43">
        <v>0.0</v>
      </c>
      <c r="X195" s="42">
        <v>0.0</v>
      </c>
      <c r="Y195" s="44">
        <v>0.0</v>
      </c>
      <c r="Z195" s="42">
        <v>0.0</v>
      </c>
      <c r="AA195" s="45"/>
      <c r="AB195" s="46"/>
      <c r="AC195" s="45">
        <v>0.0</v>
      </c>
      <c r="AD195" s="46"/>
      <c r="AE195" s="45">
        <f t="shared" si="1"/>
        <v>0</v>
      </c>
      <c r="AF195" s="46"/>
      <c r="AG195" s="45"/>
      <c r="AH195" s="46"/>
      <c r="AI195" s="45">
        <v>0.0</v>
      </c>
      <c r="AJ195" s="46"/>
      <c r="AK195" s="45">
        <f t="shared" si="2"/>
        <v>0</v>
      </c>
      <c r="AL195" s="46"/>
      <c r="AM195" s="45"/>
      <c r="AN195" s="46"/>
      <c r="AO195" s="45">
        <v>0.0</v>
      </c>
      <c r="AP195" s="46"/>
      <c r="AQ195" s="45">
        <f t="shared" si="3"/>
        <v>0</v>
      </c>
      <c r="AR195" s="46"/>
    </row>
    <row r="196" ht="15.75" customHeight="1">
      <c r="A196" s="29">
        <v>41301.0</v>
      </c>
      <c r="B196" s="30" t="s">
        <v>154</v>
      </c>
      <c r="C196" s="48">
        <v>0.0</v>
      </c>
      <c r="D196" s="32">
        <v>0.0</v>
      </c>
      <c r="E196" s="33">
        <v>0.0</v>
      </c>
      <c r="F196" s="32">
        <v>0.0</v>
      </c>
      <c r="G196" s="34">
        <v>0.0</v>
      </c>
      <c r="H196" s="35">
        <v>0.0</v>
      </c>
      <c r="I196" s="48">
        <v>0.0</v>
      </c>
      <c r="J196" s="32">
        <v>0.0</v>
      </c>
      <c r="K196" s="38">
        <v>0.0</v>
      </c>
      <c r="L196" s="39">
        <v>0.0</v>
      </c>
      <c r="M196" s="34">
        <v>0.0</v>
      </c>
      <c r="N196" s="35">
        <v>0.0</v>
      </c>
      <c r="O196" s="48">
        <v>0.0</v>
      </c>
      <c r="P196" s="32">
        <v>0.0</v>
      </c>
      <c r="Q196" s="38">
        <v>0.0</v>
      </c>
      <c r="R196" s="32">
        <v>0.0</v>
      </c>
      <c r="S196" s="34">
        <v>0.0</v>
      </c>
      <c r="T196" s="35">
        <v>0.0</v>
      </c>
      <c r="U196" s="41">
        <v>0.0</v>
      </c>
      <c r="V196" s="42">
        <v>0.0</v>
      </c>
      <c r="W196" s="43">
        <v>0.0</v>
      </c>
      <c r="X196" s="42">
        <v>0.0</v>
      </c>
      <c r="Y196" s="44">
        <v>0.0</v>
      </c>
      <c r="Z196" s="42">
        <v>0.0</v>
      </c>
      <c r="AA196" s="45"/>
      <c r="AB196" s="46"/>
      <c r="AC196" s="45">
        <v>0.0</v>
      </c>
      <c r="AD196" s="46"/>
      <c r="AE196" s="45">
        <f t="shared" si="1"/>
        <v>0</v>
      </c>
      <c r="AF196" s="46"/>
      <c r="AG196" s="45"/>
      <c r="AH196" s="46"/>
      <c r="AI196" s="45">
        <v>0.0</v>
      </c>
      <c r="AJ196" s="46"/>
      <c r="AK196" s="45">
        <f t="shared" si="2"/>
        <v>0</v>
      </c>
      <c r="AL196" s="46"/>
      <c r="AM196" s="45">
        <v>5000.0</v>
      </c>
      <c r="AN196" s="46"/>
      <c r="AO196" s="45">
        <v>0.0</v>
      </c>
      <c r="AP196" s="46"/>
      <c r="AQ196" s="45">
        <f t="shared" si="3"/>
        <v>5000</v>
      </c>
      <c r="AR196" s="46"/>
    </row>
    <row r="197" ht="15.75" customHeight="1">
      <c r="A197" s="29">
        <v>41401.0</v>
      </c>
      <c r="B197" s="30" t="s">
        <v>201</v>
      </c>
      <c r="C197" s="31">
        <v>50000.0</v>
      </c>
      <c r="D197" s="32">
        <v>0.69</v>
      </c>
      <c r="E197" s="33">
        <v>0.0</v>
      </c>
      <c r="F197" s="32">
        <v>0.0</v>
      </c>
      <c r="G197" s="34">
        <v>50000.0</v>
      </c>
      <c r="H197" s="35">
        <v>0.4</v>
      </c>
      <c r="I197" s="36">
        <v>50000.0</v>
      </c>
      <c r="J197" s="37">
        <v>0.77</v>
      </c>
      <c r="K197" s="38">
        <v>0.0</v>
      </c>
      <c r="L197" s="39">
        <v>0.0</v>
      </c>
      <c r="M197" s="38">
        <v>50000.0</v>
      </c>
      <c r="N197" s="40">
        <v>0.39</v>
      </c>
      <c r="O197" s="36">
        <v>70000.0</v>
      </c>
      <c r="P197" s="37">
        <v>0.82</v>
      </c>
      <c r="Q197" s="38">
        <v>0.0</v>
      </c>
      <c r="R197" s="32">
        <v>0.0</v>
      </c>
      <c r="S197" s="38">
        <v>70000.0</v>
      </c>
      <c r="T197" s="35">
        <v>0.45</v>
      </c>
      <c r="U197" s="47">
        <v>200000.0</v>
      </c>
      <c r="V197" s="42">
        <v>1.49</v>
      </c>
      <c r="W197" s="43">
        <v>0.0</v>
      </c>
      <c r="X197" s="42">
        <v>0.0</v>
      </c>
      <c r="Y197" s="44">
        <v>200000.0</v>
      </c>
      <c r="Z197" s="42">
        <v>1.35</v>
      </c>
      <c r="AA197" s="45">
        <v>200000.0</v>
      </c>
      <c r="AB197" s="46"/>
      <c r="AC197" s="45">
        <v>0.0</v>
      </c>
      <c r="AD197" s="46"/>
      <c r="AE197" s="45">
        <f t="shared" si="1"/>
        <v>200000</v>
      </c>
      <c r="AF197" s="46"/>
      <c r="AG197" s="45">
        <v>215000.0</v>
      </c>
      <c r="AH197" s="46"/>
      <c r="AI197" s="45">
        <v>0.0</v>
      </c>
      <c r="AJ197" s="46"/>
      <c r="AK197" s="45">
        <f t="shared" si="2"/>
        <v>215000</v>
      </c>
      <c r="AL197" s="46"/>
      <c r="AM197" s="45">
        <v>205000.0</v>
      </c>
      <c r="AN197" s="46"/>
      <c r="AO197" s="45">
        <v>0.0</v>
      </c>
      <c r="AP197" s="46"/>
      <c r="AQ197" s="45">
        <f t="shared" si="3"/>
        <v>205000</v>
      </c>
      <c r="AR197" s="46"/>
    </row>
    <row r="198" ht="15.75" customHeight="1">
      <c r="A198" s="29">
        <v>41501.0</v>
      </c>
      <c r="B198" s="30" t="s">
        <v>202</v>
      </c>
      <c r="C198" s="48">
        <v>0.0</v>
      </c>
      <c r="D198" s="32">
        <v>0.0</v>
      </c>
      <c r="E198" s="33">
        <v>0.0</v>
      </c>
      <c r="F198" s="32">
        <v>0.0</v>
      </c>
      <c r="G198" s="34">
        <v>0.0</v>
      </c>
      <c r="H198" s="35">
        <v>0.0</v>
      </c>
      <c r="I198" s="48">
        <v>0.0</v>
      </c>
      <c r="J198" s="32">
        <v>0.0</v>
      </c>
      <c r="K198" s="38">
        <v>0.0</v>
      </c>
      <c r="L198" s="39">
        <v>0.0</v>
      </c>
      <c r="M198" s="34">
        <v>0.0</v>
      </c>
      <c r="N198" s="35">
        <v>0.0</v>
      </c>
      <c r="O198" s="48">
        <v>0.0</v>
      </c>
      <c r="P198" s="32">
        <v>0.0</v>
      </c>
      <c r="Q198" s="38">
        <v>0.0</v>
      </c>
      <c r="R198" s="32">
        <v>0.0</v>
      </c>
      <c r="S198" s="34">
        <v>0.0</v>
      </c>
      <c r="T198" s="35">
        <v>0.0</v>
      </c>
      <c r="U198" s="41">
        <v>0.0</v>
      </c>
      <c r="V198" s="42">
        <v>0.0</v>
      </c>
      <c r="W198" s="43">
        <v>0.0</v>
      </c>
      <c r="X198" s="42">
        <v>0.0</v>
      </c>
      <c r="Y198" s="44">
        <v>0.0</v>
      </c>
      <c r="Z198" s="42">
        <v>0.0</v>
      </c>
      <c r="AA198" s="45"/>
      <c r="AB198" s="46"/>
      <c r="AC198" s="45">
        <v>0.0</v>
      </c>
      <c r="AD198" s="46"/>
      <c r="AE198" s="45">
        <f t="shared" si="1"/>
        <v>0</v>
      </c>
      <c r="AF198" s="46"/>
      <c r="AG198" s="45"/>
      <c r="AH198" s="46"/>
      <c r="AI198" s="45">
        <v>0.0</v>
      </c>
      <c r="AJ198" s="46"/>
      <c r="AK198" s="45">
        <f t="shared" si="2"/>
        <v>0</v>
      </c>
      <c r="AL198" s="46"/>
      <c r="AM198" s="45"/>
      <c r="AN198" s="46"/>
      <c r="AO198" s="45">
        <v>0.0</v>
      </c>
      <c r="AP198" s="46"/>
      <c r="AQ198" s="45">
        <f t="shared" si="3"/>
        <v>0</v>
      </c>
      <c r="AR198" s="46"/>
    </row>
    <row r="199" ht="15.75" customHeight="1">
      <c r="A199" s="29">
        <v>41502.0</v>
      </c>
      <c r="B199" s="30" t="s">
        <v>203</v>
      </c>
      <c r="C199" s="48">
        <v>0.0</v>
      </c>
      <c r="D199" s="32">
        <v>0.0</v>
      </c>
      <c r="E199" s="33">
        <v>0.0</v>
      </c>
      <c r="F199" s="32">
        <v>0.0</v>
      </c>
      <c r="G199" s="34">
        <v>0.0</v>
      </c>
      <c r="H199" s="35">
        <v>0.0</v>
      </c>
      <c r="I199" s="48">
        <v>0.0</v>
      </c>
      <c r="J199" s="32">
        <v>0.0</v>
      </c>
      <c r="K199" s="38">
        <v>0.0</v>
      </c>
      <c r="L199" s="39">
        <v>0.0</v>
      </c>
      <c r="M199" s="34">
        <v>0.0</v>
      </c>
      <c r="N199" s="35">
        <v>0.0</v>
      </c>
      <c r="O199" s="48">
        <v>0.0</v>
      </c>
      <c r="P199" s="32">
        <v>0.0</v>
      </c>
      <c r="Q199" s="38">
        <v>0.0</v>
      </c>
      <c r="R199" s="32">
        <v>0.0</v>
      </c>
      <c r="S199" s="34">
        <v>0.0</v>
      </c>
      <c r="T199" s="35">
        <v>0.0</v>
      </c>
      <c r="U199" s="41">
        <v>0.0</v>
      </c>
      <c r="V199" s="42">
        <v>0.0</v>
      </c>
      <c r="W199" s="43">
        <v>0.0</v>
      </c>
      <c r="X199" s="42">
        <v>0.0</v>
      </c>
      <c r="Y199" s="44">
        <v>0.0</v>
      </c>
      <c r="Z199" s="42">
        <v>0.0</v>
      </c>
      <c r="AA199" s="45"/>
      <c r="AB199" s="46"/>
      <c r="AC199" s="45">
        <v>0.0</v>
      </c>
      <c r="AD199" s="46"/>
      <c r="AE199" s="45">
        <f t="shared" si="1"/>
        <v>0</v>
      </c>
      <c r="AF199" s="46"/>
      <c r="AG199" s="45">
        <v>15000.0</v>
      </c>
      <c r="AH199" s="46"/>
      <c r="AI199" s="45">
        <v>0.0</v>
      </c>
      <c r="AJ199" s="46"/>
      <c r="AK199" s="45">
        <f t="shared" si="2"/>
        <v>15000</v>
      </c>
      <c r="AL199" s="46"/>
      <c r="AM199" s="45">
        <v>5000.0</v>
      </c>
      <c r="AN199" s="46"/>
      <c r="AO199" s="45">
        <v>0.0</v>
      </c>
      <c r="AP199" s="46"/>
      <c r="AQ199" s="45">
        <f t="shared" si="3"/>
        <v>5000</v>
      </c>
      <c r="AR199" s="46"/>
    </row>
    <row r="200" ht="15.75" customHeight="1">
      <c r="A200" s="29">
        <v>41503.0</v>
      </c>
      <c r="B200" s="30" t="s">
        <v>204</v>
      </c>
      <c r="C200" s="48">
        <v>0.0</v>
      </c>
      <c r="D200" s="32">
        <v>0.0</v>
      </c>
      <c r="E200" s="33">
        <v>0.0</v>
      </c>
      <c r="F200" s="32">
        <v>0.0</v>
      </c>
      <c r="G200" s="34">
        <v>0.0</v>
      </c>
      <c r="H200" s="35">
        <v>0.0</v>
      </c>
      <c r="I200" s="48">
        <v>0.0</v>
      </c>
      <c r="J200" s="32">
        <v>0.0</v>
      </c>
      <c r="K200" s="38">
        <v>0.0</v>
      </c>
      <c r="L200" s="39">
        <v>0.0</v>
      </c>
      <c r="M200" s="34">
        <v>0.0</v>
      </c>
      <c r="N200" s="35">
        <v>0.0</v>
      </c>
      <c r="O200" s="48">
        <v>0.0</v>
      </c>
      <c r="P200" s="32">
        <v>0.0</v>
      </c>
      <c r="Q200" s="38">
        <v>0.0</v>
      </c>
      <c r="R200" s="32">
        <v>0.0</v>
      </c>
      <c r="S200" s="34">
        <v>0.0</v>
      </c>
      <c r="T200" s="35">
        <v>0.0</v>
      </c>
      <c r="U200" s="41">
        <v>0.0</v>
      </c>
      <c r="V200" s="42">
        <v>0.0</v>
      </c>
      <c r="W200" s="43">
        <v>0.0</v>
      </c>
      <c r="X200" s="42">
        <v>0.0</v>
      </c>
      <c r="Y200" s="44">
        <v>0.0</v>
      </c>
      <c r="Z200" s="42">
        <v>0.0</v>
      </c>
      <c r="AA200" s="45">
        <v>2000.0</v>
      </c>
      <c r="AB200" s="46"/>
      <c r="AC200" s="45">
        <v>0.0</v>
      </c>
      <c r="AD200" s="46"/>
      <c r="AE200" s="45">
        <f t="shared" si="1"/>
        <v>2000</v>
      </c>
      <c r="AF200" s="46"/>
      <c r="AG200" s="45">
        <v>5000.0</v>
      </c>
      <c r="AH200" s="46"/>
      <c r="AI200" s="45">
        <v>0.0</v>
      </c>
      <c r="AJ200" s="46"/>
      <c r="AK200" s="45">
        <f t="shared" si="2"/>
        <v>5000</v>
      </c>
      <c r="AL200" s="46"/>
      <c r="AM200" s="45">
        <v>10000.0</v>
      </c>
      <c r="AN200" s="46"/>
      <c r="AO200" s="45">
        <v>0.0</v>
      </c>
      <c r="AP200" s="46"/>
      <c r="AQ200" s="45">
        <f t="shared" si="3"/>
        <v>10000</v>
      </c>
      <c r="AR200" s="46"/>
    </row>
    <row r="201" ht="15.75" customHeight="1">
      <c r="A201" s="29">
        <v>41601.0</v>
      </c>
      <c r="B201" s="30" t="s">
        <v>205</v>
      </c>
      <c r="C201" s="48">
        <v>0.0</v>
      </c>
      <c r="D201" s="32">
        <v>0.0</v>
      </c>
      <c r="E201" s="33">
        <v>0.0</v>
      </c>
      <c r="F201" s="32">
        <v>0.0</v>
      </c>
      <c r="G201" s="34">
        <v>0.0</v>
      </c>
      <c r="H201" s="35">
        <v>0.0</v>
      </c>
      <c r="I201" s="48">
        <v>0.0</v>
      </c>
      <c r="J201" s="32">
        <v>0.0</v>
      </c>
      <c r="K201" s="38">
        <v>0.0</v>
      </c>
      <c r="L201" s="39">
        <v>0.0</v>
      </c>
      <c r="M201" s="34">
        <v>0.0</v>
      </c>
      <c r="N201" s="35">
        <v>0.0</v>
      </c>
      <c r="O201" s="48">
        <v>0.0</v>
      </c>
      <c r="P201" s="32">
        <v>0.0</v>
      </c>
      <c r="Q201" s="38">
        <v>0.0</v>
      </c>
      <c r="R201" s="32">
        <v>0.0</v>
      </c>
      <c r="S201" s="34">
        <v>0.0</v>
      </c>
      <c r="T201" s="35">
        <v>0.0</v>
      </c>
      <c r="U201" s="41">
        <v>0.0</v>
      </c>
      <c r="V201" s="42">
        <v>0.0</v>
      </c>
      <c r="W201" s="43">
        <v>0.0</v>
      </c>
      <c r="X201" s="42">
        <v>0.0</v>
      </c>
      <c r="Y201" s="44">
        <v>0.0</v>
      </c>
      <c r="Z201" s="42">
        <v>0.0</v>
      </c>
      <c r="AA201" s="45">
        <v>15000.0</v>
      </c>
      <c r="AB201" s="46"/>
      <c r="AC201" s="45">
        <v>0.0</v>
      </c>
      <c r="AD201" s="46"/>
      <c r="AE201" s="45">
        <f t="shared" si="1"/>
        <v>15000</v>
      </c>
      <c r="AF201" s="46"/>
      <c r="AG201" s="45">
        <v>15000.0</v>
      </c>
      <c r="AH201" s="46"/>
      <c r="AI201" s="45">
        <v>0.0</v>
      </c>
      <c r="AJ201" s="46"/>
      <c r="AK201" s="45">
        <f t="shared" si="2"/>
        <v>15000</v>
      </c>
      <c r="AL201" s="46"/>
      <c r="AM201" s="45">
        <v>10000.0</v>
      </c>
      <c r="AN201" s="46"/>
      <c r="AO201" s="45">
        <v>0.0</v>
      </c>
      <c r="AP201" s="46"/>
      <c r="AQ201" s="45">
        <f t="shared" si="3"/>
        <v>10000</v>
      </c>
      <c r="AR201" s="46"/>
    </row>
    <row r="202" ht="15.75" customHeight="1">
      <c r="A202" s="29">
        <v>50101.0</v>
      </c>
      <c r="B202" s="30" t="s">
        <v>206</v>
      </c>
      <c r="C202" s="48">
        <v>0.0</v>
      </c>
      <c r="D202" s="32">
        <v>0.0</v>
      </c>
      <c r="E202" s="33">
        <v>0.0</v>
      </c>
      <c r="F202" s="32">
        <v>0.0</v>
      </c>
      <c r="G202" s="34">
        <v>0.0</v>
      </c>
      <c r="H202" s="35">
        <v>0.0</v>
      </c>
      <c r="I202" s="48">
        <v>0.0</v>
      </c>
      <c r="J202" s="32">
        <v>0.0</v>
      </c>
      <c r="K202" s="38">
        <v>0.0</v>
      </c>
      <c r="L202" s="39">
        <v>0.0</v>
      </c>
      <c r="M202" s="34">
        <v>0.0</v>
      </c>
      <c r="N202" s="35">
        <v>0.0</v>
      </c>
      <c r="O202" s="48">
        <v>0.0</v>
      </c>
      <c r="P202" s="32">
        <v>0.0</v>
      </c>
      <c r="Q202" s="38">
        <v>0.0</v>
      </c>
      <c r="R202" s="32">
        <v>0.0</v>
      </c>
      <c r="S202" s="34">
        <v>0.0</v>
      </c>
      <c r="T202" s="35">
        <v>0.0</v>
      </c>
      <c r="U202" s="47">
        <v>6375000.0</v>
      </c>
      <c r="V202" s="42">
        <v>2.45</v>
      </c>
      <c r="W202" s="44">
        <v>574560.0</v>
      </c>
      <c r="X202" s="42">
        <v>0.69</v>
      </c>
      <c r="Y202" s="44">
        <v>6949560.0</v>
      </c>
      <c r="Z202" s="42">
        <v>2.02</v>
      </c>
      <c r="AA202" s="45">
        <v>6406536.0</v>
      </c>
      <c r="AB202" s="46"/>
      <c r="AC202" s="45">
        <v>0.0</v>
      </c>
      <c r="AD202" s="46"/>
      <c r="AE202" s="45">
        <f t="shared" si="1"/>
        <v>6406536</v>
      </c>
      <c r="AF202" s="46"/>
      <c r="AG202" s="45">
        <v>6320000.0</v>
      </c>
      <c r="AH202" s="46"/>
      <c r="AI202" s="45">
        <v>0.0</v>
      </c>
      <c r="AJ202" s="46"/>
      <c r="AK202" s="45">
        <f t="shared" si="2"/>
        <v>6320000</v>
      </c>
      <c r="AL202" s="46"/>
      <c r="AM202" s="45">
        <v>6636000.0</v>
      </c>
      <c r="AN202" s="46"/>
      <c r="AO202" s="45">
        <v>0.0</v>
      </c>
      <c r="AP202" s="46"/>
      <c r="AQ202" s="45">
        <f t="shared" si="3"/>
        <v>6636000</v>
      </c>
      <c r="AR202" s="46"/>
    </row>
    <row r="203" ht="15.75" customHeight="1">
      <c r="A203" s="29">
        <v>50102.0</v>
      </c>
      <c r="B203" s="30" t="s">
        <v>207</v>
      </c>
      <c r="C203" s="31">
        <v>40000.0</v>
      </c>
      <c r="D203" s="32">
        <v>0.27</v>
      </c>
      <c r="E203" s="33">
        <v>0.0</v>
      </c>
      <c r="F203" s="32">
        <v>0.0</v>
      </c>
      <c r="G203" s="34">
        <v>40000.0</v>
      </c>
      <c r="H203" s="35">
        <v>0.17</v>
      </c>
      <c r="I203" s="36">
        <v>90000.0</v>
      </c>
      <c r="J203" s="37">
        <v>0.6</v>
      </c>
      <c r="K203" s="38">
        <v>0.0</v>
      </c>
      <c r="L203" s="39">
        <v>0.0</v>
      </c>
      <c r="M203" s="38">
        <v>90000.0</v>
      </c>
      <c r="N203" s="40">
        <v>0.43</v>
      </c>
      <c r="O203" s="36">
        <v>10000.0</v>
      </c>
      <c r="P203" s="37">
        <v>0.06</v>
      </c>
      <c r="Q203" s="38">
        <v>0.0</v>
      </c>
      <c r="R203" s="32">
        <v>0.0</v>
      </c>
      <c r="S203" s="38">
        <v>10000.0</v>
      </c>
      <c r="T203" s="35">
        <v>0.04</v>
      </c>
      <c r="U203" s="47">
        <v>18000.0</v>
      </c>
      <c r="V203" s="42">
        <v>0.09</v>
      </c>
      <c r="W203" s="43">
        <v>0.0</v>
      </c>
      <c r="X203" s="42">
        <v>0.0</v>
      </c>
      <c r="Y203" s="44">
        <v>18000.0</v>
      </c>
      <c r="Z203" s="42">
        <v>0.07</v>
      </c>
      <c r="AA203" s="45">
        <v>18000.0</v>
      </c>
      <c r="AB203" s="46"/>
      <c r="AC203" s="45">
        <v>0.0</v>
      </c>
      <c r="AD203" s="46"/>
      <c r="AE203" s="45">
        <f t="shared" si="1"/>
        <v>18000</v>
      </c>
      <c r="AF203" s="46"/>
      <c r="AG203" s="45">
        <v>18000.0</v>
      </c>
      <c r="AH203" s="46"/>
      <c r="AI203" s="45">
        <v>0.0</v>
      </c>
      <c r="AJ203" s="46"/>
      <c r="AK203" s="45">
        <f t="shared" si="2"/>
        <v>18000</v>
      </c>
      <c r="AL203" s="46"/>
      <c r="AM203" s="45">
        <v>18000.0</v>
      </c>
      <c r="AN203" s="46"/>
      <c r="AO203" s="45">
        <v>0.0</v>
      </c>
      <c r="AP203" s="46"/>
      <c r="AQ203" s="45">
        <f t="shared" si="3"/>
        <v>18000</v>
      </c>
      <c r="AR203" s="46"/>
    </row>
    <row r="204" ht="15.75" customHeight="1">
      <c r="A204" s="29">
        <v>50103.0</v>
      </c>
      <c r="B204" s="30" t="s">
        <v>208</v>
      </c>
      <c r="C204" s="48">
        <v>0.0</v>
      </c>
      <c r="D204" s="32">
        <v>0.0</v>
      </c>
      <c r="E204" s="33">
        <v>0.0</v>
      </c>
      <c r="F204" s="32">
        <v>0.0</v>
      </c>
      <c r="G204" s="34">
        <v>0.0</v>
      </c>
      <c r="H204" s="35">
        <v>0.0</v>
      </c>
      <c r="I204" s="36">
        <v>30000.0</v>
      </c>
      <c r="J204" s="37">
        <v>0.42</v>
      </c>
      <c r="K204" s="38">
        <v>0.0</v>
      </c>
      <c r="L204" s="39">
        <v>0.0</v>
      </c>
      <c r="M204" s="38">
        <v>30000.0</v>
      </c>
      <c r="N204" s="40">
        <v>0.25</v>
      </c>
      <c r="O204" s="36">
        <v>31000.0</v>
      </c>
      <c r="P204" s="37">
        <v>0.47</v>
      </c>
      <c r="Q204" s="38">
        <v>0.0</v>
      </c>
      <c r="R204" s="32">
        <v>0.0</v>
      </c>
      <c r="S204" s="38">
        <v>31000.0</v>
      </c>
      <c r="T204" s="35">
        <v>0.33</v>
      </c>
      <c r="U204" s="47">
        <v>15000.0</v>
      </c>
      <c r="V204" s="42">
        <v>0.2</v>
      </c>
      <c r="W204" s="43">
        <v>0.0</v>
      </c>
      <c r="X204" s="42">
        <v>0.0</v>
      </c>
      <c r="Y204" s="44">
        <v>15000.0</v>
      </c>
      <c r="Z204" s="42">
        <v>0.19</v>
      </c>
      <c r="AA204" s="45"/>
      <c r="AB204" s="46"/>
      <c r="AC204" s="45">
        <v>0.0</v>
      </c>
      <c r="AD204" s="46"/>
      <c r="AE204" s="45">
        <f t="shared" si="1"/>
        <v>0</v>
      </c>
      <c r="AF204" s="46"/>
      <c r="AG204" s="45"/>
      <c r="AH204" s="46"/>
      <c r="AI204" s="45">
        <v>0.0</v>
      </c>
      <c r="AJ204" s="46"/>
      <c r="AK204" s="45">
        <f t="shared" si="2"/>
        <v>0</v>
      </c>
      <c r="AL204" s="46"/>
      <c r="AM204" s="45">
        <v>20000.0</v>
      </c>
      <c r="AN204" s="46"/>
      <c r="AO204" s="45">
        <v>0.0</v>
      </c>
      <c r="AP204" s="46"/>
      <c r="AQ204" s="45">
        <f t="shared" si="3"/>
        <v>20000</v>
      </c>
      <c r="AR204" s="46"/>
    </row>
    <row r="205" ht="15.75" customHeight="1">
      <c r="A205" s="29">
        <v>50104.0</v>
      </c>
      <c r="B205" s="30" t="s">
        <v>209</v>
      </c>
      <c r="C205" s="48">
        <v>0.0</v>
      </c>
      <c r="D205" s="32">
        <v>0.0</v>
      </c>
      <c r="E205" s="33">
        <v>0.0</v>
      </c>
      <c r="F205" s="32">
        <v>0.0</v>
      </c>
      <c r="G205" s="34">
        <v>0.0</v>
      </c>
      <c r="H205" s="35">
        <v>0.0</v>
      </c>
      <c r="I205" s="48">
        <v>0.0</v>
      </c>
      <c r="J205" s="32">
        <v>0.0</v>
      </c>
      <c r="K205" s="38">
        <v>0.0</v>
      </c>
      <c r="L205" s="39">
        <v>0.0</v>
      </c>
      <c r="M205" s="34">
        <v>0.0</v>
      </c>
      <c r="N205" s="35">
        <v>0.0</v>
      </c>
      <c r="O205" s="48">
        <v>0.0</v>
      </c>
      <c r="P205" s="32">
        <v>0.0</v>
      </c>
      <c r="Q205" s="38">
        <v>0.0</v>
      </c>
      <c r="R205" s="32">
        <v>0.0</v>
      </c>
      <c r="S205" s="34">
        <v>0.0</v>
      </c>
      <c r="T205" s="35">
        <v>0.0</v>
      </c>
      <c r="U205" s="47">
        <v>3500.0</v>
      </c>
      <c r="V205" s="42">
        <v>0.16</v>
      </c>
      <c r="W205" s="43">
        <v>0.0</v>
      </c>
      <c r="X205" s="42">
        <v>0.0</v>
      </c>
      <c r="Y205" s="44">
        <v>3500.0</v>
      </c>
      <c r="Z205" s="42">
        <v>0.13</v>
      </c>
      <c r="AA205" s="45">
        <v>3500.0</v>
      </c>
      <c r="AB205" s="46"/>
      <c r="AC205" s="45">
        <v>0.0</v>
      </c>
      <c r="AD205" s="46"/>
      <c r="AE205" s="45">
        <f t="shared" si="1"/>
        <v>3500</v>
      </c>
      <c r="AF205" s="46"/>
      <c r="AG205" s="45">
        <v>3500.0</v>
      </c>
      <c r="AH205" s="46"/>
      <c r="AI205" s="45">
        <v>0.0</v>
      </c>
      <c r="AJ205" s="46"/>
      <c r="AK205" s="45">
        <f t="shared" si="2"/>
        <v>3500</v>
      </c>
      <c r="AL205" s="46"/>
      <c r="AM205" s="45">
        <v>3500.0</v>
      </c>
      <c r="AN205" s="46"/>
      <c r="AO205" s="45">
        <v>0.0</v>
      </c>
      <c r="AP205" s="46"/>
      <c r="AQ205" s="45">
        <f t="shared" si="3"/>
        <v>3500</v>
      </c>
      <c r="AR205" s="46"/>
    </row>
    <row r="206" ht="15.75" customHeight="1">
      <c r="A206" s="29">
        <v>50201.0</v>
      </c>
      <c r="B206" s="30" t="s">
        <v>210</v>
      </c>
      <c r="C206" s="31">
        <v>16776.0</v>
      </c>
      <c r="D206" s="32">
        <v>0.17</v>
      </c>
      <c r="E206" s="33">
        <v>0.0</v>
      </c>
      <c r="F206" s="32">
        <v>0.0</v>
      </c>
      <c r="G206" s="49">
        <v>16776.0</v>
      </c>
      <c r="H206" s="35">
        <v>0.14</v>
      </c>
      <c r="I206" s="48">
        <v>0.0</v>
      </c>
      <c r="J206" s="32">
        <v>0.0</v>
      </c>
      <c r="K206" s="38">
        <v>0.0</v>
      </c>
      <c r="L206" s="39">
        <v>0.0</v>
      </c>
      <c r="M206" s="34">
        <v>0.0</v>
      </c>
      <c r="N206" s="35">
        <v>0.0</v>
      </c>
      <c r="O206" s="48">
        <v>0.0</v>
      </c>
      <c r="P206" s="32">
        <v>0.0</v>
      </c>
      <c r="Q206" s="38">
        <v>0.0</v>
      </c>
      <c r="R206" s="32">
        <v>0.0</v>
      </c>
      <c r="S206" s="34">
        <v>0.0</v>
      </c>
      <c r="T206" s="35">
        <v>0.0</v>
      </c>
      <c r="U206" s="47">
        <v>193717.0</v>
      </c>
      <c r="V206" s="42">
        <v>1.22</v>
      </c>
      <c r="W206" s="44">
        <v>0.0</v>
      </c>
      <c r="X206" s="42">
        <v>0.0</v>
      </c>
      <c r="Y206" s="44">
        <v>193717.0</v>
      </c>
      <c r="Z206" s="42">
        <v>1.22</v>
      </c>
      <c r="AA206" s="45">
        <v>196652.0</v>
      </c>
      <c r="AB206" s="46"/>
      <c r="AC206" s="45">
        <v>0.0</v>
      </c>
      <c r="AD206" s="46"/>
      <c r="AE206" s="45">
        <f t="shared" si="1"/>
        <v>196652</v>
      </c>
      <c r="AF206" s="46"/>
      <c r="AG206" s="45">
        <v>203320.0</v>
      </c>
      <c r="AH206" s="46"/>
      <c r="AI206" s="45">
        <v>0.0</v>
      </c>
      <c r="AJ206" s="46"/>
      <c r="AK206" s="45">
        <f t="shared" si="2"/>
        <v>203320</v>
      </c>
      <c r="AL206" s="46"/>
      <c r="AM206" s="45">
        <v>212774.0</v>
      </c>
      <c r="AN206" s="46"/>
      <c r="AO206" s="45">
        <v>0.0</v>
      </c>
      <c r="AP206" s="46"/>
      <c r="AQ206" s="45">
        <f t="shared" si="3"/>
        <v>212774</v>
      </c>
      <c r="AR206" s="46"/>
    </row>
    <row r="207" ht="15.75" customHeight="1">
      <c r="A207" s="29">
        <v>50202.0</v>
      </c>
      <c r="B207" s="30" t="s">
        <v>211</v>
      </c>
      <c r="C207" s="31">
        <v>5000.0</v>
      </c>
      <c r="D207" s="32">
        <v>0.07</v>
      </c>
      <c r="E207" s="33">
        <v>0.0</v>
      </c>
      <c r="F207" s="32">
        <v>0.0</v>
      </c>
      <c r="G207" s="49">
        <v>5000.0</v>
      </c>
      <c r="H207" s="35">
        <v>0.05</v>
      </c>
      <c r="I207" s="48">
        <v>0.0</v>
      </c>
      <c r="J207" s="32">
        <v>0.0</v>
      </c>
      <c r="K207" s="38">
        <v>0.0</v>
      </c>
      <c r="L207" s="39">
        <v>0.0</v>
      </c>
      <c r="M207" s="34">
        <v>0.0</v>
      </c>
      <c r="N207" s="35">
        <v>0.0</v>
      </c>
      <c r="O207" s="48">
        <v>0.0</v>
      </c>
      <c r="P207" s="32">
        <v>0.0</v>
      </c>
      <c r="Q207" s="38">
        <v>0.0</v>
      </c>
      <c r="R207" s="32">
        <v>0.0</v>
      </c>
      <c r="S207" s="34">
        <v>0.0</v>
      </c>
      <c r="T207" s="35">
        <v>0.0</v>
      </c>
      <c r="U207" s="47">
        <v>30000.0</v>
      </c>
      <c r="V207" s="42">
        <v>0.23</v>
      </c>
      <c r="W207" s="43">
        <v>0.0</v>
      </c>
      <c r="X207" s="42">
        <v>0.0</v>
      </c>
      <c r="Y207" s="44">
        <v>30000.0</v>
      </c>
      <c r="Z207" s="42">
        <v>0.22</v>
      </c>
      <c r="AA207" s="45">
        <v>30000.0</v>
      </c>
      <c r="AB207" s="46"/>
      <c r="AC207" s="45">
        <v>0.0</v>
      </c>
      <c r="AD207" s="46"/>
      <c r="AE207" s="45">
        <f t="shared" si="1"/>
        <v>30000</v>
      </c>
      <c r="AF207" s="46"/>
      <c r="AG207" s="45">
        <v>30000.0</v>
      </c>
      <c r="AH207" s="46"/>
      <c r="AI207" s="45">
        <v>0.0</v>
      </c>
      <c r="AJ207" s="46"/>
      <c r="AK207" s="45">
        <f t="shared" si="2"/>
        <v>30000</v>
      </c>
      <c r="AL207" s="46"/>
      <c r="AM207" s="45">
        <v>50000.0</v>
      </c>
      <c r="AN207" s="46"/>
      <c r="AO207" s="45">
        <v>0.0</v>
      </c>
      <c r="AP207" s="46"/>
      <c r="AQ207" s="45">
        <f t="shared" si="3"/>
        <v>50000</v>
      </c>
      <c r="AR207" s="46"/>
    </row>
    <row r="208" ht="15.75" customHeight="1">
      <c r="A208" s="29">
        <v>50203.0</v>
      </c>
      <c r="B208" s="30" t="s">
        <v>212</v>
      </c>
      <c r="C208" s="48">
        <v>0.0</v>
      </c>
      <c r="D208" s="32">
        <v>0.0</v>
      </c>
      <c r="E208" s="33">
        <v>0.0</v>
      </c>
      <c r="F208" s="32">
        <v>0.0</v>
      </c>
      <c r="G208" s="34">
        <v>0.0</v>
      </c>
      <c r="H208" s="35">
        <v>0.0</v>
      </c>
      <c r="I208" s="48">
        <v>0.0</v>
      </c>
      <c r="J208" s="32">
        <v>0.0</v>
      </c>
      <c r="K208" s="38">
        <v>0.0</v>
      </c>
      <c r="L208" s="39">
        <v>0.0</v>
      </c>
      <c r="M208" s="34">
        <v>0.0</v>
      </c>
      <c r="N208" s="35">
        <v>0.0</v>
      </c>
      <c r="O208" s="36">
        <v>780000.0</v>
      </c>
      <c r="P208" s="37">
        <v>2.4</v>
      </c>
      <c r="Q208" s="38">
        <v>0.0</v>
      </c>
      <c r="R208" s="32">
        <v>0.0</v>
      </c>
      <c r="S208" s="38">
        <v>780000.0</v>
      </c>
      <c r="T208" s="35">
        <v>1.81</v>
      </c>
      <c r="U208" s="47">
        <v>1020000.0</v>
      </c>
      <c r="V208" s="42">
        <v>2.35</v>
      </c>
      <c r="W208" s="43">
        <v>0.0</v>
      </c>
      <c r="X208" s="42">
        <v>0.0</v>
      </c>
      <c r="Y208" s="44">
        <v>1020000.0</v>
      </c>
      <c r="Z208" s="42">
        <v>2.03</v>
      </c>
      <c r="AA208" s="45">
        <v>1020000.0</v>
      </c>
      <c r="AB208" s="46"/>
      <c r="AC208" s="45">
        <v>0.0</v>
      </c>
      <c r="AD208" s="46"/>
      <c r="AE208" s="45">
        <f t="shared" si="1"/>
        <v>1020000</v>
      </c>
      <c r="AF208" s="46"/>
      <c r="AG208" s="45">
        <v>1020000.0</v>
      </c>
      <c r="AH208" s="46"/>
      <c r="AI208" s="45">
        <v>0.0</v>
      </c>
      <c r="AJ208" s="46"/>
      <c r="AK208" s="45">
        <f t="shared" si="2"/>
        <v>1020000</v>
      </c>
      <c r="AL208" s="46"/>
      <c r="AM208" s="45">
        <v>1004197.0</v>
      </c>
      <c r="AN208" s="46"/>
      <c r="AO208" s="45">
        <v>0.0</v>
      </c>
      <c r="AP208" s="46"/>
      <c r="AQ208" s="45">
        <f t="shared" si="3"/>
        <v>1004197</v>
      </c>
      <c r="AR208" s="46"/>
    </row>
    <row r="209" ht="15.75" customHeight="1">
      <c r="A209" s="29">
        <v>50204.0</v>
      </c>
      <c r="B209" s="30" t="s">
        <v>213</v>
      </c>
      <c r="C209" s="31">
        <v>10000.0</v>
      </c>
      <c r="D209" s="32">
        <v>0.22</v>
      </c>
      <c r="E209" s="33">
        <v>0.0</v>
      </c>
      <c r="F209" s="32">
        <v>0.0</v>
      </c>
      <c r="G209" s="34">
        <v>10000.0</v>
      </c>
      <c r="H209" s="35">
        <v>0.2</v>
      </c>
      <c r="I209" s="36">
        <v>23500.0</v>
      </c>
      <c r="J209" s="37">
        <v>0.53</v>
      </c>
      <c r="K209" s="38">
        <v>0.0</v>
      </c>
      <c r="L209" s="39">
        <v>0.0</v>
      </c>
      <c r="M209" s="38">
        <v>23500.0</v>
      </c>
      <c r="N209" s="40">
        <v>0.3</v>
      </c>
      <c r="O209" s="36">
        <v>32000.0</v>
      </c>
      <c r="P209" s="37">
        <v>0.55</v>
      </c>
      <c r="Q209" s="38">
        <v>0.0</v>
      </c>
      <c r="R209" s="32">
        <v>0.0</v>
      </c>
      <c r="S209" s="38">
        <v>32000.0</v>
      </c>
      <c r="T209" s="35">
        <v>0.5</v>
      </c>
      <c r="U209" s="47">
        <v>12000.0</v>
      </c>
      <c r="V209" s="42">
        <v>0.17</v>
      </c>
      <c r="W209" s="43">
        <v>0.0</v>
      </c>
      <c r="X209" s="42">
        <v>0.0</v>
      </c>
      <c r="Y209" s="44">
        <v>12000.0</v>
      </c>
      <c r="Z209" s="42">
        <v>0.16</v>
      </c>
      <c r="AA209" s="45">
        <v>12000.0</v>
      </c>
      <c r="AB209" s="46"/>
      <c r="AC209" s="45">
        <v>0.0</v>
      </c>
      <c r="AD209" s="46"/>
      <c r="AE209" s="45">
        <f t="shared" si="1"/>
        <v>12000</v>
      </c>
      <c r="AF209" s="46"/>
      <c r="AG209" s="45">
        <v>12000.0</v>
      </c>
      <c r="AH209" s="46"/>
      <c r="AI209" s="45">
        <v>0.0</v>
      </c>
      <c r="AJ209" s="46"/>
      <c r="AK209" s="45">
        <f t="shared" si="2"/>
        <v>12000</v>
      </c>
      <c r="AL209" s="46"/>
      <c r="AM209" s="45">
        <v>10000.0</v>
      </c>
      <c r="AN209" s="46"/>
      <c r="AO209" s="45">
        <v>0.0</v>
      </c>
      <c r="AP209" s="46"/>
      <c r="AQ209" s="45">
        <f t="shared" si="3"/>
        <v>10000</v>
      </c>
      <c r="AR209" s="46"/>
    </row>
    <row r="210" ht="15.75" customHeight="1">
      <c r="A210" s="29">
        <v>50301.0</v>
      </c>
      <c r="B210" s="30" t="s">
        <v>214</v>
      </c>
      <c r="C210" s="31">
        <v>33200.0</v>
      </c>
      <c r="D210" s="32">
        <v>0.16</v>
      </c>
      <c r="E210" s="33">
        <v>0.0</v>
      </c>
      <c r="F210" s="32">
        <v>0.0</v>
      </c>
      <c r="G210" s="49">
        <v>33200.0</v>
      </c>
      <c r="H210" s="35">
        <v>0.09</v>
      </c>
      <c r="I210" s="36">
        <v>33200.0</v>
      </c>
      <c r="J210" s="37">
        <v>0.15</v>
      </c>
      <c r="K210" s="38">
        <v>0.0</v>
      </c>
      <c r="L210" s="39">
        <v>0.0</v>
      </c>
      <c r="M210" s="38">
        <v>33200.0</v>
      </c>
      <c r="N210" s="40">
        <v>0.08</v>
      </c>
      <c r="O210" s="36">
        <v>33200.0</v>
      </c>
      <c r="P210" s="37">
        <v>0.15</v>
      </c>
      <c r="Q210" s="38">
        <v>0.0</v>
      </c>
      <c r="R210" s="32">
        <v>0.0</v>
      </c>
      <c r="S210" s="38">
        <v>33200.0</v>
      </c>
      <c r="T210" s="35">
        <v>0.08</v>
      </c>
      <c r="U210" s="47">
        <v>468800.0</v>
      </c>
      <c r="V210" s="42">
        <v>2.05</v>
      </c>
      <c r="W210" s="43">
        <v>0.0</v>
      </c>
      <c r="X210" s="42">
        <v>0.0</v>
      </c>
      <c r="Y210" s="44">
        <v>468800.0</v>
      </c>
      <c r="Z210" s="42">
        <v>1.52</v>
      </c>
      <c r="AA210" s="45">
        <v>1394877.0</v>
      </c>
      <c r="AB210" s="46"/>
      <c r="AC210" s="45">
        <v>0.0</v>
      </c>
      <c r="AD210" s="46"/>
      <c r="AE210" s="45">
        <f t="shared" si="1"/>
        <v>1394877</v>
      </c>
      <c r="AF210" s="46"/>
      <c r="AG210" s="45">
        <v>400000.0</v>
      </c>
      <c r="AH210" s="46"/>
      <c r="AI210" s="45">
        <v>0.0</v>
      </c>
      <c r="AJ210" s="46"/>
      <c r="AK210" s="45">
        <f t="shared" si="2"/>
        <v>400000</v>
      </c>
      <c r="AL210" s="46"/>
      <c r="AM210" s="45">
        <v>400000.0</v>
      </c>
      <c r="AN210" s="46"/>
      <c r="AO210" s="45">
        <v>0.0</v>
      </c>
      <c r="AP210" s="46"/>
      <c r="AQ210" s="45">
        <f t="shared" si="3"/>
        <v>400000</v>
      </c>
      <c r="AR210" s="46"/>
    </row>
    <row r="211" ht="15.75" customHeight="1">
      <c r="A211" s="29">
        <v>50302.0</v>
      </c>
      <c r="B211" s="30" t="s">
        <v>215</v>
      </c>
      <c r="C211" s="31">
        <v>9999.0</v>
      </c>
      <c r="D211" s="32">
        <v>0.21</v>
      </c>
      <c r="E211" s="33">
        <v>0.0</v>
      </c>
      <c r="F211" s="32">
        <v>0.0</v>
      </c>
      <c r="G211" s="49">
        <v>9999.0</v>
      </c>
      <c r="H211" s="35">
        <v>0.1</v>
      </c>
      <c r="I211" s="36">
        <v>10000.0</v>
      </c>
      <c r="J211" s="37">
        <v>0.14</v>
      </c>
      <c r="K211" s="38">
        <v>0.0</v>
      </c>
      <c r="L211" s="39">
        <v>0.0</v>
      </c>
      <c r="M211" s="38">
        <v>10000.0</v>
      </c>
      <c r="N211" s="40">
        <v>0.1</v>
      </c>
      <c r="O211" s="36">
        <v>10000.0</v>
      </c>
      <c r="P211" s="37">
        <v>0.18</v>
      </c>
      <c r="Q211" s="38">
        <v>0.0</v>
      </c>
      <c r="R211" s="32">
        <v>0.0</v>
      </c>
      <c r="S211" s="38">
        <v>10000.0</v>
      </c>
      <c r="T211" s="35">
        <v>0.11</v>
      </c>
      <c r="U211" s="47">
        <v>7000.0</v>
      </c>
      <c r="V211" s="42">
        <v>0.09</v>
      </c>
      <c r="W211" s="43">
        <v>0.0</v>
      </c>
      <c r="X211" s="42">
        <v>0.0</v>
      </c>
      <c r="Y211" s="44">
        <v>7000.0</v>
      </c>
      <c r="Z211" s="42">
        <v>0.08</v>
      </c>
      <c r="AA211" s="45">
        <v>7000.0</v>
      </c>
      <c r="AB211" s="46"/>
      <c r="AC211" s="45">
        <v>0.0</v>
      </c>
      <c r="AD211" s="46"/>
      <c r="AE211" s="45">
        <f t="shared" si="1"/>
        <v>7000</v>
      </c>
      <c r="AF211" s="46"/>
      <c r="AG211" s="45">
        <v>9000.0</v>
      </c>
      <c r="AH211" s="46"/>
      <c r="AI211" s="45">
        <v>0.0</v>
      </c>
      <c r="AJ211" s="46"/>
      <c r="AK211" s="45">
        <f t="shared" si="2"/>
        <v>9000</v>
      </c>
      <c r="AL211" s="46"/>
      <c r="AM211" s="45">
        <v>9000.0</v>
      </c>
      <c r="AN211" s="46"/>
      <c r="AO211" s="45">
        <v>0.0</v>
      </c>
      <c r="AP211" s="46"/>
      <c r="AQ211" s="45">
        <f t="shared" si="3"/>
        <v>9000</v>
      </c>
      <c r="AR211" s="46"/>
    </row>
    <row r="212" ht="15.75" customHeight="1">
      <c r="A212" s="29">
        <v>50303.0</v>
      </c>
      <c r="B212" s="30" t="s">
        <v>216</v>
      </c>
      <c r="C212" s="31">
        <v>10000.0</v>
      </c>
      <c r="D212" s="32">
        <v>0.14</v>
      </c>
      <c r="E212" s="33">
        <v>0.0</v>
      </c>
      <c r="F212" s="32">
        <v>0.0</v>
      </c>
      <c r="G212" s="49">
        <v>10000.0</v>
      </c>
      <c r="H212" s="35">
        <v>0.1</v>
      </c>
      <c r="I212" s="36">
        <v>30000.0</v>
      </c>
      <c r="J212" s="37">
        <v>0.34</v>
      </c>
      <c r="K212" s="38">
        <v>0.0</v>
      </c>
      <c r="L212" s="39">
        <v>0.0</v>
      </c>
      <c r="M212" s="38">
        <v>30000.0</v>
      </c>
      <c r="N212" s="40">
        <v>0.33</v>
      </c>
      <c r="O212" s="36">
        <v>50000.0</v>
      </c>
      <c r="P212" s="37">
        <v>0.74</v>
      </c>
      <c r="Q212" s="38">
        <v>0.0</v>
      </c>
      <c r="R212" s="32">
        <v>0.0</v>
      </c>
      <c r="S212" s="38">
        <v>50000.0</v>
      </c>
      <c r="T212" s="35">
        <v>0.32</v>
      </c>
      <c r="U212" s="47">
        <v>80000.0</v>
      </c>
      <c r="V212" s="42">
        <v>1.0</v>
      </c>
      <c r="W212" s="43">
        <v>0.0</v>
      </c>
      <c r="X212" s="42">
        <v>0.0</v>
      </c>
      <c r="Y212" s="44">
        <v>80000.0</v>
      </c>
      <c r="Z212" s="42">
        <v>0.97</v>
      </c>
      <c r="AA212" s="45">
        <v>80000.0</v>
      </c>
      <c r="AB212" s="46"/>
      <c r="AC212" s="45">
        <v>0.0</v>
      </c>
      <c r="AD212" s="46"/>
      <c r="AE212" s="45">
        <f t="shared" si="1"/>
        <v>80000</v>
      </c>
      <c r="AF212" s="46"/>
      <c r="AG212" s="45">
        <v>62200.0</v>
      </c>
      <c r="AH212" s="46"/>
      <c r="AI212" s="45">
        <v>0.0</v>
      </c>
      <c r="AJ212" s="46"/>
      <c r="AK212" s="45">
        <f t="shared" si="2"/>
        <v>62200</v>
      </c>
      <c r="AL212" s="46"/>
      <c r="AM212" s="45">
        <v>47200.0</v>
      </c>
      <c r="AN212" s="46"/>
      <c r="AO212" s="45">
        <v>0.0</v>
      </c>
      <c r="AP212" s="46"/>
      <c r="AQ212" s="45">
        <f t="shared" si="3"/>
        <v>47200</v>
      </c>
      <c r="AR212" s="46"/>
    </row>
    <row r="213" ht="15.75" customHeight="1">
      <c r="A213" s="29">
        <v>50401.0</v>
      </c>
      <c r="B213" s="30" t="s">
        <v>217</v>
      </c>
      <c r="C213" s="48">
        <v>0.0</v>
      </c>
      <c r="D213" s="32">
        <v>0.0</v>
      </c>
      <c r="E213" s="33">
        <v>0.0</v>
      </c>
      <c r="F213" s="32">
        <v>0.0</v>
      </c>
      <c r="G213" s="34">
        <v>0.0</v>
      </c>
      <c r="H213" s="35">
        <v>0.0</v>
      </c>
      <c r="I213" s="36">
        <v>80000.0</v>
      </c>
      <c r="J213" s="37">
        <v>0.41</v>
      </c>
      <c r="K213" s="38">
        <v>0.0</v>
      </c>
      <c r="L213" s="39">
        <v>0.0</v>
      </c>
      <c r="M213" s="38">
        <v>80000.0</v>
      </c>
      <c r="N213" s="40">
        <v>0.3</v>
      </c>
      <c r="O213" s="36">
        <v>110000.0</v>
      </c>
      <c r="P213" s="37">
        <v>0.54</v>
      </c>
      <c r="Q213" s="38">
        <v>0.0</v>
      </c>
      <c r="R213" s="32">
        <v>0.0</v>
      </c>
      <c r="S213" s="38">
        <v>110000.0</v>
      </c>
      <c r="T213" s="35">
        <v>0.34</v>
      </c>
      <c r="U213" s="41">
        <v>0.0</v>
      </c>
      <c r="V213" s="42">
        <v>0.0</v>
      </c>
      <c r="W213" s="43">
        <v>0.0</v>
      </c>
      <c r="X213" s="42">
        <v>0.0</v>
      </c>
      <c r="Y213" s="44">
        <v>0.0</v>
      </c>
      <c r="Z213" s="42">
        <v>0.0</v>
      </c>
      <c r="AA213" s="45">
        <v>120400.0</v>
      </c>
      <c r="AB213" s="46"/>
      <c r="AC213" s="45">
        <v>0.0</v>
      </c>
      <c r="AD213" s="46"/>
      <c r="AE213" s="45">
        <f t="shared" si="1"/>
        <v>120400</v>
      </c>
      <c r="AF213" s="46"/>
      <c r="AG213" s="45">
        <v>145400.0</v>
      </c>
      <c r="AH213" s="46"/>
      <c r="AI213" s="45">
        <v>0.0</v>
      </c>
      <c r="AJ213" s="46"/>
      <c r="AK213" s="45">
        <f t="shared" si="2"/>
        <v>145400</v>
      </c>
      <c r="AL213" s="46"/>
      <c r="AM213" s="45">
        <v>110000.0</v>
      </c>
      <c r="AN213" s="46"/>
      <c r="AO213" s="45">
        <v>0.0</v>
      </c>
      <c r="AP213" s="46"/>
      <c r="AQ213" s="45">
        <f t="shared" si="3"/>
        <v>110000</v>
      </c>
      <c r="AR213" s="46"/>
    </row>
    <row r="214" ht="15.75" customHeight="1">
      <c r="A214" s="29">
        <v>50402.0</v>
      </c>
      <c r="B214" s="30" t="s">
        <v>218</v>
      </c>
      <c r="C214" s="48">
        <v>0.0</v>
      </c>
      <c r="D214" s="32">
        <v>0.0</v>
      </c>
      <c r="E214" s="33">
        <v>0.0</v>
      </c>
      <c r="F214" s="32">
        <v>0.0</v>
      </c>
      <c r="G214" s="34">
        <v>0.0</v>
      </c>
      <c r="H214" s="35">
        <v>0.0</v>
      </c>
      <c r="I214" s="48">
        <v>0.0</v>
      </c>
      <c r="J214" s="32">
        <v>0.0</v>
      </c>
      <c r="K214" s="38">
        <v>0.0</v>
      </c>
      <c r="L214" s="39">
        <v>0.0</v>
      </c>
      <c r="M214" s="34">
        <v>0.0</v>
      </c>
      <c r="N214" s="35">
        <v>0.0</v>
      </c>
      <c r="O214" s="48">
        <v>0.0</v>
      </c>
      <c r="P214" s="32">
        <v>0.0</v>
      </c>
      <c r="Q214" s="38">
        <v>0.0</v>
      </c>
      <c r="R214" s="32">
        <v>0.0</v>
      </c>
      <c r="S214" s="34">
        <v>0.0</v>
      </c>
      <c r="T214" s="35">
        <v>0.0</v>
      </c>
      <c r="U214" s="47">
        <v>50000.0</v>
      </c>
      <c r="V214" s="42">
        <v>0.28</v>
      </c>
      <c r="W214" s="43">
        <v>0.0</v>
      </c>
      <c r="X214" s="42">
        <v>0.0</v>
      </c>
      <c r="Y214" s="44">
        <v>50000.0</v>
      </c>
      <c r="Z214" s="42">
        <v>0.24</v>
      </c>
      <c r="AA214" s="45">
        <v>50000.0</v>
      </c>
      <c r="AB214" s="46"/>
      <c r="AC214" s="45">
        <v>0.0</v>
      </c>
      <c r="AD214" s="46"/>
      <c r="AE214" s="45">
        <f t="shared" si="1"/>
        <v>50000</v>
      </c>
      <c r="AF214" s="46"/>
      <c r="AG214" s="45">
        <v>50000.0</v>
      </c>
      <c r="AH214" s="46"/>
      <c r="AI214" s="45">
        <v>0.0</v>
      </c>
      <c r="AJ214" s="46"/>
      <c r="AK214" s="45">
        <f t="shared" si="2"/>
        <v>50000</v>
      </c>
      <c r="AL214" s="46"/>
      <c r="AM214" s="45">
        <v>50000.0</v>
      </c>
      <c r="AN214" s="46"/>
      <c r="AO214" s="45">
        <v>0.0</v>
      </c>
      <c r="AP214" s="46"/>
      <c r="AQ214" s="45">
        <f t="shared" si="3"/>
        <v>50000</v>
      </c>
      <c r="AR214" s="46"/>
    </row>
    <row r="215" ht="15.75" customHeight="1">
      <c r="A215" s="29">
        <v>50403.0</v>
      </c>
      <c r="B215" s="30" t="s">
        <v>219</v>
      </c>
      <c r="C215" s="48">
        <v>0.0</v>
      </c>
      <c r="D215" s="32">
        <v>0.0</v>
      </c>
      <c r="E215" s="33">
        <v>0.0</v>
      </c>
      <c r="F215" s="32">
        <v>0.0</v>
      </c>
      <c r="G215" s="34">
        <v>0.0</v>
      </c>
      <c r="H215" s="35">
        <v>0.0</v>
      </c>
      <c r="I215" s="48">
        <v>0.0</v>
      </c>
      <c r="J215" s="32">
        <v>0.0</v>
      </c>
      <c r="K215" s="38">
        <v>0.0</v>
      </c>
      <c r="L215" s="39">
        <v>0.0</v>
      </c>
      <c r="M215" s="34">
        <v>0.0</v>
      </c>
      <c r="N215" s="35">
        <v>0.0</v>
      </c>
      <c r="O215" s="48">
        <v>0.0</v>
      </c>
      <c r="P215" s="32">
        <v>0.0</v>
      </c>
      <c r="Q215" s="38">
        <v>0.0</v>
      </c>
      <c r="R215" s="32">
        <v>0.0</v>
      </c>
      <c r="S215" s="34">
        <v>0.0</v>
      </c>
      <c r="T215" s="35">
        <v>0.0</v>
      </c>
      <c r="U215" s="47">
        <v>50000.0</v>
      </c>
      <c r="V215" s="42">
        <v>0.3</v>
      </c>
      <c r="W215" s="43">
        <v>0.0</v>
      </c>
      <c r="X215" s="42">
        <v>0.0</v>
      </c>
      <c r="Y215" s="44">
        <v>50000.0</v>
      </c>
      <c r="Z215" s="42">
        <v>0.29</v>
      </c>
      <c r="AA215" s="45">
        <v>50000.0</v>
      </c>
      <c r="AB215" s="46"/>
      <c r="AC215" s="45">
        <v>0.0</v>
      </c>
      <c r="AD215" s="46"/>
      <c r="AE215" s="45">
        <f t="shared" si="1"/>
        <v>50000</v>
      </c>
      <c r="AF215" s="46"/>
      <c r="AG215" s="45">
        <v>100000.0</v>
      </c>
      <c r="AH215" s="46"/>
      <c r="AI215" s="45">
        <v>0.0</v>
      </c>
      <c r="AJ215" s="46"/>
      <c r="AK215" s="45">
        <f t="shared" si="2"/>
        <v>100000</v>
      </c>
      <c r="AL215" s="46"/>
      <c r="AM215" s="45">
        <v>100000.0</v>
      </c>
      <c r="AN215" s="46"/>
      <c r="AO215" s="45">
        <v>0.0</v>
      </c>
      <c r="AP215" s="46"/>
      <c r="AQ215" s="45">
        <f t="shared" si="3"/>
        <v>100000</v>
      </c>
      <c r="AR215" s="46"/>
    </row>
    <row r="216" ht="15.75" customHeight="1">
      <c r="A216" s="29">
        <v>50404.0</v>
      </c>
      <c r="B216" s="30" t="s">
        <v>220</v>
      </c>
      <c r="C216" s="48">
        <v>0.0</v>
      </c>
      <c r="D216" s="32">
        <v>0.0</v>
      </c>
      <c r="E216" s="33">
        <v>0.0</v>
      </c>
      <c r="F216" s="32">
        <v>0.0</v>
      </c>
      <c r="G216" s="34">
        <v>0.0</v>
      </c>
      <c r="H216" s="35">
        <v>0.0</v>
      </c>
      <c r="I216" s="36">
        <v>20000.0</v>
      </c>
      <c r="J216" s="37">
        <v>0.17</v>
      </c>
      <c r="K216" s="38">
        <v>0.0</v>
      </c>
      <c r="L216" s="39">
        <v>0.0</v>
      </c>
      <c r="M216" s="38">
        <v>20000.0</v>
      </c>
      <c r="N216" s="40">
        <v>0.11</v>
      </c>
      <c r="O216" s="36">
        <v>20000.0</v>
      </c>
      <c r="P216" s="37">
        <v>0.18</v>
      </c>
      <c r="Q216" s="38">
        <v>0.0</v>
      </c>
      <c r="R216" s="32">
        <v>0.0</v>
      </c>
      <c r="S216" s="38">
        <v>20000.0</v>
      </c>
      <c r="T216" s="35">
        <v>0.13</v>
      </c>
      <c r="U216" s="47">
        <v>62000.0</v>
      </c>
      <c r="V216" s="42">
        <v>0.48</v>
      </c>
      <c r="W216" s="43">
        <v>0.0</v>
      </c>
      <c r="X216" s="42">
        <v>0.0</v>
      </c>
      <c r="Y216" s="44">
        <v>62000.0</v>
      </c>
      <c r="Z216" s="42">
        <v>0.42</v>
      </c>
      <c r="AA216" s="45">
        <v>101667.0</v>
      </c>
      <c r="AB216" s="46"/>
      <c r="AC216" s="45">
        <v>0.0</v>
      </c>
      <c r="AD216" s="46"/>
      <c r="AE216" s="45">
        <f t="shared" si="1"/>
        <v>101667</v>
      </c>
      <c r="AF216" s="46"/>
      <c r="AG216" s="45">
        <v>101667.0</v>
      </c>
      <c r="AH216" s="46"/>
      <c r="AI216" s="45">
        <v>0.0</v>
      </c>
      <c r="AJ216" s="46"/>
      <c r="AK216" s="45">
        <f t="shared" si="2"/>
        <v>101667</v>
      </c>
      <c r="AL216" s="46"/>
      <c r="AM216" s="45">
        <v>101667.0</v>
      </c>
      <c r="AN216" s="46"/>
      <c r="AO216" s="45">
        <v>0.0</v>
      </c>
      <c r="AP216" s="46"/>
      <c r="AQ216" s="45">
        <f t="shared" si="3"/>
        <v>101667</v>
      </c>
      <c r="AR216" s="46"/>
    </row>
    <row r="217" ht="15.75" customHeight="1">
      <c r="A217" s="51">
        <v>50405.0</v>
      </c>
      <c r="B217" s="52" t="s">
        <v>221</v>
      </c>
      <c r="C217" s="48"/>
      <c r="D217" s="32">
        <v>0.0</v>
      </c>
      <c r="E217" s="33">
        <v>0.0</v>
      </c>
      <c r="F217" s="32">
        <v>0.0</v>
      </c>
      <c r="G217" s="34">
        <v>0.0</v>
      </c>
      <c r="H217" s="35">
        <v>0.0</v>
      </c>
      <c r="I217" s="36">
        <v>80000.0</v>
      </c>
      <c r="J217" s="37">
        <v>0.41</v>
      </c>
      <c r="K217" s="38">
        <v>0.0</v>
      </c>
      <c r="L217" s="39">
        <v>0.0</v>
      </c>
      <c r="M217" s="38">
        <v>80000.0</v>
      </c>
      <c r="N217" s="40">
        <v>0.3</v>
      </c>
      <c r="O217" s="36">
        <v>110000.0</v>
      </c>
      <c r="P217" s="37">
        <v>0.54</v>
      </c>
      <c r="Q217" s="38">
        <v>0.0</v>
      </c>
      <c r="R217" s="32">
        <v>0.0</v>
      </c>
      <c r="S217" s="38">
        <v>110000.0</v>
      </c>
      <c r="T217" s="35">
        <v>0.34</v>
      </c>
      <c r="U217" s="41">
        <v>0.0</v>
      </c>
      <c r="V217" s="42">
        <v>0.0</v>
      </c>
      <c r="W217" s="43">
        <v>0.0</v>
      </c>
      <c r="X217" s="42">
        <v>0.0</v>
      </c>
      <c r="Y217" s="44">
        <v>0.0</v>
      </c>
      <c r="Z217" s="42">
        <v>0.0</v>
      </c>
      <c r="AA217" s="45"/>
      <c r="AB217" s="46"/>
      <c r="AC217" s="45">
        <v>0.0</v>
      </c>
      <c r="AD217" s="46"/>
      <c r="AE217" s="45">
        <f t="shared" si="1"/>
        <v>0</v>
      </c>
      <c r="AF217" s="46"/>
      <c r="AG217" s="45">
        <v>16136.0</v>
      </c>
      <c r="AH217" s="46"/>
      <c r="AI217" s="45">
        <v>0.0</v>
      </c>
      <c r="AJ217" s="46"/>
      <c r="AK217" s="45">
        <f t="shared" si="2"/>
        <v>16136</v>
      </c>
      <c r="AL217" s="46"/>
      <c r="AM217" s="45">
        <v>29000.0</v>
      </c>
      <c r="AN217" s="46"/>
      <c r="AO217" s="45">
        <v>0.0</v>
      </c>
      <c r="AP217" s="46"/>
      <c r="AQ217" s="45">
        <f t="shared" si="3"/>
        <v>29000</v>
      </c>
      <c r="AR217" s="46"/>
    </row>
    <row r="218" ht="15.75" customHeight="1">
      <c r="A218" s="29">
        <v>50501.0</v>
      </c>
      <c r="B218" s="30" t="s">
        <v>222</v>
      </c>
      <c r="C218" s="31">
        <v>150000.0</v>
      </c>
      <c r="D218" s="32">
        <v>0.82</v>
      </c>
      <c r="E218" s="33">
        <v>0.0</v>
      </c>
      <c r="F218" s="32">
        <v>0.0</v>
      </c>
      <c r="G218" s="34">
        <v>150000.0</v>
      </c>
      <c r="H218" s="35">
        <v>0.78</v>
      </c>
      <c r="I218" s="36">
        <v>150000.0</v>
      </c>
      <c r="J218" s="37">
        <v>0.8</v>
      </c>
      <c r="K218" s="38">
        <v>0.0</v>
      </c>
      <c r="L218" s="39">
        <v>0.0</v>
      </c>
      <c r="M218" s="38">
        <v>150000.0</v>
      </c>
      <c r="N218" s="40">
        <v>0.61</v>
      </c>
      <c r="O218" s="36">
        <v>160000.0</v>
      </c>
      <c r="P218" s="37">
        <v>0.56</v>
      </c>
      <c r="Q218" s="38">
        <v>0.0</v>
      </c>
      <c r="R218" s="32">
        <v>0.0</v>
      </c>
      <c r="S218" s="38">
        <v>160000.0</v>
      </c>
      <c r="T218" s="35">
        <v>0.39</v>
      </c>
      <c r="U218" s="47">
        <v>80000.0</v>
      </c>
      <c r="V218" s="42">
        <v>0.33</v>
      </c>
      <c r="W218" s="43">
        <v>0.0</v>
      </c>
      <c r="X218" s="42">
        <v>0.0</v>
      </c>
      <c r="Y218" s="44">
        <v>80000.0</v>
      </c>
      <c r="Z218" s="42">
        <v>0.32</v>
      </c>
      <c r="AA218" s="45">
        <v>83435.0</v>
      </c>
      <c r="AB218" s="46"/>
      <c r="AC218" s="45">
        <v>0.0</v>
      </c>
      <c r="AD218" s="46"/>
      <c r="AE218" s="45">
        <f t="shared" si="1"/>
        <v>83435</v>
      </c>
      <c r="AF218" s="46"/>
      <c r="AG218" s="45">
        <v>80000.0</v>
      </c>
      <c r="AH218" s="46"/>
      <c r="AI218" s="45">
        <v>0.0</v>
      </c>
      <c r="AJ218" s="46"/>
      <c r="AK218" s="45">
        <f t="shared" si="2"/>
        <v>80000</v>
      </c>
      <c r="AL218" s="46"/>
      <c r="AM218" s="45">
        <v>50000.0</v>
      </c>
      <c r="AN218" s="46"/>
      <c r="AO218" s="45">
        <v>0.0</v>
      </c>
      <c r="AP218" s="46"/>
      <c r="AQ218" s="45">
        <f t="shared" si="3"/>
        <v>50000</v>
      </c>
      <c r="AR218" s="46"/>
    </row>
    <row r="219" ht="15.75" customHeight="1">
      <c r="A219" s="29">
        <v>50502.0</v>
      </c>
      <c r="B219" s="30" t="s">
        <v>223</v>
      </c>
      <c r="C219" s="31">
        <v>25000.0</v>
      </c>
      <c r="D219" s="32">
        <v>0.34</v>
      </c>
      <c r="E219" s="33">
        <v>0.0</v>
      </c>
      <c r="F219" s="32">
        <v>0.0</v>
      </c>
      <c r="G219" s="34">
        <v>25000.0</v>
      </c>
      <c r="H219" s="35">
        <v>0.28</v>
      </c>
      <c r="I219" s="36">
        <v>51000.0</v>
      </c>
      <c r="J219" s="37">
        <v>0.74</v>
      </c>
      <c r="K219" s="38">
        <v>0.0</v>
      </c>
      <c r="L219" s="39">
        <v>0.0</v>
      </c>
      <c r="M219" s="38">
        <v>51000.0</v>
      </c>
      <c r="N219" s="40">
        <v>0.44</v>
      </c>
      <c r="O219" s="36">
        <v>56000.0</v>
      </c>
      <c r="P219" s="37">
        <v>0.83</v>
      </c>
      <c r="Q219" s="38">
        <v>0.0</v>
      </c>
      <c r="R219" s="32">
        <v>0.0</v>
      </c>
      <c r="S219" s="38">
        <v>56000.0</v>
      </c>
      <c r="T219" s="35">
        <v>0.44</v>
      </c>
      <c r="U219" s="47">
        <v>110000.0</v>
      </c>
      <c r="V219" s="42">
        <v>1.14</v>
      </c>
      <c r="W219" s="43">
        <v>0.0</v>
      </c>
      <c r="X219" s="42">
        <v>0.0</v>
      </c>
      <c r="Y219" s="44">
        <v>110000.0</v>
      </c>
      <c r="Z219" s="42">
        <v>0.7</v>
      </c>
      <c r="AA219" s="45">
        <v>92000.0</v>
      </c>
      <c r="AB219" s="46"/>
      <c r="AC219" s="45">
        <v>0.0</v>
      </c>
      <c r="AD219" s="46"/>
      <c r="AE219" s="45">
        <f t="shared" si="1"/>
        <v>92000</v>
      </c>
      <c r="AF219" s="46"/>
      <c r="AG219" s="45">
        <v>115000.0</v>
      </c>
      <c r="AH219" s="46"/>
      <c r="AI219" s="45">
        <v>0.0</v>
      </c>
      <c r="AJ219" s="46"/>
      <c r="AK219" s="45">
        <f t="shared" si="2"/>
        <v>115000</v>
      </c>
      <c r="AL219" s="46"/>
      <c r="AM219" s="45">
        <v>110000.0</v>
      </c>
      <c r="AN219" s="46"/>
      <c r="AO219" s="45">
        <v>0.0</v>
      </c>
      <c r="AP219" s="46"/>
      <c r="AQ219" s="45">
        <f t="shared" si="3"/>
        <v>110000</v>
      </c>
      <c r="AR219" s="46"/>
    </row>
    <row r="220" ht="15.75" customHeight="1">
      <c r="A220" s="29">
        <v>50601.0</v>
      </c>
      <c r="B220" s="30" t="s">
        <v>224</v>
      </c>
      <c r="C220" s="48">
        <v>0.0</v>
      </c>
      <c r="D220" s="32">
        <v>0.0</v>
      </c>
      <c r="E220" s="33">
        <v>0.0</v>
      </c>
      <c r="F220" s="32">
        <v>0.0</v>
      </c>
      <c r="G220" s="34">
        <v>0.0</v>
      </c>
      <c r="H220" s="35">
        <v>0.0</v>
      </c>
      <c r="I220" s="48">
        <v>0.0</v>
      </c>
      <c r="J220" s="32">
        <v>0.0</v>
      </c>
      <c r="K220" s="38">
        <v>0.0</v>
      </c>
      <c r="L220" s="39">
        <v>0.0</v>
      </c>
      <c r="M220" s="34">
        <v>0.0</v>
      </c>
      <c r="N220" s="35">
        <v>0.0</v>
      </c>
      <c r="O220" s="48">
        <v>0.0</v>
      </c>
      <c r="P220" s="32">
        <v>0.0</v>
      </c>
      <c r="Q220" s="38">
        <v>0.0</v>
      </c>
      <c r="R220" s="32">
        <v>0.0</v>
      </c>
      <c r="S220" s="34">
        <v>0.0</v>
      </c>
      <c r="T220" s="35">
        <v>0.0</v>
      </c>
      <c r="U220" s="41">
        <v>0.0</v>
      </c>
      <c r="V220" s="42">
        <v>0.0</v>
      </c>
      <c r="W220" s="43">
        <v>0.0</v>
      </c>
      <c r="X220" s="42">
        <v>0.0</v>
      </c>
      <c r="Y220" s="44">
        <v>0.0</v>
      </c>
      <c r="Z220" s="42">
        <v>0.0</v>
      </c>
      <c r="AA220" s="45"/>
      <c r="AB220" s="46"/>
      <c r="AC220" s="45">
        <v>0.0</v>
      </c>
      <c r="AD220" s="46"/>
      <c r="AE220" s="45">
        <f t="shared" si="1"/>
        <v>0</v>
      </c>
      <c r="AF220" s="46"/>
      <c r="AG220" s="45"/>
      <c r="AH220" s="46"/>
      <c r="AI220" s="45">
        <v>0.0</v>
      </c>
      <c r="AJ220" s="46"/>
      <c r="AK220" s="45">
        <f t="shared" si="2"/>
        <v>0</v>
      </c>
      <c r="AL220" s="46"/>
      <c r="AM220" s="45"/>
      <c r="AN220" s="46"/>
      <c r="AO220" s="45">
        <v>0.0</v>
      </c>
      <c r="AP220" s="46"/>
      <c r="AQ220" s="45">
        <f t="shared" si="3"/>
        <v>0</v>
      </c>
      <c r="AR220" s="46"/>
    </row>
    <row r="221" ht="15.75" customHeight="1">
      <c r="A221" s="29">
        <v>50602.0</v>
      </c>
      <c r="B221" s="30" t="s">
        <v>225</v>
      </c>
      <c r="C221" s="48">
        <v>0.0</v>
      </c>
      <c r="D221" s="32">
        <v>0.0</v>
      </c>
      <c r="E221" s="33">
        <v>0.0</v>
      </c>
      <c r="F221" s="32">
        <v>0.0</v>
      </c>
      <c r="G221" s="34">
        <v>0.0</v>
      </c>
      <c r="H221" s="35">
        <v>0.0</v>
      </c>
      <c r="I221" s="48">
        <v>0.0</v>
      </c>
      <c r="J221" s="32">
        <v>0.0</v>
      </c>
      <c r="K221" s="38">
        <v>0.0</v>
      </c>
      <c r="L221" s="39">
        <v>0.0</v>
      </c>
      <c r="M221" s="34">
        <v>0.0</v>
      </c>
      <c r="N221" s="35">
        <v>0.0</v>
      </c>
      <c r="O221" s="48">
        <v>0.0</v>
      </c>
      <c r="P221" s="32">
        <v>0.0</v>
      </c>
      <c r="Q221" s="38">
        <v>0.0</v>
      </c>
      <c r="R221" s="32">
        <v>0.0</v>
      </c>
      <c r="S221" s="34">
        <v>0.0</v>
      </c>
      <c r="T221" s="35">
        <v>0.0</v>
      </c>
      <c r="U221" s="41">
        <v>0.0</v>
      </c>
      <c r="V221" s="42">
        <v>0.0</v>
      </c>
      <c r="W221" s="43">
        <v>0.0</v>
      </c>
      <c r="X221" s="42">
        <v>0.0</v>
      </c>
      <c r="Y221" s="44">
        <v>0.0</v>
      </c>
      <c r="Z221" s="42">
        <v>0.0</v>
      </c>
      <c r="AA221" s="45">
        <v>0.0</v>
      </c>
      <c r="AB221" s="46"/>
      <c r="AC221" s="45">
        <v>0.0</v>
      </c>
      <c r="AD221" s="46"/>
      <c r="AE221" s="45">
        <f t="shared" si="1"/>
        <v>0</v>
      </c>
      <c r="AF221" s="46"/>
      <c r="AG221" s="45">
        <v>40000.0</v>
      </c>
      <c r="AH221" s="46"/>
      <c r="AI221" s="45">
        <v>0.0</v>
      </c>
      <c r="AJ221" s="46"/>
      <c r="AK221" s="45">
        <f t="shared" si="2"/>
        <v>40000</v>
      </c>
      <c r="AL221" s="46"/>
      <c r="AM221" s="45">
        <v>42000.0</v>
      </c>
      <c r="AN221" s="46"/>
      <c r="AO221" s="45">
        <v>0.0</v>
      </c>
      <c r="AP221" s="46"/>
      <c r="AQ221" s="45">
        <f t="shared" si="3"/>
        <v>42000</v>
      </c>
      <c r="AR221" s="46"/>
    </row>
    <row r="222" ht="15.75" customHeight="1">
      <c r="A222" s="29">
        <v>50701.0</v>
      </c>
      <c r="B222" s="30" t="s">
        <v>226</v>
      </c>
      <c r="C222" s="31">
        <v>18593.0</v>
      </c>
      <c r="D222" s="32">
        <v>0.21</v>
      </c>
      <c r="E222" s="33">
        <v>0.0</v>
      </c>
      <c r="F222" s="32">
        <v>0.0</v>
      </c>
      <c r="G222" s="34">
        <v>18593.0</v>
      </c>
      <c r="H222" s="35">
        <v>0.12</v>
      </c>
      <c r="I222" s="48">
        <v>0.0</v>
      </c>
      <c r="J222" s="32">
        <v>0.0</v>
      </c>
      <c r="K222" s="38">
        <v>0.0</v>
      </c>
      <c r="L222" s="39">
        <v>0.0</v>
      </c>
      <c r="M222" s="34">
        <v>0.0</v>
      </c>
      <c r="N222" s="35">
        <v>0.0</v>
      </c>
      <c r="O222" s="36">
        <v>43800.0</v>
      </c>
      <c r="P222" s="37">
        <v>0.3</v>
      </c>
      <c r="Q222" s="38">
        <v>0.0</v>
      </c>
      <c r="R222" s="32">
        <v>0.0</v>
      </c>
      <c r="S222" s="38">
        <v>43800.0</v>
      </c>
      <c r="T222" s="35">
        <v>0.23</v>
      </c>
      <c r="U222" s="47">
        <v>44000.0</v>
      </c>
      <c r="V222" s="42">
        <v>0.3</v>
      </c>
      <c r="W222" s="43">
        <v>0.0</v>
      </c>
      <c r="X222" s="42">
        <v>0.0</v>
      </c>
      <c r="Y222" s="44">
        <v>44000.0</v>
      </c>
      <c r="Z222" s="42">
        <v>0.25</v>
      </c>
      <c r="AA222" s="45">
        <v>44000.0</v>
      </c>
      <c r="AB222" s="46"/>
      <c r="AC222" s="45">
        <v>0.0</v>
      </c>
      <c r="AD222" s="46"/>
      <c r="AE222" s="45">
        <f t="shared" si="1"/>
        <v>44000</v>
      </c>
      <c r="AF222" s="46"/>
      <c r="AG222" s="45">
        <v>44000.0</v>
      </c>
      <c r="AH222" s="46"/>
      <c r="AI222" s="45">
        <v>0.0</v>
      </c>
      <c r="AJ222" s="46"/>
      <c r="AK222" s="45">
        <f t="shared" si="2"/>
        <v>44000</v>
      </c>
      <c r="AL222" s="46"/>
      <c r="AM222" s="45">
        <v>52000.0</v>
      </c>
      <c r="AN222" s="46"/>
      <c r="AO222" s="45">
        <v>0.0</v>
      </c>
      <c r="AP222" s="46"/>
      <c r="AQ222" s="45">
        <f t="shared" si="3"/>
        <v>52000</v>
      </c>
      <c r="AR222" s="46"/>
    </row>
    <row r="223" ht="15.75" customHeight="1">
      <c r="A223" s="29">
        <v>50702.0</v>
      </c>
      <c r="B223" s="30" t="s">
        <v>227</v>
      </c>
      <c r="C223" s="31">
        <v>20017.0</v>
      </c>
      <c r="D223" s="32">
        <v>0.23</v>
      </c>
      <c r="E223" s="33">
        <v>0.0</v>
      </c>
      <c r="F223" s="32">
        <v>0.0</v>
      </c>
      <c r="G223" s="34">
        <v>20017.0</v>
      </c>
      <c r="H223" s="35">
        <v>0.15</v>
      </c>
      <c r="I223" s="36">
        <v>16793.0</v>
      </c>
      <c r="J223" s="37">
        <v>0.24</v>
      </c>
      <c r="K223" s="38">
        <v>0.0</v>
      </c>
      <c r="L223" s="39">
        <v>0.0</v>
      </c>
      <c r="M223" s="38">
        <v>16793.0</v>
      </c>
      <c r="N223" s="40">
        <v>0.16</v>
      </c>
      <c r="O223" s="36">
        <v>11894.0</v>
      </c>
      <c r="P223" s="37">
        <v>0.23</v>
      </c>
      <c r="Q223" s="38">
        <v>0.0</v>
      </c>
      <c r="R223" s="32">
        <v>0.0</v>
      </c>
      <c r="S223" s="38">
        <v>11894.0</v>
      </c>
      <c r="T223" s="35">
        <v>0.12</v>
      </c>
      <c r="U223" s="47">
        <v>22000.0</v>
      </c>
      <c r="V223" s="42">
        <v>0.33</v>
      </c>
      <c r="W223" s="44">
        <v>50000.0</v>
      </c>
      <c r="X223" s="42">
        <v>9.17</v>
      </c>
      <c r="Y223" s="44">
        <v>72000.0</v>
      </c>
      <c r="Z223" s="42">
        <v>1.0</v>
      </c>
      <c r="AA223" s="45">
        <v>29550.0</v>
      </c>
      <c r="AB223" s="46"/>
      <c r="AC223" s="45">
        <v>0.0</v>
      </c>
      <c r="AD223" s="46"/>
      <c r="AE223" s="45">
        <f t="shared" si="1"/>
        <v>29550</v>
      </c>
      <c r="AF223" s="46"/>
      <c r="AG223" s="45">
        <v>29200.0</v>
      </c>
      <c r="AH223" s="46"/>
      <c r="AI223" s="45">
        <v>0.0</v>
      </c>
      <c r="AJ223" s="46"/>
      <c r="AK223" s="45">
        <f t="shared" si="2"/>
        <v>29200</v>
      </c>
      <c r="AL223" s="46"/>
      <c r="AM223" s="45">
        <v>29400.0</v>
      </c>
      <c r="AN223" s="46"/>
      <c r="AO223" s="45">
        <v>0.0</v>
      </c>
      <c r="AP223" s="46"/>
      <c r="AQ223" s="45">
        <f t="shared" si="3"/>
        <v>29400</v>
      </c>
      <c r="AR223" s="46"/>
    </row>
    <row r="224" ht="15.75" customHeight="1">
      <c r="A224" s="29">
        <v>50801.0</v>
      </c>
      <c r="B224" s="30" t="s">
        <v>228</v>
      </c>
      <c r="C224" s="31">
        <v>303000.0</v>
      </c>
      <c r="D224" s="32">
        <v>1.45</v>
      </c>
      <c r="E224" s="33">
        <v>0.0</v>
      </c>
      <c r="F224" s="32">
        <v>0.0</v>
      </c>
      <c r="G224" s="34">
        <v>303000.0</v>
      </c>
      <c r="H224" s="35">
        <v>0.86</v>
      </c>
      <c r="I224" s="36">
        <v>1136499.0</v>
      </c>
      <c r="J224" s="37">
        <v>3.56</v>
      </c>
      <c r="K224" s="38">
        <v>0.0</v>
      </c>
      <c r="L224" s="39">
        <v>0.0</v>
      </c>
      <c r="M224" s="38">
        <v>1136499.0</v>
      </c>
      <c r="N224" s="40">
        <v>2.46</v>
      </c>
      <c r="O224" s="36">
        <v>573000.0</v>
      </c>
      <c r="P224" s="37">
        <v>1.53</v>
      </c>
      <c r="Q224" s="38">
        <v>0.0</v>
      </c>
      <c r="R224" s="32">
        <v>0.0</v>
      </c>
      <c r="S224" s="38">
        <v>573000.0</v>
      </c>
      <c r="T224" s="35">
        <v>1.19</v>
      </c>
      <c r="U224" s="47">
        <v>1656300.0</v>
      </c>
      <c r="V224" s="42">
        <v>3.63</v>
      </c>
      <c r="W224" s="43">
        <v>0.0</v>
      </c>
      <c r="X224" s="42">
        <v>0.0</v>
      </c>
      <c r="Y224" s="44">
        <v>1656300.0</v>
      </c>
      <c r="Z224" s="42">
        <v>3.36</v>
      </c>
      <c r="AA224" s="45">
        <v>1656300.0</v>
      </c>
      <c r="AB224" s="46"/>
      <c r="AC224" s="45">
        <v>0.0</v>
      </c>
      <c r="AD224" s="46"/>
      <c r="AE224" s="45">
        <f t="shared" si="1"/>
        <v>1656300</v>
      </c>
      <c r="AF224" s="46"/>
      <c r="AG224" s="45">
        <v>1456300.0</v>
      </c>
      <c r="AH224" s="46"/>
      <c r="AI224" s="45">
        <v>0.0</v>
      </c>
      <c r="AJ224" s="46"/>
      <c r="AK224" s="45">
        <f t="shared" si="2"/>
        <v>1456300</v>
      </c>
      <c r="AL224" s="46"/>
      <c r="AM224" s="45">
        <v>3100010.0</v>
      </c>
      <c r="AN224" s="46"/>
      <c r="AO224" s="45">
        <v>0.0</v>
      </c>
      <c r="AP224" s="46"/>
      <c r="AQ224" s="45">
        <f t="shared" si="3"/>
        <v>3100010</v>
      </c>
      <c r="AR224" s="46"/>
    </row>
    <row r="225" ht="15.75" customHeight="1">
      <c r="A225" s="29">
        <v>50802.0</v>
      </c>
      <c r="B225" s="30" t="s">
        <v>229</v>
      </c>
      <c r="C225" s="31">
        <v>210209.0</v>
      </c>
      <c r="D225" s="32">
        <v>2.61</v>
      </c>
      <c r="E225" s="33">
        <v>0.0</v>
      </c>
      <c r="F225" s="32">
        <v>0.0</v>
      </c>
      <c r="G225" s="34">
        <v>210209.0</v>
      </c>
      <c r="H225" s="35">
        <v>1.16</v>
      </c>
      <c r="I225" s="36">
        <v>174860.0</v>
      </c>
      <c r="J225" s="37">
        <v>2.05</v>
      </c>
      <c r="K225" s="38">
        <v>0.0</v>
      </c>
      <c r="L225" s="39">
        <v>0.0</v>
      </c>
      <c r="M225" s="38">
        <v>174860.0</v>
      </c>
      <c r="N225" s="40">
        <v>0.61</v>
      </c>
      <c r="O225" s="36">
        <v>230000.0</v>
      </c>
      <c r="P225" s="37">
        <v>2.12</v>
      </c>
      <c r="Q225" s="38">
        <v>0.0</v>
      </c>
      <c r="R225" s="32">
        <v>0.0</v>
      </c>
      <c r="S225" s="38">
        <v>230000.0</v>
      </c>
      <c r="T225" s="35">
        <v>1.27</v>
      </c>
      <c r="U225" s="47">
        <v>250000.0</v>
      </c>
      <c r="V225" s="42">
        <v>2.27</v>
      </c>
      <c r="W225" s="43">
        <v>0.0</v>
      </c>
      <c r="X225" s="42">
        <v>0.0</v>
      </c>
      <c r="Y225" s="44">
        <v>250000.0</v>
      </c>
      <c r="Z225" s="42">
        <v>1.63</v>
      </c>
      <c r="AA225" s="45">
        <v>315935.0</v>
      </c>
      <c r="AB225" s="46"/>
      <c r="AC225" s="45">
        <v>0.0</v>
      </c>
      <c r="AD225" s="46"/>
      <c r="AE225" s="45">
        <f t="shared" si="1"/>
        <v>315935</v>
      </c>
      <c r="AF225" s="46"/>
      <c r="AG225" s="45">
        <v>452881.0</v>
      </c>
      <c r="AH225" s="46"/>
      <c r="AI225" s="45">
        <v>0.0</v>
      </c>
      <c r="AJ225" s="46"/>
      <c r="AK225" s="45">
        <f t="shared" si="2"/>
        <v>452881</v>
      </c>
      <c r="AL225" s="46"/>
      <c r="AM225" s="45">
        <v>352868.0</v>
      </c>
      <c r="AN225" s="46"/>
      <c r="AO225" s="45">
        <v>0.0</v>
      </c>
      <c r="AP225" s="46"/>
      <c r="AQ225" s="45">
        <f t="shared" si="3"/>
        <v>352868</v>
      </c>
      <c r="AR225" s="46"/>
    </row>
    <row r="226" ht="15.75" customHeight="1">
      <c r="A226" s="29">
        <v>50901.0</v>
      </c>
      <c r="B226" s="30" t="s">
        <v>230</v>
      </c>
      <c r="C226" s="31">
        <v>107000.0</v>
      </c>
      <c r="D226" s="32">
        <v>0.32</v>
      </c>
      <c r="E226" s="33">
        <v>0.0</v>
      </c>
      <c r="F226" s="32">
        <v>0.0</v>
      </c>
      <c r="G226" s="34">
        <v>107000.0</v>
      </c>
      <c r="H226" s="35">
        <v>0.13</v>
      </c>
      <c r="I226" s="36">
        <v>74000.0</v>
      </c>
      <c r="J226" s="37">
        <v>0.25</v>
      </c>
      <c r="K226" s="38">
        <v>0.0</v>
      </c>
      <c r="L226" s="39">
        <v>0.0</v>
      </c>
      <c r="M226" s="38">
        <v>74000.0</v>
      </c>
      <c r="N226" s="40">
        <v>0.2</v>
      </c>
      <c r="O226" s="36">
        <v>85000.0</v>
      </c>
      <c r="P226" s="37">
        <v>0.27</v>
      </c>
      <c r="Q226" s="38">
        <v>0.0</v>
      </c>
      <c r="R226" s="32">
        <v>0.0</v>
      </c>
      <c r="S226" s="38">
        <v>85000.0</v>
      </c>
      <c r="T226" s="35">
        <v>0.17</v>
      </c>
      <c r="U226" s="47">
        <v>160000.0</v>
      </c>
      <c r="V226" s="42">
        <v>0.46</v>
      </c>
      <c r="W226" s="43">
        <v>0.0</v>
      </c>
      <c r="X226" s="42">
        <v>0.0</v>
      </c>
      <c r="Y226" s="44">
        <v>160000.0</v>
      </c>
      <c r="Z226" s="42">
        <v>0.29</v>
      </c>
      <c r="AA226" s="45">
        <v>160000.0</v>
      </c>
      <c r="AB226" s="46"/>
      <c r="AC226" s="45">
        <v>1600000.0</v>
      </c>
      <c r="AD226" s="46"/>
      <c r="AE226" s="45">
        <f t="shared" si="1"/>
        <v>1760000</v>
      </c>
      <c r="AF226" s="46"/>
      <c r="AG226" s="45">
        <v>382676.0</v>
      </c>
      <c r="AH226" s="46"/>
      <c r="AI226" s="45">
        <v>2000000.0</v>
      </c>
      <c r="AJ226" s="46"/>
      <c r="AK226" s="45">
        <f t="shared" si="2"/>
        <v>2382676</v>
      </c>
      <c r="AL226" s="46"/>
      <c r="AM226" s="45">
        <v>382676.0</v>
      </c>
      <c r="AN226" s="46"/>
      <c r="AO226" s="45">
        <v>2840820.0</v>
      </c>
      <c r="AP226" s="46"/>
      <c r="AQ226" s="45">
        <f t="shared" si="3"/>
        <v>3223496</v>
      </c>
      <c r="AR226" s="46"/>
    </row>
    <row r="227" ht="15.75" customHeight="1">
      <c r="A227" s="29">
        <v>50902.0</v>
      </c>
      <c r="B227" s="30" t="s">
        <v>231</v>
      </c>
      <c r="C227" s="48">
        <v>0.0</v>
      </c>
      <c r="D227" s="32">
        <v>0.0</v>
      </c>
      <c r="E227" s="33">
        <v>0.0</v>
      </c>
      <c r="F227" s="32">
        <v>0.0</v>
      </c>
      <c r="G227" s="34">
        <v>0.0</v>
      </c>
      <c r="H227" s="35">
        <v>0.0</v>
      </c>
      <c r="I227" s="48">
        <v>0.0</v>
      </c>
      <c r="J227" s="32">
        <v>0.0</v>
      </c>
      <c r="K227" s="38">
        <v>0.0</v>
      </c>
      <c r="L227" s="39">
        <v>0.0</v>
      </c>
      <c r="M227" s="34">
        <v>0.0</v>
      </c>
      <c r="N227" s="35">
        <v>0.0</v>
      </c>
      <c r="O227" s="48">
        <v>0.0</v>
      </c>
      <c r="P227" s="32">
        <v>0.0</v>
      </c>
      <c r="Q227" s="38">
        <v>0.0</v>
      </c>
      <c r="R227" s="32">
        <v>0.0</v>
      </c>
      <c r="S227" s="34">
        <v>0.0</v>
      </c>
      <c r="T227" s="35">
        <v>0.0</v>
      </c>
      <c r="U227" s="41">
        <v>0.0</v>
      </c>
      <c r="V227" s="42">
        <v>0.0</v>
      </c>
      <c r="W227" s="43">
        <v>0.0</v>
      </c>
      <c r="X227" s="42">
        <v>0.0</v>
      </c>
      <c r="Y227" s="44">
        <v>0.0</v>
      </c>
      <c r="Z227" s="42">
        <v>0.0</v>
      </c>
      <c r="AA227" s="45"/>
      <c r="AB227" s="46"/>
      <c r="AC227" s="45">
        <v>0.0</v>
      </c>
      <c r="AD227" s="46"/>
      <c r="AE227" s="45">
        <f t="shared" si="1"/>
        <v>0</v>
      </c>
      <c r="AF227" s="46"/>
      <c r="AG227" s="45"/>
      <c r="AH227" s="46"/>
      <c r="AI227" s="45">
        <v>0.0</v>
      </c>
      <c r="AJ227" s="46"/>
      <c r="AK227" s="45">
        <f t="shared" si="2"/>
        <v>0</v>
      </c>
      <c r="AL227" s="46"/>
      <c r="AM227" s="45"/>
      <c r="AN227" s="46"/>
      <c r="AO227" s="45">
        <v>0.0</v>
      </c>
      <c r="AP227" s="46"/>
      <c r="AQ227" s="45">
        <f t="shared" si="3"/>
        <v>0</v>
      </c>
      <c r="AR227" s="46"/>
    </row>
    <row r="228" ht="15.75" customHeight="1">
      <c r="A228" s="29">
        <v>51001.0</v>
      </c>
      <c r="B228" s="30" t="s">
        <v>232</v>
      </c>
      <c r="C228" s="48">
        <v>0.0</v>
      </c>
      <c r="D228" s="32">
        <v>0.0</v>
      </c>
      <c r="E228" s="33">
        <v>0.0</v>
      </c>
      <c r="F228" s="32">
        <v>0.0</v>
      </c>
      <c r="G228" s="34">
        <v>0.0</v>
      </c>
      <c r="H228" s="35">
        <v>0.0</v>
      </c>
      <c r="I228" s="48">
        <v>0.0</v>
      </c>
      <c r="J228" s="32">
        <v>0.0</v>
      </c>
      <c r="K228" s="38">
        <v>0.0</v>
      </c>
      <c r="L228" s="39">
        <v>0.0</v>
      </c>
      <c r="M228" s="34">
        <v>0.0</v>
      </c>
      <c r="N228" s="35">
        <v>0.0</v>
      </c>
      <c r="O228" s="48">
        <v>0.0</v>
      </c>
      <c r="P228" s="32">
        <v>0.0</v>
      </c>
      <c r="Q228" s="38">
        <v>0.0</v>
      </c>
      <c r="R228" s="32">
        <v>0.0</v>
      </c>
      <c r="S228" s="34">
        <v>0.0</v>
      </c>
      <c r="T228" s="35">
        <v>0.0</v>
      </c>
      <c r="U228" s="47">
        <v>10000.0</v>
      </c>
      <c r="V228" s="42">
        <v>0.37</v>
      </c>
      <c r="W228" s="43">
        <v>0.0</v>
      </c>
      <c r="X228" s="42">
        <v>0.0</v>
      </c>
      <c r="Y228" s="44">
        <v>10000.0</v>
      </c>
      <c r="Z228" s="42">
        <v>0.35</v>
      </c>
      <c r="AA228" s="45">
        <v>15000.0</v>
      </c>
      <c r="AB228" s="46"/>
      <c r="AC228" s="45">
        <v>0.0</v>
      </c>
      <c r="AD228" s="46"/>
      <c r="AE228" s="45">
        <f t="shared" si="1"/>
        <v>15000</v>
      </c>
      <c r="AF228" s="46"/>
      <c r="AG228" s="45">
        <v>7000.0</v>
      </c>
      <c r="AH228" s="46"/>
      <c r="AI228" s="45">
        <v>0.0</v>
      </c>
      <c r="AJ228" s="46"/>
      <c r="AK228" s="45">
        <f t="shared" si="2"/>
        <v>7000</v>
      </c>
      <c r="AL228" s="46"/>
      <c r="AM228" s="45">
        <v>7000.0</v>
      </c>
      <c r="AN228" s="46"/>
      <c r="AO228" s="45">
        <v>0.0</v>
      </c>
      <c r="AP228" s="46"/>
      <c r="AQ228" s="45">
        <f t="shared" si="3"/>
        <v>7000</v>
      </c>
      <c r="AR228" s="46"/>
    </row>
    <row r="229" ht="15.75" customHeight="1">
      <c r="A229" s="29">
        <v>51002.0</v>
      </c>
      <c r="B229" s="30" t="s">
        <v>233</v>
      </c>
      <c r="C229" s="48">
        <v>0.0</v>
      </c>
      <c r="D229" s="32">
        <v>0.0</v>
      </c>
      <c r="E229" s="33">
        <v>0.0</v>
      </c>
      <c r="F229" s="32">
        <v>0.0</v>
      </c>
      <c r="G229" s="34">
        <v>0.0</v>
      </c>
      <c r="H229" s="35">
        <v>0.0</v>
      </c>
      <c r="I229" s="48">
        <v>0.0</v>
      </c>
      <c r="J229" s="32">
        <v>0.0</v>
      </c>
      <c r="K229" s="38">
        <v>0.0</v>
      </c>
      <c r="L229" s="39">
        <v>0.0</v>
      </c>
      <c r="M229" s="34">
        <v>0.0</v>
      </c>
      <c r="N229" s="35">
        <v>0.0</v>
      </c>
      <c r="O229" s="48">
        <v>0.0</v>
      </c>
      <c r="P229" s="32">
        <v>0.0</v>
      </c>
      <c r="Q229" s="38">
        <v>0.0</v>
      </c>
      <c r="R229" s="32">
        <v>0.0</v>
      </c>
      <c r="S229" s="34">
        <v>0.0</v>
      </c>
      <c r="T229" s="35">
        <v>0.0</v>
      </c>
      <c r="U229" s="41">
        <v>0.0</v>
      </c>
      <c r="V229" s="42">
        <v>0.0</v>
      </c>
      <c r="W229" s="43">
        <v>0.0</v>
      </c>
      <c r="X229" s="42">
        <v>0.0</v>
      </c>
      <c r="Y229" s="44">
        <v>0.0</v>
      </c>
      <c r="Z229" s="42">
        <v>0.0</v>
      </c>
      <c r="AA229" s="45">
        <v>2500.0</v>
      </c>
      <c r="AB229" s="46"/>
      <c r="AC229" s="45">
        <v>0.0</v>
      </c>
      <c r="AD229" s="46"/>
      <c r="AE229" s="45">
        <f t="shared" si="1"/>
        <v>2500</v>
      </c>
      <c r="AF229" s="46"/>
      <c r="AG229" s="45">
        <v>1500.0</v>
      </c>
      <c r="AH229" s="46"/>
      <c r="AI229" s="45">
        <v>0.0</v>
      </c>
      <c r="AJ229" s="46"/>
      <c r="AK229" s="45">
        <f t="shared" si="2"/>
        <v>1500</v>
      </c>
      <c r="AL229" s="46"/>
      <c r="AM229" s="45">
        <v>1500.0</v>
      </c>
      <c r="AN229" s="46"/>
      <c r="AO229" s="45">
        <v>0.0</v>
      </c>
      <c r="AP229" s="46"/>
      <c r="AQ229" s="45">
        <f t="shared" si="3"/>
        <v>1500</v>
      </c>
      <c r="AR229" s="46"/>
    </row>
    <row r="230" ht="15.75" customHeight="1">
      <c r="A230" s="29">
        <v>51003.0</v>
      </c>
      <c r="B230" s="30" t="s">
        <v>234</v>
      </c>
      <c r="C230" s="48">
        <v>0.0</v>
      </c>
      <c r="D230" s="32">
        <v>0.0</v>
      </c>
      <c r="E230" s="33">
        <v>0.0</v>
      </c>
      <c r="F230" s="32">
        <v>0.0</v>
      </c>
      <c r="G230" s="34">
        <v>0.0</v>
      </c>
      <c r="H230" s="35">
        <v>0.0</v>
      </c>
      <c r="I230" s="48">
        <v>0.0</v>
      </c>
      <c r="J230" s="32">
        <v>0.0</v>
      </c>
      <c r="K230" s="38">
        <v>0.0</v>
      </c>
      <c r="L230" s="39">
        <v>0.0</v>
      </c>
      <c r="M230" s="34">
        <v>0.0</v>
      </c>
      <c r="N230" s="35">
        <v>0.0</v>
      </c>
      <c r="O230" s="48">
        <v>0.0</v>
      </c>
      <c r="P230" s="32">
        <v>0.0</v>
      </c>
      <c r="Q230" s="38">
        <v>0.0</v>
      </c>
      <c r="R230" s="32">
        <v>0.0</v>
      </c>
      <c r="S230" s="34">
        <v>0.0</v>
      </c>
      <c r="T230" s="35">
        <v>0.0</v>
      </c>
      <c r="U230" s="41">
        <v>0.0</v>
      </c>
      <c r="V230" s="42">
        <v>0.0</v>
      </c>
      <c r="W230" s="43">
        <v>0.0</v>
      </c>
      <c r="X230" s="42">
        <v>0.0</v>
      </c>
      <c r="Y230" s="44">
        <v>0.0</v>
      </c>
      <c r="Z230" s="42">
        <v>0.0</v>
      </c>
      <c r="AA230" s="45"/>
      <c r="AB230" s="46"/>
      <c r="AC230" s="45">
        <v>0.0</v>
      </c>
      <c r="AD230" s="46"/>
      <c r="AE230" s="45">
        <f t="shared" si="1"/>
        <v>0</v>
      </c>
      <c r="AF230" s="46"/>
      <c r="AG230" s="45"/>
      <c r="AH230" s="46"/>
      <c r="AI230" s="45">
        <v>0.0</v>
      </c>
      <c r="AJ230" s="46"/>
      <c r="AK230" s="45">
        <f t="shared" si="2"/>
        <v>0</v>
      </c>
      <c r="AL230" s="46"/>
      <c r="AM230" s="45"/>
      <c r="AN230" s="46"/>
      <c r="AO230" s="45">
        <v>0.0</v>
      </c>
      <c r="AP230" s="46"/>
      <c r="AQ230" s="45">
        <f t="shared" si="3"/>
        <v>0</v>
      </c>
      <c r="AR230" s="46"/>
    </row>
    <row r="231" ht="15.75" customHeight="1">
      <c r="A231" s="29">
        <v>51101.0</v>
      </c>
      <c r="B231" s="30" t="s">
        <v>235</v>
      </c>
      <c r="C231" s="31">
        <v>10000.0</v>
      </c>
      <c r="D231" s="32">
        <v>0.11</v>
      </c>
      <c r="E231" s="33">
        <v>0.0</v>
      </c>
      <c r="F231" s="32">
        <v>0.0</v>
      </c>
      <c r="G231" s="34">
        <v>10000.0</v>
      </c>
      <c r="H231" s="35">
        <v>0.1</v>
      </c>
      <c r="I231" s="36">
        <v>10000.0</v>
      </c>
      <c r="J231" s="37">
        <v>0.09</v>
      </c>
      <c r="K231" s="38">
        <v>0.0</v>
      </c>
      <c r="L231" s="39">
        <v>0.0</v>
      </c>
      <c r="M231" s="38">
        <v>10000.0</v>
      </c>
      <c r="N231" s="40">
        <v>0.05</v>
      </c>
      <c r="O231" s="36">
        <v>58000.0</v>
      </c>
      <c r="P231" s="37">
        <v>0.38</v>
      </c>
      <c r="Q231" s="38">
        <v>0.0</v>
      </c>
      <c r="R231" s="32">
        <v>0.0</v>
      </c>
      <c r="S231" s="38">
        <v>58000.0</v>
      </c>
      <c r="T231" s="35">
        <v>0.18</v>
      </c>
      <c r="U231" s="47">
        <v>28000.0</v>
      </c>
      <c r="V231" s="42">
        <v>0.18</v>
      </c>
      <c r="W231" s="43">
        <v>0.0</v>
      </c>
      <c r="X231" s="42">
        <v>0.0</v>
      </c>
      <c r="Y231" s="44">
        <v>28000.0</v>
      </c>
      <c r="Z231" s="42">
        <v>0.17</v>
      </c>
      <c r="AA231" s="45">
        <v>30000.0</v>
      </c>
      <c r="AB231" s="46"/>
      <c r="AC231" s="45">
        <v>0.0</v>
      </c>
      <c r="AD231" s="46"/>
      <c r="AE231" s="45">
        <f t="shared" si="1"/>
        <v>30000</v>
      </c>
      <c r="AF231" s="46"/>
      <c r="AG231" s="45">
        <v>26354.0</v>
      </c>
      <c r="AH231" s="46"/>
      <c r="AI231" s="45">
        <v>0.0</v>
      </c>
      <c r="AJ231" s="46"/>
      <c r="AK231" s="45">
        <f t="shared" si="2"/>
        <v>26354</v>
      </c>
      <c r="AL231" s="46"/>
      <c r="AM231" s="45">
        <v>29988.0</v>
      </c>
      <c r="AN231" s="46"/>
      <c r="AO231" s="45">
        <v>0.0</v>
      </c>
      <c r="AP231" s="46"/>
      <c r="AQ231" s="45">
        <f t="shared" si="3"/>
        <v>29988</v>
      </c>
      <c r="AR231" s="46"/>
    </row>
    <row r="232" ht="15.75" customHeight="1">
      <c r="A232" s="29">
        <v>51102.0</v>
      </c>
      <c r="B232" s="30" t="s">
        <v>236</v>
      </c>
      <c r="C232" s="31">
        <v>18500.0</v>
      </c>
      <c r="D232" s="32">
        <v>0.36</v>
      </c>
      <c r="E232" s="33">
        <v>0.0</v>
      </c>
      <c r="F232" s="32">
        <v>0.0</v>
      </c>
      <c r="G232" s="34">
        <v>18500.0</v>
      </c>
      <c r="H232" s="35">
        <v>0.21</v>
      </c>
      <c r="I232" s="36">
        <v>18500.0</v>
      </c>
      <c r="J232" s="37">
        <v>0.27</v>
      </c>
      <c r="K232" s="38">
        <v>0.0</v>
      </c>
      <c r="L232" s="39">
        <v>0.0</v>
      </c>
      <c r="M232" s="38">
        <v>18500.0</v>
      </c>
      <c r="N232" s="40">
        <v>0.14</v>
      </c>
      <c r="O232" s="36">
        <v>18500.0</v>
      </c>
      <c r="P232" s="37">
        <v>0.25</v>
      </c>
      <c r="Q232" s="38">
        <v>0.0</v>
      </c>
      <c r="R232" s="32">
        <v>0.0</v>
      </c>
      <c r="S232" s="38">
        <v>18500.0</v>
      </c>
      <c r="T232" s="35">
        <v>0.11</v>
      </c>
      <c r="U232" s="47">
        <v>40000.0</v>
      </c>
      <c r="V232" s="42">
        <v>0.45</v>
      </c>
      <c r="W232" s="43">
        <v>0.0</v>
      </c>
      <c r="X232" s="42">
        <v>0.0</v>
      </c>
      <c r="Y232" s="44">
        <v>40000.0</v>
      </c>
      <c r="Z232" s="42">
        <v>0.39</v>
      </c>
      <c r="AA232" s="45">
        <v>41100.0</v>
      </c>
      <c r="AB232" s="46"/>
      <c r="AC232" s="45">
        <v>0.0</v>
      </c>
      <c r="AD232" s="46"/>
      <c r="AE232" s="45">
        <f t="shared" si="1"/>
        <v>41100</v>
      </c>
      <c r="AF232" s="46"/>
      <c r="AG232" s="45">
        <v>41400.0</v>
      </c>
      <c r="AH232" s="46"/>
      <c r="AI232" s="45">
        <v>0.0</v>
      </c>
      <c r="AJ232" s="46"/>
      <c r="AK232" s="45">
        <f t="shared" si="2"/>
        <v>41400</v>
      </c>
      <c r="AL232" s="46"/>
      <c r="AM232" s="45">
        <v>20000.0</v>
      </c>
      <c r="AN232" s="46"/>
      <c r="AO232" s="45">
        <v>0.0</v>
      </c>
      <c r="AP232" s="46"/>
      <c r="AQ232" s="45">
        <f t="shared" si="3"/>
        <v>20000</v>
      </c>
      <c r="AR232" s="46"/>
    </row>
    <row r="233" ht="15.75" customHeight="1">
      <c r="A233" s="29">
        <v>51103.0</v>
      </c>
      <c r="B233" s="30" t="s">
        <v>237</v>
      </c>
      <c r="C233" s="31">
        <v>25000.0</v>
      </c>
      <c r="D233" s="32">
        <v>0.26</v>
      </c>
      <c r="E233" s="33">
        <v>0.0</v>
      </c>
      <c r="F233" s="32">
        <v>0.0</v>
      </c>
      <c r="G233" s="34">
        <v>25000.0</v>
      </c>
      <c r="H233" s="35">
        <v>0.21</v>
      </c>
      <c r="I233" s="36">
        <v>28560.0</v>
      </c>
      <c r="J233" s="37">
        <v>0.32</v>
      </c>
      <c r="K233" s="38">
        <v>0.0</v>
      </c>
      <c r="L233" s="39">
        <v>0.0</v>
      </c>
      <c r="M233" s="38">
        <v>28560.0</v>
      </c>
      <c r="N233" s="40">
        <v>0.21</v>
      </c>
      <c r="O233" s="36">
        <v>8300.0</v>
      </c>
      <c r="P233" s="37">
        <v>0.08</v>
      </c>
      <c r="Q233" s="38">
        <v>0.0</v>
      </c>
      <c r="R233" s="32">
        <v>0.0</v>
      </c>
      <c r="S233" s="38">
        <v>8300.0</v>
      </c>
      <c r="T233" s="35">
        <v>0.04</v>
      </c>
      <c r="U233" s="41">
        <v>0.0</v>
      </c>
      <c r="V233" s="42">
        <v>0.0</v>
      </c>
      <c r="W233" s="43">
        <v>0.0</v>
      </c>
      <c r="X233" s="42">
        <v>0.0</v>
      </c>
      <c r="Y233" s="44">
        <v>0.0</v>
      </c>
      <c r="Z233" s="42">
        <v>0.0</v>
      </c>
      <c r="AA233" s="45"/>
      <c r="AB233" s="46"/>
      <c r="AC233" s="45">
        <v>0.0</v>
      </c>
      <c r="AD233" s="46"/>
      <c r="AE233" s="45">
        <f t="shared" si="1"/>
        <v>0</v>
      </c>
      <c r="AF233" s="46"/>
      <c r="AG233" s="45"/>
      <c r="AH233" s="46"/>
      <c r="AI233" s="45">
        <v>0.0</v>
      </c>
      <c r="AJ233" s="46"/>
      <c r="AK233" s="45">
        <f t="shared" si="2"/>
        <v>0</v>
      </c>
      <c r="AL233" s="46"/>
      <c r="AM233" s="45"/>
      <c r="AN233" s="46"/>
      <c r="AO233" s="45">
        <v>0.0</v>
      </c>
      <c r="AP233" s="46"/>
      <c r="AQ233" s="45">
        <f t="shared" si="3"/>
        <v>0</v>
      </c>
      <c r="AR233" s="46"/>
    </row>
    <row r="234" ht="15.75" customHeight="1">
      <c r="A234" s="29">
        <v>51201.0</v>
      </c>
      <c r="B234" s="30" t="s">
        <v>238</v>
      </c>
      <c r="C234" s="31">
        <v>230000.0</v>
      </c>
      <c r="D234" s="32">
        <v>2.17</v>
      </c>
      <c r="E234" s="33">
        <v>0.0</v>
      </c>
      <c r="F234" s="32">
        <v>0.0</v>
      </c>
      <c r="G234" s="34">
        <v>230000.0</v>
      </c>
      <c r="H234" s="35">
        <v>2.02</v>
      </c>
      <c r="I234" s="36">
        <v>330000.0</v>
      </c>
      <c r="J234" s="37">
        <v>2.43</v>
      </c>
      <c r="K234" s="38">
        <v>0.0</v>
      </c>
      <c r="L234" s="39">
        <v>0.0</v>
      </c>
      <c r="M234" s="38">
        <v>330000.0</v>
      </c>
      <c r="N234" s="40">
        <v>2.19</v>
      </c>
      <c r="O234" s="36">
        <v>522762.0</v>
      </c>
      <c r="P234" s="37">
        <v>2.76</v>
      </c>
      <c r="Q234" s="38">
        <v>0.0</v>
      </c>
      <c r="R234" s="32">
        <v>0.0</v>
      </c>
      <c r="S234" s="38">
        <v>522762.0</v>
      </c>
      <c r="T234" s="35">
        <v>2.12</v>
      </c>
      <c r="U234" s="41">
        <v>0.0</v>
      </c>
      <c r="V234" s="42">
        <v>0.0</v>
      </c>
      <c r="W234" s="43">
        <v>0.0</v>
      </c>
      <c r="X234" s="42">
        <v>0.0</v>
      </c>
      <c r="Y234" s="44">
        <v>0.0</v>
      </c>
      <c r="Z234" s="42">
        <v>0.0</v>
      </c>
      <c r="AA234" s="45">
        <v>1074399.0</v>
      </c>
      <c r="AB234" s="46"/>
      <c r="AC234" s="45">
        <v>0.0</v>
      </c>
      <c r="AD234" s="46"/>
      <c r="AE234" s="45">
        <f t="shared" si="1"/>
        <v>1074399</v>
      </c>
      <c r="AF234" s="46"/>
      <c r="AG234" s="45">
        <v>1252873.0</v>
      </c>
      <c r="AH234" s="46"/>
      <c r="AI234" s="45">
        <v>0.0</v>
      </c>
      <c r="AJ234" s="46"/>
      <c r="AK234" s="45">
        <f t="shared" si="2"/>
        <v>1252873</v>
      </c>
      <c r="AL234" s="46"/>
      <c r="AM234" s="45">
        <v>1403859.0</v>
      </c>
      <c r="AN234" s="46"/>
      <c r="AO234" s="45">
        <v>0.0</v>
      </c>
      <c r="AP234" s="46"/>
      <c r="AQ234" s="45">
        <f t="shared" si="3"/>
        <v>1403859</v>
      </c>
      <c r="AR234" s="46"/>
    </row>
    <row r="235" ht="15.75" customHeight="1">
      <c r="A235" s="29">
        <v>51202.0</v>
      </c>
      <c r="B235" s="30" t="s">
        <v>239</v>
      </c>
      <c r="C235" s="31">
        <v>15000.0</v>
      </c>
      <c r="D235" s="32">
        <v>0.24</v>
      </c>
      <c r="E235" s="33">
        <v>0.0</v>
      </c>
      <c r="F235" s="32">
        <v>0.0</v>
      </c>
      <c r="G235" s="34">
        <v>15000.0</v>
      </c>
      <c r="H235" s="35">
        <v>0.18</v>
      </c>
      <c r="I235" s="36">
        <v>22000.0</v>
      </c>
      <c r="J235" s="37">
        <v>0.26</v>
      </c>
      <c r="K235" s="38">
        <v>0.0</v>
      </c>
      <c r="L235" s="39">
        <v>0.0</v>
      </c>
      <c r="M235" s="38">
        <v>22000.0</v>
      </c>
      <c r="N235" s="40">
        <v>0.16</v>
      </c>
      <c r="O235" s="36">
        <v>32000.0</v>
      </c>
      <c r="P235" s="37">
        <v>0.35</v>
      </c>
      <c r="Q235" s="38">
        <v>0.0</v>
      </c>
      <c r="R235" s="32">
        <v>0.0</v>
      </c>
      <c r="S235" s="38">
        <v>32000.0</v>
      </c>
      <c r="T235" s="35">
        <v>0.18</v>
      </c>
      <c r="U235" s="47">
        <v>46500.0</v>
      </c>
      <c r="V235" s="42">
        <v>0.39</v>
      </c>
      <c r="W235" s="43">
        <v>0.0</v>
      </c>
      <c r="X235" s="42">
        <v>0.0</v>
      </c>
      <c r="Y235" s="44">
        <v>46500.0</v>
      </c>
      <c r="Z235" s="42">
        <v>0.29</v>
      </c>
      <c r="AA235" s="45">
        <v>46500.0</v>
      </c>
      <c r="AB235" s="46"/>
      <c r="AC235" s="45">
        <v>0.0</v>
      </c>
      <c r="AD235" s="46"/>
      <c r="AE235" s="45">
        <f t="shared" si="1"/>
        <v>46500</v>
      </c>
      <c r="AF235" s="46"/>
      <c r="AG235" s="45">
        <v>44080.0</v>
      </c>
      <c r="AH235" s="46"/>
      <c r="AI235" s="45">
        <v>0.0</v>
      </c>
      <c r="AJ235" s="46"/>
      <c r="AK235" s="45">
        <f t="shared" si="2"/>
        <v>44080</v>
      </c>
      <c r="AL235" s="46"/>
      <c r="AM235" s="45">
        <v>46380.0</v>
      </c>
      <c r="AN235" s="46"/>
      <c r="AO235" s="45">
        <v>0.0</v>
      </c>
      <c r="AP235" s="46"/>
      <c r="AQ235" s="45">
        <f t="shared" si="3"/>
        <v>46380</v>
      </c>
      <c r="AR235" s="46"/>
    </row>
    <row r="236" ht="15.75" customHeight="1">
      <c r="A236" s="29">
        <v>51203.0</v>
      </c>
      <c r="B236" s="30" t="s">
        <v>240</v>
      </c>
      <c r="C236" s="31">
        <v>70000.0</v>
      </c>
      <c r="D236" s="32">
        <v>1.51</v>
      </c>
      <c r="E236" s="33">
        <v>0.0</v>
      </c>
      <c r="F236" s="32">
        <v>0.0</v>
      </c>
      <c r="G236" s="34">
        <v>70000.0</v>
      </c>
      <c r="H236" s="35">
        <v>0.96</v>
      </c>
      <c r="I236" s="36">
        <v>72400.0</v>
      </c>
      <c r="J236" s="37">
        <v>1.1</v>
      </c>
      <c r="K236" s="38">
        <v>0.0</v>
      </c>
      <c r="L236" s="39">
        <v>0.0</v>
      </c>
      <c r="M236" s="38">
        <v>72400.0</v>
      </c>
      <c r="N236" s="40">
        <v>0.58</v>
      </c>
      <c r="O236" s="36">
        <v>72400.0</v>
      </c>
      <c r="P236" s="37">
        <v>0.61</v>
      </c>
      <c r="Q236" s="38">
        <v>0.0</v>
      </c>
      <c r="R236" s="32">
        <v>0.0</v>
      </c>
      <c r="S236" s="38">
        <v>72400.0</v>
      </c>
      <c r="T236" s="35">
        <v>0.49</v>
      </c>
      <c r="U236" s="47">
        <v>77000.0</v>
      </c>
      <c r="V236" s="42">
        <v>0.61</v>
      </c>
      <c r="W236" s="44">
        <v>105000.0</v>
      </c>
      <c r="X236" s="42">
        <v>3.54</v>
      </c>
      <c r="Y236" s="44">
        <v>182000.0</v>
      </c>
      <c r="Z236" s="42">
        <v>1.17</v>
      </c>
      <c r="AA236" s="45">
        <v>77000.0</v>
      </c>
      <c r="AB236" s="46"/>
      <c r="AC236" s="45">
        <v>0.0</v>
      </c>
      <c r="AD236" s="46"/>
      <c r="AE236" s="45">
        <f t="shared" si="1"/>
        <v>77000</v>
      </c>
      <c r="AF236" s="46"/>
      <c r="AG236" s="45">
        <v>107000.0</v>
      </c>
      <c r="AH236" s="46"/>
      <c r="AI236" s="45">
        <v>0.0</v>
      </c>
      <c r="AJ236" s="46"/>
      <c r="AK236" s="45">
        <f t="shared" si="2"/>
        <v>107000</v>
      </c>
      <c r="AL236" s="46"/>
      <c r="AM236" s="45">
        <v>107000.0</v>
      </c>
      <c r="AN236" s="46"/>
      <c r="AO236" s="45">
        <v>0.0</v>
      </c>
      <c r="AP236" s="46"/>
      <c r="AQ236" s="45">
        <f t="shared" si="3"/>
        <v>107000</v>
      </c>
      <c r="AR236" s="46"/>
    </row>
    <row r="237" ht="15.75" customHeight="1">
      <c r="A237" s="29">
        <v>51204.0</v>
      </c>
      <c r="B237" s="30" t="s">
        <v>241</v>
      </c>
      <c r="C237" s="48">
        <v>0.0</v>
      </c>
      <c r="D237" s="32">
        <v>0.0</v>
      </c>
      <c r="E237" s="33">
        <v>0.0</v>
      </c>
      <c r="F237" s="32">
        <v>0.0</v>
      </c>
      <c r="G237" s="34">
        <v>0.0</v>
      </c>
      <c r="H237" s="35">
        <v>0.0</v>
      </c>
      <c r="I237" s="48">
        <v>0.0</v>
      </c>
      <c r="J237" s="32">
        <v>0.0</v>
      </c>
      <c r="K237" s="38">
        <v>0.0</v>
      </c>
      <c r="L237" s="39">
        <v>0.0</v>
      </c>
      <c r="M237" s="34">
        <v>0.0</v>
      </c>
      <c r="N237" s="35">
        <v>0.0</v>
      </c>
      <c r="O237" s="48">
        <v>0.0</v>
      </c>
      <c r="P237" s="32">
        <v>0.0</v>
      </c>
      <c r="Q237" s="38">
        <v>0.0</v>
      </c>
      <c r="R237" s="32">
        <v>0.0</v>
      </c>
      <c r="S237" s="34">
        <v>0.0</v>
      </c>
      <c r="T237" s="35">
        <v>0.0</v>
      </c>
      <c r="U237" s="41">
        <v>0.0</v>
      </c>
      <c r="V237" s="42">
        <v>0.0</v>
      </c>
      <c r="W237" s="43">
        <v>0.0</v>
      </c>
      <c r="X237" s="42">
        <v>0.0</v>
      </c>
      <c r="Y237" s="44">
        <v>0.0</v>
      </c>
      <c r="Z237" s="42">
        <v>0.0</v>
      </c>
      <c r="AA237" s="45"/>
      <c r="AB237" s="46"/>
      <c r="AC237" s="45">
        <v>0.0</v>
      </c>
      <c r="AD237" s="46"/>
      <c r="AE237" s="45">
        <f t="shared" si="1"/>
        <v>0</v>
      </c>
      <c r="AF237" s="46"/>
      <c r="AG237" s="45">
        <v>4000.0</v>
      </c>
      <c r="AH237" s="46"/>
      <c r="AI237" s="45">
        <v>0.0</v>
      </c>
      <c r="AJ237" s="46"/>
      <c r="AK237" s="45">
        <f t="shared" si="2"/>
        <v>4000</v>
      </c>
      <c r="AL237" s="46"/>
      <c r="AM237" s="45">
        <v>4000.0</v>
      </c>
      <c r="AN237" s="46"/>
      <c r="AO237" s="45">
        <v>0.0</v>
      </c>
      <c r="AP237" s="46"/>
      <c r="AQ237" s="45">
        <f t="shared" si="3"/>
        <v>4000</v>
      </c>
      <c r="AR237" s="46"/>
    </row>
    <row r="238" ht="15.75" customHeight="1">
      <c r="A238" s="29">
        <v>51301.0</v>
      </c>
      <c r="B238" s="30" t="s">
        <v>242</v>
      </c>
      <c r="C238" s="31">
        <v>15000.0</v>
      </c>
      <c r="D238" s="32">
        <v>0.45</v>
      </c>
      <c r="E238" s="33">
        <v>0.0</v>
      </c>
      <c r="F238" s="32">
        <v>0.0</v>
      </c>
      <c r="G238" s="34">
        <v>15000.0</v>
      </c>
      <c r="H238" s="35">
        <v>0.29</v>
      </c>
      <c r="I238" s="36">
        <v>19000.0</v>
      </c>
      <c r="J238" s="37">
        <v>0.68</v>
      </c>
      <c r="K238" s="38">
        <v>0.0</v>
      </c>
      <c r="L238" s="39">
        <v>0.0</v>
      </c>
      <c r="M238" s="38">
        <v>19000.0</v>
      </c>
      <c r="N238" s="40">
        <v>0.48</v>
      </c>
      <c r="O238" s="36">
        <v>19000.0</v>
      </c>
      <c r="P238" s="37">
        <v>0.7</v>
      </c>
      <c r="Q238" s="38">
        <v>0.0</v>
      </c>
      <c r="R238" s="32">
        <v>0.0</v>
      </c>
      <c r="S238" s="38">
        <v>19000.0</v>
      </c>
      <c r="T238" s="35">
        <v>0.48</v>
      </c>
      <c r="U238" s="47">
        <v>5000.0</v>
      </c>
      <c r="V238" s="42">
        <v>0.14</v>
      </c>
      <c r="W238" s="43">
        <v>0.0</v>
      </c>
      <c r="X238" s="42">
        <v>0.0</v>
      </c>
      <c r="Y238" s="44">
        <v>5000.0</v>
      </c>
      <c r="Z238" s="42">
        <v>0.13</v>
      </c>
      <c r="AA238" s="45">
        <v>5000.0</v>
      </c>
      <c r="AB238" s="46"/>
      <c r="AC238" s="45">
        <v>0.0</v>
      </c>
      <c r="AD238" s="46"/>
      <c r="AE238" s="45">
        <f t="shared" si="1"/>
        <v>5000</v>
      </c>
      <c r="AF238" s="46"/>
      <c r="AG238" s="45">
        <v>10000.0</v>
      </c>
      <c r="AH238" s="46"/>
      <c r="AI238" s="45">
        <v>0.0</v>
      </c>
      <c r="AJ238" s="46"/>
      <c r="AK238" s="45">
        <f t="shared" si="2"/>
        <v>10000</v>
      </c>
      <c r="AL238" s="46"/>
      <c r="AM238" s="45">
        <v>10000.0</v>
      </c>
      <c r="AN238" s="46"/>
      <c r="AO238" s="45">
        <v>0.0</v>
      </c>
      <c r="AP238" s="46"/>
      <c r="AQ238" s="45">
        <f t="shared" si="3"/>
        <v>10000</v>
      </c>
      <c r="AR238" s="46"/>
    </row>
    <row r="239" ht="15.75" customHeight="1">
      <c r="A239" s="29">
        <v>51302.0</v>
      </c>
      <c r="B239" s="30" t="s">
        <v>243</v>
      </c>
      <c r="C239" s="31">
        <v>45000.0</v>
      </c>
      <c r="D239" s="32">
        <v>1.09</v>
      </c>
      <c r="E239" s="33">
        <v>0.0</v>
      </c>
      <c r="F239" s="32">
        <v>0.0</v>
      </c>
      <c r="G239" s="34">
        <v>45000.0</v>
      </c>
      <c r="H239" s="35">
        <v>0.99</v>
      </c>
      <c r="I239" s="36">
        <v>45000.0</v>
      </c>
      <c r="J239" s="37">
        <v>0.92</v>
      </c>
      <c r="K239" s="38">
        <v>0.0</v>
      </c>
      <c r="L239" s="39">
        <v>0.0</v>
      </c>
      <c r="M239" s="38">
        <v>45000.0</v>
      </c>
      <c r="N239" s="40">
        <v>0.6</v>
      </c>
      <c r="O239" s="36">
        <v>25000.0</v>
      </c>
      <c r="P239" s="37">
        <v>0.52</v>
      </c>
      <c r="Q239" s="38">
        <v>0.0</v>
      </c>
      <c r="R239" s="32">
        <v>0.0</v>
      </c>
      <c r="S239" s="38">
        <v>25000.0</v>
      </c>
      <c r="T239" s="35">
        <v>0.39</v>
      </c>
      <c r="U239" s="47">
        <v>7000.0</v>
      </c>
      <c r="V239" s="42">
        <v>0.12</v>
      </c>
      <c r="W239" s="43">
        <v>0.0</v>
      </c>
      <c r="X239" s="42">
        <v>0.0</v>
      </c>
      <c r="Y239" s="44">
        <v>7000.0</v>
      </c>
      <c r="Z239" s="42">
        <v>0.12</v>
      </c>
      <c r="AA239" s="45">
        <v>10000.0</v>
      </c>
      <c r="AB239" s="46"/>
      <c r="AC239" s="45">
        <v>0.0</v>
      </c>
      <c r="AD239" s="46"/>
      <c r="AE239" s="45">
        <f t="shared" si="1"/>
        <v>10000</v>
      </c>
      <c r="AF239" s="46"/>
      <c r="AG239" s="45">
        <v>160128.0</v>
      </c>
      <c r="AH239" s="46"/>
      <c r="AI239" s="45">
        <v>0.0</v>
      </c>
      <c r="AJ239" s="46"/>
      <c r="AK239" s="45">
        <f t="shared" si="2"/>
        <v>160128</v>
      </c>
      <c r="AL239" s="46"/>
      <c r="AM239" s="45">
        <v>10000.0</v>
      </c>
      <c r="AN239" s="46"/>
      <c r="AO239" s="45">
        <v>0.0</v>
      </c>
      <c r="AP239" s="46"/>
      <c r="AQ239" s="45">
        <f t="shared" si="3"/>
        <v>10000</v>
      </c>
      <c r="AR239" s="46"/>
    </row>
    <row r="240" ht="15.75" customHeight="1">
      <c r="A240" s="29">
        <v>51401.0</v>
      </c>
      <c r="B240" s="30" t="s">
        <v>244</v>
      </c>
      <c r="C240" s="31">
        <v>30000.0</v>
      </c>
      <c r="D240" s="32">
        <v>1.56</v>
      </c>
      <c r="E240" s="33">
        <v>0.0</v>
      </c>
      <c r="F240" s="32">
        <v>0.0</v>
      </c>
      <c r="G240" s="34">
        <v>30000.0</v>
      </c>
      <c r="H240" s="35">
        <v>1.24</v>
      </c>
      <c r="I240" s="36">
        <v>38510.0</v>
      </c>
      <c r="J240" s="37">
        <v>1.44</v>
      </c>
      <c r="K240" s="38">
        <v>0.0</v>
      </c>
      <c r="L240" s="39">
        <v>0.0</v>
      </c>
      <c r="M240" s="38">
        <v>38510.0</v>
      </c>
      <c r="N240" s="40">
        <v>1.15</v>
      </c>
      <c r="O240" s="36">
        <v>36800.0</v>
      </c>
      <c r="P240" s="37">
        <v>1.19</v>
      </c>
      <c r="Q240" s="38">
        <v>0.0</v>
      </c>
      <c r="R240" s="32">
        <v>0.0</v>
      </c>
      <c r="S240" s="38">
        <v>36800.0</v>
      </c>
      <c r="T240" s="35">
        <v>1.18</v>
      </c>
      <c r="U240" s="47">
        <v>47737.0</v>
      </c>
      <c r="V240" s="42">
        <v>1.31</v>
      </c>
      <c r="W240" s="43">
        <v>0.0</v>
      </c>
      <c r="X240" s="42">
        <v>0.0</v>
      </c>
      <c r="Y240" s="44">
        <v>47737.0</v>
      </c>
      <c r="Z240" s="42">
        <v>0.87</v>
      </c>
      <c r="AA240" s="45">
        <v>134132.0</v>
      </c>
      <c r="AB240" s="46"/>
      <c r="AC240" s="45">
        <v>0.0</v>
      </c>
      <c r="AD240" s="46"/>
      <c r="AE240" s="45">
        <f t="shared" si="1"/>
        <v>134132</v>
      </c>
      <c r="AF240" s="46"/>
      <c r="AG240" s="45">
        <v>106278.0</v>
      </c>
      <c r="AH240" s="46"/>
      <c r="AI240" s="45">
        <v>0.0</v>
      </c>
      <c r="AJ240" s="46"/>
      <c r="AK240" s="45">
        <f t="shared" si="2"/>
        <v>106278</v>
      </c>
      <c r="AL240" s="46"/>
      <c r="AM240" s="45">
        <v>51384.0</v>
      </c>
      <c r="AN240" s="46"/>
      <c r="AO240" s="45">
        <v>0.0</v>
      </c>
      <c r="AP240" s="46"/>
      <c r="AQ240" s="45">
        <f t="shared" si="3"/>
        <v>51384</v>
      </c>
      <c r="AR240" s="46"/>
    </row>
    <row r="241" ht="15.75" customHeight="1">
      <c r="A241" s="29">
        <v>51402.0</v>
      </c>
      <c r="B241" s="30" t="s">
        <v>245</v>
      </c>
      <c r="C241" s="48">
        <v>0.0</v>
      </c>
      <c r="D241" s="32">
        <v>0.0</v>
      </c>
      <c r="E241" s="33">
        <v>0.0</v>
      </c>
      <c r="F241" s="32">
        <v>0.0</v>
      </c>
      <c r="G241" s="34">
        <v>0.0</v>
      </c>
      <c r="H241" s="35">
        <v>0.0</v>
      </c>
      <c r="I241" s="36">
        <v>3000.0</v>
      </c>
      <c r="J241" s="37">
        <v>0.25</v>
      </c>
      <c r="K241" s="38">
        <v>0.0</v>
      </c>
      <c r="L241" s="39">
        <v>0.0</v>
      </c>
      <c r="M241" s="38">
        <v>3000.0</v>
      </c>
      <c r="N241" s="40">
        <v>0.17</v>
      </c>
      <c r="O241" s="36">
        <v>2000.0</v>
      </c>
      <c r="P241" s="37">
        <v>0.16</v>
      </c>
      <c r="Q241" s="38">
        <v>0.0</v>
      </c>
      <c r="R241" s="32">
        <v>0.0</v>
      </c>
      <c r="S241" s="38">
        <v>2000.0</v>
      </c>
      <c r="T241" s="35">
        <v>0.12</v>
      </c>
      <c r="U241" s="41">
        <v>0.0</v>
      </c>
      <c r="V241" s="42">
        <v>0.0</v>
      </c>
      <c r="W241" s="43">
        <v>0.0</v>
      </c>
      <c r="X241" s="42">
        <v>0.0</v>
      </c>
      <c r="Y241" s="44">
        <v>0.0</v>
      </c>
      <c r="Z241" s="42">
        <v>0.0</v>
      </c>
      <c r="AA241" s="45"/>
      <c r="AB241" s="46"/>
      <c r="AC241" s="45">
        <v>0.0</v>
      </c>
      <c r="AD241" s="46"/>
      <c r="AE241" s="45">
        <f t="shared" si="1"/>
        <v>0</v>
      </c>
      <c r="AF241" s="46"/>
      <c r="AG241" s="45"/>
      <c r="AH241" s="46"/>
      <c r="AI241" s="45">
        <v>0.0</v>
      </c>
      <c r="AJ241" s="46"/>
      <c r="AK241" s="45">
        <f t="shared" si="2"/>
        <v>0</v>
      </c>
      <c r="AL241" s="46"/>
      <c r="AM241" s="45"/>
      <c r="AN241" s="46"/>
      <c r="AO241" s="45">
        <v>0.0</v>
      </c>
      <c r="AP241" s="46"/>
      <c r="AQ241" s="45">
        <f t="shared" si="3"/>
        <v>0</v>
      </c>
      <c r="AR241" s="46"/>
    </row>
    <row r="242" ht="15.75" customHeight="1">
      <c r="A242" s="29">
        <v>51501.0</v>
      </c>
      <c r="B242" s="30" t="s">
        <v>246</v>
      </c>
      <c r="C242" s="31">
        <v>700000.0</v>
      </c>
      <c r="D242" s="32">
        <v>3.51</v>
      </c>
      <c r="E242" s="33">
        <v>0.0</v>
      </c>
      <c r="F242" s="32">
        <v>0.0</v>
      </c>
      <c r="G242" s="34">
        <v>700000.0</v>
      </c>
      <c r="H242" s="35">
        <v>2.42</v>
      </c>
      <c r="I242" s="36">
        <v>1000000.0</v>
      </c>
      <c r="J242" s="37">
        <v>3.66</v>
      </c>
      <c r="K242" s="38">
        <v>0.0</v>
      </c>
      <c r="L242" s="39">
        <v>0.0</v>
      </c>
      <c r="M242" s="38">
        <v>1000000.0</v>
      </c>
      <c r="N242" s="40">
        <v>2.68</v>
      </c>
      <c r="O242" s="36">
        <v>1800000.0</v>
      </c>
      <c r="P242" s="37">
        <v>4.84</v>
      </c>
      <c r="Q242" s="38">
        <v>0.0</v>
      </c>
      <c r="R242" s="32">
        <v>0.0</v>
      </c>
      <c r="S242" s="38">
        <v>1800000.0</v>
      </c>
      <c r="T242" s="35">
        <v>3.78</v>
      </c>
      <c r="U242" s="41">
        <v>0.0</v>
      </c>
      <c r="V242" s="42">
        <v>0.0</v>
      </c>
      <c r="W242" s="43">
        <v>0.0</v>
      </c>
      <c r="X242" s="42">
        <v>0.0</v>
      </c>
      <c r="Y242" s="44">
        <v>0.0</v>
      </c>
      <c r="Z242" s="42">
        <v>0.0</v>
      </c>
      <c r="AA242" s="45">
        <v>2500000.0</v>
      </c>
      <c r="AB242" s="46"/>
      <c r="AC242" s="45">
        <v>0.0</v>
      </c>
      <c r="AD242" s="46"/>
      <c r="AE242" s="45">
        <f t="shared" si="1"/>
        <v>2500000</v>
      </c>
      <c r="AF242" s="46"/>
      <c r="AG242" s="45">
        <v>2958410.0</v>
      </c>
      <c r="AH242" s="46"/>
      <c r="AI242" s="45">
        <v>0.0</v>
      </c>
      <c r="AJ242" s="46"/>
      <c r="AK242" s="45">
        <f t="shared" si="2"/>
        <v>2958410</v>
      </c>
      <c r="AL242" s="46"/>
      <c r="AM242" s="45">
        <v>3326072.0</v>
      </c>
      <c r="AN242" s="46"/>
      <c r="AO242" s="45">
        <v>0.0</v>
      </c>
      <c r="AP242" s="46"/>
      <c r="AQ242" s="45">
        <f t="shared" si="3"/>
        <v>3326072</v>
      </c>
      <c r="AR242" s="46"/>
    </row>
    <row r="243" ht="15.75" customHeight="1">
      <c r="A243" s="29">
        <v>51601.0</v>
      </c>
      <c r="B243" s="30" t="s">
        <v>247</v>
      </c>
      <c r="C243" s="48">
        <v>0.0</v>
      </c>
      <c r="D243" s="32">
        <v>0.0</v>
      </c>
      <c r="E243" s="33">
        <v>0.0</v>
      </c>
      <c r="F243" s="32">
        <v>0.0</v>
      </c>
      <c r="G243" s="34">
        <v>0.0</v>
      </c>
      <c r="H243" s="35">
        <v>0.0</v>
      </c>
      <c r="I243" s="48">
        <v>0.0</v>
      </c>
      <c r="J243" s="32">
        <v>0.0</v>
      </c>
      <c r="K243" s="38">
        <v>0.0</v>
      </c>
      <c r="L243" s="39">
        <v>0.0</v>
      </c>
      <c r="M243" s="34">
        <v>0.0</v>
      </c>
      <c r="N243" s="35">
        <v>0.0</v>
      </c>
      <c r="O243" s="48">
        <v>0.0</v>
      </c>
      <c r="P243" s="32">
        <v>0.0</v>
      </c>
      <c r="Q243" s="38">
        <v>0.0</v>
      </c>
      <c r="R243" s="32">
        <v>0.0</v>
      </c>
      <c r="S243" s="34">
        <v>0.0</v>
      </c>
      <c r="T243" s="35">
        <v>0.0</v>
      </c>
      <c r="U243" s="41">
        <v>0.0</v>
      </c>
      <c r="V243" s="42">
        <v>0.0</v>
      </c>
      <c r="W243" s="43">
        <v>0.0</v>
      </c>
      <c r="X243" s="42">
        <v>0.0</v>
      </c>
      <c r="Y243" s="44">
        <v>0.0</v>
      </c>
      <c r="Z243" s="42">
        <v>0.0</v>
      </c>
      <c r="AA243" s="45"/>
      <c r="AB243" s="46"/>
      <c r="AC243" s="45">
        <v>0.0</v>
      </c>
      <c r="AD243" s="46"/>
      <c r="AE243" s="45">
        <f t="shared" si="1"/>
        <v>0</v>
      </c>
      <c r="AF243" s="46"/>
      <c r="AG243" s="45"/>
      <c r="AH243" s="46"/>
      <c r="AI243" s="45">
        <v>0.0</v>
      </c>
      <c r="AJ243" s="46"/>
      <c r="AK243" s="45">
        <f t="shared" si="2"/>
        <v>0</v>
      </c>
      <c r="AL243" s="46"/>
      <c r="AM243" s="45"/>
      <c r="AN243" s="46"/>
      <c r="AO243" s="45">
        <v>0.0</v>
      </c>
      <c r="AP243" s="46"/>
      <c r="AQ243" s="45">
        <f t="shared" si="3"/>
        <v>0</v>
      </c>
      <c r="AR243" s="46"/>
    </row>
    <row r="244" ht="15.75" customHeight="1">
      <c r="A244" s="29">
        <v>60101.0</v>
      </c>
      <c r="B244" s="30" t="s">
        <v>248</v>
      </c>
      <c r="C244" s="31">
        <v>1.1749782E7</v>
      </c>
      <c r="D244" s="32">
        <v>5.46</v>
      </c>
      <c r="E244" s="33">
        <v>0.0</v>
      </c>
      <c r="F244" s="32">
        <v>0.0</v>
      </c>
      <c r="G244" s="34">
        <v>1.1749782E7</v>
      </c>
      <c r="H244" s="35">
        <v>2.5</v>
      </c>
      <c r="I244" s="36">
        <v>1.3093123E7</v>
      </c>
      <c r="J244" s="37">
        <v>5.34</v>
      </c>
      <c r="K244" s="38">
        <v>239031.0</v>
      </c>
      <c r="L244" s="39">
        <v>0.08</v>
      </c>
      <c r="M244" s="38">
        <v>1.3332154E7</v>
      </c>
      <c r="N244" s="40">
        <v>2.51</v>
      </c>
      <c r="O244" s="36">
        <v>1.6127853E7</v>
      </c>
      <c r="P244" s="37">
        <v>5.67</v>
      </c>
      <c r="Q244" s="38">
        <v>245857.0</v>
      </c>
      <c r="R244" s="32">
        <v>0.05</v>
      </c>
      <c r="S244" s="38">
        <v>1.637371E7</v>
      </c>
      <c r="T244" s="35">
        <v>2.18</v>
      </c>
      <c r="U244" s="47">
        <v>2.0283322E7</v>
      </c>
      <c r="V244" s="42">
        <v>5.56</v>
      </c>
      <c r="W244" s="43">
        <v>0.0</v>
      </c>
      <c r="X244" s="42">
        <v>0.0</v>
      </c>
      <c r="Y244" s="44">
        <v>2.0283322E7</v>
      </c>
      <c r="Z244" s="42">
        <v>4.47</v>
      </c>
      <c r="AA244" s="45">
        <v>2.2583322E7</v>
      </c>
      <c r="AB244" s="46"/>
      <c r="AC244" s="45">
        <v>0.0</v>
      </c>
      <c r="AD244" s="46"/>
      <c r="AE244" s="45">
        <f t="shared" si="1"/>
        <v>22583322</v>
      </c>
      <c r="AF244" s="46"/>
      <c r="AG244" s="45">
        <v>2.2783322E7</v>
      </c>
      <c r="AH244" s="46"/>
      <c r="AI244" s="45">
        <v>0.0</v>
      </c>
      <c r="AJ244" s="46"/>
      <c r="AK244" s="45">
        <f t="shared" si="2"/>
        <v>22783322</v>
      </c>
      <c r="AL244" s="46"/>
      <c r="AM244" s="45">
        <v>2.5763393E7</v>
      </c>
      <c r="AN244" s="46"/>
      <c r="AO244" s="45">
        <v>0.0</v>
      </c>
      <c r="AP244" s="46"/>
      <c r="AQ244" s="45">
        <f t="shared" si="3"/>
        <v>25763393</v>
      </c>
      <c r="AR244" s="46"/>
    </row>
    <row r="245" ht="15.75" customHeight="1">
      <c r="A245" s="29">
        <v>60201.0</v>
      </c>
      <c r="B245" s="30" t="s">
        <v>249</v>
      </c>
      <c r="C245" s="31">
        <v>156300.0</v>
      </c>
      <c r="D245" s="32">
        <v>0.88</v>
      </c>
      <c r="E245" s="33">
        <v>0.0</v>
      </c>
      <c r="F245" s="32">
        <v>0.0</v>
      </c>
      <c r="G245" s="34">
        <v>156300.0</v>
      </c>
      <c r="H245" s="35">
        <v>0.36</v>
      </c>
      <c r="I245" s="36">
        <v>296500.0</v>
      </c>
      <c r="J245" s="37">
        <v>1.49</v>
      </c>
      <c r="K245" s="38">
        <v>0.0</v>
      </c>
      <c r="L245" s="39">
        <v>0.0</v>
      </c>
      <c r="M245" s="38">
        <v>296500.0</v>
      </c>
      <c r="N245" s="40">
        <v>0.62</v>
      </c>
      <c r="O245" s="36">
        <v>310000.0</v>
      </c>
      <c r="P245" s="37">
        <v>1.44</v>
      </c>
      <c r="Q245" s="38">
        <v>0.0</v>
      </c>
      <c r="R245" s="32">
        <v>0.0</v>
      </c>
      <c r="S245" s="38">
        <v>310000.0</v>
      </c>
      <c r="T245" s="35">
        <v>0.55</v>
      </c>
      <c r="U245" s="47">
        <v>266754.0</v>
      </c>
      <c r="V245" s="42">
        <v>1.27</v>
      </c>
      <c r="W245" s="43">
        <v>0.0</v>
      </c>
      <c r="X245" s="42">
        <v>0.0</v>
      </c>
      <c r="Y245" s="44">
        <v>266754.0</v>
      </c>
      <c r="Z245" s="42">
        <v>0.92</v>
      </c>
      <c r="AA245" s="45">
        <v>120000.0</v>
      </c>
      <c r="AB245" s="46"/>
      <c r="AC245" s="45">
        <v>0.0</v>
      </c>
      <c r="AD245" s="46"/>
      <c r="AE245" s="45">
        <f t="shared" si="1"/>
        <v>120000</v>
      </c>
      <c r="AF245" s="46"/>
      <c r="AG245" s="45">
        <v>140000.0</v>
      </c>
      <c r="AH245" s="46"/>
      <c r="AI245" s="45">
        <v>0.0</v>
      </c>
      <c r="AJ245" s="46"/>
      <c r="AK245" s="45">
        <f t="shared" si="2"/>
        <v>140000</v>
      </c>
      <c r="AL245" s="46"/>
      <c r="AM245" s="45">
        <v>187632.0</v>
      </c>
      <c r="AN245" s="46"/>
      <c r="AO245" s="45">
        <v>0.0</v>
      </c>
      <c r="AP245" s="46"/>
      <c r="AQ245" s="45">
        <f t="shared" si="3"/>
        <v>187632</v>
      </c>
      <c r="AR245" s="46"/>
    </row>
    <row r="246" ht="15.75" customHeight="1">
      <c r="A246" s="29">
        <v>60202.0</v>
      </c>
      <c r="B246" s="30" t="s">
        <v>250</v>
      </c>
      <c r="C246" s="31">
        <v>715257.0</v>
      </c>
      <c r="D246" s="32">
        <v>1.92</v>
      </c>
      <c r="E246" s="33">
        <v>0.0</v>
      </c>
      <c r="F246" s="32">
        <v>0.0</v>
      </c>
      <c r="G246" s="34">
        <v>715257.0</v>
      </c>
      <c r="H246" s="35">
        <v>1.21</v>
      </c>
      <c r="I246" s="36">
        <v>1000000.0</v>
      </c>
      <c r="J246" s="37">
        <v>2.24</v>
      </c>
      <c r="K246" s="38">
        <v>0.0</v>
      </c>
      <c r="L246" s="39">
        <v>0.0</v>
      </c>
      <c r="M246" s="38">
        <v>1000000.0</v>
      </c>
      <c r="N246" s="40">
        <v>1.25</v>
      </c>
      <c r="O246" s="36">
        <v>1139391.0</v>
      </c>
      <c r="P246" s="37">
        <v>2.08</v>
      </c>
      <c r="Q246" s="38">
        <v>0.0</v>
      </c>
      <c r="R246" s="32">
        <v>0.0</v>
      </c>
      <c r="S246" s="38">
        <v>1139391.0</v>
      </c>
      <c r="T246" s="35">
        <v>1.13</v>
      </c>
      <c r="U246" s="47">
        <v>1203121.0</v>
      </c>
      <c r="V246" s="42">
        <v>2.6</v>
      </c>
      <c r="W246" s="43">
        <v>0.0</v>
      </c>
      <c r="X246" s="42">
        <v>0.0</v>
      </c>
      <c r="Y246" s="44">
        <v>1203121.0</v>
      </c>
      <c r="Z246" s="42">
        <v>1.92</v>
      </c>
      <c r="AA246" s="45">
        <v>1856979.0</v>
      </c>
      <c r="AB246" s="46"/>
      <c r="AC246" s="45">
        <v>0.0</v>
      </c>
      <c r="AD246" s="46"/>
      <c r="AE246" s="45">
        <f t="shared" si="1"/>
        <v>1856979</v>
      </c>
      <c r="AF246" s="46"/>
      <c r="AG246" s="45">
        <v>1488590.0</v>
      </c>
      <c r="AH246" s="46"/>
      <c r="AI246" s="45">
        <v>0.0</v>
      </c>
      <c r="AJ246" s="46"/>
      <c r="AK246" s="45">
        <f t="shared" si="2"/>
        <v>1488590</v>
      </c>
      <c r="AL246" s="46"/>
      <c r="AM246" s="45">
        <v>1727650.0</v>
      </c>
      <c r="AN246" s="46"/>
      <c r="AO246" s="45">
        <v>0.0</v>
      </c>
      <c r="AP246" s="46"/>
      <c r="AQ246" s="45">
        <f t="shared" si="3"/>
        <v>1727650</v>
      </c>
      <c r="AR246" s="46"/>
    </row>
    <row r="247" ht="15.75" customHeight="1">
      <c r="A247" s="29">
        <v>60301.0</v>
      </c>
      <c r="B247" s="30" t="s">
        <v>251</v>
      </c>
      <c r="C247" s="31">
        <v>4380000.0</v>
      </c>
      <c r="D247" s="32">
        <v>3.1</v>
      </c>
      <c r="E247" s="33">
        <v>0.0</v>
      </c>
      <c r="F247" s="32">
        <v>0.0</v>
      </c>
      <c r="G247" s="34">
        <v>4380000.0</v>
      </c>
      <c r="H247" s="35">
        <v>1.97</v>
      </c>
      <c r="I247" s="36">
        <v>5204500.0</v>
      </c>
      <c r="J247" s="37">
        <v>2.64</v>
      </c>
      <c r="K247" s="38">
        <v>0.0</v>
      </c>
      <c r="L247" s="39">
        <v>0.0</v>
      </c>
      <c r="M247" s="38">
        <v>5204500.0</v>
      </c>
      <c r="N247" s="40">
        <v>2.0</v>
      </c>
      <c r="O247" s="36">
        <v>5204500.0</v>
      </c>
      <c r="P247" s="37">
        <v>2.3</v>
      </c>
      <c r="Q247" s="38">
        <v>0.0</v>
      </c>
      <c r="R247" s="32">
        <v>0.0</v>
      </c>
      <c r="S247" s="38">
        <v>5204500.0</v>
      </c>
      <c r="T247" s="35">
        <v>1.53</v>
      </c>
      <c r="U247" s="47">
        <v>8715745.0</v>
      </c>
      <c r="V247" s="42">
        <v>5.99</v>
      </c>
      <c r="W247" s="43">
        <v>0.0</v>
      </c>
      <c r="X247" s="42">
        <v>0.0</v>
      </c>
      <c r="Y247" s="44">
        <v>8715745.0</v>
      </c>
      <c r="Z247" s="42">
        <v>4.68</v>
      </c>
      <c r="AA247" s="45">
        <v>7408383.0</v>
      </c>
      <c r="AB247" s="46"/>
      <c r="AC247" s="45">
        <v>0.0</v>
      </c>
      <c r="AD247" s="46"/>
      <c r="AE247" s="45">
        <f t="shared" si="1"/>
        <v>7408383</v>
      </c>
      <c r="AF247" s="46"/>
      <c r="AG247" s="45">
        <v>8107951.0</v>
      </c>
      <c r="AH247" s="46"/>
      <c r="AI247" s="45">
        <v>0.0</v>
      </c>
      <c r="AJ247" s="46"/>
      <c r="AK247" s="45">
        <f t="shared" si="2"/>
        <v>8107951</v>
      </c>
      <c r="AL247" s="46"/>
      <c r="AM247" s="45">
        <v>6146667.0</v>
      </c>
      <c r="AN247" s="46"/>
      <c r="AO247" s="45">
        <v>0.0</v>
      </c>
      <c r="AP247" s="46"/>
      <c r="AQ247" s="45">
        <f t="shared" si="3"/>
        <v>6146667</v>
      </c>
      <c r="AR247" s="46"/>
    </row>
    <row r="248" ht="15.75" customHeight="1">
      <c r="A248" s="29">
        <v>60302.0</v>
      </c>
      <c r="B248" s="30" t="s">
        <v>252</v>
      </c>
      <c r="C248" s="31">
        <v>790200.0</v>
      </c>
      <c r="D248" s="32">
        <v>1.38</v>
      </c>
      <c r="E248" s="33">
        <v>0.0</v>
      </c>
      <c r="F248" s="32">
        <v>0.0</v>
      </c>
      <c r="G248" s="34">
        <v>790200.0</v>
      </c>
      <c r="H248" s="35">
        <v>0.56</v>
      </c>
      <c r="I248" s="36">
        <v>1208600.0</v>
      </c>
      <c r="J248" s="37">
        <v>1.44</v>
      </c>
      <c r="K248" s="38">
        <v>0.0</v>
      </c>
      <c r="L248" s="39">
        <v>0.0</v>
      </c>
      <c r="M248" s="38">
        <v>1208600.0</v>
      </c>
      <c r="N248" s="40">
        <v>0.66</v>
      </c>
      <c r="O248" s="36">
        <v>776000.0</v>
      </c>
      <c r="P248" s="37">
        <v>0.85</v>
      </c>
      <c r="Q248" s="38">
        <v>50000.0</v>
      </c>
      <c r="R248" s="32">
        <v>0.04</v>
      </c>
      <c r="S248" s="38">
        <v>826000.0</v>
      </c>
      <c r="T248" s="35">
        <v>0.39</v>
      </c>
      <c r="U248" s="47">
        <v>864776.0</v>
      </c>
      <c r="V248" s="42">
        <v>1.51</v>
      </c>
      <c r="W248" s="43">
        <v>0.0</v>
      </c>
      <c r="X248" s="42">
        <v>0.0</v>
      </c>
      <c r="Y248" s="44">
        <v>864776.0</v>
      </c>
      <c r="Z248" s="42">
        <v>1.25</v>
      </c>
      <c r="AA248" s="45">
        <v>830969.0</v>
      </c>
      <c r="AB248" s="46"/>
      <c r="AC248" s="45">
        <v>0.0</v>
      </c>
      <c r="AD248" s="46"/>
      <c r="AE248" s="45">
        <f t="shared" si="1"/>
        <v>830969</v>
      </c>
      <c r="AF248" s="46"/>
      <c r="AG248" s="45">
        <v>1035727.0</v>
      </c>
      <c r="AH248" s="46"/>
      <c r="AI248" s="45">
        <v>0.0</v>
      </c>
      <c r="AJ248" s="46"/>
      <c r="AK248" s="45">
        <f t="shared" si="2"/>
        <v>1035727</v>
      </c>
      <c r="AL248" s="46"/>
      <c r="AM248" s="45">
        <v>1011014.0</v>
      </c>
      <c r="AN248" s="46"/>
      <c r="AO248" s="45">
        <v>0.0</v>
      </c>
      <c r="AP248" s="46"/>
      <c r="AQ248" s="45">
        <f t="shared" si="3"/>
        <v>1011014</v>
      </c>
      <c r="AR248" s="46"/>
    </row>
    <row r="249" ht="15.75" customHeight="1">
      <c r="A249" s="29">
        <v>60303.0</v>
      </c>
      <c r="B249" s="30" t="s">
        <v>253</v>
      </c>
      <c r="C249" s="31">
        <v>585000.0</v>
      </c>
      <c r="D249" s="32">
        <v>1.39</v>
      </c>
      <c r="E249" s="33">
        <v>0.0</v>
      </c>
      <c r="F249" s="32">
        <v>0.0</v>
      </c>
      <c r="G249" s="34">
        <v>585000.0</v>
      </c>
      <c r="H249" s="35">
        <v>0.5</v>
      </c>
      <c r="I249" s="36">
        <v>901000.0</v>
      </c>
      <c r="J249" s="37">
        <v>1.23</v>
      </c>
      <c r="K249" s="38">
        <v>10000.0</v>
      </c>
      <c r="L249" s="39">
        <v>0.01</v>
      </c>
      <c r="M249" s="38">
        <v>911000.0</v>
      </c>
      <c r="N249" s="40">
        <v>0.62</v>
      </c>
      <c r="O249" s="36">
        <v>1357950.0</v>
      </c>
      <c r="P249" s="37">
        <v>1.8</v>
      </c>
      <c r="Q249" s="38">
        <v>0.0</v>
      </c>
      <c r="R249" s="32">
        <v>0.0</v>
      </c>
      <c r="S249" s="38">
        <v>1357950.0</v>
      </c>
      <c r="T249" s="35">
        <v>0.9</v>
      </c>
      <c r="U249" s="47">
        <v>3385674.0</v>
      </c>
      <c r="V249" s="42">
        <v>4.0</v>
      </c>
      <c r="W249" s="43">
        <v>0.0</v>
      </c>
      <c r="X249" s="42">
        <v>0.0</v>
      </c>
      <c r="Y249" s="44">
        <v>3385674.0</v>
      </c>
      <c r="Z249" s="42">
        <v>2.96</v>
      </c>
      <c r="AA249" s="45">
        <v>3209700.0</v>
      </c>
      <c r="AB249" s="46"/>
      <c r="AC249" s="45">
        <v>0.0</v>
      </c>
      <c r="AD249" s="46"/>
      <c r="AE249" s="45">
        <f t="shared" si="1"/>
        <v>3209700</v>
      </c>
      <c r="AF249" s="46"/>
      <c r="AG249" s="45">
        <v>3209686.0</v>
      </c>
      <c r="AH249" s="46"/>
      <c r="AI249" s="45">
        <v>0.0</v>
      </c>
      <c r="AJ249" s="46"/>
      <c r="AK249" s="45">
        <f t="shared" si="2"/>
        <v>3209686</v>
      </c>
      <c r="AL249" s="46"/>
      <c r="AM249" s="45">
        <v>2998964.0</v>
      </c>
      <c r="AN249" s="46"/>
      <c r="AO249" s="45">
        <v>0.0</v>
      </c>
      <c r="AP249" s="46"/>
      <c r="AQ249" s="45">
        <f t="shared" si="3"/>
        <v>2998964</v>
      </c>
      <c r="AR249" s="46"/>
    </row>
    <row r="250" ht="15.75" customHeight="1">
      <c r="A250" s="29">
        <v>60401.0</v>
      </c>
      <c r="B250" s="30" t="s">
        <v>254</v>
      </c>
      <c r="C250" s="31">
        <v>97864.0</v>
      </c>
      <c r="D250" s="32">
        <v>0.76</v>
      </c>
      <c r="E250" s="33">
        <v>0.0</v>
      </c>
      <c r="F250" s="32">
        <v>0.0</v>
      </c>
      <c r="G250" s="34">
        <v>97864.0</v>
      </c>
      <c r="H250" s="35">
        <v>0.66</v>
      </c>
      <c r="I250" s="36">
        <v>210491.0</v>
      </c>
      <c r="J250" s="37">
        <v>1.31</v>
      </c>
      <c r="K250" s="38">
        <v>0.0</v>
      </c>
      <c r="L250" s="39">
        <v>0.0</v>
      </c>
      <c r="M250" s="38">
        <v>210491.0</v>
      </c>
      <c r="N250" s="40">
        <v>1.03</v>
      </c>
      <c r="O250" s="36">
        <v>220491.0</v>
      </c>
      <c r="P250" s="37">
        <v>1.18</v>
      </c>
      <c r="Q250" s="38">
        <v>0.0</v>
      </c>
      <c r="R250" s="32">
        <v>0.0</v>
      </c>
      <c r="S250" s="38">
        <v>220491.0</v>
      </c>
      <c r="T250" s="35">
        <v>0.72</v>
      </c>
      <c r="U250" s="47">
        <v>170000.0</v>
      </c>
      <c r="V250" s="42">
        <v>1.07</v>
      </c>
      <c r="W250" s="43">
        <v>0.0</v>
      </c>
      <c r="X250" s="42">
        <v>0.0</v>
      </c>
      <c r="Y250" s="44">
        <v>170000.0</v>
      </c>
      <c r="Z250" s="42">
        <v>0.62</v>
      </c>
      <c r="AA250" s="45">
        <v>212041.0</v>
      </c>
      <c r="AB250" s="46"/>
      <c r="AC250" s="45">
        <v>0.0</v>
      </c>
      <c r="AD250" s="46"/>
      <c r="AE250" s="45">
        <f t="shared" si="1"/>
        <v>212041</v>
      </c>
      <c r="AF250" s="46"/>
      <c r="AG250" s="45">
        <v>166800.0</v>
      </c>
      <c r="AH250" s="46"/>
      <c r="AI250" s="45">
        <v>0.0</v>
      </c>
      <c r="AJ250" s="46"/>
      <c r="AK250" s="45">
        <f t="shared" si="2"/>
        <v>166800</v>
      </c>
      <c r="AL250" s="46"/>
      <c r="AM250" s="45">
        <v>300000.0</v>
      </c>
      <c r="AN250" s="46"/>
      <c r="AO250" s="45">
        <v>0.0</v>
      </c>
      <c r="AP250" s="46"/>
      <c r="AQ250" s="45">
        <f t="shared" si="3"/>
        <v>300000</v>
      </c>
      <c r="AR250" s="46"/>
    </row>
    <row r="251" ht="15.75" customHeight="1">
      <c r="A251" s="29">
        <v>60402.0</v>
      </c>
      <c r="B251" s="30" t="s">
        <v>255</v>
      </c>
      <c r="C251" s="31">
        <v>5000.0</v>
      </c>
      <c r="D251" s="32">
        <v>0.09</v>
      </c>
      <c r="E251" s="33">
        <v>0.0</v>
      </c>
      <c r="F251" s="32">
        <v>0.0</v>
      </c>
      <c r="G251" s="34">
        <v>5000.0</v>
      </c>
      <c r="H251" s="35">
        <v>0.05</v>
      </c>
      <c r="I251" s="36">
        <v>93000.0</v>
      </c>
      <c r="J251" s="37">
        <v>1.26</v>
      </c>
      <c r="K251" s="38">
        <v>0.0</v>
      </c>
      <c r="L251" s="39">
        <v>0.0</v>
      </c>
      <c r="M251" s="38">
        <v>93000.0</v>
      </c>
      <c r="N251" s="40">
        <v>0.95</v>
      </c>
      <c r="O251" s="36"/>
      <c r="P251" s="37">
        <v>0.0</v>
      </c>
      <c r="Q251" s="38">
        <v>0.0</v>
      </c>
      <c r="R251" s="32">
        <v>0.0</v>
      </c>
      <c r="S251" s="38"/>
      <c r="T251" s="35">
        <v>0.0</v>
      </c>
      <c r="U251" s="47">
        <v>15735.0</v>
      </c>
      <c r="V251" s="42">
        <v>0.22</v>
      </c>
      <c r="W251" s="43">
        <v>0.0</v>
      </c>
      <c r="X251" s="42">
        <v>0.0</v>
      </c>
      <c r="Y251" s="44">
        <v>15735.0</v>
      </c>
      <c r="Z251" s="42">
        <v>0.11</v>
      </c>
      <c r="AA251" s="45">
        <v>15735.0</v>
      </c>
      <c r="AB251" s="46"/>
      <c r="AC251" s="45">
        <v>0.0</v>
      </c>
      <c r="AD251" s="46"/>
      <c r="AE251" s="45">
        <f t="shared" si="1"/>
        <v>15735</v>
      </c>
      <c r="AF251" s="46"/>
      <c r="AG251" s="45">
        <v>15581.0</v>
      </c>
      <c r="AH251" s="46"/>
      <c r="AI251" s="45">
        <v>0.0</v>
      </c>
      <c r="AJ251" s="46"/>
      <c r="AK251" s="45">
        <f t="shared" si="2"/>
        <v>15581</v>
      </c>
      <c r="AL251" s="46"/>
      <c r="AM251" s="45">
        <v>10500.0</v>
      </c>
      <c r="AN251" s="46"/>
      <c r="AO251" s="45">
        <v>0.0</v>
      </c>
      <c r="AP251" s="46"/>
      <c r="AQ251" s="45">
        <f t="shared" si="3"/>
        <v>10500</v>
      </c>
      <c r="AR251" s="46"/>
    </row>
    <row r="252" ht="15.75" customHeight="1">
      <c r="A252" s="29">
        <v>60501.0</v>
      </c>
      <c r="B252" s="30" t="s">
        <v>256</v>
      </c>
      <c r="C252" s="31">
        <v>297460.0</v>
      </c>
      <c r="D252" s="32">
        <v>1.68</v>
      </c>
      <c r="E252" s="33">
        <v>0.0</v>
      </c>
      <c r="F252" s="32">
        <v>0.0</v>
      </c>
      <c r="G252" s="34">
        <v>297460.0</v>
      </c>
      <c r="H252" s="35">
        <v>0.92</v>
      </c>
      <c r="I252" s="36">
        <v>635293.0</v>
      </c>
      <c r="J252" s="37">
        <v>2.95</v>
      </c>
      <c r="K252" s="38">
        <v>0.0</v>
      </c>
      <c r="L252" s="39">
        <v>0.0</v>
      </c>
      <c r="M252" s="38">
        <v>635293.0</v>
      </c>
      <c r="N252" s="40">
        <v>1.32</v>
      </c>
      <c r="O252" s="36">
        <v>635293.0</v>
      </c>
      <c r="P252" s="37">
        <v>2.69</v>
      </c>
      <c r="Q252" s="38">
        <v>0.0</v>
      </c>
      <c r="R252" s="32">
        <v>0.0</v>
      </c>
      <c r="S252" s="38">
        <v>635293.0</v>
      </c>
      <c r="T252" s="35">
        <v>1.24</v>
      </c>
      <c r="U252" s="47">
        <v>415000.0</v>
      </c>
      <c r="V252" s="42">
        <v>1.92</v>
      </c>
      <c r="W252" s="43">
        <v>0.0</v>
      </c>
      <c r="X252" s="42">
        <v>0.0</v>
      </c>
      <c r="Y252" s="44">
        <v>415000.0</v>
      </c>
      <c r="Z252" s="42">
        <v>1.38</v>
      </c>
      <c r="AA252" s="45">
        <v>160602.0</v>
      </c>
      <c r="AB252" s="46"/>
      <c r="AC252" s="45">
        <v>0.0</v>
      </c>
      <c r="AD252" s="46"/>
      <c r="AE252" s="45">
        <f t="shared" si="1"/>
        <v>160602</v>
      </c>
      <c r="AF252" s="46"/>
      <c r="AG252" s="45">
        <v>745689.0</v>
      </c>
      <c r="AH252" s="46"/>
      <c r="AI252" s="45">
        <v>0.0</v>
      </c>
      <c r="AJ252" s="46"/>
      <c r="AK252" s="45">
        <f t="shared" si="2"/>
        <v>745689</v>
      </c>
      <c r="AL252" s="46"/>
      <c r="AM252" s="45"/>
      <c r="AN252" s="46"/>
      <c r="AO252" s="45">
        <v>0.0</v>
      </c>
      <c r="AP252" s="46"/>
      <c r="AQ252" s="45">
        <f t="shared" si="3"/>
        <v>0</v>
      </c>
      <c r="AR252" s="46"/>
    </row>
    <row r="253" ht="15.75" customHeight="1">
      <c r="A253" s="29">
        <v>60502.0</v>
      </c>
      <c r="B253" s="30" t="s">
        <v>257</v>
      </c>
      <c r="C253" s="31">
        <v>50500.0</v>
      </c>
      <c r="D253" s="32">
        <v>0.55</v>
      </c>
      <c r="E253" s="33">
        <v>0.0</v>
      </c>
      <c r="F253" s="32">
        <v>0.0</v>
      </c>
      <c r="G253" s="34">
        <v>50500.0</v>
      </c>
      <c r="H253" s="35">
        <v>0.31</v>
      </c>
      <c r="I253" s="36">
        <v>52500.0</v>
      </c>
      <c r="J253" s="37">
        <v>0.48</v>
      </c>
      <c r="K253" s="38">
        <v>0.0</v>
      </c>
      <c r="L253" s="39">
        <v>0.0</v>
      </c>
      <c r="M253" s="38">
        <v>52500.0</v>
      </c>
      <c r="N253" s="40">
        <v>0.22</v>
      </c>
      <c r="O253" s="36">
        <v>25492.0</v>
      </c>
      <c r="P253" s="37">
        <v>0.22</v>
      </c>
      <c r="Q253" s="38">
        <v>0.0</v>
      </c>
      <c r="R253" s="32">
        <v>0.0</v>
      </c>
      <c r="S253" s="38">
        <v>25492.0</v>
      </c>
      <c r="T253" s="35">
        <v>0.09</v>
      </c>
      <c r="U253" s="47">
        <v>6000.0</v>
      </c>
      <c r="V253" s="42">
        <v>0.05</v>
      </c>
      <c r="W253" s="43">
        <v>0.0</v>
      </c>
      <c r="X253" s="42">
        <v>0.0</v>
      </c>
      <c r="Y253" s="44">
        <v>6000.0</v>
      </c>
      <c r="Z253" s="42">
        <v>0.02</v>
      </c>
      <c r="AA253" s="45">
        <v>71004.0</v>
      </c>
      <c r="AB253" s="46"/>
      <c r="AC253" s="45">
        <v>0.0</v>
      </c>
      <c r="AD253" s="46"/>
      <c r="AE253" s="45">
        <f t="shared" si="1"/>
        <v>71004</v>
      </c>
      <c r="AF253" s="46"/>
      <c r="AG253" s="45">
        <v>81000.0</v>
      </c>
      <c r="AH253" s="46"/>
      <c r="AI253" s="45">
        <v>0.0</v>
      </c>
      <c r="AJ253" s="46"/>
      <c r="AK253" s="45">
        <f t="shared" si="2"/>
        <v>81000</v>
      </c>
      <c r="AL253" s="46"/>
      <c r="AM253" s="45">
        <v>77000.0</v>
      </c>
      <c r="AN253" s="46"/>
      <c r="AO253" s="45">
        <v>0.0</v>
      </c>
      <c r="AP253" s="46"/>
      <c r="AQ253" s="45">
        <f t="shared" si="3"/>
        <v>77000</v>
      </c>
      <c r="AR253" s="46"/>
    </row>
    <row r="254" ht="15.75" customHeight="1">
      <c r="A254" s="29">
        <v>60601.0</v>
      </c>
      <c r="B254" s="30" t="s">
        <v>159</v>
      </c>
      <c r="C254" s="31">
        <v>307702.0</v>
      </c>
      <c r="D254" s="32">
        <v>1.56</v>
      </c>
      <c r="E254" s="33">
        <v>0.0</v>
      </c>
      <c r="F254" s="32">
        <v>0.0</v>
      </c>
      <c r="G254" s="34">
        <v>307702.0</v>
      </c>
      <c r="H254" s="35">
        <v>0.58</v>
      </c>
      <c r="I254" s="36">
        <v>322982.0</v>
      </c>
      <c r="J254" s="37">
        <v>1.29</v>
      </c>
      <c r="K254" s="38">
        <v>0.0</v>
      </c>
      <c r="L254" s="39">
        <v>0.0</v>
      </c>
      <c r="M254" s="38">
        <v>322982.0</v>
      </c>
      <c r="N254" s="40">
        <v>0.6</v>
      </c>
      <c r="O254" s="36">
        <v>298759.0</v>
      </c>
      <c r="P254" s="37">
        <v>1.14</v>
      </c>
      <c r="Q254" s="38">
        <v>0.0</v>
      </c>
      <c r="R254" s="32">
        <v>0.0</v>
      </c>
      <c r="S254" s="38">
        <v>298759.0</v>
      </c>
      <c r="T254" s="35">
        <v>0.7</v>
      </c>
      <c r="U254" s="47">
        <v>197699.0</v>
      </c>
      <c r="V254" s="42">
        <v>0.82</v>
      </c>
      <c r="W254" s="43">
        <v>0.0</v>
      </c>
      <c r="X254" s="42">
        <v>0.0</v>
      </c>
      <c r="Y254" s="44">
        <v>197699.0</v>
      </c>
      <c r="Z254" s="42">
        <v>0.53</v>
      </c>
      <c r="AA254" s="45">
        <v>228910.0</v>
      </c>
      <c r="AB254" s="46"/>
      <c r="AC254" s="45">
        <v>40000.0</v>
      </c>
      <c r="AD254" s="46"/>
      <c r="AE254" s="45">
        <f t="shared" si="1"/>
        <v>268910</v>
      </c>
      <c r="AF254" s="46"/>
      <c r="AG254" s="45">
        <v>263439.0</v>
      </c>
      <c r="AH254" s="46"/>
      <c r="AI254" s="45">
        <v>0.0</v>
      </c>
      <c r="AJ254" s="46"/>
      <c r="AK254" s="45">
        <f t="shared" si="2"/>
        <v>263439</v>
      </c>
      <c r="AL254" s="46"/>
      <c r="AM254" s="45">
        <v>312569.0</v>
      </c>
      <c r="AN254" s="46"/>
      <c r="AO254" s="45">
        <v>0.0</v>
      </c>
      <c r="AP254" s="46"/>
      <c r="AQ254" s="45">
        <f t="shared" si="3"/>
        <v>312569</v>
      </c>
      <c r="AR254" s="46"/>
    </row>
    <row r="255" ht="15.75" customHeight="1">
      <c r="A255" s="29">
        <v>70101.0</v>
      </c>
      <c r="B255" s="30" t="s">
        <v>258</v>
      </c>
      <c r="C255" s="31">
        <v>8.7396579E7</v>
      </c>
      <c r="D255" s="32">
        <v>9.4</v>
      </c>
      <c r="E255" s="49">
        <v>3400000.0</v>
      </c>
      <c r="F255" s="32">
        <v>0.38</v>
      </c>
      <c r="G255" s="34">
        <v>9.0796579E7</v>
      </c>
      <c r="H255" s="35">
        <v>4.95</v>
      </c>
      <c r="I255" s="36">
        <v>2.1594391E8</v>
      </c>
      <c r="J255" s="37">
        <v>13.23</v>
      </c>
      <c r="K255" s="38">
        <v>4313440.0</v>
      </c>
      <c r="L255" s="39">
        <v>0.48</v>
      </c>
      <c r="M255" s="38">
        <v>2.2025735E8</v>
      </c>
      <c r="N255" s="40">
        <v>8.72</v>
      </c>
      <c r="O255" s="36">
        <v>2.5831728E8</v>
      </c>
      <c r="P255" s="37">
        <v>14.24</v>
      </c>
      <c r="Q255" s="38">
        <v>665000.0</v>
      </c>
      <c r="R255" s="32">
        <v>0.07</v>
      </c>
      <c r="S255" s="38">
        <v>2.5898228E8</v>
      </c>
      <c r="T255" s="35">
        <v>9.5</v>
      </c>
      <c r="U255" s="47">
        <v>2.56912454E8</v>
      </c>
      <c r="V255" s="42">
        <v>11.8</v>
      </c>
      <c r="W255" s="43">
        <v>0.0</v>
      </c>
      <c r="X255" s="42">
        <v>0.0</v>
      </c>
      <c r="Y255" s="44">
        <v>2.56912454E8</v>
      </c>
      <c r="Z255" s="42">
        <v>10.55</v>
      </c>
      <c r="AA255" s="45">
        <v>2.58147644E8</v>
      </c>
      <c r="AB255" s="46"/>
      <c r="AC255" s="45">
        <v>0.0</v>
      </c>
      <c r="AD255" s="46"/>
      <c r="AE255" s="45">
        <f t="shared" si="1"/>
        <v>258147644</v>
      </c>
      <c r="AF255" s="46"/>
      <c r="AG255" s="45">
        <v>3.15553843E8</v>
      </c>
      <c r="AH255" s="46"/>
      <c r="AI255" s="45">
        <v>0.0</v>
      </c>
      <c r="AJ255" s="46"/>
      <c r="AK255" s="45">
        <f t="shared" si="2"/>
        <v>315553843</v>
      </c>
      <c r="AL255" s="46"/>
      <c r="AM255" s="45">
        <v>3.52621164E8</v>
      </c>
      <c r="AN255" s="46"/>
      <c r="AO255" s="45">
        <v>0.0</v>
      </c>
      <c r="AP255" s="46"/>
      <c r="AQ255" s="45">
        <f t="shared" si="3"/>
        <v>352621164</v>
      </c>
      <c r="AR255" s="46"/>
    </row>
    <row r="256" ht="15.75" customHeight="1">
      <c r="A256" s="29">
        <v>70102.0</v>
      </c>
      <c r="B256" s="30" t="s">
        <v>259</v>
      </c>
      <c r="C256" s="31">
        <v>1430325.0</v>
      </c>
      <c r="D256" s="32">
        <v>5.3</v>
      </c>
      <c r="E256" s="33">
        <v>0.0</v>
      </c>
      <c r="F256" s="32">
        <v>0.0</v>
      </c>
      <c r="G256" s="34">
        <v>1430325.0</v>
      </c>
      <c r="H256" s="35">
        <v>3.4</v>
      </c>
      <c r="I256" s="36">
        <v>1350000.0</v>
      </c>
      <c r="J256" s="37">
        <v>3.56</v>
      </c>
      <c r="K256" s="38">
        <v>2000000.0</v>
      </c>
      <c r="L256" s="39">
        <v>20.38</v>
      </c>
      <c r="M256" s="38">
        <v>3350000.0</v>
      </c>
      <c r="N256" s="40">
        <v>7.01</v>
      </c>
      <c r="O256" s="36">
        <v>2270640.0</v>
      </c>
      <c r="P256" s="37">
        <v>4.83</v>
      </c>
      <c r="Q256" s="38">
        <v>0.0</v>
      </c>
      <c r="R256" s="32">
        <v>0.0</v>
      </c>
      <c r="S256" s="38">
        <v>2270640.0</v>
      </c>
      <c r="T256" s="35">
        <v>3.5</v>
      </c>
      <c r="U256" s="47">
        <v>4079400.0</v>
      </c>
      <c r="V256" s="42">
        <v>6.05</v>
      </c>
      <c r="W256" s="43">
        <v>0.0</v>
      </c>
      <c r="X256" s="42">
        <v>0.0</v>
      </c>
      <c r="Y256" s="44">
        <v>4079400.0</v>
      </c>
      <c r="Z256" s="42">
        <v>5.88</v>
      </c>
      <c r="AA256" s="45">
        <v>3903000.0</v>
      </c>
      <c r="AB256" s="46"/>
      <c r="AC256" s="45">
        <v>0.0</v>
      </c>
      <c r="AD256" s="46"/>
      <c r="AE256" s="45">
        <f t="shared" si="1"/>
        <v>3903000</v>
      </c>
      <c r="AF256" s="46"/>
      <c r="AG256" s="45">
        <v>4098150.0</v>
      </c>
      <c r="AH256" s="46"/>
      <c r="AI256" s="45">
        <v>0.0</v>
      </c>
      <c r="AJ256" s="46"/>
      <c r="AK256" s="45">
        <f t="shared" si="2"/>
        <v>4098150</v>
      </c>
      <c r="AL256" s="46"/>
      <c r="AM256" s="45">
        <v>4643750.0</v>
      </c>
      <c r="AN256" s="46"/>
      <c r="AO256" s="45">
        <v>0.0</v>
      </c>
      <c r="AP256" s="46"/>
      <c r="AQ256" s="45">
        <f t="shared" si="3"/>
        <v>4643750</v>
      </c>
      <c r="AR256" s="46"/>
    </row>
    <row r="257" ht="15.75" customHeight="1">
      <c r="A257" s="29">
        <v>70103.0</v>
      </c>
      <c r="B257" s="30" t="s">
        <v>260</v>
      </c>
      <c r="C257" s="31">
        <v>269573.0</v>
      </c>
      <c r="D257" s="32">
        <v>1.54</v>
      </c>
      <c r="E257" s="33">
        <v>0.0</v>
      </c>
      <c r="F257" s="32">
        <v>0.0</v>
      </c>
      <c r="G257" s="34">
        <v>269573.0</v>
      </c>
      <c r="H257" s="35">
        <v>1.26</v>
      </c>
      <c r="I257" s="36">
        <v>269573.0</v>
      </c>
      <c r="J257" s="37">
        <v>1.43</v>
      </c>
      <c r="K257" s="38">
        <v>0.0</v>
      </c>
      <c r="L257" s="39">
        <v>0.0</v>
      </c>
      <c r="M257" s="38">
        <v>269573.0</v>
      </c>
      <c r="N257" s="40">
        <v>1.11</v>
      </c>
      <c r="O257" s="36">
        <v>592627.0</v>
      </c>
      <c r="P257" s="37">
        <v>2.58</v>
      </c>
      <c r="Q257" s="38">
        <v>0.0</v>
      </c>
      <c r="R257" s="32">
        <v>0.0</v>
      </c>
      <c r="S257" s="38">
        <v>592627.0</v>
      </c>
      <c r="T257" s="35">
        <v>2.03</v>
      </c>
      <c r="U257" s="47">
        <v>2121304.0</v>
      </c>
      <c r="V257" s="42">
        <v>3.17</v>
      </c>
      <c r="W257" s="44">
        <v>2200000.0</v>
      </c>
      <c r="X257" s="42">
        <v>7.65</v>
      </c>
      <c r="Y257" s="44">
        <v>4321304.0</v>
      </c>
      <c r="Z257" s="42">
        <v>4.52</v>
      </c>
      <c r="AA257" s="45">
        <v>1681667.0</v>
      </c>
      <c r="AB257" s="46"/>
      <c r="AC257" s="45">
        <v>0.0</v>
      </c>
      <c r="AD257" s="46"/>
      <c r="AE257" s="45">
        <f t="shared" si="1"/>
        <v>1681667</v>
      </c>
      <c r="AF257" s="46"/>
      <c r="AG257" s="45">
        <v>2476312.0</v>
      </c>
      <c r="AH257" s="46"/>
      <c r="AI257" s="45">
        <v>0.0</v>
      </c>
      <c r="AJ257" s="46"/>
      <c r="AK257" s="45">
        <f t="shared" si="2"/>
        <v>2476312</v>
      </c>
      <c r="AL257" s="46"/>
      <c r="AM257" s="45">
        <v>3331829.0</v>
      </c>
      <c r="AN257" s="46"/>
      <c r="AO257" s="45">
        <v>0.0</v>
      </c>
      <c r="AP257" s="46"/>
      <c r="AQ257" s="45">
        <f t="shared" si="3"/>
        <v>3331829</v>
      </c>
      <c r="AR257" s="46"/>
    </row>
    <row r="258" ht="15.75" customHeight="1">
      <c r="A258" s="29">
        <v>70104.0</v>
      </c>
      <c r="B258" s="30" t="s">
        <v>261</v>
      </c>
      <c r="C258" s="31">
        <v>1780000.0</v>
      </c>
      <c r="D258" s="32">
        <v>4.56</v>
      </c>
      <c r="E258" s="49">
        <v>700000.0</v>
      </c>
      <c r="F258" s="32">
        <v>8.9</v>
      </c>
      <c r="G258" s="34">
        <v>2480000.0</v>
      </c>
      <c r="H258" s="35">
        <v>5.29</v>
      </c>
      <c r="I258" s="36">
        <v>2000000.0</v>
      </c>
      <c r="J258" s="37">
        <v>3.59</v>
      </c>
      <c r="K258" s="38">
        <v>1396000.0</v>
      </c>
      <c r="L258" s="39">
        <v>8.4</v>
      </c>
      <c r="M258" s="38">
        <v>3396000.0</v>
      </c>
      <c r="N258" s="40">
        <v>4.7</v>
      </c>
      <c r="O258" s="36">
        <v>3175000.0</v>
      </c>
      <c r="P258" s="37">
        <v>3.95</v>
      </c>
      <c r="Q258" s="38">
        <v>1500000.0</v>
      </c>
      <c r="R258" s="32">
        <v>4.01</v>
      </c>
      <c r="S258" s="38">
        <v>4675000.0</v>
      </c>
      <c r="T258" s="35">
        <v>3.97</v>
      </c>
      <c r="U258" s="47">
        <v>3803143.0</v>
      </c>
      <c r="V258" s="42">
        <v>3.81</v>
      </c>
      <c r="W258" s="43">
        <v>0.0</v>
      </c>
      <c r="X258" s="42">
        <v>0.0</v>
      </c>
      <c r="Y258" s="44">
        <v>3803143.0</v>
      </c>
      <c r="Z258" s="42">
        <v>3.73</v>
      </c>
      <c r="AA258" s="45">
        <v>5200000.0</v>
      </c>
      <c r="AB258" s="46"/>
      <c r="AC258" s="45">
        <v>0.0</v>
      </c>
      <c r="AD258" s="46"/>
      <c r="AE258" s="45">
        <f t="shared" si="1"/>
        <v>5200000</v>
      </c>
      <c r="AF258" s="46"/>
      <c r="AG258" s="45">
        <v>5400000.0</v>
      </c>
      <c r="AH258" s="46"/>
      <c r="AI258" s="45">
        <v>0.0</v>
      </c>
      <c r="AJ258" s="46"/>
      <c r="AK258" s="45">
        <f t="shared" si="2"/>
        <v>5400000</v>
      </c>
      <c r="AL258" s="46"/>
      <c r="AM258" s="45">
        <v>5278776.0</v>
      </c>
      <c r="AN258" s="46"/>
      <c r="AO258" s="45">
        <v>0.0</v>
      </c>
      <c r="AP258" s="46"/>
      <c r="AQ258" s="45">
        <f t="shared" si="3"/>
        <v>5278776</v>
      </c>
      <c r="AR258" s="46"/>
    </row>
    <row r="259" ht="15.75" customHeight="1">
      <c r="A259" s="29">
        <v>70105.0</v>
      </c>
      <c r="B259" s="30" t="s">
        <v>262</v>
      </c>
      <c r="C259" s="31">
        <v>600000.0</v>
      </c>
      <c r="D259" s="32">
        <v>2.48</v>
      </c>
      <c r="E259" s="33">
        <v>0.0</v>
      </c>
      <c r="F259" s="32">
        <v>0.0</v>
      </c>
      <c r="G259" s="34">
        <v>600000.0</v>
      </c>
      <c r="H259" s="35">
        <v>1.62</v>
      </c>
      <c r="I259" s="36">
        <v>1267032.0</v>
      </c>
      <c r="J259" s="37">
        <v>4.5</v>
      </c>
      <c r="K259" s="38">
        <v>0.0</v>
      </c>
      <c r="L259" s="39">
        <v>0.0</v>
      </c>
      <c r="M259" s="38">
        <v>1267032.0</v>
      </c>
      <c r="N259" s="40">
        <v>3.45</v>
      </c>
      <c r="O259" s="36">
        <v>1267032.0</v>
      </c>
      <c r="P259" s="37">
        <v>3.27</v>
      </c>
      <c r="Q259" s="38">
        <v>0.0</v>
      </c>
      <c r="R259" s="32">
        <v>0.0</v>
      </c>
      <c r="S259" s="38">
        <v>1267032.0</v>
      </c>
      <c r="T259" s="35">
        <v>2.27</v>
      </c>
      <c r="U259" s="47">
        <v>1407034.0</v>
      </c>
      <c r="V259" s="42">
        <v>3.32</v>
      </c>
      <c r="W259" s="43">
        <v>0.0</v>
      </c>
      <c r="X259" s="42">
        <v>0.0</v>
      </c>
      <c r="Y259" s="44">
        <v>1407034.0</v>
      </c>
      <c r="Z259" s="42">
        <v>2.98</v>
      </c>
      <c r="AA259" s="45">
        <v>1081400.0</v>
      </c>
      <c r="AB259" s="46"/>
      <c r="AC259" s="45">
        <v>0.0</v>
      </c>
      <c r="AD259" s="46"/>
      <c r="AE259" s="45">
        <f t="shared" si="1"/>
        <v>1081400</v>
      </c>
      <c r="AF259" s="46"/>
      <c r="AG259" s="45">
        <v>1418400.0</v>
      </c>
      <c r="AH259" s="46"/>
      <c r="AI259" s="45">
        <v>0.0</v>
      </c>
      <c r="AJ259" s="46"/>
      <c r="AK259" s="45">
        <f t="shared" si="2"/>
        <v>1418400</v>
      </c>
      <c r="AL259" s="46"/>
      <c r="AM259" s="45">
        <v>1892592.0</v>
      </c>
      <c r="AN259" s="46"/>
      <c r="AO259" s="45">
        <v>0.0</v>
      </c>
      <c r="AP259" s="46"/>
      <c r="AQ259" s="45">
        <f t="shared" si="3"/>
        <v>1892592</v>
      </c>
      <c r="AR259" s="46"/>
    </row>
    <row r="260" ht="15.75" customHeight="1">
      <c r="A260" s="29">
        <v>70201.0</v>
      </c>
      <c r="B260" s="30" t="s">
        <v>263</v>
      </c>
      <c r="C260" s="31">
        <v>2424000.0</v>
      </c>
      <c r="D260" s="32">
        <v>3.79</v>
      </c>
      <c r="E260" s="33">
        <v>0.0</v>
      </c>
      <c r="F260" s="32">
        <v>0.0</v>
      </c>
      <c r="G260" s="34">
        <v>2424000.0</v>
      </c>
      <c r="H260" s="35">
        <v>3.74</v>
      </c>
      <c r="I260" s="36">
        <v>2725000.0</v>
      </c>
      <c r="J260" s="37">
        <v>3.56</v>
      </c>
      <c r="K260" s="38">
        <v>0.0</v>
      </c>
      <c r="L260" s="39">
        <v>0.0</v>
      </c>
      <c r="M260" s="38">
        <v>2725000.0</v>
      </c>
      <c r="N260" s="40">
        <v>2.32</v>
      </c>
      <c r="O260" s="36">
        <v>4594280.0</v>
      </c>
      <c r="P260" s="37">
        <v>4.74</v>
      </c>
      <c r="Q260" s="38">
        <v>0.0</v>
      </c>
      <c r="R260" s="32">
        <v>0.0</v>
      </c>
      <c r="S260" s="38">
        <v>4594280.0</v>
      </c>
      <c r="T260" s="35">
        <v>3.07</v>
      </c>
      <c r="U260" s="47">
        <v>1.3044E7</v>
      </c>
      <c r="V260" s="42">
        <v>7.45</v>
      </c>
      <c r="W260" s="43">
        <v>0.0</v>
      </c>
      <c r="X260" s="42">
        <v>0.0</v>
      </c>
      <c r="Y260" s="44">
        <v>1.3044E7</v>
      </c>
      <c r="Z260" s="42">
        <v>6.04</v>
      </c>
      <c r="AA260" s="45">
        <v>1.25E7</v>
      </c>
      <c r="AB260" s="46"/>
      <c r="AC260" s="45">
        <v>450000.0</v>
      </c>
      <c r="AD260" s="46"/>
      <c r="AE260" s="45">
        <f t="shared" si="1"/>
        <v>12950000</v>
      </c>
      <c r="AF260" s="46"/>
      <c r="AG260" s="45">
        <v>1.35E7</v>
      </c>
      <c r="AH260" s="46"/>
      <c r="AI260" s="45">
        <v>0.0</v>
      </c>
      <c r="AJ260" s="46"/>
      <c r="AK260" s="45">
        <f t="shared" si="2"/>
        <v>13500000</v>
      </c>
      <c r="AL260" s="46"/>
      <c r="AM260" s="45">
        <v>1.52746E7</v>
      </c>
      <c r="AN260" s="46"/>
      <c r="AO260" s="45">
        <v>0.0</v>
      </c>
      <c r="AP260" s="46"/>
      <c r="AQ260" s="45">
        <f t="shared" si="3"/>
        <v>15274600</v>
      </c>
      <c r="AR260" s="46"/>
    </row>
    <row r="261" ht="15.75" customHeight="1">
      <c r="A261" s="29">
        <v>70202.0</v>
      </c>
      <c r="B261" s="30" t="s">
        <v>264</v>
      </c>
      <c r="C261" s="31">
        <v>200000.0</v>
      </c>
      <c r="D261" s="32">
        <v>2.58</v>
      </c>
      <c r="E261" s="33">
        <v>0.0</v>
      </c>
      <c r="F261" s="32">
        <v>0.0</v>
      </c>
      <c r="G261" s="34">
        <v>200000.0</v>
      </c>
      <c r="H261" s="35">
        <v>1.76</v>
      </c>
      <c r="I261" s="36">
        <v>86000.0</v>
      </c>
      <c r="J261" s="37">
        <v>1.13</v>
      </c>
      <c r="K261" s="38">
        <v>0.0</v>
      </c>
      <c r="L261" s="39">
        <v>0.0</v>
      </c>
      <c r="M261" s="38">
        <v>86000.0</v>
      </c>
      <c r="N261" s="40">
        <v>0.7</v>
      </c>
      <c r="O261" s="36">
        <v>111000.0</v>
      </c>
      <c r="P261" s="37">
        <v>1.2</v>
      </c>
      <c r="Q261" s="38">
        <v>0.0</v>
      </c>
      <c r="R261" s="32">
        <v>0.0</v>
      </c>
      <c r="S261" s="38">
        <v>111000.0</v>
      </c>
      <c r="T261" s="35"/>
      <c r="U261" s="41">
        <v>0.0</v>
      </c>
      <c r="V261" s="42">
        <v>0.0</v>
      </c>
      <c r="W261" s="44">
        <v>255720.0</v>
      </c>
      <c r="X261" s="42">
        <v>55.87</v>
      </c>
      <c r="Y261" s="44">
        <v>255720.0</v>
      </c>
      <c r="Z261" s="42">
        <v>3.23</v>
      </c>
      <c r="AA261" s="45">
        <v>919088.0</v>
      </c>
      <c r="AB261" s="46"/>
      <c r="AC261" s="45">
        <v>364506.0</v>
      </c>
      <c r="AD261" s="46"/>
      <c r="AE261" s="45">
        <f t="shared" si="1"/>
        <v>1283594</v>
      </c>
      <c r="AF261" s="46"/>
      <c r="AG261" s="45">
        <v>175000.0</v>
      </c>
      <c r="AH261" s="46"/>
      <c r="AI261" s="45">
        <v>0.0</v>
      </c>
      <c r="AJ261" s="46"/>
      <c r="AK261" s="45">
        <f t="shared" si="2"/>
        <v>175000</v>
      </c>
      <c r="AL261" s="46"/>
      <c r="AM261" s="45">
        <v>200000.0</v>
      </c>
      <c r="AN261" s="46"/>
      <c r="AO261" s="45">
        <v>0.0</v>
      </c>
      <c r="AP261" s="46"/>
      <c r="AQ261" s="45">
        <f t="shared" si="3"/>
        <v>200000</v>
      </c>
      <c r="AR261" s="46"/>
    </row>
    <row r="262" ht="15.75" customHeight="1">
      <c r="A262" s="29">
        <v>70301.0</v>
      </c>
      <c r="B262" s="30" t="s">
        <v>265</v>
      </c>
      <c r="C262" s="31">
        <v>950000.0</v>
      </c>
      <c r="D262" s="32">
        <v>2.89</v>
      </c>
      <c r="E262" s="33">
        <v>0.0</v>
      </c>
      <c r="F262" s="32">
        <v>0.0</v>
      </c>
      <c r="G262" s="34">
        <v>950000.0</v>
      </c>
      <c r="H262" s="35">
        <v>2.36</v>
      </c>
      <c r="I262" s="36">
        <v>1050000.0</v>
      </c>
      <c r="J262" s="37">
        <v>3.14</v>
      </c>
      <c r="K262" s="38">
        <v>0.0</v>
      </c>
      <c r="L262" s="39">
        <v>0.0</v>
      </c>
      <c r="M262" s="38">
        <v>1050000.0</v>
      </c>
      <c r="N262" s="40">
        <v>2.26</v>
      </c>
      <c r="O262" s="36">
        <v>1050000.0</v>
      </c>
      <c r="P262" s="37">
        <v>2.72</v>
      </c>
      <c r="Q262" s="38">
        <v>0.0</v>
      </c>
      <c r="R262" s="32">
        <v>0.0</v>
      </c>
      <c r="S262" s="38">
        <v>1050000.0</v>
      </c>
      <c r="T262" s="35">
        <v>2.08</v>
      </c>
      <c r="U262" s="47">
        <v>2210000.0</v>
      </c>
      <c r="V262" s="42">
        <v>4.48</v>
      </c>
      <c r="W262" s="43">
        <v>0.0</v>
      </c>
      <c r="X262" s="42">
        <v>0.0</v>
      </c>
      <c r="Y262" s="44">
        <v>2210000.0</v>
      </c>
      <c r="Z262" s="42">
        <v>4.22</v>
      </c>
      <c r="AA262" s="45">
        <v>2227256.0</v>
      </c>
      <c r="AB262" s="46"/>
      <c r="AC262" s="45">
        <v>0.0</v>
      </c>
      <c r="AD262" s="46"/>
      <c r="AE262" s="45">
        <f t="shared" si="1"/>
        <v>2227256</v>
      </c>
      <c r="AF262" s="46"/>
      <c r="AG262" s="45">
        <v>2307855.0</v>
      </c>
      <c r="AH262" s="46"/>
      <c r="AI262" s="45">
        <v>0.0</v>
      </c>
      <c r="AJ262" s="46"/>
      <c r="AK262" s="45">
        <f t="shared" si="2"/>
        <v>2307855</v>
      </c>
      <c r="AL262" s="46"/>
      <c r="AM262" s="45">
        <v>2650000.0</v>
      </c>
      <c r="AN262" s="46"/>
      <c r="AO262" s="45">
        <v>0.0</v>
      </c>
      <c r="AP262" s="46"/>
      <c r="AQ262" s="45">
        <f t="shared" si="3"/>
        <v>2650000</v>
      </c>
      <c r="AR262" s="46"/>
    </row>
    <row r="263" ht="15.75" customHeight="1">
      <c r="A263" s="29">
        <v>70302.0</v>
      </c>
      <c r="B263" s="30" t="s">
        <v>266</v>
      </c>
      <c r="C263" s="31">
        <v>78000.0</v>
      </c>
      <c r="D263" s="32">
        <v>0.92</v>
      </c>
      <c r="E263" s="33">
        <v>0.0</v>
      </c>
      <c r="F263" s="32">
        <v>0.0</v>
      </c>
      <c r="G263" s="34">
        <v>78000.0</v>
      </c>
      <c r="H263" s="35">
        <v>0.63</v>
      </c>
      <c r="I263" s="36">
        <v>75000.0</v>
      </c>
      <c r="J263" s="37">
        <v>0.8</v>
      </c>
      <c r="K263" s="38">
        <v>0.0</v>
      </c>
      <c r="L263" s="39">
        <v>0.0</v>
      </c>
      <c r="M263" s="38">
        <v>75000.0</v>
      </c>
      <c r="N263" s="40">
        <v>0.72</v>
      </c>
      <c r="O263" s="36">
        <v>125000.0</v>
      </c>
      <c r="P263" s="37">
        <v>1.37</v>
      </c>
      <c r="Q263" s="38">
        <v>0.0</v>
      </c>
      <c r="R263" s="32">
        <v>0.0</v>
      </c>
      <c r="S263" s="38">
        <v>125000.0</v>
      </c>
      <c r="T263" s="35">
        <v>1.3</v>
      </c>
      <c r="U263" s="47">
        <v>100000.0</v>
      </c>
      <c r="V263" s="42">
        <v>1.2</v>
      </c>
      <c r="W263" s="43">
        <v>0.0</v>
      </c>
      <c r="X263" s="42">
        <v>0.0</v>
      </c>
      <c r="Y263" s="44">
        <v>100000.0</v>
      </c>
      <c r="Z263" s="42">
        <v>1.06</v>
      </c>
      <c r="AA263" s="45">
        <v>120000.0</v>
      </c>
      <c r="AB263" s="46"/>
      <c r="AC263" s="45">
        <v>0.0</v>
      </c>
      <c r="AD263" s="46"/>
      <c r="AE263" s="45">
        <f t="shared" si="1"/>
        <v>120000</v>
      </c>
      <c r="AF263" s="46"/>
      <c r="AG263" s="45">
        <v>137000.0</v>
      </c>
      <c r="AH263" s="46"/>
      <c r="AI263" s="45">
        <v>0.0</v>
      </c>
      <c r="AJ263" s="46"/>
      <c r="AK263" s="45">
        <f t="shared" si="2"/>
        <v>137000</v>
      </c>
      <c r="AL263" s="46"/>
      <c r="AM263" s="45">
        <v>121670.0</v>
      </c>
      <c r="AN263" s="46"/>
      <c r="AO263" s="45">
        <v>0.0</v>
      </c>
      <c r="AP263" s="46"/>
      <c r="AQ263" s="45">
        <f t="shared" si="3"/>
        <v>121670</v>
      </c>
      <c r="AR263" s="46"/>
    </row>
    <row r="264" ht="15.75" customHeight="1">
      <c r="A264" s="29">
        <v>70303.0</v>
      </c>
      <c r="B264" s="30" t="s">
        <v>267</v>
      </c>
      <c r="C264" s="48">
        <v>0.0</v>
      </c>
      <c r="D264" s="32">
        <v>0.0</v>
      </c>
      <c r="E264" s="33">
        <v>0.0</v>
      </c>
      <c r="F264" s="32">
        <v>0.0</v>
      </c>
      <c r="G264" s="34">
        <v>0.0</v>
      </c>
      <c r="H264" s="35">
        <v>0.0</v>
      </c>
      <c r="I264" s="36">
        <v>20000.0</v>
      </c>
      <c r="J264" s="37">
        <v>0.37</v>
      </c>
      <c r="K264" s="38">
        <v>0.0</v>
      </c>
      <c r="L264" s="39">
        <v>0.0</v>
      </c>
      <c r="M264" s="38">
        <v>20000.0</v>
      </c>
      <c r="N264" s="40">
        <v>0.37</v>
      </c>
      <c r="O264" s="36">
        <v>30000.0</v>
      </c>
      <c r="P264" s="37">
        <v>0.54</v>
      </c>
      <c r="Q264" s="38">
        <v>0.0</v>
      </c>
      <c r="R264" s="32">
        <v>0.0</v>
      </c>
      <c r="S264" s="38">
        <v>30000.0</v>
      </c>
      <c r="T264" s="35">
        <v>0.46</v>
      </c>
      <c r="U264" s="47">
        <v>30000.0</v>
      </c>
      <c r="V264" s="42">
        <v>0.49</v>
      </c>
      <c r="W264" s="43">
        <v>0.0</v>
      </c>
      <c r="X264" s="42">
        <v>0.0</v>
      </c>
      <c r="Y264" s="44">
        <v>30000.0</v>
      </c>
      <c r="Z264" s="42">
        <v>0.49</v>
      </c>
      <c r="AA264" s="45">
        <v>53822.0</v>
      </c>
      <c r="AB264" s="46"/>
      <c r="AC264" s="45">
        <v>0.0</v>
      </c>
      <c r="AD264" s="46"/>
      <c r="AE264" s="45">
        <f t="shared" si="1"/>
        <v>53822</v>
      </c>
      <c r="AF264" s="46"/>
      <c r="AG264" s="45">
        <v>36000.0</v>
      </c>
      <c r="AH264" s="46"/>
      <c r="AI264" s="45">
        <v>0.0</v>
      </c>
      <c r="AJ264" s="46"/>
      <c r="AK264" s="45">
        <f t="shared" si="2"/>
        <v>36000</v>
      </c>
      <c r="AL264" s="46"/>
      <c r="AM264" s="45">
        <v>36000.0</v>
      </c>
      <c r="AN264" s="46"/>
      <c r="AO264" s="45">
        <v>0.0</v>
      </c>
      <c r="AP264" s="46"/>
      <c r="AQ264" s="45">
        <f t="shared" si="3"/>
        <v>36000</v>
      </c>
      <c r="AR264" s="46"/>
    </row>
    <row r="265" ht="15.75" customHeight="1">
      <c r="A265" s="29">
        <v>70401.0</v>
      </c>
      <c r="B265" s="30" t="s">
        <v>268</v>
      </c>
      <c r="C265" s="31">
        <v>140000.0</v>
      </c>
      <c r="D265" s="32">
        <v>1.64</v>
      </c>
      <c r="E265" s="33">
        <v>0.0</v>
      </c>
      <c r="F265" s="32">
        <v>0.0</v>
      </c>
      <c r="G265" s="34">
        <v>140000.0</v>
      </c>
      <c r="H265" s="35">
        <v>1.19</v>
      </c>
      <c r="I265" s="36">
        <v>233900.0</v>
      </c>
      <c r="J265" s="37">
        <v>3.07</v>
      </c>
      <c r="K265" s="38">
        <v>0.0</v>
      </c>
      <c r="L265" s="39">
        <v>0.0</v>
      </c>
      <c r="M265" s="38">
        <v>233900.0</v>
      </c>
      <c r="N265" s="40">
        <v>2.51</v>
      </c>
      <c r="O265" s="36">
        <v>170000.0</v>
      </c>
      <c r="P265" s="37">
        <v>1.73</v>
      </c>
      <c r="Q265" s="38">
        <v>0.0</v>
      </c>
      <c r="R265" s="32">
        <v>0.0</v>
      </c>
      <c r="S265" s="38">
        <v>170000.0</v>
      </c>
      <c r="T265" s="35">
        <v>1.35</v>
      </c>
      <c r="U265" s="47">
        <v>143620.0</v>
      </c>
      <c r="V265" s="42">
        <v>1.45</v>
      </c>
      <c r="W265" s="43">
        <v>0.0</v>
      </c>
      <c r="X265" s="42">
        <v>0.0</v>
      </c>
      <c r="Y265" s="44">
        <v>143620.0</v>
      </c>
      <c r="Z265" s="42">
        <v>1.45</v>
      </c>
      <c r="AA265" s="45">
        <v>163500.0</v>
      </c>
      <c r="AB265" s="46"/>
      <c r="AC265" s="45">
        <v>0.0</v>
      </c>
      <c r="AD265" s="46"/>
      <c r="AE265" s="45">
        <f t="shared" si="1"/>
        <v>163500</v>
      </c>
      <c r="AF265" s="46"/>
      <c r="AG265" s="45">
        <v>355600.0</v>
      </c>
      <c r="AH265" s="46"/>
      <c r="AI265" s="45">
        <v>0.0</v>
      </c>
      <c r="AJ265" s="46"/>
      <c r="AK265" s="45">
        <f t="shared" si="2"/>
        <v>355600</v>
      </c>
      <c r="AL265" s="46"/>
      <c r="AM265" s="45"/>
      <c r="AN265" s="46"/>
      <c r="AO265" s="45">
        <v>0.0</v>
      </c>
      <c r="AP265" s="46"/>
      <c r="AQ265" s="45">
        <f t="shared" si="3"/>
        <v>0</v>
      </c>
      <c r="AR265" s="46"/>
    </row>
    <row r="266" ht="15.75" customHeight="1">
      <c r="A266" s="29">
        <v>70402.0</v>
      </c>
      <c r="B266" s="30" t="s">
        <v>269</v>
      </c>
      <c r="C266" s="31">
        <v>85500.0</v>
      </c>
      <c r="D266" s="32">
        <v>0.77</v>
      </c>
      <c r="E266" s="33">
        <v>0.0</v>
      </c>
      <c r="F266" s="32">
        <v>0.0</v>
      </c>
      <c r="G266" s="34">
        <v>85500.0</v>
      </c>
      <c r="H266" s="35">
        <v>0.64</v>
      </c>
      <c r="I266" s="36">
        <v>108917.0</v>
      </c>
      <c r="J266" s="37">
        <v>0.91</v>
      </c>
      <c r="K266" s="38">
        <v>0.0</v>
      </c>
      <c r="L266" s="39">
        <v>0.0</v>
      </c>
      <c r="M266" s="38">
        <v>108917.0</v>
      </c>
      <c r="N266" s="40">
        <v>0.66</v>
      </c>
      <c r="O266" s="36">
        <v>156212.0</v>
      </c>
      <c r="P266" s="37">
        <v>1.11</v>
      </c>
      <c r="Q266" s="38">
        <v>0.0</v>
      </c>
      <c r="R266" s="32">
        <v>0.0</v>
      </c>
      <c r="S266" s="38">
        <v>156212.0</v>
      </c>
      <c r="T266" s="35">
        <v>0.83</v>
      </c>
      <c r="U266" s="47">
        <v>400000.0</v>
      </c>
      <c r="V266" s="42">
        <v>2.05</v>
      </c>
      <c r="W266" s="43">
        <v>0.0</v>
      </c>
      <c r="X266" s="42">
        <v>0.0</v>
      </c>
      <c r="Y266" s="44">
        <v>400000.0</v>
      </c>
      <c r="Z266" s="42">
        <v>1.76</v>
      </c>
      <c r="AA266" s="45">
        <v>400000.0</v>
      </c>
      <c r="AB266" s="46"/>
      <c r="AC266" s="45">
        <v>0.0</v>
      </c>
      <c r="AD266" s="46"/>
      <c r="AE266" s="45">
        <f t="shared" si="1"/>
        <v>400000</v>
      </c>
      <c r="AF266" s="46"/>
      <c r="AG266" s="45">
        <v>400000.0</v>
      </c>
      <c r="AH266" s="46"/>
      <c r="AI266" s="45">
        <v>0.0</v>
      </c>
      <c r="AJ266" s="46"/>
      <c r="AK266" s="45">
        <f t="shared" si="2"/>
        <v>400000</v>
      </c>
      <c r="AL266" s="46"/>
      <c r="AM266" s="45">
        <v>400000.0</v>
      </c>
      <c r="AN266" s="46"/>
      <c r="AO266" s="45">
        <v>0.0</v>
      </c>
      <c r="AP266" s="46"/>
      <c r="AQ266" s="45">
        <f t="shared" si="3"/>
        <v>400000</v>
      </c>
      <c r="AR266" s="46"/>
    </row>
    <row r="267" ht="15.75" customHeight="1">
      <c r="A267" s="29">
        <v>70403.0</v>
      </c>
      <c r="B267" s="30" t="s">
        <v>270</v>
      </c>
      <c r="C267" s="31">
        <v>593642.0</v>
      </c>
      <c r="D267" s="32">
        <v>3.22</v>
      </c>
      <c r="E267" s="33">
        <v>0.0</v>
      </c>
      <c r="F267" s="32">
        <v>0.0</v>
      </c>
      <c r="G267" s="34">
        <v>593642.0</v>
      </c>
      <c r="H267" s="35">
        <v>2.76</v>
      </c>
      <c r="I267" s="36">
        <v>400000.0</v>
      </c>
      <c r="J267" s="37">
        <v>2.03</v>
      </c>
      <c r="K267" s="38">
        <v>0.0</v>
      </c>
      <c r="L267" s="39">
        <v>0.0</v>
      </c>
      <c r="M267" s="38">
        <v>400000.0</v>
      </c>
      <c r="N267" s="40">
        <v>1.19</v>
      </c>
      <c r="O267" s="36">
        <v>855000.0</v>
      </c>
      <c r="P267" s="37">
        <v>2.86</v>
      </c>
      <c r="Q267" s="38">
        <v>0.0</v>
      </c>
      <c r="R267" s="32">
        <v>0.0</v>
      </c>
      <c r="S267" s="38">
        <v>855000.0</v>
      </c>
      <c r="T267" s="35">
        <v>1.89</v>
      </c>
      <c r="U267" s="41">
        <v>0.0</v>
      </c>
      <c r="V267" s="42">
        <v>0.0</v>
      </c>
      <c r="W267" s="44">
        <v>768269.0</v>
      </c>
      <c r="X267" s="42">
        <v>36.66</v>
      </c>
      <c r="Y267" s="44">
        <v>768269.0</v>
      </c>
      <c r="Z267" s="42">
        <v>3.25</v>
      </c>
      <c r="AA267" s="45">
        <v>3335689.0</v>
      </c>
      <c r="AB267" s="46"/>
      <c r="AC267" s="45">
        <v>0.0</v>
      </c>
      <c r="AD267" s="46"/>
      <c r="AE267" s="45">
        <f t="shared" si="1"/>
        <v>3335689</v>
      </c>
      <c r="AF267" s="46"/>
      <c r="AG267" s="45">
        <v>3825448.0</v>
      </c>
      <c r="AH267" s="46"/>
      <c r="AI267" s="45">
        <v>0.0</v>
      </c>
      <c r="AJ267" s="46"/>
      <c r="AK267" s="45">
        <f t="shared" si="2"/>
        <v>3825448</v>
      </c>
      <c r="AL267" s="46"/>
      <c r="AM267" s="45">
        <v>2893916.0</v>
      </c>
      <c r="AN267" s="46"/>
      <c r="AO267" s="45">
        <v>887084.0</v>
      </c>
      <c r="AP267" s="46"/>
      <c r="AQ267" s="45">
        <f t="shared" si="3"/>
        <v>3781000</v>
      </c>
      <c r="AR267" s="46"/>
    </row>
    <row r="268" ht="15.75" customHeight="1">
      <c r="A268" s="29">
        <v>70404.0</v>
      </c>
      <c r="B268" s="30" t="s">
        <v>271</v>
      </c>
      <c r="C268" s="31">
        <v>80000.0</v>
      </c>
      <c r="D268" s="32">
        <v>1.26</v>
      </c>
      <c r="E268" s="33">
        <v>0.0</v>
      </c>
      <c r="F268" s="32">
        <v>0.0</v>
      </c>
      <c r="G268" s="34">
        <v>80000.0</v>
      </c>
      <c r="H268" s="35">
        <v>0.98</v>
      </c>
      <c r="I268" s="36">
        <v>100000.0</v>
      </c>
      <c r="J268" s="37">
        <v>1.2</v>
      </c>
      <c r="K268" s="38">
        <v>0.0</v>
      </c>
      <c r="L268" s="39">
        <v>0.0</v>
      </c>
      <c r="M268" s="38">
        <v>100000.0</v>
      </c>
      <c r="N268" s="40">
        <v>1.08</v>
      </c>
      <c r="O268" s="36">
        <v>450000.0</v>
      </c>
      <c r="P268" s="37">
        <v>5.74</v>
      </c>
      <c r="Q268" s="38">
        <v>0.0</v>
      </c>
      <c r="R268" s="32">
        <v>0.0</v>
      </c>
      <c r="S268" s="38">
        <v>450000.0</v>
      </c>
      <c r="T268" s="35">
        <v>5.07</v>
      </c>
      <c r="U268" s="47">
        <v>575567.0</v>
      </c>
      <c r="V268" s="42">
        <v>6.73</v>
      </c>
      <c r="W268" s="44">
        <v>499687.0</v>
      </c>
      <c r="X268" s="42">
        <v>98.46</v>
      </c>
      <c r="Y268" s="44">
        <v>1075254.0</v>
      </c>
      <c r="Z268" s="42">
        <v>11.87</v>
      </c>
      <c r="AA268" s="45">
        <v>521031.0</v>
      </c>
      <c r="AB268" s="46"/>
      <c r="AC268" s="45">
        <v>0.0</v>
      </c>
      <c r="AD268" s="46"/>
      <c r="AE268" s="45">
        <f t="shared" si="1"/>
        <v>521031</v>
      </c>
      <c r="AF268" s="46"/>
      <c r="AG268" s="45">
        <v>671031.0</v>
      </c>
      <c r="AH268" s="46"/>
      <c r="AI268" s="45">
        <v>0.0</v>
      </c>
      <c r="AJ268" s="46"/>
      <c r="AK268" s="45">
        <f t="shared" si="2"/>
        <v>671031</v>
      </c>
      <c r="AL268" s="46"/>
      <c r="AM268" s="45"/>
      <c r="AN268" s="46"/>
      <c r="AO268" s="45">
        <v>0.0</v>
      </c>
      <c r="AP268" s="46"/>
      <c r="AQ268" s="45">
        <f t="shared" si="3"/>
        <v>0</v>
      </c>
      <c r="AR268" s="46"/>
    </row>
    <row r="269" ht="15.75" customHeight="1">
      <c r="A269" s="29">
        <v>70501.0</v>
      </c>
      <c r="B269" s="30" t="s">
        <v>272</v>
      </c>
      <c r="C269" s="31">
        <v>555000.0</v>
      </c>
      <c r="D269" s="32">
        <v>3.5</v>
      </c>
      <c r="E269" s="33">
        <v>0.0</v>
      </c>
      <c r="F269" s="32">
        <v>0.0</v>
      </c>
      <c r="G269" s="34">
        <v>555000.0</v>
      </c>
      <c r="H269" s="35">
        <v>2.7</v>
      </c>
      <c r="I269" s="36">
        <v>725000.0</v>
      </c>
      <c r="J269" s="37">
        <v>3.94</v>
      </c>
      <c r="K269" s="38">
        <v>0.0</v>
      </c>
      <c r="L269" s="39">
        <v>0.0</v>
      </c>
      <c r="M269" s="38">
        <v>725000.0</v>
      </c>
      <c r="N269" s="40">
        <v>3.24</v>
      </c>
      <c r="O269" s="36">
        <v>700000.0</v>
      </c>
      <c r="P269" s="37">
        <v>2.73</v>
      </c>
      <c r="Q269" s="38">
        <v>0.0</v>
      </c>
      <c r="R269" s="32">
        <v>0.0</v>
      </c>
      <c r="S269" s="38">
        <v>700000.0</v>
      </c>
      <c r="T269" s="35">
        <v>1.73</v>
      </c>
      <c r="U269" s="47">
        <v>570000.0</v>
      </c>
      <c r="V269" s="42">
        <v>2.38</v>
      </c>
      <c r="W269" s="43">
        <v>0.0</v>
      </c>
      <c r="X269" s="42">
        <v>0.0</v>
      </c>
      <c r="Y269" s="44">
        <v>570000.0</v>
      </c>
      <c r="Z269" s="42">
        <v>2.36</v>
      </c>
      <c r="AA269" s="45">
        <v>546432.0</v>
      </c>
      <c r="AB269" s="46"/>
      <c r="AC269" s="45">
        <v>0.0</v>
      </c>
      <c r="AD269" s="46"/>
      <c r="AE269" s="45">
        <f t="shared" si="1"/>
        <v>546432</v>
      </c>
      <c r="AF269" s="46"/>
      <c r="AG269" s="45">
        <v>650307.0</v>
      </c>
      <c r="AH269" s="46"/>
      <c r="AI269" s="45">
        <v>0.0</v>
      </c>
      <c r="AJ269" s="46"/>
      <c r="AK269" s="45">
        <f t="shared" si="2"/>
        <v>650307</v>
      </c>
      <c r="AL269" s="46"/>
      <c r="AM269" s="45">
        <v>448540.0</v>
      </c>
      <c r="AN269" s="46"/>
      <c r="AO269" s="45">
        <v>0.0</v>
      </c>
      <c r="AP269" s="46"/>
      <c r="AQ269" s="45">
        <f t="shared" si="3"/>
        <v>448540</v>
      </c>
      <c r="AR269" s="46"/>
    </row>
    <row r="270" ht="15.75" customHeight="1">
      <c r="A270" s="29">
        <v>70502.0</v>
      </c>
      <c r="B270" s="30" t="s">
        <v>273</v>
      </c>
      <c r="C270" s="31">
        <v>522850.0</v>
      </c>
      <c r="D270" s="32">
        <v>2.45</v>
      </c>
      <c r="E270" s="33">
        <v>0.0</v>
      </c>
      <c r="F270" s="32">
        <v>0.0</v>
      </c>
      <c r="G270" s="34">
        <v>522850.0</v>
      </c>
      <c r="H270" s="35">
        <v>2.32</v>
      </c>
      <c r="I270" s="36">
        <v>0.0</v>
      </c>
      <c r="J270" s="32">
        <v>0.0</v>
      </c>
      <c r="K270" s="38">
        <v>0.0</v>
      </c>
      <c r="L270" s="39">
        <v>0.0</v>
      </c>
      <c r="M270" s="38">
        <v>0.0</v>
      </c>
      <c r="N270" s="35">
        <v>0.0</v>
      </c>
      <c r="O270" s="36">
        <v>746000.0</v>
      </c>
      <c r="P270" s="37">
        <v>2.06</v>
      </c>
      <c r="Q270" s="38">
        <v>0.0</v>
      </c>
      <c r="R270" s="32">
        <v>0.0</v>
      </c>
      <c r="S270" s="38">
        <v>746000.0</v>
      </c>
      <c r="T270" s="35">
        <v>1.49</v>
      </c>
      <c r="U270" s="41">
        <v>0.0</v>
      </c>
      <c r="V270" s="42">
        <v>0.0</v>
      </c>
      <c r="W270" s="43">
        <v>0.0</v>
      </c>
      <c r="X270" s="42">
        <v>0.0</v>
      </c>
      <c r="Y270" s="44">
        <v>0.0</v>
      </c>
      <c r="Z270" s="42">
        <v>0.0</v>
      </c>
      <c r="AA270" s="45">
        <v>903650.0</v>
      </c>
      <c r="AB270" s="46"/>
      <c r="AC270" s="45">
        <v>0.0</v>
      </c>
      <c r="AD270" s="46"/>
      <c r="AE270" s="45">
        <f t="shared" si="1"/>
        <v>903650</v>
      </c>
      <c r="AF270" s="46"/>
      <c r="AG270" s="45">
        <v>903650.0</v>
      </c>
      <c r="AH270" s="46"/>
      <c r="AI270" s="45">
        <v>0.0</v>
      </c>
      <c r="AJ270" s="46"/>
      <c r="AK270" s="45">
        <f t="shared" si="2"/>
        <v>903650</v>
      </c>
      <c r="AL270" s="46"/>
      <c r="AM270" s="45">
        <v>891075.0</v>
      </c>
      <c r="AN270" s="46"/>
      <c r="AO270" s="45">
        <v>0.0</v>
      </c>
      <c r="AP270" s="46"/>
      <c r="AQ270" s="45">
        <f t="shared" si="3"/>
        <v>891075</v>
      </c>
      <c r="AR270" s="46"/>
    </row>
    <row r="271" ht="15.75" customHeight="1">
      <c r="A271" s="29">
        <v>70503.0</v>
      </c>
      <c r="B271" s="30" t="s">
        <v>274</v>
      </c>
      <c r="C271" s="31">
        <v>383000.0</v>
      </c>
      <c r="D271" s="32">
        <v>3.84</v>
      </c>
      <c r="E271" s="33">
        <v>0.0</v>
      </c>
      <c r="F271" s="32">
        <v>0.0</v>
      </c>
      <c r="G271" s="34">
        <v>383000.0</v>
      </c>
      <c r="H271" s="35">
        <v>2.65</v>
      </c>
      <c r="I271" s="36">
        <v>533000.0</v>
      </c>
      <c r="J271" s="37">
        <v>4.55</v>
      </c>
      <c r="K271" s="38">
        <v>0.0</v>
      </c>
      <c r="L271" s="39">
        <v>0.0</v>
      </c>
      <c r="M271" s="38">
        <v>533000.0</v>
      </c>
      <c r="N271" s="40">
        <v>3.01</v>
      </c>
      <c r="O271" s="36">
        <v>610000.0</v>
      </c>
      <c r="P271" s="37">
        <v>5.05</v>
      </c>
      <c r="Q271" s="38">
        <v>0.0</v>
      </c>
      <c r="R271" s="32">
        <v>0.0</v>
      </c>
      <c r="S271" s="38">
        <v>610000.0</v>
      </c>
      <c r="T271" s="35">
        <v>3.58</v>
      </c>
      <c r="U271" s="47">
        <v>117220.0</v>
      </c>
      <c r="V271" s="42">
        <v>0.79</v>
      </c>
      <c r="W271" s="43">
        <v>0.0</v>
      </c>
      <c r="X271" s="42">
        <v>0.0</v>
      </c>
      <c r="Y271" s="44">
        <v>117220.0</v>
      </c>
      <c r="Z271" s="42">
        <v>0.77</v>
      </c>
      <c r="AA271" s="45">
        <v>260500.0</v>
      </c>
      <c r="AB271" s="46"/>
      <c r="AC271" s="45">
        <v>0.0</v>
      </c>
      <c r="AD271" s="46"/>
      <c r="AE271" s="45">
        <f t="shared" si="1"/>
        <v>260500</v>
      </c>
      <c r="AF271" s="46"/>
      <c r="AG271" s="45">
        <v>255000.0</v>
      </c>
      <c r="AH271" s="46"/>
      <c r="AI271" s="45">
        <v>0.0</v>
      </c>
      <c r="AJ271" s="46"/>
      <c r="AK271" s="45">
        <f t="shared" si="2"/>
        <v>255000</v>
      </c>
      <c r="AL271" s="46"/>
      <c r="AM271" s="45">
        <v>300000.0</v>
      </c>
      <c r="AN271" s="46"/>
      <c r="AO271" s="45">
        <v>0.0</v>
      </c>
      <c r="AP271" s="46"/>
      <c r="AQ271" s="45">
        <f t="shared" si="3"/>
        <v>300000</v>
      </c>
      <c r="AR271" s="46"/>
    </row>
    <row r="272" ht="15.75" customHeight="1">
      <c r="A272" s="29">
        <v>70601.0</v>
      </c>
      <c r="B272" s="30" t="s">
        <v>275</v>
      </c>
      <c r="C272" s="31">
        <v>517000.0</v>
      </c>
      <c r="D272" s="32">
        <v>4.51</v>
      </c>
      <c r="E272" s="33">
        <v>0.0</v>
      </c>
      <c r="F272" s="32">
        <v>0.0</v>
      </c>
      <c r="G272" s="34">
        <v>517000.0</v>
      </c>
      <c r="H272" s="35">
        <v>3.37</v>
      </c>
      <c r="I272" s="36">
        <v>580000.0</v>
      </c>
      <c r="J272" s="37">
        <v>4.46</v>
      </c>
      <c r="K272" s="38">
        <v>0.0</v>
      </c>
      <c r="L272" s="39">
        <v>0.0</v>
      </c>
      <c r="M272" s="38">
        <v>580000.0</v>
      </c>
      <c r="N272" s="40">
        <v>2.72</v>
      </c>
      <c r="O272" s="36">
        <v>553629.0</v>
      </c>
      <c r="P272" s="37">
        <v>3.95</v>
      </c>
      <c r="Q272" s="38">
        <v>0.0</v>
      </c>
      <c r="R272" s="32">
        <v>0.0</v>
      </c>
      <c r="S272" s="38">
        <v>553629.0</v>
      </c>
      <c r="T272" s="35">
        <v>2.39</v>
      </c>
      <c r="U272" s="47">
        <v>1000000.0</v>
      </c>
      <c r="V272" s="42">
        <v>4.71</v>
      </c>
      <c r="W272" s="43">
        <v>0.0</v>
      </c>
      <c r="X272" s="42">
        <v>0.0</v>
      </c>
      <c r="Y272" s="44">
        <v>1000000.0</v>
      </c>
      <c r="Z272" s="42">
        <v>4.24</v>
      </c>
      <c r="AA272" s="45">
        <v>1020000.0</v>
      </c>
      <c r="AB272" s="46"/>
      <c r="AC272" s="45">
        <v>0.0</v>
      </c>
      <c r="AD272" s="46"/>
      <c r="AE272" s="45">
        <f t="shared" si="1"/>
        <v>1020000</v>
      </c>
      <c r="AF272" s="46"/>
      <c r="AG272" s="45">
        <v>1050001.0</v>
      </c>
      <c r="AH272" s="46"/>
      <c r="AI272" s="45">
        <v>0.0</v>
      </c>
      <c r="AJ272" s="46"/>
      <c r="AK272" s="45">
        <f t="shared" si="2"/>
        <v>1050001</v>
      </c>
      <c r="AL272" s="46"/>
      <c r="AM272" s="45">
        <v>850000.0</v>
      </c>
      <c r="AN272" s="46"/>
      <c r="AO272" s="45">
        <v>0.0</v>
      </c>
      <c r="AP272" s="46"/>
      <c r="AQ272" s="45">
        <f t="shared" si="3"/>
        <v>850000</v>
      </c>
      <c r="AR272" s="46"/>
    </row>
    <row r="273" ht="15.75" customHeight="1">
      <c r="A273" s="29">
        <v>70602.0</v>
      </c>
      <c r="B273" s="30" t="s">
        <v>276</v>
      </c>
      <c r="C273" s="31">
        <v>117999.0</v>
      </c>
      <c r="D273" s="32">
        <v>1.01</v>
      </c>
      <c r="E273" s="33">
        <v>0.0</v>
      </c>
      <c r="F273" s="32">
        <v>0.0</v>
      </c>
      <c r="G273" s="34">
        <v>117999.0</v>
      </c>
      <c r="H273" s="35">
        <v>0.88</v>
      </c>
      <c r="I273" s="36">
        <v>97419.0</v>
      </c>
      <c r="J273" s="37">
        <v>0.78</v>
      </c>
      <c r="K273" s="38">
        <v>0.0</v>
      </c>
      <c r="L273" s="39">
        <v>0.0</v>
      </c>
      <c r="M273" s="38">
        <v>97419.0</v>
      </c>
      <c r="N273" s="40">
        <v>0.74</v>
      </c>
      <c r="O273" s="36">
        <v>85340.0</v>
      </c>
      <c r="P273" s="37">
        <v>0.57</v>
      </c>
      <c r="Q273" s="38">
        <v>0.0</v>
      </c>
      <c r="R273" s="32">
        <v>0.0</v>
      </c>
      <c r="S273" s="38">
        <v>85340.0</v>
      </c>
      <c r="T273" s="35">
        <v>0.52</v>
      </c>
      <c r="U273" s="41">
        <v>0.0</v>
      </c>
      <c r="V273" s="42">
        <v>0.0</v>
      </c>
      <c r="W273" s="43">
        <v>0.0</v>
      </c>
      <c r="X273" s="42">
        <v>0.0</v>
      </c>
      <c r="Y273" s="44">
        <v>0.0</v>
      </c>
      <c r="Z273" s="42">
        <v>0.0</v>
      </c>
      <c r="AA273" s="45">
        <v>0.0</v>
      </c>
      <c r="AB273" s="46"/>
      <c r="AC273" s="45">
        <v>0.0</v>
      </c>
      <c r="AD273" s="46"/>
      <c r="AE273" s="45">
        <f t="shared" si="1"/>
        <v>0</v>
      </c>
      <c r="AF273" s="46"/>
      <c r="AG273" s="45">
        <v>105000.0</v>
      </c>
      <c r="AH273" s="46"/>
      <c r="AI273" s="45">
        <v>0.0</v>
      </c>
      <c r="AJ273" s="46"/>
      <c r="AK273" s="45">
        <f t="shared" si="2"/>
        <v>105000</v>
      </c>
      <c r="AL273" s="46"/>
      <c r="AM273" s="45">
        <v>105000.0</v>
      </c>
      <c r="AN273" s="46"/>
      <c r="AO273" s="45">
        <v>0.0</v>
      </c>
      <c r="AP273" s="46"/>
      <c r="AQ273" s="45">
        <f t="shared" si="3"/>
        <v>105000</v>
      </c>
      <c r="AR273" s="46"/>
    </row>
    <row r="274" ht="15.75" customHeight="1">
      <c r="A274" s="29">
        <v>70603.0</v>
      </c>
      <c r="B274" s="30" t="s">
        <v>277</v>
      </c>
      <c r="C274" s="31">
        <v>190000.0</v>
      </c>
      <c r="D274" s="32">
        <v>3.65</v>
      </c>
      <c r="E274" s="33">
        <v>0.0</v>
      </c>
      <c r="F274" s="32">
        <v>0.0</v>
      </c>
      <c r="G274" s="34">
        <v>190000.0</v>
      </c>
      <c r="H274" s="35">
        <v>3.09</v>
      </c>
      <c r="I274" s="36">
        <v>170000.0</v>
      </c>
      <c r="J274" s="37">
        <v>3.3</v>
      </c>
      <c r="K274" s="38">
        <v>0.0</v>
      </c>
      <c r="L274" s="39">
        <v>0.0</v>
      </c>
      <c r="M274" s="38">
        <v>170000.0</v>
      </c>
      <c r="N274" s="40">
        <v>2.34</v>
      </c>
      <c r="O274" s="36">
        <v>170000.0</v>
      </c>
      <c r="P274" s="37">
        <v>3.03</v>
      </c>
      <c r="Q274" s="38">
        <v>0.0</v>
      </c>
      <c r="R274" s="32">
        <v>0.0</v>
      </c>
      <c r="S274" s="38">
        <v>170000.0</v>
      </c>
      <c r="T274" s="35">
        <v>2.79</v>
      </c>
      <c r="U274" s="47">
        <v>520000.0</v>
      </c>
      <c r="V274" s="42">
        <v>4.7</v>
      </c>
      <c r="W274" s="43">
        <v>0.0</v>
      </c>
      <c r="X274" s="42">
        <v>0.0</v>
      </c>
      <c r="Y274" s="44">
        <v>520000.0</v>
      </c>
      <c r="Z274" s="42">
        <v>3.7</v>
      </c>
      <c r="AA274" s="45">
        <v>1716000.0</v>
      </c>
      <c r="AB274" s="46"/>
      <c r="AC274" s="45">
        <v>0.0</v>
      </c>
      <c r="AD274" s="46"/>
      <c r="AE274" s="45">
        <f t="shared" si="1"/>
        <v>1716000</v>
      </c>
      <c r="AF274" s="46"/>
      <c r="AG274" s="45">
        <v>118000.0</v>
      </c>
      <c r="AH274" s="46"/>
      <c r="AI274" s="45">
        <v>60000.0</v>
      </c>
      <c r="AJ274" s="46"/>
      <c r="AK274" s="45">
        <f t="shared" si="2"/>
        <v>178000</v>
      </c>
      <c r="AL274" s="46"/>
      <c r="AM274" s="45">
        <v>99000.0</v>
      </c>
      <c r="AN274" s="46"/>
      <c r="AO274" s="45">
        <v>0.0</v>
      </c>
      <c r="AP274" s="46"/>
      <c r="AQ274" s="45">
        <f t="shared" si="3"/>
        <v>99000</v>
      </c>
      <c r="AR274" s="46"/>
    </row>
    <row r="275" ht="15.75" customHeight="1">
      <c r="A275" s="29">
        <v>70701.0</v>
      </c>
      <c r="B275" s="30" t="s">
        <v>278</v>
      </c>
      <c r="C275" s="31">
        <v>50000.0</v>
      </c>
      <c r="D275" s="32">
        <v>1.17</v>
      </c>
      <c r="E275" s="33">
        <v>0.0</v>
      </c>
      <c r="F275" s="32">
        <v>0.0</v>
      </c>
      <c r="G275" s="34">
        <v>50000.0</v>
      </c>
      <c r="H275" s="35">
        <v>0.65</v>
      </c>
      <c r="I275" s="36">
        <v>30000.0</v>
      </c>
      <c r="J275" s="37">
        <v>0.68</v>
      </c>
      <c r="K275" s="38">
        <v>0.0</v>
      </c>
      <c r="L275" s="39">
        <v>0.0</v>
      </c>
      <c r="M275" s="38">
        <v>30000.0</v>
      </c>
      <c r="N275" s="40">
        <v>0.65</v>
      </c>
      <c r="O275" s="36">
        <v>20000.0</v>
      </c>
      <c r="P275" s="37">
        <v>0.48</v>
      </c>
      <c r="Q275" s="38">
        <v>0.0</v>
      </c>
      <c r="R275" s="32">
        <v>0.0</v>
      </c>
      <c r="S275" s="38">
        <v>20000.0</v>
      </c>
      <c r="T275" s="35">
        <v>0.35</v>
      </c>
      <c r="U275" s="47">
        <v>30000.0</v>
      </c>
      <c r="V275" s="42">
        <v>0.99</v>
      </c>
      <c r="W275" s="43">
        <v>0.0</v>
      </c>
      <c r="X275" s="42">
        <v>0.0</v>
      </c>
      <c r="Y275" s="44">
        <v>30000.0</v>
      </c>
      <c r="Z275" s="42">
        <v>0.98</v>
      </c>
      <c r="AA275" s="45">
        <v>30000.0</v>
      </c>
      <c r="AB275" s="46"/>
      <c r="AC275" s="45">
        <v>0.0</v>
      </c>
      <c r="AD275" s="46"/>
      <c r="AE275" s="45">
        <f t="shared" si="1"/>
        <v>30000</v>
      </c>
      <c r="AF275" s="46"/>
      <c r="AG275" s="45">
        <v>30000.0</v>
      </c>
      <c r="AH275" s="46"/>
      <c r="AI275" s="45">
        <v>0.0</v>
      </c>
      <c r="AJ275" s="46"/>
      <c r="AK275" s="45">
        <f t="shared" si="2"/>
        <v>30000</v>
      </c>
      <c r="AL275" s="46"/>
      <c r="AM275" s="45">
        <v>30000.0</v>
      </c>
      <c r="AN275" s="46"/>
      <c r="AO275" s="45">
        <v>0.0</v>
      </c>
      <c r="AP275" s="46"/>
      <c r="AQ275" s="45">
        <f t="shared" si="3"/>
        <v>30000</v>
      </c>
      <c r="AR275" s="46"/>
    </row>
    <row r="276" ht="15.75" customHeight="1">
      <c r="A276" s="29">
        <v>70702.0</v>
      </c>
      <c r="B276" s="30" t="s">
        <v>279</v>
      </c>
      <c r="C276" s="48">
        <v>0.0</v>
      </c>
      <c r="D276" s="32">
        <v>0.0</v>
      </c>
      <c r="E276" s="33">
        <v>0.0</v>
      </c>
      <c r="F276" s="32">
        <v>0.0</v>
      </c>
      <c r="G276" s="34">
        <v>0.0</v>
      </c>
      <c r="H276" s="35">
        <v>0.0</v>
      </c>
      <c r="I276" s="48">
        <v>0.0</v>
      </c>
      <c r="J276" s="32">
        <v>0.0</v>
      </c>
      <c r="K276" s="38">
        <v>0.0</v>
      </c>
      <c r="L276" s="39">
        <v>0.0</v>
      </c>
      <c r="M276" s="34">
        <v>0.0</v>
      </c>
      <c r="N276" s="35">
        <v>0.0</v>
      </c>
      <c r="O276" s="48">
        <v>0.0</v>
      </c>
      <c r="P276" s="32">
        <v>0.0</v>
      </c>
      <c r="Q276" s="38">
        <v>0.0</v>
      </c>
      <c r="R276" s="32">
        <v>0.0</v>
      </c>
      <c r="S276" s="34">
        <v>0.0</v>
      </c>
      <c r="T276" s="35">
        <v>0.0</v>
      </c>
      <c r="U276" s="41">
        <v>0.0</v>
      </c>
      <c r="V276" s="42">
        <v>0.0</v>
      </c>
      <c r="W276" s="43">
        <v>0.0</v>
      </c>
      <c r="X276" s="42">
        <v>0.0</v>
      </c>
      <c r="Y276" s="44">
        <v>0.0</v>
      </c>
      <c r="Z276" s="42">
        <v>0.0</v>
      </c>
      <c r="AA276" s="45">
        <v>240808.0</v>
      </c>
      <c r="AB276" s="46"/>
      <c r="AC276" s="45">
        <v>0.0</v>
      </c>
      <c r="AD276" s="46"/>
      <c r="AE276" s="45">
        <f t="shared" si="1"/>
        <v>240808</v>
      </c>
      <c r="AF276" s="46"/>
      <c r="AG276" s="45"/>
      <c r="AH276" s="46"/>
      <c r="AI276" s="45">
        <v>0.0</v>
      </c>
      <c r="AJ276" s="46"/>
      <c r="AK276" s="45">
        <f t="shared" si="2"/>
        <v>0</v>
      </c>
      <c r="AL276" s="46"/>
      <c r="AM276" s="45"/>
      <c r="AN276" s="46"/>
      <c r="AO276" s="45">
        <v>0.0</v>
      </c>
      <c r="AP276" s="46"/>
      <c r="AQ276" s="45">
        <f t="shared" si="3"/>
        <v>0</v>
      </c>
      <c r="AR276" s="46"/>
    </row>
    <row r="277" ht="15.75" customHeight="1">
      <c r="A277" s="29">
        <v>70703.0</v>
      </c>
      <c r="B277" s="30" t="s">
        <v>280</v>
      </c>
      <c r="C277" s="31">
        <v>90000.0</v>
      </c>
      <c r="D277" s="32">
        <v>0.53</v>
      </c>
      <c r="E277" s="33">
        <v>0.0</v>
      </c>
      <c r="F277" s="32">
        <v>0.0</v>
      </c>
      <c r="G277" s="34">
        <v>90000.0</v>
      </c>
      <c r="H277" s="35">
        <v>0.33</v>
      </c>
      <c r="I277" s="36">
        <v>110000.0</v>
      </c>
      <c r="J277" s="37">
        <v>0.65</v>
      </c>
      <c r="K277" s="38">
        <v>0.0</v>
      </c>
      <c r="L277" s="39">
        <v>0.0</v>
      </c>
      <c r="M277" s="38">
        <v>110000.0</v>
      </c>
      <c r="N277" s="40">
        <v>0.47</v>
      </c>
      <c r="O277" s="36">
        <v>147000.0</v>
      </c>
      <c r="P277" s="37">
        <v>0.83</v>
      </c>
      <c r="Q277" s="38">
        <v>0.0</v>
      </c>
      <c r="R277" s="32">
        <v>0.0</v>
      </c>
      <c r="S277" s="38">
        <v>147000.0</v>
      </c>
      <c r="T277" s="35">
        <v>0.55</v>
      </c>
      <c r="U277" s="47">
        <v>186500.0</v>
      </c>
      <c r="V277" s="42">
        <v>0.82</v>
      </c>
      <c r="W277" s="43">
        <v>0.0</v>
      </c>
      <c r="X277" s="42">
        <v>0.0</v>
      </c>
      <c r="Y277" s="44">
        <v>186500.0</v>
      </c>
      <c r="Z277" s="42">
        <v>0.62</v>
      </c>
      <c r="AA277" s="45">
        <v>117500.0</v>
      </c>
      <c r="AB277" s="46"/>
      <c r="AC277" s="45">
        <v>0.0</v>
      </c>
      <c r="AD277" s="46"/>
      <c r="AE277" s="45">
        <f t="shared" si="1"/>
        <v>117500</v>
      </c>
      <c r="AF277" s="46"/>
      <c r="AG277" s="45">
        <v>126490.0</v>
      </c>
      <c r="AH277" s="46"/>
      <c r="AI277" s="45">
        <v>0.0</v>
      </c>
      <c r="AJ277" s="46"/>
      <c r="AK277" s="45">
        <f t="shared" si="2"/>
        <v>126490</v>
      </c>
      <c r="AL277" s="46"/>
      <c r="AM277" s="45">
        <v>124668.0</v>
      </c>
      <c r="AN277" s="46"/>
      <c r="AO277" s="45">
        <v>0.0</v>
      </c>
      <c r="AP277" s="46"/>
      <c r="AQ277" s="45">
        <f t="shared" si="3"/>
        <v>124668</v>
      </c>
      <c r="AR277" s="46"/>
    </row>
    <row r="278" ht="15.75" customHeight="1">
      <c r="A278" s="29">
        <v>70704.0</v>
      </c>
      <c r="B278" s="30" t="s">
        <v>281</v>
      </c>
      <c r="C278" s="31">
        <v>23404.0</v>
      </c>
      <c r="D278" s="32">
        <v>1.14</v>
      </c>
      <c r="E278" s="33">
        <v>0.0</v>
      </c>
      <c r="F278" s="32">
        <v>0.0</v>
      </c>
      <c r="G278" s="34">
        <v>23404.0</v>
      </c>
      <c r="H278" s="35">
        <v>0.93</v>
      </c>
      <c r="I278" s="36">
        <v>30000.0</v>
      </c>
      <c r="J278" s="37">
        <v>1.07</v>
      </c>
      <c r="K278" s="38">
        <v>0.0</v>
      </c>
      <c r="L278" s="39">
        <v>0.0</v>
      </c>
      <c r="M278" s="38">
        <v>30000.0</v>
      </c>
      <c r="N278" s="40">
        <v>1.07</v>
      </c>
      <c r="O278" s="36">
        <v>30000.0</v>
      </c>
      <c r="P278" s="37">
        <v>0.9</v>
      </c>
      <c r="Q278" s="38">
        <v>0.0</v>
      </c>
      <c r="R278" s="32">
        <v>0.0</v>
      </c>
      <c r="S278" s="38">
        <v>30000.0</v>
      </c>
      <c r="T278" s="35">
        <v>0.84</v>
      </c>
      <c r="U278" s="47">
        <v>40000.0</v>
      </c>
      <c r="V278" s="42">
        <v>1.07</v>
      </c>
      <c r="W278" s="43">
        <v>0.0</v>
      </c>
      <c r="X278" s="42">
        <v>0.0</v>
      </c>
      <c r="Y278" s="44">
        <v>40000.0</v>
      </c>
      <c r="Z278" s="42">
        <v>0.53</v>
      </c>
      <c r="AA278" s="45">
        <v>40000.0</v>
      </c>
      <c r="AB278" s="46"/>
      <c r="AC278" s="45">
        <v>0.0</v>
      </c>
      <c r="AD278" s="46"/>
      <c r="AE278" s="45">
        <f t="shared" si="1"/>
        <v>40000</v>
      </c>
      <c r="AF278" s="46"/>
      <c r="AG278" s="45">
        <v>35000.0</v>
      </c>
      <c r="AH278" s="46"/>
      <c r="AI278" s="45">
        <v>0.0</v>
      </c>
      <c r="AJ278" s="46"/>
      <c r="AK278" s="45">
        <f t="shared" si="2"/>
        <v>35000</v>
      </c>
      <c r="AL278" s="46"/>
      <c r="AM278" s="45">
        <v>50000.0</v>
      </c>
      <c r="AN278" s="46"/>
      <c r="AO278" s="45">
        <v>0.0</v>
      </c>
      <c r="AP278" s="46"/>
      <c r="AQ278" s="45">
        <f t="shared" si="3"/>
        <v>50000</v>
      </c>
      <c r="AR278" s="46"/>
    </row>
    <row r="279" ht="15.75" customHeight="1">
      <c r="A279" s="29">
        <v>70705.0</v>
      </c>
      <c r="B279" s="30" t="s">
        <v>282</v>
      </c>
      <c r="C279" s="31">
        <v>5000.0</v>
      </c>
      <c r="D279" s="32">
        <v>0.07</v>
      </c>
      <c r="E279" s="33">
        <v>0.0</v>
      </c>
      <c r="F279" s="32">
        <v>0.0</v>
      </c>
      <c r="G279" s="34">
        <v>5000.0</v>
      </c>
      <c r="H279" s="35">
        <v>0.06</v>
      </c>
      <c r="I279" s="36">
        <v>5000.0</v>
      </c>
      <c r="J279" s="37">
        <v>0.06</v>
      </c>
      <c r="K279" s="38">
        <v>0.0</v>
      </c>
      <c r="L279" s="39">
        <v>0.0</v>
      </c>
      <c r="M279" s="38">
        <v>5000.0</v>
      </c>
      <c r="N279" s="40">
        <v>0.06</v>
      </c>
      <c r="O279" s="36">
        <v>5000.0</v>
      </c>
      <c r="P279" s="37">
        <v>0.06</v>
      </c>
      <c r="Q279" s="38">
        <v>0.0</v>
      </c>
      <c r="R279" s="32">
        <v>0.0</v>
      </c>
      <c r="S279" s="38">
        <v>5000.0</v>
      </c>
      <c r="T279" s="35">
        <v>0.05</v>
      </c>
      <c r="U279" s="41">
        <v>0.0</v>
      </c>
      <c r="V279" s="42">
        <v>0.0</v>
      </c>
      <c r="W279" s="43">
        <v>0.0</v>
      </c>
      <c r="X279" s="42">
        <v>0.0</v>
      </c>
      <c r="Y279" s="44">
        <v>0.0</v>
      </c>
      <c r="Z279" s="42">
        <v>0.0</v>
      </c>
      <c r="AA279" s="45"/>
      <c r="AB279" s="46"/>
      <c r="AC279" s="45">
        <v>0.0</v>
      </c>
      <c r="AD279" s="46"/>
      <c r="AE279" s="45">
        <f t="shared" si="1"/>
        <v>0</v>
      </c>
      <c r="AF279" s="46"/>
      <c r="AG279" s="45">
        <v>15000.0</v>
      </c>
      <c r="AH279" s="46"/>
      <c r="AI279" s="45">
        <v>0.0</v>
      </c>
      <c r="AJ279" s="46"/>
      <c r="AK279" s="45">
        <f t="shared" si="2"/>
        <v>15000</v>
      </c>
      <c r="AL279" s="46"/>
      <c r="AM279" s="45"/>
      <c r="AN279" s="46"/>
      <c r="AO279" s="45">
        <v>0.0</v>
      </c>
      <c r="AP279" s="46"/>
      <c r="AQ279" s="45">
        <f t="shared" si="3"/>
        <v>0</v>
      </c>
      <c r="AR279" s="46"/>
    </row>
    <row r="280" ht="15.75" customHeight="1">
      <c r="A280" s="29">
        <v>70706.0</v>
      </c>
      <c r="B280" s="30" t="s">
        <v>283</v>
      </c>
      <c r="C280" s="31">
        <v>1900000.0</v>
      </c>
      <c r="D280" s="32">
        <v>7.29</v>
      </c>
      <c r="E280" s="33">
        <v>0.0</v>
      </c>
      <c r="F280" s="32">
        <v>0.0</v>
      </c>
      <c r="G280" s="34">
        <v>1900000.0</v>
      </c>
      <c r="H280" s="35">
        <v>5.83</v>
      </c>
      <c r="I280" s="36">
        <v>2900000.0</v>
      </c>
      <c r="J280" s="37">
        <v>9.01</v>
      </c>
      <c r="K280" s="38">
        <v>0.0</v>
      </c>
      <c r="L280" s="39">
        <v>0.0</v>
      </c>
      <c r="M280" s="38">
        <v>2900000.0</v>
      </c>
      <c r="N280" s="40">
        <v>7.99</v>
      </c>
      <c r="O280" s="36">
        <v>3250000.0</v>
      </c>
      <c r="P280" s="37">
        <v>9.43</v>
      </c>
      <c r="Q280" s="38">
        <v>0.0</v>
      </c>
      <c r="R280" s="32">
        <v>0.0</v>
      </c>
      <c r="S280" s="38">
        <v>3250000.0</v>
      </c>
      <c r="T280" s="35">
        <v>9.02</v>
      </c>
      <c r="U280" s="47">
        <v>2900000.0</v>
      </c>
      <c r="V280" s="42">
        <v>8.38</v>
      </c>
      <c r="W280" s="43">
        <v>0.0</v>
      </c>
      <c r="X280" s="42">
        <v>0.0</v>
      </c>
      <c r="Y280" s="44">
        <v>2900000.0</v>
      </c>
      <c r="Z280" s="42">
        <v>7.73</v>
      </c>
      <c r="AA280" s="45">
        <v>2950000.0</v>
      </c>
      <c r="AB280" s="46"/>
      <c r="AC280" s="45">
        <v>0.0</v>
      </c>
      <c r="AD280" s="46"/>
      <c r="AE280" s="45">
        <f t="shared" si="1"/>
        <v>2950000</v>
      </c>
      <c r="AF280" s="46"/>
      <c r="AG280" s="45">
        <v>2950000.0</v>
      </c>
      <c r="AH280" s="46"/>
      <c r="AI280" s="45">
        <v>0.0</v>
      </c>
      <c r="AJ280" s="46"/>
      <c r="AK280" s="45">
        <f t="shared" si="2"/>
        <v>2950000</v>
      </c>
      <c r="AL280" s="46"/>
      <c r="AM280" s="45">
        <v>2889050.0</v>
      </c>
      <c r="AN280" s="46"/>
      <c r="AO280" s="45">
        <v>0.0</v>
      </c>
      <c r="AP280" s="46"/>
      <c r="AQ280" s="45">
        <f t="shared" si="3"/>
        <v>2889050</v>
      </c>
      <c r="AR280" s="46"/>
    </row>
    <row r="281" ht="15.75" customHeight="1">
      <c r="A281" s="29">
        <v>70707.0</v>
      </c>
      <c r="B281" s="30" t="s">
        <v>284</v>
      </c>
      <c r="C281" s="31">
        <v>45000.0</v>
      </c>
      <c r="D281" s="32">
        <v>1.2</v>
      </c>
      <c r="E281" s="33">
        <v>0.0</v>
      </c>
      <c r="F281" s="32">
        <v>0.0</v>
      </c>
      <c r="G281" s="34">
        <v>45000.0</v>
      </c>
      <c r="H281" s="35">
        <v>1.09</v>
      </c>
      <c r="I281" s="36">
        <v>90000.0</v>
      </c>
      <c r="J281" s="37">
        <v>2.24</v>
      </c>
      <c r="K281" s="38">
        <v>0.0</v>
      </c>
      <c r="L281" s="39">
        <v>0.0</v>
      </c>
      <c r="M281" s="38">
        <v>90000.0</v>
      </c>
      <c r="N281" s="40">
        <v>2.24</v>
      </c>
      <c r="O281" s="36">
        <v>105000.0</v>
      </c>
      <c r="P281" s="37">
        <v>2.36</v>
      </c>
      <c r="Q281" s="38">
        <v>0.0</v>
      </c>
      <c r="R281" s="32">
        <v>0.0</v>
      </c>
      <c r="S281" s="38">
        <v>105000.0</v>
      </c>
      <c r="T281" s="35">
        <v>1.93</v>
      </c>
      <c r="U281" s="47">
        <v>40000.0</v>
      </c>
      <c r="V281" s="42">
        <v>0.98</v>
      </c>
      <c r="W281" s="43">
        <v>0.0</v>
      </c>
      <c r="X281" s="42">
        <v>0.0</v>
      </c>
      <c r="Y281" s="44">
        <v>40000.0</v>
      </c>
      <c r="Z281" s="42">
        <v>0.95</v>
      </c>
      <c r="AA281" s="45">
        <v>40000.0</v>
      </c>
      <c r="AB281" s="46"/>
      <c r="AC281" s="45">
        <v>0.0</v>
      </c>
      <c r="AD281" s="46"/>
      <c r="AE281" s="45">
        <f t="shared" si="1"/>
        <v>40000</v>
      </c>
      <c r="AF281" s="46"/>
      <c r="AG281" s="45">
        <v>55000.0</v>
      </c>
      <c r="AH281" s="46"/>
      <c r="AI281" s="45">
        <v>0.0</v>
      </c>
      <c r="AJ281" s="46"/>
      <c r="AK281" s="45">
        <f t="shared" si="2"/>
        <v>55000</v>
      </c>
      <c r="AL281" s="46"/>
      <c r="AM281" s="45">
        <v>55000.0</v>
      </c>
      <c r="AN281" s="46"/>
      <c r="AO281" s="45">
        <v>0.0</v>
      </c>
      <c r="AP281" s="46"/>
      <c r="AQ281" s="45">
        <f t="shared" si="3"/>
        <v>55000</v>
      </c>
      <c r="AR281" s="46"/>
    </row>
    <row r="282" ht="15.75" customHeight="1">
      <c r="A282" s="29">
        <v>70801.0</v>
      </c>
      <c r="B282" s="30" t="s">
        <v>285</v>
      </c>
      <c r="C282" s="31">
        <v>320000.0</v>
      </c>
      <c r="D282" s="32">
        <v>3.02</v>
      </c>
      <c r="E282" s="33">
        <v>0.0</v>
      </c>
      <c r="F282" s="32">
        <v>0.0</v>
      </c>
      <c r="G282" s="34">
        <v>320000.0</v>
      </c>
      <c r="H282" s="35">
        <v>1.78</v>
      </c>
      <c r="I282" s="36">
        <v>280000.0</v>
      </c>
      <c r="J282" s="37">
        <v>2.32</v>
      </c>
      <c r="K282" s="38">
        <v>200000.0</v>
      </c>
      <c r="L282" s="39">
        <v>3.37</v>
      </c>
      <c r="M282" s="38">
        <v>480000.0</v>
      </c>
      <c r="N282" s="40">
        <v>2.66</v>
      </c>
      <c r="O282" s="36">
        <v>250000.0</v>
      </c>
      <c r="P282" s="37">
        <v>1.57</v>
      </c>
      <c r="Q282" s="38">
        <v>448000.0</v>
      </c>
      <c r="R282" s="32">
        <v>7.59</v>
      </c>
      <c r="S282" s="38">
        <v>698000.0</v>
      </c>
      <c r="T282" s="35">
        <v>3.2</v>
      </c>
      <c r="U282" s="47">
        <v>750000.0</v>
      </c>
      <c r="V282" s="42">
        <v>4.22</v>
      </c>
      <c r="W282" s="43">
        <v>0.0</v>
      </c>
      <c r="X282" s="42">
        <v>0.0</v>
      </c>
      <c r="Y282" s="44">
        <v>750000.0</v>
      </c>
      <c r="Z282" s="42">
        <v>4.11</v>
      </c>
      <c r="AA282" s="45">
        <v>750000.0</v>
      </c>
      <c r="AB282" s="46"/>
      <c r="AC282" s="45">
        <v>0.0</v>
      </c>
      <c r="AD282" s="46"/>
      <c r="AE282" s="45">
        <f t="shared" si="1"/>
        <v>750000</v>
      </c>
      <c r="AF282" s="46"/>
      <c r="AG282" s="45">
        <v>750000.0</v>
      </c>
      <c r="AH282" s="46"/>
      <c r="AI282" s="45">
        <v>0.0</v>
      </c>
      <c r="AJ282" s="46"/>
      <c r="AK282" s="45">
        <f t="shared" si="2"/>
        <v>750000</v>
      </c>
      <c r="AL282" s="46"/>
      <c r="AM282" s="45">
        <v>750000.0</v>
      </c>
      <c r="AN282" s="46"/>
      <c r="AO282" s="45">
        <v>0.0</v>
      </c>
      <c r="AP282" s="46"/>
      <c r="AQ282" s="45">
        <f t="shared" si="3"/>
        <v>750000</v>
      </c>
      <c r="AR282" s="46"/>
    </row>
    <row r="283" ht="15.75" customHeight="1">
      <c r="A283" s="29">
        <v>70802.0</v>
      </c>
      <c r="B283" s="30" t="s">
        <v>286</v>
      </c>
      <c r="C283" s="31">
        <v>3000.0</v>
      </c>
      <c r="D283" s="32">
        <v>0.2</v>
      </c>
      <c r="E283" s="33">
        <v>0.0</v>
      </c>
      <c r="F283" s="32">
        <v>0.0</v>
      </c>
      <c r="G283" s="34">
        <v>3000.0</v>
      </c>
      <c r="H283" s="35">
        <v>0.11</v>
      </c>
      <c r="I283" s="36">
        <v>3000.0</v>
      </c>
      <c r="J283" s="37">
        <v>0.19</v>
      </c>
      <c r="K283" s="38">
        <v>0.0</v>
      </c>
      <c r="L283" s="39">
        <v>0.0</v>
      </c>
      <c r="M283" s="38">
        <v>3000.0</v>
      </c>
      <c r="N283" s="40">
        <v>0.09</v>
      </c>
      <c r="O283" s="36">
        <v>3000.0</v>
      </c>
      <c r="P283" s="37">
        <v>0.18</v>
      </c>
      <c r="Q283" s="38">
        <v>0.0</v>
      </c>
      <c r="R283" s="32">
        <v>0.0</v>
      </c>
      <c r="S283" s="38">
        <v>3000.0</v>
      </c>
      <c r="T283" s="35">
        <v>0.12</v>
      </c>
      <c r="U283" s="47">
        <v>15000.0</v>
      </c>
      <c r="V283" s="42">
        <v>0.83</v>
      </c>
      <c r="W283" s="43">
        <v>0.0</v>
      </c>
      <c r="X283" s="42">
        <v>0.0</v>
      </c>
      <c r="Y283" s="44">
        <v>15000.0</v>
      </c>
      <c r="Z283" s="42">
        <v>0.73</v>
      </c>
      <c r="AA283" s="45">
        <v>15000.0</v>
      </c>
      <c r="AB283" s="46"/>
      <c r="AC283" s="45">
        <v>0.0</v>
      </c>
      <c r="AD283" s="46"/>
      <c r="AE283" s="45">
        <f t="shared" si="1"/>
        <v>15000</v>
      </c>
      <c r="AF283" s="46"/>
      <c r="AG283" s="45">
        <v>10000.0</v>
      </c>
      <c r="AH283" s="46"/>
      <c r="AI283" s="45">
        <v>0.0</v>
      </c>
      <c r="AJ283" s="46"/>
      <c r="AK283" s="45">
        <f t="shared" si="2"/>
        <v>10000</v>
      </c>
      <c r="AL283" s="46"/>
      <c r="AM283" s="45">
        <v>20000.0</v>
      </c>
      <c r="AN283" s="46"/>
      <c r="AO283" s="45">
        <v>0.0</v>
      </c>
      <c r="AP283" s="46"/>
      <c r="AQ283" s="45">
        <f t="shared" si="3"/>
        <v>20000</v>
      </c>
      <c r="AR283" s="46"/>
    </row>
    <row r="284" ht="15.75" customHeight="1">
      <c r="A284" s="29">
        <v>70803.0</v>
      </c>
      <c r="B284" s="30" t="s">
        <v>287</v>
      </c>
      <c r="C284" s="31">
        <v>31700.0</v>
      </c>
      <c r="D284" s="32">
        <v>1.41</v>
      </c>
      <c r="E284" s="33">
        <v>0.0</v>
      </c>
      <c r="F284" s="32">
        <v>0.0</v>
      </c>
      <c r="G284" s="34">
        <v>31700.0</v>
      </c>
      <c r="H284" s="35">
        <v>1.33</v>
      </c>
      <c r="I284" s="36">
        <v>35000.0</v>
      </c>
      <c r="J284" s="37">
        <v>1.33</v>
      </c>
      <c r="K284" s="38">
        <v>0.0</v>
      </c>
      <c r="L284" s="39">
        <v>0.0</v>
      </c>
      <c r="M284" s="38">
        <v>35000.0</v>
      </c>
      <c r="N284" s="40">
        <v>1.32</v>
      </c>
      <c r="O284" s="36">
        <v>19400.0</v>
      </c>
      <c r="P284" s="37">
        <v>1.02</v>
      </c>
      <c r="Q284" s="38">
        <v>0.0</v>
      </c>
      <c r="R284" s="32">
        <v>0.0</v>
      </c>
      <c r="S284" s="38">
        <v>19400.0</v>
      </c>
      <c r="T284" s="35">
        <v>0.86</v>
      </c>
      <c r="U284" s="47">
        <v>32000.0</v>
      </c>
      <c r="V284" s="42">
        <v>1.54</v>
      </c>
      <c r="W284" s="43">
        <v>0.0</v>
      </c>
      <c r="X284" s="42">
        <v>0.0</v>
      </c>
      <c r="Y284" s="44">
        <v>32000.0</v>
      </c>
      <c r="Z284" s="42">
        <v>1.54</v>
      </c>
      <c r="AA284" s="45">
        <v>18000.0</v>
      </c>
      <c r="AB284" s="46"/>
      <c r="AC284" s="45">
        <v>0.0</v>
      </c>
      <c r="AD284" s="46"/>
      <c r="AE284" s="45">
        <f t="shared" si="1"/>
        <v>18000</v>
      </c>
      <c r="AF284" s="46"/>
      <c r="AG284" s="45">
        <v>27141.0</v>
      </c>
      <c r="AH284" s="46"/>
      <c r="AI284" s="45">
        <v>0.0</v>
      </c>
      <c r="AJ284" s="46"/>
      <c r="AK284" s="45">
        <f t="shared" si="2"/>
        <v>27141</v>
      </c>
      <c r="AL284" s="46"/>
      <c r="AM284" s="45">
        <v>24600.0</v>
      </c>
      <c r="AN284" s="46"/>
      <c r="AO284" s="45">
        <v>0.0</v>
      </c>
      <c r="AP284" s="46"/>
      <c r="AQ284" s="45">
        <f t="shared" si="3"/>
        <v>24600</v>
      </c>
      <c r="AR284" s="46"/>
    </row>
    <row r="285" ht="15.75" customHeight="1">
      <c r="A285" s="29">
        <v>70804.0</v>
      </c>
      <c r="B285" s="30" t="s">
        <v>288</v>
      </c>
      <c r="C285" s="31">
        <v>12000.0</v>
      </c>
      <c r="D285" s="32">
        <v>0.86</v>
      </c>
      <c r="E285" s="33">
        <v>0.0</v>
      </c>
      <c r="F285" s="32">
        <v>0.0</v>
      </c>
      <c r="G285" s="34">
        <v>12000.0</v>
      </c>
      <c r="H285" s="35">
        <v>0.48</v>
      </c>
      <c r="I285" s="36">
        <v>25000.0</v>
      </c>
      <c r="J285" s="37">
        <v>1.49</v>
      </c>
      <c r="K285" s="38">
        <v>0.0</v>
      </c>
      <c r="L285" s="39">
        <v>0.0</v>
      </c>
      <c r="M285" s="38">
        <v>25000.0</v>
      </c>
      <c r="N285" s="40">
        <v>1.33</v>
      </c>
      <c r="O285" s="36">
        <v>25000.0</v>
      </c>
      <c r="P285" s="37">
        <v>1.46</v>
      </c>
      <c r="Q285" s="38">
        <v>0.0</v>
      </c>
      <c r="R285" s="32">
        <v>0.0</v>
      </c>
      <c r="S285" s="38">
        <v>25000.0</v>
      </c>
      <c r="T285" s="35">
        <v>1.06</v>
      </c>
      <c r="U285" s="47">
        <v>30000.0</v>
      </c>
      <c r="V285" s="42">
        <v>1.44</v>
      </c>
      <c r="W285" s="43">
        <v>0.0</v>
      </c>
      <c r="X285" s="42">
        <v>0.0</v>
      </c>
      <c r="Y285" s="44">
        <v>30000.0</v>
      </c>
      <c r="Z285" s="42">
        <v>1.26</v>
      </c>
      <c r="AA285" s="45">
        <v>30000.0</v>
      </c>
      <c r="AB285" s="46"/>
      <c r="AC285" s="45">
        <v>0.0</v>
      </c>
      <c r="AD285" s="46"/>
      <c r="AE285" s="45">
        <f t="shared" si="1"/>
        <v>30000</v>
      </c>
      <c r="AF285" s="46"/>
      <c r="AG285" s="45"/>
      <c r="AH285" s="46"/>
      <c r="AI285" s="45">
        <v>0.0</v>
      </c>
      <c r="AJ285" s="46"/>
      <c r="AK285" s="45">
        <f t="shared" si="2"/>
        <v>0</v>
      </c>
      <c r="AL285" s="46"/>
      <c r="AM285" s="45"/>
      <c r="AN285" s="46"/>
      <c r="AO285" s="45">
        <v>0.0</v>
      </c>
      <c r="AP285" s="46"/>
      <c r="AQ285" s="45">
        <f t="shared" si="3"/>
        <v>0</v>
      </c>
      <c r="AR285" s="46"/>
    </row>
    <row r="286" ht="15.75" customHeight="1">
      <c r="A286" s="29">
        <v>70805.0</v>
      </c>
      <c r="B286" s="30" t="s">
        <v>289</v>
      </c>
      <c r="C286" s="31">
        <v>10000.0</v>
      </c>
      <c r="D286" s="32">
        <v>0.56</v>
      </c>
      <c r="E286" s="33">
        <v>0.0</v>
      </c>
      <c r="F286" s="32">
        <v>0.0</v>
      </c>
      <c r="G286" s="34">
        <v>10000.0</v>
      </c>
      <c r="H286" s="35">
        <v>0.56</v>
      </c>
      <c r="I286" s="36">
        <v>20000.0</v>
      </c>
      <c r="J286" s="37">
        <v>1.2</v>
      </c>
      <c r="K286" s="38">
        <v>0.0</v>
      </c>
      <c r="L286" s="39">
        <v>0.0</v>
      </c>
      <c r="M286" s="38">
        <v>20000.0</v>
      </c>
      <c r="N286" s="40">
        <v>0.96</v>
      </c>
      <c r="O286" s="36">
        <v>20000.0</v>
      </c>
      <c r="P286" s="37">
        <v>1.07</v>
      </c>
      <c r="Q286" s="38">
        <v>0.0</v>
      </c>
      <c r="R286" s="32">
        <v>0.0</v>
      </c>
      <c r="S286" s="38">
        <v>20000.0</v>
      </c>
      <c r="T286" s="35">
        <v>0.91</v>
      </c>
      <c r="U286" s="47">
        <v>24000.0</v>
      </c>
      <c r="V286" s="42">
        <v>1.6</v>
      </c>
      <c r="W286" s="43">
        <v>0.0</v>
      </c>
      <c r="X286" s="42">
        <v>0.0</v>
      </c>
      <c r="Y286" s="44">
        <v>24000.0</v>
      </c>
      <c r="Z286" s="42">
        <v>1.48</v>
      </c>
      <c r="AA286" s="45">
        <v>50000.0</v>
      </c>
      <c r="AB286" s="46"/>
      <c r="AC286" s="45">
        <v>0.0</v>
      </c>
      <c r="AD286" s="46"/>
      <c r="AE286" s="45">
        <f t="shared" si="1"/>
        <v>50000</v>
      </c>
      <c r="AF286" s="46"/>
      <c r="AG286" s="45">
        <v>45000.0</v>
      </c>
      <c r="AH286" s="46"/>
      <c r="AI286" s="45">
        <v>0.0</v>
      </c>
      <c r="AJ286" s="46"/>
      <c r="AK286" s="45">
        <f t="shared" si="2"/>
        <v>45000</v>
      </c>
      <c r="AL286" s="46"/>
      <c r="AM286" s="45">
        <v>40000.0</v>
      </c>
      <c r="AN286" s="46"/>
      <c r="AO286" s="45">
        <v>0.0</v>
      </c>
      <c r="AP286" s="46"/>
      <c r="AQ286" s="45">
        <f t="shared" si="3"/>
        <v>40000</v>
      </c>
      <c r="AR286" s="46"/>
    </row>
    <row r="287" ht="15.75" customHeight="1">
      <c r="A287" s="29">
        <v>70901.0</v>
      </c>
      <c r="B287" s="30" t="s">
        <v>290</v>
      </c>
      <c r="C287" s="31">
        <v>80000.0</v>
      </c>
      <c r="D287" s="32">
        <v>1.44</v>
      </c>
      <c r="E287" s="33">
        <v>0.0</v>
      </c>
      <c r="F287" s="32">
        <v>0.0</v>
      </c>
      <c r="G287" s="34">
        <v>80000.0</v>
      </c>
      <c r="H287" s="35">
        <v>1.15</v>
      </c>
      <c r="I287" s="36">
        <v>70000.0</v>
      </c>
      <c r="J287" s="37">
        <v>1.27</v>
      </c>
      <c r="K287" s="38">
        <v>0.0</v>
      </c>
      <c r="L287" s="39">
        <v>0.0</v>
      </c>
      <c r="M287" s="38">
        <v>70000.0</v>
      </c>
      <c r="N287" s="40">
        <v>1.15</v>
      </c>
      <c r="O287" s="36">
        <v>60000.0</v>
      </c>
      <c r="P287" s="37">
        <v>1.05</v>
      </c>
      <c r="Q287" s="38">
        <v>0.0</v>
      </c>
      <c r="R287" s="32">
        <v>0.0</v>
      </c>
      <c r="S287" s="38">
        <v>60000.0</v>
      </c>
      <c r="T287" s="35">
        <v>0.91</v>
      </c>
      <c r="U287" s="47">
        <v>310000.0</v>
      </c>
      <c r="V287" s="42">
        <v>2.98</v>
      </c>
      <c r="W287" s="43">
        <v>0.0</v>
      </c>
      <c r="X287" s="42">
        <v>0.0</v>
      </c>
      <c r="Y287" s="44">
        <v>310000.0</v>
      </c>
      <c r="Z287" s="42">
        <v>2.88</v>
      </c>
      <c r="AA287" s="45">
        <v>430000.0</v>
      </c>
      <c r="AB287" s="46"/>
      <c r="AC287" s="45">
        <v>420978.0</v>
      </c>
      <c r="AD287" s="46"/>
      <c r="AE287" s="45">
        <f t="shared" si="1"/>
        <v>850978</v>
      </c>
      <c r="AF287" s="46"/>
      <c r="AG287" s="45">
        <v>372800.0</v>
      </c>
      <c r="AH287" s="46"/>
      <c r="AI287" s="45">
        <v>0.0</v>
      </c>
      <c r="AJ287" s="46"/>
      <c r="AK287" s="45">
        <f t="shared" si="2"/>
        <v>372800</v>
      </c>
      <c r="AL287" s="46"/>
      <c r="AM287" s="45">
        <v>679130.0</v>
      </c>
      <c r="AN287" s="46"/>
      <c r="AO287" s="45">
        <v>0.0</v>
      </c>
      <c r="AP287" s="46"/>
      <c r="AQ287" s="45">
        <f t="shared" si="3"/>
        <v>679130</v>
      </c>
      <c r="AR287" s="46"/>
    </row>
    <row r="288" ht="15.75" customHeight="1">
      <c r="A288" s="29">
        <v>70902.0</v>
      </c>
      <c r="B288" s="30" t="s">
        <v>291</v>
      </c>
      <c r="C288" s="31">
        <v>36000.0</v>
      </c>
      <c r="D288" s="32">
        <v>0.7</v>
      </c>
      <c r="E288" s="33">
        <v>0.0</v>
      </c>
      <c r="F288" s="32">
        <v>0.0</v>
      </c>
      <c r="G288" s="34">
        <v>36000.0</v>
      </c>
      <c r="H288" s="35">
        <v>0.48</v>
      </c>
      <c r="I288" s="36">
        <v>35000.0</v>
      </c>
      <c r="J288" s="37">
        <v>0.53</v>
      </c>
      <c r="K288" s="38">
        <v>0.0</v>
      </c>
      <c r="L288" s="39">
        <v>0.0</v>
      </c>
      <c r="M288" s="38">
        <v>35000.0</v>
      </c>
      <c r="N288" s="40">
        <v>0.53</v>
      </c>
      <c r="O288" s="36">
        <v>150000.0</v>
      </c>
      <c r="P288" s="37">
        <v>2.02</v>
      </c>
      <c r="Q288" s="38">
        <v>0.0</v>
      </c>
      <c r="R288" s="32">
        <v>0.0</v>
      </c>
      <c r="S288" s="38">
        <v>150000.0</v>
      </c>
      <c r="T288" s="35">
        <v>1.4</v>
      </c>
      <c r="U288" s="47">
        <v>137800.0</v>
      </c>
      <c r="V288" s="42">
        <v>2.04</v>
      </c>
      <c r="W288" s="43">
        <v>0.0</v>
      </c>
      <c r="X288" s="42">
        <v>0.0</v>
      </c>
      <c r="Y288" s="44">
        <v>137800.0</v>
      </c>
      <c r="Z288" s="42">
        <v>1.11</v>
      </c>
      <c r="AA288" s="45">
        <v>235700.0</v>
      </c>
      <c r="AB288" s="46"/>
      <c r="AC288" s="45">
        <v>0.0</v>
      </c>
      <c r="AD288" s="46"/>
      <c r="AE288" s="45">
        <f t="shared" si="1"/>
        <v>235700</v>
      </c>
      <c r="AF288" s="46"/>
      <c r="AG288" s="45">
        <v>45000.0</v>
      </c>
      <c r="AH288" s="46"/>
      <c r="AI288" s="45">
        <v>0.0</v>
      </c>
      <c r="AJ288" s="46"/>
      <c r="AK288" s="45">
        <f t="shared" si="2"/>
        <v>45000</v>
      </c>
      <c r="AL288" s="46"/>
      <c r="AM288" s="45">
        <v>62500.0</v>
      </c>
      <c r="AN288" s="46"/>
      <c r="AO288" s="45">
        <v>0.0</v>
      </c>
      <c r="AP288" s="46"/>
      <c r="AQ288" s="45">
        <f t="shared" si="3"/>
        <v>62500</v>
      </c>
      <c r="AR288" s="46"/>
    </row>
    <row r="289" ht="15.75" customHeight="1">
      <c r="A289" s="29">
        <v>70903.0</v>
      </c>
      <c r="B289" s="30" t="s">
        <v>292</v>
      </c>
      <c r="C289" s="31">
        <v>110000.0</v>
      </c>
      <c r="D289" s="32">
        <v>1.78</v>
      </c>
      <c r="E289" s="33">
        <v>0.0</v>
      </c>
      <c r="F289" s="32">
        <v>0.0</v>
      </c>
      <c r="G289" s="34">
        <v>110000.0</v>
      </c>
      <c r="H289" s="35">
        <v>1.71</v>
      </c>
      <c r="I289" s="36">
        <v>130000.0</v>
      </c>
      <c r="J289" s="37">
        <v>1.9</v>
      </c>
      <c r="K289" s="38">
        <v>0.0</v>
      </c>
      <c r="L289" s="39">
        <v>0.0</v>
      </c>
      <c r="M289" s="38">
        <v>130000.0</v>
      </c>
      <c r="N289" s="40">
        <v>1.63</v>
      </c>
      <c r="O289" s="36">
        <v>130000.0</v>
      </c>
      <c r="P289" s="37">
        <v>1.76</v>
      </c>
      <c r="Q289" s="38">
        <v>0.0</v>
      </c>
      <c r="R289" s="32">
        <v>0.0</v>
      </c>
      <c r="S289" s="38">
        <v>130000.0</v>
      </c>
      <c r="T289" s="35">
        <v>1.37</v>
      </c>
      <c r="U289" s="41">
        <v>0.0</v>
      </c>
      <c r="V289" s="42">
        <v>0.0</v>
      </c>
      <c r="W289" s="43">
        <v>0.0</v>
      </c>
      <c r="X289" s="42">
        <v>0.0</v>
      </c>
      <c r="Y289" s="44">
        <v>0.0</v>
      </c>
      <c r="Z289" s="42">
        <v>0.0</v>
      </c>
      <c r="AA289" s="45">
        <v>257687.0</v>
      </c>
      <c r="AB289" s="46"/>
      <c r="AC289" s="45">
        <v>0.0</v>
      </c>
      <c r="AD289" s="46"/>
      <c r="AE289" s="45">
        <f t="shared" si="1"/>
        <v>257687</v>
      </c>
      <c r="AF289" s="46"/>
      <c r="AG289" s="45">
        <v>267687.0</v>
      </c>
      <c r="AH289" s="46"/>
      <c r="AI289" s="45">
        <v>0.0</v>
      </c>
      <c r="AJ289" s="46"/>
      <c r="AK289" s="45">
        <f t="shared" si="2"/>
        <v>267687</v>
      </c>
      <c r="AL289" s="46"/>
      <c r="AM289" s="45">
        <v>295000.0</v>
      </c>
      <c r="AN289" s="46"/>
      <c r="AO289" s="45">
        <v>0.0</v>
      </c>
      <c r="AP289" s="46"/>
      <c r="AQ289" s="45">
        <f t="shared" si="3"/>
        <v>295000</v>
      </c>
      <c r="AR289" s="46"/>
    </row>
    <row r="290" ht="15.75" customHeight="1">
      <c r="A290" s="29">
        <v>70904.0</v>
      </c>
      <c r="B290" s="30" t="s">
        <v>293</v>
      </c>
      <c r="C290" s="31">
        <v>19000.0</v>
      </c>
      <c r="D290" s="32">
        <v>1.73</v>
      </c>
      <c r="E290" s="33">
        <v>0.0</v>
      </c>
      <c r="F290" s="32">
        <v>0.0</v>
      </c>
      <c r="G290" s="34">
        <v>19000.0</v>
      </c>
      <c r="H290" s="35">
        <v>0.88</v>
      </c>
      <c r="I290" s="36">
        <v>19000.0</v>
      </c>
      <c r="J290" s="37">
        <v>1.36</v>
      </c>
      <c r="K290" s="38">
        <v>0.0</v>
      </c>
      <c r="L290" s="39">
        <v>0.0</v>
      </c>
      <c r="M290" s="38">
        <v>19000.0</v>
      </c>
      <c r="N290" s="40">
        <v>0.9</v>
      </c>
      <c r="O290" s="36">
        <v>25000.0</v>
      </c>
      <c r="P290" s="37">
        <v>1.33</v>
      </c>
      <c r="Q290" s="38">
        <v>0.0</v>
      </c>
      <c r="R290" s="32">
        <v>0.0</v>
      </c>
      <c r="S290" s="38">
        <v>25000.0</v>
      </c>
      <c r="T290" s="35">
        <v>0.94</v>
      </c>
      <c r="U290" s="47">
        <v>40000.0</v>
      </c>
      <c r="V290" s="42">
        <v>1.75</v>
      </c>
      <c r="W290" s="43">
        <v>0.0</v>
      </c>
      <c r="X290" s="42">
        <v>0.0</v>
      </c>
      <c r="Y290" s="44">
        <v>40000.0</v>
      </c>
      <c r="Z290" s="42">
        <v>1.75</v>
      </c>
      <c r="AA290" s="45">
        <v>40000.0</v>
      </c>
      <c r="AB290" s="46"/>
      <c r="AC290" s="45">
        <v>0.0</v>
      </c>
      <c r="AD290" s="46"/>
      <c r="AE290" s="45">
        <f t="shared" si="1"/>
        <v>40000</v>
      </c>
      <c r="AF290" s="46"/>
      <c r="AG290" s="45">
        <v>55000.0</v>
      </c>
      <c r="AH290" s="46"/>
      <c r="AI290" s="45">
        <v>0.0</v>
      </c>
      <c r="AJ290" s="46"/>
      <c r="AK290" s="45">
        <f t="shared" si="2"/>
        <v>55000</v>
      </c>
      <c r="AL290" s="46"/>
      <c r="AM290" s="45">
        <v>58200.0</v>
      </c>
      <c r="AN290" s="46"/>
      <c r="AO290" s="45">
        <v>0.0</v>
      </c>
      <c r="AP290" s="46"/>
      <c r="AQ290" s="45">
        <f t="shared" si="3"/>
        <v>58200</v>
      </c>
      <c r="AR290" s="46"/>
    </row>
    <row r="291" ht="15.75" customHeight="1">
      <c r="A291" s="29">
        <v>71001.0</v>
      </c>
      <c r="B291" s="30" t="s">
        <v>294</v>
      </c>
      <c r="C291" s="31">
        <v>5254500.0</v>
      </c>
      <c r="D291" s="32">
        <v>7.08</v>
      </c>
      <c r="E291" s="49">
        <v>1460000.0</v>
      </c>
      <c r="F291" s="32">
        <v>9.16</v>
      </c>
      <c r="G291" s="34">
        <v>6714500.0</v>
      </c>
      <c r="H291" s="35">
        <v>7.44</v>
      </c>
      <c r="I291" s="36">
        <v>4133420.0</v>
      </c>
      <c r="J291" s="37">
        <v>5.06</v>
      </c>
      <c r="K291" s="38">
        <v>1460000.0</v>
      </c>
      <c r="L291" s="39">
        <v>3.42</v>
      </c>
      <c r="M291" s="38">
        <v>5593420.0</v>
      </c>
      <c r="N291" s="40">
        <v>4.5</v>
      </c>
      <c r="O291" s="36">
        <v>6620459.0</v>
      </c>
      <c r="P291" s="37">
        <v>6.57</v>
      </c>
      <c r="Q291" s="38">
        <v>755000.0</v>
      </c>
      <c r="R291" s="32">
        <v>1.22</v>
      </c>
      <c r="S291" s="38">
        <v>7375459.0</v>
      </c>
      <c r="T291" s="35">
        <v>4.53</v>
      </c>
      <c r="U291" s="47">
        <v>6717664.0</v>
      </c>
      <c r="V291" s="42">
        <v>5.33</v>
      </c>
      <c r="W291" s="43">
        <v>0.0</v>
      </c>
      <c r="X291" s="42">
        <v>0.0</v>
      </c>
      <c r="Y291" s="44">
        <v>6717664.0</v>
      </c>
      <c r="Z291" s="42">
        <v>4.87</v>
      </c>
      <c r="AA291" s="45">
        <v>9378161.0</v>
      </c>
      <c r="AB291" s="46"/>
      <c r="AC291" s="45">
        <v>500000.0</v>
      </c>
      <c r="AD291" s="46"/>
      <c r="AE291" s="45">
        <f t="shared" si="1"/>
        <v>9878161</v>
      </c>
      <c r="AF291" s="46"/>
      <c r="AG291" s="45">
        <v>1.0584115E7</v>
      </c>
      <c r="AH291" s="46"/>
      <c r="AI291" s="45">
        <v>0.0</v>
      </c>
      <c r="AJ291" s="46"/>
      <c r="AK291" s="45">
        <f t="shared" si="2"/>
        <v>10584115</v>
      </c>
      <c r="AL291" s="46"/>
      <c r="AM291" s="45">
        <v>1.1305943E7</v>
      </c>
      <c r="AN291" s="46"/>
      <c r="AO291" s="45">
        <v>0.0</v>
      </c>
      <c r="AP291" s="46"/>
      <c r="AQ291" s="45">
        <f t="shared" si="3"/>
        <v>11305943</v>
      </c>
      <c r="AR291" s="46"/>
    </row>
    <row r="292" ht="15.75" customHeight="1">
      <c r="A292" s="29">
        <v>71002.0</v>
      </c>
      <c r="B292" s="30" t="s">
        <v>295</v>
      </c>
      <c r="C292" s="31">
        <v>125000.0</v>
      </c>
      <c r="D292" s="32">
        <v>1.3</v>
      </c>
      <c r="E292" s="33">
        <v>0.0</v>
      </c>
      <c r="F292" s="32">
        <v>0.0</v>
      </c>
      <c r="G292" s="34">
        <v>125000.0</v>
      </c>
      <c r="H292" s="35">
        <v>0.83</v>
      </c>
      <c r="I292" s="36">
        <v>150000.0</v>
      </c>
      <c r="J292" s="37">
        <v>1.41</v>
      </c>
      <c r="K292" s="38">
        <v>0.0</v>
      </c>
      <c r="L292" s="39">
        <v>0.0</v>
      </c>
      <c r="M292" s="38">
        <v>150000.0</v>
      </c>
      <c r="N292" s="40">
        <v>0.99</v>
      </c>
      <c r="O292" s="36">
        <v>102000.0</v>
      </c>
      <c r="P292" s="37">
        <v>0.93</v>
      </c>
      <c r="Q292" s="38">
        <v>0.0</v>
      </c>
      <c r="R292" s="32">
        <v>0.0</v>
      </c>
      <c r="S292" s="38">
        <v>102000.0</v>
      </c>
      <c r="T292" s="35">
        <v>0.85</v>
      </c>
      <c r="U292" s="47">
        <v>180000.0</v>
      </c>
      <c r="V292" s="42">
        <v>1.58</v>
      </c>
      <c r="W292" s="43">
        <v>0.0</v>
      </c>
      <c r="X292" s="42">
        <v>0.0</v>
      </c>
      <c r="Y292" s="44">
        <v>180000.0</v>
      </c>
      <c r="Z292" s="42">
        <v>1.42</v>
      </c>
      <c r="AA292" s="45">
        <v>207259.0</v>
      </c>
      <c r="AB292" s="46"/>
      <c r="AC292" s="45">
        <v>0.0</v>
      </c>
      <c r="AD292" s="46"/>
      <c r="AE292" s="45">
        <f t="shared" si="1"/>
        <v>207259</v>
      </c>
      <c r="AF292" s="46"/>
      <c r="AG292" s="45">
        <v>261392.0</v>
      </c>
      <c r="AH292" s="46"/>
      <c r="AI292" s="45">
        <v>0.0</v>
      </c>
      <c r="AJ292" s="46"/>
      <c r="AK292" s="45">
        <f t="shared" si="2"/>
        <v>261392</v>
      </c>
      <c r="AL292" s="46"/>
      <c r="AM292" s="45">
        <v>261392.0</v>
      </c>
      <c r="AN292" s="46"/>
      <c r="AO292" s="45">
        <v>0.0</v>
      </c>
      <c r="AP292" s="46"/>
      <c r="AQ292" s="45">
        <f t="shared" si="3"/>
        <v>261392</v>
      </c>
      <c r="AR292" s="46"/>
    </row>
    <row r="293" ht="15.75" customHeight="1">
      <c r="A293" s="29">
        <v>71003.0</v>
      </c>
      <c r="B293" s="30" t="s">
        <v>296</v>
      </c>
      <c r="C293" s="31">
        <v>355630.0</v>
      </c>
      <c r="D293" s="32">
        <v>3.13</v>
      </c>
      <c r="E293" s="33">
        <v>0.0</v>
      </c>
      <c r="F293" s="32">
        <v>0.0</v>
      </c>
      <c r="G293" s="34">
        <v>355630.0</v>
      </c>
      <c r="H293" s="35">
        <v>3.0</v>
      </c>
      <c r="I293" s="36">
        <v>159000.0</v>
      </c>
      <c r="J293" s="37">
        <v>1.06</v>
      </c>
      <c r="K293" s="38">
        <v>0.0</v>
      </c>
      <c r="L293" s="39">
        <v>0.0</v>
      </c>
      <c r="M293" s="38">
        <v>159000.0</v>
      </c>
      <c r="N293" s="40">
        <v>0.79</v>
      </c>
      <c r="O293" s="36">
        <v>191700.0</v>
      </c>
      <c r="P293" s="37">
        <v>1.14</v>
      </c>
      <c r="Q293" s="38">
        <v>0.0</v>
      </c>
      <c r="R293" s="32">
        <v>0.0</v>
      </c>
      <c r="S293" s="38">
        <v>191700.0</v>
      </c>
      <c r="T293" s="35">
        <v>0.65</v>
      </c>
      <c r="U293" s="47">
        <v>1232698.0</v>
      </c>
      <c r="V293" s="42">
        <v>5.31</v>
      </c>
      <c r="W293" s="43">
        <v>0.0</v>
      </c>
      <c r="X293" s="42">
        <v>0.0</v>
      </c>
      <c r="Y293" s="44">
        <v>1232698.0</v>
      </c>
      <c r="Z293" s="42">
        <v>5.31</v>
      </c>
      <c r="AA293" s="45">
        <v>1202969.0</v>
      </c>
      <c r="AB293" s="46"/>
      <c r="AC293" s="45">
        <v>0.0</v>
      </c>
      <c r="AD293" s="46"/>
      <c r="AE293" s="45">
        <f t="shared" si="1"/>
        <v>1202969</v>
      </c>
      <c r="AF293" s="46"/>
      <c r="AG293" s="45">
        <v>931950.0</v>
      </c>
      <c r="AH293" s="46"/>
      <c r="AI293" s="45">
        <v>0.0</v>
      </c>
      <c r="AJ293" s="46"/>
      <c r="AK293" s="45">
        <f t="shared" si="2"/>
        <v>931950</v>
      </c>
      <c r="AL293" s="46"/>
      <c r="AM293" s="45">
        <v>1149650.0</v>
      </c>
      <c r="AN293" s="46"/>
      <c r="AO293" s="45">
        <v>0.0</v>
      </c>
      <c r="AP293" s="46"/>
      <c r="AQ293" s="45">
        <f t="shared" si="3"/>
        <v>1149650</v>
      </c>
      <c r="AR293" s="46"/>
    </row>
    <row r="294" ht="15.75" customHeight="1">
      <c r="A294" s="29">
        <v>71004.0</v>
      </c>
      <c r="B294" s="30" t="s">
        <v>297</v>
      </c>
      <c r="C294" s="31">
        <v>98260.0</v>
      </c>
      <c r="D294" s="32">
        <v>1.35</v>
      </c>
      <c r="E294" s="33">
        <v>0.0</v>
      </c>
      <c r="F294" s="32">
        <v>0.0</v>
      </c>
      <c r="G294" s="34">
        <v>98260.0</v>
      </c>
      <c r="H294" s="35">
        <v>1.04</v>
      </c>
      <c r="I294" s="36">
        <v>99880.0</v>
      </c>
      <c r="J294" s="37">
        <v>1.0</v>
      </c>
      <c r="K294" s="38">
        <v>0.0</v>
      </c>
      <c r="L294" s="39">
        <v>0.0</v>
      </c>
      <c r="M294" s="38">
        <v>99880.0</v>
      </c>
      <c r="N294" s="40">
        <v>0.81</v>
      </c>
      <c r="O294" s="36">
        <v>210732.0</v>
      </c>
      <c r="P294" s="37">
        <v>1.77</v>
      </c>
      <c r="Q294" s="38">
        <v>0.0</v>
      </c>
      <c r="R294" s="32">
        <v>0.0</v>
      </c>
      <c r="S294" s="38">
        <v>210732.0</v>
      </c>
      <c r="T294" s="35">
        <v>1.43</v>
      </c>
      <c r="U294" s="47">
        <v>265585.0</v>
      </c>
      <c r="V294" s="42">
        <v>2.16</v>
      </c>
      <c r="W294" s="44">
        <v>319200.0</v>
      </c>
      <c r="X294" s="42">
        <v>65.06</v>
      </c>
      <c r="Y294" s="44">
        <v>584785.0</v>
      </c>
      <c r="Z294" s="42">
        <v>4.57</v>
      </c>
      <c r="AA294" s="45">
        <v>521065.0</v>
      </c>
      <c r="AB294" s="46"/>
      <c r="AC294" s="45">
        <v>8471.0</v>
      </c>
      <c r="AD294" s="46"/>
      <c r="AE294" s="45">
        <f t="shared" si="1"/>
        <v>529536</v>
      </c>
      <c r="AF294" s="46"/>
      <c r="AG294" s="45">
        <v>290400.0</v>
      </c>
      <c r="AH294" s="46"/>
      <c r="AI294" s="45">
        <v>0.0</v>
      </c>
      <c r="AJ294" s="46"/>
      <c r="AK294" s="45">
        <f t="shared" si="2"/>
        <v>290400</v>
      </c>
      <c r="AL294" s="46"/>
      <c r="AM294" s="45">
        <v>225864.0</v>
      </c>
      <c r="AN294" s="46"/>
      <c r="AO294" s="45">
        <v>0.0</v>
      </c>
      <c r="AP294" s="46"/>
      <c r="AQ294" s="45">
        <f t="shared" si="3"/>
        <v>225864</v>
      </c>
      <c r="AR294" s="46"/>
    </row>
    <row r="295" ht="15.75" customHeight="1">
      <c r="A295" s="29">
        <v>71005.0</v>
      </c>
      <c r="B295" s="30" t="s">
        <v>222</v>
      </c>
      <c r="C295" s="31">
        <v>21000.0</v>
      </c>
      <c r="D295" s="32">
        <v>0.18</v>
      </c>
      <c r="E295" s="33">
        <v>0.0</v>
      </c>
      <c r="F295" s="32">
        <v>0.0</v>
      </c>
      <c r="G295" s="34">
        <v>21000.0</v>
      </c>
      <c r="H295" s="35">
        <v>0.14</v>
      </c>
      <c r="I295" s="36">
        <v>18000.0</v>
      </c>
      <c r="J295" s="37">
        <v>0.12</v>
      </c>
      <c r="K295" s="38">
        <v>0.0</v>
      </c>
      <c r="L295" s="39">
        <v>0.0</v>
      </c>
      <c r="M295" s="38">
        <v>18000.0</v>
      </c>
      <c r="N295" s="40">
        <v>0.12</v>
      </c>
      <c r="O295" s="36">
        <v>78840.0</v>
      </c>
      <c r="P295" s="37">
        <v>0.42</v>
      </c>
      <c r="Q295" s="38">
        <v>0.0</v>
      </c>
      <c r="R295" s="32">
        <v>0.0</v>
      </c>
      <c r="S295" s="38">
        <v>78840.0</v>
      </c>
      <c r="T295" s="35">
        <v>0.42</v>
      </c>
      <c r="U295" s="47">
        <v>74450.0</v>
      </c>
      <c r="V295" s="42">
        <v>0.47</v>
      </c>
      <c r="W295" s="43">
        <v>0.0</v>
      </c>
      <c r="X295" s="42">
        <v>0.0</v>
      </c>
      <c r="Y295" s="44">
        <v>74450.0</v>
      </c>
      <c r="Z295" s="42">
        <v>0.47</v>
      </c>
      <c r="AA295" s="45">
        <v>74450.0</v>
      </c>
      <c r="AB295" s="46"/>
      <c r="AC295" s="45">
        <v>0.0</v>
      </c>
      <c r="AD295" s="46"/>
      <c r="AE295" s="45">
        <f t="shared" si="1"/>
        <v>74450</v>
      </c>
      <c r="AF295" s="46"/>
      <c r="AG295" s="45">
        <v>48450.0</v>
      </c>
      <c r="AH295" s="46"/>
      <c r="AI295" s="45">
        <v>0.0</v>
      </c>
      <c r="AJ295" s="46"/>
      <c r="AK295" s="45">
        <f t="shared" si="2"/>
        <v>48450</v>
      </c>
      <c r="AL295" s="46"/>
      <c r="AM295" s="45">
        <v>74450.0</v>
      </c>
      <c r="AN295" s="46"/>
      <c r="AO295" s="45">
        <v>0.0</v>
      </c>
      <c r="AP295" s="46"/>
      <c r="AQ295" s="45">
        <f t="shared" si="3"/>
        <v>74450</v>
      </c>
      <c r="AR295" s="46"/>
    </row>
    <row r="296" ht="15.75" customHeight="1">
      <c r="A296" s="29">
        <v>71101.0</v>
      </c>
      <c r="B296" s="30" t="s">
        <v>298</v>
      </c>
      <c r="C296" s="31">
        <v>267614.0</v>
      </c>
      <c r="D296" s="32">
        <v>1.85</v>
      </c>
      <c r="E296" s="33">
        <v>0.0</v>
      </c>
      <c r="F296" s="32">
        <v>0.0</v>
      </c>
      <c r="G296" s="34">
        <v>267614.0</v>
      </c>
      <c r="H296" s="35">
        <v>1.11</v>
      </c>
      <c r="I296" s="36">
        <v>334000.0</v>
      </c>
      <c r="J296" s="37">
        <v>2.27</v>
      </c>
      <c r="K296" s="38">
        <v>0.0</v>
      </c>
      <c r="L296" s="39">
        <v>0.0</v>
      </c>
      <c r="M296" s="38">
        <v>334000.0</v>
      </c>
      <c r="N296" s="40">
        <v>1.59</v>
      </c>
      <c r="O296" s="36">
        <v>270000.0</v>
      </c>
      <c r="P296" s="37">
        <v>1.55</v>
      </c>
      <c r="Q296" s="38">
        <v>0.0</v>
      </c>
      <c r="R296" s="32">
        <v>0.0</v>
      </c>
      <c r="S296" s="38">
        <v>270000.0</v>
      </c>
      <c r="T296" s="35">
        <v>1.49</v>
      </c>
      <c r="U296" s="47">
        <v>559340.0</v>
      </c>
      <c r="V296" s="42">
        <v>4.61</v>
      </c>
      <c r="W296" s="43">
        <v>0.0</v>
      </c>
      <c r="X296" s="42">
        <v>0.0</v>
      </c>
      <c r="Y296" s="44">
        <v>559340.0</v>
      </c>
      <c r="Z296" s="42">
        <v>4.59</v>
      </c>
      <c r="AA296" s="45">
        <v>878140.0</v>
      </c>
      <c r="AB296" s="46"/>
      <c r="AC296" s="45">
        <v>0.0</v>
      </c>
      <c r="AD296" s="46"/>
      <c r="AE296" s="45">
        <f t="shared" si="1"/>
        <v>878140</v>
      </c>
      <c r="AF296" s="46"/>
      <c r="AG296" s="45">
        <v>1042800.0</v>
      </c>
      <c r="AH296" s="46"/>
      <c r="AI296" s="45">
        <v>0.0</v>
      </c>
      <c r="AJ296" s="46"/>
      <c r="AK296" s="45">
        <f t="shared" si="2"/>
        <v>1042800</v>
      </c>
      <c r="AL296" s="46"/>
      <c r="AM296" s="45">
        <v>940532.0</v>
      </c>
      <c r="AN296" s="46"/>
      <c r="AO296" s="45">
        <v>0.0</v>
      </c>
      <c r="AP296" s="46"/>
      <c r="AQ296" s="45">
        <f t="shared" si="3"/>
        <v>940532</v>
      </c>
      <c r="AR296" s="46"/>
    </row>
    <row r="297" ht="15.75" customHeight="1">
      <c r="A297" s="29">
        <v>71102.0</v>
      </c>
      <c r="B297" s="30" t="s">
        <v>299</v>
      </c>
      <c r="C297" s="31">
        <v>160000.0</v>
      </c>
      <c r="D297" s="32">
        <v>1.82</v>
      </c>
      <c r="E297" s="33">
        <v>0.0</v>
      </c>
      <c r="F297" s="32">
        <v>0.0</v>
      </c>
      <c r="G297" s="34">
        <v>160000.0</v>
      </c>
      <c r="H297" s="35">
        <v>1.49</v>
      </c>
      <c r="I297" s="36">
        <v>160000.0</v>
      </c>
      <c r="J297" s="37">
        <v>1.48</v>
      </c>
      <c r="K297" s="38">
        <v>0.0</v>
      </c>
      <c r="L297" s="39">
        <v>0.0</v>
      </c>
      <c r="M297" s="38">
        <v>160000.0</v>
      </c>
      <c r="N297" s="40">
        <v>1.31</v>
      </c>
      <c r="O297" s="36">
        <v>200000.0</v>
      </c>
      <c r="P297" s="37">
        <v>1.79</v>
      </c>
      <c r="Q297" s="38">
        <v>0.0</v>
      </c>
      <c r="R297" s="32">
        <v>0.0</v>
      </c>
      <c r="S297" s="38">
        <v>200000.0</v>
      </c>
      <c r="T297" s="35">
        <v>1.28</v>
      </c>
      <c r="U297" s="47">
        <v>559312.0</v>
      </c>
      <c r="V297" s="42">
        <v>4.35</v>
      </c>
      <c r="W297" s="43">
        <v>0.0</v>
      </c>
      <c r="X297" s="42">
        <v>0.0</v>
      </c>
      <c r="Y297" s="44">
        <v>559312.0</v>
      </c>
      <c r="Z297" s="42">
        <v>4.16</v>
      </c>
      <c r="AA297" s="45">
        <v>540000.0</v>
      </c>
      <c r="AB297" s="46"/>
      <c r="AC297" s="45">
        <v>0.0</v>
      </c>
      <c r="AD297" s="46"/>
      <c r="AE297" s="45">
        <f t="shared" si="1"/>
        <v>540000</v>
      </c>
      <c r="AF297" s="46"/>
      <c r="AG297" s="45">
        <v>544500.0</v>
      </c>
      <c r="AH297" s="46"/>
      <c r="AI297" s="45">
        <v>0.0</v>
      </c>
      <c r="AJ297" s="46"/>
      <c r="AK297" s="45">
        <f t="shared" si="2"/>
        <v>544500</v>
      </c>
      <c r="AL297" s="46"/>
      <c r="AM297" s="45">
        <v>510000.0</v>
      </c>
      <c r="AN297" s="46"/>
      <c r="AO297" s="45">
        <v>0.0</v>
      </c>
      <c r="AP297" s="46"/>
      <c r="AQ297" s="45">
        <f t="shared" si="3"/>
        <v>510000</v>
      </c>
      <c r="AR297" s="46"/>
    </row>
    <row r="298" ht="15.75" customHeight="1">
      <c r="A298" s="29">
        <v>71103.0</v>
      </c>
      <c r="B298" s="30" t="s">
        <v>300</v>
      </c>
      <c r="C298" s="48">
        <v>0.0</v>
      </c>
      <c r="D298" s="32">
        <v>0.0</v>
      </c>
      <c r="E298" s="33">
        <v>0.0</v>
      </c>
      <c r="F298" s="32">
        <v>0.0</v>
      </c>
      <c r="G298" s="33">
        <v>0.0</v>
      </c>
      <c r="H298" s="35">
        <v>0.0</v>
      </c>
      <c r="I298" s="36">
        <v>267400.0</v>
      </c>
      <c r="J298" s="37">
        <v>6.55</v>
      </c>
      <c r="K298" s="38">
        <v>0.0</v>
      </c>
      <c r="L298" s="39">
        <v>0.0</v>
      </c>
      <c r="M298" s="38">
        <v>267400.0</v>
      </c>
      <c r="N298" s="40">
        <v>4.65</v>
      </c>
      <c r="O298" s="36">
        <v>357000.0</v>
      </c>
      <c r="P298" s="37">
        <v>7.03</v>
      </c>
      <c r="Q298" s="38">
        <v>0.0</v>
      </c>
      <c r="R298" s="32">
        <v>0.0</v>
      </c>
      <c r="S298" s="38">
        <v>357000.0</v>
      </c>
      <c r="T298" s="35">
        <v>3.89</v>
      </c>
      <c r="U298" s="47">
        <v>217500.0</v>
      </c>
      <c r="V298" s="42">
        <v>3.29</v>
      </c>
      <c r="W298" s="43">
        <v>0.0</v>
      </c>
      <c r="X298" s="42">
        <v>0.0</v>
      </c>
      <c r="Y298" s="53">
        <v>217500.0</v>
      </c>
      <c r="Z298" s="42">
        <v>0.79</v>
      </c>
      <c r="AA298" s="45">
        <v>160200.0</v>
      </c>
      <c r="AB298" s="46"/>
      <c r="AC298" s="45">
        <v>0.0</v>
      </c>
      <c r="AD298" s="46"/>
      <c r="AE298" s="45">
        <f t="shared" si="1"/>
        <v>160200</v>
      </c>
      <c r="AF298" s="46"/>
      <c r="AG298" s="45">
        <v>189176.0</v>
      </c>
      <c r="AH298" s="46"/>
      <c r="AI298" s="45">
        <v>0.0</v>
      </c>
      <c r="AJ298" s="46"/>
      <c r="AK298" s="45">
        <f t="shared" si="2"/>
        <v>189176</v>
      </c>
      <c r="AL298" s="46"/>
      <c r="AM298" s="45">
        <v>176520.0</v>
      </c>
      <c r="AN298" s="46"/>
      <c r="AO298" s="45">
        <v>0.0</v>
      </c>
      <c r="AP298" s="46"/>
      <c r="AQ298" s="45">
        <f t="shared" si="3"/>
        <v>176520</v>
      </c>
      <c r="AR298" s="46"/>
    </row>
    <row r="299" ht="15.75" customHeight="1">
      <c r="A299" s="29">
        <v>71104.0</v>
      </c>
      <c r="B299" s="30" t="s">
        <v>301</v>
      </c>
      <c r="C299" s="31">
        <v>364830.0</v>
      </c>
      <c r="D299" s="32">
        <v>1.29</v>
      </c>
      <c r="E299" s="33">
        <v>0.0</v>
      </c>
      <c r="F299" s="32">
        <v>0.0</v>
      </c>
      <c r="G299" s="34">
        <v>364830.0</v>
      </c>
      <c r="H299" s="35">
        <v>0.96</v>
      </c>
      <c r="I299" s="36">
        <v>286000.0</v>
      </c>
      <c r="J299" s="37">
        <v>0.73</v>
      </c>
      <c r="K299" s="38">
        <v>0.0</v>
      </c>
      <c r="L299" s="39">
        <v>0.0</v>
      </c>
      <c r="M299" s="38">
        <v>286000.0</v>
      </c>
      <c r="N299" s="40">
        <v>0.64</v>
      </c>
      <c r="O299" s="36">
        <v>755125.0</v>
      </c>
      <c r="P299" s="37">
        <v>1.76</v>
      </c>
      <c r="Q299" s="38">
        <v>0.0</v>
      </c>
      <c r="R299" s="32">
        <v>0.0</v>
      </c>
      <c r="S299" s="38">
        <v>755125.0</v>
      </c>
      <c r="T299" s="35">
        <v>1.5</v>
      </c>
      <c r="U299" s="47">
        <v>350000.0</v>
      </c>
      <c r="V299" s="42">
        <v>0.88</v>
      </c>
      <c r="W299" s="43">
        <v>0.0</v>
      </c>
      <c r="X299" s="42">
        <v>0.0</v>
      </c>
      <c r="Y299" s="44">
        <v>350000.0</v>
      </c>
      <c r="Z299" s="42">
        <v>0.84</v>
      </c>
      <c r="AA299" s="45">
        <v>400000.0</v>
      </c>
      <c r="AB299" s="46"/>
      <c r="AC299" s="45">
        <v>0.0</v>
      </c>
      <c r="AD299" s="46"/>
      <c r="AE299" s="45">
        <f t="shared" si="1"/>
        <v>400000</v>
      </c>
      <c r="AF299" s="46"/>
      <c r="AG299" s="45">
        <v>450000.0</v>
      </c>
      <c r="AH299" s="46"/>
      <c r="AI299" s="45">
        <v>0.0</v>
      </c>
      <c r="AJ299" s="46"/>
      <c r="AK299" s="45">
        <f t="shared" si="2"/>
        <v>450000</v>
      </c>
      <c r="AL299" s="46"/>
      <c r="AM299" s="45">
        <v>694405.0</v>
      </c>
      <c r="AN299" s="46"/>
      <c r="AO299" s="45">
        <v>0.0</v>
      </c>
      <c r="AP299" s="46"/>
      <c r="AQ299" s="45">
        <f t="shared" si="3"/>
        <v>694405</v>
      </c>
      <c r="AR299" s="46"/>
    </row>
    <row r="300" ht="15.75" customHeight="1">
      <c r="A300" s="29">
        <v>71105.0</v>
      </c>
      <c r="B300" s="30" t="s">
        <v>302</v>
      </c>
      <c r="C300" s="31">
        <v>15000.0</v>
      </c>
      <c r="D300" s="32">
        <v>0.36</v>
      </c>
      <c r="E300" s="33">
        <v>0.0</v>
      </c>
      <c r="F300" s="32">
        <v>0.0</v>
      </c>
      <c r="G300" s="34">
        <v>15000.0</v>
      </c>
      <c r="H300" s="35">
        <v>0.27</v>
      </c>
      <c r="I300" s="36">
        <v>8000.0</v>
      </c>
      <c r="J300" s="37">
        <v>0.19</v>
      </c>
      <c r="K300" s="38">
        <v>0.0</v>
      </c>
      <c r="L300" s="39">
        <v>0.0</v>
      </c>
      <c r="M300" s="38">
        <v>8000.0</v>
      </c>
      <c r="N300" s="40">
        <v>0.16</v>
      </c>
      <c r="O300" s="36">
        <v>5000.0</v>
      </c>
      <c r="P300" s="37">
        <v>0.13</v>
      </c>
      <c r="Q300" s="38">
        <v>0.0</v>
      </c>
      <c r="R300" s="32">
        <v>0.0</v>
      </c>
      <c r="S300" s="38">
        <v>5000.0</v>
      </c>
      <c r="T300" s="35">
        <v>0.1</v>
      </c>
      <c r="U300" s="47">
        <v>50000.0</v>
      </c>
      <c r="V300" s="42">
        <v>1.03</v>
      </c>
      <c r="W300" s="43">
        <v>0.0</v>
      </c>
      <c r="X300" s="42">
        <v>0.0</v>
      </c>
      <c r="Y300" s="44">
        <v>50000.0</v>
      </c>
      <c r="Z300" s="42">
        <v>0.72</v>
      </c>
      <c r="AA300" s="45">
        <v>45000.0</v>
      </c>
      <c r="AB300" s="46"/>
      <c r="AC300" s="45">
        <v>0.0</v>
      </c>
      <c r="AD300" s="46"/>
      <c r="AE300" s="45">
        <f t="shared" si="1"/>
        <v>45000</v>
      </c>
      <c r="AF300" s="46"/>
      <c r="AG300" s="45">
        <v>50000.0</v>
      </c>
      <c r="AH300" s="46"/>
      <c r="AI300" s="45">
        <v>0.0</v>
      </c>
      <c r="AJ300" s="46"/>
      <c r="AK300" s="45">
        <f t="shared" si="2"/>
        <v>50000</v>
      </c>
      <c r="AL300" s="46"/>
      <c r="AM300" s="45">
        <v>50000.0</v>
      </c>
      <c r="AN300" s="46"/>
      <c r="AO300" s="45">
        <v>0.0</v>
      </c>
      <c r="AP300" s="46"/>
      <c r="AQ300" s="45">
        <f t="shared" si="3"/>
        <v>50000</v>
      </c>
      <c r="AR300" s="46"/>
    </row>
    <row r="301" ht="15.75" customHeight="1">
      <c r="A301" s="29">
        <v>71106.0</v>
      </c>
      <c r="B301" s="30" t="s">
        <v>303</v>
      </c>
      <c r="C301" s="31">
        <v>60000.0</v>
      </c>
      <c r="D301" s="32">
        <v>0.42</v>
      </c>
      <c r="E301" s="33">
        <v>0.0</v>
      </c>
      <c r="F301" s="32">
        <v>0.0</v>
      </c>
      <c r="G301" s="34">
        <v>60000.0</v>
      </c>
      <c r="H301" s="35">
        <v>0.27</v>
      </c>
      <c r="I301" s="36">
        <v>100500.0</v>
      </c>
      <c r="J301" s="37">
        <v>0.56</v>
      </c>
      <c r="K301" s="38">
        <v>0.0</v>
      </c>
      <c r="L301" s="39">
        <v>0.0</v>
      </c>
      <c r="M301" s="38">
        <v>100500.0</v>
      </c>
      <c r="N301" s="40">
        <v>0.46</v>
      </c>
      <c r="O301" s="36">
        <v>100000.0</v>
      </c>
      <c r="P301" s="37">
        <v>0.53</v>
      </c>
      <c r="Q301" s="38">
        <v>0.0</v>
      </c>
      <c r="R301" s="32">
        <v>0.0</v>
      </c>
      <c r="S301" s="38">
        <v>100000.0</v>
      </c>
      <c r="T301" s="35">
        <v>0.3</v>
      </c>
      <c r="U301" s="47">
        <v>298000.0</v>
      </c>
      <c r="V301" s="42">
        <v>1.3</v>
      </c>
      <c r="W301" s="43">
        <v>0.0</v>
      </c>
      <c r="X301" s="42">
        <v>0.0</v>
      </c>
      <c r="Y301" s="44">
        <v>298000.0</v>
      </c>
      <c r="Z301" s="42">
        <v>1.26</v>
      </c>
      <c r="AA301" s="45">
        <v>272000.0</v>
      </c>
      <c r="AB301" s="46"/>
      <c r="AC301" s="45">
        <v>0.0</v>
      </c>
      <c r="AD301" s="46"/>
      <c r="AE301" s="45">
        <f t="shared" si="1"/>
        <v>272000</v>
      </c>
      <c r="AF301" s="46"/>
      <c r="AG301" s="45">
        <v>280000.0</v>
      </c>
      <c r="AH301" s="46"/>
      <c r="AI301" s="45">
        <v>0.0</v>
      </c>
      <c r="AJ301" s="46"/>
      <c r="AK301" s="45">
        <f t="shared" si="2"/>
        <v>280000</v>
      </c>
      <c r="AL301" s="46"/>
      <c r="AM301" s="45">
        <v>178820.0</v>
      </c>
      <c r="AN301" s="46"/>
      <c r="AO301" s="45">
        <v>0.0</v>
      </c>
      <c r="AP301" s="46"/>
      <c r="AQ301" s="45">
        <f t="shared" si="3"/>
        <v>178820</v>
      </c>
      <c r="AR301" s="46"/>
    </row>
    <row r="302" ht="15.75" customHeight="1">
      <c r="A302" s="29">
        <v>71201.0</v>
      </c>
      <c r="B302" s="30" t="s">
        <v>304</v>
      </c>
      <c r="C302" s="48">
        <v>0.0</v>
      </c>
      <c r="D302" s="32">
        <v>0.0</v>
      </c>
      <c r="E302" s="33">
        <v>0.0</v>
      </c>
      <c r="F302" s="32">
        <v>0.0</v>
      </c>
      <c r="G302" s="33">
        <v>0.0</v>
      </c>
      <c r="H302" s="35">
        <v>0.0</v>
      </c>
      <c r="I302" s="36">
        <v>100000.0</v>
      </c>
      <c r="J302" s="37">
        <v>0.93</v>
      </c>
      <c r="K302" s="38">
        <v>0.0</v>
      </c>
      <c r="L302" s="39">
        <v>0.0</v>
      </c>
      <c r="M302" s="38">
        <v>100000.0</v>
      </c>
      <c r="N302" s="40">
        <v>0.77</v>
      </c>
      <c r="O302" s="36">
        <v>100000.0</v>
      </c>
      <c r="P302" s="37">
        <v>0.87</v>
      </c>
      <c r="Q302" s="38">
        <v>0.0</v>
      </c>
      <c r="R302" s="32">
        <v>0.0</v>
      </c>
      <c r="S302" s="38">
        <v>100000.0</v>
      </c>
      <c r="T302" s="35">
        <v>0.55</v>
      </c>
      <c r="U302" s="47">
        <v>200000.0</v>
      </c>
      <c r="V302" s="42">
        <v>1.78</v>
      </c>
      <c r="W302" s="43">
        <v>0.0</v>
      </c>
      <c r="X302" s="42">
        <v>0.0</v>
      </c>
      <c r="Y302" s="44">
        <v>200000.0</v>
      </c>
      <c r="Z302" s="42">
        <v>1.69</v>
      </c>
      <c r="AA302" s="45">
        <v>240648.0</v>
      </c>
      <c r="AB302" s="46"/>
      <c r="AC302" s="45">
        <v>0.0</v>
      </c>
      <c r="AD302" s="46"/>
      <c r="AE302" s="45">
        <f t="shared" si="1"/>
        <v>240648</v>
      </c>
      <c r="AF302" s="46"/>
      <c r="AG302" s="45">
        <v>211100.0</v>
      </c>
      <c r="AH302" s="46"/>
      <c r="AI302" s="45">
        <v>0.0</v>
      </c>
      <c r="AJ302" s="46"/>
      <c r="AK302" s="45">
        <f t="shared" si="2"/>
        <v>211100</v>
      </c>
      <c r="AL302" s="46"/>
      <c r="AM302" s="45">
        <v>227500.0</v>
      </c>
      <c r="AN302" s="46"/>
      <c r="AO302" s="45">
        <v>0.0</v>
      </c>
      <c r="AP302" s="46"/>
      <c r="AQ302" s="45">
        <f t="shared" si="3"/>
        <v>227500</v>
      </c>
      <c r="AR302" s="46"/>
    </row>
    <row r="303" ht="15.75" customHeight="1">
      <c r="A303" s="29">
        <v>71301.0</v>
      </c>
      <c r="B303" s="30" t="s">
        <v>305</v>
      </c>
      <c r="C303" s="48">
        <v>0.0</v>
      </c>
      <c r="D303" s="32">
        <v>0.0</v>
      </c>
      <c r="E303" s="33">
        <v>0.0</v>
      </c>
      <c r="F303" s="32">
        <v>0.0</v>
      </c>
      <c r="G303" s="34">
        <v>0.0</v>
      </c>
      <c r="H303" s="35">
        <v>0.0</v>
      </c>
      <c r="I303" s="36">
        <v>315000.0</v>
      </c>
      <c r="J303" s="37">
        <v>2.96</v>
      </c>
      <c r="K303" s="38">
        <v>0.0</v>
      </c>
      <c r="L303" s="39">
        <v>0.0</v>
      </c>
      <c r="M303" s="38">
        <v>315000.0</v>
      </c>
      <c r="N303" s="40">
        <v>2.33</v>
      </c>
      <c r="O303" s="36">
        <v>400000.0</v>
      </c>
      <c r="P303" s="37">
        <v>3.33</v>
      </c>
      <c r="Q303" s="38">
        <v>0.0</v>
      </c>
      <c r="R303" s="32">
        <v>0.0</v>
      </c>
      <c r="S303" s="38">
        <v>400000.0</v>
      </c>
      <c r="T303" s="35">
        <v>2.32</v>
      </c>
      <c r="U303" s="47">
        <v>407000.0</v>
      </c>
      <c r="V303" s="42">
        <v>3.29</v>
      </c>
      <c r="W303" s="44">
        <v>1125017.0</v>
      </c>
      <c r="X303" s="42">
        <v>72.81</v>
      </c>
      <c r="Y303" s="44">
        <v>1532017.0</v>
      </c>
      <c r="Z303" s="42">
        <v>11.01</v>
      </c>
      <c r="AA303" s="45">
        <v>407000.0</v>
      </c>
      <c r="AB303" s="46"/>
      <c r="AC303" s="45">
        <v>0.0</v>
      </c>
      <c r="AD303" s="46"/>
      <c r="AE303" s="45">
        <f t="shared" si="1"/>
        <v>407000</v>
      </c>
      <c r="AF303" s="46"/>
      <c r="AG303" s="45">
        <v>573360.0</v>
      </c>
      <c r="AH303" s="46"/>
      <c r="AI303" s="45">
        <v>0.0</v>
      </c>
      <c r="AJ303" s="46"/>
      <c r="AK303" s="45">
        <f t="shared" si="2"/>
        <v>573360</v>
      </c>
      <c r="AL303" s="46"/>
      <c r="AM303" s="45">
        <v>450000.0</v>
      </c>
      <c r="AN303" s="46"/>
      <c r="AO303" s="45">
        <v>0.0</v>
      </c>
      <c r="AP303" s="46"/>
      <c r="AQ303" s="45">
        <f t="shared" si="3"/>
        <v>450000</v>
      </c>
      <c r="AR303" s="46"/>
    </row>
    <row r="304" ht="15.75" customHeight="1">
      <c r="A304" s="29">
        <v>71302.0</v>
      </c>
      <c r="B304" s="30" t="s">
        <v>306</v>
      </c>
      <c r="C304" s="31">
        <v>29091.0</v>
      </c>
      <c r="D304" s="32">
        <v>0.65</v>
      </c>
      <c r="E304" s="33">
        <v>0.0</v>
      </c>
      <c r="F304" s="32">
        <v>0.0</v>
      </c>
      <c r="G304" s="34">
        <v>29091.0</v>
      </c>
      <c r="H304" s="35">
        <v>0.41</v>
      </c>
      <c r="I304" s="36">
        <v>38848.0</v>
      </c>
      <c r="J304" s="37">
        <v>0.93</v>
      </c>
      <c r="K304" s="38">
        <v>0.0</v>
      </c>
      <c r="L304" s="39">
        <v>0.0</v>
      </c>
      <c r="M304" s="38">
        <v>38848.0</v>
      </c>
      <c r="N304" s="40">
        <v>0.65</v>
      </c>
      <c r="O304" s="36">
        <v>39000.0</v>
      </c>
      <c r="P304" s="37">
        <v>0.72</v>
      </c>
      <c r="Q304" s="38">
        <v>0.0</v>
      </c>
      <c r="R304" s="32">
        <v>0.0</v>
      </c>
      <c r="S304" s="38">
        <v>39000.0</v>
      </c>
      <c r="T304" s="35">
        <v>0.55</v>
      </c>
      <c r="U304" s="47">
        <v>82000.0</v>
      </c>
      <c r="V304" s="42">
        <v>1.21</v>
      </c>
      <c r="W304" s="43">
        <v>0.0</v>
      </c>
      <c r="X304" s="42">
        <v>0.0</v>
      </c>
      <c r="Y304" s="44">
        <v>82000.0</v>
      </c>
      <c r="Z304" s="42">
        <v>1.21</v>
      </c>
      <c r="AA304" s="45">
        <v>65000.0</v>
      </c>
      <c r="AB304" s="46"/>
      <c r="AC304" s="45">
        <v>0.0</v>
      </c>
      <c r="AD304" s="46"/>
      <c r="AE304" s="45">
        <f t="shared" si="1"/>
        <v>65000</v>
      </c>
      <c r="AF304" s="46"/>
      <c r="AG304" s="45">
        <v>65000.0</v>
      </c>
      <c r="AH304" s="46"/>
      <c r="AI304" s="45">
        <v>0.0</v>
      </c>
      <c r="AJ304" s="46"/>
      <c r="AK304" s="45">
        <f t="shared" si="2"/>
        <v>65000</v>
      </c>
      <c r="AL304" s="46"/>
      <c r="AM304" s="45">
        <v>65000.0</v>
      </c>
      <c r="AN304" s="46"/>
      <c r="AO304" s="45">
        <v>0.0</v>
      </c>
      <c r="AP304" s="46"/>
      <c r="AQ304" s="45">
        <f t="shared" si="3"/>
        <v>65000</v>
      </c>
      <c r="AR304" s="46"/>
    </row>
    <row r="305" ht="15.75" customHeight="1">
      <c r="A305" s="29">
        <v>71401.0</v>
      </c>
      <c r="B305" s="30" t="s">
        <v>307</v>
      </c>
      <c r="C305" s="48">
        <v>0.0</v>
      </c>
      <c r="D305" s="32">
        <v>0.0</v>
      </c>
      <c r="E305" s="33">
        <v>0.0</v>
      </c>
      <c r="F305" s="32">
        <v>0.0</v>
      </c>
      <c r="G305" s="34">
        <v>0.0</v>
      </c>
      <c r="H305" s="35">
        <v>0.0</v>
      </c>
      <c r="I305" s="36">
        <v>729877.0</v>
      </c>
      <c r="J305" s="37">
        <v>5.66</v>
      </c>
      <c r="K305" s="38">
        <v>0.0</v>
      </c>
      <c r="L305" s="39">
        <v>0.0</v>
      </c>
      <c r="M305" s="38">
        <v>729877.0</v>
      </c>
      <c r="N305" s="40">
        <v>5.66</v>
      </c>
      <c r="O305" s="36">
        <v>513565.0</v>
      </c>
      <c r="P305" s="37">
        <v>3.71</v>
      </c>
      <c r="Q305" s="38">
        <v>0.0</v>
      </c>
      <c r="R305" s="32">
        <v>0.0</v>
      </c>
      <c r="S305" s="38">
        <v>513565.0</v>
      </c>
      <c r="T305" s="35">
        <v>1.72</v>
      </c>
      <c r="U305" s="47">
        <v>323283.0</v>
      </c>
      <c r="V305" s="42">
        <v>2.02</v>
      </c>
      <c r="W305" s="43">
        <v>0.0</v>
      </c>
      <c r="X305" s="42">
        <v>0.0</v>
      </c>
      <c r="Y305" s="44">
        <v>323283.0</v>
      </c>
      <c r="Z305" s="42">
        <v>1.77</v>
      </c>
      <c r="AA305" s="45">
        <v>396501.0</v>
      </c>
      <c r="AB305" s="46"/>
      <c r="AC305" s="45">
        <v>0.0</v>
      </c>
      <c r="AD305" s="46"/>
      <c r="AE305" s="45">
        <f t="shared" si="1"/>
        <v>396501</v>
      </c>
      <c r="AF305" s="46"/>
      <c r="AG305" s="45">
        <v>865000.0</v>
      </c>
      <c r="AH305" s="46"/>
      <c r="AI305" s="45">
        <v>0.0</v>
      </c>
      <c r="AJ305" s="46"/>
      <c r="AK305" s="45">
        <f t="shared" si="2"/>
        <v>865000</v>
      </c>
      <c r="AL305" s="46"/>
      <c r="AM305" s="45">
        <v>1376500.0</v>
      </c>
      <c r="AN305" s="46"/>
      <c r="AO305" s="45">
        <v>0.0</v>
      </c>
      <c r="AP305" s="46"/>
      <c r="AQ305" s="45">
        <f t="shared" si="3"/>
        <v>1376500</v>
      </c>
      <c r="AR305" s="46"/>
    </row>
    <row r="306" ht="15.75" customHeight="1">
      <c r="A306" s="29">
        <v>71402.0</v>
      </c>
      <c r="B306" s="30" t="s">
        <v>308</v>
      </c>
      <c r="C306" s="31">
        <v>100000.0</v>
      </c>
      <c r="D306" s="32">
        <v>1.04</v>
      </c>
      <c r="E306" s="33">
        <v>0.0</v>
      </c>
      <c r="F306" s="32">
        <v>0.0</v>
      </c>
      <c r="G306" s="34">
        <v>100000.0</v>
      </c>
      <c r="H306" s="35">
        <v>0.75</v>
      </c>
      <c r="I306" s="36">
        <v>840000.0</v>
      </c>
      <c r="J306" s="37">
        <v>7.06</v>
      </c>
      <c r="K306" s="38">
        <v>0.0</v>
      </c>
      <c r="L306" s="39">
        <v>0.0</v>
      </c>
      <c r="M306" s="38">
        <v>840000.0</v>
      </c>
      <c r="N306" s="40">
        <v>7.06</v>
      </c>
      <c r="O306" s="36">
        <v>840000.0</v>
      </c>
      <c r="P306" s="37">
        <v>6.18</v>
      </c>
      <c r="Q306" s="38">
        <v>0.0</v>
      </c>
      <c r="R306" s="32">
        <v>0.0</v>
      </c>
      <c r="S306" s="38">
        <v>840000.0</v>
      </c>
      <c r="T306" s="35">
        <v>6.18</v>
      </c>
      <c r="U306" s="47">
        <v>780000.0</v>
      </c>
      <c r="V306" s="42">
        <v>5.15</v>
      </c>
      <c r="W306" s="43">
        <v>0.0</v>
      </c>
      <c r="X306" s="42">
        <v>0.0</v>
      </c>
      <c r="Y306" s="44">
        <v>780000.0</v>
      </c>
      <c r="Z306" s="42">
        <v>4.92</v>
      </c>
      <c r="AA306" s="45">
        <v>780000.0</v>
      </c>
      <c r="AB306" s="46"/>
      <c r="AC306" s="45">
        <v>0.0</v>
      </c>
      <c r="AD306" s="46"/>
      <c r="AE306" s="45">
        <f t="shared" si="1"/>
        <v>780000</v>
      </c>
      <c r="AF306" s="46"/>
      <c r="AG306" s="45">
        <v>600000.0</v>
      </c>
      <c r="AH306" s="46"/>
      <c r="AI306" s="45">
        <v>0.0</v>
      </c>
      <c r="AJ306" s="46"/>
      <c r="AK306" s="45">
        <f t="shared" si="2"/>
        <v>600000</v>
      </c>
      <c r="AL306" s="46"/>
      <c r="AM306" s="45">
        <v>650000.0</v>
      </c>
      <c r="AN306" s="46"/>
      <c r="AO306" s="45">
        <v>0.0</v>
      </c>
      <c r="AP306" s="46"/>
      <c r="AQ306" s="45">
        <f t="shared" si="3"/>
        <v>650000</v>
      </c>
      <c r="AR306" s="46"/>
    </row>
    <row r="307" ht="15.75" customHeight="1">
      <c r="A307" s="29">
        <v>71403.0</v>
      </c>
      <c r="B307" s="30" t="s">
        <v>309</v>
      </c>
      <c r="C307" s="31">
        <v>140000.0</v>
      </c>
      <c r="D307" s="32">
        <v>2.96</v>
      </c>
      <c r="E307" s="33">
        <v>0.0</v>
      </c>
      <c r="F307" s="32">
        <v>0.0</v>
      </c>
      <c r="G307" s="34">
        <v>140000.0</v>
      </c>
      <c r="H307" s="35">
        <v>1.97</v>
      </c>
      <c r="I307" s="36">
        <v>135000.0</v>
      </c>
      <c r="J307" s="37">
        <v>2.87</v>
      </c>
      <c r="K307" s="38">
        <v>0.0</v>
      </c>
      <c r="L307" s="39">
        <v>0.0</v>
      </c>
      <c r="M307" s="38">
        <v>135000.0</v>
      </c>
      <c r="N307" s="40">
        <v>2.04</v>
      </c>
      <c r="O307" s="36">
        <v>185000.0</v>
      </c>
      <c r="P307" s="37">
        <v>2.8</v>
      </c>
      <c r="Q307" s="38">
        <v>0.0</v>
      </c>
      <c r="R307" s="32">
        <v>0.0</v>
      </c>
      <c r="S307" s="38">
        <v>185000.0</v>
      </c>
      <c r="T307" s="35">
        <v>2.11</v>
      </c>
      <c r="U307" s="47">
        <v>165000.0</v>
      </c>
      <c r="V307" s="42">
        <v>2.22</v>
      </c>
      <c r="W307" s="43">
        <v>0.0</v>
      </c>
      <c r="X307" s="42">
        <v>0.0</v>
      </c>
      <c r="Y307" s="44">
        <v>165000.0</v>
      </c>
      <c r="Z307" s="42">
        <v>2.15</v>
      </c>
      <c r="AA307" s="45">
        <v>15000.0</v>
      </c>
      <c r="AB307" s="46"/>
      <c r="AC307" s="45">
        <v>0.0</v>
      </c>
      <c r="AD307" s="46"/>
      <c r="AE307" s="45">
        <f t="shared" si="1"/>
        <v>15000</v>
      </c>
      <c r="AF307" s="46"/>
      <c r="AG307" s="45">
        <v>10000.0</v>
      </c>
      <c r="AH307" s="46"/>
      <c r="AI307" s="45">
        <v>0.0</v>
      </c>
      <c r="AJ307" s="46"/>
      <c r="AK307" s="45">
        <f t="shared" si="2"/>
        <v>10000</v>
      </c>
      <c r="AL307" s="46"/>
      <c r="AM307" s="45">
        <v>10000.0</v>
      </c>
      <c r="AN307" s="46"/>
      <c r="AO307" s="45">
        <v>0.0</v>
      </c>
      <c r="AP307" s="46"/>
      <c r="AQ307" s="45">
        <f t="shared" si="3"/>
        <v>10000</v>
      </c>
      <c r="AR307" s="46"/>
    </row>
    <row r="308" ht="15.75" customHeight="1">
      <c r="A308" s="29">
        <v>71501.0</v>
      </c>
      <c r="B308" s="30" t="s">
        <v>310</v>
      </c>
      <c r="C308" s="31">
        <v>165000.0</v>
      </c>
      <c r="D308" s="32">
        <v>1.29</v>
      </c>
      <c r="E308" s="33">
        <v>0.0</v>
      </c>
      <c r="F308" s="32">
        <v>0.0</v>
      </c>
      <c r="G308" s="34">
        <v>165000.0</v>
      </c>
      <c r="H308" s="35">
        <v>1.0</v>
      </c>
      <c r="I308" s="36">
        <v>180000.0</v>
      </c>
      <c r="J308" s="37">
        <v>1.39</v>
      </c>
      <c r="K308" s="38">
        <v>0.0</v>
      </c>
      <c r="L308" s="39">
        <v>0.0</v>
      </c>
      <c r="M308" s="38">
        <v>180000.0</v>
      </c>
      <c r="N308" s="40">
        <v>0.83</v>
      </c>
      <c r="O308" s="36">
        <v>330000.0</v>
      </c>
      <c r="P308" s="37">
        <v>1.74</v>
      </c>
      <c r="Q308" s="38">
        <v>0.0</v>
      </c>
      <c r="R308" s="32">
        <v>0.0</v>
      </c>
      <c r="S308" s="38">
        <v>330000.0</v>
      </c>
      <c r="T308" s="35">
        <v>1.05</v>
      </c>
      <c r="U308" s="47">
        <v>464240.0</v>
      </c>
      <c r="V308" s="42">
        <v>1.99</v>
      </c>
      <c r="W308" s="43">
        <v>0.0</v>
      </c>
      <c r="X308" s="42">
        <v>0.0</v>
      </c>
      <c r="Y308" s="44">
        <v>464240.0</v>
      </c>
      <c r="Z308" s="42">
        <v>1.87</v>
      </c>
      <c r="AA308" s="45">
        <v>444800.0</v>
      </c>
      <c r="AB308" s="46"/>
      <c r="AC308" s="45">
        <v>0.0</v>
      </c>
      <c r="AD308" s="46"/>
      <c r="AE308" s="45">
        <f t="shared" si="1"/>
        <v>444800</v>
      </c>
      <c r="AF308" s="46"/>
      <c r="AG308" s="45">
        <v>540000.0</v>
      </c>
      <c r="AH308" s="46"/>
      <c r="AI308" s="45">
        <v>0.0</v>
      </c>
      <c r="AJ308" s="46"/>
      <c r="AK308" s="45">
        <f t="shared" si="2"/>
        <v>540000</v>
      </c>
      <c r="AL308" s="46"/>
      <c r="AM308" s="45">
        <v>1034000.0</v>
      </c>
      <c r="AN308" s="46"/>
      <c r="AO308" s="45">
        <v>0.0</v>
      </c>
      <c r="AP308" s="46"/>
      <c r="AQ308" s="45">
        <f t="shared" si="3"/>
        <v>1034000</v>
      </c>
      <c r="AR308" s="46"/>
    </row>
    <row r="309" ht="15.75" customHeight="1">
      <c r="A309" s="29">
        <v>71502.0</v>
      </c>
      <c r="B309" s="30" t="s">
        <v>311</v>
      </c>
      <c r="C309" s="31">
        <v>189005.0</v>
      </c>
      <c r="D309" s="32">
        <v>3.94</v>
      </c>
      <c r="E309" s="33">
        <v>0.0</v>
      </c>
      <c r="F309" s="32">
        <v>0.0</v>
      </c>
      <c r="G309" s="34">
        <v>189005.0</v>
      </c>
      <c r="H309" s="35">
        <v>3.51</v>
      </c>
      <c r="I309" s="36">
        <v>244689.0</v>
      </c>
      <c r="J309" s="37">
        <v>4.97</v>
      </c>
      <c r="K309" s="38">
        <v>0.0</v>
      </c>
      <c r="L309" s="39">
        <v>0.0</v>
      </c>
      <c r="M309" s="38">
        <v>244689.0</v>
      </c>
      <c r="N309" s="40">
        <v>4.97</v>
      </c>
      <c r="O309" s="36">
        <v>284627.0</v>
      </c>
      <c r="P309" s="37">
        <v>5.34</v>
      </c>
      <c r="Q309" s="38">
        <v>0.0</v>
      </c>
      <c r="R309" s="32">
        <v>0.0</v>
      </c>
      <c r="S309" s="38">
        <v>284627.0</v>
      </c>
      <c r="T309" s="35">
        <v>5.34</v>
      </c>
      <c r="U309" s="47">
        <v>154200.0</v>
      </c>
      <c r="V309" s="42">
        <v>2.89</v>
      </c>
      <c r="W309" s="43">
        <v>0.0</v>
      </c>
      <c r="X309" s="42">
        <v>0.0</v>
      </c>
      <c r="Y309" s="44">
        <v>154200.0</v>
      </c>
      <c r="Z309" s="42">
        <v>2.88</v>
      </c>
      <c r="AA309" s="45">
        <v>253932.0</v>
      </c>
      <c r="AB309" s="46"/>
      <c r="AC309" s="45">
        <v>0.0</v>
      </c>
      <c r="AD309" s="46"/>
      <c r="AE309" s="45">
        <f t="shared" si="1"/>
        <v>253932</v>
      </c>
      <c r="AF309" s="46"/>
      <c r="AG309" s="45">
        <v>308300.0</v>
      </c>
      <c r="AH309" s="46"/>
      <c r="AI309" s="45">
        <v>0.0</v>
      </c>
      <c r="AJ309" s="46"/>
      <c r="AK309" s="45">
        <f t="shared" si="2"/>
        <v>308300</v>
      </c>
      <c r="AL309" s="46"/>
      <c r="AM309" s="45">
        <v>386700.0</v>
      </c>
      <c r="AN309" s="46"/>
      <c r="AO309" s="45">
        <v>0.0</v>
      </c>
      <c r="AP309" s="46"/>
      <c r="AQ309" s="45">
        <f t="shared" si="3"/>
        <v>386700</v>
      </c>
      <c r="AR309" s="46"/>
    </row>
    <row r="310" ht="15.75" customHeight="1">
      <c r="A310" s="29">
        <v>71503.0</v>
      </c>
      <c r="B310" s="30" t="s">
        <v>257</v>
      </c>
      <c r="C310" s="31">
        <v>46200.0</v>
      </c>
      <c r="D310" s="32">
        <v>0.72</v>
      </c>
      <c r="E310" s="33">
        <v>0.0</v>
      </c>
      <c r="F310" s="32">
        <v>0.0</v>
      </c>
      <c r="G310" s="34">
        <v>46200.0</v>
      </c>
      <c r="H310" s="35">
        <v>0.46</v>
      </c>
      <c r="I310" s="36">
        <v>46000.0</v>
      </c>
      <c r="J310" s="37">
        <v>0.54</v>
      </c>
      <c r="K310" s="38">
        <v>0.0</v>
      </c>
      <c r="L310" s="39">
        <v>0.0</v>
      </c>
      <c r="M310" s="38">
        <v>46000.0</v>
      </c>
      <c r="N310" s="40">
        <v>0.36</v>
      </c>
      <c r="O310" s="36">
        <v>100000.0</v>
      </c>
      <c r="P310" s="37">
        <v>1.11</v>
      </c>
      <c r="Q310" s="38">
        <v>0.0</v>
      </c>
      <c r="R310" s="32">
        <v>0.0</v>
      </c>
      <c r="S310" s="38">
        <v>100000.0</v>
      </c>
      <c r="T310" s="35">
        <v>0.6</v>
      </c>
      <c r="U310" s="47">
        <v>108800.0</v>
      </c>
      <c r="V310" s="42">
        <v>1.07</v>
      </c>
      <c r="W310" s="43">
        <v>0.0</v>
      </c>
      <c r="X310" s="42">
        <v>0.0</v>
      </c>
      <c r="Y310" s="44">
        <v>108800.0</v>
      </c>
      <c r="Z310" s="42">
        <v>1.07</v>
      </c>
      <c r="AA310" s="45">
        <v>169500.0</v>
      </c>
      <c r="AB310" s="46"/>
      <c r="AC310" s="45">
        <v>0.0</v>
      </c>
      <c r="AD310" s="46"/>
      <c r="AE310" s="45">
        <f t="shared" si="1"/>
        <v>169500</v>
      </c>
      <c r="AF310" s="46"/>
      <c r="AG310" s="45">
        <v>164000.0</v>
      </c>
      <c r="AH310" s="46"/>
      <c r="AI310" s="45">
        <v>0.0</v>
      </c>
      <c r="AJ310" s="46"/>
      <c r="AK310" s="45">
        <f t="shared" si="2"/>
        <v>164000</v>
      </c>
      <c r="AL310" s="46"/>
      <c r="AM310" s="45">
        <v>162000.0</v>
      </c>
      <c r="AN310" s="46"/>
      <c r="AO310" s="45">
        <v>0.0</v>
      </c>
      <c r="AP310" s="46"/>
      <c r="AQ310" s="45">
        <f t="shared" si="3"/>
        <v>162000</v>
      </c>
      <c r="AR310" s="46"/>
    </row>
    <row r="311" ht="15.75" customHeight="1">
      <c r="A311" s="29">
        <v>80101.0</v>
      </c>
      <c r="B311" s="30" t="s">
        <v>312</v>
      </c>
      <c r="C311" s="31">
        <v>6024964.0</v>
      </c>
      <c r="D311" s="32">
        <v>6.43</v>
      </c>
      <c r="E311" s="49">
        <v>2210000.0</v>
      </c>
      <c r="F311" s="32">
        <v>3.63</v>
      </c>
      <c r="G311" s="34">
        <v>8234964.0</v>
      </c>
      <c r="H311" s="35">
        <v>5.33</v>
      </c>
      <c r="I311" s="36">
        <v>6254964.0</v>
      </c>
      <c r="J311" s="37">
        <v>4.82</v>
      </c>
      <c r="K311" s="38">
        <v>1250000.0</v>
      </c>
      <c r="L311" s="39">
        <v>1.46</v>
      </c>
      <c r="M311" s="38">
        <v>7504964.0</v>
      </c>
      <c r="N311" s="40">
        <v>3.49</v>
      </c>
      <c r="O311" s="36">
        <v>7450272.0</v>
      </c>
      <c r="P311" s="37">
        <v>4.65</v>
      </c>
      <c r="Q311" s="38">
        <v>0.0</v>
      </c>
      <c r="R311" s="32">
        <v>0.0</v>
      </c>
      <c r="S311" s="38">
        <v>7450272.0</v>
      </c>
      <c r="T311" s="35">
        <v>3.06</v>
      </c>
      <c r="U311" s="47">
        <v>7095869.0</v>
      </c>
      <c r="V311" s="42">
        <v>4.7</v>
      </c>
      <c r="W311" s="43">
        <v>0.0</v>
      </c>
      <c r="X311" s="42">
        <v>0.0</v>
      </c>
      <c r="Y311" s="44">
        <v>7095869.0</v>
      </c>
      <c r="Z311" s="42">
        <v>3.82</v>
      </c>
      <c r="AA311" s="45">
        <v>7179778.0</v>
      </c>
      <c r="AB311" s="46"/>
      <c r="AC311" s="45">
        <v>0.0</v>
      </c>
      <c r="AD311" s="46"/>
      <c r="AE311" s="45">
        <f t="shared" si="1"/>
        <v>7179778</v>
      </c>
      <c r="AF311" s="46"/>
      <c r="AG311" s="45">
        <v>1.0910759E7</v>
      </c>
      <c r="AH311" s="46"/>
      <c r="AI311" s="45">
        <v>0.0</v>
      </c>
      <c r="AJ311" s="46"/>
      <c r="AK311" s="45">
        <f t="shared" si="2"/>
        <v>10910759</v>
      </c>
      <c r="AL311" s="46"/>
      <c r="AM311" s="45">
        <v>1.0904867E7</v>
      </c>
      <c r="AN311" s="46"/>
      <c r="AO311" s="45">
        <v>0.0</v>
      </c>
      <c r="AP311" s="46"/>
      <c r="AQ311" s="45">
        <f t="shared" si="3"/>
        <v>10904867</v>
      </c>
      <c r="AR311" s="46"/>
    </row>
    <row r="312" ht="15.75" customHeight="1">
      <c r="A312" s="29">
        <v>80102.0</v>
      </c>
      <c r="B312" s="30" t="s">
        <v>299</v>
      </c>
      <c r="C312" s="31">
        <v>19000.0</v>
      </c>
      <c r="D312" s="32">
        <v>0.89</v>
      </c>
      <c r="E312" s="33">
        <v>0.0</v>
      </c>
      <c r="F312" s="32">
        <v>0.0</v>
      </c>
      <c r="G312" s="34">
        <v>19000.0</v>
      </c>
      <c r="H312" s="35">
        <v>0.51</v>
      </c>
      <c r="I312" s="36">
        <v>15000.0</v>
      </c>
      <c r="J312" s="37">
        <v>0.61</v>
      </c>
      <c r="K312" s="38">
        <v>0.0</v>
      </c>
      <c r="L312" s="39">
        <v>0.0</v>
      </c>
      <c r="M312" s="38">
        <v>15000.0</v>
      </c>
      <c r="N312" s="40">
        <v>0.47</v>
      </c>
      <c r="O312" s="36">
        <v>58000.0</v>
      </c>
      <c r="P312" s="37">
        <v>1.39</v>
      </c>
      <c r="Q312" s="38">
        <v>0.0</v>
      </c>
      <c r="R312" s="32">
        <v>0.0</v>
      </c>
      <c r="S312" s="38">
        <v>58000.0</v>
      </c>
      <c r="T312" s="35">
        <v>0.81</v>
      </c>
      <c r="U312" s="47">
        <v>85000.0</v>
      </c>
      <c r="V312" s="42">
        <v>1.89</v>
      </c>
      <c r="W312" s="43">
        <v>0.0</v>
      </c>
      <c r="X312" s="42">
        <v>0.0</v>
      </c>
      <c r="Y312" s="44">
        <v>85000.0</v>
      </c>
      <c r="Z312" s="42">
        <v>1.57</v>
      </c>
      <c r="AA312" s="45">
        <v>50000.0</v>
      </c>
      <c r="AB312" s="46"/>
      <c r="AC312" s="45">
        <v>0.0</v>
      </c>
      <c r="AD312" s="46"/>
      <c r="AE312" s="45">
        <f t="shared" si="1"/>
        <v>50000</v>
      </c>
      <c r="AF312" s="46"/>
      <c r="AG312" s="45">
        <v>20000.0</v>
      </c>
      <c r="AH312" s="46"/>
      <c r="AI312" s="45">
        <v>0.0</v>
      </c>
      <c r="AJ312" s="46"/>
      <c r="AK312" s="45">
        <f t="shared" si="2"/>
        <v>20000</v>
      </c>
      <c r="AL312" s="46"/>
      <c r="AM312" s="45">
        <v>50000.0</v>
      </c>
      <c r="AN312" s="46"/>
      <c r="AO312" s="45">
        <v>0.0</v>
      </c>
      <c r="AP312" s="46"/>
      <c r="AQ312" s="45">
        <f t="shared" si="3"/>
        <v>50000</v>
      </c>
      <c r="AR312" s="46"/>
    </row>
    <row r="313" ht="15.75" customHeight="1">
      <c r="A313" s="29">
        <v>80201.0</v>
      </c>
      <c r="B313" s="30" t="s">
        <v>313</v>
      </c>
      <c r="C313" s="31">
        <v>1260214.0</v>
      </c>
      <c r="D313" s="32">
        <v>1.78</v>
      </c>
      <c r="E313" s="49">
        <v>1200000.0</v>
      </c>
      <c r="F313" s="32">
        <v>2.57</v>
      </c>
      <c r="G313" s="34">
        <v>2460214.0</v>
      </c>
      <c r="H313" s="35">
        <v>2.09</v>
      </c>
      <c r="I313" s="36">
        <v>3383734.0</v>
      </c>
      <c r="J313" s="37">
        <v>3.81</v>
      </c>
      <c r="K313" s="38">
        <v>0.0</v>
      </c>
      <c r="L313" s="39">
        <v>0.0</v>
      </c>
      <c r="M313" s="38">
        <v>3383734.0</v>
      </c>
      <c r="N313" s="40">
        <v>2.16</v>
      </c>
      <c r="O313" s="36">
        <v>3367607.0</v>
      </c>
      <c r="P313" s="37">
        <v>3.28</v>
      </c>
      <c r="Q313" s="38">
        <v>0.0</v>
      </c>
      <c r="R313" s="32">
        <v>0.0</v>
      </c>
      <c r="S313" s="38">
        <v>3367607.0</v>
      </c>
      <c r="T313" s="35">
        <v>2.1</v>
      </c>
      <c r="U313" s="47">
        <v>7818257.0</v>
      </c>
      <c r="V313" s="42">
        <v>5.72</v>
      </c>
      <c r="W313" s="43">
        <v>0.0</v>
      </c>
      <c r="X313" s="42">
        <v>0.0</v>
      </c>
      <c r="Y313" s="44">
        <v>7818257.0</v>
      </c>
      <c r="Z313" s="42">
        <v>5.71</v>
      </c>
      <c r="AA313" s="45">
        <v>0.0</v>
      </c>
      <c r="AB313" s="46"/>
      <c r="AC313" s="45">
        <v>0.0</v>
      </c>
      <c r="AD313" s="46"/>
      <c r="AE313" s="45">
        <f t="shared" si="1"/>
        <v>0</v>
      </c>
      <c r="AF313" s="46"/>
      <c r="AG313" s="45">
        <v>7708159.0</v>
      </c>
      <c r="AH313" s="46"/>
      <c r="AI313" s="45">
        <v>0.0</v>
      </c>
      <c r="AJ313" s="46"/>
      <c r="AK313" s="45">
        <f t="shared" si="2"/>
        <v>7708159</v>
      </c>
      <c r="AL313" s="46"/>
      <c r="AM313" s="45">
        <v>7708159.0</v>
      </c>
      <c r="AN313" s="46"/>
      <c r="AO313" s="45">
        <v>0.0</v>
      </c>
      <c r="AP313" s="46"/>
      <c r="AQ313" s="45">
        <f t="shared" si="3"/>
        <v>7708159</v>
      </c>
      <c r="AR313" s="46"/>
    </row>
    <row r="314" ht="15.75" customHeight="1">
      <c r="A314" s="29">
        <v>80202.0</v>
      </c>
      <c r="B314" s="30" t="s">
        <v>314</v>
      </c>
      <c r="C314" s="31">
        <v>1839140.0</v>
      </c>
      <c r="D314" s="32">
        <v>4.43</v>
      </c>
      <c r="E314" s="33">
        <v>0.0</v>
      </c>
      <c r="F314" s="32">
        <v>0.0</v>
      </c>
      <c r="G314" s="34">
        <v>1839140.0</v>
      </c>
      <c r="H314" s="35">
        <v>3.93</v>
      </c>
      <c r="I314" s="36">
        <v>1800000.0</v>
      </c>
      <c r="J314" s="37">
        <v>3.53</v>
      </c>
      <c r="K314" s="38">
        <v>0.0</v>
      </c>
      <c r="L314" s="39">
        <v>0.0</v>
      </c>
      <c r="M314" s="38">
        <v>1800000.0</v>
      </c>
      <c r="N314" s="40">
        <v>2.99</v>
      </c>
      <c r="O314" s="36">
        <v>1800000.0</v>
      </c>
      <c r="P314" s="37">
        <v>3.42</v>
      </c>
      <c r="Q314" s="38">
        <v>0.0</v>
      </c>
      <c r="R314" s="32">
        <v>0.0</v>
      </c>
      <c r="S314" s="38">
        <v>1800000.0</v>
      </c>
      <c r="T314" s="35">
        <v>2.93</v>
      </c>
      <c r="U314" s="47">
        <v>1300000.0</v>
      </c>
      <c r="V314" s="42">
        <v>2.87</v>
      </c>
      <c r="W314" s="43">
        <v>0.0</v>
      </c>
      <c r="X314" s="42">
        <v>0.0</v>
      </c>
      <c r="Y314" s="44">
        <v>1300000.0</v>
      </c>
      <c r="Z314" s="42">
        <v>2.32</v>
      </c>
      <c r="AA314" s="45">
        <v>1400000.0</v>
      </c>
      <c r="AB314" s="46"/>
      <c r="AC314" s="45">
        <v>0.0</v>
      </c>
      <c r="AD314" s="46"/>
      <c r="AE314" s="45">
        <f t="shared" si="1"/>
        <v>1400000</v>
      </c>
      <c r="AF314" s="46"/>
      <c r="AG314" s="45">
        <v>1600000.0</v>
      </c>
      <c r="AH314" s="46"/>
      <c r="AI314" s="45">
        <v>0.0</v>
      </c>
      <c r="AJ314" s="46"/>
      <c r="AK314" s="45">
        <f t="shared" si="2"/>
        <v>1600000</v>
      </c>
      <c r="AL314" s="46"/>
      <c r="AM314" s="45">
        <v>1600000.0</v>
      </c>
      <c r="AN314" s="46"/>
      <c r="AO314" s="45">
        <v>0.0</v>
      </c>
      <c r="AP314" s="46"/>
      <c r="AQ314" s="45">
        <f t="shared" si="3"/>
        <v>1600000</v>
      </c>
      <c r="AR314" s="46"/>
    </row>
    <row r="315" ht="15.75" customHeight="1">
      <c r="A315" s="29">
        <v>80301.0</v>
      </c>
      <c r="B315" s="30" t="s">
        <v>315</v>
      </c>
      <c r="C315" s="31">
        <v>100000.0</v>
      </c>
      <c r="D315" s="32">
        <v>1.38</v>
      </c>
      <c r="E315" s="33">
        <v>0.0</v>
      </c>
      <c r="F315" s="32">
        <v>0.0</v>
      </c>
      <c r="G315" s="34">
        <v>100000.0</v>
      </c>
      <c r="H315" s="35">
        <v>0.87</v>
      </c>
      <c r="I315" s="36">
        <v>100000.0</v>
      </c>
      <c r="J315" s="37">
        <v>1.0</v>
      </c>
      <c r="K315" s="38">
        <v>0.0</v>
      </c>
      <c r="L315" s="39">
        <v>0.0</v>
      </c>
      <c r="M315" s="38">
        <v>100000.0</v>
      </c>
      <c r="N315" s="40">
        <v>0.65</v>
      </c>
      <c r="O315" s="36">
        <v>200000.0</v>
      </c>
      <c r="P315" s="37">
        <v>1.76</v>
      </c>
      <c r="Q315" s="38">
        <v>0.0</v>
      </c>
      <c r="R315" s="32">
        <v>0.0</v>
      </c>
      <c r="S315" s="38">
        <v>200000.0</v>
      </c>
      <c r="T315" s="35">
        <v>1.13</v>
      </c>
      <c r="U315" s="47">
        <v>236524.0</v>
      </c>
      <c r="V315" s="42">
        <v>1.86</v>
      </c>
      <c r="W315" s="43">
        <v>0.0</v>
      </c>
      <c r="X315" s="42">
        <v>0.0</v>
      </c>
      <c r="Y315" s="44">
        <v>236524.0</v>
      </c>
      <c r="Z315" s="42">
        <v>1.86</v>
      </c>
      <c r="AA315" s="45">
        <v>446033.0</v>
      </c>
      <c r="AB315" s="46"/>
      <c r="AC315" s="45">
        <v>0.0</v>
      </c>
      <c r="AD315" s="46"/>
      <c r="AE315" s="45">
        <f t="shared" si="1"/>
        <v>446033</v>
      </c>
      <c r="AF315" s="46"/>
      <c r="AG315" s="45"/>
      <c r="AH315" s="46"/>
      <c r="AI315" s="45">
        <v>0.0</v>
      </c>
      <c r="AJ315" s="46"/>
      <c r="AK315" s="45">
        <f t="shared" si="2"/>
        <v>0</v>
      </c>
      <c r="AL315" s="46"/>
      <c r="AM315" s="45"/>
      <c r="AN315" s="46"/>
      <c r="AO315" s="45">
        <v>0.0</v>
      </c>
      <c r="AP315" s="46"/>
      <c r="AQ315" s="45">
        <f t="shared" si="3"/>
        <v>0</v>
      </c>
      <c r="AR315" s="46"/>
    </row>
    <row r="316" ht="15.75" customHeight="1">
      <c r="A316" s="29">
        <v>80302.0</v>
      </c>
      <c r="B316" s="30" t="s">
        <v>316</v>
      </c>
      <c r="C316" s="31">
        <v>424560.0</v>
      </c>
      <c r="D316" s="32">
        <v>1.65</v>
      </c>
      <c r="E316" s="33">
        <v>0.0</v>
      </c>
      <c r="F316" s="32">
        <v>0.0</v>
      </c>
      <c r="G316" s="34">
        <v>424560.0</v>
      </c>
      <c r="H316" s="35">
        <v>0.99</v>
      </c>
      <c r="I316" s="36">
        <v>793000.0</v>
      </c>
      <c r="J316" s="37">
        <v>3.0</v>
      </c>
      <c r="K316" s="38">
        <v>0.0</v>
      </c>
      <c r="L316" s="39">
        <v>0.0</v>
      </c>
      <c r="M316" s="38">
        <v>793000.0</v>
      </c>
      <c r="N316" s="40">
        <v>1.84</v>
      </c>
      <c r="O316" s="36">
        <v>593000.0</v>
      </c>
      <c r="P316" s="37">
        <v>1.82</v>
      </c>
      <c r="Q316" s="38">
        <v>0.0</v>
      </c>
      <c r="R316" s="32">
        <v>0.0</v>
      </c>
      <c r="S316" s="38">
        <v>593000.0</v>
      </c>
      <c r="T316" s="35">
        <v>1.33</v>
      </c>
      <c r="U316" s="47">
        <v>1183068.0</v>
      </c>
      <c r="V316" s="42">
        <v>2.6</v>
      </c>
      <c r="W316" s="43">
        <v>0.0</v>
      </c>
      <c r="X316" s="42">
        <v>0.0</v>
      </c>
      <c r="Y316" s="44">
        <v>1183068.0</v>
      </c>
      <c r="Z316" s="42">
        <v>2.53</v>
      </c>
      <c r="AA316" s="45">
        <v>2125000.0</v>
      </c>
      <c r="AB316" s="46"/>
      <c r="AC316" s="45">
        <v>0.0</v>
      </c>
      <c r="AD316" s="46"/>
      <c r="AE316" s="45">
        <f t="shared" si="1"/>
        <v>2125000</v>
      </c>
      <c r="AF316" s="46"/>
      <c r="AG316" s="45">
        <v>2224000.0</v>
      </c>
      <c r="AH316" s="46"/>
      <c r="AI316" s="45">
        <v>0.0</v>
      </c>
      <c r="AJ316" s="46"/>
      <c r="AK316" s="45">
        <f t="shared" si="2"/>
        <v>2224000</v>
      </c>
      <c r="AL316" s="46"/>
      <c r="AM316" s="45">
        <v>2315689.0</v>
      </c>
      <c r="AN316" s="46"/>
      <c r="AO316" s="45">
        <v>0.0</v>
      </c>
      <c r="AP316" s="46"/>
      <c r="AQ316" s="45">
        <f t="shared" si="3"/>
        <v>2315689</v>
      </c>
      <c r="AR316" s="46"/>
    </row>
    <row r="317" ht="15.75" customHeight="1">
      <c r="A317" s="29">
        <v>80303.0</v>
      </c>
      <c r="B317" s="30" t="s">
        <v>276</v>
      </c>
      <c r="C317" s="31">
        <v>269150.0</v>
      </c>
      <c r="D317" s="32">
        <v>2.56</v>
      </c>
      <c r="E317" s="33">
        <v>0.0</v>
      </c>
      <c r="F317" s="32">
        <v>0.0</v>
      </c>
      <c r="G317" s="34">
        <v>269150.0</v>
      </c>
      <c r="H317" s="35">
        <v>1.63</v>
      </c>
      <c r="I317" s="36">
        <v>350435.0</v>
      </c>
      <c r="J317" s="37">
        <v>3.38</v>
      </c>
      <c r="K317" s="38">
        <v>0.0</v>
      </c>
      <c r="L317" s="39">
        <v>0.0</v>
      </c>
      <c r="M317" s="38">
        <v>350435.0</v>
      </c>
      <c r="N317" s="40">
        <v>1.98</v>
      </c>
      <c r="O317" s="36">
        <v>330000.0</v>
      </c>
      <c r="P317" s="37">
        <v>2.81</v>
      </c>
      <c r="Q317" s="38">
        <v>0.0</v>
      </c>
      <c r="R317" s="32">
        <v>0.0</v>
      </c>
      <c r="S317" s="38">
        <v>330000.0</v>
      </c>
      <c r="T317" s="35">
        <v>1.87</v>
      </c>
      <c r="U317" s="47">
        <v>250000.0</v>
      </c>
      <c r="V317" s="42">
        <v>1.96</v>
      </c>
      <c r="W317" s="43">
        <v>0.0</v>
      </c>
      <c r="X317" s="42">
        <v>0.0</v>
      </c>
      <c r="Y317" s="44">
        <v>250000.0</v>
      </c>
      <c r="Z317" s="42">
        <v>1.96</v>
      </c>
      <c r="AA317" s="45">
        <v>271400.0</v>
      </c>
      <c r="AB317" s="46"/>
      <c r="AC317" s="45">
        <v>0.0</v>
      </c>
      <c r="AD317" s="46"/>
      <c r="AE317" s="45">
        <f t="shared" si="1"/>
        <v>271400</v>
      </c>
      <c r="AF317" s="46"/>
      <c r="AG317" s="45">
        <v>271400.0</v>
      </c>
      <c r="AH317" s="46"/>
      <c r="AI317" s="45">
        <v>0.0</v>
      </c>
      <c r="AJ317" s="46"/>
      <c r="AK317" s="45">
        <f t="shared" si="2"/>
        <v>271400</v>
      </c>
      <c r="AL317" s="46"/>
      <c r="AM317" s="45">
        <v>231400.0</v>
      </c>
      <c r="AN317" s="46"/>
      <c r="AO317" s="45">
        <v>0.0</v>
      </c>
      <c r="AP317" s="46"/>
      <c r="AQ317" s="45">
        <f t="shared" si="3"/>
        <v>231400</v>
      </c>
      <c r="AR317" s="46"/>
    </row>
    <row r="318" ht="15.75" customHeight="1">
      <c r="A318" s="29">
        <v>80304.0</v>
      </c>
      <c r="B318" s="30" t="s">
        <v>317</v>
      </c>
      <c r="C318" s="31">
        <v>350000.0</v>
      </c>
      <c r="D318" s="32">
        <v>3.31</v>
      </c>
      <c r="E318" s="33">
        <v>0.0</v>
      </c>
      <c r="F318" s="32">
        <v>0.0</v>
      </c>
      <c r="G318" s="34">
        <v>350000.0</v>
      </c>
      <c r="H318" s="35">
        <v>2.19</v>
      </c>
      <c r="I318" s="36">
        <v>350000.0</v>
      </c>
      <c r="J318" s="37">
        <v>2.7</v>
      </c>
      <c r="K318" s="38">
        <v>0.0</v>
      </c>
      <c r="L318" s="39">
        <v>0.0</v>
      </c>
      <c r="M318" s="38">
        <v>350000.0</v>
      </c>
      <c r="N318" s="40">
        <v>1.84</v>
      </c>
      <c r="O318" s="36">
        <v>620000.0</v>
      </c>
      <c r="P318" s="37">
        <v>4.24</v>
      </c>
      <c r="Q318" s="38">
        <v>0.0</v>
      </c>
      <c r="R318" s="32">
        <v>0.0</v>
      </c>
      <c r="S318" s="38">
        <v>620000.0</v>
      </c>
      <c r="T318" s="35">
        <v>2.39</v>
      </c>
      <c r="U318" s="47">
        <v>620332.0</v>
      </c>
      <c r="V318" s="42">
        <v>2.76</v>
      </c>
      <c r="W318" s="43">
        <v>0.0</v>
      </c>
      <c r="X318" s="42">
        <v>0.0</v>
      </c>
      <c r="Y318" s="44">
        <v>620332.0</v>
      </c>
      <c r="Z318" s="42">
        <v>2.35</v>
      </c>
      <c r="AA318" s="45">
        <v>558299.0</v>
      </c>
      <c r="AB318" s="46"/>
      <c r="AC318" s="45">
        <v>0.0</v>
      </c>
      <c r="AD318" s="46"/>
      <c r="AE318" s="45">
        <f t="shared" si="1"/>
        <v>558299</v>
      </c>
      <c r="AF318" s="46"/>
      <c r="AG318" s="45">
        <v>988299.0</v>
      </c>
      <c r="AH318" s="46"/>
      <c r="AI318" s="45">
        <v>0.0</v>
      </c>
      <c r="AJ318" s="46"/>
      <c r="AK318" s="45">
        <f t="shared" si="2"/>
        <v>988299</v>
      </c>
      <c r="AL318" s="46"/>
      <c r="AM318" s="45">
        <v>1268299.0</v>
      </c>
      <c r="AN318" s="46"/>
      <c r="AO318" s="45">
        <v>0.0</v>
      </c>
      <c r="AP318" s="46"/>
      <c r="AQ318" s="45">
        <f t="shared" si="3"/>
        <v>1268299</v>
      </c>
      <c r="AR318" s="46"/>
    </row>
    <row r="319" ht="15.75" customHeight="1">
      <c r="A319" s="29">
        <v>80401.0</v>
      </c>
      <c r="B319" s="30" t="s">
        <v>318</v>
      </c>
      <c r="C319" s="31">
        <v>250000.0</v>
      </c>
      <c r="D319" s="32">
        <v>1.13</v>
      </c>
      <c r="E319" s="33">
        <v>0.0</v>
      </c>
      <c r="F319" s="32">
        <v>0.0</v>
      </c>
      <c r="G319" s="34">
        <v>250000.0</v>
      </c>
      <c r="H319" s="35">
        <v>0.74</v>
      </c>
      <c r="I319" s="36">
        <v>250000.0</v>
      </c>
      <c r="J319" s="37">
        <v>0.94</v>
      </c>
      <c r="K319" s="38">
        <v>750000.0</v>
      </c>
      <c r="L319" s="39">
        <v>4.89</v>
      </c>
      <c r="M319" s="38">
        <v>1000000.0</v>
      </c>
      <c r="N319" s="40">
        <v>2.38</v>
      </c>
      <c r="O319" s="36">
        <v>495000.0</v>
      </c>
      <c r="P319" s="37">
        <v>2.18</v>
      </c>
      <c r="Q319" s="38">
        <v>0.0</v>
      </c>
      <c r="R319" s="32">
        <v>0.0</v>
      </c>
      <c r="S319" s="38">
        <v>495000.0</v>
      </c>
      <c r="T319" s="35">
        <v>1.75</v>
      </c>
      <c r="U319" s="47">
        <v>555000.0</v>
      </c>
      <c r="V319" s="42">
        <v>1.54</v>
      </c>
      <c r="W319" s="43">
        <v>0.0</v>
      </c>
      <c r="X319" s="42">
        <v>0.0</v>
      </c>
      <c r="Y319" s="44">
        <v>555000.0</v>
      </c>
      <c r="Z319" s="42">
        <v>1.27</v>
      </c>
      <c r="AA319" s="45">
        <v>263000.0</v>
      </c>
      <c r="AB319" s="46"/>
      <c r="AC319" s="45">
        <v>0.0</v>
      </c>
      <c r="AD319" s="46"/>
      <c r="AE319" s="45">
        <f t="shared" si="1"/>
        <v>263000</v>
      </c>
      <c r="AF319" s="46"/>
      <c r="AG319" s="45">
        <v>516760.0</v>
      </c>
      <c r="AH319" s="46"/>
      <c r="AI319" s="45">
        <v>0.0</v>
      </c>
      <c r="AJ319" s="46"/>
      <c r="AK319" s="45">
        <f t="shared" si="2"/>
        <v>516760</v>
      </c>
      <c r="AL319" s="46"/>
      <c r="AM319" s="45">
        <v>580318.0</v>
      </c>
      <c r="AN319" s="46"/>
      <c r="AO319" s="45">
        <v>0.0</v>
      </c>
      <c r="AP319" s="46"/>
      <c r="AQ319" s="45">
        <f t="shared" si="3"/>
        <v>580318</v>
      </c>
      <c r="AR319" s="46"/>
    </row>
    <row r="320" ht="15.75" customHeight="1">
      <c r="A320" s="29">
        <v>80402.0</v>
      </c>
      <c r="B320" s="30" t="s">
        <v>319</v>
      </c>
      <c r="C320" s="48">
        <v>0.0</v>
      </c>
      <c r="D320" s="32">
        <v>0.0</v>
      </c>
      <c r="E320" s="33">
        <v>0.0</v>
      </c>
      <c r="F320" s="32">
        <v>0.0</v>
      </c>
      <c r="G320" s="34">
        <v>0.0</v>
      </c>
      <c r="H320" s="35">
        <v>0.0</v>
      </c>
      <c r="I320" s="36">
        <v>102500.0</v>
      </c>
      <c r="J320" s="37">
        <v>1.57</v>
      </c>
      <c r="K320" s="38">
        <v>0.0</v>
      </c>
      <c r="L320" s="39">
        <v>0.0</v>
      </c>
      <c r="M320" s="38">
        <v>102500.0</v>
      </c>
      <c r="N320" s="40">
        <v>1.26</v>
      </c>
      <c r="O320" s="36">
        <v>113720.0</v>
      </c>
      <c r="P320" s="37">
        <v>1.64</v>
      </c>
      <c r="Q320" s="38">
        <v>0.0</v>
      </c>
      <c r="R320" s="32">
        <v>0.0</v>
      </c>
      <c r="S320" s="38">
        <v>113720.0</v>
      </c>
      <c r="T320" s="35">
        <v>1.4</v>
      </c>
      <c r="U320" s="47">
        <v>70000.0</v>
      </c>
      <c r="V320" s="42">
        <v>1.17</v>
      </c>
      <c r="W320" s="43">
        <v>0.0</v>
      </c>
      <c r="X320" s="42">
        <v>0.0</v>
      </c>
      <c r="Y320" s="44">
        <v>70000.0</v>
      </c>
      <c r="Z320" s="42">
        <v>0.91</v>
      </c>
      <c r="AA320" s="45">
        <v>70000.0</v>
      </c>
      <c r="AB320" s="46"/>
      <c r="AC320" s="45">
        <v>0.0</v>
      </c>
      <c r="AD320" s="46"/>
      <c r="AE320" s="45">
        <f t="shared" si="1"/>
        <v>70000</v>
      </c>
      <c r="AF320" s="46"/>
      <c r="AG320" s="45">
        <v>130000.0</v>
      </c>
      <c r="AH320" s="46"/>
      <c r="AI320" s="45">
        <v>0.0</v>
      </c>
      <c r="AJ320" s="46"/>
      <c r="AK320" s="45">
        <f t="shared" si="2"/>
        <v>130000</v>
      </c>
      <c r="AL320" s="46"/>
      <c r="AM320" s="45"/>
      <c r="AN320" s="46"/>
      <c r="AO320" s="45">
        <v>0.0</v>
      </c>
      <c r="AP320" s="46"/>
      <c r="AQ320" s="45">
        <f t="shared" si="3"/>
        <v>0</v>
      </c>
      <c r="AR320" s="46"/>
    </row>
    <row r="321" ht="15.75" customHeight="1">
      <c r="A321" s="29">
        <v>80501.0</v>
      </c>
      <c r="B321" s="30" t="s">
        <v>265</v>
      </c>
      <c r="C321" s="31">
        <v>181672.0</v>
      </c>
      <c r="D321" s="32">
        <v>0.91</v>
      </c>
      <c r="E321" s="33">
        <v>0.0</v>
      </c>
      <c r="F321" s="32">
        <v>0.0</v>
      </c>
      <c r="G321" s="34">
        <v>181672.0</v>
      </c>
      <c r="H321" s="35">
        <v>0.76</v>
      </c>
      <c r="I321" s="36">
        <v>80137.0</v>
      </c>
      <c r="J321" s="37">
        <v>0.42</v>
      </c>
      <c r="K321" s="38">
        <v>0.0</v>
      </c>
      <c r="L321" s="39">
        <v>0.0</v>
      </c>
      <c r="M321" s="38">
        <v>80137.0</v>
      </c>
      <c r="N321" s="40">
        <v>0.33</v>
      </c>
      <c r="O321" s="36">
        <v>80000.0</v>
      </c>
      <c r="P321" s="37">
        <v>0.34</v>
      </c>
      <c r="Q321" s="38">
        <v>0.0</v>
      </c>
      <c r="R321" s="32">
        <v>0.0</v>
      </c>
      <c r="S321" s="38">
        <v>80000.0</v>
      </c>
      <c r="T321" s="35">
        <v>0.29</v>
      </c>
      <c r="U321" s="47">
        <v>480000.0</v>
      </c>
      <c r="V321" s="42">
        <v>2.04</v>
      </c>
      <c r="W321" s="43">
        <v>0.0</v>
      </c>
      <c r="X321" s="42">
        <v>0.0</v>
      </c>
      <c r="Y321" s="44">
        <v>480000.0</v>
      </c>
      <c r="Z321" s="42">
        <v>1.97</v>
      </c>
      <c r="AA321" s="45">
        <v>0.0</v>
      </c>
      <c r="AB321" s="46"/>
      <c r="AC321" s="45">
        <v>0.0</v>
      </c>
      <c r="AD321" s="46"/>
      <c r="AE321" s="45">
        <f t="shared" si="1"/>
        <v>0</v>
      </c>
      <c r="AF321" s="46"/>
      <c r="AG321" s="45">
        <v>479705.0</v>
      </c>
      <c r="AH321" s="46"/>
      <c r="AI321" s="45">
        <v>0.0</v>
      </c>
      <c r="AJ321" s="46"/>
      <c r="AK321" s="45">
        <f t="shared" si="2"/>
        <v>479705</v>
      </c>
      <c r="AL321" s="46"/>
      <c r="AM321" s="45">
        <v>479605.0</v>
      </c>
      <c r="AN321" s="46"/>
      <c r="AO321" s="45">
        <v>0.0</v>
      </c>
      <c r="AP321" s="46"/>
      <c r="AQ321" s="45">
        <f t="shared" si="3"/>
        <v>479605</v>
      </c>
      <c r="AR321" s="46"/>
    </row>
    <row r="322" ht="15.75" customHeight="1">
      <c r="A322" s="29">
        <v>80601.0</v>
      </c>
      <c r="B322" s="30" t="s">
        <v>320</v>
      </c>
      <c r="C322" s="48">
        <v>0.0</v>
      </c>
      <c r="D322" s="32">
        <v>0.0</v>
      </c>
      <c r="E322" s="33">
        <v>0.0</v>
      </c>
      <c r="F322" s="32">
        <v>0.0</v>
      </c>
      <c r="G322" s="34">
        <v>0.0</v>
      </c>
      <c r="H322" s="35">
        <v>0.0</v>
      </c>
      <c r="I322" s="48">
        <v>0.0</v>
      </c>
      <c r="J322" s="32">
        <v>0.0</v>
      </c>
      <c r="K322" s="38">
        <v>0.0</v>
      </c>
      <c r="L322" s="39">
        <v>0.0</v>
      </c>
      <c r="M322" s="34">
        <v>0.0</v>
      </c>
      <c r="N322" s="35">
        <v>0.0</v>
      </c>
      <c r="O322" s="36">
        <v>10000.0</v>
      </c>
      <c r="P322" s="37">
        <v>0.24</v>
      </c>
      <c r="Q322" s="38">
        <v>0.0</v>
      </c>
      <c r="R322" s="32">
        <v>0.0</v>
      </c>
      <c r="S322" s="38">
        <v>10000.0</v>
      </c>
      <c r="T322" s="35">
        <v>0.19</v>
      </c>
      <c r="U322" s="41">
        <v>0.0</v>
      </c>
      <c r="V322" s="42">
        <v>0.0</v>
      </c>
      <c r="W322" s="43">
        <v>0.0</v>
      </c>
      <c r="X322" s="42">
        <v>0.0</v>
      </c>
      <c r="Y322" s="44">
        <v>0.0</v>
      </c>
      <c r="Z322" s="42">
        <v>0.0</v>
      </c>
      <c r="AA322" s="45"/>
      <c r="AB322" s="46"/>
      <c r="AC322" s="45">
        <v>0.0</v>
      </c>
      <c r="AD322" s="46"/>
      <c r="AE322" s="45">
        <f t="shared" si="1"/>
        <v>0</v>
      </c>
      <c r="AF322" s="46"/>
      <c r="AG322" s="45"/>
      <c r="AH322" s="46"/>
      <c r="AI322" s="45">
        <v>0.0</v>
      </c>
      <c r="AJ322" s="46"/>
      <c r="AK322" s="45">
        <f t="shared" si="2"/>
        <v>0</v>
      </c>
      <c r="AL322" s="46"/>
      <c r="AM322" s="45"/>
      <c r="AN322" s="46"/>
      <c r="AO322" s="45">
        <v>0.0</v>
      </c>
      <c r="AP322" s="46"/>
      <c r="AQ322" s="45">
        <f t="shared" si="3"/>
        <v>0</v>
      </c>
      <c r="AR322" s="46"/>
    </row>
    <row r="323" ht="15.75" customHeight="1">
      <c r="A323" s="29">
        <v>80602.0</v>
      </c>
      <c r="B323" s="30" t="s">
        <v>321</v>
      </c>
      <c r="C323" s="48">
        <v>0.0</v>
      </c>
      <c r="D323" s="32">
        <v>0.0</v>
      </c>
      <c r="E323" s="33">
        <v>0.0</v>
      </c>
      <c r="F323" s="32">
        <v>0.0</v>
      </c>
      <c r="G323" s="34">
        <v>0.0</v>
      </c>
      <c r="H323" s="35">
        <v>0.0</v>
      </c>
      <c r="I323" s="48">
        <v>0.0</v>
      </c>
      <c r="J323" s="32">
        <v>0.0</v>
      </c>
      <c r="K323" s="38">
        <v>0.0</v>
      </c>
      <c r="L323" s="39">
        <v>0.0</v>
      </c>
      <c r="M323" s="34">
        <v>0.0</v>
      </c>
      <c r="N323" s="35">
        <v>0.0</v>
      </c>
      <c r="O323" s="48">
        <v>0.0</v>
      </c>
      <c r="P323" s="32">
        <v>0.0</v>
      </c>
      <c r="Q323" s="38">
        <v>0.0</v>
      </c>
      <c r="R323" s="32">
        <v>0.0</v>
      </c>
      <c r="S323" s="34">
        <v>0.0</v>
      </c>
      <c r="T323" s="35">
        <v>0.0</v>
      </c>
      <c r="U323" s="41">
        <v>0.0</v>
      </c>
      <c r="V323" s="42">
        <v>0.0</v>
      </c>
      <c r="W323" s="43">
        <v>0.0</v>
      </c>
      <c r="X323" s="42">
        <v>0.0</v>
      </c>
      <c r="Y323" s="44">
        <v>0.0</v>
      </c>
      <c r="Z323" s="42">
        <v>0.0</v>
      </c>
      <c r="AA323" s="45"/>
      <c r="AB323" s="46"/>
      <c r="AC323" s="45">
        <v>0.0</v>
      </c>
      <c r="AD323" s="46"/>
      <c r="AE323" s="45">
        <f t="shared" si="1"/>
        <v>0</v>
      </c>
      <c r="AF323" s="46"/>
      <c r="AG323" s="45"/>
      <c r="AH323" s="46"/>
      <c r="AI323" s="45">
        <v>0.0</v>
      </c>
      <c r="AJ323" s="46"/>
      <c r="AK323" s="45">
        <f t="shared" si="2"/>
        <v>0</v>
      </c>
      <c r="AL323" s="46"/>
      <c r="AM323" s="45"/>
      <c r="AN323" s="46"/>
      <c r="AO323" s="45">
        <v>0.0</v>
      </c>
      <c r="AP323" s="46"/>
      <c r="AQ323" s="45">
        <f t="shared" si="3"/>
        <v>0</v>
      </c>
      <c r="AR323" s="46"/>
    </row>
    <row r="324" ht="15.75" customHeight="1">
      <c r="A324" s="29">
        <v>80701.0</v>
      </c>
      <c r="B324" s="30" t="s">
        <v>322</v>
      </c>
      <c r="C324" s="31">
        <v>470000.0</v>
      </c>
      <c r="D324" s="32">
        <v>8.27</v>
      </c>
      <c r="E324" s="33">
        <v>0.0</v>
      </c>
      <c r="F324" s="32">
        <v>0.0</v>
      </c>
      <c r="G324" s="34">
        <v>470000.0</v>
      </c>
      <c r="H324" s="35">
        <v>6.58</v>
      </c>
      <c r="I324" s="36">
        <v>450000.0</v>
      </c>
      <c r="J324" s="37">
        <v>6.16</v>
      </c>
      <c r="K324" s="38">
        <v>0.0</v>
      </c>
      <c r="L324" s="39">
        <v>0.0</v>
      </c>
      <c r="M324" s="38">
        <v>450000.0</v>
      </c>
      <c r="N324" s="40">
        <v>4.87</v>
      </c>
      <c r="O324" s="36">
        <v>913440.0</v>
      </c>
      <c r="P324" s="37">
        <v>9.66</v>
      </c>
      <c r="Q324" s="38">
        <v>0.0</v>
      </c>
      <c r="R324" s="32">
        <v>0.0</v>
      </c>
      <c r="S324" s="38">
        <v>913440.0</v>
      </c>
      <c r="T324" s="35">
        <v>8.4</v>
      </c>
      <c r="U324" s="47">
        <v>360000.0</v>
      </c>
      <c r="V324" s="42">
        <v>4.43</v>
      </c>
      <c r="W324" s="43">
        <v>0.0</v>
      </c>
      <c r="X324" s="42">
        <v>0.0</v>
      </c>
      <c r="Y324" s="44">
        <v>360000.0</v>
      </c>
      <c r="Z324" s="42">
        <v>2.55</v>
      </c>
      <c r="AA324" s="45">
        <v>395984.0</v>
      </c>
      <c r="AB324" s="46"/>
      <c r="AC324" s="45">
        <v>0.0</v>
      </c>
      <c r="AD324" s="46"/>
      <c r="AE324" s="45">
        <f t="shared" si="1"/>
        <v>395984</v>
      </c>
      <c r="AF324" s="46"/>
      <c r="AG324" s="45">
        <v>456628.0</v>
      </c>
      <c r="AH324" s="46"/>
      <c r="AI324" s="45">
        <v>0.0</v>
      </c>
      <c r="AJ324" s="46"/>
      <c r="AK324" s="45">
        <f t="shared" si="2"/>
        <v>456628</v>
      </c>
      <c r="AL324" s="46"/>
      <c r="AM324" s="45">
        <v>470318.0</v>
      </c>
      <c r="AN324" s="46"/>
      <c r="AO324" s="45">
        <v>0.0</v>
      </c>
      <c r="AP324" s="46"/>
      <c r="AQ324" s="45">
        <f t="shared" si="3"/>
        <v>470318</v>
      </c>
      <c r="AR324" s="46"/>
    </row>
    <row r="325" ht="15.75" customHeight="1">
      <c r="A325" s="29">
        <v>80702.0</v>
      </c>
      <c r="B325" s="30" t="s">
        <v>300</v>
      </c>
      <c r="C325" s="31">
        <v>174452.0</v>
      </c>
      <c r="D325" s="32">
        <v>3.3</v>
      </c>
      <c r="E325" s="33">
        <v>0.0</v>
      </c>
      <c r="F325" s="32">
        <v>0.0</v>
      </c>
      <c r="G325" s="34">
        <v>174452.0</v>
      </c>
      <c r="H325" s="35">
        <v>2.41</v>
      </c>
      <c r="I325" s="48">
        <v>0.0</v>
      </c>
      <c r="J325" s="32">
        <v>0.0</v>
      </c>
      <c r="K325" s="38">
        <v>0.0</v>
      </c>
      <c r="L325" s="39">
        <v>0.0</v>
      </c>
      <c r="M325" s="34">
        <v>0.0</v>
      </c>
      <c r="N325" s="35">
        <v>0.0</v>
      </c>
      <c r="O325" s="36">
        <v>149400.0</v>
      </c>
      <c r="P325" s="37">
        <v>2.51</v>
      </c>
      <c r="Q325" s="38">
        <v>0.0</v>
      </c>
      <c r="R325" s="32">
        <v>0.0</v>
      </c>
      <c r="S325" s="38">
        <v>149400.0</v>
      </c>
      <c r="T325" s="35">
        <v>2.01</v>
      </c>
      <c r="U325" s="47">
        <v>129200.0</v>
      </c>
      <c r="V325" s="42">
        <v>1.93</v>
      </c>
      <c r="W325" s="43">
        <v>0.0</v>
      </c>
      <c r="X325" s="42">
        <v>0.0</v>
      </c>
      <c r="Y325" s="44">
        <v>129200.0</v>
      </c>
      <c r="Z325" s="42">
        <v>1.93</v>
      </c>
      <c r="AA325" s="45">
        <v>140600.0</v>
      </c>
      <c r="AB325" s="46"/>
      <c r="AC325" s="45">
        <v>0.0</v>
      </c>
      <c r="AD325" s="46"/>
      <c r="AE325" s="45">
        <f t="shared" si="1"/>
        <v>140600</v>
      </c>
      <c r="AF325" s="46"/>
      <c r="AG325" s="45">
        <v>165000.0</v>
      </c>
      <c r="AH325" s="46"/>
      <c r="AI325" s="45">
        <v>162176.0</v>
      </c>
      <c r="AJ325" s="46"/>
      <c r="AK325" s="45">
        <f t="shared" si="2"/>
        <v>327176</v>
      </c>
      <c r="AL325" s="46"/>
      <c r="AM325" s="45">
        <v>200600.0</v>
      </c>
      <c r="AN325" s="46"/>
      <c r="AO325" s="45">
        <v>1195624.0</v>
      </c>
      <c r="AP325" s="46"/>
      <c r="AQ325" s="45">
        <f t="shared" si="3"/>
        <v>1396224</v>
      </c>
      <c r="AR325" s="46"/>
    </row>
    <row r="326" ht="15.75" customHeight="1">
      <c r="A326" s="29">
        <v>80703.0</v>
      </c>
      <c r="B326" s="30" t="s">
        <v>323</v>
      </c>
      <c r="C326" s="48">
        <v>0.0</v>
      </c>
      <c r="D326" s="32">
        <v>0.0</v>
      </c>
      <c r="E326" s="33">
        <v>0.0</v>
      </c>
      <c r="F326" s="32">
        <v>0.0</v>
      </c>
      <c r="G326" s="34">
        <v>0.0</v>
      </c>
      <c r="H326" s="35">
        <v>0.0</v>
      </c>
      <c r="I326" s="48">
        <v>0.0</v>
      </c>
      <c r="J326" s="32">
        <v>0.0</v>
      </c>
      <c r="K326" s="38">
        <v>0.0</v>
      </c>
      <c r="L326" s="39">
        <v>0.0</v>
      </c>
      <c r="M326" s="34">
        <v>0.0</v>
      </c>
      <c r="N326" s="35">
        <v>0.0</v>
      </c>
      <c r="O326" s="36">
        <v>4000.0</v>
      </c>
      <c r="P326" s="37">
        <v>0.37</v>
      </c>
      <c r="Q326" s="38">
        <v>0.0</v>
      </c>
      <c r="R326" s="32">
        <v>0.0</v>
      </c>
      <c r="S326" s="38">
        <v>4000.0</v>
      </c>
      <c r="T326" s="35">
        <v>0.34</v>
      </c>
      <c r="U326" s="41">
        <v>0.0</v>
      </c>
      <c r="V326" s="42">
        <v>0.0</v>
      </c>
      <c r="W326" s="43">
        <v>0.0</v>
      </c>
      <c r="X326" s="42">
        <v>0.0</v>
      </c>
      <c r="Y326" s="44">
        <v>0.0</v>
      </c>
      <c r="Z326" s="42">
        <v>0.0</v>
      </c>
      <c r="AA326" s="45"/>
      <c r="AB326" s="46"/>
      <c r="AC326" s="45">
        <v>0.0</v>
      </c>
      <c r="AD326" s="46"/>
      <c r="AE326" s="45">
        <f t="shared" si="1"/>
        <v>0</v>
      </c>
      <c r="AF326" s="46"/>
      <c r="AG326" s="45"/>
      <c r="AH326" s="46"/>
      <c r="AI326" s="45">
        <v>0.0</v>
      </c>
      <c r="AJ326" s="46"/>
      <c r="AK326" s="45">
        <f t="shared" si="2"/>
        <v>0</v>
      </c>
      <c r="AL326" s="46"/>
      <c r="AM326" s="45">
        <v>15000.0</v>
      </c>
      <c r="AN326" s="46"/>
      <c r="AO326" s="45">
        <v>0.0</v>
      </c>
      <c r="AP326" s="46"/>
      <c r="AQ326" s="45">
        <f t="shared" si="3"/>
        <v>15000</v>
      </c>
      <c r="AR326" s="46"/>
    </row>
    <row r="327" ht="15.75" customHeight="1">
      <c r="A327" s="29">
        <v>80801.0</v>
      </c>
      <c r="B327" s="30" t="s">
        <v>324</v>
      </c>
      <c r="C327" s="48">
        <v>0.0</v>
      </c>
      <c r="D327" s="32">
        <v>0.0</v>
      </c>
      <c r="E327" s="33">
        <v>0.0</v>
      </c>
      <c r="F327" s="32">
        <v>0.0</v>
      </c>
      <c r="G327" s="34">
        <v>0.0</v>
      </c>
      <c r="H327" s="35">
        <v>0.0</v>
      </c>
      <c r="I327" s="48">
        <v>0.0</v>
      </c>
      <c r="J327" s="32">
        <v>0.0</v>
      </c>
      <c r="K327" s="38">
        <v>0.0</v>
      </c>
      <c r="L327" s="39">
        <v>0.0</v>
      </c>
      <c r="M327" s="34">
        <v>0.0</v>
      </c>
      <c r="N327" s="35">
        <v>0.0</v>
      </c>
      <c r="O327" s="48">
        <v>0.0</v>
      </c>
      <c r="P327" s="32">
        <v>0.0</v>
      </c>
      <c r="Q327" s="38">
        <v>0.0</v>
      </c>
      <c r="R327" s="32">
        <v>0.0</v>
      </c>
      <c r="S327" s="34">
        <v>0.0</v>
      </c>
      <c r="T327" s="35">
        <v>0.0</v>
      </c>
      <c r="U327" s="47">
        <v>190000.0</v>
      </c>
      <c r="V327" s="42">
        <v>1.55</v>
      </c>
      <c r="W327" s="43">
        <v>0.0</v>
      </c>
      <c r="X327" s="42">
        <v>0.0</v>
      </c>
      <c r="Y327" s="44">
        <v>190000.0</v>
      </c>
      <c r="Z327" s="42">
        <v>1.12</v>
      </c>
      <c r="AA327" s="45">
        <v>109500.0</v>
      </c>
      <c r="AB327" s="46"/>
      <c r="AC327" s="45">
        <v>0.0</v>
      </c>
      <c r="AD327" s="46"/>
      <c r="AE327" s="45">
        <f t="shared" si="1"/>
        <v>109500</v>
      </c>
      <c r="AF327" s="46"/>
      <c r="AG327" s="45">
        <v>132000.0</v>
      </c>
      <c r="AH327" s="46"/>
      <c r="AI327" s="45">
        <v>0.0</v>
      </c>
      <c r="AJ327" s="46"/>
      <c r="AK327" s="45">
        <f t="shared" si="2"/>
        <v>132000</v>
      </c>
      <c r="AL327" s="46"/>
      <c r="AM327" s="45">
        <v>132000.0</v>
      </c>
      <c r="AN327" s="46"/>
      <c r="AO327" s="45">
        <v>0.0</v>
      </c>
      <c r="AP327" s="46"/>
      <c r="AQ327" s="45">
        <f t="shared" si="3"/>
        <v>132000</v>
      </c>
      <c r="AR327" s="46"/>
    </row>
    <row r="328" ht="15.75" customHeight="1">
      <c r="A328" s="29">
        <v>80802.0</v>
      </c>
      <c r="B328" s="30" t="s">
        <v>325</v>
      </c>
      <c r="C328" s="31">
        <v>21000.0</v>
      </c>
      <c r="D328" s="32">
        <v>0.44</v>
      </c>
      <c r="E328" s="33">
        <v>0.0</v>
      </c>
      <c r="F328" s="32">
        <v>0.0</v>
      </c>
      <c r="G328" s="34">
        <v>21000.0</v>
      </c>
      <c r="H328" s="35">
        <v>0.31</v>
      </c>
      <c r="I328" s="36">
        <v>36000.0</v>
      </c>
      <c r="J328" s="37">
        <v>0.67</v>
      </c>
      <c r="K328" s="38">
        <v>0.0</v>
      </c>
      <c r="L328" s="39">
        <v>0.0</v>
      </c>
      <c r="M328" s="38">
        <v>36000.0</v>
      </c>
      <c r="N328" s="40">
        <v>0.5</v>
      </c>
      <c r="O328" s="36">
        <v>34000.0</v>
      </c>
      <c r="P328" s="37">
        <v>0.52</v>
      </c>
      <c r="Q328" s="38">
        <v>0.0</v>
      </c>
      <c r="R328" s="32">
        <v>0.0</v>
      </c>
      <c r="S328" s="38">
        <v>34000.0</v>
      </c>
      <c r="T328" s="35">
        <v>0.27</v>
      </c>
      <c r="U328" s="47">
        <v>53600.0</v>
      </c>
      <c r="V328" s="42">
        <v>0.84</v>
      </c>
      <c r="W328" s="43">
        <v>0.0</v>
      </c>
      <c r="X328" s="42">
        <v>0.0</v>
      </c>
      <c r="Y328" s="44">
        <v>53600.0</v>
      </c>
      <c r="Z328" s="42">
        <v>0.81</v>
      </c>
      <c r="AA328" s="45">
        <v>121500.0</v>
      </c>
      <c r="AB328" s="46"/>
      <c r="AC328" s="45">
        <v>0.0</v>
      </c>
      <c r="AD328" s="46"/>
      <c r="AE328" s="45">
        <f t="shared" si="1"/>
        <v>121500</v>
      </c>
      <c r="AF328" s="46"/>
      <c r="AG328" s="45">
        <v>129280.0</v>
      </c>
      <c r="AH328" s="46"/>
      <c r="AI328" s="45">
        <v>0.0</v>
      </c>
      <c r="AJ328" s="46"/>
      <c r="AK328" s="45">
        <f t="shared" si="2"/>
        <v>129280</v>
      </c>
      <c r="AL328" s="46"/>
      <c r="AM328" s="45">
        <v>129240.0</v>
      </c>
      <c r="AN328" s="46"/>
      <c r="AO328" s="45">
        <v>0.0</v>
      </c>
      <c r="AP328" s="46"/>
      <c r="AQ328" s="45">
        <f t="shared" si="3"/>
        <v>129240</v>
      </c>
      <c r="AR328" s="46"/>
    </row>
    <row r="329" ht="15.75" customHeight="1">
      <c r="A329" s="29">
        <v>80803.0</v>
      </c>
      <c r="B329" s="30" t="s">
        <v>326</v>
      </c>
      <c r="C329" s="48">
        <v>0.0</v>
      </c>
      <c r="D329" s="32">
        <v>0.0</v>
      </c>
      <c r="E329" s="33">
        <v>0.0</v>
      </c>
      <c r="F329" s="32">
        <v>0.0</v>
      </c>
      <c r="G329" s="34">
        <v>0.0</v>
      </c>
      <c r="H329" s="35">
        <v>0.0</v>
      </c>
      <c r="I329" s="48">
        <v>0.0</v>
      </c>
      <c r="J329" s="32">
        <v>0.0</v>
      </c>
      <c r="K329" s="38">
        <v>0.0</v>
      </c>
      <c r="L329" s="39">
        <v>0.0</v>
      </c>
      <c r="M329" s="34">
        <v>0.0</v>
      </c>
      <c r="N329" s="35">
        <v>0.0</v>
      </c>
      <c r="O329" s="48">
        <v>0.0</v>
      </c>
      <c r="P329" s="32">
        <v>0.0</v>
      </c>
      <c r="Q329" s="38">
        <v>0.0</v>
      </c>
      <c r="R329" s="32">
        <v>0.0</v>
      </c>
      <c r="S329" s="34">
        <v>0.0</v>
      </c>
      <c r="T329" s="35">
        <v>0.0</v>
      </c>
      <c r="U329" s="41">
        <v>0.0</v>
      </c>
      <c r="V329" s="42">
        <v>0.0</v>
      </c>
      <c r="W329" s="43">
        <v>0.0</v>
      </c>
      <c r="X329" s="42">
        <v>0.0</v>
      </c>
      <c r="Y329" s="44">
        <v>0.0</v>
      </c>
      <c r="Z329" s="42">
        <v>0.0</v>
      </c>
      <c r="AA329" s="45">
        <v>235000.0</v>
      </c>
      <c r="AB329" s="46"/>
      <c r="AC329" s="45">
        <v>0.0</v>
      </c>
      <c r="AD329" s="46"/>
      <c r="AE329" s="45">
        <f t="shared" si="1"/>
        <v>235000</v>
      </c>
      <c r="AF329" s="46"/>
      <c r="AG329" s="45">
        <v>235000.0</v>
      </c>
      <c r="AH329" s="46"/>
      <c r="AI329" s="45">
        <v>0.0</v>
      </c>
      <c r="AJ329" s="46"/>
      <c r="AK329" s="45">
        <f t="shared" si="2"/>
        <v>235000</v>
      </c>
      <c r="AL329" s="46"/>
      <c r="AM329" s="45">
        <v>245000.0</v>
      </c>
      <c r="AN329" s="46"/>
      <c r="AO329" s="45">
        <v>0.0</v>
      </c>
      <c r="AP329" s="46"/>
      <c r="AQ329" s="45">
        <f t="shared" si="3"/>
        <v>245000</v>
      </c>
      <c r="AR329" s="46"/>
    </row>
    <row r="330" ht="15.75" customHeight="1">
      <c r="A330" s="29">
        <v>80901.0</v>
      </c>
      <c r="B330" s="30" t="s">
        <v>327</v>
      </c>
      <c r="C330" s="48">
        <v>0.0</v>
      </c>
      <c r="D330" s="32">
        <v>0.0</v>
      </c>
      <c r="E330" s="33">
        <v>0.0</v>
      </c>
      <c r="F330" s="32">
        <v>0.0</v>
      </c>
      <c r="G330" s="34">
        <v>0.0</v>
      </c>
      <c r="H330" s="35">
        <v>0.0</v>
      </c>
      <c r="I330" s="48">
        <v>0.0</v>
      </c>
      <c r="J330" s="32">
        <v>0.0</v>
      </c>
      <c r="K330" s="38">
        <v>0.0</v>
      </c>
      <c r="L330" s="39">
        <v>0.0</v>
      </c>
      <c r="M330" s="34">
        <v>0.0</v>
      </c>
      <c r="N330" s="35">
        <v>0.0</v>
      </c>
      <c r="O330" s="48">
        <v>0.0</v>
      </c>
      <c r="P330" s="32">
        <v>0.0</v>
      </c>
      <c r="Q330" s="38">
        <v>0.0</v>
      </c>
      <c r="R330" s="32">
        <v>0.0</v>
      </c>
      <c r="S330" s="34">
        <v>0.0</v>
      </c>
      <c r="T330" s="35">
        <v>0.0</v>
      </c>
      <c r="U330" s="41">
        <v>0.0</v>
      </c>
      <c r="V330" s="42">
        <v>0.0</v>
      </c>
      <c r="W330" s="43">
        <v>0.0</v>
      </c>
      <c r="X330" s="42">
        <v>0.0</v>
      </c>
      <c r="Y330" s="44">
        <v>0.0</v>
      </c>
      <c r="Z330" s="42">
        <v>0.0</v>
      </c>
      <c r="AA330" s="45"/>
      <c r="AB330" s="46"/>
      <c r="AC330" s="45">
        <v>0.0</v>
      </c>
      <c r="AD330" s="46"/>
      <c r="AE330" s="45">
        <f t="shared" si="1"/>
        <v>0</v>
      </c>
      <c r="AF330" s="46"/>
      <c r="AG330" s="45"/>
      <c r="AH330" s="46"/>
      <c r="AI330" s="45">
        <v>0.0</v>
      </c>
      <c r="AJ330" s="46"/>
      <c r="AK330" s="45">
        <f t="shared" si="2"/>
        <v>0</v>
      </c>
      <c r="AL330" s="46"/>
      <c r="AM330" s="45"/>
      <c r="AN330" s="46"/>
      <c r="AO330" s="45">
        <v>0.0</v>
      </c>
      <c r="AP330" s="46"/>
      <c r="AQ330" s="45">
        <f t="shared" si="3"/>
        <v>0</v>
      </c>
      <c r="AR330" s="46"/>
    </row>
    <row r="331" ht="15.75" customHeight="1">
      <c r="A331" s="29">
        <v>90101.0</v>
      </c>
      <c r="B331" s="30" t="s">
        <v>328</v>
      </c>
      <c r="C331" s="31">
        <v>1358360.0</v>
      </c>
      <c r="D331" s="32">
        <v>2.62</v>
      </c>
      <c r="E331" s="33">
        <v>0.0</v>
      </c>
      <c r="F331" s="32">
        <v>0.0</v>
      </c>
      <c r="G331" s="34">
        <v>1358360.0</v>
      </c>
      <c r="H331" s="35">
        <v>1.19</v>
      </c>
      <c r="I331" s="36">
        <v>1358360.0</v>
      </c>
      <c r="J331" s="37">
        <v>2.41</v>
      </c>
      <c r="K331" s="38">
        <v>1394945.0</v>
      </c>
      <c r="L331" s="39">
        <v>1.09</v>
      </c>
      <c r="M331" s="38">
        <v>2753305.0</v>
      </c>
      <c r="N331" s="40">
        <v>1.5</v>
      </c>
      <c r="O331" s="36">
        <v>2328674.0</v>
      </c>
      <c r="P331" s="37">
        <v>1.97</v>
      </c>
      <c r="Q331" s="38">
        <v>0.0</v>
      </c>
      <c r="R331" s="32">
        <v>0.0</v>
      </c>
      <c r="S331" s="38">
        <v>2328674.0</v>
      </c>
      <c r="T331" s="35">
        <v>1.19</v>
      </c>
      <c r="U331" s="47">
        <v>4742537.0</v>
      </c>
      <c r="V331" s="42">
        <v>3.27</v>
      </c>
      <c r="W331" s="43">
        <v>0.0</v>
      </c>
      <c r="X331" s="42">
        <v>0.0</v>
      </c>
      <c r="Y331" s="44">
        <v>4742537.0</v>
      </c>
      <c r="Z331" s="42">
        <v>3.24</v>
      </c>
      <c r="AA331" s="45">
        <v>4250000.0</v>
      </c>
      <c r="AB331" s="46"/>
      <c r="AC331" s="45">
        <v>0.0</v>
      </c>
      <c r="AD331" s="46"/>
      <c r="AE331" s="45">
        <f t="shared" si="1"/>
        <v>4250000</v>
      </c>
      <c r="AF331" s="46"/>
      <c r="AG331" s="45">
        <v>4700002.0</v>
      </c>
      <c r="AH331" s="46"/>
      <c r="AI331" s="45">
        <v>0.0</v>
      </c>
      <c r="AJ331" s="46"/>
      <c r="AK331" s="45">
        <f t="shared" si="2"/>
        <v>4700002</v>
      </c>
      <c r="AL331" s="46"/>
      <c r="AM331" s="45">
        <v>4700001.0</v>
      </c>
      <c r="AN331" s="46"/>
      <c r="AO331" s="45">
        <v>0.0</v>
      </c>
      <c r="AP331" s="46"/>
      <c r="AQ331" s="45">
        <f t="shared" si="3"/>
        <v>4700001</v>
      </c>
      <c r="AR331" s="46"/>
    </row>
    <row r="332" ht="15.75" customHeight="1">
      <c r="A332" s="29">
        <v>90102.0</v>
      </c>
      <c r="B332" s="30" t="s">
        <v>329</v>
      </c>
      <c r="C332" s="31">
        <v>700000.0</v>
      </c>
      <c r="D332" s="32">
        <v>5.48</v>
      </c>
      <c r="E332" s="33">
        <v>0.0</v>
      </c>
      <c r="F332" s="32">
        <v>0.0</v>
      </c>
      <c r="G332" s="34">
        <v>700000.0</v>
      </c>
      <c r="H332" s="35">
        <v>3.81</v>
      </c>
      <c r="I332" s="36">
        <v>420000.0</v>
      </c>
      <c r="J332" s="37">
        <v>2.92</v>
      </c>
      <c r="K332" s="38">
        <v>0.0</v>
      </c>
      <c r="L332" s="39">
        <v>0.0</v>
      </c>
      <c r="M332" s="38">
        <v>420000.0</v>
      </c>
      <c r="N332" s="40">
        <v>2.05</v>
      </c>
      <c r="O332" s="36">
        <v>700000.0</v>
      </c>
      <c r="P332" s="37">
        <v>3.0</v>
      </c>
      <c r="Q332" s="38">
        <v>0.0</v>
      </c>
      <c r="R332" s="32">
        <v>0.0</v>
      </c>
      <c r="S332" s="38">
        <v>700000.0</v>
      </c>
      <c r="T332" s="35">
        <v>2.32</v>
      </c>
      <c r="U332" s="47">
        <v>200000.0</v>
      </c>
      <c r="V332" s="42">
        <v>0.9</v>
      </c>
      <c r="W332" s="43">
        <v>0.0</v>
      </c>
      <c r="X332" s="42">
        <v>0.0</v>
      </c>
      <c r="Y332" s="44">
        <v>200000.0</v>
      </c>
      <c r="Z332" s="42">
        <v>0.9</v>
      </c>
      <c r="AA332" s="45">
        <v>263500.0</v>
      </c>
      <c r="AB332" s="46"/>
      <c r="AC332" s="45">
        <v>0.0</v>
      </c>
      <c r="AD332" s="46"/>
      <c r="AE332" s="45">
        <f t="shared" si="1"/>
        <v>263500</v>
      </c>
      <c r="AF332" s="46"/>
      <c r="AG332" s="45">
        <v>374572.0</v>
      </c>
      <c r="AH332" s="46"/>
      <c r="AI332" s="45">
        <v>0.0</v>
      </c>
      <c r="AJ332" s="46"/>
      <c r="AK332" s="45">
        <f t="shared" si="2"/>
        <v>374572</v>
      </c>
      <c r="AL332" s="46"/>
      <c r="AM332" s="45">
        <v>374572.0</v>
      </c>
      <c r="AN332" s="46"/>
      <c r="AO332" s="45">
        <v>0.0</v>
      </c>
      <c r="AP332" s="46"/>
      <c r="AQ332" s="45">
        <f t="shared" si="3"/>
        <v>374572</v>
      </c>
      <c r="AR332" s="46"/>
    </row>
    <row r="333" ht="15.75" customHeight="1">
      <c r="A333" s="29">
        <v>90103.0</v>
      </c>
      <c r="B333" s="30" t="s">
        <v>330</v>
      </c>
      <c r="C333" s="48">
        <v>0.0</v>
      </c>
      <c r="D333" s="32">
        <v>0.0</v>
      </c>
      <c r="E333" s="33">
        <v>0.0</v>
      </c>
      <c r="F333" s="32">
        <v>0.0</v>
      </c>
      <c r="G333" s="34">
        <v>0.0</v>
      </c>
      <c r="H333" s="35">
        <v>0.0</v>
      </c>
      <c r="I333" s="48">
        <v>0.0</v>
      </c>
      <c r="J333" s="32">
        <v>0.0</v>
      </c>
      <c r="K333" s="38">
        <v>0.0</v>
      </c>
      <c r="L333" s="39">
        <v>0.0</v>
      </c>
      <c r="M333" s="34">
        <v>0.0</v>
      </c>
      <c r="N333" s="35">
        <v>0.0</v>
      </c>
      <c r="O333" s="48">
        <v>0.0</v>
      </c>
      <c r="P333" s="32">
        <v>0.0</v>
      </c>
      <c r="Q333" s="38">
        <v>0.0</v>
      </c>
      <c r="R333" s="32">
        <v>0.0</v>
      </c>
      <c r="S333" s="34">
        <v>0.0</v>
      </c>
      <c r="T333" s="35">
        <v>0.0</v>
      </c>
      <c r="U333" s="41">
        <v>0.0</v>
      </c>
      <c r="V333" s="42">
        <v>0.0</v>
      </c>
      <c r="W333" s="43">
        <v>0.0</v>
      </c>
      <c r="X333" s="42">
        <v>0.0</v>
      </c>
      <c r="Y333" s="44">
        <v>0.0</v>
      </c>
      <c r="Z333" s="42">
        <v>0.0</v>
      </c>
      <c r="AA333" s="45"/>
      <c r="AB333" s="46"/>
      <c r="AC333" s="45">
        <v>0.0</v>
      </c>
      <c r="AD333" s="46"/>
      <c r="AE333" s="45">
        <f t="shared" si="1"/>
        <v>0</v>
      </c>
      <c r="AF333" s="46"/>
      <c r="AG333" s="45"/>
      <c r="AH333" s="46"/>
      <c r="AI333" s="45">
        <v>0.0</v>
      </c>
      <c r="AJ333" s="46"/>
      <c r="AK333" s="45">
        <f t="shared" si="2"/>
        <v>0</v>
      </c>
      <c r="AL333" s="46"/>
      <c r="AM333" s="45"/>
      <c r="AN333" s="46"/>
      <c r="AO333" s="45">
        <v>0.0</v>
      </c>
      <c r="AP333" s="46"/>
      <c r="AQ333" s="45">
        <f t="shared" si="3"/>
        <v>0</v>
      </c>
      <c r="AR333" s="46"/>
    </row>
    <row r="334" ht="15.75" customHeight="1">
      <c r="A334" s="29">
        <v>90104.0</v>
      </c>
      <c r="B334" s="30" t="s">
        <v>331</v>
      </c>
      <c r="C334" s="48">
        <v>0.0</v>
      </c>
      <c r="D334" s="32">
        <v>0.0</v>
      </c>
      <c r="E334" s="33">
        <v>0.0</v>
      </c>
      <c r="F334" s="32">
        <v>0.0</v>
      </c>
      <c r="G334" s="34">
        <v>0.0</v>
      </c>
      <c r="H334" s="35">
        <v>0.0</v>
      </c>
      <c r="I334" s="48">
        <v>0.0</v>
      </c>
      <c r="J334" s="32">
        <v>0.0</v>
      </c>
      <c r="K334" s="38">
        <v>0.0</v>
      </c>
      <c r="L334" s="39">
        <v>0.0</v>
      </c>
      <c r="M334" s="34">
        <v>0.0</v>
      </c>
      <c r="N334" s="35">
        <v>0.0</v>
      </c>
      <c r="O334" s="48">
        <v>0.0</v>
      </c>
      <c r="P334" s="32">
        <v>0.0</v>
      </c>
      <c r="Q334" s="38">
        <v>0.0</v>
      </c>
      <c r="R334" s="32">
        <v>0.0</v>
      </c>
      <c r="S334" s="34">
        <v>0.0</v>
      </c>
      <c r="T334" s="35">
        <v>0.0</v>
      </c>
      <c r="U334" s="41">
        <v>0.0</v>
      </c>
      <c r="V334" s="42">
        <v>0.0</v>
      </c>
      <c r="W334" s="43">
        <v>0.0</v>
      </c>
      <c r="X334" s="42">
        <v>0.0</v>
      </c>
      <c r="Y334" s="44">
        <v>0.0</v>
      </c>
      <c r="Z334" s="42">
        <v>0.0</v>
      </c>
      <c r="AA334" s="45"/>
      <c r="AB334" s="46"/>
      <c r="AC334" s="45">
        <v>0.0</v>
      </c>
      <c r="AD334" s="46"/>
      <c r="AE334" s="45">
        <f t="shared" si="1"/>
        <v>0</v>
      </c>
      <c r="AF334" s="46"/>
      <c r="AG334" s="45">
        <v>149600.0</v>
      </c>
      <c r="AH334" s="46"/>
      <c r="AI334" s="45">
        <v>0.0</v>
      </c>
      <c r="AJ334" s="46"/>
      <c r="AK334" s="45">
        <f t="shared" si="2"/>
        <v>149600</v>
      </c>
      <c r="AL334" s="46"/>
      <c r="AM334" s="45">
        <v>149600.0</v>
      </c>
      <c r="AN334" s="46"/>
      <c r="AO334" s="45">
        <v>0.0</v>
      </c>
      <c r="AP334" s="46"/>
      <c r="AQ334" s="45">
        <f t="shared" si="3"/>
        <v>149600</v>
      </c>
      <c r="AR334" s="46"/>
    </row>
    <row r="335" ht="15.75" customHeight="1">
      <c r="A335" s="29">
        <v>90201.0</v>
      </c>
      <c r="B335" s="30" t="s">
        <v>332</v>
      </c>
      <c r="C335" s="48">
        <v>0.0</v>
      </c>
      <c r="D335" s="32">
        <v>0.0</v>
      </c>
      <c r="E335" s="33">
        <v>0.0</v>
      </c>
      <c r="F335" s="32">
        <v>0.0</v>
      </c>
      <c r="G335" s="34">
        <v>0.0</v>
      </c>
      <c r="H335" s="35">
        <v>0.0</v>
      </c>
      <c r="I335" s="48">
        <v>0.0</v>
      </c>
      <c r="J335" s="32">
        <v>0.0</v>
      </c>
      <c r="K335" s="38">
        <v>0.0</v>
      </c>
      <c r="L335" s="39">
        <v>0.0</v>
      </c>
      <c r="M335" s="34">
        <v>0.0</v>
      </c>
      <c r="N335" s="35">
        <v>0.0</v>
      </c>
      <c r="O335" s="36">
        <v>35000.0</v>
      </c>
      <c r="P335" s="37">
        <v>0.22</v>
      </c>
      <c r="Q335" s="38">
        <v>0.0</v>
      </c>
      <c r="R335" s="32">
        <v>0.0</v>
      </c>
      <c r="S335" s="38">
        <v>35000.0</v>
      </c>
      <c r="T335" s="35">
        <v>0.14</v>
      </c>
      <c r="U335" s="47">
        <v>412785.0</v>
      </c>
      <c r="V335" s="42">
        <v>2.56</v>
      </c>
      <c r="W335" s="43">
        <v>0.0</v>
      </c>
      <c r="X335" s="42">
        <v>0.0</v>
      </c>
      <c r="Y335" s="44">
        <v>412785.0</v>
      </c>
      <c r="Z335" s="42">
        <v>2.56</v>
      </c>
      <c r="AA335" s="45">
        <v>0.0</v>
      </c>
      <c r="AB335" s="46"/>
      <c r="AC335" s="45">
        <v>0.0</v>
      </c>
      <c r="AD335" s="46"/>
      <c r="AE335" s="45">
        <f t="shared" si="1"/>
        <v>0</v>
      </c>
      <c r="AF335" s="46"/>
      <c r="AG335" s="45"/>
      <c r="AH335" s="46"/>
      <c r="AI335" s="45">
        <v>0.0</v>
      </c>
      <c r="AJ335" s="46"/>
      <c r="AK335" s="45">
        <f t="shared" si="2"/>
        <v>0</v>
      </c>
      <c r="AL335" s="46"/>
      <c r="AM335" s="45"/>
      <c r="AN335" s="46"/>
      <c r="AO335" s="45">
        <v>0.0</v>
      </c>
      <c r="AP335" s="46"/>
      <c r="AQ335" s="45">
        <f t="shared" si="3"/>
        <v>0</v>
      </c>
      <c r="AR335" s="46"/>
    </row>
    <row r="336" ht="15.75" customHeight="1">
      <c r="A336" s="29">
        <v>90202.0</v>
      </c>
      <c r="B336" s="30" t="s">
        <v>222</v>
      </c>
      <c r="C336" s="48">
        <v>0.0</v>
      </c>
      <c r="D336" s="32">
        <v>0.0</v>
      </c>
      <c r="E336" s="33">
        <v>0.0</v>
      </c>
      <c r="F336" s="32">
        <v>0.0</v>
      </c>
      <c r="G336" s="34">
        <v>0.0</v>
      </c>
      <c r="H336" s="35">
        <v>0.0</v>
      </c>
      <c r="I336" s="48">
        <v>0.0</v>
      </c>
      <c r="J336" s="32">
        <v>0.0</v>
      </c>
      <c r="K336" s="38">
        <v>0.0</v>
      </c>
      <c r="L336" s="39">
        <v>0.0</v>
      </c>
      <c r="M336" s="34">
        <v>0.0</v>
      </c>
      <c r="N336" s="35">
        <v>0.0</v>
      </c>
      <c r="O336" s="48">
        <v>0.0</v>
      </c>
      <c r="P336" s="32">
        <v>0.0</v>
      </c>
      <c r="Q336" s="38">
        <v>0.0</v>
      </c>
      <c r="R336" s="32">
        <v>0.0</v>
      </c>
      <c r="S336" s="34">
        <v>0.0</v>
      </c>
      <c r="T336" s="35">
        <v>0.0</v>
      </c>
      <c r="U336" s="41">
        <v>0.0</v>
      </c>
      <c r="V336" s="42">
        <v>0.0</v>
      </c>
      <c r="W336" s="43">
        <v>0.0</v>
      </c>
      <c r="X336" s="42">
        <v>0.0</v>
      </c>
      <c r="Y336" s="44">
        <v>0.0</v>
      </c>
      <c r="Z336" s="42">
        <v>0.0</v>
      </c>
      <c r="AA336" s="45"/>
      <c r="AB336" s="46"/>
      <c r="AC336" s="45">
        <v>0.0</v>
      </c>
      <c r="AD336" s="46"/>
      <c r="AE336" s="45">
        <f t="shared" si="1"/>
        <v>0</v>
      </c>
      <c r="AF336" s="46"/>
      <c r="AG336" s="45"/>
      <c r="AH336" s="46"/>
      <c r="AI336" s="45">
        <v>0.0</v>
      </c>
      <c r="AJ336" s="46"/>
      <c r="AK336" s="45">
        <f t="shared" si="2"/>
        <v>0</v>
      </c>
      <c r="AL336" s="46"/>
      <c r="AM336" s="45"/>
      <c r="AN336" s="46"/>
      <c r="AO336" s="45">
        <v>0.0</v>
      </c>
      <c r="AP336" s="46"/>
      <c r="AQ336" s="45">
        <f t="shared" si="3"/>
        <v>0</v>
      </c>
      <c r="AR336" s="46"/>
    </row>
    <row r="337" ht="15.75" customHeight="1">
      <c r="A337" s="29">
        <v>90203.0</v>
      </c>
      <c r="B337" s="30" t="s">
        <v>333</v>
      </c>
      <c r="C337" s="31">
        <v>115217.0</v>
      </c>
      <c r="D337" s="32">
        <v>1.47</v>
      </c>
      <c r="E337" s="33">
        <v>0.0</v>
      </c>
      <c r="F337" s="32">
        <v>0.0</v>
      </c>
      <c r="G337" s="34">
        <v>115217.0</v>
      </c>
      <c r="H337" s="35">
        <v>0.76</v>
      </c>
      <c r="I337" s="36">
        <v>115217.0</v>
      </c>
      <c r="J337" s="37">
        <v>1.37</v>
      </c>
      <c r="K337" s="38">
        <v>0.0</v>
      </c>
      <c r="L337" s="39">
        <v>0.0</v>
      </c>
      <c r="M337" s="38">
        <v>115217.0</v>
      </c>
      <c r="N337" s="40">
        <v>1.29</v>
      </c>
      <c r="O337" s="36">
        <v>123000.0</v>
      </c>
      <c r="P337" s="37">
        <v>1.02</v>
      </c>
      <c r="Q337" s="38">
        <v>0.0</v>
      </c>
      <c r="R337" s="32">
        <v>0.0</v>
      </c>
      <c r="S337" s="38">
        <v>123000.0</v>
      </c>
      <c r="T337" s="35">
        <v>0.83</v>
      </c>
      <c r="U337" s="47">
        <v>88000.0</v>
      </c>
      <c r="V337" s="42">
        <v>0.6</v>
      </c>
      <c r="W337" s="43">
        <v>0.0</v>
      </c>
      <c r="X337" s="42">
        <v>0.0</v>
      </c>
      <c r="Y337" s="44">
        <v>88000.0</v>
      </c>
      <c r="Z337" s="42">
        <v>0.6</v>
      </c>
      <c r="AA337" s="45">
        <v>0.0</v>
      </c>
      <c r="AB337" s="46"/>
      <c r="AC337" s="45">
        <v>0.0</v>
      </c>
      <c r="AD337" s="46"/>
      <c r="AE337" s="45">
        <f t="shared" si="1"/>
        <v>0</v>
      </c>
      <c r="AF337" s="46"/>
      <c r="AG337" s="45">
        <v>60000.0</v>
      </c>
      <c r="AH337" s="46"/>
      <c r="AI337" s="45">
        <v>0.0</v>
      </c>
      <c r="AJ337" s="46"/>
      <c r="AK337" s="45">
        <f t="shared" si="2"/>
        <v>60000</v>
      </c>
      <c r="AL337" s="46"/>
      <c r="AM337" s="45">
        <v>25000.0</v>
      </c>
      <c r="AN337" s="46"/>
      <c r="AO337" s="45">
        <v>0.0</v>
      </c>
      <c r="AP337" s="46"/>
      <c r="AQ337" s="45">
        <f t="shared" si="3"/>
        <v>25000</v>
      </c>
      <c r="AR337" s="46"/>
    </row>
    <row r="338" ht="15.75" customHeight="1">
      <c r="A338" s="29">
        <v>90301.0</v>
      </c>
      <c r="B338" s="30" t="s">
        <v>334</v>
      </c>
      <c r="C338" s="31">
        <v>67502.0</v>
      </c>
      <c r="D338" s="32">
        <v>0.59</v>
      </c>
      <c r="E338" s="33">
        <v>0.0</v>
      </c>
      <c r="F338" s="32">
        <v>0.0</v>
      </c>
      <c r="G338" s="34">
        <v>67502.0</v>
      </c>
      <c r="H338" s="35">
        <v>0.33</v>
      </c>
      <c r="I338" s="36">
        <v>67502.0</v>
      </c>
      <c r="J338" s="37">
        <v>0.35</v>
      </c>
      <c r="K338" s="38">
        <v>0.0</v>
      </c>
      <c r="L338" s="39">
        <v>0.0</v>
      </c>
      <c r="M338" s="38">
        <v>67502.0</v>
      </c>
      <c r="N338" s="40">
        <v>0.24</v>
      </c>
      <c r="O338" s="36">
        <v>94520.0</v>
      </c>
      <c r="P338" s="37">
        <v>0.54</v>
      </c>
      <c r="Q338" s="38">
        <v>0.0</v>
      </c>
      <c r="R338" s="32">
        <v>0.0</v>
      </c>
      <c r="S338" s="38">
        <v>94520.0</v>
      </c>
      <c r="T338" s="35">
        <v>0.31</v>
      </c>
      <c r="U338" s="47">
        <v>37690.0</v>
      </c>
      <c r="V338" s="42">
        <v>0.18</v>
      </c>
      <c r="W338" s="43">
        <v>0.0</v>
      </c>
      <c r="X338" s="42">
        <v>0.0</v>
      </c>
      <c r="Y338" s="44">
        <v>37690.0</v>
      </c>
      <c r="Z338" s="42">
        <v>0.18</v>
      </c>
      <c r="AA338" s="45"/>
      <c r="AB338" s="46"/>
      <c r="AC338" s="45">
        <v>0.0</v>
      </c>
      <c r="AD338" s="46"/>
      <c r="AE338" s="45">
        <f t="shared" si="1"/>
        <v>0</v>
      </c>
      <c r="AF338" s="46"/>
      <c r="AG338" s="45">
        <v>48445.0</v>
      </c>
      <c r="AH338" s="46"/>
      <c r="AI338" s="45">
        <v>0.0</v>
      </c>
      <c r="AJ338" s="46"/>
      <c r="AK338" s="45">
        <f t="shared" si="2"/>
        <v>48445</v>
      </c>
      <c r="AL338" s="46"/>
      <c r="AM338" s="45">
        <v>48471.0</v>
      </c>
      <c r="AN338" s="46"/>
      <c r="AO338" s="45">
        <v>0.0</v>
      </c>
      <c r="AP338" s="46"/>
      <c r="AQ338" s="45">
        <f t="shared" si="3"/>
        <v>48471</v>
      </c>
      <c r="AR338" s="46"/>
    </row>
    <row r="339" ht="15.75" customHeight="1">
      <c r="A339" s="29">
        <v>90302.0</v>
      </c>
      <c r="B339" s="30" t="s">
        <v>256</v>
      </c>
      <c r="C339" s="48">
        <v>0.0</v>
      </c>
      <c r="D339" s="32">
        <v>0.0</v>
      </c>
      <c r="E339" s="33">
        <v>0.0</v>
      </c>
      <c r="F339" s="32">
        <v>0.0</v>
      </c>
      <c r="G339" s="34">
        <v>0.0</v>
      </c>
      <c r="H339" s="35">
        <v>0.0</v>
      </c>
      <c r="I339" s="36">
        <v>165217.0</v>
      </c>
      <c r="J339" s="37">
        <v>1.52</v>
      </c>
      <c r="K339" s="38">
        <v>0.0</v>
      </c>
      <c r="L339" s="39">
        <v>0.0</v>
      </c>
      <c r="M339" s="38">
        <v>165217.0</v>
      </c>
      <c r="N339" s="40">
        <v>1.48</v>
      </c>
      <c r="O339" s="36">
        <v>196840.0</v>
      </c>
      <c r="P339" s="37">
        <v>1.29</v>
      </c>
      <c r="Q339" s="38">
        <v>0.0</v>
      </c>
      <c r="R339" s="32">
        <v>0.0</v>
      </c>
      <c r="S339" s="38">
        <v>196840.0</v>
      </c>
      <c r="T339" s="35">
        <v>1.14</v>
      </c>
      <c r="U339" s="47">
        <v>385725.0</v>
      </c>
      <c r="V339" s="42">
        <v>2.2</v>
      </c>
      <c r="W339" s="43">
        <v>0.0</v>
      </c>
      <c r="X339" s="42">
        <v>0.0</v>
      </c>
      <c r="Y339" s="44">
        <v>385725.0</v>
      </c>
      <c r="Z339" s="42">
        <v>2.11</v>
      </c>
      <c r="AA339" s="45">
        <v>48283.0</v>
      </c>
      <c r="AB339" s="46"/>
      <c r="AC339" s="45">
        <v>0.0</v>
      </c>
      <c r="AD339" s="46"/>
      <c r="AE339" s="45">
        <f t="shared" si="1"/>
        <v>48283</v>
      </c>
      <c r="AF339" s="46"/>
      <c r="AG339" s="45">
        <v>282729.0</v>
      </c>
      <c r="AH339" s="46"/>
      <c r="AI339" s="45">
        <v>0.0</v>
      </c>
      <c r="AJ339" s="46"/>
      <c r="AK339" s="45">
        <f t="shared" si="2"/>
        <v>282729</v>
      </c>
      <c r="AL339" s="46"/>
      <c r="AM339" s="45">
        <v>258641.0</v>
      </c>
      <c r="AN339" s="46"/>
      <c r="AO339" s="45">
        <v>0.0</v>
      </c>
      <c r="AP339" s="46"/>
      <c r="AQ339" s="45">
        <f t="shared" si="3"/>
        <v>258641</v>
      </c>
      <c r="AR339" s="46"/>
    </row>
    <row r="340" ht="15.75" customHeight="1">
      <c r="A340" s="29">
        <v>90303.0</v>
      </c>
      <c r="B340" s="30" t="s">
        <v>335</v>
      </c>
      <c r="C340" s="31">
        <v>174972.0</v>
      </c>
      <c r="D340" s="32">
        <v>2.87</v>
      </c>
      <c r="E340" s="33">
        <v>0.0</v>
      </c>
      <c r="F340" s="32">
        <v>0.0</v>
      </c>
      <c r="G340" s="34">
        <v>174972.0</v>
      </c>
      <c r="H340" s="35">
        <v>1.57</v>
      </c>
      <c r="I340" s="36">
        <v>136972.0</v>
      </c>
      <c r="J340" s="37">
        <v>1.98</v>
      </c>
      <c r="K340" s="38">
        <v>0.0</v>
      </c>
      <c r="L340" s="39">
        <v>0.0</v>
      </c>
      <c r="M340" s="38">
        <v>136972.0</v>
      </c>
      <c r="N340" s="40">
        <v>1.03</v>
      </c>
      <c r="O340" s="36">
        <v>200000.0</v>
      </c>
      <c r="P340" s="37">
        <v>1.25</v>
      </c>
      <c r="Q340" s="38">
        <v>0.0</v>
      </c>
      <c r="R340" s="32">
        <v>0.0</v>
      </c>
      <c r="S340" s="38">
        <v>200000.0</v>
      </c>
      <c r="T340" s="35">
        <v>0.71</v>
      </c>
      <c r="U340" s="47">
        <v>226600.0</v>
      </c>
      <c r="V340" s="42">
        <v>1.06</v>
      </c>
      <c r="W340" s="43">
        <v>0.0</v>
      </c>
      <c r="X340" s="42">
        <v>0.0</v>
      </c>
      <c r="Y340" s="44">
        <v>226600.0</v>
      </c>
      <c r="Z340" s="42">
        <v>1.01</v>
      </c>
      <c r="AA340" s="45">
        <v>342970.0</v>
      </c>
      <c r="AB340" s="46"/>
      <c r="AC340" s="45">
        <v>0.0</v>
      </c>
      <c r="AD340" s="46"/>
      <c r="AE340" s="45">
        <f t="shared" si="1"/>
        <v>342970</v>
      </c>
      <c r="AF340" s="46"/>
      <c r="AG340" s="45">
        <v>281469.0</v>
      </c>
      <c r="AH340" s="46"/>
      <c r="AI340" s="45">
        <v>0.0</v>
      </c>
      <c r="AJ340" s="46"/>
      <c r="AK340" s="45">
        <f t="shared" si="2"/>
        <v>281469</v>
      </c>
      <c r="AL340" s="46"/>
      <c r="AM340" s="45">
        <v>461142.0</v>
      </c>
      <c r="AN340" s="46"/>
      <c r="AO340" s="45">
        <v>0.0</v>
      </c>
      <c r="AP340" s="46"/>
      <c r="AQ340" s="45">
        <f t="shared" si="3"/>
        <v>461142</v>
      </c>
      <c r="AR340" s="46"/>
    </row>
    <row r="341" ht="15.75" customHeight="1">
      <c r="A341" s="29">
        <v>90401.0</v>
      </c>
      <c r="B341" s="30" t="s">
        <v>276</v>
      </c>
      <c r="C341" s="31">
        <v>45745.0</v>
      </c>
      <c r="D341" s="32">
        <v>0.85</v>
      </c>
      <c r="E341" s="33">
        <v>0.0</v>
      </c>
      <c r="F341" s="32">
        <v>0.0</v>
      </c>
      <c r="G341" s="34">
        <v>45745.0</v>
      </c>
      <c r="H341" s="35">
        <v>0.78</v>
      </c>
      <c r="I341" s="48">
        <v>0.0</v>
      </c>
      <c r="J341" s="32">
        <v>0.0</v>
      </c>
      <c r="K341" s="38">
        <v>0.0</v>
      </c>
      <c r="L341" s="39">
        <v>0.0</v>
      </c>
      <c r="M341" s="34">
        <v>0.0</v>
      </c>
      <c r="N341" s="35">
        <v>0.0</v>
      </c>
      <c r="O341" s="48">
        <v>0.0</v>
      </c>
      <c r="P341" s="32">
        <v>0.0</v>
      </c>
      <c r="Q341" s="38">
        <v>0.0</v>
      </c>
      <c r="R341" s="32">
        <v>0.0</v>
      </c>
      <c r="S341" s="34">
        <v>0.0</v>
      </c>
      <c r="T341" s="35">
        <v>0.0</v>
      </c>
      <c r="U341" s="41">
        <v>0.0</v>
      </c>
      <c r="V341" s="42">
        <v>0.0</v>
      </c>
      <c r="W341" s="43">
        <v>0.0</v>
      </c>
      <c r="X341" s="42">
        <v>0.0</v>
      </c>
      <c r="Y341" s="44">
        <v>0.0</v>
      </c>
      <c r="Z341" s="42">
        <v>0.0</v>
      </c>
      <c r="AA341" s="45">
        <v>276592.0</v>
      </c>
      <c r="AB341" s="46"/>
      <c r="AC341" s="45">
        <v>0.0</v>
      </c>
      <c r="AD341" s="46"/>
      <c r="AE341" s="45">
        <f t="shared" si="1"/>
        <v>276592</v>
      </c>
      <c r="AF341" s="46"/>
      <c r="AG341" s="45"/>
      <c r="AH341" s="46"/>
      <c r="AI341" s="45">
        <v>0.0</v>
      </c>
      <c r="AJ341" s="46"/>
      <c r="AK341" s="45">
        <f t="shared" si="2"/>
        <v>0</v>
      </c>
      <c r="AL341" s="46"/>
      <c r="AM341" s="45"/>
      <c r="AN341" s="46"/>
      <c r="AO341" s="45">
        <v>0.0</v>
      </c>
      <c r="AP341" s="46"/>
      <c r="AQ341" s="45">
        <f t="shared" si="3"/>
        <v>0</v>
      </c>
      <c r="AR341" s="46"/>
    </row>
    <row r="342" ht="15.75" customHeight="1">
      <c r="A342" s="29">
        <v>90402.0</v>
      </c>
      <c r="B342" s="30" t="s">
        <v>336</v>
      </c>
      <c r="C342" s="48">
        <v>0.0</v>
      </c>
      <c r="D342" s="32">
        <v>0.0</v>
      </c>
      <c r="E342" s="33">
        <v>0.0</v>
      </c>
      <c r="F342" s="32">
        <v>0.0</v>
      </c>
      <c r="G342" s="34">
        <v>0.0</v>
      </c>
      <c r="H342" s="35">
        <v>0.0</v>
      </c>
      <c r="I342" s="48">
        <v>0.0</v>
      </c>
      <c r="J342" s="32">
        <v>0.0</v>
      </c>
      <c r="K342" s="38">
        <v>0.0</v>
      </c>
      <c r="L342" s="39">
        <v>0.0</v>
      </c>
      <c r="M342" s="34">
        <v>0.0</v>
      </c>
      <c r="N342" s="35">
        <v>0.0</v>
      </c>
      <c r="O342" s="48">
        <v>0.0</v>
      </c>
      <c r="P342" s="32">
        <v>0.0</v>
      </c>
      <c r="Q342" s="38">
        <v>0.0</v>
      </c>
      <c r="R342" s="32">
        <v>0.0</v>
      </c>
      <c r="S342" s="34">
        <v>0.0</v>
      </c>
      <c r="T342" s="35">
        <v>0.0</v>
      </c>
      <c r="U342" s="41">
        <v>0.0</v>
      </c>
      <c r="V342" s="42">
        <v>0.0</v>
      </c>
      <c r="W342" s="43">
        <v>0.0</v>
      </c>
      <c r="X342" s="42">
        <v>0.0</v>
      </c>
      <c r="Y342" s="44">
        <v>0.0</v>
      </c>
      <c r="Z342" s="42">
        <v>0.0</v>
      </c>
      <c r="AA342" s="45"/>
      <c r="AB342" s="46"/>
      <c r="AC342" s="45">
        <v>0.0</v>
      </c>
      <c r="AD342" s="46"/>
      <c r="AE342" s="45">
        <f t="shared" si="1"/>
        <v>0</v>
      </c>
      <c r="AF342" s="46"/>
      <c r="AG342" s="45"/>
      <c r="AH342" s="46"/>
      <c r="AI342" s="45">
        <v>0.0</v>
      </c>
      <c r="AJ342" s="46"/>
      <c r="AK342" s="45">
        <f t="shared" si="2"/>
        <v>0</v>
      </c>
      <c r="AL342" s="46"/>
      <c r="AM342" s="45"/>
      <c r="AN342" s="46"/>
      <c r="AO342" s="45">
        <v>0.0</v>
      </c>
      <c r="AP342" s="46"/>
      <c r="AQ342" s="45">
        <f t="shared" si="3"/>
        <v>0</v>
      </c>
      <c r="AR342" s="46"/>
    </row>
    <row r="343" ht="15.75" customHeight="1">
      <c r="A343" s="29">
        <v>90501.0</v>
      </c>
      <c r="B343" s="30" t="s">
        <v>337</v>
      </c>
      <c r="C343" s="48">
        <v>0.0</v>
      </c>
      <c r="D343" s="32">
        <v>0.0</v>
      </c>
      <c r="E343" s="33">
        <v>0.0</v>
      </c>
      <c r="F343" s="32">
        <v>0.0</v>
      </c>
      <c r="G343" s="34">
        <v>0.0</v>
      </c>
      <c r="H343" s="35">
        <v>0.0</v>
      </c>
      <c r="I343" s="48">
        <v>0.0</v>
      </c>
      <c r="J343" s="32">
        <v>0.0</v>
      </c>
      <c r="K343" s="38">
        <v>0.0</v>
      </c>
      <c r="L343" s="39">
        <v>0.0</v>
      </c>
      <c r="M343" s="34">
        <v>0.0</v>
      </c>
      <c r="N343" s="35">
        <v>0.0</v>
      </c>
      <c r="O343" s="48">
        <v>0.0</v>
      </c>
      <c r="P343" s="32">
        <v>0.0</v>
      </c>
      <c r="Q343" s="38">
        <v>0.0</v>
      </c>
      <c r="R343" s="32">
        <v>0.0</v>
      </c>
      <c r="S343" s="34">
        <v>0.0</v>
      </c>
      <c r="T343" s="35">
        <v>0.0</v>
      </c>
      <c r="U343" s="41">
        <v>0.0</v>
      </c>
      <c r="V343" s="42">
        <v>0.0</v>
      </c>
      <c r="W343" s="43">
        <v>0.0</v>
      </c>
      <c r="X343" s="42">
        <v>0.0</v>
      </c>
      <c r="Y343" s="44">
        <v>0.0</v>
      </c>
      <c r="Z343" s="42">
        <v>0.0</v>
      </c>
      <c r="AA343" s="45"/>
      <c r="AB343" s="46"/>
      <c r="AC343" s="45">
        <v>0.0</v>
      </c>
      <c r="AD343" s="46"/>
      <c r="AE343" s="45">
        <f t="shared" si="1"/>
        <v>0</v>
      </c>
      <c r="AF343" s="46"/>
      <c r="AG343" s="45"/>
      <c r="AH343" s="46"/>
      <c r="AI343" s="45">
        <v>0.0</v>
      </c>
      <c r="AJ343" s="46"/>
      <c r="AK343" s="45">
        <f t="shared" si="2"/>
        <v>0</v>
      </c>
      <c r="AL343" s="46"/>
      <c r="AM343" s="45"/>
      <c r="AN343" s="46"/>
      <c r="AO343" s="45">
        <v>0.0</v>
      </c>
      <c r="AP343" s="46"/>
      <c r="AQ343" s="45">
        <f t="shared" si="3"/>
        <v>0</v>
      </c>
      <c r="AR343" s="46"/>
    </row>
    <row r="344" ht="15.75" customHeight="1">
      <c r="A344" s="29">
        <v>90502.0</v>
      </c>
      <c r="B344" s="30" t="s">
        <v>338</v>
      </c>
      <c r="C344" s="31">
        <v>59788.0</v>
      </c>
      <c r="D344" s="32">
        <v>1.54</v>
      </c>
      <c r="E344" s="33">
        <v>0.0</v>
      </c>
      <c r="F344" s="32">
        <v>0.0</v>
      </c>
      <c r="G344" s="34">
        <v>59788.0</v>
      </c>
      <c r="H344" s="35">
        <v>1.09</v>
      </c>
      <c r="I344" s="48">
        <v>0.0</v>
      </c>
      <c r="J344" s="32">
        <v>0.0</v>
      </c>
      <c r="K344" s="38">
        <v>0.0</v>
      </c>
      <c r="L344" s="39">
        <v>0.0</v>
      </c>
      <c r="M344" s="34">
        <v>0.0</v>
      </c>
      <c r="N344" s="35">
        <v>0.0</v>
      </c>
      <c r="O344" s="48">
        <v>0.0</v>
      </c>
      <c r="P344" s="32">
        <v>0.0</v>
      </c>
      <c r="Q344" s="38">
        <v>0.0</v>
      </c>
      <c r="R344" s="32">
        <v>0.0</v>
      </c>
      <c r="S344" s="34">
        <v>0.0</v>
      </c>
      <c r="T344" s="35">
        <v>0.0</v>
      </c>
      <c r="U344" s="41">
        <v>0.0</v>
      </c>
      <c r="V344" s="42">
        <v>0.0</v>
      </c>
      <c r="W344" s="43">
        <v>0.0</v>
      </c>
      <c r="X344" s="42">
        <v>0.0</v>
      </c>
      <c r="Y344" s="44">
        <v>0.0</v>
      </c>
      <c r="Z344" s="42">
        <v>0.0</v>
      </c>
      <c r="AA344" s="45"/>
      <c r="AB344" s="46"/>
      <c r="AC344" s="45">
        <v>0.0</v>
      </c>
      <c r="AD344" s="46"/>
      <c r="AE344" s="45">
        <f t="shared" si="1"/>
        <v>0</v>
      </c>
      <c r="AF344" s="46"/>
      <c r="AG344" s="45"/>
      <c r="AH344" s="46"/>
      <c r="AI344" s="45">
        <v>0.0</v>
      </c>
      <c r="AJ344" s="46"/>
      <c r="AK344" s="45">
        <f t="shared" si="2"/>
        <v>0</v>
      </c>
      <c r="AL344" s="46"/>
      <c r="AM344" s="45"/>
      <c r="AN344" s="46"/>
      <c r="AO344" s="45">
        <v>0.0</v>
      </c>
      <c r="AP344" s="46"/>
      <c r="AQ344" s="45">
        <f t="shared" si="3"/>
        <v>0</v>
      </c>
      <c r="AR344" s="46"/>
    </row>
    <row r="345" ht="15.75" customHeight="1">
      <c r="A345" s="29">
        <v>90503.0</v>
      </c>
      <c r="B345" s="30" t="s">
        <v>339</v>
      </c>
      <c r="C345" s="54">
        <v>6500.0</v>
      </c>
      <c r="D345" s="55">
        <v>0.34</v>
      </c>
      <c r="E345" s="56">
        <v>0.0</v>
      </c>
      <c r="F345" s="55">
        <v>0.0</v>
      </c>
      <c r="G345" s="57">
        <v>6500.0</v>
      </c>
      <c r="H345" s="58">
        <v>0.29</v>
      </c>
      <c r="I345" s="59">
        <v>30000.0</v>
      </c>
      <c r="J345" s="60">
        <v>1.43</v>
      </c>
      <c r="K345" s="38">
        <v>0.0</v>
      </c>
      <c r="L345" s="61">
        <v>0.0</v>
      </c>
      <c r="M345" s="62">
        <v>30000.0</v>
      </c>
      <c r="N345" s="63">
        <v>0.97</v>
      </c>
      <c r="O345" s="59">
        <v>0.0</v>
      </c>
      <c r="P345" s="60">
        <v>0.0</v>
      </c>
      <c r="Q345" s="38">
        <v>0.0</v>
      </c>
      <c r="R345" s="55">
        <v>0.0</v>
      </c>
      <c r="S345" s="62">
        <v>0.0</v>
      </c>
      <c r="T345" s="58">
        <v>0.0</v>
      </c>
      <c r="U345" s="41">
        <v>0.0</v>
      </c>
      <c r="V345" s="42">
        <v>0.0</v>
      </c>
      <c r="W345" s="43">
        <v>0.0</v>
      </c>
      <c r="X345" s="42">
        <v>0.0</v>
      </c>
      <c r="Y345" s="44">
        <v>0.0</v>
      </c>
      <c r="Z345" s="42">
        <v>0.0</v>
      </c>
      <c r="AA345" s="45"/>
      <c r="AB345" s="46"/>
      <c r="AC345" s="45">
        <v>0.0</v>
      </c>
      <c r="AD345" s="46"/>
      <c r="AE345" s="45">
        <f t="shared" si="1"/>
        <v>0</v>
      </c>
      <c r="AF345" s="46"/>
      <c r="AG345" s="45"/>
      <c r="AH345" s="46"/>
      <c r="AI345" s="45">
        <v>0.0</v>
      </c>
      <c r="AJ345" s="46"/>
      <c r="AK345" s="45">
        <f t="shared" si="2"/>
        <v>0</v>
      </c>
      <c r="AL345" s="46"/>
      <c r="AM345" s="45"/>
      <c r="AN345" s="46"/>
      <c r="AO345" s="45">
        <v>0.0</v>
      </c>
      <c r="AP345" s="46"/>
      <c r="AQ345" s="45">
        <f t="shared" si="3"/>
        <v>0</v>
      </c>
      <c r="AR345" s="46"/>
    </row>
    <row r="346" ht="15.75" customHeight="1">
      <c r="A346" s="64"/>
      <c r="B346" s="64"/>
      <c r="D346" s="65"/>
      <c r="F346" s="65"/>
      <c r="G346" s="66"/>
      <c r="H346" s="65"/>
      <c r="I346" s="65"/>
      <c r="J346" s="65"/>
      <c r="K346" s="65"/>
      <c r="L346" s="67"/>
      <c r="M346" s="65"/>
      <c r="N346" s="65"/>
      <c r="O346" s="65"/>
      <c r="P346" s="65"/>
      <c r="Q346" s="65"/>
      <c r="R346" s="65"/>
      <c r="S346" s="65"/>
      <c r="T346" s="65"/>
      <c r="V346" s="68"/>
      <c r="X346" s="68"/>
      <c r="Y346" s="69"/>
      <c r="Z346" s="68"/>
      <c r="AA346" s="68"/>
      <c r="AB346" s="68"/>
      <c r="AC346" s="68"/>
      <c r="AD346" s="68"/>
      <c r="AE346" s="68"/>
      <c r="AF346" s="68"/>
      <c r="AG346" s="68"/>
      <c r="AH346" s="68"/>
      <c r="AI346" s="68"/>
      <c r="AJ346" s="68"/>
      <c r="AK346" s="68"/>
      <c r="AL346" s="68"/>
      <c r="AM346" s="68"/>
      <c r="AN346" s="68"/>
      <c r="AO346" s="68"/>
      <c r="AP346" s="68"/>
      <c r="AQ346" s="68"/>
      <c r="AR346" s="68"/>
    </row>
    <row r="347" ht="15.75" customHeight="1">
      <c r="A347" s="64"/>
      <c r="B347" s="64"/>
      <c r="D347" s="65"/>
      <c r="F347" s="65"/>
      <c r="G347" s="66"/>
      <c r="H347" s="65"/>
      <c r="I347" s="65"/>
      <c r="J347" s="65"/>
      <c r="K347" s="65"/>
      <c r="L347" s="67"/>
      <c r="M347" s="65"/>
      <c r="N347" s="65"/>
      <c r="O347" s="65"/>
      <c r="P347" s="65"/>
      <c r="Q347" s="65"/>
      <c r="R347" s="65"/>
      <c r="S347" s="65"/>
      <c r="T347" s="65"/>
      <c r="V347" s="68"/>
      <c r="X347" s="68"/>
      <c r="Y347" s="69"/>
      <c r="Z347" s="68"/>
      <c r="AA347" s="68"/>
      <c r="AB347" s="68"/>
      <c r="AC347" s="68"/>
      <c r="AD347" s="68"/>
      <c r="AE347" s="68"/>
      <c r="AF347" s="68"/>
      <c r="AG347" s="68"/>
      <c r="AH347" s="68"/>
      <c r="AI347" s="68"/>
      <c r="AJ347" s="68"/>
      <c r="AK347" s="68"/>
      <c r="AL347" s="68"/>
      <c r="AM347" s="68"/>
      <c r="AN347" s="68"/>
      <c r="AO347" s="68"/>
      <c r="AP347" s="68"/>
      <c r="AQ347" s="68"/>
      <c r="AR347" s="68"/>
    </row>
    <row r="348" ht="15.75" customHeight="1">
      <c r="A348" s="64"/>
      <c r="B348" s="64"/>
      <c r="D348" s="65"/>
      <c r="F348" s="65"/>
      <c r="G348" s="66"/>
      <c r="H348" s="65"/>
      <c r="I348" s="65"/>
      <c r="J348" s="65"/>
      <c r="K348" s="65"/>
      <c r="L348" s="67"/>
      <c r="M348" s="65"/>
      <c r="N348" s="65"/>
      <c r="O348" s="65"/>
      <c r="P348" s="65"/>
      <c r="Q348" s="65"/>
      <c r="R348" s="65"/>
      <c r="S348" s="65"/>
      <c r="T348" s="65"/>
      <c r="V348" s="68"/>
      <c r="X348" s="68"/>
      <c r="Y348" s="69"/>
      <c r="Z348" s="68"/>
      <c r="AA348" s="68"/>
      <c r="AB348" s="68"/>
      <c r="AC348" s="68"/>
      <c r="AD348" s="68"/>
      <c r="AE348" s="68"/>
      <c r="AF348" s="68"/>
      <c r="AG348" s="68"/>
      <c r="AH348" s="68"/>
      <c r="AI348" s="68"/>
      <c r="AJ348" s="68"/>
      <c r="AK348" s="68"/>
      <c r="AL348" s="68"/>
      <c r="AM348" s="68"/>
      <c r="AN348" s="68"/>
      <c r="AO348" s="68"/>
      <c r="AP348" s="68"/>
      <c r="AQ348" s="68"/>
      <c r="AR348" s="68"/>
    </row>
    <row r="349" ht="15.75" customHeight="1">
      <c r="A349" s="64"/>
      <c r="B349" s="64"/>
      <c r="D349" s="65"/>
      <c r="F349" s="65"/>
      <c r="G349" s="66"/>
      <c r="H349" s="65"/>
      <c r="I349" s="65"/>
      <c r="J349" s="65"/>
      <c r="K349" s="65"/>
      <c r="L349" s="67"/>
      <c r="M349" s="65"/>
      <c r="N349" s="65"/>
      <c r="O349" s="65"/>
      <c r="P349" s="65"/>
      <c r="Q349" s="65"/>
      <c r="R349" s="65"/>
      <c r="S349" s="65"/>
      <c r="T349" s="65"/>
      <c r="V349" s="68"/>
      <c r="X349" s="68"/>
      <c r="Y349" s="69"/>
      <c r="Z349" s="68"/>
      <c r="AA349" s="68"/>
      <c r="AB349" s="68"/>
      <c r="AC349" s="68"/>
      <c r="AD349" s="68"/>
      <c r="AE349" s="68"/>
      <c r="AF349" s="68"/>
      <c r="AG349" s="68"/>
      <c r="AH349" s="68"/>
      <c r="AI349" s="68"/>
      <c r="AJ349" s="68"/>
      <c r="AK349" s="68"/>
      <c r="AL349" s="68"/>
      <c r="AM349" s="68"/>
      <c r="AN349" s="68"/>
      <c r="AO349" s="68"/>
      <c r="AP349" s="68"/>
      <c r="AQ349" s="68"/>
      <c r="AR349" s="68"/>
    </row>
    <row r="350" ht="15.75" customHeight="1">
      <c r="A350" s="64"/>
      <c r="B350" s="64"/>
      <c r="D350" s="65"/>
      <c r="F350" s="65"/>
      <c r="G350" s="66"/>
      <c r="H350" s="65"/>
      <c r="I350" s="65"/>
      <c r="J350" s="65"/>
      <c r="K350" s="65"/>
      <c r="L350" s="67"/>
      <c r="M350" s="65"/>
      <c r="N350" s="65"/>
      <c r="O350" s="65"/>
      <c r="P350" s="65"/>
      <c r="Q350" s="65"/>
      <c r="R350" s="65"/>
      <c r="S350" s="65"/>
      <c r="T350" s="65"/>
      <c r="V350" s="68"/>
      <c r="X350" s="68"/>
      <c r="Y350" s="69"/>
      <c r="Z350" s="68"/>
      <c r="AA350" s="68"/>
      <c r="AB350" s="68"/>
      <c r="AC350" s="68"/>
      <c r="AD350" s="68"/>
      <c r="AE350" s="68"/>
      <c r="AF350" s="68"/>
      <c r="AG350" s="68"/>
      <c r="AH350" s="68"/>
      <c r="AI350" s="68"/>
      <c r="AJ350" s="68"/>
      <c r="AK350" s="68"/>
      <c r="AL350" s="68"/>
      <c r="AM350" s="68"/>
      <c r="AN350" s="68"/>
      <c r="AO350" s="68"/>
      <c r="AP350" s="68"/>
      <c r="AQ350" s="68"/>
      <c r="AR350" s="68"/>
    </row>
    <row r="351" ht="15.75" customHeight="1">
      <c r="A351" s="64"/>
      <c r="B351" s="64"/>
      <c r="D351" s="65"/>
      <c r="F351" s="65"/>
      <c r="G351" s="66"/>
      <c r="H351" s="65"/>
      <c r="I351" s="65"/>
      <c r="J351" s="65"/>
      <c r="K351" s="65"/>
      <c r="L351" s="67"/>
      <c r="M351" s="65"/>
      <c r="N351" s="65"/>
      <c r="O351" s="65"/>
      <c r="P351" s="65"/>
      <c r="Q351" s="65"/>
      <c r="R351" s="65"/>
      <c r="S351" s="65"/>
      <c r="T351" s="65"/>
      <c r="V351" s="68"/>
      <c r="X351" s="68"/>
      <c r="Y351" s="69"/>
      <c r="Z351" s="68"/>
      <c r="AA351" s="68"/>
      <c r="AB351" s="68"/>
      <c r="AC351" s="68"/>
      <c r="AD351" s="68"/>
      <c r="AE351" s="68"/>
      <c r="AF351" s="68"/>
      <c r="AG351" s="68"/>
      <c r="AH351" s="68"/>
      <c r="AI351" s="68"/>
      <c r="AJ351" s="68"/>
      <c r="AK351" s="68"/>
      <c r="AL351" s="68"/>
      <c r="AM351" s="68"/>
      <c r="AN351" s="68"/>
      <c r="AO351" s="68"/>
      <c r="AP351" s="68"/>
      <c r="AQ351" s="68"/>
      <c r="AR351" s="68"/>
    </row>
    <row r="352" ht="15.75" customHeight="1">
      <c r="A352" s="64"/>
      <c r="B352" s="64"/>
      <c r="D352" s="65"/>
      <c r="F352" s="65"/>
      <c r="G352" s="66"/>
      <c r="H352" s="65"/>
      <c r="I352" s="65"/>
      <c r="J352" s="65"/>
      <c r="K352" s="65"/>
      <c r="L352" s="67"/>
      <c r="M352" s="65"/>
      <c r="N352" s="65"/>
      <c r="O352" s="65"/>
      <c r="P352" s="65"/>
      <c r="Q352" s="65"/>
      <c r="R352" s="65"/>
      <c r="S352" s="65"/>
      <c r="T352" s="65"/>
      <c r="V352" s="68"/>
      <c r="X352" s="68"/>
      <c r="Y352" s="69"/>
      <c r="Z352" s="68"/>
      <c r="AA352" s="68"/>
      <c r="AB352" s="68"/>
      <c r="AC352" s="68"/>
      <c r="AD352" s="68"/>
      <c r="AE352" s="68"/>
      <c r="AF352" s="68"/>
      <c r="AG352" s="68"/>
      <c r="AH352" s="68"/>
      <c r="AI352" s="68"/>
      <c r="AJ352" s="68"/>
      <c r="AK352" s="68"/>
      <c r="AL352" s="68"/>
      <c r="AM352" s="68"/>
      <c r="AN352" s="68"/>
      <c r="AO352" s="68"/>
      <c r="AP352" s="68"/>
      <c r="AQ352" s="68"/>
      <c r="AR352" s="68"/>
    </row>
    <row r="353" ht="15.75" customHeight="1">
      <c r="A353" s="64"/>
      <c r="B353" s="64"/>
      <c r="D353" s="65"/>
      <c r="F353" s="65"/>
      <c r="G353" s="66"/>
      <c r="H353" s="65"/>
      <c r="I353" s="65"/>
      <c r="J353" s="65"/>
      <c r="K353" s="65"/>
      <c r="L353" s="67"/>
      <c r="M353" s="65"/>
      <c r="N353" s="65"/>
      <c r="O353" s="65"/>
      <c r="P353" s="65"/>
      <c r="Q353" s="65"/>
      <c r="R353" s="65"/>
      <c r="S353" s="65"/>
      <c r="T353" s="65"/>
      <c r="V353" s="68"/>
      <c r="X353" s="68"/>
      <c r="Y353" s="69"/>
      <c r="Z353" s="68"/>
      <c r="AA353" s="68"/>
      <c r="AB353" s="68"/>
      <c r="AC353" s="68"/>
      <c r="AD353" s="68"/>
      <c r="AE353" s="68"/>
      <c r="AF353" s="68"/>
      <c r="AG353" s="68"/>
      <c r="AH353" s="68"/>
      <c r="AI353" s="68"/>
      <c r="AJ353" s="68"/>
      <c r="AK353" s="68"/>
      <c r="AL353" s="68"/>
      <c r="AM353" s="68"/>
      <c r="AN353" s="68"/>
      <c r="AO353" s="68"/>
      <c r="AP353" s="68"/>
      <c r="AQ353" s="68"/>
      <c r="AR353" s="68"/>
    </row>
    <row r="354" ht="15.75" customHeight="1">
      <c r="A354" s="64"/>
      <c r="B354" s="64"/>
      <c r="D354" s="65"/>
      <c r="F354" s="65"/>
      <c r="G354" s="66"/>
      <c r="H354" s="65"/>
      <c r="I354" s="65"/>
      <c r="J354" s="65"/>
      <c r="K354" s="65"/>
      <c r="L354" s="67"/>
      <c r="M354" s="65"/>
      <c r="N354" s="65"/>
      <c r="O354" s="65"/>
      <c r="P354" s="65"/>
      <c r="Q354" s="65"/>
      <c r="R354" s="65"/>
      <c r="S354" s="65"/>
      <c r="T354" s="65"/>
      <c r="V354" s="68"/>
      <c r="X354" s="68"/>
      <c r="Y354" s="69"/>
      <c r="Z354" s="68"/>
      <c r="AA354" s="68"/>
      <c r="AB354" s="68"/>
      <c r="AC354" s="68"/>
      <c r="AD354" s="68"/>
      <c r="AE354" s="68"/>
      <c r="AF354" s="68"/>
      <c r="AG354" s="68"/>
      <c r="AH354" s="68"/>
      <c r="AI354" s="68"/>
      <c r="AJ354" s="68"/>
      <c r="AK354" s="68"/>
      <c r="AL354" s="68"/>
      <c r="AM354" s="68"/>
      <c r="AN354" s="68"/>
      <c r="AO354" s="68"/>
      <c r="AP354" s="68"/>
      <c r="AQ354" s="68"/>
      <c r="AR354" s="68"/>
    </row>
    <row r="355" ht="15.75" customHeight="1">
      <c r="A355" s="64"/>
      <c r="B355" s="64"/>
      <c r="D355" s="65"/>
      <c r="F355" s="65"/>
      <c r="G355" s="66"/>
      <c r="H355" s="65"/>
      <c r="I355" s="65"/>
      <c r="J355" s="65"/>
      <c r="K355" s="65"/>
      <c r="L355" s="67"/>
      <c r="M355" s="65"/>
      <c r="N355" s="65"/>
      <c r="O355" s="65"/>
      <c r="P355" s="65"/>
      <c r="Q355" s="65"/>
      <c r="R355" s="65"/>
      <c r="S355" s="65"/>
      <c r="T355" s="65"/>
      <c r="V355" s="68"/>
      <c r="X355" s="68"/>
      <c r="Y355" s="69"/>
      <c r="Z355" s="68"/>
      <c r="AA355" s="68"/>
      <c r="AB355" s="68"/>
      <c r="AC355" s="68"/>
      <c r="AD355" s="68"/>
      <c r="AE355" s="68"/>
      <c r="AF355" s="68"/>
      <c r="AG355" s="68"/>
      <c r="AH355" s="68"/>
      <c r="AI355" s="68"/>
      <c r="AJ355" s="68"/>
      <c r="AK355" s="68"/>
      <c r="AL355" s="68"/>
      <c r="AM355" s="68"/>
      <c r="AN355" s="68"/>
      <c r="AO355" s="68"/>
      <c r="AP355" s="68"/>
      <c r="AQ355" s="68"/>
      <c r="AR355" s="68"/>
    </row>
    <row r="356" ht="15.75" customHeight="1">
      <c r="A356" s="64"/>
      <c r="B356" s="64"/>
      <c r="D356" s="65"/>
      <c r="F356" s="65"/>
      <c r="G356" s="66"/>
      <c r="H356" s="65"/>
      <c r="I356" s="65"/>
      <c r="J356" s="65"/>
      <c r="K356" s="65"/>
      <c r="L356" s="67"/>
      <c r="M356" s="65"/>
      <c r="N356" s="65"/>
      <c r="O356" s="65"/>
      <c r="P356" s="65"/>
      <c r="Q356" s="65"/>
      <c r="R356" s="65"/>
      <c r="S356" s="65"/>
      <c r="T356" s="65"/>
      <c r="V356" s="68"/>
      <c r="X356" s="68"/>
      <c r="Y356" s="69"/>
      <c r="Z356" s="68"/>
      <c r="AA356" s="68"/>
      <c r="AB356" s="68"/>
      <c r="AC356" s="68"/>
      <c r="AD356" s="68"/>
      <c r="AE356" s="68"/>
      <c r="AF356" s="68"/>
      <c r="AG356" s="68"/>
      <c r="AH356" s="68"/>
      <c r="AI356" s="68"/>
      <c r="AJ356" s="68"/>
      <c r="AK356" s="68"/>
      <c r="AL356" s="68"/>
      <c r="AM356" s="68"/>
      <c r="AN356" s="68"/>
      <c r="AO356" s="68"/>
      <c r="AP356" s="68"/>
      <c r="AQ356" s="68"/>
      <c r="AR356" s="68"/>
    </row>
    <row r="357" ht="15.75" customHeight="1">
      <c r="A357" s="64"/>
      <c r="B357" s="64"/>
      <c r="D357" s="65"/>
      <c r="F357" s="65"/>
      <c r="G357" s="66"/>
      <c r="H357" s="65"/>
      <c r="I357" s="65"/>
      <c r="J357" s="65"/>
      <c r="K357" s="65"/>
      <c r="L357" s="67"/>
      <c r="M357" s="65"/>
      <c r="N357" s="65"/>
      <c r="O357" s="65"/>
      <c r="P357" s="65"/>
      <c r="Q357" s="65"/>
      <c r="R357" s="65"/>
      <c r="S357" s="65"/>
      <c r="T357" s="65"/>
      <c r="V357" s="68"/>
      <c r="X357" s="68"/>
      <c r="Y357" s="69"/>
      <c r="Z357" s="68"/>
      <c r="AA357" s="68"/>
      <c r="AB357" s="68"/>
      <c r="AC357" s="68"/>
      <c r="AD357" s="68"/>
      <c r="AE357" s="68"/>
      <c r="AF357" s="68"/>
      <c r="AG357" s="68"/>
      <c r="AH357" s="68"/>
      <c r="AI357" s="68"/>
      <c r="AJ357" s="68"/>
      <c r="AK357" s="68"/>
      <c r="AL357" s="68"/>
      <c r="AM357" s="68"/>
      <c r="AN357" s="68"/>
      <c r="AO357" s="68"/>
      <c r="AP357" s="68"/>
      <c r="AQ357" s="68"/>
      <c r="AR357" s="68"/>
    </row>
    <row r="358" ht="15.75" customHeight="1">
      <c r="A358" s="64"/>
      <c r="B358" s="64"/>
      <c r="D358" s="65"/>
      <c r="F358" s="65"/>
      <c r="G358" s="66"/>
      <c r="H358" s="65"/>
      <c r="I358" s="65"/>
      <c r="J358" s="65"/>
      <c r="K358" s="65"/>
      <c r="L358" s="67"/>
      <c r="M358" s="65"/>
      <c r="N358" s="65"/>
      <c r="O358" s="65"/>
      <c r="P358" s="65"/>
      <c r="Q358" s="65"/>
      <c r="R358" s="65"/>
      <c r="S358" s="65"/>
      <c r="T358" s="65"/>
      <c r="V358" s="68"/>
      <c r="X358" s="68"/>
      <c r="Y358" s="69"/>
      <c r="Z358" s="68"/>
      <c r="AA358" s="68"/>
      <c r="AB358" s="68"/>
      <c r="AC358" s="68"/>
      <c r="AD358" s="68"/>
      <c r="AE358" s="68"/>
      <c r="AF358" s="68"/>
      <c r="AG358" s="68"/>
      <c r="AH358" s="68"/>
      <c r="AI358" s="68"/>
      <c r="AJ358" s="68"/>
      <c r="AK358" s="68"/>
      <c r="AL358" s="68"/>
      <c r="AM358" s="68"/>
      <c r="AN358" s="68"/>
      <c r="AO358" s="68"/>
      <c r="AP358" s="68"/>
      <c r="AQ358" s="68"/>
      <c r="AR358" s="68"/>
    </row>
    <row r="359" ht="15.75" customHeight="1">
      <c r="A359" s="64"/>
      <c r="B359" s="64"/>
      <c r="D359" s="65"/>
      <c r="F359" s="65"/>
      <c r="G359" s="66"/>
      <c r="H359" s="65"/>
      <c r="I359" s="65"/>
      <c r="J359" s="65"/>
      <c r="K359" s="65"/>
      <c r="L359" s="67"/>
      <c r="M359" s="65"/>
      <c r="N359" s="65"/>
      <c r="O359" s="65"/>
      <c r="P359" s="65"/>
      <c r="Q359" s="65"/>
      <c r="R359" s="65"/>
      <c r="S359" s="65"/>
      <c r="T359" s="65"/>
      <c r="V359" s="68"/>
      <c r="X359" s="68"/>
      <c r="Y359" s="69"/>
      <c r="Z359" s="68"/>
      <c r="AA359" s="68"/>
      <c r="AB359" s="68"/>
      <c r="AC359" s="68"/>
      <c r="AD359" s="68"/>
      <c r="AE359" s="68"/>
      <c r="AF359" s="68"/>
      <c r="AG359" s="68"/>
      <c r="AH359" s="68"/>
      <c r="AI359" s="68"/>
      <c r="AJ359" s="68"/>
      <c r="AK359" s="68"/>
      <c r="AL359" s="68"/>
      <c r="AM359" s="68"/>
      <c r="AN359" s="68"/>
      <c r="AO359" s="68"/>
      <c r="AP359" s="68"/>
      <c r="AQ359" s="68"/>
      <c r="AR359" s="68"/>
    </row>
    <row r="360" ht="15.75" customHeight="1">
      <c r="A360" s="64"/>
      <c r="B360" s="64"/>
      <c r="D360" s="65"/>
      <c r="F360" s="65"/>
      <c r="G360" s="66"/>
      <c r="H360" s="65"/>
      <c r="I360" s="65"/>
      <c r="J360" s="65"/>
      <c r="K360" s="65"/>
      <c r="L360" s="67"/>
      <c r="M360" s="65"/>
      <c r="N360" s="65"/>
      <c r="O360" s="65"/>
      <c r="P360" s="65"/>
      <c r="Q360" s="65"/>
      <c r="R360" s="65"/>
      <c r="S360" s="65"/>
      <c r="T360" s="65"/>
      <c r="V360" s="68"/>
      <c r="X360" s="68"/>
      <c r="Y360" s="69"/>
      <c r="Z360" s="68"/>
      <c r="AA360" s="68"/>
      <c r="AB360" s="68"/>
      <c r="AC360" s="68"/>
      <c r="AD360" s="68"/>
      <c r="AE360" s="68"/>
      <c r="AF360" s="68"/>
      <c r="AG360" s="68"/>
      <c r="AH360" s="68"/>
      <c r="AI360" s="68"/>
      <c r="AJ360" s="68"/>
      <c r="AK360" s="68"/>
      <c r="AL360" s="68"/>
      <c r="AM360" s="68"/>
      <c r="AN360" s="68"/>
      <c r="AO360" s="68"/>
      <c r="AP360" s="68"/>
      <c r="AQ360" s="68"/>
      <c r="AR360" s="68"/>
    </row>
    <row r="361" ht="15.75" customHeight="1">
      <c r="A361" s="64"/>
      <c r="B361" s="64"/>
      <c r="D361" s="65"/>
      <c r="F361" s="65"/>
      <c r="G361" s="66"/>
      <c r="H361" s="65"/>
      <c r="I361" s="65"/>
      <c r="J361" s="65"/>
      <c r="K361" s="65"/>
      <c r="L361" s="67"/>
      <c r="M361" s="65"/>
      <c r="N361" s="65"/>
      <c r="O361" s="65"/>
      <c r="P361" s="65"/>
      <c r="Q361" s="65"/>
      <c r="R361" s="65"/>
      <c r="S361" s="65"/>
      <c r="T361" s="65"/>
      <c r="V361" s="68"/>
      <c r="X361" s="68"/>
      <c r="Y361" s="69"/>
      <c r="Z361" s="68"/>
      <c r="AA361" s="68"/>
      <c r="AB361" s="68"/>
      <c r="AC361" s="68"/>
      <c r="AD361" s="68"/>
      <c r="AE361" s="68"/>
      <c r="AF361" s="68"/>
      <c r="AG361" s="68"/>
      <c r="AH361" s="68"/>
      <c r="AI361" s="68"/>
      <c r="AJ361" s="68"/>
      <c r="AK361" s="68"/>
      <c r="AL361" s="68"/>
      <c r="AM361" s="68"/>
      <c r="AN361" s="68"/>
      <c r="AO361" s="68"/>
      <c r="AP361" s="68"/>
      <c r="AQ361" s="68"/>
      <c r="AR361" s="68"/>
    </row>
    <row r="362" ht="15.75" customHeight="1">
      <c r="A362" s="64"/>
      <c r="B362" s="64"/>
      <c r="D362" s="65"/>
      <c r="F362" s="65"/>
      <c r="G362" s="66"/>
      <c r="H362" s="65"/>
      <c r="I362" s="65"/>
      <c r="J362" s="65"/>
      <c r="K362" s="65"/>
      <c r="L362" s="67"/>
      <c r="M362" s="65"/>
      <c r="N362" s="65"/>
      <c r="O362" s="65"/>
      <c r="P362" s="65"/>
      <c r="Q362" s="65"/>
      <c r="R362" s="65"/>
      <c r="S362" s="65"/>
      <c r="T362" s="65"/>
      <c r="V362" s="68"/>
      <c r="X362" s="68"/>
      <c r="Y362" s="69"/>
      <c r="Z362" s="68"/>
      <c r="AA362" s="68"/>
      <c r="AB362" s="68"/>
      <c r="AC362" s="68"/>
      <c r="AD362" s="68"/>
      <c r="AE362" s="68"/>
      <c r="AF362" s="68"/>
      <c r="AG362" s="68"/>
      <c r="AH362" s="68"/>
      <c r="AI362" s="68"/>
      <c r="AJ362" s="68"/>
      <c r="AK362" s="68"/>
      <c r="AL362" s="68"/>
      <c r="AM362" s="68"/>
      <c r="AN362" s="68"/>
      <c r="AO362" s="68"/>
      <c r="AP362" s="68"/>
      <c r="AQ362" s="68"/>
      <c r="AR362" s="68"/>
    </row>
    <row r="363" ht="15.75" customHeight="1">
      <c r="A363" s="64"/>
      <c r="B363" s="64"/>
      <c r="D363" s="65"/>
      <c r="F363" s="65"/>
      <c r="G363" s="66"/>
      <c r="H363" s="65"/>
      <c r="I363" s="65"/>
      <c r="J363" s="65"/>
      <c r="K363" s="65"/>
      <c r="L363" s="67"/>
      <c r="M363" s="65"/>
      <c r="N363" s="65"/>
      <c r="O363" s="65"/>
      <c r="P363" s="65"/>
      <c r="Q363" s="65"/>
      <c r="R363" s="65"/>
      <c r="S363" s="65"/>
      <c r="T363" s="65"/>
      <c r="V363" s="68"/>
      <c r="X363" s="68"/>
      <c r="Y363" s="69"/>
      <c r="Z363" s="68"/>
      <c r="AA363" s="68"/>
      <c r="AB363" s="68"/>
      <c r="AC363" s="68"/>
      <c r="AD363" s="68"/>
      <c r="AE363" s="68"/>
      <c r="AF363" s="68"/>
      <c r="AG363" s="68"/>
      <c r="AH363" s="68"/>
      <c r="AI363" s="68"/>
      <c r="AJ363" s="68"/>
      <c r="AK363" s="68"/>
      <c r="AL363" s="68"/>
      <c r="AM363" s="68"/>
      <c r="AN363" s="68"/>
      <c r="AO363" s="68"/>
      <c r="AP363" s="68"/>
      <c r="AQ363" s="68"/>
      <c r="AR363" s="68"/>
    </row>
    <row r="364" ht="15.75" customHeight="1">
      <c r="A364" s="64"/>
      <c r="B364" s="64"/>
      <c r="D364" s="65"/>
      <c r="F364" s="65"/>
      <c r="G364" s="66"/>
      <c r="H364" s="65"/>
      <c r="I364" s="65"/>
      <c r="J364" s="65"/>
      <c r="K364" s="65"/>
      <c r="L364" s="67"/>
      <c r="M364" s="65"/>
      <c r="N364" s="65"/>
      <c r="O364" s="65"/>
      <c r="P364" s="65"/>
      <c r="Q364" s="65"/>
      <c r="R364" s="65"/>
      <c r="S364" s="65"/>
      <c r="T364" s="65"/>
      <c r="V364" s="68"/>
      <c r="X364" s="68"/>
      <c r="Y364" s="69"/>
      <c r="Z364" s="68"/>
      <c r="AA364" s="68"/>
      <c r="AB364" s="68"/>
      <c r="AC364" s="68"/>
      <c r="AD364" s="68"/>
      <c r="AE364" s="68"/>
      <c r="AF364" s="68"/>
      <c r="AG364" s="68"/>
      <c r="AH364" s="68"/>
      <c r="AI364" s="68"/>
      <c r="AJ364" s="68"/>
      <c r="AK364" s="68"/>
      <c r="AL364" s="68"/>
      <c r="AM364" s="68"/>
      <c r="AN364" s="68"/>
      <c r="AO364" s="68"/>
      <c r="AP364" s="68"/>
      <c r="AQ364" s="68"/>
      <c r="AR364" s="68"/>
    </row>
    <row r="365" ht="15.75" customHeight="1">
      <c r="A365" s="64"/>
      <c r="B365" s="64"/>
      <c r="D365" s="65"/>
      <c r="F365" s="65"/>
      <c r="G365" s="66"/>
      <c r="H365" s="65"/>
      <c r="I365" s="65"/>
      <c r="J365" s="65"/>
      <c r="K365" s="65"/>
      <c r="L365" s="67"/>
      <c r="M365" s="65"/>
      <c r="N365" s="65"/>
      <c r="O365" s="65"/>
      <c r="P365" s="65"/>
      <c r="Q365" s="65"/>
      <c r="R365" s="65"/>
      <c r="S365" s="65"/>
      <c r="T365" s="65"/>
      <c r="V365" s="68"/>
      <c r="X365" s="68"/>
      <c r="Y365" s="69"/>
      <c r="Z365" s="68"/>
      <c r="AA365" s="68"/>
      <c r="AB365" s="68"/>
      <c r="AC365" s="68"/>
      <c r="AD365" s="68"/>
      <c r="AE365" s="68"/>
      <c r="AF365" s="68"/>
      <c r="AG365" s="68"/>
      <c r="AH365" s="68"/>
      <c r="AI365" s="68"/>
      <c r="AJ365" s="68"/>
      <c r="AK365" s="68"/>
      <c r="AL365" s="68"/>
      <c r="AM365" s="68"/>
      <c r="AN365" s="68"/>
      <c r="AO365" s="68"/>
      <c r="AP365" s="68"/>
      <c r="AQ365" s="68"/>
      <c r="AR365" s="68"/>
    </row>
    <row r="366" ht="15.75" customHeight="1">
      <c r="A366" s="64"/>
      <c r="B366" s="64"/>
      <c r="D366" s="65"/>
      <c r="F366" s="65"/>
      <c r="G366" s="66"/>
      <c r="H366" s="65"/>
      <c r="I366" s="65"/>
      <c r="J366" s="65"/>
      <c r="K366" s="65"/>
      <c r="L366" s="67"/>
      <c r="M366" s="65"/>
      <c r="N366" s="65"/>
      <c r="O366" s="65"/>
      <c r="P366" s="65"/>
      <c r="Q366" s="65"/>
      <c r="R366" s="65"/>
      <c r="S366" s="65"/>
      <c r="T366" s="65"/>
      <c r="V366" s="68"/>
      <c r="X366" s="68"/>
      <c r="Y366" s="69"/>
      <c r="Z366" s="68"/>
      <c r="AA366" s="68"/>
      <c r="AB366" s="68"/>
      <c r="AC366" s="68"/>
      <c r="AD366" s="68"/>
      <c r="AE366" s="68"/>
      <c r="AF366" s="68"/>
      <c r="AG366" s="68"/>
      <c r="AH366" s="68"/>
      <c r="AI366" s="68"/>
      <c r="AJ366" s="68"/>
      <c r="AK366" s="68"/>
      <c r="AL366" s="68"/>
      <c r="AM366" s="68"/>
      <c r="AN366" s="68"/>
      <c r="AO366" s="68"/>
      <c r="AP366" s="68"/>
      <c r="AQ366" s="68"/>
      <c r="AR366" s="68"/>
    </row>
    <row r="367" ht="15.75" customHeight="1">
      <c r="A367" s="64"/>
      <c r="B367" s="64"/>
      <c r="D367" s="65"/>
      <c r="F367" s="65"/>
      <c r="G367" s="66"/>
      <c r="H367" s="65"/>
      <c r="I367" s="65"/>
      <c r="J367" s="65"/>
      <c r="K367" s="65"/>
      <c r="L367" s="67"/>
      <c r="M367" s="65"/>
      <c r="N367" s="65"/>
      <c r="O367" s="65"/>
      <c r="P367" s="65"/>
      <c r="Q367" s="65"/>
      <c r="R367" s="65"/>
      <c r="S367" s="65"/>
      <c r="T367" s="65"/>
      <c r="V367" s="68"/>
      <c r="X367" s="68"/>
      <c r="Y367" s="69"/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  <c r="AJ367" s="68"/>
      <c r="AK367" s="68"/>
      <c r="AL367" s="68"/>
      <c r="AM367" s="68"/>
      <c r="AN367" s="68"/>
      <c r="AO367" s="68"/>
      <c r="AP367" s="68"/>
      <c r="AQ367" s="68"/>
      <c r="AR367" s="68"/>
    </row>
    <row r="368" ht="15.75" customHeight="1">
      <c r="A368" s="64"/>
      <c r="B368" s="64"/>
      <c r="D368" s="65"/>
      <c r="F368" s="65"/>
      <c r="G368" s="66"/>
      <c r="H368" s="65"/>
      <c r="I368" s="65"/>
      <c r="J368" s="65"/>
      <c r="K368" s="65"/>
      <c r="L368" s="67"/>
      <c r="M368" s="65"/>
      <c r="N368" s="65"/>
      <c r="O368" s="65"/>
      <c r="P368" s="65"/>
      <c r="Q368" s="65"/>
      <c r="R368" s="65"/>
      <c r="S368" s="65"/>
      <c r="T368" s="65"/>
      <c r="V368" s="68"/>
      <c r="X368" s="68"/>
      <c r="Y368" s="69"/>
      <c r="Z368" s="68"/>
      <c r="AA368" s="68"/>
      <c r="AB368" s="68"/>
      <c r="AC368" s="68"/>
      <c r="AD368" s="68"/>
      <c r="AE368" s="68"/>
      <c r="AF368" s="68"/>
      <c r="AG368" s="68"/>
      <c r="AH368" s="68"/>
      <c r="AI368" s="68"/>
      <c r="AJ368" s="68"/>
      <c r="AK368" s="68"/>
      <c r="AL368" s="68"/>
      <c r="AM368" s="68"/>
      <c r="AN368" s="68"/>
      <c r="AO368" s="68"/>
      <c r="AP368" s="68"/>
      <c r="AQ368" s="68"/>
      <c r="AR368" s="68"/>
    </row>
    <row r="369" ht="15.75" customHeight="1">
      <c r="A369" s="64"/>
      <c r="B369" s="64"/>
      <c r="D369" s="65"/>
      <c r="F369" s="65"/>
      <c r="G369" s="66"/>
      <c r="H369" s="65"/>
      <c r="I369" s="65"/>
      <c r="J369" s="65"/>
      <c r="K369" s="65"/>
      <c r="L369" s="67"/>
      <c r="M369" s="65"/>
      <c r="N369" s="65"/>
      <c r="O369" s="65"/>
      <c r="P369" s="65"/>
      <c r="Q369" s="65"/>
      <c r="R369" s="65"/>
      <c r="S369" s="65"/>
      <c r="T369" s="65"/>
      <c r="V369" s="68"/>
      <c r="X369" s="68"/>
      <c r="Y369" s="69"/>
      <c r="Z369" s="68"/>
      <c r="AA369" s="68"/>
      <c r="AB369" s="68"/>
      <c r="AC369" s="68"/>
      <c r="AD369" s="68"/>
      <c r="AE369" s="68"/>
      <c r="AF369" s="68"/>
      <c r="AG369" s="68"/>
      <c r="AH369" s="68"/>
      <c r="AI369" s="68"/>
      <c r="AJ369" s="68"/>
      <c r="AK369" s="68"/>
      <c r="AL369" s="68"/>
      <c r="AM369" s="68"/>
      <c r="AN369" s="68"/>
      <c r="AO369" s="68"/>
      <c r="AP369" s="68"/>
      <c r="AQ369" s="68"/>
      <c r="AR369" s="68"/>
    </row>
    <row r="370" ht="15.75" customHeight="1">
      <c r="A370" s="64"/>
      <c r="B370" s="64"/>
      <c r="D370" s="65"/>
      <c r="F370" s="65"/>
      <c r="G370" s="66"/>
      <c r="H370" s="65"/>
      <c r="I370" s="65"/>
      <c r="J370" s="65"/>
      <c r="K370" s="65"/>
      <c r="L370" s="67"/>
      <c r="M370" s="65"/>
      <c r="N370" s="65"/>
      <c r="O370" s="65"/>
      <c r="P370" s="65"/>
      <c r="Q370" s="65"/>
      <c r="R370" s="65"/>
      <c r="S370" s="65"/>
      <c r="T370" s="65"/>
      <c r="V370" s="68"/>
      <c r="X370" s="68"/>
      <c r="Y370" s="69"/>
      <c r="Z370" s="68"/>
      <c r="AA370" s="68"/>
      <c r="AB370" s="68"/>
      <c r="AC370" s="68"/>
      <c r="AD370" s="68"/>
      <c r="AE370" s="68"/>
      <c r="AF370" s="68"/>
      <c r="AG370" s="68"/>
      <c r="AH370" s="68"/>
      <c r="AI370" s="68"/>
      <c r="AJ370" s="68"/>
      <c r="AK370" s="68"/>
      <c r="AL370" s="68"/>
      <c r="AM370" s="68"/>
      <c r="AN370" s="68"/>
      <c r="AO370" s="68"/>
      <c r="AP370" s="68"/>
      <c r="AQ370" s="68"/>
      <c r="AR370" s="68"/>
    </row>
    <row r="371" ht="15.75" customHeight="1">
      <c r="A371" s="64"/>
      <c r="B371" s="64"/>
      <c r="D371" s="65"/>
      <c r="F371" s="65"/>
      <c r="G371" s="66"/>
      <c r="H371" s="65"/>
      <c r="I371" s="65"/>
      <c r="J371" s="65"/>
      <c r="K371" s="65"/>
      <c r="L371" s="67"/>
      <c r="M371" s="65"/>
      <c r="N371" s="65"/>
      <c r="O371" s="65"/>
      <c r="P371" s="65"/>
      <c r="Q371" s="65"/>
      <c r="R371" s="65"/>
      <c r="S371" s="65"/>
      <c r="T371" s="65"/>
      <c r="V371" s="68"/>
      <c r="X371" s="68"/>
      <c r="Y371" s="69"/>
      <c r="Z371" s="68"/>
      <c r="AA371" s="68"/>
      <c r="AB371" s="68"/>
      <c r="AC371" s="68"/>
      <c r="AD371" s="68"/>
      <c r="AE371" s="68"/>
      <c r="AF371" s="68"/>
      <c r="AG371" s="68"/>
      <c r="AH371" s="68"/>
      <c r="AI371" s="68"/>
      <c r="AJ371" s="68"/>
      <c r="AK371" s="68"/>
      <c r="AL371" s="68"/>
      <c r="AM371" s="68"/>
      <c r="AN371" s="68"/>
      <c r="AO371" s="68"/>
      <c r="AP371" s="68"/>
      <c r="AQ371" s="68"/>
      <c r="AR371" s="68"/>
    </row>
    <row r="372" ht="15.75" customHeight="1">
      <c r="A372" s="64"/>
      <c r="B372" s="64"/>
      <c r="D372" s="65"/>
      <c r="F372" s="65"/>
      <c r="G372" s="66"/>
      <c r="H372" s="65"/>
      <c r="I372" s="65"/>
      <c r="J372" s="65"/>
      <c r="K372" s="65"/>
      <c r="L372" s="67"/>
      <c r="M372" s="65"/>
      <c r="N372" s="65"/>
      <c r="O372" s="65"/>
      <c r="P372" s="65"/>
      <c r="Q372" s="65"/>
      <c r="R372" s="65"/>
      <c r="S372" s="65"/>
      <c r="T372" s="65"/>
      <c r="V372" s="68"/>
      <c r="X372" s="68"/>
      <c r="Y372" s="69"/>
      <c r="Z372" s="68"/>
      <c r="AA372" s="68"/>
      <c r="AB372" s="68"/>
      <c r="AC372" s="68"/>
      <c r="AD372" s="68"/>
      <c r="AE372" s="68"/>
      <c r="AF372" s="68"/>
      <c r="AG372" s="68"/>
      <c r="AH372" s="68"/>
      <c r="AI372" s="68"/>
      <c r="AJ372" s="68"/>
      <c r="AK372" s="68"/>
      <c r="AL372" s="68"/>
      <c r="AM372" s="68"/>
      <c r="AN372" s="68"/>
      <c r="AO372" s="68"/>
      <c r="AP372" s="68"/>
      <c r="AQ372" s="68"/>
      <c r="AR372" s="68"/>
    </row>
    <row r="373" ht="15.75" customHeight="1">
      <c r="A373" s="64"/>
      <c r="B373" s="64"/>
      <c r="D373" s="65"/>
      <c r="F373" s="65"/>
      <c r="G373" s="66"/>
      <c r="H373" s="65"/>
      <c r="I373" s="65"/>
      <c r="J373" s="65"/>
      <c r="K373" s="65"/>
      <c r="L373" s="67"/>
      <c r="M373" s="65"/>
      <c r="N373" s="65"/>
      <c r="O373" s="65"/>
      <c r="P373" s="65"/>
      <c r="Q373" s="65"/>
      <c r="R373" s="65"/>
      <c r="S373" s="65"/>
      <c r="T373" s="65"/>
      <c r="V373" s="68"/>
      <c r="X373" s="68"/>
      <c r="Y373" s="69"/>
      <c r="Z373" s="68"/>
      <c r="AA373" s="68"/>
      <c r="AB373" s="68"/>
      <c r="AC373" s="68"/>
      <c r="AD373" s="68"/>
      <c r="AE373" s="68"/>
      <c r="AF373" s="68"/>
      <c r="AG373" s="68"/>
      <c r="AH373" s="68"/>
      <c r="AI373" s="68"/>
      <c r="AJ373" s="68"/>
      <c r="AK373" s="68"/>
      <c r="AL373" s="68"/>
      <c r="AM373" s="68"/>
      <c r="AN373" s="68"/>
      <c r="AO373" s="68"/>
      <c r="AP373" s="68"/>
      <c r="AQ373" s="68"/>
      <c r="AR373" s="68"/>
    </row>
    <row r="374" ht="15.75" customHeight="1">
      <c r="A374" s="64"/>
      <c r="B374" s="64"/>
      <c r="D374" s="65"/>
      <c r="F374" s="65"/>
      <c r="G374" s="66"/>
      <c r="H374" s="65"/>
      <c r="I374" s="65"/>
      <c r="J374" s="65"/>
      <c r="K374" s="65"/>
      <c r="L374" s="67"/>
      <c r="M374" s="65"/>
      <c r="N374" s="65"/>
      <c r="O374" s="65"/>
      <c r="P374" s="65"/>
      <c r="Q374" s="65"/>
      <c r="R374" s="65"/>
      <c r="S374" s="65"/>
      <c r="T374" s="65"/>
      <c r="V374" s="68"/>
      <c r="X374" s="68"/>
      <c r="Y374" s="69"/>
      <c r="Z374" s="68"/>
      <c r="AA374" s="68"/>
      <c r="AB374" s="68"/>
      <c r="AC374" s="68"/>
      <c r="AD374" s="68"/>
      <c r="AE374" s="68"/>
      <c r="AF374" s="68"/>
      <c r="AG374" s="68"/>
      <c r="AH374" s="68"/>
      <c r="AI374" s="68"/>
      <c r="AJ374" s="68"/>
      <c r="AK374" s="68"/>
      <c r="AL374" s="68"/>
      <c r="AM374" s="68"/>
      <c r="AN374" s="68"/>
      <c r="AO374" s="68"/>
      <c r="AP374" s="68"/>
      <c r="AQ374" s="68"/>
      <c r="AR374" s="68"/>
    </row>
    <row r="375" ht="15.75" customHeight="1">
      <c r="A375" s="64"/>
      <c r="B375" s="64"/>
      <c r="D375" s="65"/>
      <c r="F375" s="65"/>
      <c r="G375" s="66"/>
      <c r="H375" s="65"/>
      <c r="I375" s="65"/>
      <c r="J375" s="65"/>
      <c r="K375" s="65"/>
      <c r="L375" s="67"/>
      <c r="M375" s="65"/>
      <c r="N375" s="65"/>
      <c r="O375" s="65"/>
      <c r="P375" s="65"/>
      <c r="Q375" s="65"/>
      <c r="R375" s="65"/>
      <c r="S375" s="65"/>
      <c r="T375" s="65"/>
      <c r="V375" s="68"/>
      <c r="X375" s="68"/>
      <c r="Y375" s="69"/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  <c r="AJ375" s="68"/>
      <c r="AK375" s="68"/>
      <c r="AL375" s="68"/>
      <c r="AM375" s="68"/>
      <c r="AN375" s="68"/>
      <c r="AO375" s="68"/>
      <c r="AP375" s="68"/>
      <c r="AQ375" s="68"/>
      <c r="AR375" s="68"/>
    </row>
    <row r="376" ht="15.75" customHeight="1">
      <c r="A376" s="64"/>
      <c r="B376" s="64"/>
      <c r="D376" s="65"/>
      <c r="F376" s="65"/>
      <c r="G376" s="66"/>
      <c r="H376" s="65"/>
      <c r="I376" s="65"/>
      <c r="J376" s="65"/>
      <c r="K376" s="65"/>
      <c r="L376" s="67"/>
      <c r="M376" s="65"/>
      <c r="N376" s="65"/>
      <c r="O376" s="65"/>
      <c r="P376" s="65"/>
      <c r="Q376" s="65"/>
      <c r="R376" s="65"/>
      <c r="S376" s="65"/>
      <c r="T376" s="65"/>
      <c r="V376" s="68"/>
      <c r="X376" s="68"/>
      <c r="Y376" s="69"/>
      <c r="Z376" s="68"/>
      <c r="AA376" s="68"/>
      <c r="AB376" s="68"/>
      <c r="AC376" s="68"/>
      <c r="AD376" s="68"/>
      <c r="AE376" s="68"/>
      <c r="AF376" s="68"/>
      <c r="AG376" s="68"/>
      <c r="AH376" s="68"/>
      <c r="AI376" s="68"/>
      <c r="AJ376" s="68"/>
      <c r="AK376" s="68"/>
      <c r="AL376" s="68"/>
      <c r="AM376" s="68"/>
      <c r="AN376" s="68"/>
      <c r="AO376" s="68"/>
      <c r="AP376" s="68"/>
      <c r="AQ376" s="68"/>
      <c r="AR376" s="68"/>
    </row>
    <row r="377" ht="15.75" customHeight="1">
      <c r="A377" s="64"/>
      <c r="B377" s="64"/>
      <c r="D377" s="65"/>
      <c r="F377" s="65"/>
      <c r="G377" s="66"/>
      <c r="H377" s="65"/>
      <c r="I377" s="65"/>
      <c r="J377" s="65"/>
      <c r="K377" s="65"/>
      <c r="L377" s="67"/>
      <c r="M377" s="65"/>
      <c r="N377" s="65"/>
      <c r="O377" s="65"/>
      <c r="P377" s="65"/>
      <c r="Q377" s="65"/>
      <c r="R377" s="65"/>
      <c r="S377" s="65"/>
      <c r="T377" s="65"/>
      <c r="V377" s="68"/>
      <c r="X377" s="68"/>
      <c r="Y377" s="69"/>
      <c r="Z377" s="68"/>
      <c r="AA377" s="68"/>
      <c r="AB377" s="68"/>
      <c r="AC377" s="68"/>
      <c r="AD377" s="68"/>
      <c r="AE377" s="68"/>
      <c r="AF377" s="68"/>
      <c r="AG377" s="68"/>
      <c r="AH377" s="68"/>
      <c r="AI377" s="68"/>
      <c r="AJ377" s="68"/>
      <c r="AK377" s="68"/>
      <c r="AL377" s="68"/>
      <c r="AM377" s="68"/>
      <c r="AN377" s="68"/>
      <c r="AO377" s="68"/>
      <c r="AP377" s="68"/>
      <c r="AQ377" s="68"/>
      <c r="AR377" s="68"/>
    </row>
    <row r="378" ht="15.75" customHeight="1">
      <c r="A378" s="64"/>
      <c r="B378" s="64"/>
      <c r="D378" s="65"/>
      <c r="F378" s="65"/>
      <c r="G378" s="66"/>
      <c r="H378" s="65"/>
      <c r="I378" s="65"/>
      <c r="J378" s="65"/>
      <c r="K378" s="65"/>
      <c r="L378" s="67"/>
      <c r="M378" s="65"/>
      <c r="N378" s="65"/>
      <c r="O378" s="65"/>
      <c r="P378" s="65"/>
      <c r="Q378" s="65"/>
      <c r="R378" s="65"/>
      <c r="S378" s="65"/>
      <c r="T378" s="65"/>
      <c r="V378" s="68"/>
      <c r="X378" s="68"/>
      <c r="Y378" s="69"/>
      <c r="Z378" s="68"/>
      <c r="AA378" s="68"/>
      <c r="AB378" s="68"/>
      <c r="AC378" s="68"/>
      <c r="AD378" s="68"/>
      <c r="AE378" s="68"/>
      <c r="AF378" s="68"/>
      <c r="AG378" s="68"/>
      <c r="AH378" s="68"/>
      <c r="AI378" s="68"/>
      <c r="AJ378" s="68"/>
      <c r="AK378" s="68"/>
      <c r="AL378" s="68"/>
      <c r="AM378" s="68"/>
      <c r="AN378" s="68"/>
      <c r="AO378" s="68"/>
      <c r="AP378" s="68"/>
      <c r="AQ378" s="68"/>
      <c r="AR378" s="68"/>
    </row>
    <row r="379" ht="15.75" customHeight="1">
      <c r="A379" s="64"/>
      <c r="B379" s="64"/>
      <c r="D379" s="65"/>
      <c r="F379" s="65"/>
      <c r="G379" s="66"/>
      <c r="H379" s="65"/>
      <c r="I379" s="65"/>
      <c r="J379" s="65"/>
      <c r="K379" s="65"/>
      <c r="L379" s="67"/>
      <c r="M379" s="65"/>
      <c r="N379" s="65"/>
      <c r="O379" s="65"/>
      <c r="P379" s="65"/>
      <c r="Q379" s="65"/>
      <c r="R379" s="65"/>
      <c r="S379" s="65"/>
      <c r="T379" s="65"/>
      <c r="V379" s="68"/>
      <c r="X379" s="68"/>
      <c r="Y379" s="69"/>
      <c r="Z379" s="68"/>
      <c r="AA379" s="68"/>
      <c r="AB379" s="68"/>
      <c r="AC379" s="68"/>
      <c r="AD379" s="68"/>
      <c r="AE379" s="68"/>
      <c r="AF379" s="68"/>
      <c r="AG379" s="68"/>
      <c r="AH379" s="68"/>
      <c r="AI379" s="68"/>
      <c r="AJ379" s="68"/>
      <c r="AK379" s="68"/>
      <c r="AL379" s="68"/>
      <c r="AM379" s="68"/>
      <c r="AN379" s="68"/>
      <c r="AO379" s="68"/>
      <c r="AP379" s="68"/>
      <c r="AQ379" s="68"/>
      <c r="AR379" s="68"/>
    </row>
    <row r="380" ht="15.75" customHeight="1">
      <c r="A380" s="64"/>
      <c r="B380" s="64"/>
      <c r="D380" s="65"/>
      <c r="F380" s="65"/>
      <c r="G380" s="66"/>
      <c r="H380" s="65"/>
      <c r="I380" s="65"/>
      <c r="J380" s="65"/>
      <c r="K380" s="65"/>
      <c r="L380" s="67"/>
      <c r="M380" s="65"/>
      <c r="N380" s="65"/>
      <c r="O380" s="65"/>
      <c r="P380" s="65"/>
      <c r="Q380" s="65"/>
      <c r="R380" s="65"/>
      <c r="S380" s="65"/>
      <c r="T380" s="65"/>
      <c r="V380" s="68"/>
      <c r="X380" s="68"/>
      <c r="Y380" s="69"/>
      <c r="Z380" s="68"/>
      <c r="AA380" s="68"/>
      <c r="AB380" s="68"/>
      <c r="AC380" s="68"/>
      <c r="AD380" s="68"/>
      <c r="AE380" s="68"/>
      <c r="AF380" s="68"/>
      <c r="AG380" s="68"/>
      <c r="AH380" s="68"/>
      <c r="AI380" s="68"/>
      <c r="AJ380" s="68"/>
      <c r="AK380" s="68"/>
      <c r="AL380" s="68"/>
      <c r="AM380" s="68"/>
      <c r="AN380" s="68"/>
      <c r="AO380" s="68"/>
      <c r="AP380" s="68"/>
      <c r="AQ380" s="68"/>
      <c r="AR380" s="68"/>
    </row>
    <row r="381" ht="15.75" customHeight="1">
      <c r="A381" s="64"/>
      <c r="B381" s="64"/>
      <c r="D381" s="65"/>
      <c r="F381" s="65"/>
      <c r="G381" s="66"/>
      <c r="H381" s="65"/>
      <c r="I381" s="65"/>
      <c r="J381" s="65"/>
      <c r="K381" s="65"/>
      <c r="L381" s="67"/>
      <c r="M381" s="65"/>
      <c r="N381" s="65"/>
      <c r="O381" s="65"/>
      <c r="P381" s="65"/>
      <c r="Q381" s="65"/>
      <c r="R381" s="65"/>
      <c r="S381" s="65"/>
      <c r="T381" s="65"/>
      <c r="V381" s="68"/>
      <c r="X381" s="68"/>
      <c r="Y381" s="69"/>
      <c r="Z381" s="68"/>
      <c r="AA381" s="68"/>
      <c r="AB381" s="68"/>
      <c r="AC381" s="68"/>
      <c r="AD381" s="68"/>
      <c r="AE381" s="68"/>
      <c r="AF381" s="68"/>
      <c r="AG381" s="68"/>
      <c r="AH381" s="68"/>
      <c r="AI381" s="68"/>
      <c r="AJ381" s="68"/>
      <c r="AK381" s="68"/>
      <c r="AL381" s="68"/>
      <c r="AM381" s="68"/>
      <c r="AN381" s="68"/>
      <c r="AO381" s="68"/>
      <c r="AP381" s="68"/>
      <c r="AQ381" s="68"/>
      <c r="AR381" s="68"/>
    </row>
    <row r="382" ht="15.75" customHeight="1">
      <c r="A382" s="64"/>
      <c r="B382" s="64"/>
      <c r="D382" s="65"/>
      <c r="F382" s="65"/>
      <c r="G382" s="66"/>
      <c r="H382" s="65"/>
      <c r="I382" s="65"/>
      <c r="J382" s="65"/>
      <c r="K382" s="65"/>
      <c r="L382" s="67"/>
      <c r="M382" s="65"/>
      <c r="N382" s="65"/>
      <c r="O382" s="65"/>
      <c r="P382" s="65"/>
      <c r="Q382" s="65"/>
      <c r="R382" s="65"/>
      <c r="S382" s="65"/>
      <c r="T382" s="65"/>
      <c r="V382" s="68"/>
      <c r="X382" s="68"/>
      <c r="Y382" s="69"/>
      <c r="Z382" s="68"/>
      <c r="AA382" s="68"/>
      <c r="AB382" s="68"/>
      <c r="AC382" s="68"/>
      <c r="AD382" s="68"/>
      <c r="AE382" s="68"/>
      <c r="AF382" s="68"/>
      <c r="AG382" s="68"/>
      <c r="AH382" s="68"/>
      <c r="AI382" s="68"/>
      <c r="AJ382" s="68"/>
      <c r="AK382" s="68"/>
      <c r="AL382" s="68"/>
      <c r="AM382" s="68"/>
      <c r="AN382" s="68"/>
      <c r="AO382" s="68"/>
      <c r="AP382" s="68"/>
      <c r="AQ382" s="68"/>
      <c r="AR382" s="68"/>
    </row>
    <row r="383" ht="15.75" customHeight="1">
      <c r="A383" s="64"/>
      <c r="B383" s="64"/>
      <c r="D383" s="65"/>
      <c r="F383" s="65"/>
      <c r="G383" s="66"/>
      <c r="H383" s="65"/>
      <c r="I383" s="65"/>
      <c r="J383" s="65"/>
      <c r="K383" s="65"/>
      <c r="L383" s="67"/>
      <c r="M383" s="65"/>
      <c r="N383" s="65"/>
      <c r="O383" s="65"/>
      <c r="P383" s="65"/>
      <c r="Q383" s="65"/>
      <c r="R383" s="65"/>
      <c r="S383" s="65"/>
      <c r="T383" s="65"/>
      <c r="V383" s="68"/>
      <c r="X383" s="68"/>
      <c r="Y383" s="69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</row>
    <row r="384" ht="15.75" customHeight="1">
      <c r="A384" s="64"/>
      <c r="B384" s="64"/>
      <c r="D384" s="65"/>
      <c r="F384" s="65"/>
      <c r="G384" s="66"/>
      <c r="H384" s="65"/>
      <c r="I384" s="65"/>
      <c r="J384" s="65"/>
      <c r="K384" s="65"/>
      <c r="L384" s="67"/>
      <c r="M384" s="65"/>
      <c r="N384" s="65"/>
      <c r="O384" s="65"/>
      <c r="P384" s="65"/>
      <c r="Q384" s="65"/>
      <c r="R384" s="65"/>
      <c r="S384" s="65"/>
      <c r="T384" s="65"/>
      <c r="V384" s="68"/>
      <c r="X384" s="68"/>
      <c r="Y384" s="69"/>
      <c r="Z384" s="68"/>
      <c r="AA384" s="68"/>
      <c r="AB384" s="68"/>
      <c r="AC384" s="68"/>
      <c r="AD384" s="68"/>
      <c r="AE384" s="68"/>
      <c r="AF384" s="68"/>
      <c r="AG384" s="68"/>
      <c r="AH384" s="68"/>
      <c r="AI384" s="68"/>
      <c r="AJ384" s="68"/>
      <c r="AK384" s="68"/>
      <c r="AL384" s="68"/>
      <c r="AM384" s="68"/>
      <c r="AN384" s="68"/>
      <c r="AO384" s="68"/>
      <c r="AP384" s="68"/>
      <c r="AQ384" s="68"/>
      <c r="AR384" s="68"/>
    </row>
    <row r="385" ht="15.75" customHeight="1">
      <c r="A385" s="64"/>
      <c r="B385" s="64"/>
      <c r="D385" s="65"/>
      <c r="F385" s="65"/>
      <c r="G385" s="66"/>
      <c r="H385" s="65"/>
      <c r="I385" s="65"/>
      <c r="J385" s="65"/>
      <c r="K385" s="65"/>
      <c r="L385" s="67"/>
      <c r="M385" s="65"/>
      <c r="N385" s="65"/>
      <c r="O385" s="65"/>
      <c r="P385" s="65"/>
      <c r="Q385" s="65"/>
      <c r="R385" s="65"/>
      <c r="S385" s="65"/>
      <c r="T385" s="65"/>
      <c r="V385" s="68"/>
      <c r="X385" s="68"/>
      <c r="Y385" s="69"/>
      <c r="Z385" s="68"/>
      <c r="AA385" s="68"/>
      <c r="AB385" s="68"/>
      <c r="AC385" s="68"/>
      <c r="AD385" s="68"/>
      <c r="AE385" s="68"/>
      <c r="AF385" s="68"/>
      <c r="AG385" s="68"/>
      <c r="AH385" s="68"/>
      <c r="AI385" s="68"/>
      <c r="AJ385" s="68"/>
      <c r="AK385" s="68"/>
      <c r="AL385" s="68"/>
      <c r="AM385" s="68"/>
      <c r="AN385" s="68"/>
      <c r="AO385" s="68"/>
      <c r="AP385" s="68"/>
      <c r="AQ385" s="68"/>
      <c r="AR385" s="68"/>
    </row>
    <row r="386" ht="15.75" customHeight="1">
      <c r="A386" s="64"/>
      <c r="B386" s="64"/>
      <c r="D386" s="65"/>
      <c r="F386" s="65"/>
      <c r="G386" s="66"/>
      <c r="H386" s="65"/>
      <c r="I386" s="65"/>
      <c r="J386" s="65"/>
      <c r="K386" s="65"/>
      <c r="L386" s="67"/>
      <c r="M386" s="65"/>
      <c r="N386" s="65"/>
      <c r="O386" s="65"/>
      <c r="P386" s="65"/>
      <c r="Q386" s="65"/>
      <c r="R386" s="65"/>
      <c r="S386" s="65"/>
      <c r="T386" s="65"/>
      <c r="V386" s="68"/>
      <c r="X386" s="68"/>
      <c r="Y386" s="69"/>
      <c r="Z386" s="68"/>
      <c r="AA386" s="68"/>
      <c r="AB386" s="68"/>
      <c r="AC386" s="68"/>
      <c r="AD386" s="68"/>
      <c r="AE386" s="68"/>
      <c r="AF386" s="68"/>
      <c r="AG386" s="68"/>
      <c r="AH386" s="68"/>
      <c r="AI386" s="68"/>
      <c r="AJ386" s="68"/>
      <c r="AK386" s="68"/>
      <c r="AL386" s="68"/>
      <c r="AM386" s="68"/>
      <c r="AN386" s="68"/>
      <c r="AO386" s="68"/>
      <c r="AP386" s="68"/>
      <c r="AQ386" s="68"/>
      <c r="AR386" s="68"/>
    </row>
    <row r="387" ht="15.75" customHeight="1">
      <c r="A387" s="64"/>
      <c r="B387" s="64"/>
      <c r="D387" s="65"/>
      <c r="F387" s="65"/>
      <c r="G387" s="66"/>
      <c r="H387" s="65"/>
      <c r="I387" s="65"/>
      <c r="J387" s="65"/>
      <c r="K387" s="65"/>
      <c r="L387" s="67"/>
      <c r="M387" s="65"/>
      <c r="N387" s="65"/>
      <c r="O387" s="65"/>
      <c r="P387" s="65"/>
      <c r="Q387" s="65"/>
      <c r="R387" s="65"/>
      <c r="S387" s="65"/>
      <c r="T387" s="65"/>
      <c r="V387" s="68"/>
      <c r="X387" s="68"/>
      <c r="Y387" s="69"/>
      <c r="Z387" s="68"/>
      <c r="AA387" s="68"/>
      <c r="AB387" s="68"/>
      <c r="AC387" s="68"/>
      <c r="AD387" s="68"/>
      <c r="AE387" s="68"/>
      <c r="AF387" s="68"/>
      <c r="AG387" s="68"/>
      <c r="AH387" s="68"/>
      <c r="AI387" s="68"/>
      <c r="AJ387" s="68"/>
      <c r="AK387" s="68"/>
      <c r="AL387" s="68"/>
      <c r="AM387" s="68"/>
      <c r="AN387" s="68"/>
      <c r="AO387" s="68"/>
      <c r="AP387" s="68"/>
      <c r="AQ387" s="68"/>
      <c r="AR387" s="68"/>
    </row>
    <row r="388" ht="15.75" customHeight="1">
      <c r="A388" s="64"/>
      <c r="B388" s="64"/>
      <c r="D388" s="65"/>
      <c r="F388" s="65"/>
      <c r="G388" s="66"/>
      <c r="H388" s="65"/>
      <c r="I388" s="65"/>
      <c r="J388" s="65"/>
      <c r="K388" s="65"/>
      <c r="L388" s="67"/>
      <c r="M388" s="65"/>
      <c r="N388" s="65"/>
      <c r="O388" s="65"/>
      <c r="P388" s="65"/>
      <c r="Q388" s="65"/>
      <c r="R388" s="65"/>
      <c r="S388" s="65"/>
      <c r="T388" s="65"/>
      <c r="V388" s="68"/>
      <c r="X388" s="68"/>
      <c r="Y388" s="69"/>
      <c r="Z388" s="68"/>
      <c r="AA388" s="68"/>
      <c r="AB388" s="68"/>
      <c r="AC388" s="68"/>
      <c r="AD388" s="68"/>
      <c r="AE388" s="68"/>
      <c r="AF388" s="68"/>
      <c r="AG388" s="68"/>
      <c r="AH388" s="68"/>
      <c r="AI388" s="68"/>
      <c r="AJ388" s="68"/>
      <c r="AK388" s="68"/>
      <c r="AL388" s="68"/>
      <c r="AM388" s="68"/>
      <c r="AN388" s="68"/>
      <c r="AO388" s="68"/>
      <c r="AP388" s="68"/>
      <c r="AQ388" s="68"/>
      <c r="AR388" s="68"/>
    </row>
    <row r="389" ht="15.75" customHeight="1">
      <c r="A389" s="64"/>
      <c r="B389" s="64"/>
      <c r="D389" s="65"/>
      <c r="F389" s="65"/>
      <c r="G389" s="66"/>
      <c r="H389" s="65"/>
      <c r="I389" s="65"/>
      <c r="J389" s="65"/>
      <c r="K389" s="65"/>
      <c r="L389" s="67"/>
      <c r="M389" s="65"/>
      <c r="N389" s="65"/>
      <c r="O389" s="65"/>
      <c r="P389" s="65"/>
      <c r="Q389" s="65"/>
      <c r="R389" s="65"/>
      <c r="S389" s="65"/>
      <c r="T389" s="65"/>
      <c r="V389" s="68"/>
      <c r="X389" s="68"/>
      <c r="Y389" s="69"/>
      <c r="Z389" s="68"/>
      <c r="AA389" s="68"/>
      <c r="AB389" s="68"/>
      <c r="AC389" s="68"/>
      <c r="AD389" s="68"/>
      <c r="AE389" s="68"/>
      <c r="AF389" s="68"/>
      <c r="AG389" s="68"/>
      <c r="AH389" s="68"/>
      <c r="AI389" s="68"/>
      <c r="AJ389" s="68"/>
      <c r="AK389" s="68"/>
      <c r="AL389" s="68"/>
      <c r="AM389" s="68"/>
      <c r="AN389" s="68"/>
      <c r="AO389" s="68"/>
      <c r="AP389" s="68"/>
      <c r="AQ389" s="68"/>
      <c r="AR389" s="68"/>
    </row>
    <row r="390" ht="15.75" customHeight="1">
      <c r="A390" s="64"/>
      <c r="B390" s="64"/>
      <c r="D390" s="65"/>
      <c r="F390" s="65"/>
      <c r="G390" s="66"/>
      <c r="H390" s="65"/>
      <c r="I390" s="65"/>
      <c r="J390" s="65"/>
      <c r="K390" s="65"/>
      <c r="L390" s="67"/>
      <c r="M390" s="65"/>
      <c r="N390" s="65"/>
      <c r="O390" s="65"/>
      <c r="P390" s="65"/>
      <c r="Q390" s="65"/>
      <c r="R390" s="65"/>
      <c r="S390" s="65"/>
      <c r="T390" s="65"/>
      <c r="V390" s="68"/>
      <c r="X390" s="68"/>
      <c r="Y390" s="69"/>
      <c r="Z390" s="68"/>
      <c r="AA390" s="68"/>
      <c r="AB390" s="68"/>
      <c r="AC390" s="68"/>
      <c r="AD390" s="68"/>
      <c r="AE390" s="68"/>
      <c r="AF390" s="68"/>
      <c r="AG390" s="68"/>
      <c r="AH390" s="68"/>
      <c r="AI390" s="68"/>
      <c r="AJ390" s="68"/>
      <c r="AK390" s="68"/>
      <c r="AL390" s="68"/>
      <c r="AM390" s="68"/>
      <c r="AN390" s="68"/>
      <c r="AO390" s="68"/>
      <c r="AP390" s="68"/>
      <c r="AQ390" s="68"/>
      <c r="AR390" s="68"/>
    </row>
    <row r="391" ht="15.75" customHeight="1">
      <c r="A391" s="64"/>
      <c r="B391" s="64"/>
      <c r="D391" s="65"/>
      <c r="F391" s="65"/>
      <c r="G391" s="66"/>
      <c r="H391" s="65"/>
      <c r="I391" s="65"/>
      <c r="J391" s="65"/>
      <c r="K391" s="65"/>
      <c r="L391" s="67"/>
      <c r="M391" s="65"/>
      <c r="N391" s="65"/>
      <c r="O391" s="65"/>
      <c r="P391" s="65"/>
      <c r="Q391" s="65"/>
      <c r="R391" s="65"/>
      <c r="S391" s="65"/>
      <c r="T391" s="65"/>
      <c r="V391" s="68"/>
      <c r="X391" s="68"/>
      <c r="Y391" s="69"/>
      <c r="Z391" s="68"/>
      <c r="AA391" s="68"/>
      <c r="AB391" s="68"/>
      <c r="AC391" s="68"/>
      <c r="AD391" s="68"/>
      <c r="AE391" s="68"/>
      <c r="AF391" s="68"/>
      <c r="AG391" s="68"/>
      <c r="AH391" s="68"/>
      <c r="AI391" s="68"/>
      <c r="AJ391" s="68"/>
      <c r="AK391" s="68"/>
      <c r="AL391" s="68"/>
      <c r="AM391" s="68"/>
      <c r="AN391" s="68"/>
      <c r="AO391" s="68"/>
      <c r="AP391" s="68"/>
      <c r="AQ391" s="68"/>
      <c r="AR391" s="68"/>
    </row>
    <row r="392" ht="15.75" customHeight="1">
      <c r="A392" s="64"/>
      <c r="B392" s="64"/>
      <c r="D392" s="65"/>
      <c r="F392" s="65"/>
      <c r="G392" s="66"/>
      <c r="H392" s="65"/>
      <c r="I392" s="65"/>
      <c r="J392" s="65"/>
      <c r="K392" s="65"/>
      <c r="L392" s="67"/>
      <c r="M392" s="65"/>
      <c r="N392" s="65"/>
      <c r="O392" s="65"/>
      <c r="P392" s="65"/>
      <c r="Q392" s="65"/>
      <c r="R392" s="65"/>
      <c r="S392" s="65"/>
      <c r="T392" s="65"/>
      <c r="V392" s="68"/>
      <c r="X392" s="68"/>
      <c r="Y392" s="69"/>
      <c r="Z392" s="68"/>
      <c r="AA392" s="68"/>
      <c r="AB392" s="68"/>
      <c r="AC392" s="68"/>
      <c r="AD392" s="68"/>
      <c r="AE392" s="68"/>
      <c r="AF392" s="68"/>
      <c r="AG392" s="68"/>
      <c r="AH392" s="68"/>
      <c r="AI392" s="68"/>
      <c r="AJ392" s="68"/>
      <c r="AK392" s="68"/>
      <c r="AL392" s="68"/>
      <c r="AM392" s="68"/>
      <c r="AN392" s="68"/>
      <c r="AO392" s="68"/>
      <c r="AP392" s="68"/>
      <c r="AQ392" s="68"/>
      <c r="AR392" s="68"/>
    </row>
    <row r="393" ht="15.75" customHeight="1">
      <c r="A393" s="64"/>
      <c r="B393" s="64"/>
      <c r="D393" s="65"/>
      <c r="F393" s="65"/>
      <c r="G393" s="66"/>
      <c r="H393" s="65"/>
      <c r="I393" s="65"/>
      <c r="J393" s="65"/>
      <c r="K393" s="65"/>
      <c r="L393" s="67"/>
      <c r="M393" s="65"/>
      <c r="N393" s="65"/>
      <c r="O393" s="65"/>
      <c r="P393" s="65"/>
      <c r="Q393" s="65"/>
      <c r="R393" s="65"/>
      <c r="S393" s="65"/>
      <c r="T393" s="65"/>
      <c r="V393" s="68"/>
      <c r="X393" s="68"/>
      <c r="Y393" s="69"/>
      <c r="Z393" s="68"/>
      <c r="AA393" s="68"/>
      <c r="AB393" s="68"/>
      <c r="AC393" s="68"/>
      <c r="AD393" s="68"/>
      <c r="AE393" s="68"/>
      <c r="AF393" s="68"/>
      <c r="AG393" s="68"/>
      <c r="AH393" s="68"/>
      <c r="AI393" s="68"/>
      <c r="AJ393" s="68"/>
      <c r="AK393" s="68"/>
      <c r="AL393" s="68"/>
      <c r="AM393" s="68"/>
      <c r="AN393" s="68"/>
      <c r="AO393" s="68"/>
      <c r="AP393" s="68"/>
      <c r="AQ393" s="68"/>
      <c r="AR393" s="68"/>
    </row>
    <row r="394" ht="15.75" customHeight="1">
      <c r="A394" s="64"/>
      <c r="B394" s="64"/>
      <c r="D394" s="65"/>
      <c r="F394" s="65"/>
      <c r="G394" s="66"/>
      <c r="H394" s="65"/>
      <c r="I394" s="65"/>
      <c r="J394" s="65"/>
      <c r="K394" s="65"/>
      <c r="L394" s="67"/>
      <c r="M394" s="65"/>
      <c r="N394" s="65"/>
      <c r="O394" s="65"/>
      <c r="P394" s="65"/>
      <c r="Q394" s="65"/>
      <c r="R394" s="65"/>
      <c r="S394" s="65"/>
      <c r="T394" s="65"/>
      <c r="V394" s="68"/>
      <c r="X394" s="68"/>
      <c r="Y394" s="69"/>
      <c r="Z394" s="68"/>
      <c r="AA394" s="68"/>
      <c r="AB394" s="68"/>
      <c r="AC394" s="68"/>
      <c r="AD394" s="68"/>
      <c r="AE394" s="68"/>
      <c r="AF394" s="68"/>
      <c r="AG394" s="68"/>
      <c r="AH394" s="68"/>
      <c r="AI394" s="68"/>
      <c r="AJ394" s="68"/>
      <c r="AK394" s="68"/>
      <c r="AL394" s="68"/>
      <c r="AM394" s="68"/>
      <c r="AN394" s="68"/>
      <c r="AO394" s="68"/>
      <c r="AP394" s="68"/>
      <c r="AQ394" s="68"/>
      <c r="AR394" s="68"/>
    </row>
    <row r="395" ht="15.75" customHeight="1">
      <c r="A395" s="64"/>
      <c r="B395" s="64"/>
      <c r="D395" s="65"/>
      <c r="F395" s="65"/>
      <c r="G395" s="66"/>
      <c r="H395" s="65"/>
      <c r="I395" s="65"/>
      <c r="J395" s="65"/>
      <c r="K395" s="65"/>
      <c r="L395" s="67"/>
      <c r="M395" s="65"/>
      <c r="N395" s="65"/>
      <c r="O395" s="65"/>
      <c r="P395" s="65"/>
      <c r="Q395" s="65"/>
      <c r="R395" s="65"/>
      <c r="S395" s="65"/>
      <c r="T395" s="65"/>
      <c r="V395" s="68"/>
      <c r="X395" s="68"/>
      <c r="Y395" s="69"/>
      <c r="Z395" s="68"/>
      <c r="AA395" s="68"/>
      <c r="AB395" s="68"/>
      <c r="AC395" s="68"/>
      <c r="AD395" s="68"/>
      <c r="AE395" s="68"/>
      <c r="AF395" s="68"/>
      <c r="AG395" s="68"/>
      <c r="AH395" s="68"/>
      <c r="AI395" s="68"/>
      <c r="AJ395" s="68"/>
      <c r="AK395" s="68"/>
      <c r="AL395" s="68"/>
      <c r="AM395" s="68"/>
      <c r="AN395" s="68"/>
      <c r="AO395" s="68"/>
      <c r="AP395" s="68"/>
      <c r="AQ395" s="68"/>
      <c r="AR395" s="68"/>
    </row>
    <row r="396" ht="15.75" customHeight="1">
      <c r="A396" s="64"/>
      <c r="B396" s="64"/>
      <c r="D396" s="65"/>
      <c r="F396" s="65"/>
      <c r="G396" s="66"/>
      <c r="H396" s="65"/>
      <c r="I396" s="65"/>
      <c r="J396" s="65"/>
      <c r="K396" s="65"/>
      <c r="L396" s="67"/>
      <c r="M396" s="65"/>
      <c r="N396" s="65"/>
      <c r="O396" s="65"/>
      <c r="P396" s="65"/>
      <c r="Q396" s="65"/>
      <c r="R396" s="65"/>
      <c r="S396" s="65"/>
      <c r="T396" s="65"/>
      <c r="V396" s="68"/>
      <c r="X396" s="68"/>
      <c r="Y396" s="69"/>
      <c r="Z396" s="68"/>
      <c r="AA396" s="68"/>
      <c r="AB396" s="68"/>
      <c r="AC396" s="68"/>
      <c r="AD396" s="68"/>
      <c r="AE396" s="68"/>
      <c r="AF396" s="68"/>
      <c r="AG396" s="68"/>
      <c r="AH396" s="68"/>
      <c r="AI396" s="68"/>
      <c r="AJ396" s="68"/>
      <c r="AK396" s="68"/>
      <c r="AL396" s="68"/>
      <c r="AM396" s="68"/>
      <c r="AN396" s="68"/>
      <c r="AO396" s="68"/>
      <c r="AP396" s="68"/>
      <c r="AQ396" s="68"/>
      <c r="AR396" s="68"/>
    </row>
    <row r="397" ht="15.75" customHeight="1">
      <c r="A397" s="64"/>
      <c r="B397" s="64"/>
      <c r="D397" s="65"/>
      <c r="F397" s="65"/>
      <c r="G397" s="66"/>
      <c r="H397" s="65"/>
      <c r="I397" s="65"/>
      <c r="J397" s="65"/>
      <c r="K397" s="65"/>
      <c r="L397" s="67"/>
      <c r="M397" s="65"/>
      <c r="N397" s="65"/>
      <c r="O397" s="65"/>
      <c r="P397" s="65"/>
      <c r="Q397" s="65"/>
      <c r="R397" s="65"/>
      <c r="S397" s="65"/>
      <c r="T397" s="65"/>
      <c r="V397" s="68"/>
      <c r="X397" s="68"/>
      <c r="Y397" s="69"/>
      <c r="Z397" s="68"/>
      <c r="AA397" s="68"/>
      <c r="AB397" s="68"/>
      <c r="AC397" s="68"/>
      <c r="AD397" s="68"/>
      <c r="AE397" s="68"/>
      <c r="AF397" s="68"/>
      <c r="AG397" s="68"/>
      <c r="AH397" s="68"/>
      <c r="AI397" s="68"/>
      <c r="AJ397" s="68"/>
      <c r="AK397" s="68"/>
      <c r="AL397" s="68"/>
      <c r="AM397" s="68"/>
      <c r="AN397" s="68"/>
      <c r="AO397" s="68"/>
      <c r="AP397" s="68"/>
      <c r="AQ397" s="68"/>
      <c r="AR397" s="68"/>
    </row>
    <row r="398" ht="15.75" customHeight="1">
      <c r="A398" s="64"/>
      <c r="B398" s="64"/>
      <c r="D398" s="65"/>
      <c r="F398" s="65"/>
      <c r="G398" s="66"/>
      <c r="H398" s="65"/>
      <c r="I398" s="65"/>
      <c r="J398" s="65"/>
      <c r="K398" s="65"/>
      <c r="L398" s="67"/>
      <c r="M398" s="65"/>
      <c r="N398" s="65"/>
      <c r="O398" s="65"/>
      <c r="P398" s="65"/>
      <c r="Q398" s="65"/>
      <c r="R398" s="65"/>
      <c r="S398" s="65"/>
      <c r="T398" s="65"/>
      <c r="V398" s="68"/>
      <c r="X398" s="68"/>
      <c r="Y398" s="69"/>
      <c r="Z398" s="68"/>
      <c r="AA398" s="68"/>
      <c r="AB398" s="68"/>
      <c r="AC398" s="68"/>
      <c r="AD398" s="68"/>
      <c r="AE398" s="68"/>
      <c r="AF398" s="68"/>
      <c r="AG398" s="68"/>
      <c r="AH398" s="68"/>
      <c r="AI398" s="68"/>
      <c r="AJ398" s="68"/>
      <c r="AK398" s="68"/>
      <c r="AL398" s="68"/>
      <c r="AM398" s="68"/>
      <c r="AN398" s="68"/>
      <c r="AO398" s="68"/>
      <c r="AP398" s="68"/>
      <c r="AQ398" s="68"/>
      <c r="AR398" s="68"/>
    </row>
    <row r="399" ht="15.75" customHeight="1">
      <c r="A399" s="64"/>
      <c r="B399" s="64"/>
      <c r="D399" s="65"/>
      <c r="F399" s="65"/>
      <c r="G399" s="66"/>
      <c r="H399" s="65"/>
      <c r="I399" s="65"/>
      <c r="J399" s="65"/>
      <c r="K399" s="65"/>
      <c r="L399" s="67"/>
      <c r="M399" s="65"/>
      <c r="N399" s="65"/>
      <c r="O399" s="65"/>
      <c r="P399" s="65"/>
      <c r="Q399" s="65"/>
      <c r="R399" s="65"/>
      <c r="S399" s="65"/>
      <c r="T399" s="65"/>
      <c r="V399" s="68"/>
      <c r="X399" s="68"/>
      <c r="Y399" s="69"/>
      <c r="Z399" s="68"/>
      <c r="AA399" s="68"/>
      <c r="AB399" s="68"/>
      <c r="AC399" s="68"/>
      <c r="AD399" s="68"/>
      <c r="AE399" s="68"/>
      <c r="AF399" s="68"/>
      <c r="AG399" s="68"/>
      <c r="AH399" s="68"/>
      <c r="AI399" s="68"/>
      <c r="AJ399" s="68"/>
      <c r="AK399" s="68"/>
      <c r="AL399" s="68"/>
      <c r="AM399" s="68"/>
      <c r="AN399" s="68"/>
      <c r="AO399" s="68"/>
      <c r="AP399" s="68"/>
      <c r="AQ399" s="68"/>
      <c r="AR399" s="68"/>
    </row>
    <row r="400" ht="15.75" customHeight="1">
      <c r="A400" s="64"/>
      <c r="B400" s="64"/>
      <c r="D400" s="65"/>
      <c r="F400" s="65"/>
      <c r="G400" s="66"/>
      <c r="H400" s="65"/>
      <c r="I400" s="65"/>
      <c r="J400" s="65"/>
      <c r="K400" s="65"/>
      <c r="L400" s="67"/>
      <c r="M400" s="65"/>
      <c r="N400" s="65"/>
      <c r="O400" s="65"/>
      <c r="P400" s="65"/>
      <c r="Q400" s="65"/>
      <c r="R400" s="65"/>
      <c r="S400" s="65"/>
      <c r="T400" s="65"/>
      <c r="V400" s="68"/>
      <c r="X400" s="68"/>
      <c r="Y400" s="69"/>
      <c r="Z400" s="68"/>
      <c r="AA400" s="68"/>
      <c r="AB400" s="68"/>
      <c r="AC400" s="68"/>
      <c r="AD400" s="68"/>
      <c r="AE400" s="68"/>
      <c r="AF400" s="68"/>
      <c r="AG400" s="68"/>
      <c r="AH400" s="68"/>
      <c r="AI400" s="68"/>
      <c r="AJ400" s="68"/>
      <c r="AK400" s="68"/>
      <c r="AL400" s="68"/>
      <c r="AM400" s="68"/>
      <c r="AN400" s="68"/>
      <c r="AO400" s="68"/>
      <c r="AP400" s="68"/>
      <c r="AQ400" s="68"/>
      <c r="AR400" s="68"/>
    </row>
    <row r="401" ht="15.75" customHeight="1">
      <c r="A401" s="64"/>
      <c r="B401" s="64"/>
      <c r="D401" s="65"/>
      <c r="F401" s="65"/>
      <c r="G401" s="66"/>
      <c r="H401" s="65"/>
      <c r="I401" s="65"/>
      <c r="J401" s="65"/>
      <c r="K401" s="65"/>
      <c r="L401" s="67"/>
      <c r="M401" s="65"/>
      <c r="N401" s="65"/>
      <c r="O401" s="65"/>
      <c r="P401" s="65"/>
      <c r="Q401" s="65"/>
      <c r="R401" s="65"/>
      <c r="S401" s="65"/>
      <c r="T401" s="65"/>
      <c r="V401" s="68"/>
      <c r="X401" s="68"/>
      <c r="Y401" s="69"/>
      <c r="Z401" s="68"/>
      <c r="AA401" s="68"/>
      <c r="AB401" s="68"/>
      <c r="AC401" s="68"/>
      <c r="AD401" s="68"/>
      <c r="AE401" s="68"/>
      <c r="AF401" s="68"/>
      <c r="AG401" s="68"/>
      <c r="AH401" s="68"/>
      <c r="AI401" s="68"/>
      <c r="AJ401" s="68"/>
      <c r="AK401" s="68"/>
      <c r="AL401" s="68"/>
      <c r="AM401" s="68"/>
      <c r="AN401" s="68"/>
      <c r="AO401" s="68"/>
      <c r="AP401" s="68"/>
      <c r="AQ401" s="68"/>
      <c r="AR401" s="68"/>
    </row>
    <row r="402" ht="15.75" customHeight="1">
      <c r="A402" s="64"/>
      <c r="B402" s="64"/>
      <c r="D402" s="65"/>
      <c r="F402" s="65"/>
      <c r="G402" s="66"/>
      <c r="H402" s="65"/>
      <c r="I402" s="65"/>
      <c r="J402" s="65"/>
      <c r="K402" s="65"/>
      <c r="L402" s="67"/>
      <c r="M402" s="65"/>
      <c r="N402" s="65"/>
      <c r="O402" s="65"/>
      <c r="P402" s="65"/>
      <c r="Q402" s="65"/>
      <c r="R402" s="65"/>
      <c r="S402" s="65"/>
      <c r="T402" s="65"/>
      <c r="V402" s="68"/>
      <c r="X402" s="68"/>
      <c r="Y402" s="69"/>
      <c r="Z402" s="68"/>
      <c r="AA402" s="68"/>
      <c r="AB402" s="68"/>
      <c r="AC402" s="68"/>
      <c r="AD402" s="68"/>
      <c r="AE402" s="68"/>
      <c r="AF402" s="68"/>
      <c r="AG402" s="68"/>
      <c r="AH402" s="68"/>
      <c r="AI402" s="68"/>
      <c r="AJ402" s="68"/>
      <c r="AK402" s="68"/>
      <c r="AL402" s="68"/>
      <c r="AM402" s="68"/>
      <c r="AN402" s="68"/>
      <c r="AO402" s="68"/>
      <c r="AP402" s="68"/>
      <c r="AQ402" s="68"/>
      <c r="AR402" s="68"/>
    </row>
    <row r="403" ht="15.75" customHeight="1">
      <c r="A403" s="64"/>
      <c r="B403" s="64"/>
      <c r="D403" s="65"/>
      <c r="F403" s="65"/>
      <c r="G403" s="66"/>
      <c r="H403" s="65"/>
      <c r="I403" s="65"/>
      <c r="J403" s="65"/>
      <c r="K403" s="65"/>
      <c r="L403" s="67"/>
      <c r="M403" s="65"/>
      <c r="N403" s="65"/>
      <c r="O403" s="65"/>
      <c r="P403" s="65"/>
      <c r="Q403" s="65"/>
      <c r="R403" s="65"/>
      <c r="S403" s="65"/>
      <c r="T403" s="65"/>
      <c r="V403" s="68"/>
      <c r="X403" s="68"/>
      <c r="Y403" s="69"/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  <c r="AJ403" s="68"/>
      <c r="AK403" s="68"/>
      <c r="AL403" s="68"/>
      <c r="AM403" s="68"/>
      <c r="AN403" s="68"/>
      <c r="AO403" s="68"/>
      <c r="AP403" s="68"/>
      <c r="AQ403" s="68"/>
      <c r="AR403" s="68"/>
    </row>
    <row r="404" ht="15.75" customHeight="1">
      <c r="A404" s="64"/>
      <c r="B404" s="64"/>
      <c r="D404" s="65"/>
      <c r="F404" s="65"/>
      <c r="G404" s="66"/>
      <c r="H404" s="65"/>
      <c r="I404" s="65"/>
      <c r="J404" s="65"/>
      <c r="K404" s="65"/>
      <c r="L404" s="67"/>
      <c r="M404" s="65"/>
      <c r="N404" s="65"/>
      <c r="O404" s="65"/>
      <c r="P404" s="65"/>
      <c r="Q404" s="65"/>
      <c r="R404" s="65"/>
      <c r="S404" s="65"/>
      <c r="T404" s="65"/>
      <c r="V404" s="68"/>
      <c r="X404" s="68"/>
      <c r="Y404" s="69"/>
      <c r="Z404" s="68"/>
      <c r="AA404" s="68"/>
      <c r="AB404" s="68"/>
      <c r="AC404" s="68"/>
      <c r="AD404" s="68"/>
      <c r="AE404" s="68"/>
      <c r="AF404" s="68"/>
      <c r="AG404" s="68"/>
      <c r="AH404" s="68"/>
      <c r="AI404" s="68"/>
      <c r="AJ404" s="68"/>
      <c r="AK404" s="68"/>
      <c r="AL404" s="68"/>
      <c r="AM404" s="68"/>
      <c r="AN404" s="68"/>
      <c r="AO404" s="68"/>
      <c r="AP404" s="68"/>
      <c r="AQ404" s="68"/>
      <c r="AR404" s="68"/>
    </row>
    <row r="405" ht="15.75" customHeight="1">
      <c r="A405" s="64"/>
      <c r="B405" s="64"/>
      <c r="D405" s="65"/>
      <c r="F405" s="65"/>
      <c r="G405" s="66"/>
      <c r="H405" s="65"/>
      <c r="I405" s="65"/>
      <c r="J405" s="65"/>
      <c r="K405" s="65"/>
      <c r="L405" s="67"/>
      <c r="M405" s="65"/>
      <c r="N405" s="65"/>
      <c r="O405" s="65"/>
      <c r="P405" s="65"/>
      <c r="Q405" s="65"/>
      <c r="R405" s="65"/>
      <c r="S405" s="65"/>
      <c r="T405" s="65"/>
      <c r="V405" s="68"/>
      <c r="X405" s="68"/>
      <c r="Y405" s="69"/>
      <c r="Z405" s="68"/>
      <c r="AA405" s="68"/>
      <c r="AB405" s="68"/>
      <c r="AC405" s="68"/>
      <c r="AD405" s="68"/>
      <c r="AE405" s="68"/>
      <c r="AF405" s="68"/>
      <c r="AG405" s="68"/>
      <c r="AH405" s="68"/>
      <c r="AI405" s="68"/>
      <c r="AJ405" s="68"/>
      <c r="AK405" s="68"/>
      <c r="AL405" s="68"/>
      <c r="AM405" s="68"/>
      <c r="AN405" s="68"/>
      <c r="AO405" s="68"/>
      <c r="AP405" s="68"/>
      <c r="AQ405" s="68"/>
      <c r="AR405" s="68"/>
    </row>
    <row r="406" ht="15.75" customHeight="1">
      <c r="A406" s="64"/>
      <c r="B406" s="64"/>
      <c r="D406" s="65"/>
      <c r="F406" s="65"/>
      <c r="G406" s="66"/>
      <c r="H406" s="65"/>
      <c r="I406" s="65"/>
      <c r="J406" s="65"/>
      <c r="K406" s="65"/>
      <c r="L406" s="67"/>
      <c r="M406" s="65"/>
      <c r="N406" s="65"/>
      <c r="O406" s="65"/>
      <c r="P406" s="65"/>
      <c r="Q406" s="65"/>
      <c r="R406" s="65"/>
      <c r="S406" s="65"/>
      <c r="T406" s="65"/>
      <c r="V406" s="68"/>
      <c r="X406" s="68"/>
      <c r="Y406" s="69"/>
      <c r="Z406" s="68"/>
      <c r="AA406" s="68"/>
      <c r="AB406" s="68"/>
      <c r="AC406" s="68"/>
      <c r="AD406" s="68"/>
      <c r="AE406" s="68"/>
      <c r="AF406" s="68"/>
      <c r="AG406" s="68"/>
      <c r="AH406" s="68"/>
      <c r="AI406" s="68"/>
      <c r="AJ406" s="68"/>
      <c r="AK406" s="68"/>
      <c r="AL406" s="68"/>
      <c r="AM406" s="68"/>
      <c r="AN406" s="68"/>
      <c r="AO406" s="68"/>
      <c r="AP406" s="68"/>
      <c r="AQ406" s="68"/>
      <c r="AR406" s="68"/>
    </row>
    <row r="407" ht="15.75" customHeight="1">
      <c r="A407" s="64"/>
      <c r="B407" s="64"/>
      <c r="D407" s="65"/>
      <c r="F407" s="65"/>
      <c r="G407" s="66"/>
      <c r="H407" s="65"/>
      <c r="I407" s="65"/>
      <c r="J407" s="65"/>
      <c r="K407" s="65"/>
      <c r="L407" s="67"/>
      <c r="M407" s="65"/>
      <c r="N407" s="65"/>
      <c r="O407" s="65"/>
      <c r="P407" s="65"/>
      <c r="Q407" s="65"/>
      <c r="R407" s="65"/>
      <c r="S407" s="65"/>
      <c r="T407" s="65"/>
      <c r="V407" s="68"/>
      <c r="X407" s="68"/>
      <c r="Y407" s="69"/>
      <c r="Z407" s="68"/>
      <c r="AA407" s="68"/>
      <c r="AB407" s="68"/>
      <c r="AC407" s="68"/>
      <c r="AD407" s="68"/>
      <c r="AE407" s="68"/>
      <c r="AF407" s="68"/>
      <c r="AG407" s="68"/>
      <c r="AH407" s="68"/>
      <c r="AI407" s="68"/>
      <c r="AJ407" s="68"/>
      <c r="AK407" s="68"/>
      <c r="AL407" s="68"/>
      <c r="AM407" s="68"/>
      <c r="AN407" s="68"/>
      <c r="AO407" s="68"/>
      <c r="AP407" s="68"/>
      <c r="AQ407" s="68"/>
      <c r="AR407" s="68"/>
    </row>
    <row r="408" ht="15.75" customHeight="1">
      <c r="A408" s="64"/>
      <c r="B408" s="64"/>
      <c r="D408" s="65"/>
      <c r="F408" s="65"/>
      <c r="G408" s="66"/>
      <c r="H408" s="65"/>
      <c r="I408" s="65"/>
      <c r="J408" s="65"/>
      <c r="K408" s="65"/>
      <c r="L408" s="67"/>
      <c r="M408" s="65"/>
      <c r="N408" s="65"/>
      <c r="O408" s="65"/>
      <c r="P408" s="65"/>
      <c r="Q408" s="65"/>
      <c r="R408" s="65"/>
      <c r="S408" s="65"/>
      <c r="T408" s="65"/>
      <c r="V408" s="68"/>
      <c r="X408" s="68"/>
      <c r="Y408" s="69"/>
      <c r="Z408" s="68"/>
      <c r="AA408" s="68"/>
      <c r="AB408" s="68"/>
      <c r="AC408" s="68"/>
      <c r="AD408" s="68"/>
      <c r="AE408" s="68"/>
      <c r="AF408" s="68"/>
      <c r="AG408" s="68"/>
      <c r="AH408" s="68"/>
      <c r="AI408" s="68"/>
      <c r="AJ408" s="68"/>
      <c r="AK408" s="68"/>
      <c r="AL408" s="68"/>
      <c r="AM408" s="68"/>
      <c r="AN408" s="68"/>
      <c r="AO408" s="68"/>
      <c r="AP408" s="68"/>
      <c r="AQ408" s="68"/>
      <c r="AR408" s="68"/>
    </row>
    <row r="409" ht="15.75" customHeight="1">
      <c r="A409" s="64"/>
      <c r="B409" s="64"/>
      <c r="D409" s="65"/>
      <c r="F409" s="65"/>
      <c r="G409" s="66"/>
      <c r="H409" s="65"/>
      <c r="I409" s="65"/>
      <c r="J409" s="65"/>
      <c r="K409" s="65"/>
      <c r="L409" s="67"/>
      <c r="M409" s="65"/>
      <c r="N409" s="65"/>
      <c r="O409" s="65"/>
      <c r="P409" s="65"/>
      <c r="Q409" s="65"/>
      <c r="R409" s="65"/>
      <c r="S409" s="65"/>
      <c r="T409" s="65"/>
      <c r="V409" s="68"/>
      <c r="X409" s="68"/>
      <c r="Y409" s="69"/>
      <c r="Z409" s="68"/>
      <c r="AA409" s="68"/>
      <c r="AB409" s="68"/>
      <c r="AC409" s="68"/>
      <c r="AD409" s="68"/>
      <c r="AE409" s="68"/>
      <c r="AF409" s="68"/>
      <c r="AG409" s="68"/>
      <c r="AH409" s="68"/>
      <c r="AI409" s="68"/>
      <c r="AJ409" s="68"/>
      <c r="AK409" s="68"/>
      <c r="AL409" s="68"/>
      <c r="AM409" s="68"/>
      <c r="AN409" s="68"/>
      <c r="AO409" s="68"/>
      <c r="AP409" s="68"/>
      <c r="AQ409" s="68"/>
      <c r="AR409" s="68"/>
    </row>
    <row r="410" ht="15.75" customHeight="1">
      <c r="A410" s="64"/>
      <c r="B410" s="64"/>
      <c r="D410" s="65"/>
      <c r="F410" s="65"/>
      <c r="G410" s="66"/>
      <c r="H410" s="65"/>
      <c r="I410" s="65"/>
      <c r="J410" s="65"/>
      <c r="K410" s="65"/>
      <c r="L410" s="67"/>
      <c r="M410" s="65"/>
      <c r="N410" s="65"/>
      <c r="O410" s="65"/>
      <c r="P410" s="65"/>
      <c r="Q410" s="65"/>
      <c r="R410" s="65"/>
      <c r="S410" s="65"/>
      <c r="T410" s="65"/>
      <c r="V410" s="68"/>
      <c r="X410" s="68"/>
      <c r="Y410" s="69"/>
      <c r="Z410" s="68"/>
      <c r="AA410" s="68"/>
      <c r="AB410" s="68"/>
      <c r="AC410" s="68"/>
      <c r="AD410" s="68"/>
      <c r="AE410" s="68"/>
      <c r="AF410" s="68"/>
      <c r="AG410" s="68"/>
      <c r="AH410" s="68"/>
      <c r="AI410" s="68"/>
      <c r="AJ410" s="68"/>
      <c r="AK410" s="68"/>
      <c r="AL410" s="68"/>
      <c r="AM410" s="68"/>
      <c r="AN410" s="68"/>
      <c r="AO410" s="68"/>
      <c r="AP410" s="68"/>
      <c r="AQ410" s="68"/>
      <c r="AR410" s="68"/>
    </row>
    <row r="411" ht="15.75" customHeight="1">
      <c r="A411" s="64"/>
      <c r="B411" s="64"/>
      <c r="D411" s="65"/>
      <c r="F411" s="65"/>
      <c r="G411" s="66"/>
      <c r="H411" s="65"/>
      <c r="I411" s="65"/>
      <c r="J411" s="65"/>
      <c r="K411" s="65"/>
      <c r="L411" s="67"/>
      <c r="M411" s="65"/>
      <c r="N411" s="65"/>
      <c r="O411" s="65"/>
      <c r="P411" s="65"/>
      <c r="Q411" s="65"/>
      <c r="R411" s="65"/>
      <c r="S411" s="65"/>
      <c r="T411" s="65"/>
      <c r="V411" s="68"/>
      <c r="X411" s="68"/>
      <c r="Y411" s="69"/>
      <c r="Z411" s="68"/>
      <c r="AA411" s="68"/>
      <c r="AB411" s="68"/>
      <c r="AC411" s="68"/>
      <c r="AD411" s="68"/>
      <c r="AE411" s="68"/>
      <c r="AF411" s="68"/>
      <c r="AG411" s="68"/>
      <c r="AH411" s="68"/>
      <c r="AI411" s="68"/>
      <c r="AJ411" s="68"/>
      <c r="AK411" s="68"/>
      <c r="AL411" s="68"/>
      <c r="AM411" s="68"/>
      <c r="AN411" s="68"/>
      <c r="AO411" s="68"/>
      <c r="AP411" s="68"/>
      <c r="AQ411" s="68"/>
      <c r="AR411" s="68"/>
    </row>
    <row r="412" ht="15.75" customHeight="1">
      <c r="A412" s="64"/>
      <c r="B412" s="64"/>
      <c r="D412" s="65"/>
      <c r="F412" s="65"/>
      <c r="G412" s="66"/>
      <c r="H412" s="65"/>
      <c r="I412" s="65"/>
      <c r="J412" s="65"/>
      <c r="K412" s="65"/>
      <c r="L412" s="67"/>
      <c r="M412" s="65"/>
      <c r="N412" s="65"/>
      <c r="O412" s="65"/>
      <c r="P412" s="65"/>
      <c r="Q412" s="65"/>
      <c r="R412" s="65"/>
      <c r="S412" s="65"/>
      <c r="T412" s="65"/>
      <c r="V412" s="68"/>
      <c r="X412" s="68"/>
      <c r="Y412" s="69"/>
      <c r="Z412" s="68"/>
      <c r="AA412" s="68"/>
      <c r="AB412" s="68"/>
      <c r="AC412" s="68"/>
      <c r="AD412" s="68"/>
      <c r="AE412" s="68"/>
      <c r="AF412" s="68"/>
      <c r="AG412" s="68"/>
      <c r="AH412" s="68"/>
      <c r="AI412" s="68"/>
      <c r="AJ412" s="68"/>
      <c r="AK412" s="68"/>
      <c r="AL412" s="68"/>
      <c r="AM412" s="68"/>
      <c r="AN412" s="68"/>
      <c r="AO412" s="68"/>
      <c r="AP412" s="68"/>
      <c r="AQ412" s="68"/>
      <c r="AR412" s="68"/>
    </row>
    <row r="413" ht="15.75" customHeight="1">
      <c r="A413" s="64"/>
      <c r="B413" s="64"/>
      <c r="D413" s="65"/>
      <c r="F413" s="65"/>
      <c r="G413" s="66"/>
      <c r="H413" s="65"/>
      <c r="I413" s="65"/>
      <c r="J413" s="65"/>
      <c r="K413" s="65"/>
      <c r="L413" s="67"/>
      <c r="M413" s="65"/>
      <c r="N413" s="65"/>
      <c r="O413" s="65"/>
      <c r="P413" s="65"/>
      <c r="Q413" s="65"/>
      <c r="R413" s="65"/>
      <c r="S413" s="65"/>
      <c r="T413" s="65"/>
      <c r="V413" s="68"/>
      <c r="X413" s="68"/>
      <c r="Y413" s="69"/>
      <c r="Z413" s="68"/>
      <c r="AA413" s="68"/>
      <c r="AB413" s="68"/>
      <c r="AC413" s="68"/>
      <c r="AD413" s="68"/>
      <c r="AE413" s="68"/>
      <c r="AF413" s="68"/>
      <c r="AG413" s="68"/>
      <c r="AH413" s="68"/>
      <c r="AI413" s="68"/>
      <c r="AJ413" s="68"/>
      <c r="AK413" s="68"/>
      <c r="AL413" s="68"/>
      <c r="AM413" s="68"/>
      <c r="AN413" s="68"/>
      <c r="AO413" s="68"/>
      <c r="AP413" s="68"/>
      <c r="AQ413" s="68"/>
      <c r="AR413" s="68"/>
    </row>
    <row r="414" ht="15.75" customHeight="1">
      <c r="A414" s="64"/>
      <c r="B414" s="64"/>
      <c r="D414" s="65"/>
      <c r="F414" s="65"/>
      <c r="G414" s="66"/>
      <c r="H414" s="65"/>
      <c r="I414" s="65"/>
      <c r="J414" s="65"/>
      <c r="K414" s="65"/>
      <c r="L414" s="67"/>
      <c r="M414" s="65"/>
      <c r="N414" s="65"/>
      <c r="O414" s="65"/>
      <c r="P414" s="65"/>
      <c r="Q414" s="65"/>
      <c r="R414" s="65"/>
      <c r="S414" s="65"/>
      <c r="T414" s="65"/>
      <c r="V414" s="68"/>
      <c r="X414" s="68"/>
      <c r="Y414" s="69"/>
      <c r="Z414" s="68"/>
      <c r="AA414" s="68"/>
      <c r="AB414" s="68"/>
      <c r="AC414" s="68"/>
      <c r="AD414" s="68"/>
      <c r="AE414" s="68"/>
      <c r="AF414" s="68"/>
      <c r="AG414" s="68"/>
      <c r="AH414" s="68"/>
      <c r="AI414" s="68"/>
      <c r="AJ414" s="68"/>
      <c r="AK414" s="68"/>
      <c r="AL414" s="68"/>
      <c r="AM414" s="68"/>
      <c r="AN414" s="68"/>
      <c r="AO414" s="68"/>
      <c r="AP414" s="68"/>
      <c r="AQ414" s="68"/>
      <c r="AR414" s="68"/>
    </row>
    <row r="415" ht="15.75" customHeight="1">
      <c r="A415" s="64"/>
      <c r="B415" s="64"/>
      <c r="D415" s="65"/>
      <c r="F415" s="65"/>
      <c r="G415" s="66"/>
      <c r="H415" s="65"/>
      <c r="I415" s="65"/>
      <c r="J415" s="65"/>
      <c r="K415" s="65"/>
      <c r="L415" s="67"/>
      <c r="M415" s="65"/>
      <c r="N415" s="65"/>
      <c r="O415" s="65"/>
      <c r="P415" s="65"/>
      <c r="Q415" s="65"/>
      <c r="R415" s="65"/>
      <c r="S415" s="65"/>
      <c r="T415" s="65"/>
      <c r="V415" s="68"/>
      <c r="X415" s="68"/>
      <c r="Y415" s="69"/>
      <c r="Z415" s="68"/>
      <c r="AA415" s="68"/>
      <c r="AB415" s="68"/>
      <c r="AC415" s="68"/>
      <c r="AD415" s="68"/>
      <c r="AE415" s="68"/>
      <c r="AF415" s="68"/>
      <c r="AG415" s="68"/>
      <c r="AH415" s="68"/>
      <c r="AI415" s="68"/>
      <c r="AJ415" s="68"/>
      <c r="AK415" s="68"/>
      <c r="AL415" s="68"/>
      <c r="AM415" s="68"/>
      <c r="AN415" s="68"/>
      <c r="AO415" s="68"/>
      <c r="AP415" s="68"/>
      <c r="AQ415" s="68"/>
      <c r="AR415" s="68"/>
    </row>
    <row r="416" ht="15.75" customHeight="1">
      <c r="A416" s="64"/>
      <c r="B416" s="64"/>
      <c r="D416" s="65"/>
      <c r="F416" s="65"/>
      <c r="G416" s="66"/>
      <c r="H416" s="65"/>
      <c r="I416" s="65"/>
      <c r="J416" s="65"/>
      <c r="K416" s="65"/>
      <c r="L416" s="67"/>
      <c r="M416" s="65"/>
      <c r="N416" s="65"/>
      <c r="O416" s="65"/>
      <c r="P416" s="65"/>
      <c r="Q416" s="65"/>
      <c r="R416" s="65"/>
      <c r="S416" s="65"/>
      <c r="T416" s="65"/>
      <c r="V416" s="68"/>
      <c r="X416" s="68"/>
      <c r="Y416" s="69"/>
      <c r="Z416" s="68"/>
      <c r="AA416" s="68"/>
      <c r="AB416" s="68"/>
      <c r="AC416" s="68"/>
      <c r="AD416" s="68"/>
      <c r="AE416" s="68"/>
      <c r="AF416" s="68"/>
      <c r="AG416" s="68"/>
      <c r="AH416" s="68"/>
      <c r="AI416" s="68"/>
      <c r="AJ416" s="68"/>
      <c r="AK416" s="68"/>
      <c r="AL416" s="68"/>
      <c r="AM416" s="68"/>
      <c r="AN416" s="68"/>
      <c r="AO416" s="68"/>
      <c r="AP416" s="68"/>
      <c r="AQ416" s="68"/>
      <c r="AR416" s="68"/>
    </row>
    <row r="417" ht="15.75" customHeight="1">
      <c r="A417" s="64"/>
      <c r="B417" s="64"/>
      <c r="D417" s="65"/>
      <c r="F417" s="65"/>
      <c r="G417" s="66"/>
      <c r="H417" s="65"/>
      <c r="I417" s="65"/>
      <c r="J417" s="65"/>
      <c r="K417" s="65"/>
      <c r="L417" s="67"/>
      <c r="M417" s="65"/>
      <c r="N417" s="65"/>
      <c r="O417" s="65"/>
      <c r="P417" s="65"/>
      <c r="Q417" s="65"/>
      <c r="R417" s="65"/>
      <c r="S417" s="65"/>
      <c r="T417" s="65"/>
      <c r="V417" s="68"/>
      <c r="X417" s="68"/>
      <c r="Y417" s="69"/>
      <c r="Z417" s="68"/>
      <c r="AA417" s="68"/>
      <c r="AB417" s="68"/>
      <c r="AC417" s="68"/>
      <c r="AD417" s="68"/>
      <c r="AE417" s="68"/>
      <c r="AF417" s="68"/>
      <c r="AG417" s="68"/>
      <c r="AH417" s="68"/>
      <c r="AI417" s="68"/>
      <c r="AJ417" s="68"/>
      <c r="AK417" s="68"/>
      <c r="AL417" s="68"/>
      <c r="AM417" s="68"/>
      <c r="AN417" s="68"/>
      <c r="AO417" s="68"/>
      <c r="AP417" s="68"/>
      <c r="AQ417" s="68"/>
      <c r="AR417" s="68"/>
    </row>
    <row r="418" ht="15.75" customHeight="1">
      <c r="A418" s="64"/>
      <c r="B418" s="64"/>
      <c r="D418" s="65"/>
      <c r="F418" s="65"/>
      <c r="G418" s="66"/>
      <c r="H418" s="65"/>
      <c r="I418" s="65"/>
      <c r="J418" s="65"/>
      <c r="K418" s="65"/>
      <c r="L418" s="67"/>
      <c r="M418" s="65"/>
      <c r="N418" s="65"/>
      <c r="O418" s="65"/>
      <c r="P418" s="65"/>
      <c r="Q418" s="65"/>
      <c r="R418" s="65"/>
      <c r="S418" s="65"/>
      <c r="T418" s="65"/>
      <c r="V418" s="68"/>
      <c r="X418" s="68"/>
      <c r="Y418" s="69"/>
      <c r="Z418" s="68"/>
      <c r="AA418" s="68"/>
      <c r="AB418" s="68"/>
      <c r="AC418" s="68"/>
      <c r="AD418" s="68"/>
      <c r="AE418" s="68"/>
      <c r="AF418" s="68"/>
      <c r="AG418" s="68"/>
      <c r="AH418" s="68"/>
      <c r="AI418" s="68"/>
      <c r="AJ418" s="68"/>
      <c r="AK418" s="68"/>
      <c r="AL418" s="68"/>
      <c r="AM418" s="68"/>
      <c r="AN418" s="68"/>
      <c r="AO418" s="68"/>
      <c r="AP418" s="68"/>
      <c r="AQ418" s="68"/>
      <c r="AR418" s="68"/>
    </row>
    <row r="419" ht="15.75" customHeight="1">
      <c r="A419" s="64"/>
      <c r="B419" s="64"/>
      <c r="D419" s="65"/>
      <c r="F419" s="65"/>
      <c r="G419" s="66"/>
      <c r="H419" s="65"/>
      <c r="I419" s="65"/>
      <c r="J419" s="65"/>
      <c r="K419" s="65"/>
      <c r="L419" s="67"/>
      <c r="M419" s="65"/>
      <c r="N419" s="65"/>
      <c r="O419" s="65"/>
      <c r="P419" s="65"/>
      <c r="Q419" s="65"/>
      <c r="R419" s="65"/>
      <c r="S419" s="65"/>
      <c r="T419" s="65"/>
      <c r="V419" s="68"/>
      <c r="X419" s="68"/>
      <c r="Y419" s="69"/>
      <c r="Z419" s="68"/>
      <c r="AA419" s="68"/>
      <c r="AB419" s="68"/>
      <c r="AC419" s="68"/>
      <c r="AD419" s="68"/>
      <c r="AE419" s="68"/>
      <c r="AF419" s="68"/>
      <c r="AG419" s="68"/>
      <c r="AH419" s="68"/>
      <c r="AI419" s="68"/>
      <c r="AJ419" s="68"/>
      <c r="AK419" s="68"/>
      <c r="AL419" s="68"/>
      <c r="AM419" s="68"/>
      <c r="AN419" s="68"/>
      <c r="AO419" s="68"/>
      <c r="AP419" s="68"/>
      <c r="AQ419" s="68"/>
      <c r="AR419" s="68"/>
    </row>
    <row r="420" ht="15.75" customHeight="1">
      <c r="A420" s="64"/>
      <c r="B420" s="64"/>
      <c r="D420" s="65"/>
      <c r="F420" s="65"/>
      <c r="G420" s="66"/>
      <c r="H420" s="65"/>
      <c r="I420" s="65"/>
      <c r="J420" s="65"/>
      <c r="K420" s="65"/>
      <c r="L420" s="67"/>
      <c r="M420" s="65"/>
      <c r="N420" s="65"/>
      <c r="O420" s="65"/>
      <c r="P420" s="65"/>
      <c r="Q420" s="65"/>
      <c r="R420" s="65"/>
      <c r="S420" s="65"/>
      <c r="T420" s="65"/>
      <c r="V420" s="68"/>
      <c r="X420" s="68"/>
      <c r="Y420" s="69"/>
      <c r="Z420" s="68"/>
      <c r="AA420" s="68"/>
      <c r="AB420" s="68"/>
      <c r="AC420" s="68"/>
      <c r="AD420" s="68"/>
      <c r="AE420" s="68"/>
      <c r="AF420" s="68"/>
      <c r="AG420" s="68"/>
      <c r="AH420" s="68"/>
      <c r="AI420" s="68"/>
      <c r="AJ420" s="68"/>
      <c r="AK420" s="68"/>
      <c r="AL420" s="68"/>
      <c r="AM420" s="68"/>
      <c r="AN420" s="68"/>
      <c r="AO420" s="68"/>
      <c r="AP420" s="68"/>
      <c r="AQ420" s="68"/>
      <c r="AR420" s="68"/>
    </row>
    <row r="421" ht="15.75" customHeight="1">
      <c r="A421" s="64"/>
      <c r="B421" s="64"/>
      <c r="D421" s="65"/>
      <c r="F421" s="65"/>
      <c r="G421" s="66"/>
      <c r="H421" s="65"/>
      <c r="I421" s="65"/>
      <c r="J421" s="65"/>
      <c r="K421" s="65"/>
      <c r="L421" s="67"/>
      <c r="M421" s="65"/>
      <c r="N421" s="65"/>
      <c r="O421" s="65"/>
      <c r="P421" s="65"/>
      <c r="Q421" s="65"/>
      <c r="R421" s="65"/>
      <c r="S421" s="65"/>
      <c r="T421" s="65"/>
      <c r="V421" s="68"/>
      <c r="X421" s="68"/>
      <c r="Y421" s="69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</row>
    <row r="422" ht="15.75" customHeight="1">
      <c r="A422" s="64"/>
      <c r="B422" s="64"/>
      <c r="D422" s="65"/>
      <c r="F422" s="65"/>
      <c r="G422" s="66"/>
      <c r="H422" s="65"/>
      <c r="I422" s="65"/>
      <c r="J422" s="65"/>
      <c r="K422" s="65"/>
      <c r="L422" s="67"/>
      <c r="M422" s="65"/>
      <c r="N422" s="65"/>
      <c r="O422" s="65"/>
      <c r="P422" s="65"/>
      <c r="Q422" s="65"/>
      <c r="R422" s="65"/>
      <c r="S422" s="65"/>
      <c r="T422" s="65"/>
      <c r="V422" s="68"/>
      <c r="X422" s="68"/>
      <c r="Y422" s="69"/>
      <c r="Z422" s="68"/>
      <c r="AA422" s="68"/>
      <c r="AB422" s="68"/>
      <c r="AC422" s="68"/>
      <c r="AD422" s="68"/>
      <c r="AE422" s="68"/>
      <c r="AF422" s="68"/>
      <c r="AG422" s="68"/>
      <c r="AH422" s="68"/>
      <c r="AI422" s="68"/>
      <c r="AJ422" s="68"/>
      <c r="AK422" s="68"/>
      <c r="AL422" s="68"/>
      <c r="AM422" s="68"/>
      <c r="AN422" s="68"/>
      <c r="AO422" s="68"/>
      <c r="AP422" s="68"/>
      <c r="AQ422" s="68"/>
      <c r="AR422" s="68"/>
    </row>
    <row r="423" ht="15.75" customHeight="1">
      <c r="A423" s="64"/>
      <c r="B423" s="64"/>
      <c r="D423" s="65"/>
      <c r="F423" s="65"/>
      <c r="G423" s="66"/>
      <c r="H423" s="65"/>
      <c r="I423" s="65"/>
      <c r="J423" s="65"/>
      <c r="K423" s="65"/>
      <c r="L423" s="67"/>
      <c r="M423" s="65"/>
      <c r="N423" s="65"/>
      <c r="O423" s="65"/>
      <c r="P423" s="65"/>
      <c r="Q423" s="65"/>
      <c r="R423" s="65"/>
      <c r="S423" s="65"/>
      <c r="T423" s="65"/>
      <c r="V423" s="68"/>
      <c r="X423" s="68"/>
      <c r="Y423" s="69"/>
      <c r="Z423" s="68"/>
      <c r="AA423" s="68"/>
      <c r="AB423" s="68"/>
      <c r="AC423" s="68"/>
      <c r="AD423" s="68"/>
      <c r="AE423" s="68"/>
      <c r="AF423" s="68"/>
      <c r="AG423" s="68"/>
      <c r="AH423" s="68"/>
      <c r="AI423" s="68"/>
      <c r="AJ423" s="68"/>
      <c r="AK423" s="68"/>
      <c r="AL423" s="68"/>
      <c r="AM423" s="68"/>
      <c r="AN423" s="68"/>
      <c r="AO423" s="68"/>
      <c r="AP423" s="68"/>
      <c r="AQ423" s="68"/>
      <c r="AR423" s="68"/>
    </row>
    <row r="424" ht="15.75" customHeight="1">
      <c r="A424" s="64"/>
      <c r="B424" s="64"/>
      <c r="D424" s="65"/>
      <c r="F424" s="65"/>
      <c r="G424" s="66"/>
      <c r="H424" s="65"/>
      <c r="I424" s="65"/>
      <c r="J424" s="65"/>
      <c r="K424" s="65"/>
      <c r="L424" s="67"/>
      <c r="M424" s="65"/>
      <c r="N424" s="65"/>
      <c r="O424" s="65"/>
      <c r="P424" s="65"/>
      <c r="Q424" s="65"/>
      <c r="R424" s="65"/>
      <c r="S424" s="65"/>
      <c r="T424" s="65"/>
      <c r="V424" s="68"/>
      <c r="X424" s="68"/>
      <c r="Y424" s="69"/>
      <c r="Z424" s="68"/>
      <c r="AA424" s="68"/>
      <c r="AB424" s="68"/>
      <c r="AC424" s="68"/>
      <c r="AD424" s="68"/>
      <c r="AE424" s="68"/>
      <c r="AF424" s="68"/>
      <c r="AG424" s="68"/>
      <c r="AH424" s="68"/>
      <c r="AI424" s="68"/>
      <c r="AJ424" s="68"/>
      <c r="AK424" s="68"/>
      <c r="AL424" s="68"/>
      <c r="AM424" s="68"/>
      <c r="AN424" s="68"/>
      <c r="AO424" s="68"/>
      <c r="AP424" s="68"/>
      <c r="AQ424" s="68"/>
      <c r="AR424" s="68"/>
    </row>
    <row r="425" ht="15.75" customHeight="1">
      <c r="A425" s="64"/>
      <c r="B425" s="64"/>
      <c r="D425" s="65"/>
      <c r="F425" s="65"/>
      <c r="G425" s="66"/>
      <c r="H425" s="65"/>
      <c r="I425" s="65"/>
      <c r="J425" s="65"/>
      <c r="K425" s="65"/>
      <c r="L425" s="67"/>
      <c r="M425" s="65"/>
      <c r="N425" s="65"/>
      <c r="O425" s="65"/>
      <c r="P425" s="65"/>
      <c r="Q425" s="65"/>
      <c r="R425" s="65"/>
      <c r="S425" s="65"/>
      <c r="T425" s="65"/>
      <c r="V425" s="68"/>
      <c r="X425" s="68"/>
      <c r="Y425" s="69"/>
      <c r="Z425" s="68"/>
      <c r="AA425" s="68"/>
      <c r="AB425" s="68"/>
      <c r="AC425" s="68"/>
      <c r="AD425" s="68"/>
      <c r="AE425" s="68"/>
      <c r="AF425" s="68"/>
      <c r="AG425" s="68"/>
      <c r="AH425" s="68"/>
      <c r="AI425" s="68"/>
      <c r="AJ425" s="68"/>
      <c r="AK425" s="68"/>
      <c r="AL425" s="68"/>
      <c r="AM425" s="68"/>
      <c r="AN425" s="68"/>
      <c r="AO425" s="68"/>
      <c r="AP425" s="68"/>
      <c r="AQ425" s="68"/>
      <c r="AR425" s="68"/>
    </row>
    <row r="426" ht="15.75" customHeight="1">
      <c r="A426" s="64"/>
      <c r="B426" s="64"/>
      <c r="D426" s="65"/>
      <c r="F426" s="65"/>
      <c r="G426" s="66"/>
      <c r="H426" s="65"/>
      <c r="I426" s="65"/>
      <c r="J426" s="65"/>
      <c r="K426" s="65"/>
      <c r="L426" s="67"/>
      <c r="M426" s="65"/>
      <c r="N426" s="65"/>
      <c r="O426" s="65"/>
      <c r="P426" s="65"/>
      <c r="Q426" s="65"/>
      <c r="R426" s="65"/>
      <c r="S426" s="65"/>
      <c r="T426" s="65"/>
      <c r="V426" s="68"/>
      <c r="X426" s="68"/>
      <c r="Y426" s="69"/>
      <c r="Z426" s="68"/>
      <c r="AA426" s="68"/>
      <c r="AB426" s="68"/>
      <c r="AC426" s="68"/>
      <c r="AD426" s="68"/>
      <c r="AE426" s="68"/>
      <c r="AF426" s="68"/>
      <c r="AG426" s="68"/>
      <c r="AH426" s="68"/>
      <c r="AI426" s="68"/>
      <c r="AJ426" s="68"/>
      <c r="AK426" s="68"/>
      <c r="AL426" s="68"/>
      <c r="AM426" s="68"/>
      <c r="AN426" s="68"/>
      <c r="AO426" s="68"/>
      <c r="AP426" s="68"/>
      <c r="AQ426" s="68"/>
      <c r="AR426" s="68"/>
    </row>
    <row r="427" ht="15.75" customHeight="1">
      <c r="A427" s="64"/>
      <c r="B427" s="64"/>
      <c r="D427" s="65"/>
      <c r="F427" s="65"/>
      <c r="G427" s="66"/>
      <c r="H427" s="65"/>
      <c r="I427" s="65"/>
      <c r="J427" s="65"/>
      <c r="K427" s="65"/>
      <c r="L427" s="67"/>
      <c r="M427" s="65"/>
      <c r="N427" s="65"/>
      <c r="O427" s="65"/>
      <c r="P427" s="65"/>
      <c r="Q427" s="65"/>
      <c r="R427" s="65"/>
      <c r="S427" s="65"/>
      <c r="T427" s="65"/>
      <c r="V427" s="68"/>
      <c r="X427" s="68"/>
      <c r="Y427" s="69"/>
      <c r="Z427" s="68"/>
      <c r="AA427" s="68"/>
      <c r="AB427" s="68"/>
      <c r="AC427" s="68"/>
      <c r="AD427" s="68"/>
      <c r="AE427" s="68"/>
      <c r="AF427" s="68"/>
      <c r="AG427" s="68"/>
      <c r="AH427" s="68"/>
      <c r="AI427" s="68"/>
      <c r="AJ427" s="68"/>
      <c r="AK427" s="68"/>
      <c r="AL427" s="68"/>
      <c r="AM427" s="68"/>
      <c r="AN427" s="68"/>
      <c r="AO427" s="68"/>
      <c r="AP427" s="68"/>
      <c r="AQ427" s="68"/>
      <c r="AR427" s="68"/>
    </row>
    <row r="428" ht="15.75" customHeight="1">
      <c r="A428" s="64"/>
      <c r="B428" s="64"/>
      <c r="D428" s="65"/>
      <c r="F428" s="65"/>
      <c r="G428" s="66"/>
      <c r="H428" s="65"/>
      <c r="I428" s="65"/>
      <c r="J428" s="65"/>
      <c r="K428" s="65"/>
      <c r="L428" s="67"/>
      <c r="M428" s="65"/>
      <c r="N428" s="65"/>
      <c r="O428" s="65"/>
      <c r="P428" s="65"/>
      <c r="Q428" s="65"/>
      <c r="R428" s="65"/>
      <c r="S428" s="65"/>
      <c r="T428" s="65"/>
      <c r="V428" s="68"/>
      <c r="X428" s="68"/>
      <c r="Y428" s="69"/>
      <c r="Z428" s="68"/>
      <c r="AA428" s="68"/>
      <c r="AB428" s="68"/>
      <c r="AC428" s="68"/>
      <c r="AD428" s="68"/>
      <c r="AE428" s="68"/>
      <c r="AF428" s="68"/>
      <c r="AG428" s="68"/>
      <c r="AH428" s="68"/>
      <c r="AI428" s="68"/>
      <c r="AJ428" s="68"/>
      <c r="AK428" s="68"/>
      <c r="AL428" s="68"/>
      <c r="AM428" s="68"/>
      <c r="AN428" s="68"/>
      <c r="AO428" s="68"/>
      <c r="AP428" s="68"/>
      <c r="AQ428" s="68"/>
      <c r="AR428" s="68"/>
    </row>
    <row r="429" ht="15.75" customHeight="1">
      <c r="A429" s="64"/>
      <c r="B429" s="64"/>
      <c r="D429" s="65"/>
      <c r="F429" s="65"/>
      <c r="G429" s="66"/>
      <c r="H429" s="65"/>
      <c r="I429" s="65"/>
      <c r="J429" s="65"/>
      <c r="K429" s="65"/>
      <c r="L429" s="67"/>
      <c r="M429" s="65"/>
      <c r="N429" s="65"/>
      <c r="O429" s="65"/>
      <c r="P429" s="65"/>
      <c r="Q429" s="65"/>
      <c r="R429" s="65"/>
      <c r="S429" s="65"/>
      <c r="T429" s="65"/>
      <c r="V429" s="68"/>
      <c r="X429" s="68"/>
      <c r="Y429" s="69"/>
      <c r="Z429" s="68"/>
      <c r="AA429" s="68"/>
      <c r="AB429" s="68"/>
      <c r="AC429" s="68"/>
      <c r="AD429" s="68"/>
      <c r="AE429" s="68"/>
      <c r="AF429" s="68"/>
      <c r="AG429" s="68"/>
      <c r="AH429" s="68"/>
      <c r="AI429" s="68"/>
      <c r="AJ429" s="68"/>
      <c r="AK429" s="68"/>
      <c r="AL429" s="68"/>
      <c r="AM429" s="68"/>
      <c r="AN429" s="68"/>
      <c r="AO429" s="68"/>
      <c r="AP429" s="68"/>
      <c r="AQ429" s="68"/>
      <c r="AR429" s="68"/>
    </row>
    <row r="430" ht="15.75" customHeight="1">
      <c r="A430" s="64"/>
      <c r="B430" s="64"/>
      <c r="D430" s="65"/>
      <c r="F430" s="65"/>
      <c r="G430" s="66"/>
      <c r="H430" s="65"/>
      <c r="I430" s="65"/>
      <c r="J430" s="65"/>
      <c r="K430" s="65"/>
      <c r="L430" s="67"/>
      <c r="M430" s="65"/>
      <c r="N430" s="65"/>
      <c r="O430" s="65"/>
      <c r="P430" s="65"/>
      <c r="Q430" s="65"/>
      <c r="R430" s="65"/>
      <c r="S430" s="65"/>
      <c r="T430" s="65"/>
      <c r="V430" s="68"/>
      <c r="X430" s="68"/>
      <c r="Y430" s="69"/>
      <c r="Z430" s="68"/>
      <c r="AA430" s="68"/>
      <c r="AB430" s="68"/>
      <c r="AC430" s="68"/>
      <c r="AD430" s="68"/>
      <c r="AE430" s="68"/>
      <c r="AF430" s="68"/>
      <c r="AG430" s="68"/>
      <c r="AH430" s="68"/>
      <c r="AI430" s="68"/>
      <c r="AJ430" s="68"/>
      <c r="AK430" s="68"/>
      <c r="AL430" s="68"/>
      <c r="AM430" s="68"/>
      <c r="AN430" s="68"/>
      <c r="AO430" s="68"/>
      <c r="AP430" s="68"/>
      <c r="AQ430" s="68"/>
      <c r="AR430" s="68"/>
    </row>
    <row r="431" ht="15.75" customHeight="1">
      <c r="A431" s="64"/>
      <c r="B431" s="64"/>
      <c r="D431" s="65"/>
      <c r="F431" s="65"/>
      <c r="G431" s="66"/>
      <c r="H431" s="65"/>
      <c r="I431" s="65"/>
      <c r="J431" s="65"/>
      <c r="K431" s="65"/>
      <c r="L431" s="67"/>
      <c r="M431" s="65"/>
      <c r="N431" s="65"/>
      <c r="O431" s="65"/>
      <c r="P431" s="65"/>
      <c r="Q431" s="65"/>
      <c r="R431" s="65"/>
      <c r="S431" s="65"/>
      <c r="T431" s="65"/>
      <c r="V431" s="68"/>
      <c r="X431" s="68"/>
      <c r="Y431" s="69"/>
      <c r="Z431" s="68"/>
      <c r="AA431" s="68"/>
      <c r="AB431" s="68"/>
      <c r="AC431" s="68"/>
      <c r="AD431" s="68"/>
      <c r="AE431" s="68"/>
      <c r="AF431" s="68"/>
      <c r="AG431" s="68"/>
      <c r="AH431" s="68"/>
      <c r="AI431" s="68"/>
      <c r="AJ431" s="68"/>
      <c r="AK431" s="68"/>
      <c r="AL431" s="68"/>
      <c r="AM431" s="68"/>
      <c r="AN431" s="68"/>
      <c r="AO431" s="68"/>
      <c r="AP431" s="68"/>
      <c r="AQ431" s="68"/>
      <c r="AR431" s="68"/>
    </row>
    <row r="432" ht="15.75" customHeight="1">
      <c r="A432" s="64"/>
      <c r="B432" s="64"/>
      <c r="D432" s="65"/>
      <c r="F432" s="65"/>
      <c r="G432" s="66"/>
      <c r="H432" s="65"/>
      <c r="I432" s="65"/>
      <c r="J432" s="65"/>
      <c r="K432" s="65"/>
      <c r="L432" s="67"/>
      <c r="M432" s="65"/>
      <c r="N432" s="65"/>
      <c r="O432" s="65"/>
      <c r="P432" s="65"/>
      <c r="Q432" s="65"/>
      <c r="R432" s="65"/>
      <c r="S432" s="65"/>
      <c r="T432" s="65"/>
      <c r="V432" s="68"/>
      <c r="X432" s="68"/>
      <c r="Y432" s="69"/>
      <c r="Z432" s="68"/>
      <c r="AA432" s="68"/>
      <c r="AB432" s="68"/>
      <c r="AC432" s="68"/>
      <c r="AD432" s="68"/>
      <c r="AE432" s="68"/>
      <c r="AF432" s="68"/>
      <c r="AG432" s="68"/>
      <c r="AH432" s="68"/>
      <c r="AI432" s="68"/>
      <c r="AJ432" s="68"/>
      <c r="AK432" s="68"/>
      <c r="AL432" s="68"/>
      <c r="AM432" s="68"/>
      <c r="AN432" s="68"/>
      <c r="AO432" s="68"/>
      <c r="AP432" s="68"/>
      <c r="AQ432" s="68"/>
      <c r="AR432" s="68"/>
    </row>
    <row r="433" ht="15.75" customHeight="1">
      <c r="A433" s="64"/>
      <c r="B433" s="64"/>
      <c r="D433" s="65"/>
      <c r="F433" s="65"/>
      <c r="G433" s="66"/>
      <c r="H433" s="65"/>
      <c r="I433" s="65"/>
      <c r="J433" s="65"/>
      <c r="K433" s="65"/>
      <c r="L433" s="67"/>
      <c r="M433" s="65"/>
      <c r="N433" s="65"/>
      <c r="O433" s="65"/>
      <c r="P433" s="65"/>
      <c r="Q433" s="65"/>
      <c r="R433" s="65"/>
      <c r="S433" s="65"/>
      <c r="T433" s="65"/>
      <c r="V433" s="68"/>
      <c r="X433" s="68"/>
      <c r="Y433" s="69"/>
      <c r="Z433" s="68"/>
      <c r="AA433" s="68"/>
      <c r="AB433" s="68"/>
      <c r="AC433" s="68"/>
      <c r="AD433" s="68"/>
      <c r="AE433" s="68"/>
      <c r="AF433" s="68"/>
      <c r="AG433" s="68"/>
      <c r="AH433" s="68"/>
      <c r="AI433" s="68"/>
      <c r="AJ433" s="68"/>
      <c r="AK433" s="68"/>
      <c r="AL433" s="68"/>
      <c r="AM433" s="68"/>
      <c r="AN433" s="68"/>
      <c r="AO433" s="68"/>
      <c r="AP433" s="68"/>
      <c r="AQ433" s="68"/>
      <c r="AR433" s="68"/>
    </row>
    <row r="434" ht="15.75" customHeight="1">
      <c r="A434" s="64"/>
      <c r="B434" s="64"/>
      <c r="D434" s="65"/>
      <c r="F434" s="65"/>
      <c r="G434" s="66"/>
      <c r="H434" s="65"/>
      <c r="I434" s="65"/>
      <c r="J434" s="65"/>
      <c r="K434" s="65"/>
      <c r="L434" s="67"/>
      <c r="M434" s="65"/>
      <c r="N434" s="65"/>
      <c r="O434" s="65"/>
      <c r="P434" s="65"/>
      <c r="Q434" s="65"/>
      <c r="R434" s="65"/>
      <c r="S434" s="65"/>
      <c r="T434" s="65"/>
      <c r="V434" s="68"/>
      <c r="X434" s="68"/>
      <c r="Y434" s="69"/>
      <c r="Z434" s="68"/>
      <c r="AA434" s="68"/>
      <c r="AB434" s="68"/>
      <c r="AC434" s="68"/>
      <c r="AD434" s="68"/>
      <c r="AE434" s="68"/>
      <c r="AF434" s="68"/>
      <c r="AG434" s="68"/>
      <c r="AH434" s="68"/>
      <c r="AI434" s="68"/>
      <c r="AJ434" s="68"/>
      <c r="AK434" s="68"/>
      <c r="AL434" s="68"/>
      <c r="AM434" s="68"/>
      <c r="AN434" s="68"/>
      <c r="AO434" s="68"/>
      <c r="AP434" s="68"/>
      <c r="AQ434" s="68"/>
      <c r="AR434" s="68"/>
    </row>
    <row r="435" ht="15.75" customHeight="1">
      <c r="A435" s="64"/>
      <c r="B435" s="64"/>
      <c r="D435" s="65"/>
      <c r="F435" s="65"/>
      <c r="G435" s="66"/>
      <c r="H435" s="65"/>
      <c r="I435" s="65"/>
      <c r="J435" s="65"/>
      <c r="K435" s="65"/>
      <c r="L435" s="67"/>
      <c r="M435" s="65"/>
      <c r="N435" s="65"/>
      <c r="O435" s="65"/>
      <c r="P435" s="65"/>
      <c r="Q435" s="65"/>
      <c r="R435" s="65"/>
      <c r="S435" s="65"/>
      <c r="T435" s="65"/>
      <c r="V435" s="68"/>
      <c r="X435" s="68"/>
      <c r="Y435" s="69"/>
      <c r="Z435" s="68"/>
      <c r="AA435" s="68"/>
      <c r="AB435" s="68"/>
      <c r="AC435" s="68"/>
      <c r="AD435" s="68"/>
      <c r="AE435" s="68"/>
      <c r="AF435" s="68"/>
      <c r="AG435" s="68"/>
      <c r="AH435" s="68"/>
      <c r="AI435" s="68"/>
      <c r="AJ435" s="68"/>
      <c r="AK435" s="68"/>
      <c r="AL435" s="68"/>
      <c r="AM435" s="68"/>
      <c r="AN435" s="68"/>
      <c r="AO435" s="68"/>
      <c r="AP435" s="68"/>
      <c r="AQ435" s="68"/>
      <c r="AR435" s="68"/>
    </row>
    <row r="436" ht="15.75" customHeight="1">
      <c r="A436" s="64"/>
      <c r="B436" s="64"/>
      <c r="D436" s="65"/>
      <c r="F436" s="65"/>
      <c r="G436" s="66"/>
      <c r="H436" s="65"/>
      <c r="I436" s="65"/>
      <c r="J436" s="65"/>
      <c r="K436" s="65"/>
      <c r="L436" s="67"/>
      <c r="M436" s="65"/>
      <c r="N436" s="65"/>
      <c r="O436" s="65"/>
      <c r="P436" s="65"/>
      <c r="Q436" s="65"/>
      <c r="R436" s="65"/>
      <c r="S436" s="65"/>
      <c r="T436" s="65"/>
      <c r="V436" s="68"/>
      <c r="X436" s="68"/>
      <c r="Y436" s="69"/>
      <c r="Z436" s="68"/>
      <c r="AA436" s="68"/>
      <c r="AB436" s="68"/>
      <c r="AC436" s="68"/>
      <c r="AD436" s="68"/>
      <c r="AE436" s="68"/>
      <c r="AF436" s="68"/>
      <c r="AG436" s="68"/>
      <c r="AH436" s="68"/>
      <c r="AI436" s="68"/>
      <c r="AJ436" s="68"/>
      <c r="AK436" s="68"/>
      <c r="AL436" s="68"/>
      <c r="AM436" s="68"/>
      <c r="AN436" s="68"/>
      <c r="AO436" s="68"/>
      <c r="AP436" s="68"/>
      <c r="AQ436" s="68"/>
      <c r="AR436" s="68"/>
    </row>
    <row r="437" ht="15.75" customHeight="1">
      <c r="A437" s="64"/>
      <c r="B437" s="64"/>
      <c r="D437" s="65"/>
      <c r="F437" s="65"/>
      <c r="G437" s="66"/>
      <c r="H437" s="65"/>
      <c r="I437" s="65"/>
      <c r="J437" s="65"/>
      <c r="K437" s="65"/>
      <c r="L437" s="67"/>
      <c r="M437" s="65"/>
      <c r="N437" s="65"/>
      <c r="O437" s="65"/>
      <c r="P437" s="65"/>
      <c r="Q437" s="65"/>
      <c r="R437" s="65"/>
      <c r="S437" s="65"/>
      <c r="T437" s="65"/>
      <c r="V437" s="68"/>
      <c r="X437" s="68"/>
      <c r="Y437" s="69"/>
      <c r="Z437" s="68"/>
      <c r="AA437" s="68"/>
      <c r="AB437" s="68"/>
      <c r="AC437" s="68"/>
      <c r="AD437" s="68"/>
      <c r="AE437" s="68"/>
      <c r="AF437" s="68"/>
      <c r="AG437" s="68"/>
      <c r="AH437" s="68"/>
      <c r="AI437" s="68"/>
      <c r="AJ437" s="68"/>
      <c r="AK437" s="68"/>
      <c r="AL437" s="68"/>
      <c r="AM437" s="68"/>
      <c r="AN437" s="68"/>
      <c r="AO437" s="68"/>
      <c r="AP437" s="68"/>
      <c r="AQ437" s="68"/>
      <c r="AR437" s="68"/>
    </row>
    <row r="438" ht="15.75" customHeight="1">
      <c r="A438" s="64"/>
      <c r="B438" s="64"/>
      <c r="D438" s="65"/>
      <c r="F438" s="65"/>
      <c r="G438" s="66"/>
      <c r="H438" s="65"/>
      <c r="I438" s="65"/>
      <c r="J438" s="65"/>
      <c r="K438" s="65"/>
      <c r="L438" s="67"/>
      <c r="M438" s="65"/>
      <c r="N438" s="65"/>
      <c r="O438" s="65"/>
      <c r="P438" s="65"/>
      <c r="Q438" s="65"/>
      <c r="R438" s="65"/>
      <c r="S438" s="65"/>
      <c r="T438" s="65"/>
      <c r="V438" s="68"/>
      <c r="X438" s="68"/>
      <c r="Y438" s="69"/>
      <c r="Z438" s="68"/>
      <c r="AA438" s="68"/>
      <c r="AB438" s="68"/>
      <c r="AC438" s="68"/>
      <c r="AD438" s="68"/>
      <c r="AE438" s="68"/>
      <c r="AF438" s="68"/>
      <c r="AG438" s="68"/>
      <c r="AH438" s="68"/>
      <c r="AI438" s="68"/>
      <c r="AJ438" s="68"/>
      <c r="AK438" s="68"/>
      <c r="AL438" s="68"/>
      <c r="AM438" s="68"/>
      <c r="AN438" s="68"/>
      <c r="AO438" s="68"/>
      <c r="AP438" s="68"/>
      <c r="AQ438" s="68"/>
      <c r="AR438" s="68"/>
    </row>
    <row r="439" ht="15.75" customHeight="1">
      <c r="A439" s="64"/>
      <c r="B439" s="64"/>
      <c r="D439" s="65"/>
      <c r="F439" s="65"/>
      <c r="G439" s="66"/>
      <c r="H439" s="65"/>
      <c r="I439" s="65"/>
      <c r="J439" s="65"/>
      <c r="K439" s="65"/>
      <c r="L439" s="67"/>
      <c r="M439" s="65"/>
      <c r="N439" s="65"/>
      <c r="O439" s="65"/>
      <c r="P439" s="65"/>
      <c r="Q439" s="65"/>
      <c r="R439" s="65"/>
      <c r="S439" s="65"/>
      <c r="T439" s="65"/>
      <c r="V439" s="68"/>
      <c r="X439" s="68"/>
      <c r="Y439" s="69"/>
      <c r="Z439" s="68"/>
      <c r="AA439" s="68"/>
      <c r="AB439" s="68"/>
      <c r="AC439" s="68"/>
      <c r="AD439" s="68"/>
      <c r="AE439" s="68"/>
      <c r="AF439" s="68"/>
      <c r="AG439" s="68"/>
      <c r="AH439" s="68"/>
      <c r="AI439" s="68"/>
      <c r="AJ439" s="68"/>
      <c r="AK439" s="68"/>
      <c r="AL439" s="68"/>
      <c r="AM439" s="68"/>
      <c r="AN439" s="68"/>
      <c r="AO439" s="68"/>
      <c r="AP439" s="68"/>
      <c r="AQ439" s="68"/>
      <c r="AR439" s="68"/>
    </row>
    <row r="440" ht="15.75" customHeight="1">
      <c r="A440" s="64"/>
      <c r="B440" s="64"/>
      <c r="D440" s="65"/>
      <c r="F440" s="65"/>
      <c r="G440" s="66"/>
      <c r="H440" s="65"/>
      <c r="I440" s="65"/>
      <c r="J440" s="65"/>
      <c r="K440" s="65"/>
      <c r="L440" s="67"/>
      <c r="M440" s="65"/>
      <c r="N440" s="65"/>
      <c r="O440" s="65"/>
      <c r="P440" s="65"/>
      <c r="Q440" s="65"/>
      <c r="R440" s="65"/>
      <c r="S440" s="65"/>
      <c r="T440" s="65"/>
      <c r="V440" s="68"/>
      <c r="X440" s="68"/>
      <c r="Y440" s="69"/>
      <c r="Z440" s="68"/>
      <c r="AA440" s="68"/>
      <c r="AB440" s="68"/>
      <c r="AC440" s="68"/>
      <c r="AD440" s="68"/>
      <c r="AE440" s="68"/>
      <c r="AF440" s="68"/>
      <c r="AG440" s="68"/>
      <c r="AH440" s="68"/>
      <c r="AI440" s="68"/>
      <c r="AJ440" s="68"/>
      <c r="AK440" s="68"/>
      <c r="AL440" s="68"/>
      <c r="AM440" s="68"/>
      <c r="AN440" s="68"/>
      <c r="AO440" s="68"/>
      <c r="AP440" s="68"/>
      <c r="AQ440" s="68"/>
      <c r="AR440" s="68"/>
    </row>
    <row r="441" ht="15.75" customHeight="1">
      <c r="A441" s="64"/>
      <c r="B441" s="64"/>
      <c r="D441" s="65"/>
      <c r="F441" s="65"/>
      <c r="G441" s="66"/>
      <c r="H441" s="65"/>
      <c r="I441" s="65"/>
      <c r="J441" s="65"/>
      <c r="K441" s="65"/>
      <c r="L441" s="67"/>
      <c r="M441" s="65"/>
      <c r="N441" s="65"/>
      <c r="O441" s="65"/>
      <c r="P441" s="65"/>
      <c r="Q441" s="65"/>
      <c r="R441" s="65"/>
      <c r="S441" s="65"/>
      <c r="T441" s="65"/>
      <c r="V441" s="68"/>
      <c r="X441" s="68"/>
      <c r="Y441" s="69"/>
      <c r="Z441" s="68"/>
      <c r="AA441" s="68"/>
      <c r="AB441" s="68"/>
      <c r="AC441" s="68"/>
      <c r="AD441" s="68"/>
      <c r="AE441" s="68"/>
      <c r="AF441" s="68"/>
      <c r="AG441" s="68"/>
      <c r="AH441" s="68"/>
      <c r="AI441" s="68"/>
      <c r="AJ441" s="68"/>
      <c r="AK441" s="68"/>
      <c r="AL441" s="68"/>
      <c r="AM441" s="68"/>
      <c r="AN441" s="68"/>
      <c r="AO441" s="68"/>
      <c r="AP441" s="68"/>
      <c r="AQ441" s="68"/>
      <c r="AR441" s="68"/>
    </row>
    <row r="442" ht="15.75" customHeight="1">
      <c r="A442" s="64"/>
      <c r="B442" s="64"/>
      <c r="D442" s="65"/>
      <c r="F442" s="65"/>
      <c r="G442" s="66"/>
      <c r="H442" s="65"/>
      <c r="I442" s="65"/>
      <c r="J442" s="65"/>
      <c r="K442" s="65"/>
      <c r="L442" s="67"/>
      <c r="M442" s="65"/>
      <c r="N442" s="65"/>
      <c r="O442" s="65"/>
      <c r="P442" s="65"/>
      <c r="Q442" s="65"/>
      <c r="R442" s="65"/>
      <c r="S442" s="65"/>
      <c r="T442" s="65"/>
      <c r="V442" s="68"/>
      <c r="X442" s="68"/>
      <c r="Y442" s="69"/>
      <c r="Z442" s="68"/>
      <c r="AA442" s="68"/>
      <c r="AB442" s="68"/>
      <c r="AC442" s="68"/>
      <c r="AD442" s="68"/>
      <c r="AE442" s="68"/>
      <c r="AF442" s="68"/>
      <c r="AG442" s="68"/>
      <c r="AH442" s="68"/>
      <c r="AI442" s="68"/>
      <c r="AJ442" s="68"/>
      <c r="AK442" s="68"/>
      <c r="AL442" s="68"/>
      <c r="AM442" s="68"/>
      <c r="AN442" s="68"/>
      <c r="AO442" s="68"/>
      <c r="AP442" s="68"/>
      <c r="AQ442" s="68"/>
      <c r="AR442" s="68"/>
    </row>
    <row r="443" ht="15.75" customHeight="1">
      <c r="A443" s="64"/>
      <c r="B443" s="64"/>
      <c r="D443" s="65"/>
      <c r="F443" s="65"/>
      <c r="G443" s="66"/>
      <c r="H443" s="65"/>
      <c r="I443" s="65"/>
      <c r="J443" s="65"/>
      <c r="K443" s="65"/>
      <c r="L443" s="67"/>
      <c r="M443" s="65"/>
      <c r="N443" s="65"/>
      <c r="O443" s="65"/>
      <c r="P443" s="65"/>
      <c r="Q443" s="65"/>
      <c r="R443" s="65"/>
      <c r="S443" s="65"/>
      <c r="T443" s="65"/>
      <c r="V443" s="68"/>
      <c r="X443" s="68"/>
      <c r="Y443" s="69"/>
      <c r="Z443" s="68"/>
      <c r="AA443" s="68"/>
      <c r="AB443" s="68"/>
      <c r="AC443" s="68"/>
      <c r="AD443" s="68"/>
      <c r="AE443" s="68"/>
      <c r="AF443" s="68"/>
      <c r="AG443" s="68"/>
      <c r="AH443" s="68"/>
      <c r="AI443" s="68"/>
      <c r="AJ443" s="68"/>
      <c r="AK443" s="68"/>
      <c r="AL443" s="68"/>
      <c r="AM443" s="68"/>
      <c r="AN443" s="68"/>
      <c r="AO443" s="68"/>
      <c r="AP443" s="68"/>
      <c r="AQ443" s="68"/>
      <c r="AR443" s="68"/>
    </row>
    <row r="444" ht="15.75" customHeight="1">
      <c r="A444" s="64"/>
      <c r="B444" s="64"/>
      <c r="D444" s="65"/>
      <c r="F444" s="65"/>
      <c r="G444" s="66"/>
      <c r="H444" s="65"/>
      <c r="I444" s="65"/>
      <c r="J444" s="65"/>
      <c r="K444" s="65"/>
      <c r="L444" s="67"/>
      <c r="M444" s="65"/>
      <c r="N444" s="65"/>
      <c r="O444" s="65"/>
      <c r="P444" s="65"/>
      <c r="Q444" s="65"/>
      <c r="R444" s="65"/>
      <c r="S444" s="65"/>
      <c r="T444" s="65"/>
      <c r="V444" s="68"/>
      <c r="X444" s="68"/>
      <c r="Y444" s="69"/>
      <c r="Z444" s="68"/>
      <c r="AA444" s="68"/>
      <c r="AB444" s="68"/>
      <c r="AC444" s="68"/>
      <c r="AD444" s="68"/>
      <c r="AE444" s="68"/>
      <c r="AF444" s="68"/>
      <c r="AG444" s="68"/>
      <c r="AH444" s="68"/>
      <c r="AI444" s="68"/>
      <c r="AJ444" s="68"/>
      <c r="AK444" s="68"/>
      <c r="AL444" s="68"/>
      <c r="AM444" s="68"/>
      <c r="AN444" s="68"/>
      <c r="AO444" s="68"/>
      <c r="AP444" s="68"/>
      <c r="AQ444" s="68"/>
      <c r="AR444" s="68"/>
    </row>
    <row r="445" ht="15.75" customHeight="1">
      <c r="A445" s="64"/>
      <c r="B445" s="64"/>
      <c r="D445" s="65"/>
      <c r="F445" s="65"/>
      <c r="G445" s="66"/>
      <c r="H445" s="65"/>
      <c r="I445" s="65"/>
      <c r="J445" s="65"/>
      <c r="K445" s="65"/>
      <c r="L445" s="67"/>
      <c r="M445" s="65"/>
      <c r="N445" s="65"/>
      <c r="O445" s="65"/>
      <c r="P445" s="65"/>
      <c r="Q445" s="65"/>
      <c r="R445" s="65"/>
      <c r="S445" s="65"/>
      <c r="T445" s="65"/>
      <c r="V445" s="68"/>
      <c r="X445" s="68"/>
      <c r="Y445" s="69"/>
      <c r="Z445" s="68"/>
      <c r="AA445" s="68"/>
      <c r="AB445" s="68"/>
      <c r="AC445" s="68"/>
      <c r="AD445" s="68"/>
      <c r="AE445" s="68"/>
      <c r="AF445" s="68"/>
      <c r="AG445" s="68"/>
      <c r="AH445" s="68"/>
      <c r="AI445" s="68"/>
      <c r="AJ445" s="68"/>
      <c r="AK445" s="68"/>
      <c r="AL445" s="68"/>
      <c r="AM445" s="68"/>
      <c r="AN445" s="68"/>
      <c r="AO445" s="68"/>
      <c r="AP445" s="68"/>
      <c r="AQ445" s="68"/>
      <c r="AR445" s="68"/>
    </row>
    <row r="446" ht="15.75" customHeight="1">
      <c r="A446" s="64"/>
      <c r="B446" s="64"/>
      <c r="D446" s="65"/>
      <c r="F446" s="65"/>
      <c r="G446" s="66"/>
      <c r="H446" s="65"/>
      <c r="I446" s="65"/>
      <c r="J446" s="65"/>
      <c r="K446" s="65"/>
      <c r="L446" s="67"/>
      <c r="M446" s="65"/>
      <c r="N446" s="65"/>
      <c r="O446" s="65"/>
      <c r="P446" s="65"/>
      <c r="Q446" s="65"/>
      <c r="R446" s="65"/>
      <c r="S446" s="65"/>
      <c r="T446" s="65"/>
      <c r="V446" s="68"/>
      <c r="X446" s="68"/>
      <c r="Y446" s="69"/>
      <c r="Z446" s="68"/>
      <c r="AA446" s="68"/>
      <c r="AB446" s="68"/>
      <c r="AC446" s="68"/>
      <c r="AD446" s="68"/>
      <c r="AE446" s="68"/>
      <c r="AF446" s="68"/>
      <c r="AG446" s="68"/>
      <c r="AH446" s="68"/>
      <c r="AI446" s="68"/>
      <c r="AJ446" s="68"/>
      <c r="AK446" s="68"/>
      <c r="AL446" s="68"/>
      <c r="AM446" s="68"/>
      <c r="AN446" s="68"/>
      <c r="AO446" s="68"/>
      <c r="AP446" s="68"/>
      <c r="AQ446" s="68"/>
      <c r="AR446" s="68"/>
    </row>
    <row r="447" ht="15.75" customHeight="1">
      <c r="A447" s="64"/>
      <c r="B447" s="64"/>
      <c r="D447" s="65"/>
      <c r="F447" s="65"/>
      <c r="G447" s="66"/>
      <c r="H447" s="65"/>
      <c r="I447" s="65"/>
      <c r="J447" s="65"/>
      <c r="K447" s="65"/>
      <c r="L447" s="67"/>
      <c r="M447" s="65"/>
      <c r="N447" s="65"/>
      <c r="O447" s="65"/>
      <c r="P447" s="65"/>
      <c r="Q447" s="65"/>
      <c r="R447" s="65"/>
      <c r="S447" s="65"/>
      <c r="T447" s="65"/>
      <c r="V447" s="68"/>
      <c r="X447" s="68"/>
      <c r="Y447" s="69"/>
      <c r="Z447" s="68"/>
      <c r="AA447" s="68"/>
      <c r="AB447" s="68"/>
      <c r="AC447" s="68"/>
      <c r="AD447" s="68"/>
      <c r="AE447" s="68"/>
      <c r="AF447" s="68"/>
      <c r="AG447" s="68"/>
      <c r="AH447" s="68"/>
      <c r="AI447" s="68"/>
      <c r="AJ447" s="68"/>
      <c r="AK447" s="68"/>
      <c r="AL447" s="68"/>
      <c r="AM447" s="68"/>
      <c r="AN447" s="68"/>
      <c r="AO447" s="68"/>
      <c r="AP447" s="68"/>
      <c r="AQ447" s="68"/>
      <c r="AR447" s="68"/>
    </row>
    <row r="448" ht="15.75" customHeight="1">
      <c r="A448" s="64"/>
      <c r="B448" s="64"/>
      <c r="D448" s="65"/>
      <c r="F448" s="65"/>
      <c r="G448" s="66"/>
      <c r="H448" s="65"/>
      <c r="I448" s="65"/>
      <c r="J448" s="65"/>
      <c r="K448" s="65"/>
      <c r="L448" s="67"/>
      <c r="M448" s="65"/>
      <c r="N448" s="65"/>
      <c r="O448" s="65"/>
      <c r="P448" s="65"/>
      <c r="Q448" s="65"/>
      <c r="R448" s="65"/>
      <c r="S448" s="65"/>
      <c r="T448" s="65"/>
      <c r="V448" s="68"/>
      <c r="X448" s="68"/>
      <c r="Y448" s="69"/>
      <c r="Z448" s="68"/>
      <c r="AA448" s="68"/>
      <c r="AB448" s="68"/>
      <c r="AC448" s="68"/>
      <c r="AD448" s="68"/>
      <c r="AE448" s="68"/>
      <c r="AF448" s="68"/>
      <c r="AG448" s="68"/>
      <c r="AH448" s="68"/>
      <c r="AI448" s="68"/>
      <c r="AJ448" s="68"/>
      <c r="AK448" s="68"/>
      <c r="AL448" s="68"/>
      <c r="AM448" s="68"/>
      <c r="AN448" s="68"/>
      <c r="AO448" s="68"/>
      <c r="AP448" s="68"/>
      <c r="AQ448" s="68"/>
      <c r="AR448" s="68"/>
    </row>
    <row r="449" ht="15.75" customHeight="1">
      <c r="A449" s="64"/>
      <c r="B449" s="64"/>
      <c r="D449" s="65"/>
      <c r="F449" s="65"/>
      <c r="G449" s="66"/>
      <c r="H449" s="65"/>
      <c r="I449" s="65"/>
      <c r="J449" s="65"/>
      <c r="K449" s="65"/>
      <c r="L449" s="67"/>
      <c r="M449" s="65"/>
      <c r="N449" s="65"/>
      <c r="O449" s="65"/>
      <c r="P449" s="65"/>
      <c r="Q449" s="65"/>
      <c r="R449" s="65"/>
      <c r="S449" s="65"/>
      <c r="T449" s="65"/>
      <c r="V449" s="68"/>
      <c r="X449" s="68"/>
      <c r="Y449" s="69"/>
      <c r="Z449" s="68"/>
      <c r="AA449" s="68"/>
      <c r="AB449" s="68"/>
      <c r="AC449" s="68"/>
      <c r="AD449" s="68"/>
      <c r="AE449" s="68"/>
      <c r="AF449" s="68"/>
      <c r="AG449" s="68"/>
      <c r="AH449" s="68"/>
      <c r="AI449" s="68"/>
      <c r="AJ449" s="68"/>
      <c r="AK449" s="68"/>
      <c r="AL449" s="68"/>
      <c r="AM449" s="68"/>
      <c r="AN449" s="68"/>
      <c r="AO449" s="68"/>
      <c r="AP449" s="68"/>
      <c r="AQ449" s="68"/>
      <c r="AR449" s="68"/>
    </row>
    <row r="450" ht="15.75" customHeight="1">
      <c r="A450" s="64"/>
      <c r="B450" s="64"/>
      <c r="D450" s="65"/>
      <c r="F450" s="65"/>
      <c r="G450" s="66"/>
      <c r="H450" s="65"/>
      <c r="I450" s="65"/>
      <c r="J450" s="65"/>
      <c r="K450" s="65"/>
      <c r="L450" s="67"/>
      <c r="M450" s="65"/>
      <c r="N450" s="65"/>
      <c r="O450" s="65"/>
      <c r="P450" s="65"/>
      <c r="Q450" s="65"/>
      <c r="R450" s="65"/>
      <c r="S450" s="65"/>
      <c r="T450" s="65"/>
      <c r="V450" s="68"/>
      <c r="X450" s="68"/>
      <c r="Y450" s="69"/>
      <c r="Z450" s="68"/>
      <c r="AA450" s="68"/>
      <c r="AB450" s="68"/>
      <c r="AC450" s="68"/>
      <c r="AD450" s="68"/>
      <c r="AE450" s="68"/>
      <c r="AF450" s="68"/>
      <c r="AG450" s="68"/>
      <c r="AH450" s="68"/>
      <c r="AI450" s="68"/>
      <c r="AJ450" s="68"/>
      <c r="AK450" s="68"/>
      <c r="AL450" s="68"/>
      <c r="AM450" s="68"/>
      <c r="AN450" s="68"/>
      <c r="AO450" s="68"/>
      <c r="AP450" s="68"/>
      <c r="AQ450" s="68"/>
      <c r="AR450" s="68"/>
    </row>
    <row r="451" ht="15.75" customHeight="1">
      <c r="A451" s="64"/>
      <c r="B451" s="64"/>
      <c r="D451" s="65"/>
      <c r="F451" s="65"/>
      <c r="G451" s="66"/>
      <c r="H451" s="65"/>
      <c r="I451" s="65"/>
      <c r="J451" s="65"/>
      <c r="K451" s="65"/>
      <c r="L451" s="67"/>
      <c r="M451" s="65"/>
      <c r="N451" s="65"/>
      <c r="O451" s="65"/>
      <c r="P451" s="65"/>
      <c r="Q451" s="65"/>
      <c r="R451" s="65"/>
      <c r="S451" s="65"/>
      <c r="T451" s="65"/>
      <c r="V451" s="68"/>
      <c r="X451" s="68"/>
      <c r="Y451" s="69"/>
      <c r="Z451" s="68"/>
      <c r="AA451" s="68"/>
      <c r="AB451" s="68"/>
      <c r="AC451" s="68"/>
      <c r="AD451" s="68"/>
      <c r="AE451" s="68"/>
      <c r="AF451" s="68"/>
      <c r="AG451" s="68"/>
      <c r="AH451" s="68"/>
      <c r="AI451" s="68"/>
      <c r="AJ451" s="68"/>
      <c r="AK451" s="68"/>
      <c r="AL451" s="68"/>
      <c r="AM451" s="68"/>
      <c r="AN451" s="68"/>
      <c r="AO451" s="68"/>
      <c r="AP451" s="68"/>
      <c r="AQ451" s="68"/>
      <c r="AR451" s="68"/>
    </row>
    <row r="452" ht="15.75" customHeight="1">
      <c r="A452" s="64"/>
      <c r="B452" s="64"/>
      <c r="D452" s="65"/>
      <c r="F452" s="65"/>
      <c r="G452" s="66"/>
      <c r="H452" s="65"/>
      <c r="I452" s="65"/>
      <c r="J452" s="65"/>
      <c r="K452" s="65"/>
      <c r="L452" s="67"/>
      <c r="M452" s="65"/>
      <c r="N452" s="65"/>
      <c r="O452" s="65"/>
      <c r="P452" s="65"/>
      <c r="Q452" s="65"/>
      <c r="R452" s="65"/>
      <c r="S452" s="65"/>
      <c r="T452" s="65"/>
      <c r="V452" s="68"/>
      <c r="X452" s="68"/>
      <c r="Y452" s="69"/>
      <c r="Z452" s="68"/>
      <c r="AA452" s="68"/>
      <c r="AB452" s="68"/>
      <c r="AC452" s="68"/>
      <c r="AD452" s="68"/>
      <c r="AE452" s="68"/>
      <c r="AF452" s="68"/>
      <c r="AG452" s="68"/>
      <c r="AH452" s="68"/>
      <c r="AI452" s="68"/>
      <c r="AJ452" s="68"/>
      <c r="AK452" s="68"/>
      <c r="AL452" s="68"/>
      <c r="AM452" s="68"/>
      <c r="AN452" s="68"/>
      <c r="AO452" s="68"/>
      <c r="AP452" s="68"/>
      <c r="AQ452" s="68"/>
      <c r="AR452" s="68"/>
    </row>
    <row r="453" ht="15.75" customHeight="1">
      <c r="A453" s="64"/>
      <c r="B453" s="64"/>
      <c r="D453" s="65"/>
      <c r="F453" s="65"/>
      <c r="G453" s="66"/>
      <c r="H453" s="65"/>
      <c r="I453" s="65"/>
      <c r="J453" s="65"/>
      <c r="K453" s="65"/>
      <c r="L453" s="67"/>
      <c r="M453" s="65"/>
      <c r="N453" s="65"/>
      <c r="O453" s="65"/>
      <c r="P453" s="65"/>
      <c r="Q453" s="65"/>
      <c r="R453" s="65"/>
      <c r="S453" s="65"/>
      <c r="T453" s="65"/>
      <c r="V453" s="68"/>
      <c r="X453" s="68"/>
      <c r="Y453" s="69"/>
      <c r="Z453" s="68"/>
      <c r="AA453" s="68"/>
      <c r="AB453" s="68"/>
      <c r="AC453" s="68"/>
      <c r="AD453" s="68"/>
      <c r="AE453" s="68"/>
      <c r="AF453" s="68"/>
      <c r="AG453" s="68"/>
      <c r="AH453" s="68"/>
      <c r="AI453" s="68"/>
      <c r="AJ453" s="68"/>
      <c r="AK453" s="68"/>
      <c r="AL453" s="68"/>
      <c r="AM453" s="68"/>
      <c r="AN453" s="68"/>
      <c r="AO453" s="68"/>
      <c r="AP453" s="68"/>
      <c r="AQ453" s="68"/>
      <c r="AR453" s="68"/>
    </row>
    <row r="454" ht="15.75" customHeight="1">
      <c r="A454" s="64"/>
      <c r="B454" s="64"/>
      <c r="D454" s="65"/>
      <c r="F454" s="65"/>
      <c r="G454" s="66"/>
      <c r="H454" s="65"/>
      <c r="I454" s="65"/>
      <c r="J454" s="65"/>
      <c r="K454" s="65"/>
      <c r="L454" s="67"/>
      <c r="M454" s="65"/>
      <c r="N454" s="65"/>
      <c r="O454" s="65"/>
      <c r="P454" s="65"/>
      <c r="Q454" s="65"/>
      <c r="R454" s="65"/>
      <c r="S454" s="65"/>
      <c r="T454" s="65"/>
      <c r="V454" s="68"/>
      <c r="X454" s="68"/>
      <c r="Y454" s="69"/>
      <c r="Z454" s="68"/>
      <c r="AA454" s="68"/>
      <c r="AB454" s="68"/>
      <c r="AC454" s="68"/>
      <c r="AD454" s="68"/>
      <c r="AE454" s="68"/>
      <c r="AF454" s="68"/>
      <c r="AG454" s="68"/>
      <c r="AH454" s="68"/>
      <c r="AI454" s="68"/>
      <c r="AJ454" s="68"/>
      <c r="AK454" s="68"/>
      <c r="AL454" s="68"/>
      <c r="AM454" s="68"/>
      <c r="AN454" s="68"/>
      <c r="AO454" s="68"/>
      <c r="AP454" s="68"/>
      <c r="AQ454" s="68"/>
      <c r="AR454" s="68"/>
    </row>
    <row r="455" ht="15.75" customHeight="1">
      <c r="A455" s="64"/>
      <c r="B455" s="64"/>
      <c r="D455" s="65"/>
      <c r="F455" s="65"/>
      <c r="G455" s="66"/>
      <c r="H455" s="65"/>
      <c r="I455" s="65"/>
      <c r="J455" s="65"/>
      <c r="K455" s="65"/>
      <c r="L455" s="67"/>
      <c r="M455" s="65"/>
      <c r="N455" s="65"/>
      <c r="O455" s="65"/>
      <c r="P455" s="65"/>
      <c r="Q455" s="65"/>
      <c r="R455" s="65"/>
      <c r="S455" s="65"/>
      <c r="T455" s="65"/>
      <c r="V455" s="68"/>
      <c r="X455" s="68"/>
      <c r="Y455" s="69"/>
      <c r="Z455" s="68"/>
      <c r="AA455" s="68"/>
      <c r="AB455" s="68"/>
      <c r="AC455" s="68"/>
      <c r="AD455" s="68"/>
      <c r="AE455" s="68"/>
      <c r="AF455" s="68"/>
      <c r="AG455" s="68"/>
      <c r="AH455" s="68"/>
      <c r="AI455" s="68"/>
      <c r="AJ455" s="68"/>
      <c r="AK455" s="68"/>
      <c r="AL455" s="68"/>
      <c r="AM455" s="68"/>
      <c r="AN455" s="68"/>
      <c r="AO455" s="68"/>
      <c r="AP455" s="68"/>
      <c r="AQ455" s="68"/>
      <c r="AR455" s="68"/>
    </row>
    <row r="456" ht="15.75" customHeight="1">
      <c r="A456" s="64"/>
      <c r="B456" s="64"/>
      <c r="D456" s="65"/>
      <c r="F456" s="65"/>
      <c r="G456" s="66"/>
      <c r="H456" s="65"/>
      <c r="I456" s="65"/>
      <c r="J456" s="65"/>
      <c r="K456" s="65"/>
      <c r="L456" s="67"/>
      <c r="M456" s="65"/>
      <c r="N456" s="65"/>
      <c r="O456" s="65"/>
      <c r="P456" s="65"/>
      <c r="Q456" s="65"/>
      <c r="R456" s="65"/>
      <c r="S456" s="65"/>
      <c r="T456" s="65"/>
      <c r="V456" s="68"/>
      <c r="X456" s="68"/>
      <c r="Y456" s="69"/>
      <c r="Z456" s="68"/>
      <c r="AA456" s="68"/>
      <c r="AB456" s="68"/>
      <c r="AC456" s="68"/>
      <c r="AD456" s="68"/>
      <c r="AE456" s="68"/>
      <c r="AF456" s="68"/>
      <c r="AG456" s="68"/>
      <c r="AH456" s="68"/>
      <c r="AI456" s="68"/>
      <c r="AJ456" s="68"/>
      <c r="AK456" s="68"/>
      <c r="AL456" s="68"/>
      <c r="AM456" s="68"/>
      <c r="AN456" s="68"/>
      <c r="AO456" s="68"/>
      <c r="AP456" s="68"/>
      <c r="AQ456" s="68"/>
      <c r="AR456" s="68"/>
    </row>
    <row r="457" ht="15.75" customHeight="1">
      <c r="A457" s="64"/>
      <c r="B457" s="64"/>
      <c r="D457" s="65"/>
      <c r="F457" s="65"/>
      <c r="G457" s="66"/>
      <c r="H457" s="65"/>
      <c r="I457" s="65"/>
      <c r="J457" s="65"/>
      <c r="K457" s="65"/>
      <c r="L457" s="67"/>
      <c r="M457" s="65"/>
      <c r="N457" s="65"/>
      <c r="O457" s="65"/>
      <c r="P457" s="65"/>
      <c r="Q457" s="65"/>
      <c r="R457" s="65"/>
      <c r="S457" s="65"/>
      <c r="T457" s="65"/>
      <c r="V457" s="68"/>
      <c r="X457" s="68"/>
      <c r="Y457" s="69"/>
      <c r="Z457" s="68"/>
      <c r="AA457" s="68"/>
      <c r="AB457" s="68"/>
      <c r="AC457" s="68"/>
      <c r="AD457" s="68"/>
      <c r="AE457" s="68"/>
      <c r="AF457" s="68"/>
      <c r="AG457" s="68"/>
      <c r="AH457" s="68"/>
      <c r="AI457" s="68"/>
      <c r="AJ457" s="68"/>
      <c r="AK457" s="68"/>
      <c r="AL457" s="68"/>
      <c r="AM457" s="68"/>
      <c r="AN457" s="68"/>
      <c r="AO457" s="68"/>
      <c r="AP457" s="68"/>
      <c r="AQ457" s="68"/>
      <c r="AR457" s="68"/>
    </row>
    <row r="458" ht="15.75" customHeight="1">
      <c r="A458" s="64"/>
      <c r="B458" s="64"/>
      <c r="D458" s="65"/>
      <c r="F458" s="65"/>
      <c r="G458" s="66"/>
      <c r="H458" s="65"/>
      <c r="I458" s="65"/>
      <c r="J458" s="65"/>
      <c r="K458" s="65"/>
      <c r="L458" s="67"/>
      <c r="M458" s="65"/>
      <c r="N458" s="65"/>
      <c r="O458" s="65"/>
      <c r="P458" s="65"/>
      <c r="Q458" s="65"/>
      <c r="R458" s="65"/>
      <c r="S458" s="65"/>
      <c r="T458" s="65"/>
      <c r="V458" s="68"/>
      <c r="X458" s="68"/>
      <c r="Y458" s="69"/>
      <c r="Z458" s="68"/>
      <c r="AA458" s="68"/>
      <c r="AB458" s="68"/>
      <c r="AC458" s="68"/>
      <c r="AD458" s="68"/>
      <c r="AE458" s="68"/>
      <c r="AF458" s="68"/>
      <c r="AG458" s="68"/>
      <c r="AH458" s="68"/>
      <c r="AI458" s="68"/>
      <c r="AJ458" s="68"/>
      <c r="AK458" s="68"/>
      <c r="AL458" s="68"/>
      <c r="AM458" s="68"/>
      <c r="AN458" s="68"/>
      <c r="AO458" s="68"/>
      <c r="AP458" s="68"/>
      <c r="AQ458" s="68"/>
      <c r="AR458" s="68"/>
    </row>
    <row r="459" ht="15.75" customHeight="1">
      <c r="A459" s="64"/>
      <c r="B459" s="64"/>
      <c r="D459" s="65"/>
      <c r="F459" s="65"/>
      <c r="G459" s="66"/>
      <c r="H459" s="65"/>
      <c r="I459" s="65"/>
      <c r="J459" s="65"/>
      <c r="K459" s="65"/>
      <c r="L459" s="67"/>
      <c r="M459" s="65"/>
      <c r="N459" s="65"/>
      <c r="O459" s="65"/>
      <c r="P459" s="65"/>
      <c r="Q459" s="65"/>
      <c r="R459" s="65"/>
      <c r="S459" s="65"/>
      <c r="T459" s="65"/>
      <c r="V459" s="68"/>
      <c r="X459" s="68"/>
      <c r="Y459" s="69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</row>
    <row r="460" ht="15.75" customHeight="1">
      <c r="A460" s="64"/>
      <c r="B460" s="64"/>
      <c r="D460" s="65"/>
      <c r="F460" s="65"/>
      <c r="G460" s="66"/>
      <c r="H460" s="65"/>
      <c r="I460" s="65"/>
      <c r="J460" s="65"/>
      <c r="K460" s="65"/>
      <c r="L460" s="67"/>
      <c r="M460" s="65"/>
      <c r="N460" s="65"/>
      <c r="O460" s="65"/>
      <c r="P460" s="65"/>
      <c r="Q460" s="65"/>
      <c r="R460" s="65"/>
      <c r="S460" s="65"/>
      <c r="T460" s="65"/>
      <c r="V460" s="68"/>
      <c r="X460" s="68"/>
      <c r="Y460" s="69"/>
      <c r="Z460" s="68"/>
      <c r="AA460" s="68"/>
      <c r="AB460" s="68"/>
      <c r="AC460" s="68"/>
      <c r="AD460" s="68"/>
      <c r="AE460" s="68"/>
      <c r="AF460" s="68"/>
      <c r="AG460" s="68"/>
      <c r="AH460" s="68"/>
      <c r="AI460" s="68"/>
      <c r="AJ460" s="68"/>
      <c r="AK460" s="68"/>
      <c r="AL460" s="68"/>
      <c r="AM460" s="68"/>
      <c r="AN460" s="68"/>
      <c r="AO460" s="68"/>
      <c r="AP460" s="68"/>
      <c r="AQ460" s="68"/>
      <c r="AR460" s="68"/>
    </row>
    <row r="461" ht="15.75" customHeight="1">
      <c r="A461" s="64"/>
      <c r="B461" s="64"/>
      <c r="D461" s="65"/>
      <c r="F461" s="65"/>
      <c r="G461" s="66"/>
      <c r="H461" s="65"/>
      <c r="I461" s="65"/>
      <c r="J461" s="65"/>
      <c r="K461" s="65"/>
      <c r="L461" s="67"/>
      <c r="M461" s="65"/>
      <c r="N461" s="65"/>
      <c r="O461" s="65"/>
      <c r="P461" s="65"/>
      <c r="Q461" s="65"/>
      <c r="R461" s="65"/>
      <c r="S461" s="65"/>
      <c r="T461" s="65"/>
      <c r="V461" s="68"/>
      <c r="X461" s="68"/>
      <c r="Y461" s="69"/>
      <c r="Z461" s="68"/>
      <c r="AA461" s="68"/>
      <c r="AB461" s="68"/>
      <c r="AC461" s="68"/>
      <c r="AD461" s="68"/>
      <c r="AE461" s="68"/>
      <c r="AF461" s="68"/>
      <c r="AG461" s="68"/>
      <c r="AH461" s="68"/>
      <c r="AI461" s="68"/>
      <c r="AJ461" s="68"/>
      <c r="AK461" s="68"/>
      <c r="AL461" s="68"/>
      <c r="AM461" s="68"/>
      <c r="AN461" s="68"/>
      <c r="AO461" s="68"/>
      <c r="AP461" s="68"/>
      <c r="AQ461" s="68"/>
      <c r="AR461" s="68"/>
    </row>
    <row r="462" ht="15.75" customHeight="1">
      <c r="A462" s="64"/>
      <c r="B462" s="64"/>
      <c r="D462" s="65"/>
      <c r="F462" s="65"/>
      <c r="G462" s="66"/>
      <c r="H462" s="65"/>
      <c r="I462" s="65"/>
      <c r="J462" s="65"/>
      <c r="K462" s="65"/>
      <c r="L462" s="67"/>
      <c r="M462" s="65"/>
      <c r="N462" s="65"/>
      <c r="O462" s="65"/>
      <c r="P462" s="65"/>
      <c r="Q462" s="65"/>
      <c r="R462" s="65"/>
      <c r="S462" s="65"/>
      <c r="T462" s="65"/>
      <c r="V462" s="68"/>
      <c r="X462" s="68"/>
      <c r="Y462" s="69"/>
      <c r="Z462" s="68"/>
      <c r="AA462" s="68"/>
      <c r="AB462" s="68"/>
      <c r="AC462" s="68"/>
      <c r="AD462" s="68"/>
      <c r="AE462" s="68"/>
      <c r="AF462" s="68"/>
      <c r="AG462" s="68"/>
      <c r="AH462" s="68"/>
      <c r="AI462" s="68"/>
      <c r="AJ462" s="68"/>
      <c r="AK462" s="68"/>
      <c r="AL462" s="68"/>
      <c r="AM462" s="68"/>
      <c r="AN462" s="68"/>
      <c r="AO462" s="68"/>
      <c r="AP462" s="68"/>
      <c r="AQ462" s="68"/>
      <c r="AR462" s="68"/>
    </row>
    <row r="463" ht="15.75" customHeight="1">
      <c r="A463" s="64"/>
      <c r="B463" s="64"/>
      <c r="D463" s="65"/>
      <c r="F463" s="65"/>
      <c r="G463" s="66"/>
      <c r="H463" s="65"/>
      <c r="I463" s="65"/>
      <c r="J463" s="65"/>
      <c r="K463" s="65"/>
      <c r="L463" s="67"/>
      <c r="M463" s="65"/>
      <c r="N463" s="65"/>
      <c r="O463" s="65"/>
      <c r="P463" s="65"/>
      <c r="Q463" s="65"/>
      <c r="R463" s="65"/>
      <c r="S463" s="65"/>
      <c r="T463" s="65"/>
      <c r="V463" s="68"/>
      <c r="X463" s="68"/>
      <c r="Y463" s="69"/>
      <c r="Z463" s="68"/>
      <c r="AA463" s="68"/>
      <c r="AB463" s="68"/>
      <c r="AC463" s="68"/>
      <c r="AD463" s="68"/>
      <c r="AE463" s="68"/>
      <c r="AF463" s="68"/>
      <c r="AG463" s="68"/>
      <c r="AH463" s="68"/>
      <c r="AI463" s="68"/>
      <c r="AJ463" s="68"/>
      <c r="AK463" s="68"/>
      <c r="AL463" s="68"/>
      <c r="AM463" s="68"/>
      <c r="AN463" s="68"/>
      <c r="AO463" s="68"/>
      <c r="AP463" s="68"/>
      <c r="AQ463" s="68"/>
      <c r="AR463" s="68"/>
    </row>
    <row r="464" ht="15.75" customHeight="1">
      <c r="A464" s="64"/>
      <c r="B464" s="64"/>
      <c r="D464" s="65"/>
      <c r="F464" s="65"/>
      <c r="G464" s="66"/>
      <c r="H464" s="65"/>
      <c r="I464" s="65"/>
      <c r="J464" s="65"/>
      <c r="K464" s="65"/>
      <c r="L464" s="67"/>
      <c r="M464" s="65"/>
      <c r="N464" s="65"/>
      <c r="O464" s="65"/>
      <c r="P464" s="65"/>
      <c r="Q464" s="65"/>
      <c r="R464" s="65"/>
      <c r="S464" s="65"/>
      <c r="T464" s="65"/>
      <c r="V464" s="68"/>
      <c r="X464" s="68"/>
      <c r="Y464" s="69"/>
      <c r="Z464" s="68"/>
      <c r="AA464" s="68"/>
      <c r="AB464" s="68"/>
      <c r="AC464" s="68"/>
      <c r="AD464" s="68"/>
      <c r="AE464" s="68"/>
      <c r="AF464" s="68"/>
      <c r="AG464" s="68"/>
      <c r="AH464" s="68"/>
      <c r="AI464" s="68"/>
      <c r="AJ464" s="68"/>
      <c r="AK464" s="68"/>
      <c r="AL464" s="68"/>
      <c r="AM464" s="68"/>
      <c r="AN464" s="68"/>
      <c r="AO464" s="68"/>
      <c r="AP464" s="68"/>
      <c r="AQ464" s="68"/>
      <c r="AR464" s="68"/>
    </row>
    <row r="465" ht="15.75" customHeight="1">
      <c r="A465" s="64"/>
      <c r="B465" s="64"/>
      <c r="D465" s="65"/>
      <c r="F465" s="65"/>
      <c r="G465" s="66"/>
      <c r="H465" s="65"/>
      <c r="I465" s="65"/>
      <c r="J465" s="65"/>
      <c r="K465" s="65"/>
      <c r="L465" s="67"/>
      <c r="M465" s="65"/>
      <c r="N465" s="65"/>
      <c r="O465" s="65"/>
      <c r="P465" s="65"/>
      <c r="Q465" s="65"/>
      <c r="R465" s="65"/>
      <c r="S465" s="65"/>
      <c r="T465" s="65"/>
      <c r="V465" s="68"/>
      <c r="X465" s="68"/>
      <c r="Y465" s="69"/>
      <c r="Z465" s="68"/>
      <c r="AA465" s="68"/>
      <c r="AB465" s="68"/>
      <c r="AC465" s="68"/>
      <c r="AD465" s="68"/>
      <c r="AE465" s="68"/>
      <c r="AF465" s="68"/>
      <c r="AG465" s="68"/>
      <c r="AH465" s="68"/>
      <c r="AI465" s="68"/>
      <c r="AJ465" s="68"/>
      <c r="AK465" s="68"/>
      <c r="AL465" s="68"/>
      <c r="AM465" s="68"/>
      <c r="AN465" s="68"/>
      <c r="AO465" s="68"/>
      <c r="AP465" s="68"/>
      <c r="AQ465" s="68"/>
      <c r="AR465" s="68"/>
    </row>
    <row r="466" ht="15.75" customHeight="1">
      <c r="A466" s="64"/>
      <c r="B466" s="64"/>
      <c r="D466" s="65"/>
      <c r="F466" s="65"/>
      <c r="G466" s="66"/>
      <c r="H466" s="65"/>
      <c r="I466" s="65"/>
      <c r="J466" s="65"/>
      <c r="K466" s="65"/>
      <c r="L466" s="67"/>
      <c r="M466" s="65"/>
      <c r="N466" s="65"/>
      <c r="O466" s="65"/>
      <c r="P466" s="65"/>
      <c r="Q466" s="65"/>
      <c r="R466" s="65"/>
      <c r="S466" s="65"/>
      <c r="T466" s="65"/>
      <c r="V466" s="68"/>
      <c r="X466" s="68"/>
      <c r="Y466" s="69"/>
      <c r="Z466" s="68"/>
      <c r="AA466" s="68"/>
      <c r="AB466" s="68"/>
      <c r="AC466" s="68"/>
      <c r="AD466" s="68"/>
      <c r="AE466" s="68"/>
      <c r="AF466" s="68"/>
      <c r="AG466" s="68"/>
      <c r="AH466" s="68"/>
      <c r="AI466" s="68"/>
      <c r="AJ466" s="68"/>
      <c r="AK466" s="68"/>
      <c r="AL466" s="68"/>
      <c r="AM466" s="68"/>
      <c r="AN466" s="68"/>
      <c r="AO466" s="68"/>
      <c r="AP466" s="68"/>
      <c r="AQ466" s="68"/>
      <c r="AR466" s="68"/>
    </row>
    <row r="467" ht="15.75" customHeight="1">
      <c r="A467" s="64"/>
      <c r="B467" s="64"/>
      <c r="D467" s="65"/>
      <c r="F467" s="65"/>
      <c r="G467" s="66"/>
      <c r="H467" s="65"/>
      <c r="I467" s="65"/>
      <c r="J467" s="65"/>
      <c r="K467" s="65"/>
      <c r="L467" s="67"/>
      <c r="M467" s="65"/>
      <c r="N467" s="65"/>
      <c r="O467" s="65"/>
      <c r="P467" s="65"/>
      <c r="Q467" s="65"/>
      <c r="R467" s="65"/>
      <c r="S467" s="65"/>
      <c r="T467" s="65"/>
      <c r="V467" s="68"/>
      <c r="X467" s="68"/>
      <c r="Y467" s="69"/>
      <c r="Z467" s="68"/>
      <c r="AA467" s="68"/>
      <c r="AB467" s="68"/>
      <c r="AC467" s="68"/>
      <c r="AD467" s="68"/>
      <c r="AE467" s="68"/>
      <c r="AF467" s="68"/>
      <c r="AG467" s="68"/>
      <c r="AH467" s="68"/>
      <c r="AI467" s="68"/>
      <c r="AJ467" s="68"/>
      <c r="AK467" s="68"/>
      <c r="AL467" s="68"/>
      <c r="AM467" s="68"/>
      <c r="AN467" s="68"/>
      <c r="AO467" s="68"/>
      <c r="AP467" s="68"/>
      <c r="AQ467" s="68"/>
      <c r="AR467" s="68"/>
    </row>
    <row r="468" ht="15.75" customHeight="1">
      <c r="A468" s="64"/>
      <c r="B468" s="64"/>
      <c r="D468" s="65"/>
      <c r="F468" s="65"/>
      <c r="G468" s="66"/>
      <c r="H468" s="65"/>
      <c r="I468" s="65"/>
      <c r="J468" s="65"/>
      <c r="K468" s="65"/>
      <c r="L468" s="67"/>
      <c r="M468" s="65"/>
      <c r="N468" s="65"/>
      <c r="O468" s="65"/>
      <c r="P468" s="65"/>
      <c r="Q468" s="65"/>
      <c r="R468" s="65"/>
      <c r="S468" s="65"/>
      <c r="T468" s="65"/>
      <c r="V468" s="68"/>
      <c r="X468" s="68"/>
      <c r="Y468" s="69"/>
      <c r="Z468" s="68"/>
      <c r="AA468" s="68"/>
      <c r="AB468" s="68"/>
      <c r="AC468" s="68"/>
      <c r="AD468" s="68"/>
      <c r="AE468" s="68"/>
      <c r="AF468" s="68"/>
      <c r="AG468" s="68"/>
      <c r="AH468" s="68"/>
      <c r="AI468" s="68"/>
      <c r="AJ468" s="68"/>
      <c r="AK468" s="68"/>
      <c r="AL468" s="68"/>
      <c r="AM468" s="68"/>
      <c r="AN468" s="68"/>
      <c r="AO468" s="68"/>
      <c r="AP468" s="68"/>
      <c r="AQ468" s="68"/>
      <c r="AR468" s="68"/>
    </row>
    <row r="469" ht="15.75" customHeight="1">
      <c r="A469" s="64"/>
      <c r="B469" s="64"/>
      <c r="D469" s="65"/>
      <c r="F469" s="65"/>
      <c r="G469" s="66"/>
      <c r="H469" s="65"/>
      <c r="I469" s="65"/>
      <c r="J469" s="65"/>
      <c r="K469" s="65"/>
      <c r="L469" s="67"/>
      <c r="M469" s="65"/>
      <c r="N469" s="65"/>
      <c r="O469" s="65"/>
      <c r="P469" s="65"/>
      <c r="Q469" s="65"/>
      <c r="R469" s="65"/>
      <c r="S469" s="65"/>
      <c r="T469" s="65"/>
      <c r="V469" s="68"/>
      <c r="X469" s="68"/>
      <c r="Y469" s="69"/>
      <c r="Z469" s="68"/>
      <c r="AA469" s="68"/>
      <c r="AB469" s="68"/>
      <c r="AC469" s="68"/>
      <c r="AD469" s="68"/>
      <c r="AE469" s="68"/>
      <c r="AF469" s="68"/>
      <c r="AG469" s="68"/>
      <c r="AH469" s="68"/>
      <c r="AI469" s="68"/>
      <c r="AJ469" s="68"/>
      <c r="AK469" s="68"/>
      <c r="AL469" s="68"/>
      <c r="AM469" s="68"/>
      <c r="AN469" s="68"/>
      <c r="AO469" s="68"/>
      <c r="AP469" s="68"/>
      <c r="AQ469" s="68"/>
      <c r="AR469" s="68"/>
    </row>
    <row r="470" ht="15.75" customHeight="1">
      <c r="A470" s="64"/>
      <c r="B470" s="64"/>
      <c r="D470" s="65"/>
      <c r="F470" s="65"/>
      <c r="G470" s="66"/>
      <c r="H470" s="65"/>
      <c r="I470" s="65"/>
      <c r="J470" s="65"/>
      <c r="K470" s="65"/>
      <c r="L470" s="67"/>
      <c r="M470" s="65"/>
      <c r="N470" s="65"/>
      <c r="O470" s="65"/>
      <c r="P470" s="65"/>
      <c r="Q470" s="65"/>
      <c r="R470" s="65"/>
      <c r="S470" s="65"/>
      <c r="T470" s="65"/>
      <c r="V470" s="68"/>
      <c r="X470" s="68"/>
      <c r="Y470" s="69"/>
      <c r="Z470" s="68"/>
      <c r="AA470" s="68"/>
      <c r="AB470" s="68"/>
      <c r="AC470" s="68"/>
      <c r="AD470" s="68"/>
      <c r="AE470" s="68"/>
      <c r="AF470" s="68"/>
      <c r="AG470" s="68"/>
      <c r="AH470" s="68"/>
      <c r="AI470" s="68"/>
      <c r="AJ470" s="68"/>
      <c r="AK470" s="68"/>
      <c r="AL470" s="68"/>
      <c r="AM470" s="68"/>
      <c r="AN470" s="68"/>
      <c r="AO470" s="68"/>
      <c r="AP470" s="68"/>
      <c r="AQ470" s="68"/>
      <c r="AR470" s="68"/>
    </row>
    <row r="471" ht="15.75" customHeight="1">
      <c r="A471" s="64"/>
      <c r="B471" s="64"/>
      <c r="D471" s="65"/>
      <c r="F471" s="65"/>
      <c r="G471" s="66"/>
      <c r="H471" s="65"/>
      <c r="I471" s="65"/>
      <c r="J471" s="65"/>
      <c r="K471" s="65"/>
      <c r="L471" s="67"/>
      <c r="M471" s="65"/>
      <c r="N471" s="65"/>
      <c r="O471" s="65"/>
      <c r="P471" s="65"/>
      <c r="Q471" s="65"/>
      <c r="R471" s="65"/>
      <c r="S471" s="65"/>
      <c r="T471" s="65"/>
      <c r="V471" s="68"/>
      <c r="X471" s="68"/>
      <c r="Y471" s="69"/>
      <c r="Z471" s="68"/>
      <c r="AA471" s="68"/>
      <c r="AB471" s="68"/>
      <c r="AC471" s="68"/>
      <c r="AD471" s="68"/>
      <c r="AE471" s="68"/>
      <c r="AF471" s="68"/>
      <c r="AG471" s="68"/>
      <c r="AH471" s="68"/>
      <c r="AI471" s="68"/>
      <c r="AJ471" s="68"/>
      <c r="AK471" s="68"/>
      <c r="AL471" s="68"/>
      <c r="AM471" s="68"/>
      <c r="AN471" s="68"/>
      <c r="AO471" s="68"/>
      <c r="AP471" s="68"/>
      <c r="AQ471" s="68"/>
      <c r="AR471" s="68"/>
    </row>
    <row r="472" ht="15.75" customHeight="1">
      <c r="A472" s="64"/>
      <c r="B472" s="64"/>
      <c r="D472" s="65"/>
      <c r="F472" s="65"/>
      <c r="G472" s="66"/>
      <c r="H472" s="65"/>
      <c r="I472" s="65"/>
      <c r="J472" s="65"/>
      <c r="K472" s="65"/>
      <c r="L472" s="67"/>
      <c r="M472" s="65"/>
      <c r="N472" s="65"/>
      <c r="O472" s="65"/>
      <c r="P472" s="65"/>
      <c r="Q472" s="65"/>
      <c r="R472" s="65"/>
      <c r="S472" s="65"/>
      <c r="T472" s="65"/>
      <c r="V472" s="68"/>
      <c r="X472" s="68"/>
      <c r="Y472" s="69"/>
      <c r="Z472" s="68"/>
      <c r="AA472" s="68"/>
      <c r="AB472" s="68"/>
      <c r="AC472" s="68"/>
      <c r="AD472" s="68"/>
      <c r="AE472" s="68"/>
      <c r="AF472" s="68"/>
      <c r="AG472" s="68"/>
      <c r="AH472" s="68"/>
      <c r="AI472" s="68"/>
      <c r="AJ472" s="68"/>
      <c r="AK472" s="68"/>
      <c r="AL472" s="68"/>
      <c r="AM472" s="68"/>
      <c r="AN472" s="68"/>
      <c r="AO472" s="68"/>
      <c r="AP472" s="68"/>
      <c r="AQ472" s="68"/>
      <c r="AR472" s="68"/>
    </row>
    <row r="473" ht="15.75" customHeight="1">
      <c r="A473" s="64"/>
      <c r="B473" s="64"/>
      <c r="D473" s="65"/>
      <c r="F473" s="65"/>
      <c r="G473" s="66"/>
      <c r="H473" s="65"/>
      <c r="I473" s="65"/>
      <c r="J473" s="65"/>
      <c r="K473" s="65"/>
      <c r="L473" s="67"/>
      <c r="M473" s="65"/>
      <c r="N473" s="65"/>
      <c r="O473" s="65"/>
      <c r="P473" s="65"/>
      <c r="Q473" s="65"/>
      <c r="R473" s="65"/>
      <c r="S473" s="65"/>
      <c r="T473" s="65"/>
      <c r="V473" s="68"/>
      <c r="X473" s="68"/>
      <c r="Y473" s="69"/>
      <c r="Z473" s="68"/>
      <c r="AA473" s="68"/>
      <c r="AB473" s="68"/>
      <c r="AC473" s="68"/>
      <c r="AD473" s="68"/>
      <c r="AE473" s="68"/>
      <c r="AF473" s="68"/>
      <c r="AG473" s="68"/>
      <c r="AH473" s="68"/>
      <c r="AI473" s="68"/>
      <c r="AJ473" s="68"/>
      <c r="AK473" s="68"/>
      <c r="AL473" s="68"/>
      <c r="AM473" s="68"/>
      <c r="AN473" s="68"/>
      <c r="AO473" s="68"/>
      <c r="AP473" s="68"/>
      <c r="AQ473" s="68"/>
      <c r="AR473" s="68"/>
    </row>
    <row r="474" ht="15.75" customHeight="1">
      <c r="A474" s="64"/>
      <c r="B474" s="64"/>
      <c r="D474" s="65"/>
      <c r="F474" s="65"/>
      <c r="G474" s="66"/>
      <c r="H474" s="65"/>
      <c r="I474" s="65"/>
      <c r="J474" s="65"/>
      <c r="K474" s="65"/>
      <c r="L474" s="67"/>
      <c r="M474" s="65"/>
      <c r="N474" s="65"/>
      <c r="O474" s="65"/>
      <c r="P474" s="65"/>
      <c r="Q474" s="65"/>
      <c r="R474" s="65"/>
      <c r="S474" s="65"/>
      <c r="T474" s="65"/>
      <c r="V474" s="68"/>
      <c r="X474" s="68"/>
      <c r="Y474" s="69"/>
      <c r="Z474" s="68"/>
      <c r="AA474" s="68"/>
      <c r="AB474" s="68"/>
      <c r="AC474" s="68"/>
      <c r="AD474" s="68"/>
      <c r="AE474" s="68"/>
      <c r="AF474" s="68"/>
      <c r="AG474" s="68"/>
      <c r="AH474" s="68"/>
      <c r="AI474" s="68"/>
      <c r="AJ474" s="68"/>
      <c r="AK474" s="68"/>
      <c r="AL474" s="68"/>
      <c r="AM474" s="68"/>
      <c r="AN474" s="68"/>
      <c r="AO474" s="68"/>
      <c r="AP474" s="68"/>
      <c r="AQ474" s="68"/>
      <c r="AR474" s="68"/>
    </row>
    <row r="475" ht="15.75" customHeight="1">
      <c r="A475" s="64"/>
      <c r="B475" s="64"/>
      <c r="D475" s="65"/>
      <c r="F475" s="65"/>
      <c r="G475" s="66"/>
      <c r="H475" s="65"/>
      <c r="I475" s="65"/>
      <c r="J475" s="65"/>
      <c r="K475" s="65"/>
      <c r="L475" s="67"/>
      <c r="M475" s="65"/>
      <c r="N475" s="65"/>
      <c r="O475" s="65"/>
      <c r="P475" s="65"/>
      <c r="Q475" s="65"/>
      <c r="R475" s="65"/>
      <c r="S475" s="65"/>
      <c r="T475" s="65"/>
      <c r="V475" s="68"/>
      <c r="X475" s="68"/>
      <c r="Y475" s="69"/>
      <c r="Z475" s="68"/>
      <c r="AA475" s="68"/>
      <c r="AB475" s="68"/>
      <c r="AC475" s="68"/>
      <c r="AD475" s="68"/>
      <c r="AE475" s="68"/>
      <c r="AF475" s="68"/>
      <c r="AG475" s="68"/>
      <c r="AH475" s="68"/>
      <c r="AI475" s="68"/>
      <c r="AJ475" s="68"/>
      <c r="AK475" s="68"/>
      <c r="AL475" s="68"/>
      <c r="AM475" s="68"/>
      <c r="AN475" s="68"/>
      <c r="AO475" s="68"/>
      <c r="AP475" s="68"/>
      <c r="AQ475" s="68"/>
      <c r="AR475" s="68"/>
    </row>
    <row r="476" ht="15.75" customHeight="1">
      <c r="A476" s="64"/>
      <c r="B476" s="64"/>
      <c r="D476" s="65"/>
      <c r="F476" s="65"/>
      <c r="G476" s="66"/>
      <c r="H476" s="65"/>
      <c r="I476" s="65"/>
      <c r="J476" s="65"/>
      <c r="K476" s="65"/>
      <c r="L476" s="67"/>
      <c r="M476" s="65"/>
      <c r="N476" s="65"/>
      <c r="O476" s="65"/>
      <c r="P476" s="65"/>
      <c r="Q476" s="65"/>
      <c r="R476" s="65"/>
      <c r="S476" s="65"/>
      <c r="T476" s="65"/>
      <c r="V476" s="68"/>
      <c r="X476" s="68"/>
      <c r="Y476" s="69"/>
      <c r="Z476" s="68"/>
      <c r="AA476" s="68"/>
      <c r="AB476" s="68"/>
      <c r="AC476" s="68"/>
      <c r="AD476" s="68"/>
      <c r="AE476" s="68"/>
      <c r="AF476" s="68"/>
      <c r="AG476" s="68"/>
      <c r="AH476" s="68"/>
      <c r="AI476" s="68"/>
      <c r="AJ476" s="68"/>
      <c r="AK476" s="68"/>
      <c r="AL476" s="68"/>
      <c r="AM476" s="68"/>
      <c r="AN476" s="68"/>
      <c r="AO476" s="68"/>
      <c r="AP476" s="68"/>
      <c r="AQ476" s="68"/>
      <c r="AR476" s="68"/>
    </row>
    <row r="477" ht="15.75" customHeight="1">
      <c r="A477" s="64"/>
      <c r="B477" s="64"/>
      <c r="D477" s="65"/>
      <c r="F477" s="65"/>
      <c r="G477" s="66"/>
      <c r="H477" s="65"/>
      <c r="I477" s="65"/>
      <c r="J477" s="65"/>
      <c r="K477" s="65"/>
      <c r="L477" s="67"/>
      <c r="M477" s="65"/>
      <c r="N477" s="65"/>
      <c r="O477" s="65"/>
      <c r="P477" s="65"/>
      <c r="Q477" s="65"/>
      <c r="R477" s="65"/>
      <c r="S477" s="65"/>
      <c r="T477" s="65"/>
      <c r="V477" s="68"/>
      <c r="X477" s="68"/>
      <c r="Y477" s="69"/>
      <c r="Z477" s="68"/>
      <c r="AA477" s="68"/>
      <c r="AB477" s="68"/>
      <c r="AC477" s="68"/>
      <c r="AD477" s="68"/>
      <c r="AE477" s="68"/>
      <c r="AF477" s="68"/>
      <c r="AG477" s="68"/>
      <c r="AH477" s="68"/>
      <c r="AI477" s="68"/>
      <c r="AJ477" s="68"/>
      <c r="AK477" s="68"/>
      <c r="AL477" s="68"/>
      <c r="AM477" s="68"/>
      <c r="AN477" s="68"/>
      <c r="AO477" s="68"/>
      <c r="AP477" s="68"/>
      <c r="AQ477" s="68"/>
      <c r="AR477" s="68"/>
    </row>
    <row r="478" ht="15.75" customHeight="1">
      <c r="A478" s="64"/>
      <c r="B478" s="64"/>
      <c r="D478" s="65"/>
      <c r="F478" s="65"/>
      <c r="G478" s="66"/>
      <c r="H478" s="65"/>
      <c r="I478" s="65"/>
      <c r="J478" s="65"/>
      <c r="K478" s="65"/>
      <c r="L478" s="67"/>
      <c r="M478" s="65"/>
      <c r="N478" s="65"/>
      <c r="O478" s="65"/>
      <c r="P478" s="65"/>
      <c r="Q478" s="65"/>
      <c r="R478" s="65"/>
      <c r="S478" s="65"/>
      <c r="T478" s="65"/>
      <c r="V478" s="68"/>
      <c r="X478" s="68"/>
      <c r="Y478" s="69"/>
      <c r="Z478" s="68"/>
      <c r="AA478" s="68"/>
      <c r="AB478" s="68"/>
      <c r="AC478" s="68"/>
      <c r="AD478" s="68"/>
      <c r="AE478" s="68"/>
      <c r="AF478" s="68"/>
      <c r="AG478" s="68"/>
      <c r="AH478" s="68"/>
      <c r="AI478" s="68"/>
      <c r="AJ478" s="68"/>
      <c r="AK478" s="68"/>
      <c r="AL478" s="68"/>
      <c r="AM478" s="68"/>
      <c r="AN478" s="68"/>
      <c r="AO478" s="68"/>
      <c r="AP478" s="68"/>
      <c r="AQ478" s="68"/>
      <c r="AR478" s="68"/>
    </row>
    <row r="479" ht="15.75" customHeight="1">
      <c r="A479" s="64"/>
      <c r="B479" s="64"/>
      <c r="D479" s="65"/>
      <c r="F479" s="65"/>
      <c r="G479" s="66"/>
      <c r="H479" s="65"/>
      <c r="I479" s="65"/>
      <c r="J479" s="65"/>
      <c r="K479" s="65"/>
      <c r="L479" s="67"/>
      <c r="M479" s="65"/>
      <c r="N479" s="65"/>
      <c r="O479" s="65"/>
      <c r="P479" s="65"/>
      <c r="Q479" s="65"/>
      <c r="R479" s="65"/>
      <c r="S479" s="65"/>
      <c r="T479" s="65"/>
      <c r="V479" s="68"/>
      <c r="X479" s="68"/>
      <c r="Y479" s="69"/>
      <c r="Z479" s="68"/>
      <c r="AA479" s="68"/>
      <c r="AB479" s="68"/>
      <c r="AC479" s="68"/>
      <c r="AD479" s="68"/>
      <c r="AE479" s="68"/>
      <c r="AF479" s="68"/>
      <c r="AG479" s="68"/>
      <c r="AH479" s="68"/>
      <c r="AI479" s="68"/>
      <c r="AJ479" s="68"/>
      <c r="AK479" s="68"/>
      <c r="AL479" s="68"/>
      <c r="AM479" s="68"/>
      <c r="AN479" s="68"/>
      <c r="AO479" s="68"/>
      <c r="AP479" s="68"/>
      <c r="AQ479" s="68"/>
      <c r="AR479" s="68"/>
    </row>
    <row r="480" ht="15.75" customHeight="1">
      <c r="A480" s="64"/>
      <c r="B480" s="64"/>
      <c r="D480" s="65"/>
      <c r="F480" s="65"/>
      <c r="G480" s="66"/>
      <c r="H480" s="65"/>
      <c r="I480" s="65"/>
      <c r="J480" s="65"/>
      <c r="K480" s="65"/>
      <c r="L480" s="67"/>
      <c r="M480" s="65"/>
      <c r="N480" s="65"/>
      <c r="O480" s="65"/>
      <c r="P480" s="65"/>
      <c r="Q480" s="65"/>
      <c r="R480" s="65"/>
      <c r="S480" s="65"/>
      <c r="T480" s="65"/>
      <c r="V480" s="68"/>
      <c r="X480" s="68"/>
      <c r="Y480" s="69"/>
      <c r="Z480" s="68"/>
      <c r="AA480" s="68"/>
      <c r="AB480" s="68"/>
      <c r="AC480" s="68"/>
      <c r="AD480" s="68"/>
      <c r="AE480" s="68"/>
      <c r="AF480" s="68"/>
      <c r="AG480" s="68"/>
      <c r="AH480" s="68"/>
      <c r="AI480" s="68"/>
      <c r="AJ480" s="68"/>
      <c r="AK480" s="68"/>
      <c r="AL480" s="68"/>
      <c r="AM480" s="68"/>
      <c r="AN480" s="68"/>
      <c r="AO480" s="68"/>
      <c r="AP480" s="68"/>
      <c r="AQ480" s="68"/>
      <c r="AR480" s="68"/>
    </row>
    <row r="481" ht="15.75" customHeight="1">
      <c r="A481" s="64"/>
      <c r="B481" s="64"/>
      <c r="D481" s="65"/>
      <c r="F481" s="65"/>
      <c r="G481" s="66"/>
      <c r="H481" s="65"/>
      <c r="I481" s="65"/>
      <c r="J481" s="65"/>
      <c r="K481" s="65"/>
      <c r="L481" s="67"/>
      <c r="M481" s="65"/>
      <c r="N481" s="65"/>
      <c r="O481" s="65"/>
      <c r="P481" s="65"/>
      <c r="Q481" s="65"/>
      <c r="R481" s="65"/>
      <c r="S481" s="65"/>
      <c r="T481" s="65"/>
      <c r="V481" s="68"/>
      <c r="X481" s="68"/>
      <c r="Y481" s="69"/>
      <c r="Z481" s="68"/>
      <c r="AA481" s="68"/>
      <c r="AB481" s="68"/>
      <c r="AC481" s="68"/>
      <c r="AD481" s="68"/>
      <c r="AE481" s="68"/>
      <c r="AF481" s="68"/>
      <c r="AG481" s="68"/>
      <c r="AH481" s="68"/>
      <c r="AI481" s="68"/>
      <c r="AJ481" s="68"/>
      <c r="AK481" s="68"/>
      <c r="AL481" s="68"/>
      <c r="AM481" s="68"/>
      <c r="AN481" s="68"/>
      <c r="AO481" s="68"/>
      <c r="AP481" s="68"/>
      <c r="AQ481" s="68"/>
      <c r="AR481" s="68"/>
    </row>
    <row r="482" ht="15.75" customHeight="1">
      <c r="A482" s="64"/>
      <c r="B482" s="64"/>
      <c r="D482" s="65"/>
      <c r="F482" s="65"/>
      <c r="G482" s="66"/>
      <c r="H482" s="65"/>
      <c r="I482" s="65"/>
      <c r="J482" s="65"/>
      <c r="K482" s="65"/>
      <c r="L482" s="67"/>
      <c r="M482" s="65"/>
      <c r="N482" s="65"/>
      <c r="O482" s="65"/>
      <c r="P482" s="65"/>
      <c r="Q482" s="65"/>
      <c r="R482" s="65"/>
      <c r="S482" s="65"/>
      <c r="T482" s="65"/>
      <c r="V482" s="68"/>
      <c r="X482" s="68"/>
      <c r="Y482" s="69"/>
      <c r="Z482" s="68"/>
      <c r="AA482" s="68"/>
      <c r="AB482" s="68"/>
      <c r="AC482" s="68"/>
      <c r="AD482" s="68"/>
      <c r="AE482" s="68"/>
      <c r="AF482" s="68"/>
      <c r="AG482" s="68"/>
      <c r="AH482" s="68"/>
      <c r="AI482" s="68"/>
      <c r="AJ482" s="68"/>
      <c r="AK482" s="68"/>
      <c r="AL482" s="68"/>
      <c r="AM482" s="68"/>
      <c r="AN482" s="68"/>
      <c r="AO482" s="68"/>
      <c r="AP482" s="68"/>
      <c r="AQ482" s="68"/>
      <c r="AR482" s="68"/>
    </row>
    <row r="483" ht="15.75" customHeight="1">
      <c r="A483" s="64"/>
      <c r="B483" s="64"/>
      <c r="D483" s="65"/>
      <c r="F483" s="65"/>
      <c r="G483" s="66"/>
      <c r="H483" s="65"/>
      <c r="I483" s="65"/>
      <c r="J483" s="65"/>
      <c r="K483" s="65"/>
      <c r="L483" s="67"/>
      <c r="M483" s="65"/>
      <c r="N483" s="65"/>
      <c r="O483" s="65"/>
      <c r="P483" s="65"/>
      <c r="Q483" s="65"/>
      <c r="R483" s="65"/>
      <c r="S483" s="65"/>
      <c r="T483" s="65"/>
      <c r="V483" s="68"/>
      <c r="X483" s="68"/>
      <c r="Y483" s="69"/>
      <c r="Z483" s="68"/>
      <c r="AA483" s="68"/>
      <c r="AB483" s="68"/>
      <c r="AC483" s="68"/>
      <c r="AD483" s="68"/>
      <c r="AE483" s="68"/>
      <c r="AF483" s="68"/>
      <c r="AG483" s="68"/>
      <c r="AH483" s="68"/>
      <c r="AI483" s="68"/>
      <c r="AJ483" s="68"/>
      <c r="AK483" s="68"/>
      <c r="AL483" s="68"/>
      <c r="AM483" s="68"/>
      <c r="AN483" s="68"/>
      <c r="AO483" s="68"/>
      <c r="AP483" s="68"/>
      <c r="AQ483" s="68"/>
      <c r="AR483" s="68"/>
    </row>
    <row r="484" ht="15.75" customHeight="1">
      <c r="A484" s="64"/>
      <c r="B484" s="64"/>
      <c r="D484" s="65"/>
      <c r="F484" s="65"/>
      <c r="G484" s="66"/>
      <c r="H484" s="65"/>
      <c r="I484" s="65"/>
      <c r="J484" s="65"/>
      <c r="K484" s="65"/>
      <c r="L484" s="67"/>
      <c r="M484" s="65"/>
      <c r="N484" s="65"/>
      <c r="O484" s="65"/>
      <c r="P484" s="65"/>
      <c r="Q484" s="65"/>
      <c r="R484" s="65"/>
      <c r="S484" s="65"/>
      <c r="T484" s="65"/>
      <c r="V484" s="68"/>
      <c r="X484" s="68"/>
      <c r="Y484" s="69"/>
      <c r="Z484" s="68"/>
      <c r="AA484" s="68"/>
      <c r="AB484" s="68"/>
      <c r="AC484" s="68"/>
      <c r="AD484" s="68"/>
      <c r="AE484" s="68"/>
      <c r="AF484" s="68"/>
      <c r="AG484" s="68"/>
      <c r="AH484" s="68"/>
      <c r="AI484" s="68"/>
      <c r="AJ484" s="68"/>
      <c r="AK484" s="68"/>
      <c r="AL484" s="68"/>
      <c r="AM484" s="68"/>
      <c r="AN484" s="68"/>
      <c r="AO484" s="68"/>
      <c r="AP484" s="68"/>
      <c r="AQ484" s="68"/>
      <c r="AR484" s="68"/>
    </row>
    <row r="485" ht="15.75" customHeight="1">
      <c r="A485" s="64"/>
      <c r="B485" s="64"/>
      <c r="D485" s="65"/>
      <c r="F485" s="65"/>
      <c r="G485" s="66"/>
      <c r="H485" s="65"/>
      <c r="I485" s="65"/>
      <c r="J485" s="65"/>
      <c r="K485" s="65"/>
      <c r="L485" s="67"/>
      <c r="M485" s="65"/>
      <c r="N485" s="65"/>
      <c r="O485" s="65"/>
      <c r="P485" s="65"/>
      <c r="Q485" s="65"/>
      <c r="R485" s="65"/>
      <c r="S485" s="65"/>
      <c r="T485" s="65"/>
      <c r="V485" s="68"/>
      <c r="X485" s="68"/>
      <c r="Y485" s="69"/>
      <c r="Z485" s="68"/>
      <c r="AA485" s="68"/>
      <c r="AB485" s="68"/>
      <c r="AC485" s="68"/>
      <c r="AD485" s="68"/>
      <c r="AE485" s="68"/>
      <c r="AF485" s="68"/>
      <c r="AG485" s="68"/>
      <c r="AH485" s="68"/>
      <c r="AI485" s="68"/>
      <c r="AJ485" s="68"/>
      <c r="AK485" s="68"/>
      <c r="AL485" s="68"/>
      <c r="AM485" s="68"/>
      <c r="AN485" s="68"/>
      <c r="AO485" s="68"/>
      <c r="AP485" s="68"/>
      <c r="AQ485" s="68"/>
      <c r="AR485" s="68"/>
    </row>
    <row r="486" ht="15.75" customHeight="1">
      <c r="A486" s="64"/>
      <c r="B486" s="64"/>
      <c r="D486" s="65"/>
      <c r="F486" s="65"/>
      <c r="G486" s="66"/>
      <c r="H486" s="65"/>
      <c r="I486" s="65"/>
      <c r="J486" s="65"/>
      <c r="K486" s="65"/>
      <c r="L486" s="67"/>
      <c r="M486" s="65"/>
      <c r="N486" s="65"/>
      <c r="O486" s="65"/>
      <c r="P486" s="65"/>
      <c r="Q486" s="65"/>
      <c r="R486" s="65"/>
      <c r="S486" s="65"/>
      <c r="T486" s="65"/>
      <c r="V486" s="68"/>
      <c r="X486" s="68"/>
      <c r="Y486" s="69"/>
      <c r="Z486" s="68"/>
      <c r="AA486" s="68"/>
      <c r="AB486" s="68"/>
      <c r="AC486" s="68"/>
      <c r="AD486" s="68"/>
      <c r="AE486" s="68"/>
      <c r="AF486" s="68"/>
      <c r="AG486" s="68"/>
      <c r="AH486" s="68"/>
      <c r="AI486" s="68"/>
      <c r="AJ486" s="68"/>
      <c r="AK486" s="68"/>
      <c r="AL486" s="68"/>
      <c r="AM486" s="68"/>
      <c r="AN486" s="68"/>
      <c r="AO486" s="68"/>
      <c r="AP486" s="68"/>
      <c r="AQ486" s="68"/>
      <c r="AR486" s="68"/>
    </row>
    <row r="487" ht="15.75" customHeight="1">
      <c r="A487" s="64"/>
      <c r="B487" s="64"/>
      <c r="D487" s="65"/>
      <c r="F487" s="65"/>
      <c r="G487" s="66"/>
      <c r="H487" s="65"/>
      <c r="I487" s="65"/>
      <c r="J487" s="65"/>
      <c r="K487" s="65"/>
      <c r="L487" s="67"/>
      <c r="M487" s="65"/>
      <c r="N487" s="65"/>
      <c r="O487" s="65"/>
      <c r="P487" s="65"/>
      <c r="Q487" s="65"/>
      <c r="R487" s="65"/>
      <c r="S487" s="65"/>
      <c r="T487" s="65"/>
      <c r="V487" s="68"/>
      <c r="X487" s="68"/>
      <c r="Y487" s="69"/>
      <c r="Z487" s="68"/>
      <c r="AA487" s="68"/>
      <c r="AB487" s="68"/>
      <c r="AC487" s="68"/>
      <c r="AD487" s="68"/>
      <c r="AE487" s="68"/>
      <c r="AF487" s="68"/>
      <c r="AG487" s="68"/>
      <c r="AH487" s="68"/>
      <c r="AI487" s="68"/>
      <c r="AJ487" s="68"/>
      <c r="AK487" s="68"/>
      <c r="AL487" s="68"/>
      <c r="AM487" s="68"/>
      <c r="AN487" s="68"/>
      <c r="AO487" s="68"/>
      <c r="AP487" s="68"/>
      <c r="AQ487" s="68"/>
      <c r="AR487" s="68"/>
    </row>
    <row r="488" ht="15.75" customHeight="1">
      <c r="A488" s="64"/>
      <c r="B488" s="64"/>
      <c r="D488" s="65"/>
      <c r="F488" s="65"/>
      <c r="G488" s="66"/>
      <c r="H488" s="65"/>
      <c r="I488" s="65"/>
      <c r="J488" s="65"/>
      <c r="K488" s="65"/>
      <c r="L488" s="67"/>
      <c r="M488" s="65"/>
      <c r="N488" s="65"/>
      <c r="O488" s="65"/>
      <c r="P488" s="65"/>
      <c r="Q488" s="65"/>
      <c r="R488" s="65"/>
      <c r="S488" s="65"/>
      <c r="T488" s="65"/>
      <c r="V488" s="68"/>
      <c r="X488" s="68"/>
      <c r="Y488" s="69"/>
      <c r="Z488" s="68"/>
      <c r="AA488" s="68"/>
      <c r="AB488" s="68"/>
      <c r="AC488" s="68"/>
      <c r="AD488" s="68"/>
      <c r="AE488" s="68"/>
      <c r="AF488" s="68"/>
      <c r="AG488" s="68"/>
      <c r="AH488" s="68"/>
      <c r="AI488" s="68"/>
      <c r="AJ488" s="68"/>
      <c r="AK488" s="68"/>
      <c r="AL488" s="68"/>
      <c r="AM488" s="68"/>
      <c r="AN488" s="68"/>
      <c r="AO488" s="68"/>
      <c r="AP488" s="68"/>
      <c r="AQ488" s="68"/>
      <c r="AR488" s="68"/>
    </row>
    <row r="489" ht="15.75" customHeight="1">
      <c r="A489" s="64"/>
      <c r="B489" s="64"/>
      <c r="D489" s="65"/>
      <c r="F489" s="65"/>
      <c r="G489" s="66"/>
      <c r="H489" s="65"/>
      <c r="I489" s="65"/>
      <c r="J489" s="65"/>
      <c r="K489" s="65"/>
      <c r="L489" s="67"/>
      <c r="M489" s="65"/>
      <c r="N489" s="65"/>
      <c r="O489" s="65"/>
      <c r="P489" s="65"/>
      <c r="Q489" s="65"/>
      <c r="R489" s="65"/>
      <c r="S489" s="65"/>
      <c r="T489" s="65"/>
      <c r="V489" s="68"/>
      <c r="X489" s="68"/>
      <c r="Y489" s="69"/>
      <c r="Z489" s="68"/>
      <c r="AA489" s="68"/>
      <c r="AB489" s="68"/>
      <c r="AC489" s="68"/>
      <c r="AD489" s="68"/>
      <c r="AE489" s="68"/>
      <c r="AF489" s="68"/>
      <c r="AG489" s="68"/>
      <c r="AH489" s="68"/>
      <c r="AI489" s="68"/>
      <c r="AJ489" s="68"/>
      <c r="AK489" s="68"/>
      <c r="AL489" s="68"/>
      <c r="AM489" s="68"/>
      <c r="AN489" s="68"/>
      <c r="AO489" s="68"/>
      <c r="AP489" s="68"/>
      <c r="AQ489" s="68"/>
      <c r="AR489" s="68"/>
    </row>
    <row r="490" ht="15.75" customHeight="1">
      <c r="A490" s="64"/>
      <c r="B490" s="64"/>
      <c r="D490" s="65"/>
      <c r="F490" s="65"/>
      <c r="G490" s="66"/>
      <c r="H490" s="65"/>
      <c r="I490" s="65"/>
      <c r="J490" s="65"/>
      <c r="K490" s="65"/>
      <c r="L490" s="67"/>
      <c r="M490" s="65"/>
      <c r="N490" s="65"/>
      <c r="O490" s="65"/>
      <c r="P490" s="65"/>
      <c r="Q490" s="65"/>
      <c r="R490" s="65"/>
      <c r="S490" s="65"/>
      <c r="T490" s="65"/>
      <c r="V490" s="68"/>
      <c r="X490" s="68"/>
      <c r="Y490" s="69"/>
      <c r="Z490" s="68"/>
      <c r="AA490" s="68"/>
      <c r="AB490" s="68"/>
      <c r="AC490" s="68"/>
      <c r="AD490" s="68"/>
      <c r="AE490" s="68"/>
      <c r="AF490" s="68"/>
      <c r="AG490" s="68"/>
      <c r="AH490" s="68"/>
      <c r="AI490" s="68"/>
      <c r="AJ490" s="68"/>
      <c r="AK490" s="68"/>
      <c r="AL490" s="68"/>
      <c r="AM490" s="68"/>
      <c r="AN490" s="68"/>
      <c r="AO490" s="68"/>
      <c r="AP490" s="68"/>
      <c r="AQ490" s="68"/>
      <c r="AR490" s="68"/>
    </row>
    <row r="491" ht="15.75" customHeight="1">
      <c r="A491" s="64"/>
      <c r="B491" s="64"/>
      <c r="D491" s="65"/>
      <c r="F491" s="65"/>
      <c r="G491" s="66"/>
      <c r="H491" s="65"/>
      <c r="I491" s="65"/>
      <c r="J491" s="65"/>
      <c r="K491" s="65"/>
      <c r="L491" s="67"/>
      <c r="M491" s="65"/>
      <c r="N491" s="65"/>
      <c r="O491" s="65"/>
      <c r="P491" s="65"/>
      <c r="Q491" s="65"/>
      <c r="R491" s="65"/>
      <c r="S491" s="65"/>
      <c r="T491" s="65"/>
      <c r="V491" s="68"/>
      <c r="X491" s="68"/>
      <c r="Y491" s="69"/>
      <c r="Z491" s="68"/>
      <c r="AA491" s="68"/>
      <c r="AB491" s="68"/>
      <c r="AC491" s="68"/>
      <c r="AD491" s="68"/>
      <c r="AE491" s="68"/>
      <c r="AF491" s="68"/>
      <c r="AG491" s="68"/>
      <c r="AH491" s="68"/>
      <c r="AI491" s="68"/>
      <c r="AJ491" s="68"/>
      <c r="AK491" s="68"/>
      <c r="AL491" s="68"/>
      <c r="AM491" s="68"/>
      <c r="AN491" s="68"/>
      <c r="AO491" s="68"/>
      <c r="AP491" s="68"/>
      <c r="AQ491" s="68"/>
      <c r="AR491" s="68"/>
    </row>
    <row r="492" ht="15.75" customHeight="1">
      <c r="A492" s="64"/>
      <c r="B492" s="64"/>
      <c r="D492" s="65"/>
      <c r="F492" s="65"/>
      <c r="G492" s="66"/>
      <c r="H492" s="65"/>
      <c r="I492" s="65"/>
      <c r="J492" s="65"/>
      <c r="K492" s="65"/>
      <c r="L492" s="67"/>
      <c r="M492" s="65"/>
      <c r="N492" s="65"/>
      <c r="O492" s="65"/>
      <c r="P492" s="65"/>
      <c r="Q492" s="65"/>
      <c r="R492" s="65"/>
      <c r="S492" s="65"/>
      <c r="T492" s="65"/>
      <c r="V492" s="68"/>
      <c r="X492" s="68"/>
      <c r="Y492" s="69"/>
      <c r="Z492" s="68"/>
      <c r="AA492" s="68"/>
      <c r="AB492" s="68"/>
      <c r="AC492" s="68"/>
      <c r="AD492" s="68"/>
      <c r="AE492" s="68"/>
      <c r="AF492" s="68"/>
      <c r="AG492" s="68"/>
      <c r="AH492" s="68"/>
      <c r="AI492" s="68"/>
      <c r="AJ492" s="68"/>
      <c r="AK492" s="68"/>
      <c r="AL492" s="68"/>
      <c r="AM492" s="68"/>
      <c r="AN492" s="68"/>
      <c r="AO492" s="68"/>
      <c r="AP492" s="68"/>
      <c r="AQ492" s="68"/>
      <c r="AR492" s="68"/>
    </row>
    <row r="493" ht="15.75" customHeight="1">
      <c r="A493" s="64"/>
      <c r="B493" s="64"/>
      <c r="D493" s="65"/>
      <c r="F493" s="65"/>
      <c r="G493" s="66"/>
      <c r="H493" s="65"/>
      <c r="I493" s="65"/>
      <c r="J493" s="65"/>
      <c r="K493" s="65"/>
      <c r="L493" s="67"/>
      <c r="M493" s="65"/>
      <c r="N493" s="65"/>
      <c r="O493" s="65"/>
      <c r="P493" s="65"/>
      <c r="Q493" s="65"/>
      <c r="R493" s="65"/>
      <c r="S493" s="65"/>
      <c r="T493" s="65"/>
      <c r="V493" s="68"/>
      <c r="X493" s="68"/>
      <c r="Y493" s="69"/>
      <c r="Z493" s="68"/>
      <c r="AA493" s="68"/>
      <c r="AB493" s="68"/>
      <c r="AC493" s="68"/>
      <c r="AD493" s="68"/>
      <c r="AE493" s="68"/>
      <c r="AF493" s="68"/>
      <c r="AG493" s="68"/>
      <c r="AH493" s="68"/>
      <c r="AI493" s="68"/>
      <c r="AJ493" s="68"/>
      <c r="AK493" s="68"/>
      <c r="AL493" s="68"/>
      <c r="AM493" s="68"/>
      <c r="AN493" s="68"/>
      <c r="AO493" s="68"/>
      <c r="AP493" s="68"/>
      <c r="AQ493" s="68"/>
      <c r="AR493" s="68"/>
    </row>
    <row r="494" ht="15.75" customHeight="1">
      <c r="A494" s="64"/>
      <c r="B494" s="64"/>
      <c r="D494" s="65"/>
      <c r="F494" s="65"/>
      <c r="G494" s="66"/>
      <c r="H494" s="65"/>
      <c r="I494" s="65"/>
      <c r="J494" s="65"/>
      <c r="K494" s="65"/>
      <c r="L494" s="67"/>
      <c r="M494" s="65"/>
      <c r="N494" s="65"/>
      <c r="O494" s="65"/>
      <c r="P494" s="65"/>
      <c r="Q494" s="65"/>
      <c r="R494" s="65"/>
      <c r="S494" s="65"/>
      <c r="T494" s="65"/>
      <c r="V494" s="68"/>
      <c r="X494" s="68"/>
      <c r="Y494" s="69"/>
      <c r="Z494" s="68"/>
      <c r="AA494" s="68"/>
      <c r="AB494" s="68"/>
      <c r="AC494" s="68"/>
      <c r="AD494" s="68"/>
      <c r="AE494" s="68"/>
      <c r="AF494" s="68"/>
      <c r="AG494" s="68"/>
      <c r="AH494" s="68"/>
      <c r="AI494" s="68"/>
      <c r="AJ494" s="68"/>
      <c r="AK494" s="68"/>
      <c r="AL494" s="68"/>
      <c r="AM494" s="68"/>
      <c r="AN494" s="68"/>
      <c r="AO494" s="68"/>
      <c r="AP494" s="68"/>
      <c r="AQ494" s="68"/>
      <c r="AR494" s="68"/>
    </row>
    <row r="495" ht="15.75" customHeight="1">
      <c r="A495" s="64"/>
      <c r="B495" s="64"/>
      <c r="D495" s="65"/>
      <c r="F495" s="65"/>
      <c r="G495" s="66"/>
      <c r="H495" s="65"/>
      <c r="I495" s="65"/>
      <c r="J495" s="65"/>
      <c r="K495" s="65"/>
      <c r="L495" s="67"/>
      <c r="M495" s="65"/>
      <c r="N495" s="65"/>
      <c r="O495" s="65"/>
      <c r="P495" s="65"/>
      <c r="Q495" s="65"/>
      <c r="R495" s="65"/>
      <c r="S495" s="65"/>
      <c r="T495" s="65"/>
      <c r="V495" s="68"/>
      <c r="X495" s="68"/>
      <c r="Y495" s="69"/>
      <c r="Z495" s="68"/>
      <c r="AA495" s="68"/>
      <c r="AB495" s="68"/>
      <c r="AC495" s="68"/>
      <c r="AD495" s="68"/>
      <c r="AE495" s="68"/>
      <c r="AF495" s="68"/>
      <c r="AG495" s="68"/>
      <c r="AH495" s="68"/>
      <c r="AI495" s="68"/>
      <c r="AJ495" s="68"/>
      <c r="AK495" s="68"/>
      <c r="AL495" s="68"/>
      <c r="AM495" s="68"/>
      <c r="AN495" s="68"/>
      <c r="AO495" s="68"/>
      <c r="AP495" s="68"/>
      <c r="AQ495" s="68"/>
      <c r="AR495" s="68"/>
    </row>
    <row r="496" ht="15.75" customHeight="1">
      <c r="A496" s="64"/>
      <c r="B496" s="64"/>
      <c r="D496" s="65"/>
      <c r="F496" s="65"/>
      <c r="G496" s="66"/>
      <c r="H496" s="65"/>
      <c r="I496" s="65"/>
      <c r="J496" s="65"/>
      <c r="K496" s="65"/>
      <c r="L496" s="67"/>
      <c r="M496" s="65"/>
      <c r="N496" s="65"/>
      <c r="O496" s="65"/>
      <c r="P496" s="65"/>
      <c r="Q496" s="65"/>
      <c r="R496" s="65"/>
      <c r="S496" s="65"/>
      <c r="T496" s="65"/>
      <c r="V496" s="68"/>
      <c r="X496" s="68"/>
      <c r="Y496" s="69"/>
      <c r="Z496" s="68"/>
      <c r="AA496" s="68"/>
      <c r="AB496" s="68"/>
      <c r="AC496" s="68"/>
      <c r="AD496" s="68"/>
      <c r="AE496" s="68"/>
      <c r="AF496" s="68"/>
      <c r="AG496" s="68"/>
      <c r="AH496" s="68"/>
      <c r="AI496" s="68"/>
      <c r="AJ496" s="68"/>
      <c r="AK496" s="68"/>
      <c r="AL496" s="68"/>
      <c r="AM496" s="68"/>
      <c r="AN496" s="68"/>
      <c r="AO496" s="68"/>
      <c r="AP496" s="68"/>
      <c r="AQ496" s="68"/>
      <c r="AR496" s="68"/>
    </row>
    <row r="497" ht="15.75" customHeight="1">
      <c r="A497" s="64"/>
      <c r="B497" s="64"/>
      <c r="D497" s="65"/>
      <c r="F497" s="65"/>
      <c r="G497" s="66"/>
      <c r="H497" s="65"/>
      <c r="I497" s="65"/>
      <c r="J497" s="65"/>
      <c r="K497" s="65"/>
      <c r="L497" s="67"/>
      <c r="M497" s="65"/>
      <c r="N497" s="65"/>
      <c r="O497" s="65"/>
      <c r="P497" s="65"/>
      <c r="Q497" s="65"/>
      <c r="R497" s="65"/>
      <c r="S497" s="65"/>
      <c r="T497" s="65"/>
      <c r="V497" s="68"/>
      <c r="X497" s="68"/>
      <c r="Y497" s="69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</row>
    <row r="498" ht="15.75" customHeight="1">
      <c r="A498" s="64"/>
      <c r="B498" s="64"/>
      <c r="D498" s="65"/>
      <c r="F498" s="65"/>
      <c r="G498" s="66"/>
      <c r="H498" s="65"/>
      <c r="I498" s="65"/>
      <c r="J498" s="65"/>
      <c r="K498" s="65"/>
      <c r="L498" s="67"/>
      <c r="M498" s="65"/>
      <c r="N498" s="65"/>
      <c r="O498" s="65"/>
      <c r="P498" s="65"/>
      <c r="Q498" s="65"/>
      <c r="R498" s="65"/>
      <c r="S498" s="65"/>
      <c r="T498" s="65"/>
      <c r="V498" s="68"/>
      <c r="X498" s="68"/>
      <c r="Y498" s="69"/>
      <c r="Z498" s="68"/>
      <c r="AA498" s="68"/>
      <c r="AB498" s="68"/>
      <c r="AC498" s="68"/>
      <c r="AD498" s="68"/>
      <c r="AE498" s="68"/>
      <c r="AF498" s="68"/>
      <c r="AG498" s="68"/>
      <c r="AH498" s="68"/>
      <c r="AI498" s="68"/>
      <c r="AJ498" s="68"/>
      <c r="AK498" s="68"/>
      <c r="AL498" s="68"/>
      <c r="AM498" s="68"/>
      <c r="AN498" s="68"/>
      <c r="AO498" s="68"/>
      <c r="AP498" s="68"/>
      <c r="AQ498" s="68"/>
      <c r="AR498" s="68"/>
    </row>
    <row r="499" ht="15.75" customHeight="1">
      <c r="A499" s="64"/>
      <c r="B499" s="64"/>
      <c r="D499" s="65"/>
      <c r="F499" s="65"/>
      <c r="G499" s="66"/>
      <c r="H499" s="65"/>
      <c r="I499" s="65"/>
      <c r="J499" s="65"/>
      <c r="K499" s="65"/>
      <c r="L499" s="67"/>
      <c r="M499" s="65"/>
      <c r="N499" s="65"/>
      <c r="O499" s="65"/>
      <c r="P499" s="65"/>
      <c r="Q499" s="65"/>
      <c r="R499" s="65"/>
      <c r="S499" s="65"/>
      <c r="T499" s="65"/>
      <c r="V499" s="68"/>
      <c r="X499" s="68"/>
      <c r="Y499" s="69"/>
      <c r="Z499" s="68"/>
      <c r="AA499" s="68"/>
      <c r="AB499" s="68"/>
      <c r="AC499" s="68"/>
      <c r="AD499" s="68"/>
      <c r="AE499" s="68"/>
      <c r="AF499" s="68"/>
      <c r="AG499" s="68"/>
      <c r="AH499" s="68"/>
      <c r="AI499" s="68"/>
      <c r="AJ499" s="68"/>
      <c r="AK499" s="68"/>
      <c r="AL499" s="68"/>
      <c r="AM499" s="68"/>
      <c r="AN499" s="68"/>
      <c r="AO499" s="68"/>
      <c r="AP499" s="68"/>
      <c r="AQ499" s="68"/>
      <c r="AR499" s="68"/>
    </row>
    <row r="500" ht="15.75" customHeight="1">
      <c r="A500" s="64"/>
      <c r="B500" s="64"/>
      <c r="D500" s="65"/>
      <c r="F500" s="65"/>
      <c r="G500" s="66"/>
      <c r="H500" s="65"/>
      <c r="I500" s="65"/>
      <c r="J500" s="65"/>
      <c r="K500" s="65"/>
      <c r="L500" s="67"/>
      <c r="M500" s="65"/>
      <c r="N500" s="65"/>
      <c r="O500" s="65"/>
      <c r="P500" s="65"/>
      <c r="Q500" s="65"/>
      <c r="R500" s="65"/>
      <c r="S500" s="65"/>
      <c r="T500" s="65"/>
      <c r="V500" s="68"/>
      <c r="X500" s="68"/>
      <c r="Y500" s="69"/>
      <c r="Z500" s="68"/>
      <c r="AA500" s="68"/>
      <c r="AB500" s="68"/>
      <c r="AC500" s="68"/>
      <c r="AD500" s="68"/>
      <c r="AE500" s="68"/>
      <c r="AF500" s="68"/>
      <c r="AG500" s="68"/>
      <c r="AH500" s="68"/>
      <c r="AI500" s="68"/>
      <c r="AJ500" s="68"/>
      <c r="AK500" s="68"/>
      <c r="AL500" s="68"/>
      <c r="AM500" s="68"/>
      <c r="AN500" s="68"/>
      <c r="AO500" s="68"/>
      <c r="AP500" s="68"/>
      <c r="AQ500" s="68"/>
      <c r="AR500" s="68"/>
    </row>
    <row r="501" ht="15.75" customHeight="1">
      <c r="A501" s="64"/>
      <c r="B501" s="64"/>
      <c r="D501" s="65"/>
      <c r="F501" s="65"/>
      <c r="G501" s="66"/>
      <c r="H501" s="65"/>
      <c r="I501" s="65"/>
      <c r="J501" s="65"/>
      <c r="K501" s="65"/>
      <c r="L501" s="67"/>
      <c r="M501" s="65"/>
      <c r="N501" s="65"/>
      <c r="O501" s="65"/>
      <c r="P501" s="65"/>
      <c r="Q501" s="65"/>
      <c r="R501" s="65"/>
      <c r="S501" s="65"/>
      <c r="T501" s="65"/>
      <c r="V501" s="68"/>
      <c r="X501" s="68"/>
      <c r="Y501" s="69"/>
      <c r="Z501" s="68"/>
      <c r="AA501" s="68"/>
      <c r="AB501" s="68"/>
      <c r="AC501" s="68"/>
      <c r="AD501" s="68"/>
      <c r="AE501" s="68"/>
      <c r="AF501" s="68"/>
      <c r="AG501" s="68"/>
      <c r="AH501" s="68"/>
      <c r="AI501" s="68"/>
      <c r="AJ501" s="68"/>
      <c r="AK501" s="68"/>
      <c r="AL501" s="68"/>
      <c r="AM501" s="68"/>
      <c r="AN501" s="68"/>
      <c r="AO501" s="68"/>
      <c r="AP501" s="68"/>
      <c r="AQ501" s="68"/>
      <c r="AR501" s="68"/>
    </row>
    <row r="502" ht="15.75" customHeight="1">
      <c r="A502" s="64"/>
      <c r="B502" s="64"/>
      <c r="D502" s="65"/>
      <c r="F502" s="65"/>
      <c r="G502" s="66"/>
      <c r="H502" s="65"/>
      <c r="I502" s="65"/>
      <c r="J502" s="65"/>
      <c r="K502" s="65"/>
      <c r="L502" s="67"/>
      <c r="M502" s="65"/>
      <c r="N502" s="65"/>
      <c r="O502" s="65"/>
      <c r="P502" s="65"/>
      <c r="Q502" s="65"/>
      <c r="R502" s="65"/>
      <c r="S502" s="65"/>
      <c r="T502" s="65"/>
      <c r="V502" s="68"/>
      <c r="X502" s="68"/>
      <c r="Y502" s="69"/>
      <c r="Z502" s="68"/>
      <c r="AA502" s="68"/>
      <c r="AB502" s="68"/>
      <c r="AC502" s="68"/>
      <c r="AD502" s="68"/>
      <c r="AE502" s="68"/>
      <c r="AF502" s="68"/>
      <c r="AG502" s="68"/>
      <c r="AH502" s="68"/>
      <c r="AI502" s="68"/>
      <c r="AJ502" s="68"/>
      <c r="AK502" s="68"/>
      <c r="AL502" s="68"/>
      <c r="AM502" s="68"/>
      <c r="AN502" s="68"/>
      <c r="AO502" s="68"/>
      <c r="AP502" s="68"/>
      <c r="AQ502" s="68"/>
      <c r="AR502" s="68"/>
    </row>
    <row r="503" ht="15.75" customHeight="1">
      <c r="A503" s="64"/>
      <c r="B503" s="64"/>
      <c r="D503" s="65"/>
      <c r="F503" s="65"/>
      <c r="G503" s="66"/>
      <c r="H503" s="65"/>
      <c r="I503" s="65"/>
      <c r="J503" s="65"/>
      <c r="K503" s="65"/>
      <c r="L503" s="67"/>
      <c r="M503" s="65"/>
      <c r="N503" s="65"/>
      <c r="O503" s="65"/>
      <c r="P503" s="65"/>
      <c r="Q503" s="65"/>
      <c r="R503" s="65"/>
      <c r="S503" s="65"/>
      <c r="T503" s="65"/>
      <c r="V503" s="68"/>
      <c r="X503" s="68"/>
      <c r="Y503" s="69"/>
      <c r="Z503" s="68"/>
      <c r="AA503" s="68"/>
      <c r="AB503" s="68"/>
      <c r="AC503" s="68"/>
      <c r="AD503" s="68"/>
      <c r="AE503" s="68"/>
      <c r="AF503" s="68"/>
      <c r="AG503" s="68"/>
      <c r="AH503" s="68"/>
      <c r="AI503" s="68"/>
      <c r="AJ503" s="68"/>
      <c r="AK503" s="68"/>
      <c r="AL503" s="68"/>
      <c r="AM503" s="68"/>
      <c r="AN503" s="68"/>
      <c r="AO503" s="68"/>
      <c r="AP503" s="68"/>
      <c r="AQ503" s="68"/>
      <c r="AR503" s="68"/>
    </row>
    <row r="504" ht="15.75" customHeight="1">
      <c r="A504" s="64"/>
      <c r="B504" s="64"/>
      <c r="D504" s="65"/>
      <c r="F504" s="65"/>
      <c r="G504" s="66"/>
      <c r="H504" s="65"/>
      <c r="I504" s="65"/>
      <c r="J504" s="65"/>
      <c r="K504" s="65"/>
      <c r="L504" s="67"/>
      <c r="M504" s="65"/>
      <c r="N504" s="65"/>
      <c r="O504" s="65"/>
      <c r="P504" s="65"/>
      <c r="Q504" s="65"/>
      <c r="R504" s="65"/>
      <c r="S504" s="65"/>
      <c r="T504" s="65"/>
      <c r="V504" s="68"/>
      <c r="X504" s="68"/>
      <c r="Y504" s="69"/>
      <c r="Z504" s="68"/>
      <c r="AA504" s="68"/>
      <c r="AB504" s="68"/>
      <c r="AC504" s="68"/>
      <c r="AD504" s="68"/>
      <c r="AE504" s="68"/>
      <c r="AF504" s="68"/>
      <c r="AG504" s="68"/>
      <c r="AH504" s="68"/>
      <c r="AI504" s="68"/>
      <c r="AJ504" s="68"/>
      <c r="AK504" s="68"/>
      <c r="AL504" s="68"/>
      <c r="AM504" s="68"/>
      <c r="AN504" s="68"/>
      <c r="AO504" s="68"/>
      <c r="AP504" s="68"/>
      <c r="AQ504" s="68"/>
      <c r="AR504" s="68"/>
    </row>
    <row r="505" ht="15.75" customHeight="1">
      <c r="A505" s="64"/>
      <c r="B505" s="64"/>
      <c r="D505" s="65"/>
      <c r="F505" s="65"/>
      <c r="G505" s="66"/>
      <c r="H505" s="65"/>
      <c r="I505" s="65"/>
      <c r="J505" s="65"/>
      <c r="K505" s="65"/>
      <c r="L505" s="67"/>
      <c r="M505" s="65"/>
      <c r="N505" s="65"/>
      <c r="O505" s="65"/>
      <c r="P505" s="65"/>
      <c r="Q505" s="65"/>
      <c r="R505" s="65"/>
      <c r="S505" s="65"/>
      <c r="T505" s="65"/>
      <c r="V505" s="68"/>
      <c r="X505" s="68"/>
      <c r="Y505" s="69"/>
      <c r="Z505" s="68"/>
      <c r="AA505" s="68"/>
      <c r="AB505" s="68"/>
      <c r="AC505" s="68"/>
      <c r="AD505" s="68"/>
      <c r="AE505" s="68"/>
      <c r="AF505" s="68"/>
      <c r="AG505" s="68"/>
      <c r="AH505" s="68"/>
      <c r="AI505" s="68"/>
      <c r="AJ505" s="68"/>
      <c r="AK505" s="68"/>
      <c r="AL505" s="68"/>
      <c r="AM505" s="68"/>
      <c r="AN505" s="68"/>
      <c r="AO505" s="68"/>
      <c r="AP505" s="68"/>
      <c r="AQ505" s="68"/>
      <c r="AR505" s="68"/>
    </row>
    <row r="506" ht="15.75" customHeight="1">
      <c r="A506" s="64"/>
      <c r="B506" s="64"/>
      <c r="D506" s="65"/>
      <c r="F506" s="65"/>
      <c r="G506" s="66"/>
      <c r="H506" s="65"/>
      <c r="I506" s="65"/>
      <c r="J506" s="65"/>
      <c r="K506" s="65"/>
      <c r="L506" s="67"/>
      <c r="M506" s="65"/>
      <c r="N506" s="65"/>
      <c r="O506" s="65"/>
      <c r="P506" s="65"/>
      <c r="Q506" s="65"/>
      <c r="R506" s="65"/>
      <c r="S506" s="65"/>
      <c r="T506" s="65"/>
      <c r="V506" s="68"/>
      <c r="X506" s="68"/>
      <c r="Y506" s="69"/>
      <c r="Z506" s="68"/>
      <c r="AA506" s="68"/>
      <c r="AB506" s="68"/>
      <c r="AC506" s="68"/>
      <c r="AD506" s="68"/>
      <c r="AE506" s="68"/>
      <c r="AF506" s="68"/>
      <c r="AG506" s="68"/>
      <c r="AH506" s="68"/>
      <c r="AI506" s="68"/>
      <c r="AJ506" s="68"/>
      <c r="AK506" s="68"/>
      <c r="AL506" s="68"/>
      <c r="AM506" s="68"/>
      <c r="AN506" s="68"/>
      <c r="AO506" s="68"/>
      <c r="AP506" s="68"/>
      <c r="AQ506" s="68"/>
      <c r="AR506" s="68"/>
    </row>
    <row r="507" ht="15.75" customHeight="1">
      <c r="A507" s="64"/>
      <c r="B507" s="64"/>
      <c r="D507" s="65"/>
      <c r="F507" s="65"/>
      <c r="G507" s="66"/>
      <c r="H507" s="65"/>
      <c r="I507" s="65"/>
      <c r="J507" s="65"/>
      <c r="K507" s="65"/>
      <c r="L507" s="67"/>
      <c r="M507" s="65"/>
      <c r="N507" s="65"/>
      <c r="O507" s="65"/>
      <c r="P507" s="65"/>
      <c r="Q507" s="65"/>
      <c r="R507" s="65"/>
      <c r="S507" s="65"/>
      <c r="T507" s="65"/>
      <c r="V507" s="68"/>
      <c r="X507" s="68"/>
      <c r="Y507" s="69"/>
      <c r="Z507" s="68"/>
      <c r="AA507" s="68"/>
      <c r="AB507" s="68"/>
      <c r="AC507" s="68"/>
      <c r="AD507" s="68"/>
      <c r="AE507" s="68"/>
      <c r="AF507" s="68"/>
      <c r="AG507" s="68"/>
      <c r="AH507" s="68"/>
      <c r="AI507" s="68"/>
      <c r="AJ507" s="68"/>
      <c r="AK507" s="68"/>
      <c r="AL507" s="68"/>
      <c r="AM507" s="68"/>
      <c r="AN507" s="68"/>
      <c r="AO507" s="68"/>
      <c r="AP507" s="68"/>
      <c r="AQ507" s="68"/>
      <c r="AR507" s="68"/>
    </row>
    <row r="508" ht="15.75" customHeight="1">
      <c r="A508" s="64"/>
      <c r="B508" s="64"/>
      <c r="D508" s="65"/>
      <c r="F508" s="65"/>
      <c r="G508" s="66"/>
      <c r="H508" s="65"/>
      <c r="I508" s="65"/>
      <c r="J508" s="65"/>
      <c r="K508" s="65"/>
      <c r="L508" s="67"/>
      <c r="M508" s="65"/>
      <c r="N508" s="65"/>
      <c r="O508" s="65"/>
      <c r="P508" s="65"/>
      <c r="Q508" s="65"/>
      <c r="R508" s="65"/>
      <c r="S508" s="65"/>
      <c r="T508" s="65"/>
      <c r="V508" s="68"/>
      <c r="X508" s="68"/>
      <c r="Y508" s="69"/>
      <c r="Z508" s="68"/>
      <c r="AA508" s="68"/>
      <c r="AB508" s="68"/>
      <c r="AC508" s="68"/>
      <c r="AD508" s="68"/>
      <c r="AE508" s="68"/>
      <c r="AF508" s="68"/>
      <c r="AG508" s="68"/>
      <c r="AH508" s="68"/>
      <c r="AI508" s="68"/>
      <c r="AJ508" s="68"/>
      <c r="AK508" s="68"/>
      <c r="AL508" s="68"/>
      <c r="AM508" s="68"/>
      <c r="AN508" s="68"/>
      <c r="AO508" s="68"/>
      <c r="AP508" s="68"/>
      <c r="AQ508" s="68"/>
      <c r="AR508" s="68"/>
    </row>
    <row r="509" ht="15.75" customHeight="1">
      <c r="A509" s="64"/>
      <c r="B509" s="64"/>
      <c r="D509" s="65"/>
      <c r="F509" s="65"/>
      <c r="G509" s="66"/>
      <c r="H509" s="65"/>
      <c r="I509" s="65"/>
      <c r="J509" s="65"/>
      <c r="K509" s="65"/>
      <c r="L509" s="67"/>
      <c r="M509" s="65"/>
      <c r="N509" s="65"/>
      <c r="O509" s="65"/>
      <c r="P509" s="65"/>
      <c r="Q509" s="65"/>
      <c r="R509" s="65"/>
      <c r="S509" s="65"/>
      <c r="T509" s="65"/>
      <c r="V509" s="68"/>
      <c r="X509" s="68"/>
      <c r="Y509" s="69"/>
      <c r="Z509" s="68"/>
      <c r="AA509" s="68"/>
      <c r="AB509" s="68"/>
      <c r="AC509" s="68"/>
      <c r="AD509" s="68"/>
      <c r="AE509" s="68"/>
      <c r="AF509" s="68"/>
      <c r="AG509" s="68"/>
      <c r="AH509" s="68"/>
      <c r="AI509" s="68"/>
      <c r="AJ509" s="68"/>
      <c r="AK509" s="68"/>
      <c r="AL509" s="68"/>
      <c r="AM509" s="68"/>
      <c r="AN509" s="68"/>
      <c r="AO509" s="68"/>
      <c r="AP509" s="68"/>
      <c r="AQ509" s="68"/>
      <c r="AR509" s="68"/>
    </row>
    <row r="510" ht="15.75" customHeight="1">
      <c r="A510" s="64"/>
      <c r="B510" s="64"/>
      <c r="D510" s="65"/>
      <c r="F510" s="65"/>
      <c r="G510" s="66"/>
      <c r="H510" s="65"/>
      <c r="I510" s="65"/>
      <c r="J510" s="65"/>
      <c r="K510" s="65"/>
      <c r="L510" s="67"/>
      <c r="M510" s="65"/>
      <c r="N510" s="65"/>
      <c r="O510" s="65"/>
      <c r="P510" s="65"/>
      <c r="Q510" s="65"/>
      <c r="R510" s="65"/>
      <c r="S510" s="65"/>
      <c r="T510" s="65"/>
      <c r="V510" s="68"/>
      <c r="X510" s="68"/>
      <c r="Y510" s="69"/>
      <c r="Z510" s="68"/>
      <c r="AA510" s="68"/>
      <c r="AB510" s="68"/>
      <c r="AC510" s="68"/>
      <c r="AD510" s="68"/>
      <c r="AE510" s="68"/>
      <c r="AF510" s="68"/>
      <c r="AG510" s="68"/>
      <c r="AH510" s="68"/>
      <c r="AI510" s="68"/>
      <c r="AJ510" s="68"/>
      <c r="AK510" s="68"/>
      <c r="AL510" s="68"/>
      <c r="AM510" s="68"/>
      <c r="AN510" s="68"/>
      <c r="AO510" s="68"/>
      <c r="AP510" s="68"/>
      <c r="AQ510" s="68"/>
      <c r="AR510" s="68"/>
    </row>
    <row r="511" ht="15.75" customHeight="1">
      <c r="A511" s="64"/>
      <c r="B511" s="64"/>
      <c r="D511" s="65"/>
      <c r="F511" s="65"/>
      <c r="G511" s="66"/>
      <c r="H511" s="65"/>
      <c r="I511" s="65"/>
      <c r="J511" s="65"/>
      <c r="K511" s="65"/>
      <c r="L511" s="67"/>
      <c r="M511" s="65"/>
      <c r="N511" s="65"/>
      <c r="O511" s="65"/>
      <c r="P511" s="65"/>
      <c r="Q511" s="65"/>
      <c r="R511" s="65"/>
      <c r="S511" s="65"/>
      <c r="T511" s="65"/>
      <c r="V511" s="68"/>
      <c r="X511" s="68"/>
      <c r="Y511" s="69"/>
      <c r="Z511" s="68"/>
      <c r="AA511" s="68"/>
      <c r="AB511" s="68"/>
      <c r="AC511" s="68"/>
      <c r="AD511" s="68"/>
      <c r="AE511" s="68"/>
      <c r="AF511" s="68"/>
      <c r="AG511" s="68"/>
      <c r="AH511" s="68"/>
      <c r="AI511" s="68"/>
      <c r="AJ511" s="68"/>
      <c r="AK511" s="68"/>
      <c r="AL511" s="68"/>
      <c r="AM511" s="68"/>
      <c r="AN511" s="68"/>
      <c r="AO511" s="68"/>
      <c r="AP511" s="68"/>
      <c r="AQ511" s="68"/>
      <c r="AR511" s="68"/>
    </row>
    <row r="512" ht="15.75" customHeight="1">
      <c r="A512" s="64"/>
      <c r="B512" s="64"/>
      <c r="D512" s="65"/>
      <c r="F512" s="65"/>
      <c r="G512" s="66"/>
      <c r="H512" s="65"/>
      <c r="I512" s="65"/>
      <c r="J512" s="65"/>
      <c r="K512" s="65"/>
      <c r="L512" s="67"/>
      <c r="M512" s="65"/>
      <c r="N512" s="65"/>
      <c r="O512" s="65"/>
      <c r="P512" s="65"/>
      <c r="Q512" s="65"/>
      <c r="R512" s="65"/>
      <c r="S512" s="65"/>
      <c r="T512" s="65"/>
      <c r="V512" s="68"/>
      <c r="X512" s="68"/>
      <c r="Y512" s="69"/>
      <c r="Z512" s="68"/>
      <c r="AA512" s="68"/>
      <c r="AB512" s="68"/>
      <c r="AC512" s="68"/>
      <c r="AD512" s="68"/>
      <c r="AE512" s="68"/>
      <c r="AF512" s="68"/>
      <c r="AG512" s="68"/>
      <c r="AH512" s="68"/>
      <c r="AI512" s="68"/>
      <c r="AJ512" s="68"/>
      <c r="AK512" s="68"/>
      <c r="AL512" s="68"/>
      <c r="AM512" s="68"/>
      <c r="AN512" s="68"/>
      <c r="AO512" s="68"/>
      <c r="AP512" s="68"/>
      <c r="AQ512" s="68"/>
      <c r="AR512" s="68"/>
    </row>
    <row r="513" ht="15.75" customHeight="1">
      <c r="A513" s="64"/>
      <c r="B513" s="64"/>
      <c r="D513" s="65"/>
      <c r="F513" s="65"/>
      <c r="G513" s="66"/>
      <c r="H513" s="65"/>
      <c r="I513" s="65"/>
      <c r="J513" s="65"/>
      <c r="K513" s="65"/>
      <c r="L513" s="67"/>
      <c r="M513" s="65"/>
      <c r="N513" s="65"/>
      <c r="O513" s="65"/>
      <c r="P513" s="65"/>
      <c r="Q513" s="65"/>
      <c r="R513" s="65"/>
      <c r="S513" s="65"/>
      <c r="T513" s="65"/>
      <c r="V513" s="68"/>
      <c r="X513" s="68"/>
      <c r="Y513" s="69"/>
      <c r="Z513" s="68"/>
      <c r="AA513" s="68"/>
      <c r="AB513" s="68"/>
      <c r="AC513" s="68"/>
      <c r="AD513" s="68"/>
      <c r="AE513" s="68"/>
      <c r="AF513" s="68"/>
      <c r="AG513" s="68"/>
      <c r="AH513" s="68"/>
      <c r="AI513" s="68"/>
      <c r="AJ513" s="68"/>
      <c r="AK513" s="68"/>
      <c r="AL513" s="68"/>
      <c r="AM513" s="68"/>
      <c r="AN513" s="68"/>
      <c r="AO513" s="68"/>
      <c r="AP513" s="68"/>
      <c r="AQ513" s="68"/>
      <c r="AR513" s="68"/>
    </row>
    <row r="514" ht="15.75" customHeight="1">
      <c r="A514" s="64"/>
      <c r="B514" s="64"/>
      <c r="D514" s="65"/>
      <c r="F514" s="65"/>
      <c r="G514" s="66"/>
      <c r="H514" s="65"/>
      <c r="I514" s="65"/>
      <c r="J514" s="65"/>
      <c r="K514" s="65"/>
      <c r="L514" s="67"/>
      <c r="M514" s="65"/>
      <c r="N514" s="65"/>
      <c r="O514" s="65"/>
      <c r="P514" s="65"/>
      <c r="Q514" s="65"/>
      <c r="R514" s="65"/>
      <c r="S514" s="65"/>
      <c r="T514" s="65"/>
      <c r="V514" s="68"/>
      <c r="X514" s="68"/>
      <c r="Y514" s="69"/>
      <c r="Z514" s="68"/>
      <c r="AA514" s="68"/>
      <c r="AB514" s="68"/>
      <c r="AC514" s="68"/>
      <c r="AD514" s="68"/>
      <c r="AE514" s="68"/>
      <c r="AF514" s="68"/>
      <c r="AG514" s="68"/>
      <c r="AH514" s="68"/>
      <c r="AI514" s="68"/>
      <c r="AJ514" s="68"/>
      <c r="AK514" s="68"/>
      <c r="AL514" s="68"/>
      <c r="AM514" s="68"/>
      <c r="AN514" s="68"/>
      <c r="AO514" s="68"/>
      <c r="AP514" s="68"/>
      <c r="AQ514" s="68"/>
      <c r="AR514" s="68"/>
    </row>
    <row r="515" ht="15.75" customHeight="1">
      <c r="A515" s="64"/>
      <c r="B515" s="64"/>
      <c r="D515" s="65"/>
      <c r="F515" s="65"/>
      <c r="G515" s="66"/>
      <c r="H515" s="65"/>
      <c r="I515" s="65"/>
      <c r="J515" s="65"/>
      <c r="K515" s="65"/>
      <c r="L515" s="67"/>
      <c r="M515" s="65"/>
      <c r="N515" s="65"/>
      <c r="O515" s="65"/>
      <c r="P515" s="65"/>
      <c r="Q515" s="65"/>
      <c r="R515" s="65"/>
      <c r="S515" s="65"/>
      <c r="T515" s="65"/>
      <c r="V515" s="68"/>
      <c r="X515" s="68"/>
      <c r="Y515" s="69"/>
      <c r="Z515" s="68"/>
      <c r="AA515" s="68"/>
      <c r="AB515" s="68"/>
      <c r="AC515" s="68"/>
      <c r="AD515" s="68"/>
      <c r="AE515" s="68"/>
      <c r="AF515" s="68"/>
      <c r="AG515" s="68"/>
      <c r="AH515" s="68"/>
      <c r="AI515" s="68"/>
      <c r="AJ515" s="68"/>
      <c r="AK515" s="68"/>
      <c r="AL515" s="68"/>
      <c r="AM515" s="68"/>
      <c r="AN515" s="68"/>
      <c r="AO515" s="68"/>
      <c r="AP515" s="68"/>
      <c r="AQ515" s="68"/>
      <c r="AR515" s="68"/>
    </row>
    <row r="516" ht="15.75" customHeight="1">
      <c r="A516" s="64"/>
      <c r="B516" s="64"/>
      <c r="D516" s="65"/>
      <c r="F516" s="65"/>
      <c r="G516" s="66"/>
      <c r="H516" s="65"/>
      <c r="I516" s="65"/>
      <c r="J516" s="65"/>
      <c r="K516" s="65"/>
      <c r="L516" s="67"/>
      <c r="M516" s="65"/>
      <c r="N516" s="65"/>
      <c r="O516" s="65"/>
      <c r="P516" s="65"/>
      <c r="Q516" s="65"/>
      <c r="R516" s="65"/>
      <c r="S516" s="65"/>
      <c r="T516" s="65"/>
      <c r="V516" s="68"/>
      <c r="X516" s="68"/>
      <c r="Y516" s="69"/>
      <c r="Z516" s="68"/>
      <c r="AA516" s="68"/>
      <c r="AB516" s="68"/>
      <c r="AC516" s="68"/>
      <c r="AD516" s="68"/>
      <c r="AE516" s="68"/>
      <c r="AF516" s="68"/>
      <c r="AG516" s="68"/>
      <c r="AH516" s="68"/>
      <c r="AI516" s="68"/>
      <c r="AJ516" s="68"/>
      <c r="AK516" s="68"/>
      <c r="AL516" s="68"/>
      <c r="AM516" s="68"/>
      <c r="AN516" s="68"/>
      <c r="AO516" s="68"/>
      <c r="AP516" s="68"/>
      <c r="AQ516" s="68"/>
      <c r="AR516" s="68"/>
    </row>
    <row r="517" ht="15.75" customHeight="1">
      <c r="A517" s="64"/>
      <c r="B517" s="64"/>
      <c r="D517" s="65"/>
      <c r="F517" s="65"/>
      <c r="G517" s="66"/>
      <c r="H517" s="65"/>
      <c r="I517" s="65"/>
      <c r="J517" s="65"/>
      <c r="K517" s="65"/>
      <c r="L517" s="67"/>
      <c r="M517" s="65"/>
      <c r="N517" s="65"/>
      <c r="O517" s="65"/>
      <c r="P517" s="65"/>
      <c r="Q517" s="65"/>
      <c r="R517" s="65"/>
      <c r="S517" s="65"/>
      <c r="T517" s="65"/>
      <c r="V517" s="68"/>
      <c r="X517" s="68"/>
      <c r="Y517" s="69"/>
      <c r="Z517" s="68"/>
      <c r="AA517" s="68"/>
      <c r="AB517" s="68"/>
      <c r="AC517" s="68"/>
      <c r="AD517" s="68"/>
      <c r="AE517" s="68"/>
      <c r="AF517" s="68"/>
      <c r="AG517" s="68"/>
      <c r="AH517" s="68"/>
      <c r="AI517" s="68"/>
      <c r="AJ517" s="68"/>
      <c r="AK517" s="68"/>
      <c r="AL517" s="68"/>
      <c r="AM517" s="68"/>
      <c r="AN517" s="68"/>
      <c r="AO517" s="68"/>
      <c r="AP517" s="68"/>
      <c r="AQ517" s="68"/>
      <c r="AR517" s="68"/>
    </row>
    <row r="518" ht="15.75" customHeight="1">
      <c r="A518" s="64"/>
      <c r="B518" s="64"/>
      <c r="D518" s="65"/>
      <c r="F518" s="65"/>
      <c r="G518" s="66"/>
      <c r="H518" s="65"/>
      <c r="I518" s="65"/>
      <c r="J518" s="65"/>
      <c r="K518" s="65"/>
      <c r="L518" s="67"/>
      <c r="M518" s="65"/>
      <c r="N518" s="65"/>
      <c r="O518" s="65"/>
      <c r="P518" s="65"/>
      <c r="Q518" s="65"/>
      <c r="R518" s="65"/>
      <c r="S518" s="65"/>
      <c r="T518" s="65"/>
      <c r="V518" s="68"/>
      <c r="X518" s="68"/>
      <c r="Y518" s="69"/>
      <c r="Z518" s="68"/>
      <c r="AA518" s="68"/>
      <c r="AB518" s="68"/>
      <c r="AC518" s="68"/>
      <c r="AD518" s="68"/>
      <c r="AE518" s="68"/>
      <c r="AF518" s="68"/>
      <c r="AG518" s="68"/>
      <c r="AH518" s="68"/>
      <c r="AI518" s="68"/>
      <c r="AJ518" s="68"/>
      <c r="AK518" s="68"/>
      <c r="AL518" s="68"/>
      <c r="AM518" s="68"/>
      <c r="AN518" s="68"/>
      <c r="AO518" s="68"/>
      <c r="AP518" s="68"/>
      <c r="AQ518" s="68"/>
      <c r="AR518" s="68"/>
    </row>
    <row r="519" ht="15.75" customHeight="1">
      <c r="A519" s="64"/>
      <c r="B519" s="64"/>
      <c r="D519" s="65"/>
      <c r="F519" s="65"/>
      <c r="G519" s="66"/>
      <c r="H519" s="65"/>
      <c r="I519" s="65"/>
      <c r="J519" s="65"/>
      <c r="K519" s="65"/>
      <c r="L519" s="67"/>
      <c r="M519" s="65"/>
      <c r="N519" s="65"/>
      <c r="O519" s="65"/>
      <c r="P519" s="65"/>
      <c r="Q519" s="65"/>
      <c r="R519" s="65"/>
      <c r="S519" s="65"/>
      <c r="T519" s="65"/>
      <c r="V519" s="68"/>
      <c r="X519" s="68"/>
      <c r="Y519" s="69"/>
      <c r="Z519" s="68"/>
      <c r="AA519" s="68"/>
      <c r="AB519" s="68"/>
      <c r="AC519" s="68"/>
      <c r="AD519" s="68"/>
      <c r="AE519" s="68"/>
      <c r="AF519" s="68"/>
      <c r="AG519" s="68"/>
      <c r="AH519" s="68"/>
      <c r="AI519" s="68"/>
      <c r="AJ519" s="68"/>
      <c r="AK519" s="68"/>
      <c r="AL519" s="68"/>
      <c r="AM519" s="68"/>
      <c r="AN519" s="68"/>
      <c r="AO519" s="68"/>
      <c r="AP519" s="68"/>
      <c r="AQ519" s="68"/>
      <c r="AR519" s="68"/>
    </row>
    <row r="520" ht="15.75" customHeight="1">
      <c r="A520" s="64"/>
      <c r="B520" s="64"/>
      <c r="D520" s="65"/>
      <c r="F520" s="65"/>
      <c r="G520" s="66"/>
      <c r="H520" s="65"/>
      <c r="I520" s="65"/>
      <c r="J520" s="65"/>
      <c r="K520" s="65"/>
      <c r="L520" s="67"/>
      <c r="M520" s="65"/>
      <c r="N520" s="65"/>
      <c r="O520" s="65"/>
      <c r="P520" s="65"/>
      <c r="Q520" s="65"/>
      <c r="R520" s="65"/>
      <c r="S520" s="65"/>
      <c r="T520" s="65"/>
      <c r="V520" s="68"/>
      <c r="X520" s="68"/>
      <c r="Y520" s="69"/>
      <c r="Z520" s="68"/>
      <c r="AA520" s="68"/>
      <c r="AB520" s="68"/>
      <c r="AC520" s="68"/>
      <c r="AD520" s="68"/>
      <c r="AE520" s="68"/>
      <c r="AF520" s="68"/>
      <c r="AG520" s="68"/>
      <c r="AH520" s="68"/>
      <c r="AI520" s="68"/>
      <c r="AJ520" s="68"/>
      <c r="AK520" s="68"/>
      <c r="AL520" s="68"/>
      <c r="AM520" s="68"/>
      <c r="AN520" s="68"/>
      <c r="AO520" s="68"/>
      <c r="AP520" s="68"/>
      <c r="AQ520" s="68"/>
      <c r="AR520" s="68"/>
    </row>
    <row r="521" ht="15.75" customHeight="1">
      <c r="A521" s="64"/>
      <c r="B521" s="64"/>
      <c r="D521" s="65"/>
      <c r="F521" s="65"/>
      <c r="G521" s="66"/>
      <c r="H521" s="65"/>
      <c r="I521" s="65"/>
      <c r="J521" s="65"/>
      <c r="K521" s="65"/>
      <c r="L521" s="67"/>
      <c r="M521" s="65"/>
      <c r="N521" s="65"/>
      <c r="O521" s="65"/>
      <c r="P521" s="65"/>
      <c r="Q521" s="65"/>
      <c r="R521" s="65"/>
      <c r="S521" s="65"/>
      <c r="T521" s="65"/>
      <c r="V521" s="68"/>
      <c r="X521" s="68"/>
      <c r="Y521" s="69"/>
      <c r="Z521" s="68"/>
      <c r="AA521" s="68"/>
      <c r="AB521" s="68"/>
      <c r="AC521" s="68"/>
      <c r="AD521" s="68"/>
      <c r="AE521" s="68"/>
      <c r="AF521" s="68"/>
      <c r="AG521" s="68"/>
      <c r="AH521" s="68"/>
      <c r="AI521" s="68"/>
      <c r="AJ521" s="68"/>
      <c r="AK521" s="68"/>
      <c r="AL521" s="68"/>
      <c r="AM521" s="68"/>
      <c r="AN521" s="68"/>
      <c r="AO521" s="68"/>
      <c r="AP521" s="68"/>
      <c r="AQ521" s="68"/>
      <c r="AR521" s="68"/>
    </row>
    <row r="522" ht="15.75" customHeight="1">
      <c r="A522" s="64"/>
      <c r="B522" s="64"/>
      <c r="D522" s="65"/>
      <c r="F522" s="65"/>
      <c r="G522" s="66"/>
      <c r="H522" s="65"/>
      <c r="I522" s="65"/>
      <c r="J522" s="65"/>
      <c r="K522" s="65"/>
      <c r="L522" s="67"/>
      <c r="M522" s="65"/>
      <c r="N522" s="65"/>
      <c r="O522" s="65"/>
      <c r="P522" s="65"/>
      <c r="Q522" s="65"/>
      <c r="R522" s="65"/>
      <c r="S522" s="65"/>
      <c r="T522" s="65"/>
      <c r="V522" s="68"/>
      <c r="X522" s="68"/>
      <c r="Y522" s="69"/>
      <c r="Z522" s="68"/>
      <c r="AA522" s="68"/>
      <c r="AB522" s="68"/>
      <c r="AC522" s="68"/>
      <c r="AD522" s="68"/>
      <c r="AE522" s="68"/>
      <c r="AF522" s="68"/>
      <c r="AG522" s="68"/>
      <c r="AH522" s="68"/>
      <c r="AI522" s="68"/>
      <c r="AJ522" s="68"/>
      <c r="AK522" s="68"/>
      <c r="AL522" s="68"/>
      <c r="AM522" s="68"/>
      <c r="AN522" s="68"/>
      <c r="AO522" s="68"/>
      <c r="AP522" s="68"/>
      <c r="AQ522" s="68"/>
      <c r="AR522" s="68"/>
    </row>
    <row r="523" ht="15.75" customHeight="1">
      <c r="A523" s="64"/>
      <c r="B523" s="64"/>
      <c r="D523" s="65"/>
      <c r="F523" s="65"/>
      <c r="G523" s="66"/>
      <c r="H523" s="65"/>
      <c r="I523" s="65"/>
      <c r="J523" s="65"/>
      <c r="K523" s="65"/>
      <c r="L523" s="67"/>
      <c r="M523" s="65"/>
      <c r="N523" s="65"/>
      <c r="O523" s="65"/>
      <c r="P523" s="65"/>
      <c r="Q523" s="65"/>
      <c r="R523" s="65"/>
      <c r="S523" s="65"/>
      <c r="T523" s="65"/>
      <c r="V523" s="68"/>
      <c r="X523" s="68"/>
      <c r="Y523" s="69"/>
      <c r="Z523" s="68"/>
      <c r="AA523" s="68"/>
      <c r="AB523" s="68"/>
      <c r="AC523" s="68"/>
      <c r="AD523" s="68"/>
      <c r="AE523" s="68"/>
      <c r="AF523" s="68"/>
      <c r="AG523" s="68"/>
      <c r="AH523" s="68"/>
      <c r="AI523" s="68"/>
      <c r="AJ523" s="68"/>
      <c r="AK523" s="68"/>
      <c r="AL523" s="68"/>
      <c r="AM523" s="68"/>
      <c r="AN523" s="68"/>
      <c r="AO523" s="68"/>
      <c r="AP523" s="68"/>
      <c r="AQ523" s="68"/>
      <c r="AR523" s="68"/>
    </row>
    <row r="524" ht="15.75" customHeight="1">
      <c r="A524" s="64"/>
      <c r="B524" s="64"/>
      <c r="D524" s="65"/>
      <c r="F524" s="65"/>
      <c r="G524" s="66"/>
      <c r="H524" s="65"/>
      <c r="I524" s="65"/>
      <c r="J524" s="65"/>
      <c r="K524" s="65"/>
      <c r="L524" s="67"/>
      <c r="M524" s="65"/>
      <c r="N524" s="65"/>
      <c r="O524" s="65"/>
      <c r="P524" s="65"/>
      <c r="Q524" s="65"/>
      <c r="R524" s="65"/>
      <c r="S524" s="65"/>
      <c r="T524" s="65"/>
      <c r="V524" s="68"/>
      <c r="X524" s="68"/>
      <c r="Y524" s="69"/>
      <c r="Z524" s="68"/>
      <c r="AA524" s="68"/>
      <c r="AB524" s="68"/>
      <c r="AC524" s="68"/>
      <c r="AD524" s="68"/>
      <c r="AE524" s="68"/>
      <c r="AF524" s="68"/>
      <c r="AG524" s="68"/>
      <c r="AH524" s="68"/>
      <c r="AI524" s="68"/>
      <c r="AJ524" s="68"/>
      <c r="AK524" s="68"/>
      <c r="AL524" s="68"/>
      <c r="AM524" s="68"/>
      <c r="AN524" s="68"/>
      <c r="AO524" s="68"/>
      <c r="AP524" s="68"/>
      <c r="AQ524" s="68"/>
      <c r="AR524" s="68"/>
    </row>
    <row r="525" ht="15.75" customHeight="1">
      <c r="A525" s="64"/>
      <c r="B525" s="64"/>
      <c r="D525" s="65"/>
      <c r="F525" s="65"/>
      <c r="G525" s="66"/>
      <c r="H525" s="65"/>
      <c r="I525" s="65"/>
      <c r="J525" s="65"/>
      <c r="K525" s="65"/>
      <c r="L525" s="67"/>
      <c r="M525" s="65"/>
      <c r="N525" s="65"/>
      <c r="O525" s="65"/>
      <c r="P525" s="65"/>
      <c r="Q525" s="65"/>
      <c r="R525" s="65"/>
      <c r="S525" s="65"/>
      <c r="T525" s="65"/>
      <c r="V525" s="68"/>
      <c r="X525" s="68"/>
      <c r="Y525" s="69"/>
      <c r="Z525" s="68"/>
      <c r="AA525" s="68"/>
      <c r="AB525" s="68"/>
      <c r="AC525" s="68"/>
      <c r="AD525" s="68"/>
      <c r="AE525" s="68"/>
      <c r="AF525" s="68"/>
      <c r="AG525" s="68"/>
      <c r="AH525" s="68"/>
      <c r="AI525" s="68"/>
      <c r="AJ525" s="68"/>
      <c r="AK525" s="68"/>
      <c r="AL525" s="68"/>
      <c r="AM525" s="68"/>
      <c r="AN525" s="68"/>
      <c r="AO525" s="68"/>
      <c r="AP525" s="68"/>
      <c r="AQ525" s="68"/>
      <c r="AR525" s="68"/>
    </row>
    <row r="526" ht="15.75" customHeight="1">
      <c r="A526" s="64"/>
      <c r="B526" s="64"/>
      <c r="D526" s="65"/>
      <c r="F526" s="65"/>
      <c r="G526" s="66"/>
      <c r="H526" s="65"/>
      <c r="I526" s="65"/>
      <c r="J526" s="65"/>
      <c r="K526" s="65"/>
      <c r="L526" s="67"/>
      <c r="M526" s="65"/>
      <c r="N526" s="65"/>
      <c r="O526" s="65"/>
      <c r="P526" s="65"/>
      <c r="Q526" s="65"/>
      <c r="R526" s="65"/>
      <c r="S526" s="65"/>
      <c r="T526" s="65"/>
      <c r="V526" s="68"/>
      <c r="X526" s="68"/>
      <c r="Y526" s="69"/>
      <c r="Z526" s="68"/>
      <c r="AA526" s="68"/>
      <c r="AB526" s="68"/>
      <c r="AC526" s="68"/>
      <c r="AD526" s="68"/>
      <c r="AE526" s="68"/>
      <c r="AF526" s="68"/>
      <c r="AG526" s="68"/>
      <c r="AH526" s="68"/>
      <c r="AI526" s="68"/>
      <c r="AJ526" s="68"/>
      <c r="AK526" s="68"/>
      <c r="AL526" s="68"/>
      <c r="AM526" s="68"/>
      <c r="AN526" s="68"/>
      <c r="AO526" s="68"/>
      <c r="AP526" s="68"/>
      <c r="AQ526" s="68"/>
      <c r="AR526" s="68"/>
    </row>
    <row r="527" ht="15.75" customHeight="1">
      <c r="A527" s="64"/>
      <c r="B527" s="64"/>
      <c r="D527" s="65"/>
      <c r="F527" s="65"/>
      <c r="G527" s="66"/>
      <c r="H527" s="65"/>
      <c r="I527" s="65"/>
      <c r="J527" s="65"/>
      <c r="K527" s="65"/>
      <c r="L527" s="67"/>
      <c r="M527" s="65"/>
      <c r="N527" s="65"/>
      <c r="O527" s="65"/>
      <c r="P527" s="65"/>
      <c r="Q527" s="65"/>
      <c r="R527" s="65"/>
      <c r="S527" s="65"/>
      <c r="T527" s="65"/>
      <c r="V527" s="68"/>
      <c r="X527" s="68"/>
      <c r="Y527" s="69"/>
      <c r="Z527" s="68"/>
      <c r="AA527" s="68"/>
      <c r="AB527" s="68"/>
      <c r="AC527" s="68"/>
      <c r="AD527" s="68"/>
      <c r="AE527" s="68"/>
      <c r="AF527" s="68"/>
      <c r="AG527" s="68"/>
      <c r="AH527" s="68"/>
      <c r="AI527" s="68"/>
      <c r="AJ527" s="68"/>
      <c r="AK527" s="68"/>
      <c r="AL527" s="68"/>
      <c r="AM527" s="68"/>
      <c r="AN527" s="68"/>
      <c r="AO527" s="68"/>
      <c r="AP527" s="68"/>
      <c r="AQ527" s="68"/>
      <c r="AR527" s="68"/>
    </row>
    <row r="528" ht="15.75" customHeight="1">
      <c r="A528" s="64"/>
      <c r="B528" s="64"/>
      <c r="D528" s="65"/>
      <c r="F528" s="65"/>
      <c r="G528" s="66"/>
      <c r="H528" s="65"/>
      <c r="I528" s="65"/>
      <c r="J528" s="65"/>
      <c r="K528" s="65"/>
      <c r="L528" s="67"/>
      <c r="M528" s="65"/>
      <c r="N528" s="65"/>
      <c r="O528" s="65"/>
      <c r="P528" s="65"/>
      <c r="Q528" s="65"/>
      <c r="R528" s="65"/>
      <c r="S528" s="65"/>
      <c r="T528" s="65"/>
      <c r="V528" s="68"/>
      <c r="X528" s="68"/>
      <c r="Y528" s="69"/>
      <c r="Z528" s="68"/>
      <c r="AA528" s="68"/>
      <c r="AB528" s="68"/>
      <c r="AC528" s="68"/>
      <c r="AD528" s="68"/>
      <c r="AE528" s="68"/>
      <c r="AF528" s="68"/>
      <c r="AG528" s="68"/>
      <c r="AH528" s="68"/>
      <c r="AI528" s="68"/>
      <c r="AJ528" s="68"/>
      <c r="AK528" s="68"/>
      <c r="AL528" s="68"/>
      <c r="AM528" s="68"/>
      <c r="AN528" s="68"/>
      <c r="AO528" s="68"/>
      <c r="AP528" s="68"/>
      <c r="AQ528" s="68"/>
      <c r="AR528" s="68"/>
    </row>
    <row r="529" ht="15.75" customHeight="1">
      <c r="A529" s="64"/>
      <c r="B529" s="64"/>
      <c r="D529" s="65"/>
      <c r="F529" s="65"/>
      <c r="G529" s="66"/>
      <c r="H529" s="65"/>
      <c r="I529" s="65"/>
      <c r="J529" s="65"/>
      <c r="K529" s="65"/>
      <c r="L529" s="67"/>
      <c r="M529" s="65"/>
      <c r="N529" s="65"/>
      <c r="O529" s="65"/>
      <c r="P529" s="65"/>
      <c r="Q529" s="65"/>
      <c r="R529" s="65"/>
      <c r="S529" s="65"/>
      <c r="T529" s="65"/>
      <c r="V529" s="68"/>
      <c r="X529" s="68"/>
      <c r="Y529" s="69"/>
      <c r="Z529" s="68"/>
      <c r="AA529" s="68"/>
      <c r="AB529" s="68"/>
      <c r="AC529" s="68"/>
      <c r="AD529" s="68"/>
      <c r="AE529" s="68"/>
      <c r="AF529" s="68"/>
      <c r="AG529" s="68"/>
      <c r="AH529" s="68"/>
      <c r="AI529" s="68"/>
      <c r="AJ529" s="68"/>
      <c r="AK529" s="68"/>
      <c r="AL529" s="68"/>
      <c r="AM529" s="68"/>
      <c r="AN529" s="68"/>
      <c r="AO529" s="68"/>
      <c r="AP529" s="68"/>
      <c r="AQ529" s="68"/>
      <c r="AR529" s="68"/>
    </row>
    <row r="530" ht="15.75" customHeight="1">
      <c r="A530" s="64"/>
      <c r="B530" s="64"/>
      <c r="D530" s="65"/>
      <c r="F530" s="65"/>
      <c r="G530" s="66"/>
      <c r="H530" s="65"/>
      <c r="I530" s="65"/>
      <c r="J530" s="65"/>
      <c r="K530" s="65"/>
      <c r="L530" s="67"/>
      <c r="M530" s="65"/>
      <c r="N530" s="65"/>
      <c r="O530" s="65"/>
      <c r="P530" s="65"/>
      <c r="Q530" s="65"/>
      <c r="R530" s="65"/>
      <c r="S530" s="65"/>
      <c r="T530" s="65"/>
      <c r="V530" s="68"/>
      <c r="X530" s="68"/>
      <c r="Y530" s="69"/>
      <c r="Z530" s="68"/>
      <c r="AA530" s="68"/>
      <c r="AB530" s="68"/>
      <c r="AC530" s="68"/>
      <c r="AD530" s="68"/>
      <c r="AE530" s="68"/>
      <c r="AF530" s="68"/>
      <c r="AG530" s="68"/>
      <c r="AH530" s="68"/>
      <c r="AI530" s="68"/>
      <c r="AJ530" s="68"/>
      <c r="AK530" s="68"/>
      <c r="AL530" s="68"/>
      <c r="AM530" s="68"/>
      <c r="AN530" s="68"/>
      <c r="AO530" s="68"/>
      <c r="AP530" s="68"/>
      <c r="AQ530" s="68"/>
      <c r="AR530" s="68"/>
    </row>
    <row r="531" ht="15.75" customHeight="1">
      <c r="A531" s="64"/>
      <c r="B531" s="64"/>
      <c r="D531" s="65"/>
      <c r="F531" s="65"/>
      <c r="G531" s="66"/>
      <c r="H531" s="65"/>
      <c r="I531" s="65"/>
      <c r="J531" s="65"/>
      <c r="K531" s="65"/>
      <c r="L531" s="67"/>
      <c r="M531" s="65"/>
      <c r="N531" s="65"/>
      <c r="O531" s="65"/>
      <c r="P531" s="65"/>
      <c r="Q531" s="65"/>
      <c r="R531" s="65"/>
      <c r="S531" s="65"/>
      <c r="T531" s="65"/>
      <c r="V531" s="68"/>
      <c r="X531" s="68"/>
      <c r="Y531" s="69"/>
      <c r="Z531" s="68"/>
      <c r="AA531" s="68"/>
      <c r="AB531" s="68"/>
      <c r="AC531" s="68"/>
      <c r="AD531" s="68"/>
      <c r="AE531" s="68"/>
      <c r="AF531" s="68"/>
      <c r="AG531" s="68"/>
      <c r="AH531" s="68"/>
      <c r="AI531" s="68"/>
      <c r="AJ531" s="68"/>
      <c r="AK531" s="68"/>
      <c r="AL531" s="68"/>
      <c r="AM531" s="68"/>
      <c r="AN531" s="68"/>
      <c r="AO531" s="68"/>
      <c r="AP531" s="68"/>
      <c r="AQ531" s="68"/>
      <c r="AR531" s="68"/>
    </row>
    <row r="532" ht="15.75" customHeight="1">
      <c r="A532" s="64"/>
      <c r="B532" s="64"/>
      <c r="D532" s="65"/>
      <c r="F532" s="65"/>
      <c r="G532" s="66"/>
      <c r="H532" s="65"/>
      <c r="I532" s="65"/>
      <c r="J532" s="65"/>
      <c r="K532" s="65"/>
      <c r="L532" s="67"/>
      <c r="M532" s="65"/>
      <c r="N532" s="65"/>
      <c r="O532" s="65"/>
      <c r="P532" s="65"/>
      <c r="Q532" s="65"/>
      <c r="R532" s="65"/>
      <c r="S532" s="65"/>
      <c r="T532" s="65"/>
      <c r="V532" s="68"/>
      <c r="X532" s="68"/>
      <c r="Y532" s="69"/>
      <c r="Z532" s="68"/>
      <c r="AA532" s="68"/>
      <c r="AB532" s="68"/>
      <c r="AC532" s="68"/>
      <c r="AD532" s="68"/>
      <c r="AE532" s="68"/>
      <c r="AF532" s="68"/>
      <c r="AG532" s="68"/>
      <c r="AH532" s="68"/>
      <c r="AI532" s="68"/>
      <c r="AJ532" s="68"/>
      <c r="AK532" s="68"/>
      <c r="AL532" s="68"/>
      <c r="AM532" s="68"/>
      <c r="AN532" s="68"/>
      <c r="AO532" s="68"/>
      <c r="AP532" s="68"/>
      <c r="AQ532" s="68"/>
      <c r="AR532" s="68"/>
    </row>
    <row r="533" ht="15.75" customHeight="1">
      <c r="A533" s="64"/>
      <c r="B533" s="64"/>
      <c r="D533" s="65"/>
      <c r="F533" s="65"/>
      <c r="G533" s="66"/>
      <c r="H533" s="65"/>
      <c r="I533" s="65"/>
      <c r="J533" s="65"/>
      <c r="K533" s="65"/>
      <c r="L533" s="67"/>
      <c r="M533" s="65"/>
      <c r="N533" s="65"/>
      <c r="O533" s="65"/>
      <c r="P533" s="65"/>
      <c r="Q533" s="65"/>
      <c r="R533" s="65"/>
      <c r="S533" s="65"/>
      <c r="T533" s="65"/>
      <c r="V533" s="68"/>
      <c r="X533" s="68"/>
      <c r="Y533" s="69"/>
      <c r="Z533" s="68"/>
      <c r="AA533" s="68"/>
      <c r="AB533" s="68"/>
      <c r="AC533" s="68"/>
      <c r="AD533" s="68"/>
      <c r="AE533" s="68"/>
      <c r="AF533" s="68"/>
      <c r="AG533" s="68"/>
      <c r="AH533" s="68"/>
      <c r="AI533" s="68"/>
      <c r="AJ533" s="68"/>
      <c r="AK533" s="68"/>
      <c r="AL533" s="68"/>
      <c r="AM533" s="68"/>
      <c r="AN533" s="68"/>
      <c r="AO533" s="68"/>
      <c r="AP533" s="68"/>
      <c r="AQ533" s="68"/>
      <c r="AR533" s="68"/>
    </row>
    <row r="534" ht="15.75" customHeight="1">
      <c r="A534" s="64"/>
      <c r="B534" s="64"/>
      <c r="D534" s="65"/>
      <c r="F534" s="65"/>
      <c r="G534" s="66"/>
      <c r="H534" s="65"/>
      <c r="I534" s="65"/>
      <c r="J534" s="65"/>
      <c r="K534" s="65"/>
      <c r="L534" s="67"/>
      <c r="M534" s="65"/>
      <c r="N534" s="65"/>
      <c r="O534" s="65"/>
      <c r="P534" s="65"/>
      <c r="Q534" s="65"/>
      <c r="R534" s="65"/>
      <c r="S534" s="65"/>
      <c r="T534" s="65"/>
      <c r="V534" s="68"/>
      <c r="X534" s="68"/>
      <c r="Y534" s="69"/>
      <c r="Z534" s="68"/>
      <c r="AA534" s="68"/>
      <c r="AB534" s="68"/>
      <c r="AC534" s="68"/>
      <c r="AD534" s="68"/>
      <c r="AE534" s="68"/>
      <c r="AF534" s="68"/>
      <c r="AG534" s="68"/>
      <c r="AH534" s="68"/>
      <c r="AI534" s="68"/>
      <c r="AJ534" s="68"/>
      <c r="AK534" s="68"/>
      <c r="AL534" s="68"/>
      <c r="AM534" s="68"/>
      <c r="AN534" s="68"/>
      <c r="AO534" s="68"/>
      <c r="AP534" s="68"/>
      <c r="AQ534" s="68"/>
      <c r="AR534" s="68"/>
    </row>
    <row r="535" ht="15.75" customHeight="1">
      <c r="A535" s="64"/>
      <c r="B535" s="64"/>
      <c r="D535" s="65"/>
      <c r="F535" s="65"/>
      <c r="G535" s="66"/>
      <c r="H535" s="65"/>
      <c r="I535" s="65"/>
      <c r="J535" s="65"/>
      <c r="K535" s="65"/>
      <c r="L535" s="67"/>
      <c r="M535" s="65"/>
      <c r="N535" s="65"/>
      <c r="O535" s="65"/>
      <c r="P535" s="65"/>
      <c r="Q535" s="65"/>
      <c r="R535" s="65"/>
      <c r="S535" s="65"/>
      <c r="T535" s="65"/>
      <c r="V535" s="68"/>
      <c r="X535" s="68"/>
      <c r="Y535" s="69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</row>
    <row r="536" ht="15.75" customHeight="1">
      <c r="A536" s="64"/>
      <c r="B536" s="64"/>
      <c r="D536" s="65"/>
      <c r="F536" s="65"/>
      <c r="G536" s="66"/>
      <c r="H536" s="65"/>
      <c r="I536" s="65"/>
      <c r="J536" s="65"/>
      <c r="K536" s="65"/>
      <c r="L536" s="67"/>
      <c r="M536" s="65"/>
      <c r="N536" s="65"/>
      <c r="O536" s="65"/>
      <c r="P536" s="65"/>
      <c r="Q536" s="65"/>
      <c r="R536" s="65"/>
      <c r="S536" s="65"/>
      <c r="T536" s="65"/>
      <c r="V536" s="68"/>
      <c r="X536" s="68"/>
      <c r="Y536" s="69"/>
      <c r="Z536" s="68"/>
      <c r="AA536" s="68"/>
      <c r="AB536" s="68"/>
      <c r="AC536" s="68"/>
      <c r="AD536" s="68"/>
      <c r="AE536" s="68"/>
      <c r="AF536" s="68"/>
      <c r="AG536" s="68"/>
      <c r="AH536" s="68"/>
      <c r="AI536" s="68"/>
      <c r="AJ536" s="68"/>
      <c r="AK536" s="68"/>
      <c r="AL536" s="68"/>
      <c r="AM536" s="68"/>
      <c r="AN536" s="68"/>
      <c r="AO536" s="68"/>
      <c r="AP536" s="68"/>
      <c r="AQ536" s="68"/>
      <c r="AR536" s="68"/>
    </row>
    <row r="537" ht="15.75" customHeight="1">
      <c r="A537" s="64"/>
      <c r="B537" s="64"/>
      <c r="D537" s="65"/>
      <c r="F537" s="65"/>
      <c r="G537" s="66"/>
      <c r="H537" s="65"/>
      <c r="I537" s="65"/>
      <c r="J537" s="65"/>
      <c r="K537" s="65"/>
      <c r="L537" s="67"/>
      <c r="M537" s="65"/>
      <c r="N537" s="65"/>
      <c r="O537" s="65"/>
      <c r="P537" s="65"/>
      <c r="Q537" s="65"/>
      <c r="R537" s="65"/>
      <c r="S537" s="65"/>
      <c r="T537" s="65"/>
      <c r="V537" s="68"/>
      <c r="X537" s="68"/>
      <c r="Y537" s="69"/>
      <c r="Z537" s="68"/>
      <c r="AA537" s="68"/>
      <c r="AB537" s="68"/>
      <c r="AC537" s="68"/>
      <c r="AD537" s="68"/>
      <c r="AE537" s="68"/>
      <c r="AF537" s="68"/>
      <c r="AG537" s="68"/>
      <c r="AH537" s="68"/>
      <c r="AI537" s="68"/>
      <c r="AJ537" s="68"/>
      <c r="AK537" s="68"/>
      <c r="AL537" s="68"/>
      <c r="AM537" s="68"/>
      <c r="AN537" s="68"/>
      <c r="AO537" s="68"/>
      <c r="AP537" s="68"/>
      <c r="AQ537" s="68"/>
      <c r="AR537" s="68"/>
    </row>
    <row r="538" ht="15.75" customHeight="1">
      <c r="A538" s="64"/>
      <c r="B538" s="64"/>
      <c r="D538" s="65"/>
      <c r="F538" s="65"/>
      <c r="G538" s="66"/>
      <c r="H538" s="65"/>
      <c r="I538" s="65"/>
      <c r="J538" s="65"/>
      <c r="K538" s="65"/>
      <c r="L538" s="67"/>
      <c r="M538" s="65"/>
      <c r="N538" s="65"/>
      <c r="O538" s="65"/>
      <c r="P538" s="65"/>
      <c r="Q538" s="65"/>
      <c r="R538" s="65"/>
      <c r="S538" s="65"/>
      <c r="T538" s="65"/>
      <c r="V538" s="68"/>
      <c r="X538" s="68"/>
      <c r="Y538" s="69"/>
      <c r="Z538" s="68"/>
      <c r="AA538" s="68"/>
      <c r="AB538" s="68"/>
      <c r="AC538" s="68"/>
      <c r="AD538" s="68"/>
      <c r="AE538" s="68"/>
      <c r="AF538" s="68"/>
      <c r="AG538" s="68"/>
      <c r="AH538" s="68"/>
      <c r="AI538" s="68"/>
      <c r="AJ538" s="68"/>
      <c r="AK538" s="68"/>
      <c r="AL538" s="68"/>
      <c r="AM538" s="68"/>
      <c r="AN538" s="68"/>
      <c r="AO538" s="68"/>
      <c r="AP538" s="68"/>
      <c r="AQ538" s="68"/>
      <c r="AR538" s="68"/>
    </row>
    <row r="539" ht="15.75" customHeight="1">
      <c r="A539" s="64"/>
      <c r="B539" s="64"/>
      <c r="D539" s="65"/>
      <c r="F539" s="65"/>
      <c r="G539" s="66"/>
      <c r="H539" s="65"/>
      <c r="I539" s="65"/>
      <c r="J539" s="65"/>
      <c r="K539" s="65"/>
      <c r="L539" s="67"/>
      <c r="M539" s="65"/>
      <c r="N539" s="65"/>
      <c r="O539" s="65"/>
      <c r="P539" s="65"/>
      <c r="Q539" s="65"/>
      <c r="R539" s="65"/>
      <c r="S539" s="65"/>
      <c r="T539" s="65"/>
      <c r="V539" s="68"/>
      <c r="X539" s="68"/>
      <c r="Y539" s="69"/>
      <c r="Z539" s="68"/>
      <c r="AA539" s="68"/>
      <c r="AB539" s="68"/>
      <c r="AC539" s="68"/>
      <c r="AD539" s="68"/>
      <c r="AE539" s="68"/>
      <c r="AF539" s="68"/>
      <c r="AG539" s="68"/>
      <c r="AH539" s="68"/>
      <c r="AI539" s="68"/>
      <c r="AJ539" s="68"/>
      <c r="AK539" s="68"/>
      <c r="AL539" s="68"/>
      <c r="AM539" s="68"/>
      <c r="AN539" s="68"/>
      <c r="AO539" s="68"/>
      <c r="AP539" s="68"/>
      <c r="AQ539" s="68"/>
      <c r="AR539" s="68"/>
    </row>
    <row r="540" ht="15.75" customHeight="1">
      <c r="A540" s="64"/>
      <c r="B540" s="64"/>
      <c r="D540" s="65"/>
      <c r="F540" s="65"/>
      <c r="G540" s="66"/>
      <c r="H540" s="65"/>
      <c r="I540" s="65"/>
      <c r="J540" s="65"/>
      <c r="K540" s="65"/>
      <c r="L540" s="67"/>
      <c r="M540" s="65"/>
      <c r="N540" s="65"/>
      <c r="O540" s="65"/>
      <c r="P540" s="65"/>
      <c r="Q540" s="65"/>
      <c r="R540" s="65"/>
      <c r="S540" s="65"/>
      <c r="T540" s="65"/>
      <c r="V540" s="68"/>
      <c r="X540" s="68"/>
      <c r="Y540" s="69"/>
      <c r="Z540" s="68"/>
      <c r="AA540" s="68"/>
      <c r="AB540" s="68"/>
      <c r="AC540" s="68"/>
      <c r="AD540" s="68"/>
      <c r="AE540" s="68"/>
      <c r="AF540" s="68"/>
      <c r="AG540" s="68"/>
      <c r="AH540" s="68"/>
      <c r="AI540" s="68"/>
      <c r="AJ540" s="68"/>
      <c r="AK540" s="68"/>
      <c r="AL540" s="68"/>
      <c r="AM540" s="68"/>
      <c r="AN540" s="68"/>
      <c r="AO540" s="68"/>
      <c r="AP540" s="68"/>
      <c r="AQ540" s="68"/>
      <c r="AR540" s="68"/>
    </row>
    <row r="541" ht="15.75" customHeight="1">
      <c r="A541" s="64"/>
      <c r="B541" s="64"/>
      <c r="D541" s="65"/>
      <c r="F541" s="65"/>
      <c r="G541" s="66"/>
      <c r="H541" s="65"/>
      <c r="I541" s="65"/>
      <c r="J541" s="65"/>
      <c r="K541" s="65"/>
      <c r="L541" s="67"/>
      <c r="M541" s="65"/>
      <c r="N541" s="65"/>
      <c r="O541" s="65"/>
      <c r="P541" s="65"/>
      <c r="Q541" s="65"/>
      <c r="R541" s="65"/>
      <c r="S541" s="65"/>
      <c r="T541" s="65"/>
      <c r="V541" s="68"/>
      <c r="X541" s="68"/>
      <c r="Y541" s="69"/>
      <c r="Z541" s="68"/>
      <c r="AA541" s="68"/>
      <c r="AB541" s="68"/>
      <c r="AC541" s="68"/>
      <c r="AD541" s="68"/>
      <c r="AE541" s="68"/>
      <c r="AF541" s="68"/>
      <c r="AG541" s="68"/>
      <c r="AH541" s="68"/>
      <c r="AI541" s="68"/>
      <c r="AJ541" s="68"/>
      <c r="AK541" s="68"/>
      <c r="AL541" s="68"/>
      <c r="AM541" s="68"/>
      <c r="AN541" s="68"/>
      <c r="AO541" s="68"/>
      <c r="AP541" s="68"/>
      <c r="AQ541" s="68"/>
      <c r="AR541" s="68"/>
    </row>
    <row r="542" ht="15.75" customHeight="1">
      <c r="A542" s="64"/>
      <c r="B542" s="64"/>
      <c r="D542" s="65"/>
      <c r="F542" s="65"/>
      <c r="G542" s="66"/>
      <c r="H542" s="65"/>
      <c r="I542" s="65"/>
      <c r="J542" s="65"/>
      <c r="K542" s="65"/>
      <c r="L542" s="67"/>
      <c r="M542" s="65"/>
      <c r="N542" s="65"/>
      <c r="O542" s="65"/>
      <c r="P542" s="65"/>
      <c r="Q542" s="65"/>
      <c r="R542" s="65"/>
      <c r="S542" s="65"/>
      <c r="T542" s="65"/>
      <c r="V542" s="68"/>
      <c r="X542" s="68"/>
      <c r="Y542" s="69"/>
      <c r="Z542" s="68"/>
      <c r="AA542" s="68"/>
      <c r="AB542" s="68"/>
      <c r="AC542" s="68"/>
      <c r="AD542" s="68"/>
      <c r="AE542" s="68"/>
      <c r="AF542" s="68"/>
      <c r="AG542" s="68"/>
      <c r="AH542" s="68"/>
      <c r="AI542" s="68"/>
      <c r="AJ542" s="68"/>
      <c r="AK542" s="68"/>
      <c r="AL542" s="68"/>
      <c r="AM542" s="68"/>
      <c r="AN542" s="68"/>
      <c r="AO542" s="68"/>
      <c r="AP542" s="68"/>
      <c r="AQ542" s="68"/>
      <c r="AR542" s="68"/>
    </row>
    <row r="543" ht="15.75" customHeight="1">
      <c r="A543" s="64"/>
      <c r="B543" s="64"/>
      <c r="D543" s="65"/>
      <c r="F543" s="65"/>
      <c r="G543" s="66"/>
      <c r="H543" s="65"/>
      <c r="I543" s="65"/>
      <c r="J543" s="65"/>
      <c r="K543" s="65"/>
      <c r="L543" s="67"/>
      <c r="M543" s="65"/>
      <c r="N543" s="65"/>
      <c r="O543" s="65"/>
      <c r="P543" s="65"/>
      <c r="Q543" s="65"/>
      <c r="R543" s="65"/>
      <c r="S543" s="65"/>
      <c r="T543" s="65"/>
      <c r="V543" s="68"/>
      <c r="X543" s="68"/>
      <c r="Y543" s="69"/>
      <c r="Z543" s="68"/>
      <c r="AA543" s="68"/>
      <c r="AB543" s="68"/>
      <c r="AC543" s="68"/>
      <c r="AD543" s="68"/>
      <c r="AE543" s="68"/>
      <c r="AF543" s="68"/>
      <c r="AG543" s="68"/>
      <c r="AH543" s="68"/>
      <c r="AI543" s="68"/>
      <c r="AJ543" s="68"/>
      <c r="AK543" s="68"/>
      <c r="AL543" s="68"/>
      <c r="AM543" s="68"/>
      <c r="AN543" s="68"/>
      <c r="AO543" s="68"/>
      <c r="AP543" s="68"/>
      <c r="AQ543" s="68"/>
      <c r="AR543" s="68"/>
    </row>
    <row r="544" ht="15.75" customHeight="1">
      <c r="A544" s="64"/>
      <c r="B544" s="64"/>
      <c r="D544" s="65"/>
      <c r="F544" s="65"/>
      <c r="G544" s="66"/>
      <c r="H544" s="65"/>
      <c r="I544" s="65"/>
      <c r="J544" s="65"/>
      <c r="K544" s="65"/>
      <c r="L544" s="67"/>
      <c r="M544" s="65"/>
      <c r="N544" s="65"/>
      <c r="O544" s="65"/>
      <c r="P544" s="65"/>
      <c r="Q544" s="65"/>
      <c r="R544" s="65"/>
      <c r="S544" s="65"/>
      <c r="T544" s="65"/>
      <c r="V544" s="68"/>
      <c r="X544" s="68"/>
      <c r="Y544" s="69"/>
      <c r="Z544" s="68"/>
      <c r="AA544" s="68"/>
      <c r="AB544" s="68"/>
      <c r="AC544" s="68"/>
      <c r="AD544" s="68"/>
      <c r="AE544" s="68"/>
      <c r="AF544" s="68"/>
      <c r="AG544" s="68"/>
      <c r="AH544" s="68"/>
      <c r="AI544" s="68"/>
      <c r="AJ544" s="68"/>
      <c r="AK544" s="68"/>
      <c r="AL544" s="68"/>
      <c r="AM544" s="68"/>
      <c r="AN544" s="68"/>
      <c r="AO544" s="68"/>
      <c r="AP544" s="68"/>
      <c r="AQ544" s="68"/>
      <c r="AR544" s="68"/>
    </row>
    <row r="545" ht="15.75" customHeight="1">
      <c r="A545" s="64"/>
      <c r="B545" s="64"/>
      <c r="D545" s="65"/>
      <c r="F545" s="65"/>
      <c r="G545" s="66"/>
      <c r="H545" s="65"/>
      <c r="I545" s="65"/>
      <c r="J545" s="65"/>
      <c r="K545" s="65"/>
      <c r="L545" s="67"/>
      <c r="M545" s="65"/>
      <c r="N545" s="65"/>
      <c r="O545" s="65"/>
      <c r="P545" s="65"/>
      <c r="Q545" s="65"/>
      <c r="R545" s="65"/>
      <c r="S545" s="65"/>
      <c r="T545" s="65"/>
      <c r="V545" s="68"/>
      <c r="X545" s="68"/>
      <c r="Y545" s="69"/>
      <c r="Z545" s="68"/>
      <c r="AA545" s="68"/>
      <c r="AB545" s="68"/>
      <c r="AC545" s="68"/>
      <c r="AD545" s="68"/>
      <c r="AE545" s="68"/>
      <c r="AF545" s="68"/>
      <c r="AG545" s="68"/>
      <c r="AH545" s="68"/>
      <c r="AI545" s="68"/>
      <c r="AJ545" s="68"/>
      <c r="AK545" s="68"/>
      <c r="AL545" s="68"/>
      <c r="AM545" s="68"/>
      <c r="AN545" s="68"/>
      <c r="AO545" s="68"/>
      <c r="AP545" s="68"/>
      <c r="AQ545" s="68"/>
      <c r="AR545" s="68"/>
    </row>
  </sheetData>
  <mergeCells count="9">
    <mergeCell ref="AG1:AL1"/>
    <mergeCell ref="AM1:AR1"/>
    <mergeCell ref="A1:A2"/>
    <mergeCell ref="B1:B2"/>
    <mergeCell ref="C1:H1"/>
    <mergeCell ref="I1:N1"/>
    <mergeCell ref="O1:T1"/>
    <mergeCell ref="U1:Z1"/>
    <mergeCell ref="AA1:AF1"/>
  </mergeCells>
  <hyperlinks>
    <hyperlink r:id="rId1" ref="AS1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7.63"/>
    <col customWidth="1" min="2" max="2" width="22.25"/>
    <col customWidth="1" min="3" max="22" width="10.63"/>
  </cols>
  <sheetData>
    <row r="1" ht="15.75" customHeight="1">
      <c r="A1" s="70" t="s">
        <v>0</v>
      </c>
      <c r="B1" s="70" t="s">
        <v>1</v>
      </c>
      <c r="C1" s="70" t="s">
        <v>340</v>
      </c>
      <c r="D1" s="70" t="s">
        <v>341</v>
      </c>
      <c r="E1" s="71" t="s">
        <v>342</v>
      </c>
      <c r="F1" s="70" t="s">
        <v>343</v>
      </c>
      <c r="G1" s="70" t="s">
        <v>344</v>
      </c>
      <c r="H1" s="71" t="s">
        <v>345</v>
      </c>
      <c r="I1" s="70" t="s">
        <v>346</v>
      </c>
      <c r="J1" s="70" t="s">
        <v>347</v>
      </c>
      <c r="K1" s="71" t="s">
        <v>348</v>
      </c>
      <c r="L1" s="72" t="s">
        <v>349</v>
      </c>
      <c r="M1" s="73" t="s">
        <v>350</v>
      </c>
      <c r="N1" s="70" t="s">
        <v>351</v>
      </c>
      <c r="O1" s="70" t="s">
        <v>352</v>
      </c>
      <c r="P1" s="74" t="s">
        <v>353</v>
      </c>
      <c r="Q1" s="70" t="s">
        <v>354</v>
      </c>
      <c r="R1" s="70" t="s">
        <v>355</v>
      </c>
      <c r="S1" s="74" t="s">
        <v>356</v>
      </c>
      <c r="T1" s="70" t="s">
        <v>357</v>
      </c>
      <c r="U1" s="70" t="s">
        <v>358</v>
      </c>
      <c r="V1" s="74" t="s">
        <v>359</v>
      </c>
      <c r="W1" s="72" t="s">
        <v>360</v>
      </c>
      <c r="X1" s="73" t="s">
        <v>361</v>
      </c>
      <c r="Y1" s="75"/>
      <c r="Z1" s="70" t="s">
        <v>362</v>
      </c>
      <c r="AA1" s="70" t="s">
        <v>363</v>
      </c>
      <c r="AB1" s="70" t="s">
        <v>340</v>
      </c>
      <c r="AC1" s="70" t="s">
        <v>341</v>
      </c>
      <c r="AD1" s="71" t="s">
        <v>342</v>
      </c>
      <c r="AE1" s="70" t="s">
        <v>343</v>
      </c>
      <c r="AF1" s="70" t="s">
        <v>344</v>
      </c>
      <c r="AG1" s="71" t="s">
        <v>345</v>
      </c>
      <c r="AH1" s="70" t="s">
        <v>346</v>
      </c>
      <c r="AI1" s="70" t="s">
        <v>347</v>
      </c>
      <c r="AJ1" s="71" t="s">
        <v>348</v>
      </c>
      <c r="AK1" s="72" t="s">
        <v>349</v>
      </c>
      <c r="AL1" s="73" t="s">
        <v>350</v>
      </c>
      <c r="AM1" s="70" t="s">
        <v>351</v>
      </c>
      <c r="AN1" s="70" t="s">
        <v>352</v>
      </c>
      <c r="AO1" s="71" t="s">
        <v>353</v>
      </c>
      <c r="AP1" s="70" t="s">
        <v>354</v>
      </c>
      <c r="AQ1" s="70" t="s">
        <v>355</v>
      </c>
      <c r="AR1" s="71" t="s">
        <v>356</v>
      </c>
      <c r="AS1" s="70" t="s">
        <v>357</v>
      </c>
      <c r="AT1" s="70" t="s">
        <v>358</v>
      </c>
      <c r="AU1" s="71" t="s">
        <v>359</v>
      </c>
      <c r="AV1" s="72" t="s">
        <v>360</v>
      </c>
      <c r="AW1" s="73" t="s">
        <v>361</v>
      </c>
    </row>
    <row r="2" ht="15.75" customHeight="1">
      <c r="A2" s="29">
        <v>10101.0</v>
      </c>
      <c r="B2" s="76" t="s">
        <v>8</v>
      </c>
      <c r="C2" s="77">
        <v>1650000.0</v>
      </c>
      <c r="D2" s="77">
        <v>261622.0</v>
      </c>
      <c r="E2" s="78">
        <f t="shared" ref="E2:E344" si="7">C2/D2</f>
        <v>6.30680906</v>
      </c>
      <c r="F2" s="77">
        <v>1800000.0</v>
      </c>
      <c r="G2" s="77">
        <v>264549.0</v>
      </c>
      <c r="H2" s="78">
        <f t="shared" ref="H2:H344" si="8">F2/G2</f>
        <v>6.804032523</v>
      </c>
      <c r="I2" s="77">
        <v>2300000.0</v>
      </c>
      <c r="J2" s="77">
        <v>267476.0</v>
      </c>
      <c r="K2" s="78">
        <f t="shared" ref="K2:K344" si="9">I2/J2</f>
        <v>8.598902331</v>
      </c>
      <c r="L2" s="79">
        <f t="shared" ref="L2:L344" si="10">(E2+H2+K2)/3</f>
        <v>7.236581305</v>
      </c>
      <c r="M2" s="80">
        <f t="shared" ref="M2:M344" si="11">(C2+F2+I2)/3</f>
        <v>1916666.667</v>
      </c>
      <c r="N2" s="77">
        <v>0.0</v>
      </c>
      <c r="O2" s="77">
        <v>290892.0</v>
      </c>
      <c r="P2" s="81">
        <f t="shared" ref="P2:P344" si="12">N2/O2</f>
        <v>0</v>
      </c>
      <c r="Q2" s="82">
        <v>1500000.0</v>
      </c>
      <c r="R2" s="77">
        <v>293819.0</v>
      </c>
      <c r="S2" s="81">
        <f t="shared" ref="S2:S344" si="13">Q2/R2</f>
        <v>5.105183804</v>
      </c>
      <c r="T2" s="77">
        <v>224028.0</v>
      </c>
      <c r="U2" s="77">
        <v>296746.0</v>
      </c>
      <c r="V2" s="81">
        <f t="shared" ref="V2:V344" si="14">T2/U2</f>
        <v>0.7549486766</v>
      </c>
      <c r="W2" s="83">
        <f t="shared" ref="W2:W344" si="15">(P2+S2+V2)/3</f>
        <v>1.953377493</v>
      </c>
      <c r="X2" s="84">
        <f t="shared" ref="X2:X344" si="16">(N2+Q2+T2)/3</f>
        <v>574676</v>
      </c>
      <c r="Z2" s="76">
        <v>1.0</v>
      </c>
      <c r="AA2" s="76" t="s">
        <v>364</v>
      </c>
      <c r="AB2" s="77">
        <f t="shared" ref="AB2:AC2" si="1">SUM(C2:C30)</f>
        <v>3234180</v>
      </c>
      <c r="AC2" s="77">
        <f t="shared" si="1"/>
        <v>580923</v>
      </c>
      <c r="AD2" s="78">
        <f t="shared" ref="AD2:AD12" si="18">AB2/AC2</f>
        <v>5.567312708</v>
      </c>
      <c r="AE2" s="77">
        <f t="shared" ref="AE2:AF2" si="2">SUM(F2:F30)</f>
        <v>3600965</v>
      </c>
      <c r="AF2" s="77">
        <f t="shared" si="2"/>
        <v>583015</v>
      </c>
      <c r="AG2" s="78">
        <f t="shared" ref="AG2:AG12" si="20">AE2/AF2</f>
        <v>6.176453436</v>
      </c>
      <c r="AH2" s="77">
        <f t="shared" ref="AH2:AI2" si="3">SUM(I2:I30)</f>
        <v>4460667</v>
      </c>
      <c r="AI2" s="77">
        <f t="shared" si="3"/>
        <v>585107</v>
      </c>
      <c r="AJ2" s="78">
        <f t="shared" ref="AJ2:AJ12" si="22">AH2/AI2</f>
        <v>7.623677379</v>
      </c>
      <c r="AK2" s="78">
        <f t="shared" ref="AK2:AK12" si="23">(AD2+AG2+AJ2)/3</f>
        <v>6.455814507</v>
      </c>
      <c r="AL2" s="82">
        <f t="shared" ref="AL2:AL12" si="24">(AB2+AE2+AH2)/3</f>
        <v>3765270.667</v>
      </c>
      <c r="AM2" s="77">
        <f t="shared" ref="AM2:AN2" si="4">SUM(N2:N30)</f>
        <v>2189587</v>
      </c>
      <c r="AN2" s="77">
        <f t="shared" si="4"/>
        <v>601843</v>
      </c>
      <c r="AO2" s="78">
        <f t="shared" ref="AO2:AO12" si="26">AM2/AN2</f>
        <v>3.638136524</v>
      </c>
      <c r="AP2" s="82">
        <f t="shared" ref="AP2:AQ2" si="5">SUM(Q2:Q30)</f>
        <v>3989008</v>
      </c>
      <c r="AQ2" s="77">
        <f t="shared" si="5"/>
        <v>603935</v>
      </c>
      <c r="AR2" s="78">
        <f t="shared" ref="AR2:AR12" si="28">AP2/AQ2</f>
        <v>6.605028687</v>
      </c>
      <c r="AS2" s="77">
        <f t="shared" ref="AS2:AT2" si="6">SUM(T2:T30)</f>
        <v>2471880</v>
      </c>
      <c r="AT2" s="77">
        <f t="shared" si="6"/>
        <v>606027</v>
      </c>
      <c r="AU2" s="78">
        <f t="shared" ref="AU2:AU12" si="30">AS2/AT2</f>
        <v>4.078828171</v>
      </c>
      <c r="AV2" s="78">
        <f t="shared" ref="AV2:AV12" si="31">(AO2+AR2+AU2)/3</f>
        <v>4.773997794</v>
      </c>
      <c r="AW2" s="82">
        <f t="shared" ref="AW2:AW12" si="32">(AM2+AP2+AS2)/3</f>
        <v>2883491.667</v>
      </c>
    </row>
    <row r="3" ht="15.75" customHeight="1">
      <c r="A3" s="29">
        <v>10102.0</v>
      </c>
      <c r="B3" s="76" t="s">
        <v>9</v>
      </c>
      <c r="C3" s="77">
        <v>66506.0</v>
      </c>
      <c r="D3" s="77">
        <v>9461.0</v>
      </c>
      <c r="E3" s="78">
        <f t="shared" si="7"/>
        <v>7.029489483</v>
      </c>
      <c r="F3" s="77">
        <v>70000.0</v>
      </c>
      <c r="G3" s="77">
        <v>9443.916666666666</v>
      </c>
      <c r="H3" s="78">
        <f t="shared" si="8"/>
        <v>7.412178916</v>
      </c>
      <c r="I3" s="77">
        <v>82200.0</v>
      </c>
      <c r="J3" s="77">
        <v>9426.833333333334</v>
      </c>
      <c r="K3" s="78">
        <f t="shared" si="9"/>
        <v>8.719789254</v>
      </c>
      <c r="L3" s="79">
        <f t="shared" si="10"/>
        <v>7.720485884</v>
      </c>
      <c r="M3" s="80">
        <f t="shared" si="11"/>
        <v>72902</v>
      </c>
      <c r="N3" s="77">
        <v>45000.0</v>
      </c>
      <c r="O3" s="77">
        <v>9290.166666666666</v>
      </c>
      <c r="P3" s="81">
        <f t="shared" si="12"/>
        <v>4.843831291</v>
      </c>
      <c r="Q3" s="82">
        <v>50000.0</v>
      </c>
      <c r="R3" s="77">
        <v>9273.083333333334</v>
      </c>
      <c r="S3" s="81">
        <f t="shared" si="13"/>
        <v>5.391949819</v>
      </c>
      <c r="T3" s="77">
        <v>50000.0</v>
      </c>
      <c r="U3" s="77">
        <v>9256.0</v>
      </c>
      <c r="V3" s="81">
        <f t="shared" si="14"/>
        <v>5.401901469</v>
      </c>
      <c r="W3" s="83">
        <f t="shared" si="15"/>
        <v>5.21256086</v>
      </c>
      <c r="X3" s="84">
        <f t="shared" si="16"/>
        <v>48333.33333</v>
      </c>
      <c r="Z3" s="76">
        <v>2.0</v>
      </c>
      <c r="AA3" s="76" t="s">
        <v>365</v>
      </c>
      <c r="AB3" s="77">
        <f t="shared" ref="AB3:AC3" si="17">SUM(C31:C117)</f>
        <v>103351631</v>
      </c>
      <c r="AC3" s="77">
        <f t="shared" si="17"/>
        <v>2719344</v>
      </c>
      <c r="AD3" s="78">
        <f t="shared" si="18"/>
        <v>38.00608934</v>
      </c>
      <c r="AE3" s="77">
        <f t="shared" ref="AE3:AF3" si="19">SUM(F31:F117)</f>
        <v>54272414</v>
      </c>
      <c r="AF3" s="77">
        <f t="shared" si="19"/>
        <v>2745308.417</v>
      </c>
      <c r="AG3" s="78">
        <f t="shared" si="20"/>
        <v>19.76915004</v>
      </c>
      <c r="AH3" s="77">
        <f t="shared" ref="AH3:AI3" si="21">SUM(I31:I117)</f>
        <v>133943223</v>
      </c>
      <c r="AI3" s="77">
        <f t="shared" si="21"/>
        <v>2771272.833</v>
      </c>
      <c r="AJ3" s="78">
        <f t="shared" si="22"/>
        <v>48.33274494</v>
      </c>
      <c r="AK3" s="78">
        <f t="shared" si="23"/>
        <v>35.3693281</v>
      </c>
      <c r="AL3" s="82">
        <f t="shared" si="24"/>
        <v>97189089.33</v>
      </c>
      <c r="AM3" s="77">
        <f t="shared" ref="AM3:AN3" si="25">SUM(N31:N117)</f>
        <v>436597891</v>
      </c>
      <c r="AN3" s="77">
        <f t="shared" si="25"/>
        <v>2978988.167</v>
      </c>
      <c r="AO3" s="78">
        <f t="shared" si="26"/>
        <v>146.5591223</v>
      </c>
      <c r="AP3" s="82">
        <f t="shared" ref="AP3:AQ3" si="27">SUM(Q31:Q117)</f>
        <v>406586321</v>
      </c>
      <c r="AQ3" s="77">
        <f t="shared" si="27"/>
        <v>3004952.583</v>
      </c>
      <c r="AR3" s="78">
        <f t="shared" si="28"/>
        <v>135.3054032</v>
      </c>
      <c r="AS3" s="77">
        <f t="shared" ref="AS3:AT3" si="29">SUM(T31:T117)</f>
        <v>353265452</v>
      </c>
      <c r="AT3" s="77">
        <f t="shared" si="29"/>
        <v>3030917</v>
      </c>
      <c r="AU3" s="78">
        <f t="shared" si="30"/>
        <v>116.5539842</v>
      </c>
      <c r="AV3" s="78">
        <f t="shared" si="31"/>
        <v>132.8061699</v>
      </c>
      <c r="AW3" s="82">
        <f t="shared" si="32"/>
        <v>398816554.7</v>
      </c>
    </row>
    <row r="4" ht="15.75" customHeight="1">
      <c r="A4" s="29">
        <v>10103.0</v>
      </c>
      <c r="B4" s="76" t="s">
        <v>10</v>
      </c>
      <c r="C4" s="77">
        <v>30000.0</v>
      </c>
      <c r="D4" s="77">
        <v>16532.0</v>
      </c>
      <c r="E4" s="78">
        <f t="shared" si="7"/>
        <v>1.814662473</v>
      </c>
      <c r="F4" s="77">
        <v>18000.0</v>
      </c>
      <c r="G4" s="77">
        <v>16291.75</v>
      </c>
      <c r="H4" s="78">
        <f t="shared" si="8"/>
        <v>1.104853684</v>
      </c>
      <c r="I4" s="77">
        <v>20000.0</v>
      </c>
      <c r="J4" s="77">
        <v>16051.5</v>
      </c>
      <c r="K4" s="78">
        <f t="shared" si="9"/>
        <v>1.245989471</v>
      </c>
      <c r="L4" s="79">
        <f t="shared" si="10"/>
        <v>1.388501876</v>
      </c>
      <c r="M4" s="80">
        <f t="shared" si="11"/>
        <v>22666.66667</v>
      </c>
      <c r="N4" s="77">
        <v>17000.0</v>
      </c>
      <c r="O4" s="77">
        <v>14129.5</v>
      </c>
      <c r="P4" s="81">
        <f t="shared" si="12"/>
        <v>1.203156517</v>
      </c>
      <c r="Q4" s="82">
        <v>17000.0</v>
      </c>
      <c r="R4" s="77">
        <v>13889.25</v>
      </c>
      <c r="S4" s="81">
        <f t="shared" si="13"/>
        <v>1.223968177</v>
      </c>
      <c r="T4" s="77">
        <v>17000.0</v>
      </c>
      <c r="U4" s="77">
        <v>13649.0</v>
      </c>
      <c r="V4" s="81">
        <f t="shared" si="14"/>
        <v>1.245512492</v>
      </c>
      <c r="W4" s="83">
        <f t="shared" si="15"/>
        <v>1.224212395</v>
      </c>
      <c r="X4" s="84">
        <f t="shared" si="16"/>
        <v>17000</v>
      </c>
      <c r="Z4" s="76">
        <v>3.0</v>
      </c>
      <c r="AA4" s="76" t="s">
        <v>124</v>
      </c>
      <c r="AB4" s="77">
        <f t="shared" ref="AB4:AC4" si="33">SUM(C118:C165)</f>
        <v>40634213</v>
      </c>
      <c r="AC4" s="77">
        <f t="shared" si="33"/>
        <v>1762761</v>
      </c>
      <c r="AD4" s="78">
        <f t="shared" si="18"/>
        <v>23.05145905</v>
      </c>
      <c r="AE4" s="77">
        <f t="shared" ref="AE4:AF4" si="34">SUM(F118:F165)</f>
        <v>53500882</v>
      </c>
      <c r="AF4" s="77">
        <f t="shared" si="34"/>
        <v>1783894</v>
      </c>
      <c r="AG4" s="78">
        <f t="shared" si="20"/>
        <v>29.99106561</v>
      </c>
      <c r="AH4" s="77">
        <f t="shared" ref="AH4:AI4" si="35">SUM(I118:I165)</f>
        <v>460900</v>
      </c>
      <c r="AI4" s="77">
        <f t="shared" si="35"/>
        <v>1805027</v>
      </c>
      <c r="AJ4" s="78">
        <f t="shared" si="22"/>
        <v>0.2553424409</v>
      </c>
      <c r="AK4" s="78">
        <f t="shared" si="23"/>
        <v>17.7659557</v>
      </c>
      <c r="AL4" s="82">
        <f t="shared" si="24"/>
        <v>31531998.33</v>
      </c>
      <c r="AM4" s="77">
        <f t="shared" ref="AM4:AN4" si="36">SUM(N118:N165)</f>
        <v>186252787</v>
      </c>
      <c r="AN4" s="77">
        <f t="shared" si="36"/>
        <v>1974091</v>
      </c>
      <c r="AO4" s="78">
        <f t="shared" si="26"/>
        <v>94.34863286</v>
      </c>
      <c r="AP4" s="82">
        <f t="shared" ref="AP4:AQ4" si="37">SUM(Q118:Q165)</f>
        <v>200992801</v>
      </c>
      <c r="AQ4" s="77">
        <f t="shared" si="37"/>
        <v>1995224</v>
      </c>
      <c r="AR4" s="78">
        <f t="shared" si="28"/>
        <v>100.7369604</v>
      </c>
      <c r="AS4" s="77">
        <f t="shared" ref="AS4:AT4" si="38">SUM(T118:T165)</f>
        <v>186063431</v>
      </c>
      <c r="AT4" s="77">
        <f t="shared" si="38"/>
        <v>2016357</v>
      </c>
      <c r="AU4" s="78">
        <f t="shared" si="30"/>
        <v>92.27702783</v>
      </c>
      <c r="AV4" s="78">
        <f t="shared" si="31"/>
        <v>95.78754035</v>
      </c>
      <c r="AW4" s="82">
        <f t="shared" si="32"/>
        <v>191103006.3</v>
      </c>
    </row>
    <row r="5" ht="15.75" customHeight="1">
      <c r="A5" s="29">
        <v>10201.0</v>
      </c>
      <c r="B5" s="76" t="s">
        <v>11</v>
      </c>
      <c r="C5" s="77">
        <v>56700.0</v>
      </c>
      <c r="D5" s="77">
        <v>10652.0</v>
      </c>
      <c r="E5" s="78">
        <f t="shared" si="7"/>
        <v>5.322944048</v>
      </c>
      <c r="F5" s="77">
        <v>62700.0</v>
      </c>
      <c r="G5" s="77">
        <v>10422.916666666666</v>
      </c>
      <c r="H5" s="78">
        <f t="shared" si="8"/>
        <v>6.015590646</v>
      </c>
      <c r="I5" s="77">
        <v>59800.0</v>
      </c>
      <c r="J5" s="77">
        <v>10193.833333333334</v>
      </c>
      <c r="K5" s="78">
        <f t="shared" si="9"/>
        <v>5.866291712</v>
      </c>
      <c r="L5" s="79">
        <f t="shared" si="10"/>
        <v>5.734942135</v>
      </c>
      <c r="M5" s="80">
        <f t="shared" si="11"/>
        <v>59733.33333</v>
      </c>
      <c r="N5" s="77">
        <v>10000.0</v>
      </c>
      <c r="O5" s="77">
        <v>8361.166666666666</v>
      </c>
      <c r="P5" s="81">
        <f t="shared" si="12"/>
        <v>1.196005342</v>
      </c>
      <c r="Q5" s="82">
        <v>10000.0</v>
      </c>
      <c r="R5" s="77">
        <v>8132.083333333333</v>
      </c>
      <c r="S5" s="81">
        <f t="shared" si="13"/>
        <v>1.229697187</v>
      </c>
      <c r="T5" s="77">
        <v>5000.0</v>
      </c>
      <c r="U5" s="77">
        <v>7903.0</v>
      </c>
      <c r="V5" s="81">
        <f t="shared" si="14"/>
        <v>0.6326711375</v>
      </c>
      <c r="W5" s="83">
        <f t="shared" si="15"/>
        <v>1.019457889</v>
      </c>
      <c r="X5" s="84">
        <f t="shared" si="16"/>
        <v>8333.333333</v>
      </c>
      <c r="Z5" s="76">
        <v>4.0</v>
      </c>
      <c r="AA5" s="76" t="s">
        <v>172</v>
      </c>
      <c r="AB5" s="77">
        <f t="shared" ref="AB5:AC5" si="39">SUM(C166:C200)</f>
        <v>700355</v>
      </c>
      <c r="AC5" s="77">
        <f t="shared" si="39"/>
        <v>494587</v>
      </c>
      <c r="AD5" s="78">
        <f t="shared" si="18"/>
        <v>1.41604005</v>
      </c>
      <c r="AE5" s="77">
        <f t="shared" ref="AE5:AF5" si="40">SUM(F166:F200)</f>
        <v>1307000</v>
      </c>
      <c r="AF5" s="77">
        <f t="shared" si="40"/>
        <v>500994</v>
      </c>
      <c r="AG5" s="78">
        <f t="shared" si="20"/>
        <v>2.608813678</v>
      </c>
      <c r="AH5" s="77">
        <f t="shared" ref="AH5:AI5" si="41">SUM(I166:I200)</f>
        <v>0</v>
      </c>
      <c r="AI5" s="77">
        <f t="shared" si="41"/>
        <v>507401</v>
      </c>
      <c r="AJ5" s="78">
        <f t="shared" si="22"/>
        <v>0</v>
      </c>
      <c r="AK5" s="78">
        <f t="shared" si="23"/>
        <v>1.341617909</v>
      </c>
      <c r="AL5" s="82">
        <f t="shared" si="24"/>
        <v>669118.3333</v>
      </c>
      <c r="AM5" s="77">
        <f t="shared" ref="AM5:AN5" si="42">SUM(N166:N200)</f>
        <v>5173688</v>
      </c>
      <c r="AN5" s="77">
        <f t="shared" si="42"/>
        <v>558657</v>
      </c>
      <c r="AO5" s="78">
        <f t="shared" si="26"/>
        <v>9.260938286</v>
      </c>
      <c r="AP5" s="82">
        <f t="shared" ref="AP5:AQ5" si="43">SUM(Q166:Q200)</f>
        <v>5151981</v>
      </c>
      <c r="AQ5" s="77">
        <f t="shared" si="43"/>
        <v>565064</v>
      </c>
      <c r="AR5" s="78">
        <f t="shared" si="28"/>
        <v>9.117517662</v>
      </c>
      <c r="AS5" s="77">
        <f t="shared" ref="AS5:AT5" si="44">SUM(T166:T200)</f>
        <v>6121042</v>
      </c>
      <c r="AT5" s="77">
        <f t="shared" si="44"/>
        <v>571471</v>
      </c>
      <c r="AU5" s="78">
        <f t="shared" si="30"/>
        <v>10.71102821</v>
      </c>
      <c r="AV5" s="78">
        <f t="shared" si="31"/>
        <v>9.696494718</v>
      </c>
      <c r="AW5" s="82">
        <f t="shared" si="32"/>
        <v>5482237</v>
      </c>
    </row>
    <row r="6" ht="15.75" customHeight="1">
      <c r="A6" s="29">
        <v>10202.0</v>
      </c>
      <c r="B6" s="76" t="s">
        <v>12</v>
      </c>
      <c r="C6" s="77">
        <v>0.0</v>
      </c>
      <c r="D6" s="77">
        <v>14261.0</v>
      </c>
      <c r="E6" s="78">
        <f t="shared" si="7"/>
        <v>0</v>
      </c>
      <c r="F6" s="77">
        <v>0.0</v>
      </c>
      <c r="G6" s="77">
        <v>14473.583333333334</v>
      </c>
      <c r="H6" s="78">
        <f t="shared" si="8"/>
        <v>0</v>
      </c>
      <c r="I6" s="77">
        <v>0.0</v>
      </c>
      <c r="J6" s="77">
        <v>14686.166666666666</v>
      </c>
      <c r="K6" s="78">
        <f t="shared" si="9"/>
        <v>0</v>
      </c>
      <c r="L6" s="79">
        <f t="shared" si="10"/>
        <v>0</v>
      </c>
      <c r="M6" s="80">
        <f t="shared" si="11"/>
        <v>0</v>
      </c>
      <c r="N6" s="77">
        <v>0.0</v>
      </c>
      <c r="O6" s="77">
        <v>16386.833333333332</v>
      </c>
      <c r="P6" s="81">
        <f t="shared" si="12"/>
        <v>0</v>
      </c>
      <c r="Q6" s="82">
        <v>0.0</v>
      </c>
      <c r="R6" s="77">
        <v>16599.416666666668</v>
      </c>
      <c r="S6" s="81">
        <f t="shared" si="13"/>
        <v>0</v>
      </c>
      <c r="T6" s="77">
        <v>0.0</v>
      </c>
      <c r="U6" s="77">
        <v>16812.0</v>
      </c>
      <c r="V6" s="81">
        <f t="shared" si="14"/>
        <v>0</v>
      </c>
      <c r="W6" s="83">
        <f t="shared" si="15"/>
        <v>0</v>
      </c>
      <c r="X6" s="84">
        <f t="shared" si="16"/>
        <v>0</v>
      </c>
      <c r="Z6" s="76">
        <v>5.0</v>
      </c>
      <c r="AA6" s="76" t="s">
        <v>206</v>
      </c>
      <c r="AB6" s="77">
        <f t="shared" ref="AB6:AC6" si="45">SUM(C201:C242)</f>
        <v>2117294</v>
      </c>
      <c r="AC6" s="77">
        <f t="shared" si="45"/>
        <v>828517</v>
      </c>
      <c r="AD6" s="78">
        <f t="shared" si="18"/>
        <v>2.555522699</v>
      </c>
      <c r="AE6" s="77">
        <f t="shared" ref="AE6:AF6" si="46">SUM(F201:F242)</f>
        <v>3586822</v>
      </c>
      <c r="AF6" s="77">
        <f t="shared" si="46"/>
        <v>831248.25</v>
      </c>
      <c r="AG6" s="78">
        <f t="shared" si="20"/>
        <v>4.314982919</v>
      </c>
      <c r="AH6" s="77">
        <f t="shared" ref="AH6:AI6" si="47">SUM(I201:I242)</f>
        <v>0</v>
      </c>
      <c r="AI6" s="77">
        <f t="shared" si="47"/>
        <v>833979.5</v>
      </c>
      <c r="AJ6" s="78">
        <f t="shared" si="22"/>
        <v>0</v>
      </c>
      <c r="AK6" s="78">
        <f t="shared" si="23"/>
        <v>2.290168539</v>
      </c>
      <c r="AL6" s="82">
        <f t="shared" si="24"/>
        <v>1901372</v>
      </c>
      <c r="AM6" s="77">
        <f t="shared" ref="AM6:AN6" si="48">SUM(N201:N242)</f>
        <v>17407483</v>
      </c>
      <c r="AN6" s="77">
        <f t="shared" si="48"/>
        <v>855829.5</v>
      </c>
      <c r="AO6" s="78">
        <f t="shared" si="26"/>
        <v>20.33989597</v>
      </c>
      <c r="AP6" s="82">
        <f t="shared" ref="AP6:AQ6" si="49">SUM(Q201:Q242)</f>
        <v>17810303</v>
      </c>
      <c r="AQ6" s="77">
        <f t="shared" si="49"/>
        <v>858560.75</v>
      </c>
      <c r="AR6" s="78">
        <f t="shared" si="28"/>
        <v>20.74437132</v>
      </c>
      <c r="AS6" s="77">
        <f t="shared" ref="AS6:AT6" si="50">SUM(T201:T242)</f>
        <v>20778295</v>
      </c>
      <c r="AT6" s="77">
        <f t="shared" si="50"/>
        <v>861292</v>
      </c>
      <c r="AU6" s="78">
        <f t="shared" si="30"/>
        <v>24.12456519</v>
      </c>
      <c r="AV6" s="78">
        <f t="shared" si="31"/>
        <v>21.73627749</v>
      </c>
      <c r="AW6" s="82">
        <f t="shared" si="32"/>
        <v>18665360.33</v>
      </c>
    </row>
    <row r="7" ht="15.75" customHeight="1">
      <c r="A7" s="29">
        <v>10301.0</v>
      </c>
      <c r="B7" s="76" t="s">
        <v>13</v>
      </c>
      <c r="C7" s="77">
        <v>31166.0</v>
      </c>
      <c r="D7" s="77">
        <v>11362.0</v>
      </c>
      <c r="E7" s="78">
        <f t="shared" si="7"/>
        <v>2.743002992</v>
      </c>
      <c r="F7" s="77">
        <v>66600.0</v>
      </c>
      <c r="G7" s="77">
        <v>11556.333333333334</v>
      </c>
      <c r="H7" s="78">
        <f t="shared" si="8"/>
        <v>5.763073639</v>
      </c>
      <c r="I7" s="77">
        <v>99200.0</v>
      </c>
      <c r="J7" s="77">
        <v>11750.666666666666</v>
      </c>
      <c r="K7" s="78">
        <f t="shared" si="9"/>
        <v>8.442074209</v>
      </c>
      <c r="L7" s="79">
        <f t="shared" si="10"/>
        <v>5.649383613</v>
      </c>
      <c r="M7" s="80">
        <f t="shared" si="11"/>
        <v>65655.33333</v>
      </c>
      <c r="N7" s="77">
        <v>72200.0</v>
      </c>
      <c r="O7" s="77">
        <v>13305.333333333334</v>
      </c>
      <c r="P7" s="81">
        <f t="shared" si="12"/>
        <v>5.42639543</v>
      </c>
      <c r="Q7" s="82">
        <v>103200.0</v>
      </c>
      <c r="R7" s="77">
        <v>13499.666666666668</v>
      </c>
      <c r="S7" s="81">
        <f t="shared" si="13"/>
        <v>7.644633201</v>
      </c>
      <c r="T7" s="77">
        <v>68450.0</v>
      </c>
      <c r="U7" s="77">
        <v>13694.0</v>
      </c>
      <c r="V7" s="81">
        <f t="shared" si="14"/>
        <v>4.998539506</v>
      </c>
      <c r="W7" s="83">
        <f t="shared" si="15"/>
        <v>6.023189379</v>
      </c>
      <c r="X7" s="84">
        <f t="shared" si="16"/>
        <v>81283.33333</v>
      </c>
      <c r="Z7" s="76">
        <v>6.0</v>
      </c>
      <c r="AA7" s="76" t="s">
        <v>248</v>
      </c>
      <c r="AB7" s="77">
        <f t="shared" ref="AB7:AC7" si="51">SUM(C243:C253)</f>
        <v>19135065</v>
      </c>
      <c r="AC7" s="77">
        <f t="shared" si="51"/>
        <v>483518</v>
      </c>
      <c r="AD7" s="78">
        <f t="shared" si="18"/>
        <v>39.5746694</v>
      </c>
      <c r="AE7" s="77">
        <f t="shared" ref="AE7:AF7" si="52">SUM(F243:F253)</f>
        <v>23267020</v>
      </c>
      <c r="AF7" s="77">
        <f t="shared" si="52"/>
        <v>487742.3333</v>
      </c>
      <c r="AG7" s="78">
        <f t="shared" si="20"/>
        <v>47.70350738</v>
      </c>
      <c r="AH7" s="77">
        <f t="shared" ref="AH7:AI7" si="53">SUM(I243:I253)</f>
        <v>295857</v>
      </c>
      <c r="AI7" s="77">
        <f t="shared" si="53"/>
        <v>491966.6667</v>
      </c>
      <c r="AJ7" s="78">
        <f t="shared" si="22"/>
        <v>0.6013761095</v>
      </c>
      <c r="AK7" s="78">
        <f t="shared" si="23"/>
        <v>29.2931843</v>
      </c>
      <c r="AL7" s="82">
        <f t="shared" si="24"/>
        <v>14232647.33</v>
      </c>
      <c r="AM7" s="77">
        <f t="shared" ref="AM7:AN7" si="54">SUM(N243:N253)</f>
        <v>36737645</v>
      </c>
      <c r="AN7" s="77">
        <f t="shared" si="54"/>
        <v>525761.3333</v>
      </c>
      <c r="AO7" s="78">
        <f t="shared" si="26"/>
        <v>69.87513663</v>
      </c>
      <c r="AP7" s="82">
        <f t="shared" ref="AP7:AQ7" si="55">SUM(Q243:Q253)</f>
        <v>38037785</v>
      </c>
      <c r="AQ7" s="77">
        <f t="shared" si="55"/>
        <v>529985.6667</v>
      </c>
      <c r="AR7" s="78">
        <f t="shared" si="28"/>
        <v>71.77134665</v>
      </c>
      <c r="AS7" s="77">
        <f t="shared" ref="AS7:AT7" si="56">SUM(T243:T253)</f>
        <v>38535389</v>
      </c>
      <c r="AT7" s="77">
        <f t="shared" si="56"/>
        <v>534210</v>
      </c>
      <c r="AU7" s="78">
        <f t="shared" si="30"/>
        <v>72.13528201</v>
      </c>
      <c r="AV7" s="78">
        <f t="shared" si="31"/>
        <v>71.26058843</v>
      </c>
      <c r="AW7" s="82">
        <f t="shared" si="32"/>
        <v>37770273</v>
      </c>
    </row>
    <row r="8" ht="15.75" customHeight="1">
      <c r="A8" s="29">
        <v>10302.0</v>
      </c>
      <c r="B8" s="76" t="s">
        <v>14</v>
      </c>
      <c r="C8" s="77">
        <v>0.0</v>
      </c>
      <c r="D8" s="77">
        <v>12385.0</v>
      </c>
      <c r="E8" s="78">
        <f t="shared" si="7"/>
        <v>0</v>
      </c>
      <c r="F8" s="77">
        <v>0.0</v>
      </c>
      <c r="G8" s="77">
        <v>12397.833333333334</v>
      </c>
      <c r="H8" s="78">
        <f t="shared" si="8"/>
        <v>0</v>
      </c>
      <c r="I8" s="77">
        <v>0.0</v>
      </c>
      <c r="J8" s="77">
        <v>12410.666666666666</v>
      </c>
      <c r="K8" s="78">
        <f t="shared" si="9"/>
        <v>0</v>
      </c>
      <c r="L8" s="79">
        <f t="shared" si="10"/>
        <v>0</v>
      </c>
      <c r="M8" s="80">
        <f t="shared" si="11"/>
        <v>0</v>
      </c>
      <c r="N8" s="77">
        <v>0.0</v>
      </c>
      <c r="O8" s="77">
        <v>12513.333333333334</v>
      </c>
      <c r="P8" s="81">
        <f t="shared" si="12"/>
        <v>0</v>
      </c>
      <c r="Q8" s="82">
        <v>0.0</v>
      </c>
      <c r="R8" s="77">
        <v>12526.166666666666</v>
      </c>
      <c r="S8" s="81">
        <f t="shared" si="13"/>
        <v>0</v>
      </c>
      <c r="T8" s="77">
        <v>0.0</v>
      </c>
      <c r="U8" s="77">
        <v>12539.0</v>
      </c>
      <c r="V8" s="81">
        <f t="shared" si="14"/>
        <v>0</v>
      </c>
      <c r="W8" s="83">
        <f t="shared" si="15"/>
        <v>0</v>
      </c>
      <c r="X8" s="84">
        <f t="shared" si="16"/>
        <v>0</v>
      </c>
      <c r="Z8" s="76">
        <v>7.0</v>
      </c>
      <c r="AA8" s="76" t="s">
        <v>366</v>
      </c>
      <c r="AB8" s="77">
        <f t="shared" ref="AB8:AC8" si="57">SUM(C254:C309)</f>
        <v>113999702</v>
      </c>
      <c r="AC8" s="77">
        <f t="shared" si="57"/>
        <v>2657762</v>
      </c>
      <c r="AD8" s="78">
        <f t="shared" si="18"/>
        <v>42.8931191</v>
      </c>
      <c r="AE8" s="77">
        <f t="shared" ref="AE8:AF8" si="58">SUM(F254:F309)</f>
        <v>249231805</v>
      </c>
      <c r="AF8" s="77">
        <f t="shared" si="58"/>
        <v>2696498.917</v>
      </c>
      <c r="AG8" s="78">
        <f t="shared" si="20"/>
        <v>92.42792699</v>
      </c>
      <c r="AH8" s="77">
        <f t="shared" ref="AH8:AI8" si="59">SUM(I254:I309)</f>
        <v>3368000</v>
      </c>
      <c r="AI8" s="77">
        <f t="shared" si="59"/>
        <v>2735235.833</v>
      </c>
      <c r="AJ8" s="78">
        <f t="shared" si="22"/>
        <v>1.231338066</v>
      </c>
      <c r="AK8" s="78">
        <f t="shared" si="23"/>
        <v>45.51746138</v>
      </c>
      <c r="AL8" s="82">
        <f t="shared" si="24"/>
        <v>122199835.7</v>
      </c>
      <c r="AM8" s="77">
        <f t="shared" ref="AM8:AN8" si="60">SUM(N254:N309)</f>
        <v>318140954</v>
      </c>
      <c r="AN8" s="77">
        <f t="shared" si="60"/>
        <v>3045131.167</v>
      </c>
      <c r="AO8" s="78">
        <f t="shared" si="26"/>
        <v>104.4752875</v>
      </c>
      <c r="AP8" s="82">
        <f t="shared" ref="AP8:AQ8" si="61">SUM(Q254:Q309)</f>
        <v>376290258</v>
      </c>
      <c r="AQ8" s="77">
        <f t="shared" si="61"/>
        <v>3083868.083</v>
      </c>
      <c r="AR8" s="78">
        <f t="shared" si="28"/>
        <v>122.0189216</v>
      </c>
      <c r="AS8" s="77">
        <f t="shared" ref="AS8:AT8" si="62">SUM(T254:T309)</f>
        <v>417932420</v>
      </c>
      <c r="AT8" s="77">
        <f t="shared" si="62"/>
        <v>3122605</v>
      </c>
      <c r="AU8" s="78">
        <f t="shared" si="30"/>
        <v>133.8409501</v>
      </c>
      <c r="AV8" s="78">
        <f t="shared" si="31"/>
        <v>120.1117197</v>
      </c>
      <c r="AW8" s="82">
        <f t="shared" si="32"/>
        <v>370787877.3</v>
      </c>
    </row>
    <row r="9" ht="15.75" customHeight="1">
      <c r="A9" s="29">
        <v>10303.0</v>
      </c>
      <c r="B9" s="76" t="s">
        <v>15</v>
      </c>
      <c r="C9" s="77">
        <v>50000.0</v>
      </c>
      <c r="D9" s="77">
        <v>8068.0</v>
      </c>
      <c r="E9" s="78">
        <f t="shared" si="7"/>
        <v>6.197322757</v>
      </c>
      <c r="F9" s="77">
        <v>60001.0</v>
      </c>
      <c r="G9" s="77">
        <v>8150.25</v>
      </c>
      <c r="H9" s="78">
        <f t="shared" si="8"/>
        <v>7.361860066</v>
      </c>
      <c r="I9" s="77">
        <v>60000.0</v>
      </c>
      <c r="J9" s="77">
        <v>8232.5</v>
      </c>
      <c r="K9" s="78">
        <f t="shared" si="9"/>
        <v>7.288187063</v>
      </c>
      <c r="L9" s="79">
        <f t="shared" si="10"/>
        <v>6.949123295</v>
      </c>
      <c r="M9" s="80">
        <f t="shared" si="11"/>
        <v>56667</v>
      </c>
      <c r="N9" s="77">
        <v>40000.0</v>
      </c>
      <c r="O9" s="77">
        <v>8890.5</v>
      </c>
      <c r="P9" s="81">
        <f t="shared" si="12"/>
        <v>4.499184523</v>
      </c>
      <c r="Q9" s="82">
        <v>40000.0</v>
      </c>
      <c r="R9" s="77">
        <v>8972.75</v>
      </c>
      <c r="S9" s="81">
        <f t="shared" si="13"/>
        <v>4.457942102</v>
      </c>
      <c r="T9" s="77">
        <v>40000.0</v>
      </c>
      <c r="U9" s="77">
        <v>9055.0</v>
      </c>
      <c r="V9" s="81">
        <f t="shared" si="14"/>
        <v>4.417448923</v>
      </c>
      <c r="W9" s="83">
        <f t="shared" si="15"/>
        <v>4.45819185</v>
      </c>
      <c r="X9" s="84">
        <f t="shared" si="16"/>
        <v>40000</v>
      </c>
      <c r="Z9" s="76">
        <v>8.0</v>
      </c>
      <c r="AA9" s="76" t="s">
        <v>367</v>
      </c>
      <c r="AB9" s="77">
        <f t="shared" ref="AB9:AC9" si="63">SUM(C310:C329)</f>
        <v>14794152</v>
      </c>
      <c r="AC9" s="77">
        <f t="shared" si="63"/>
        <v>422008</v>
      </c>
      <c r="AD9" s="78">
        <f t="shared" si="18"/>
        <v>35.05656765</v>
      </c>
      <c r="AE9" s="77">
        <f t="shared" ref="AE9:AF9" si="64">SUM(F310:F329)</f>
        <v>15965770</v>
      </c>
      <c r="AF9" s="77">
        <f t="shared" si="64"/>
        <v>427529</v>
      </c>
      <c r="AG9" s="78">
        <f t="shared" si="20"/>
        <v>37.34429711</v>
      </c>
      <c r="AH9" s="77">
        <f t="shared" ref="AH9:AI9" si="65">SUM(I310:I329)</f>
        <v>0</v>
      </c>
      <c r="AI9" s="77">
        <f t="shared" si="65"/>
        <v>433050</v>
      </c>
      <c r="AJ9" s="78">
        <f t="shared" si="22"/>
        <v>0</v>
      </c>
      <c r="AK9" s="78">
        <f t="shared" si="23"/>
        <v>24.13362159</v>
      </c>
      <c r="AL9" s="82">
        <f t="shared" si="24"/>
        <v>10253307.33</v>
      </c>
      <c r="AM9" s="77">
        <f t="shared" ref="AM9:AN9" si="66">SUM(N310:N329)</f>
        <v>13366094</v>
      </c>
      <c r="AN9" s="77">
        <f t="shared" si="66"/>
        <v>477218</v>
      </c>
      <c r="AO9" s="78">
        <f t="shared" si="26"/>
        <v>28.00836096</v>
      </c>
      <c r="AP9" s="82">
        <f t="shared" ref="AP9:AQ9" si="67">SUM(Q310:Q329)</f>
        <v>26129166</v>
      </c>
      <c r="AQ9" s="77">
        <f t="shared" si="67"/>
        <v>482739</v>
      </c>
      <c r="AR9" s="78">
        <f t="shared" si="28"/>
        <v>54.12690087</v>
      </c>
      <c r="AS9" s="77">
        <f t="shared" ref="AS9:AT9" si="68">SUM(T310:T329)</f>
        <v>27526119</v>
      </c>
      <c r="AT9" s="77">
        <f t="shared" si="68"/>
        <v>488260</v>
      </c>
      <c r="AU9" s="78">
        <f t="shared" si="30"/>
        <v>56.37594519</v>
      </c>
      <c r="AV9" s="78">
        <f t="shared" si="31"/>
        <v>46.17040234</v>
      </c>
      <c r="AW9" s="82">
        <f t="shared" si="32"/>
        <v>22340459.67</v>
      </c>
    </row>
    <row r="10" ht="15.75" customHeight="1">
      <c r="A10" s="29">
        <v>10304.0</v>
      </c>
      <c r="B10" s="76" t="s">
        <v>16</v>
      </c>
      <c r="C10" s="77">
        <v>30000.0</v>
      </c>
      <c r="D10" s="77">
        <v>7774.0</v>
      </c>
      <c r="E10" s="78">
        <f t="shared" si="7"/>
        <v>3.859017237</v>
      </c>
      <c r="F10" s="77">
        <v>40000.0</v>
      </c>
      <c r="G10" s="77">
        <v>7889.083333333333</v>
      </c>
      <c r="H10" s="78">
        <f t="shared" si="8"/>
        <v>5.070297563</v>
      </c>
      <c r="I10" s="77">
        <v>39000.0</v>
      </c>
      <c r="J10" s="77">
        <v>8004.166666666667</v>
      </c>
      <c r="K10" s="78">
        <f t="shared" si="9"/>
        <v>4.872462259</v>
      </c>
      <c r="L10" s="79">
        <f t="shared" si="10"/>
        <v>4.600592353</v>
      </c>
      <c r="M10" s="80">
        <f t="shared" si="11"/>
        <v>36333.33333</v>
      </c>
      <c r="N10" s="77">
        <v>54488.0</v>
      </c>
      <c r="O10" s="77">
        <v>8924.833333333334</v>
      </c>
      <c r="P10" s="81">
        <f t="shared" si="12"/>
        <v>6.105212049</v>
      </c>
      <c r="Q10" s="82">
        <v>4488.0</v>
      </c>
      <c r="R10" s="77">
        <v>9039.916666666666</v>
      </c>
      <c r="S10" s="81">
        <f t="shared" si="13"/>
        <v>0.4964647535</v>
      </c>
      <c r="T10" s="77">
        <v>4888.0</v>
      </c>
      <c r="U10" s="77">
        <v>9155.0</v>
      </c>
      <c r="V10" s="81">
        <f t="shared" si="14"/>
        <v>0.533915893</v>
      </c>
      <c r="W10" s="83">
        <f t="shared" si="15"/>
        <v>2.378530898</v>
      </c>
      <c r="X10" s="84">
        <f t="shared" si="16"/>
        <v>21288</v>
      </c>
      <c r="Z10" s="76">
        <v>9.0</v>
      </c>
      <c r="AA10" s="76" t="s">
        <v>368</v>
      </c>
      <c r="AB10" s="77">
        <f t="shared" ref="AB10:AC10" si="69">SUM(C330:C344)</f>
        <v>2528084</v>
      </c>
      <c r="AC10" s="77">
        <f t="shared" si="69"/>
        <v>110436</v>
      </c>
      <c r="AD10" s="78">
        <f t="shared" si="18"/>
        <v>22.89184686</v>
      </c>
      <c r="AE10" s="77">
        <f t="shared" ref="AE10:AF10" si="70">SUM(F330:F344)</f>
        <v>3688213</v>
      </c>
      <c r="AF10" s="77">
        <f t="shared" si="70"/>
        <v>112415.8333</v>
      </c>
      <c r="AG10" s="78">
        <f t="shared" si="20"/>
        <v>32.80866129</v>
      </c>
      <c r="AH10" s="77">
        <f t="shared" ref="AH10:AI10" si="71">SUM(I330:I344)</f>
        <v>0</v>
      </c>
      <c r="AI10" s="77">
        <f t="shared" si="71"/>
        <v>114395.6667</v>
      </c>
      <c r="AJ10" s="78">
        <f t="shared" si="22"/>
        <v>0</v>
      </c>
      <c r="AK10" s="78">
        <f t="shared" si="23"/>
        <v>18.56683605</v>
      </c>
      <c r="AL10" s="82">
        <f t="shared" si="24"/>
        <v>2072099</v>
      </c>
      <c r="AM10" s="77">
        <f t="shared" ref="AM10:AN10" si="72">SUM(N330:N344)</f>
        <v>5181345</v>
      </c>
      <c r="AN10" s="77">
        <f t="shared" si="72"/>
        <v>130234.3333</v>
      </c>
      <c r="AO10" s="78">
        <f t="shared" si="26"/>
        <v>39.78478537</v>
      </c>
      <c r="AP10" s="82">
        <f t="shared" ref="AP10:AQ10" si="73">SUM(Q330:Q344)</f>
        <v>5896817</v>
      </c>
      <c r="AQ10" s="77">
        <f t="shared" si="73"/>
        <v>132214.1667</v>
      </c>
      <c r="AR10" s="78">
        <f t="shared" si="28"/>
        <v>44.60049289</v>
      </c>
      <c r="AS10" s="77">
        <f t="shared" ref="AS10:AT10" si="74">SUM(T330:T344)</f>
        <v>6017427</v>
      </c>
      <c r="AT10" s="77">
        <f t="shared" si="74"/>
        <v>134194</v>
      </c>
      <c r="AU10" s="78">
        <f t="shared" si="30"/>
        <v>44.84125222</v>
      </c>
      <c r="AV10" s="78">
        <f t="shared" si="31"/>
        <v>43.07551016</v>
      </c>
      <c r="AW10" s="82">
        <f t="shared" si="32"/>
        <v>5698529.667</v>
      </c>
    </row>
    <row r="11" ht="15.75" customHeight="1">
      <c r="A11" s="29">
        <v>10401.0</v>
      </c>
      <c r="B11" s="76" t="s">
        <v>17</v>
      </c>
      <c r="C11" s="77">
        <v>100000.0</v>
      </c>
      <c r="D11" s="77">
        <v>10383.0</v>
      </c>
      <c r="E11" s="78">
        <f t="shared" si="7"/>
        <v>9.631127805</v>
      </c>
      <c r="F11" s="77">
        <v>76600.0</v>
      </c>
      <c r="G11" s="77">
        <v>10283.75</v>
      </c>
      <c r="H11" s="78">
        <f t="shared" si="8"/>
        <v>7.448644706</v>
      </c>
      <c r="I11" s="77">
        <v>137000.0</v>
      </c>
      <c r="J11" s="77">
        <v>10184.5</v>
      </c>
      <c r="K11" s="78">
        <f t="shared" si="9"/>
        <v>13.45181403</v>
      </c>
      <c r="L11" s="79">
        <f t="shared" si="10"/>
        <v>10.17719551</v>
      </c>
      <c r="M11" s="80">
        <f t="shared" si="11"/>
        <v>104533.3333</v>
      </c>
      <c r="N11" s="77">
        <v>59900.0</v>
      </c>
      <c r="O11" s="77">
        <v>9390.5</v>
      </c>
      <c r="P11" s="81">
        <f t="shared" si="12"/>
        <v>6.378787072</v>
      </c>
      <c r="Q11" s="82">
        <v>46720.0</v>
      </c>
      <c r="R11" s="77">
        <v>9291.25</v>
      </c>
      <c r="S11" s="81">
        <f t="shared" si="13"/>
        <v>5.028386923</v>
      </c>
      <c r="T11" s="77">
        <v>49500.0</v>
      </c>
      <c r="U11" s="77">
        <v>9192.0</v>
      </c>
      <c r="V11" s="81">
        <f t="shared" si="14"/>
        <v>5.385117493</v>
      </c>
      <c r="W11" s="83">
        <f t="shared" si="15"/>
        <v>5.597430496</v>
      </c>
      <c r="X11" s="84">
        <f t="shared" si="16"/>
        <v>52040</v>
      </c>
      <c r="AA11" s="76" t="s">
        <v>369</v>
      </c>
      <c r="AB11" s="77">
        <f t="shared" ref="AB11:AC11" si="75">SUM(AB2:AB10)</f>
        <v>300494676</v>
      </c>
      <c r="AC11" s="77">
        <f t="shared" si="75"/>
        <v>10059856</v>
      </c>
      <c r="AD11" s="78">
        <f t="shared" si="18"/>
        <v>29.8706737</v>
      </c>
      <c r="AE11" s="77">
        <f t="shared" ref="AE11:AF11" si="76">SUM(AE2:AE10)</f>
        <v>408420891</v>
      </c>
      <c r="AF11" s="77">
        <f t="shared" si="76"/>
        <v>10168645.75</v>
      </c>
      <c r="AG11" s="78">
        <f t="shared" si="20"/>
        <v>40.16472803</v>
      </c>
      <c r="AH11" s="77">
        <f t="shared" ref="AH11:AI11" si="77">SUM(AH2:AH10)</f>
        <v>142528647</v>
      </c>
      <c r="AI11" s="77">
        <f t="shared" si="77"/>
        <v>10277435.5</v>
      </c>
      <c r="AJ11" s="78">
        <f t="shared" si="22"/>
        <v>13.86811399</v>
      </c>
      <c r="AK11" s="78">
        <f t="shared" si="23"/>
        <v>27.96783857</v>
      </c>
      <c r="AL11" s="82">
        <f t="shared" si="24"/>
        <v>283814738</v>
      </c>
      <c r="AM11" s="77">
        <f t="shared" ref="AM11:AN11" si="78">SUM(AM2:AM10)</f>
        <v>1021047474</v>
      </c>
      <c r="AN11" s="77">
        <f t="shared" si="78"/>
        <v>11147753.5</v>
      </c>
      <c r="AO11" s="78">
        <f t="shared" si="26"/>
        <v>91.59221847</v>
      </c>
      <c r="AP11" s="82">
        <f t="shared" ref="AP11:AQ11" si="79">SUM(AP2:AP10)</f>
        <v>1080884440</v>
      </c>
      <c r="AQ11" s="77">
        <f t="shared" si="79"/>
        <v>11256543.25</v>
      </c>
      <c r="AR11" s="78">
        <f t="shared" si="28"/>
        <v>96.02276791</v>
      </c>
      <c r="AS11" s="77">
        <f t="shared" ref="AS11:AT11" si="80">SUM(AS2:AS10)</f>
        <v>1058711455</v>
      </c>
      <c r="AT11" s="77">
        <f t="shared" si="80"/>
        <v>11365333</v>
      </c>
      <c r="AU11" s="78">
        <f t="shared" si="30"/>
        <v>93.15269997</v>
      </c>
      <c r="AV11" s="78">
        <f t="shared" si="31"/>
        <v>93.58922878</v>
      </c>
      <c r="AW11" s="82">
        <f t="shared" si="32"/>
        <v>1053547790</v>
      </c>
    </row>
    <row r="12" ht="15.75" customHeight="1">
      <c r="A12" s="29">
        <v>10402.0</v>
      </c>
      <c r="B12" s="76" t="s">
        <v>18</v>
      </c>
      <c r="C12" s="77">
        <v>71160.0</v>
      </c>
      <c r="D12" s="77">
        <v>8494.0</v>
      </c>
      <c r="E12" s="78">
        <f t="shared" si="7"/>
        <v>8.377678361</v>
      </c>
      <c r="F12" s="77">
        <v>60000.0</v>
      </c>
      <c r="G12" s="77">
        <v>8495.25</v>
      </c>
      <c r="H12" s="78">
        <f t="shared" si="8"/>
        <v>7.062770372</v>
      </c>
      <c r="I12" s="77">
        <v>55285.0</v>
      </c>
      <c r="J12" s="77">
        <v>8496.5</v>
      </c>
      <c r="K12" s="78">
        <f t="shared" si="9"/>
        <v>6.506796916</v>
      </c>
      <c r="L12" s="79">
        <f t="shared" si="10"/>
        <v>7.31574855</v>
      </c>
      <c r="M12" s="80">
        <f t="shared" si="11"/>
        <v>62148.33333</v>
      </c>
      <c r="N12" s="77">
        <v>13916.0</v>
      </c>
      <c r="O12" s="77">
        <v>8506.5</v>
      </c>
      <c r="P12" s="81">
        <f t="shared" si="12"/>
        <v>1.635925469</v>
      </c>
      <c r="Q12" s="82">
        <v>24660.0</v>
      </c>
      <c r="R12" s="77">
        <v>8507.75</v>
      </c>
      <c r="S12" s="81">
        <f t="shared" si="13"/>
        <v>2.89853369</v>
      </c>
      <c r="T12" s="77">
        <v>23160.0</v>
      </c>
      <c r="U12" s="77">
        <v>8509.0</v>
      </c>
      <c r="V12" s="81">
        <f t="shared" si="14"/>
        <v>2.721823951</v>
      </c>
      <c r="W12" s="83">
        <f t="shared" si="15"/>
        <v>2.418761037</v>
      </c>
      <c r="X12" s="84">
        <f t="shared" si="16"/>
        <v>20578.66667</v>
      </c>
      <c r="AA12" s="64" t="s">
        <v>370</v>
      </c>
      <c r="AB12" s="69">
        <f t="shared" ref="AB12:AC12" si="81">SUM(C246:C248)</f>
        <v>5755200</v>
      </c>
      <c r="AC12" s="69">
        <f t="shared" si="81"/>
        <v>147478</v>
      </c>
      <c r="AD12" s="78">
        <f t="shared" si="18"/>
        <v>39.02412563</v>
      </c>
      <c r="AE12" s="69">
        <f t="shared" ref="AE12:AF12" si="82">SUM(F246:F248)</f>
        <v>7324100</v>
      </c>
      <c r="AF12" s="69">
        <f t="shared" si="82"/>
        <v>148460.1667</v>
      </c>
      <c r="AG12" s="78">
        <f t="shared" si="20"/>
        <v>49.33377191</v>
      </c>
      <c r="AH12" s="69">
        <f t="shared" ref="AH12:AI12" si="83">SUM(I246:I248)</f>
        <v>50000</v>
      </c>
      <c r="AI12" s="69">
        <f t="shared" si="83"/>
        <v>149442.3333</v>
      </c>
      <c r="AJ12" s="78">
        <f t="shared" si="22"/>
        <v>0.3345772171</v>
      </c>
      <c r="AK12" s="78">
        <f t="shared" si="23"/>
        <v>29.56415825</v>
      </c>
      <c r="AL12" s="82">
        <f t="shared" si="24"/>
        <v>4376433.333</v>
      </c>
      <c r="AM12" s="69">
        <f t="shared" ref="AM12:AN12" si="84">SUM(N246:N248)</f>
        <v>11449052</v>
      </c>
      <c r="AN12" s="69">
        <f t="shared" si="84"/>
        <v>157299.6667</v>
      </c>
      <c r="AO12" s="78">
        <f t="shared" si="26"/>
        <v>72.78497306</v>
      </c>
      <c r="AP12" s="68">
        <f t="shared" ref="AP12:AQ12" si="85">SUM(Q246:Q248)</f>
        <v>12353364</v>
      </c>
      <c r="AQ12" s="69">
        <f t="shared" si="85"/>
        <v>158281.8333</v>
      </c>
      <c r="AR12" s="78">
        <f t="shared" si="28"/>
        <v>78.04663201</v>
      </c>
      <c r="AS12" s="69">
        <f t="shared" ref="AS12:AT12" si="86">SUM(T246:T248)</f>
        <v>10156645</v>
      </c>
      <c r="AT12" s="69">
        <f t="shared" si="86"/>
        <v>159264</v>
      </c>
      <c r="AU12" s="78">
        <f t="shared" si="30"/>
        <v>63.77238422</v>
      </c>
      <c r="AV12" s="78">
        <f t="shared" si="31"/>
        <v>71.53466309</v>
      </c>
      <c r="AW12" s="82">
        <f t="shared" si="32"/>
        <v>11319687</v>
      </c>
    </row>
    <row r="13" ht="15.75" customHeight="1">
      <c r="A13" s="29">
        <v>10403.0</v>
      </c>
      <c r="B13" s="76" t="s">
        <v>19</v>
      </c>
      <c r="C13" s="77">
        <v>0.0</v>
      </c>
      <c r="D13" s="77">
        <v>7312.0</v>
      </c>
      <c r="E13" s="78">
        <f t="shared" si="7"/>
        <v>0</v>
      </c>
      <c r="F13" s="77">
        <v>0.0</v>
      </c>
      <c r="G13" s="77">
        <v>7281.166666666667</v>
      </c>
      <c r="H13" s="78">
        <f t="shared" si="8"/>
        <v>0</v>
      </c>
      <c r="I13" s="77">
        <v>0.0</v>
      </c>
      <c r="J13" s="77">
        <v>7250.333333333333</v>
      </c>
      <c r="K13" s="78">
        <f t="shared" si="9"/>
        <v>0</v>
      </c>
      <c r="L13" s="79">
        <f t="shared" si="10"/>
        <v>0</v>
      </c>
      <c r="M13" s="80">
        <f t="shared" si="11"/>
        <v>0</v>
      </c>
      <c r="N13" s="77">
        <v>0.0</v>
      </c>
      <c r="O13" s="77">
        <v>7003.666666666667</v>
      </c>
      <c r="P13" s="81">
        <f t="shared" si="12"/>
        <v>0</v>
      </c>
      <c r="Q13" s="82">
        <v>0.0</v>
      </c>
      <c r="R13" s="77">
        <v>6972.833333333333</v>
      </c>
      <c r="S13" s="81">
        <f t="shared" si="13"/>
        <v>0</v>
      </c>
      <c r="T13" s="77">
        <v>0.0</v>
      </c>
      <c r="U13" s="77">
        <v>6942.0</v>
      </c>
      <c r="V13" s="81">
        <f t="shared" si="14"/>
        <v>0</v>
      </c>
      <c r="W13" s="83">
        <f t="shared" si="15"/>
        <v>0</v>
      </c>
      <c r="X13" s="84">
        <f t="shared" si="16"/>
        <v>0</v>
      </c>
      <c r="AD13" s="65"/>
      <c r="AG13" s="65"/>
      <c r="AJ13" s="65"/>
      <c r="AK13" s="65"/>
      <c r="AL13" s="68"/>
      <c r="AO13" s="65"/>
      <c r="AR13" s="65"/>
      <c r="AU13" s="65"/>
      <c r="AV13" s="65"/>
      <c r="AW13" s="68"/>
    </row>
    <row r="14" ht="15.75" customHeight="1">
      <c r="A14" s="29">
        <v>10404.0</v>
      </c>
      <c r="B14" s="76" t="s">
        <v>20</v>
      </c>
      <c r="C14" s="77">
        <v>13000.0</v>
      </c>
      <c r="D14" s="77">
        <v>4902.0</v>
      </c>
      <c r="E14" s="78">
        <f t="shared" si="7"/>
        <v>2.651978784</v>
      </c>
      <c r="F14" s="77">
        <v>13000.0</v>
      </c>
      <c r="G14" s="77">
        <v>4807.5</v>
      </c>
      <c r="H14" s="78">
        <f t="shared" si="8"/>
        <v>2.704108164</v>
      </c>
      <c r="I14" s="77">
        <v>13000.0</v>
      </c>
      <c r="J14" s="77">
        <v>4713.0</v>
      </c>
      <c r="K14" s="78">
        <f t="shared" si="9"/>
        <v>2.758328029</v>
      </c>
      <c r="L14" s="79">
        <f t="shared" si="10"/>
        <v>2.704804992</v>
      </c>
      <c r="M14" s="80">
        <f t="shared" si="11"/>
        <v>13000</v>
      </c>
      <c r="N14" s="77">
        <v>89300.0</v>
      </c>
      <c r="O14" s="77">
        <v>3957.0</v>
      </c>
      <c r="P14" s="81">
        <f t="shared" si="12"/>
        <v>22.56760172</v>
      </c>
      <c r="Q14" s="82">
        <v>89300.0</v>
      </c>
      <c r="R14" s="77">
        <v>3862.5</v>
      </c>
      <c r="S14" s="81">
        <f t="shared" si="13"/>
        <v>23.1197411</v>
      </c>
      <c r="T14" s="77">
        <v>66500.0</v>
      </c>
      <c r="U14" s="77">
        <v>3768.0</v>
      </c>
      <c r="V14" s="81">
        <f t="shared" si="14"/>
        <v>17.64861996</v>
      </c>
      <c r="W14" s="83">
        <f t="shared" si="15"/>
        <v>21.11198759</v>
      </c>
      <c r="X14" s="84">
        <f t="shared" si="16"/>
        <v>81700</v>
      </c>
      <c r="AD14" s="65"/>
      <c r="AG14" s="65"/>
      <c r="AJ14" s="65"/>
      <c r="AK14" s="65"/>
      <c r="AL14" s="68"/>
      <c r="AO14" s="65"/>
      <c r="AR14" s="65"/>
      <c r="AU14" s="65"/>
      <c r="AV14" s="65"/>
      <c r="AW14" s="68"/>
    </row>
    <row r="15" ht="15.75" customHeight="1">
      <c r="A15" s="29">
        <v>10405.0</v>
      </c>
      <c r="B15" s="76" t="s">
        <v>21</v>
      </c>
      <c r="C15" s="77">
        <v>30000.0</v>
      </c>
      <c r="D15" s="77">
        <v>4465.0</v>
      </c>
      <c r="E15" s="78">
        <f t="shared" si="7"/>
        <v>6.718924972</v>
      </c>
      <c r="F15" s="77">
        <v>30000.0</v>
      </c>
      <c r="G15" s="77">
        <v>4564.083333333333</v>
      </c>
      <c r="H15" s="78">
        <f t="shared" si="8"/>
        <v>6.573061403</v>
      </c>
      <c r="I15" s="77">
        <v>33000.0</v>
      </c>
      <c r="J15" s="77">
        <v>4663.166666666667</v>
      </c>
      <c r="K15" s="78">
        <f t="shared" si="9"/>
        <v>7.076736124</v>
      </c>
      <c r="L15" s="79">
        <f t="shared" si="10"/>
        <v>6.789574166</v>
      </c>
      <c r="M15" s="80">
        <f t="shared" si="11"/>
        <v>31000</v>
      </c>
      <c r="N15" s="77">
        <v>16000.0</v>
      </c>
      <c r="O15" s="77">
        <v>5455.833333333333</v>
      </c>
      <c r="P15" s="81">
        <f t="shared" si="12"/>
        <v>2.932640904</v>
      </c>
      <c r="Q15" s="82">
        <v>16000.0</v>
      </c>
      <c r="R15" s="77">
        <v>5554.916666666666</v>
      </c>
      <c r="S15" s="81">
        <f t="shared" si="13"/>
        <v>2.880331238</v>
      </c>
      <c r="T15" s="77">
        <v>17000.0</v>
      </c>
      <c r="U15" s="77">
        <v>5654.0</v>
      </c>
      <c r="V15" s="81">
        <f t="shared" si="14"/>
        <v>3.006720906</v>
      </c>
      <c r="W15" s="83">
        <f t="shared" si="15"/>
        <v>2.939897683</v>
      </c>
      <c r="X15" s="84">
        <f t="shared" si="16"/>
        <v>16333.33333</v>
      </c>
      <c r="AD15" s="65"/>
      <c r="AG15" s="65"/>
      <c r="AJ15" s="65"/>
      <c r="AK15" s="65"/>
      <c r="AL15" s="68"/>
      <c r="AO15" s="65"/>
      <c r="AR15" s="65"/>
      <c r="AU15" s="65"/>
      <c r="AV15" s="65"/>
      <c r="AW15" s="68"/>
    </row>
    <row r="16" ht="15.75" customHeight="1">
      <c r="A16" s="29">
        <v>10501.0</v>
      </c>
      <c r="B16" s="76" t="s">
        <v>22</v>
      </c>
      <c r="C16" s="77">
        <v>300000.0</v>
      </c>
      <c r="D16" s="77">
        <v>24303.0</v>
      </c>
      <c r="E16" s="78">
        <f t="shared" si="7"/>
        <v>12.34415504</v>
      </c>
      <c r="F16" s="77">
        <v>300000.0</v>
      </c>
      <c r="G16" s="77">
        <v>24323.25</v>
      </c>
      <c r="H16" s="78">
        <f t="shared" si="8"/>
        <v>12.33387808</v>
      </c>
      <c r="I16" s="77">
        <v>450000.0</v>
      </c>
      <c r="J16" s="77">
        <v>24343.5</v>
      </c>
      <c r="K16" s="78">
        <f t="shared" si="9"/>
        <v>18.48542732</v>
      </c>
      <c r="L16" s="79">
        <f t="shared" si="10"/>
        <v>14.38782015</v>
      </c>
      <c r="M16" s="80">
        <f t="shared" si="11"/>
        <v>350000</v>
      </c>
      <c r="N16" s="77">
        <v>450000.0</v>
      </c>
      <c r="O16" s="77">
        <v>24505.5</v>
      </c>
      <c r="P16" s="81">
        <f t="shared" si="12"/>
        <v>18.36322458</v>
      </c>
      <c r="Q16" s="82">
        <v>505505.0</v>
      </c>
      <c r="R16" s="77">
        <v>24525.75</v>
      </c>
      <c r="S16" s="81">
        <f t="shared" si="13"/>
        <v>20.61119436</v>
      </c>
      <c r="T16" s="77">
        <v>456772.0</v>
      </c>
      <c r="U16" s="77">
        <v>24546.0</v>
      </c>
      <c r="V16" s="81">
        <f t="shared" si="14"/>
        <v>18.6088161</v>
      </c>
      <c r="W16" s="83">
        <f t="shared" si="15"/>
        <v>19.19441168</v>
      </c>
      <c r="X16" s="84">
        <f t="shared" si="16"/>
        <v>470759</v>
      </c>
      <c r="AD16" s="65"/>
      <c r="AG16" s="65"/>
      <c r="AJ16" s="65"/>
      <c r="AK16" s="65"/>
      <c r="AL16" s="68"/>
      <c r="AO16" s="65"/>
      <c r="AR16" s="65"/>
      <c r="AU16" s="65"/>
      <c r="AV16" s="65"/>
      <c r="AW16" s="68"/>
    </row>
    <row r="17" ht="15.75" customHeight="1">
      <c r="A17" s="29">
        <v>10502.0</v>
      </c>
      <c r="B17" s="76" t="s">
        <v>23</v>
      </c>
      <c r="C17" s="77">
        <v>60000.0</v>
      </c>
      <c r="D17" s="77">
        <v>8349.0</v>
      </c>
      <c r="E17" s="78">
        <f t="shared" si="7"/>
        <v>7.1864894</v>
      </c>
      <c r="F17" s="77">
        <v>66000.0</v>
      </c>
      <c r="G17" s="77">
        <v>8253.25</v>
      </c>
      <c r="H17" s="78">
        <f t="shared" si="8"/>
        <v>7.996849726</v>
      </c>
      <c r="I17" s="77">
        <v>120000.0</v>
      </c>
      <c r="J17" s="77">
        <v>8157.5</v>
      </c>
      <c r="K17" s="78">
        <f t="shared" si="9"/>
        <v>14.71038921</v>
      </c>
      <c r="L17" s="79">
        <f t="shared" si="10"/>
        <v>9.964576113</v>
      </c>
      <c r="M17" s="80">
        <f t="shared" si="11"/>
        <v>82000</v>
      </c>
      <c r="N17" s="77">
        <v>150000.0</v>
      </c>
      <c r="O17" s="77">
        <v>7391.5</v>
      </c>
      <c r="P17" s="81">
        <f t="shared" si="12"/>
        <v>20.29358046</v>
      </c>
      <c r="Q17" s="82">
        <v>60000.0</v>
      </c>
      <c r="R17" s="77">
        <v>7295.75</v>
      </c>
      <c r="S17" s="81">
        <f t="shared" si="13"/>
        <v>8.223966008</v>
      </c>
      <c r="T17" s="77">
        <v>100000.0</v>
      </c>
      <c r="U17" s="77">
        <v>7200.0</v>
      </c>
      <c r="V17" s="81">
        <f t="shared" si="14"/>
        <v>13.88888889</v>
      </c>
      <c r="W17" s="83">
        <f t="shared" si="15"/>
        <v>14.13547845</v>
      </c>
      <c r="X17" s="84">
        <f t="shared" si="16"/>
        <v>103333.3333</v>
      </c>
      <c r="AD17" s="65"/>
      <c r="AG17" s="65"/>
      <c r="AJ17" s="65"/>
      <c r="AK17" s="65"/>
      <c r="AL17" s="68"/>
      <c r="AO17" s="65"/>
      <c r="AR17" s="65"/>
      <c r="AU17" s="65"/>
      <c r="AV17" s="65"/>
      <c r="AW17" s="68"/>
    </row>
    <row r="18" ht="15.75" customHeight="1">
      <c r="A18" s="29">
        <v>10601.0</v>
      </c>
      <c r="B18" s="76" t="s">
        <v>24</v>
      </c>
      <c r="C18" s="77">
        <v>53857.0</v>
      </c>
      <c r="D18" s="77">
        <v>16944.0</v>
      </c>
      <c r="E18" s="78">
        <f t="shared" si="7"/>
        <v>3.178529273</v>
      </c>
      <c r="F18" s="77">
        <v>54032.0</v>
      </c>
      <c r="G18" s="77">
        <v>16642.25</v>
      </c>
      <c r="H18" s="78">
        <f t="shared" si="8"/>
        <v>3.246676381</v>
      </c>
      <c r="I18" s="77">
        <v>51032.0</v>
      </c>
      <c r="J18" s="77">
        <v>16340.5</v>
      </c>
      <c r="K18" s="78">
        <f t="shared" si="9"/>
        <v>3.123037851</v>
      </c>
      <c r="L18" s="79">
        <f t="shared" si="10"/>
        <v>3.182747835</v>
      </c>
      <c r="M18" s="80">
        <f t="shared" si="11"/>
        <v>52973.66667</v>
      </c>
      <c r="N18" s="77">
        <v>150000.0</v>
      </c>
      <c r="O18" s="77">
        <v>13926.5</v>
      </c>
      <c r="P18" s="81">
        <f t="shared" si="12"/>
        <v>10.77083259</v>
      </c>
      <c r="Q18" s="82">
        <v>134000.0</v>
      </c>
      <c r="R18" s="77">
        <v>13624.75</v>
      </c>
      <c r="S18" s="81">
        <f t="shared" si="13"/>
        <v>9.835042845</v>
      </c>
      <c r="T18" s="77">
        <v>80000.0</v>
      </c>
      <c r="U18" s="77">
        <v>13323.0</v>
      </c>
      <c r="V18" s="81">
        <f t="shared" si="14"/>
        <v>6.004653607</v>
      </c>
      <c r="W18" s="83">
        <f t="shared" si="15"/>
        <v>8.870176346</v>
      </c>
      <c r="X18" s="84">
        <f t="shared" si="16"/>
        <v>121333.3333</v>
      </c>
      <c r="AD18" s="65"/>
      <c r="AG18" s="65"/>
      <c r="AJ18" s="65"/>
      <c r="AK18" s="65"/>
      <c r="AL18" s="68"/>
      <c r="AO18" s="65"/>
      <c r="AR18" s="65"/>
      <c r="AU18" s="65"/>
      <c r="AV18" s="65"/>
      <c r="AW18" s="68"/>
    </row>
    <row r="19" ht="15.75" customHeight="1">
      <c r="A19" s="29">
        <v>10602.0</v>
      </c>
      <c r="B19" s="76" t="s">
        <v>25</v>
      </c>
      <c r="C19" s="77">
        <v>3000.0</v>
      </c>
      <c r="D19" s="77">
        <v>10111.0</v>
      </c>
      <c r="E19" s="78">
        <f t="shared" si="7"/>
        <v>0.2967065572</v>
      </c>
      <c r="F19" s="77">
        <v>7680.0</v>
      </c>
      <c r="G19" s="77">
        <v>9975.083333333334</v>
      </c>
      <c r="H19" s="78">
        <f t="shared" si="8"/>
        <v>0.76991838</v>
      </c>
      <c r="I19" s="77">
        <v>7680.0</v>
      </c>
      <c r="J19" s="77">
        <v>9839.166666666666</v>
      </c>
      <c r="K19" s="78">
        <f t="shared" si="9"/>
        <v>0.7805539087</v>
      </c>
      <c r="L19" s="79">
        <f t="shared" si="10"/>
        <v>0.615726282</v>
      </c>
      <c r="M19" s="80">
        <f t="shared" si="11"/>
        <v>6120</v>
      </c>
      <c r="N19" s="77">
        <v>6000.0</v>
      </c>
      <c r="O19" s="77">
        <v>8751.833333333334</v>
      </c>
      <c r="P19" s="81">
        <f t="shared" si="12"/>
        <v>0.6855706423</v>
      </c>
      <c r="Q19" s="82">
        <v>6000.0</v>
      </c>
      <c r="R19" s="77">
        <v>8615.916666666666</v>
      </c>
      <c r="S19" s="81">
        <f t="shared" si="13"/>
        <v>0.6963855655</v>
      </c>
      <c r="T19" s="77">
        <v>6000.0</v>
      </c>
      <c r="U19" s="77">
        <v>8480.0</v>
      </c>
      <c r="V19" s="81">
        <f t="shared" si="14"/>
        <v>0.7075471698</v>
      </c>
      <c r="W19" s="83">
        <f t="shared" si="15"/>
        <v>0.6965011259</v>
      </c>
      <c r="X19" s="84">
        <f t="shared" si="16"/>
        <v>6000</v>
      </c>
      <c r="AD19" s="65"/>
      <c r="AG19" s="65"/>
      <c r="AJ19" s="65"/>
      <c r="AK19" s="65"/>
      <c r="AL19" s="68"/>
      <c r="AO19" s="65"/>
      <c r="AR19" s="65"/>
      <c r="AU19" s="65"/>
      <c r="AV19" s="65"/>
      <c r="AW19" s="68"/>
    </row>
    <row r="20" ht="15.75" customHeight="1">
      <c r="A20" s="29">
        <v>10701.0</v>
      </c>
      <c r="B20" s="76" t="s">
        <v>26</v>
      </c>
      <c r="C20" s="77">
        <v>140000.0</v>
      </c>
      <c r="D20" s="77">
        <v>15644.0</v>
      </c>
      <c r="E20" s="78">
        <f t="shared" si="7"/>
        <v>8.949117873</v>
      </c>
      <c r="F20" s="77">
        <v>183800.0</v>
      </c>
      <c r="G20" s="77">
        <v>15566.416666666666</v>
      </c>
      <c r="H20" s="78">
        <f t="shared" si="8"/>
        <v>11.80747014</v>
      </c>
      <c r="I20" s="77">
        <v>200000.0</v>
      </c>
      <c r="J20" s="77">
        <v>15488.833333333334</v>
      </c>
      <c r="K20" s="78">
        <f t="shared" si="9"/>
        <v>12.91252838</v>
      </c>
      <c r="L20" s="79">
        <f t="shared" si="10"/>
        <v>11.2230388</v>
      </c>
      <c r="M20" s="80">
        <f t="shared" si="11"/>
        <v>174600</v>
      </c>
      <c r="N20" s="77">
        <v>259089.0</v>
      </c>
      <c r="O20" s="77">
        <v>14868.166666666666</v>
      </c>
      <c r="P20" s="81">
        <f t="shared" si="12"/>
        <v>17.42575301</v>
      </c>
      <c r="Q20" s="82">
        <v>268168.0</v>
      </c>
      <c r="R20" s="77">
        <v>14790.583333333334</v>
      </c>
      <c r="S20" s="81">
        <f t="shared" si="13"/>
        <v>18.13099551</v>
      </c>
      <c r="T20" s="77">
        <v>254890.0</v>
      </c>
      <c r="U20" s="77">
        <v>14713.0</v>
      </c>
      <c r="V20" s="81">
        <f t="shared" si="14"/>
        <v>17.32413512</v>
      </c>
      <c r="W20" s="83">
        <f t="shared" si="15"/>
        <v>17.62696121</v>
      </c>
      <c r="X20" s="84">
        <f t="shared" si="16"/>
        <v>260715.6667</v>
      </c>
      <c r="AD20" s="65"/>
      <c r="AG20" s="65"/>
      <c r="AJ20" s="65"/>
      <c r="AK20" s="65"/>
      <c r="AL20" s="68"/>
      <c r="AO20" s="65"/>
      <c r="AR20" s="65"/>
      <c r="AU20" s="65"/>
      <c r="AV20" s="65"/>
      <c r="AW20" s="68"/>
    </row>
    <row r="21" ht="15.75" customHeight="1">
      <c r="A21" s="29">
        <v>10702.0</v>
      </c>
      <c r="B21" s="76" t="s">
        <v>27</v>
      </c>
      <c r="C21" s="77">
        <v>5500.0</v>
      </c>
      <c r="D21" s="77">
        <v>32520.0</v>
      </c>
      <c r="E21" s="78">
        <f t="shared" si="7"/>
        <v>0.1691266913</v>
      </c>
      <c r="F21" s="77">
        <v>50000.0</v>
      </c>
      <c r="G21" s="77">
        <v>32036.25</v>
      </c>
      <c r="H21" s="78">
        <f t="shared" si="8"/>
        <v>1.560731983</v>
      </c>
      <c r="I21" s="77">
        <v>10000.0</v>
      </c>
      <c r="J21" s="77">
        <v>31552.5</v>
      </c>
      <c r="K21" s="78">
        <f t="shared" si="9"/>
        <v>0.3169320973</v>
      </c>
      <c r="L21" s="79">
        <f t="shared" si="10"/>
        <v>0.6822635906</v>
      </c>
      <c r="M21" s="80">
        <f t="shared" si="11"/>
        <v>21833.33333</v>
      </c>
      <c r="N21" s="77">
        <v>70000.0</v>
      </c>
      <c r="O21" s="77">
        <v>27682.5</v>
      </c>
      <c r="P21" s="81">
        <f t="shared" si="12"/>
        <v>2.52867335</v>
      </c>
      <c r="Q21" s="82">
        <v>70000.0</v>
      </c>
      <c r="R21" s="77">
        <v>27198.75</v>
      </c>
      <c r="S21" s="81">
        <f t="shared" si="13"/>
        <v>2.573647686</v>
      </c>
      <c r="T21" s="77">
        <v>70000.0</v>
      </c>
      <c r="U21" s="77">
        <v>26715.0</v>
      </c>
      <c r="V21" s="81">
        <f t="shared" si="14"/>
        <v>2.620250795</v>
      </c>
      <c r="W21" s="83">
        <f t="shared" si="15"/>
        <v>2.57419061</v>
      </c>
      <c r="X21" s="84">
        <f t="shared" si="16"/>
        <v>70000</v>
      </c>
      <c r="AD21" s="65"/>
      <c r="AG21" s="65"/>
      <c r="AJ21" s="65"/>
      <c r="AK21" s="65"/>
      <c r="AL21" s="68"/>
      <c r="AO21" s="65"/>
      <c r="AR21" s="65"/>
      <c r="AU21" s="65"/>
      <c r="AV21" s="65"/>
      <c r="AW21" s="68"/>
    </row>
    <row r="22" ht="15.75" customHeight="1">
      <c r="A22" s="29">
        <v>10703.0</v>
      </c>
      <c r="B22" s="76" t="s">
        <v>28</v>
      </c>
      <c r="C22" s="77">
        <v>49090.0</v>
      </c>
      <c r="D22" s="77">
        <v>13056.0</v>
      </c>
      <c r="E22" s="78">
        <f t="shared" si="7"/>
        <v>3.759957108</v>
      </c>
      <c r="F22" s="77">
        <v>60150.0</v>
      </c>
      <c r="G22" s="77">
        <v>13341.666666666666</v>
      </c>
      <c r="H22" s="78">
        <f t="shared" si="8"/>
        <v>4.50843223</v>
      </c>
      <c r="I22" s="77">
        <v>66750.0</v>
      </c>
      <c r="J22" s="77">
        <v>13627.333333333334</v>
      </c>
      <c r="K22" s="78">
        <f t="shared" si="9"/>
        <v>4.898243726</v>
      </c>
      <c r="L22" s="79">
        <f t="shared" si="10"/>
        <v>4.388877688</v>
      </c>
      <c r="M22" s="80">
        <f t="shared" si="11"/>
        <v>58663.33333</v>
      </c>
      <c r="N22" s="77">
        <v>63000.0</v>
      </c>
      <c r="O22" s="77">
        <v>15912.666666666668</v>
      </c>
      <c r="P22" s="81">
        <f t="shared" si="12"/>
        <v>3.959110143</v>
      </c>
      <c r="Q22" s="82">
        <v>83880.0</v>
      </c>
      <c r="R22" s="77">
        <v>16198.333333333334</v>
      </c>
      <c r="S22" s="81">
        <f t="shared" si="13"/>
        <v>5.178310526</v>
      </c>
      <c r="T22" s="77">
        <v>83880.0</v>
      </c>
      <c r="U22" s="77">
        <v>16484.0</v>
      </c>
      <c r="V22" s="81">
        <f t="shared" si="14"/>
        <v>5.088570735</v>
      </c>
      <c r="W22" s="83">
        <f t="shared" si="15"/>
        <v>4.741997135</v>
      </c>
      <c r="X22" s="84">
        <f t="shared" si="16"/>
        <v>76920</v>
      </c>
      <c r="AD22" s="65"/>
      <c r="AG22" s="65"/>
      <c r="AJ22" s="65"/>
      <c r="AK22" s="65"/>
      <c r="AL22" s="68"/>
      <c r="AO22" s="65"/>
      <c r="AR22" s="65"/>
      <c r="AU22" s="65"/>
      <c r="AV22" s="65"/>
      <c r="AW22" s="68"/>
    </row>
    <row r="23" ht="15.75" customHeight="1">
      <c r="A23" s="29">
        <v>10704.0</v>
      </c>
      <c r="B23" s="76" t="s">
        <v>29</v>
      </c>
      <c r="C23" s="77">
        <v>80876.0</v>
      </c>
      <c r="D23" s="77">
        <v>16150.0</v>
      </c>
      <c r="E23" s="78">
        <f t="shared" si="7"/>
        <v>5.007801858</v>
      </c>
      <c r="F23" s="77">
        <v>115256.0</v>
      </c>
      <c r="G23" s="77">
        <v>15994.333333333334</v>
      </c>
      <c r="H23" s="78">
        <f t="shared" si="8"/>
        <v>7.206052143</v>
      </c>
      <c r="I23" s="77">
        <v>125792.0</v>
      </c>
      <c r="J23" s="77">
        <v>15838.666666666666</v>
      </c>
      <c r="K23" s="78">
        <f t="shared" si="9"/>
        <v>7.942082667</v>
      </c>
      <c r="L23" s="79">
        <f t="shared" si="10"/>
        <v>6.718645556</v>
      </c>
      <c r="M23" s="80">
        <f t="shared" si="11"/>
        <v>107308</v>
      </c>
      <c r="N23" s="77">
        <v>216400.0</v>
      </c>
      <c r="O23" s="77">
        <v>14593.333333333334</v>
      </c>
      <c r="P23" s="81">
        <f t="shared" si="12"/>
        <v>14.8286889</v>
      </c>
      <c r="Q23" s="82">
        <v>250400.0</v>
      </c>
      <c r="R23" s="77">
        <v>14437.666666666666</v>
      </c>
      <c r="S23" s="81">
        <f t="shared" si="13"/>
        <v>17.34352273</v>
      </c>
      <c r="T23" s="77">
        <v>250000.0</v>
      </c>
      <c r="U23" s="77">
        <v>14282.0</v>
      </c>
      <c r="V23" s="81">
        <f t="shared" si="14"/>
        <v>17.50455118</v>
      </c>
      <c r="W23" s="83">
        <f t="shared" si="15"/>
        <v>16.55892094</v>
      </c>
      <c r="X23" s="84">
        <f t="shared" si="16"/>
        <v>238933.3333</v>
      </c>
      <c r="AD23" s="65"/>
      <c r="AG23" s="65"/>
      <c r="AJ23" s="65"/>
      <c r="AK23" s="65"/>
      <c r="AL23" s="68"/>
      <c r="AO23" s="65"/>
      <c r="AR23" s="65"/>
      <c r="AU23" s="65"/>
      <c r="AV23" s="65"/>
      <c r="AW23" s="68"/>
    </row>
    <row r="24" ht="15.75" customHeight="1">
      <c r="A24" s="29">
        <v>10801.0</v>
      </c>
      <c r="B24" s="76" t="s">
        <v>30</v>
      </c>
      <c r="C24" s="77">
        <v>161734.0</v>
      </c>
      <c r="D24" s="77">
        <v>11161.0</v>
      </c>
      <c r="E24" s="78">
        <f t="shared" si="7"/>
        <v>14.49099543</v>
      </c>
      <c r="F24" s="77">
        <v>145000.0</v>
      </c>
      <c r="G24" s="77">
        <v>10989.833333333334</v>
      </c>
      <c r="H24" s="78">
        <f t="shared" si="8"/>
        <v>13.19401265</v>
      </c>
      <c r="I24" s="77">
        <v>155173.0</v>
      </c>
      <c r="J24" s="77">
        <v>10818.666666666666</v>
      </c>
      <c r="K24" s="78">
        <f t="shared" si="9"/>
        <v>14.34307986</v>
      </c>
      <c r="L24" s="79">
        <f t="shared" si="10"/>
        <v>14.00936265</v>
      </c>
      <c r="M24" s="80">
        <f t="shared" si="11"/>
        <v>153969</v>
      </c>
      <c r="N24" s="77">
        <v>70000.0</v>
      </c>
      <c r="O24" s="77">
        <v>9449.333333333334</v>
      </c>
      <c r="P24" s="81">
        <f t="shared" si="12"/>
        <v>7.407930013</v>
      </c>
      <c r="Q24" s="82">
        <v>70000.0</v>
      </c>
      <c r="R24" s="77">
        <v>9278.166666666666</v>
      </c>
      <c r="S24" s="81">
        <f t="shared" si="13"/>
        <v>7.544593939</v>
      </c>
      <c r="T24" s="77">
        <v>80295.0</v>
      </c>
      <c r="U24" s="77">
        <v>9107.0</v>
      </c>
      <c r="V24" s="81">
        <f t="shared" si="14"/>
        <v>8.816844186</v>
      </c>
      <c r="W24" s="83">
        <f t="shared" si="15"/>
        <v>7.923122713</v>
      </c>
      <c r="X24" s="84">
        <f t="shared" si="16"/>
        <v>73431.66667</v>
      </c>
      <c r="AD24" s="65"/>
      <c r="AG24" s="65"/>
      <c r="AJ24" s="65"/>
      <c r="AK24" s="65"/>
      <c r="AL24" s="68"/>
      <c r="AO24" s="65"/>
      <c r="AR24" s="65"/>
      <c r="AU24" s="65"/>
      <c r="AV24" s="65"/>
      <c r="AW24" s="68"/>
    </row>
    <row r="25" ht="15.75" customHeight="1">
      <c r="A25" s="29">
        <v>10901.0</v>
      </c>
      <c r="B25" s="76" t="s">
        <v>31</v>
      </c>
      <c r="C25" s="77">
        <v>15996.0</v>
      </c>
      <c r="D25" s="77">
        <v>3514.0</v>
      </c>
      <c r="E25" s="78">
        <f t="shared" si="7"/>
        <v>4.552077405</v>
      </c>
      <c r="F25" s="77">
        <v>16000.0</v>
      </c>
      <c r="G25" s="77">
        <v>3669.0833333333335</v>
      </c>
      <c r="H25" s="78">
        <f t="shared" si="8"/>
        <v>4.360762225</v>
      </c>
      <c r="I25" s="77">
        <v>40704.0</v>
      </c>
      <c r="J25" s="77">
        <v>3824.1666666666665</v>
      </c>
      <c r="K25" s="78">
        <f t="shared" si="9"/>
        <v>10.64388756</v>
      </c>
      <c r="L25" s="79">
        <f t="shared" si="10"/>
        <v>6.518909062</v>
      </c>
      <c r="M25" s="80">
        <f t="shared" si="11"/>
        <v>24233.33333</v>
      </c>
      <c r="N25" s="77">
        <v>53600.0</v>
      </c>
      <c r="O25" s="77">
        <v>5064.833333333334</v>
      </c>
      <c r="P25" s="81">
        <f t="shared" si="12"/>
        <v>10.58277666</v>
      </c>
      <c r="Q25" s="82">
        <v>56800.0</v>
      </c>
      <c r="R25" s="77">
        <v>5219.916666666667</v>
      </c>
      <c r="S25" s="81">
        <f t="shared" si="13"/>
        <v>10.88139977</v>
      </c>
      <c r="T25" s="77">
        <v>56800.0</v>
      </c>
      <c r="U25" s="77">
        <v>5375.0</v>
      </c>
      <c r="V25" s="81">
        <f t="shared" si="14"/>
        <v>10.56744186</v>
      </c>
      <c r="W25" s="83">
        <f t="shared" si="15"/>
        <v>10.6772061</v>
      </c>
      <c r="X25" s="84">
        <f t="shared" si="16"/>
        <v>55733.33333</v>
      </c>
      <c r="AD25" s="65"/>
      <c r="AG25" s="65"/>
      <c r="AJ25" s="65"/>
      <c r="AK25" s="65"/>
      <c r="AL25" s="68"/>
      <c r="AO25" s="65"/>
      <c r="AR25" s="65"/>
      <c r="AU25" s="65"/>
      <c r="AV25" s="65"/>
      <c r="AW25" s="68"/>
    </row>
    <row r="26" ht="15.75" customHeight="1">
      <c r="A26" s="29">
        <v>10902.0</v>
      </c>
      <c r="B26" s="76" t="s">
        <v>32</v>
      </c>
      <c r="C26" s="77">
        <v>116995.0</v>
      </c>
      <c r="D26" s="77">
        <v>17731.0</v>
      </c>
      <c r="E26" s="78">
        <f t="shared" si="7"/>
        <v>6.598330607</v>
      </c>
      <c r="F26" s="77">
        <v>170546.0</v>
      </c>
      <c r="G26" s="77">
        <v>17490.75</v>
      </c>
      <c r="H26" s="78">
        <f t="shared" si="8"/>
        <v>9.750639624</v>
      </c>
      <c r="I26" s="77">
        <v>189451.0</v>
      </c>
      <c r="J26" s="77">
        <v>17250.5</v>
      </c>
      <c r="K26" s="78">
        <f t="shared" si="9"/>
        <v>10.98234834</v>
      </c>
      <c r="L26" s="79">
        <f t="shared" si="10"/>
        <v>9.110439523</v>
      </c>
      <c r="M26" s="80">
        <f t="shared" si="11"/>
        <v>158997.3333</v>
      </c>
      <c r="N26" s="77">
        <v>101794.0</v>
      </c>
      <c r="O26" s="77">
        <v>15328.5</v>
      </c>
      <c r="P26" s="81">
        <f t="shared" si="12"/>
        <v>6.640832436</v>
      </c>
      <c r="Q26" s="82">
        <v>372607.0</v>
      </c>
      <c r="R26" s="77">
        <v>15088.25</v>
      </c>
      <c r="S26" s="81">
        <f t="shared" si="13"/>
        <v>24.69517671</v>
      </c>
      <c r="T26" s="77">
        <v>263007.0</v>
      </c>
      <c r="U26" s="77">
        <v>14848.0</v>
      </c>
      <c r="V26" s="81">
        <f t="shared" si="14"/>
        <v>17.71329472</v>
      </c>
      <c r="W26" s="83">
        <f t="shared" si="15"/>
        <v>16.34976796</v>
      </c>
      <c r="X26" s="84">
        <f t="shared" si="16"/>
        <v>245802.6667</v>
      </c>
      <c r="AD26" s="65"/>
      <c r="AG26" s="65"/>
      <c r="AJ26" s="65"/>
      <c r="AK26" s="65"/>
      <c r="AL26" s="68"/>
      <c r="AO26" s="65"/>
      <c r="AR26" s="65"/>
      <c r="AU26" s="65"/>
      <c r="AV26" s="65"/>
      <c r="AW26" s="68"/>
    </row>
    <row r="27" ht="15.75" customHeight="1">
      <c r="A27" s="29">
        <v>10903.0</v>
      </c>
      <c r="B27" s="76" t="s">
        <v>33</v>
      </c>
      <c r="C27" s="77">
        <v>0.0</v>
      </c>
      <c r="D27" s="77">
        <v>4088.0</v>
      </c>
      <c r="E27" s="78">
        <f t="shared" si="7"/>
        <v>0</v>
      </c>
      <c r="F27" s="77">
        <v>15000.0</v>
      </c>
      <c r="G27" s="77">
        <v>4165.333333333333</v>
      </c>
      <c r="H27" s="78">
        <f t="shared" si="8"/>
        <v>3.601152369</v>
      </c>
      <c r="I27" s="77">
        <v>15000.0</v>
      </c>
      <c r="J27" s="77">
        <v>4242.666666666667</v>
      </c>
      <c r="K27" s="78">
        <f t="shared" si="9"/>
        <v>3.535512256</v>
      </c>
      <c r="L27" s="79">
        <f t="shared" si="10"/>
        <v>2.378888208</v>
      </c>
      <c r="M27" s="80">
        <f t="shared" si="11"/>
        <v>10000</v>
      </c>
      <c r="N27" s="77">
        <v>14400.0</v>
      </c>
      <c r="O27" s="77">
        <v>4861.333333333333</v>
      </c>
      <c r="P27" s="81">
        <f t="shared" si="12"/>
        <v>2.962150302</v>
      </c>
      <c r="Q27" s="82">
        <v>16245.0</v>
      </c>
      <c r="R27" s="77">
        <v>4938.666666666667</v>
      </c>
      <c r="S27" s="81">
        <f t="shared" si="13"/>
        <v>3.289349352</v>
      </c>
      <c r="T27" s="77">
        <v>21000.0</v>
      </c>
      <c r="U27" s="77">
        <v>5016.0</v>
      </c>
      <c r="V27" s="81">
        <f t="shared" si="14"/>
        <v>4.186602871</v>
      </c>
      <c r="W27" s="83">
        <f t="shared" si="15"/>
        <v>3.479367508</v>
      </c>
      <c r="X27" s="84">
        <f t="shared" si="16"/>
        <v>17215</v>
      </c>
      <c r="AD27" s="65"/>
      <c r="AG27" s="65"/>
      <c r="AJ27" s="65"/>
      <c r="AK27" s="65"/>
      <c r="AL27" s="68"/>
      <c r="AO27" s="65"/>
      <c r="AR27" s="65"/>
      <c r="AU27" s="65"/>
      <c r="AV27" s="65"/>
      <c r="AW27" s="68"/>
    </row>
    <row r="28" ht="15.75" customHeight="1">
      <c r="A28" s="29">
        <v>11001.0</v>
      </c>
      <c r="B28" s="76" t="s">
        <v>34</v>
      </c>
      <c r="C28" s="77">
        <v>29000.0</v>
      </c>
      <c r="D28" s="77">
        <v>9720.0</v>
      </c>
      <c r="E28" s="78">
        <f t="shared" si="7"/>
        <v>2.983539095</v>
      </c>
      <c r="F28" s="77">
        <v>29000.0</v>
      </c>
      <c r="G28" s="77">
        <v>10016.833333333334</v>
      </c>
      <c r="H28" s="78">
        <f t="shared" si="8"/>
        <v>2.895126537</v>
      </c>
      <c r="I28" s="77">
        <v>29000.0</v>
      </c>
      <c r="J28" s="77">
        <v>10313.666666666666</v>
      </c>
      <c r="K28" s="78">
        <f t="shared" si="9"/>
        <v>2.811803109</v>
      </c>
      <c r="L28" s="79">
        <f t="shared" si="10"/>
        <v>2.896822914</v>
      </c>
      <c r="M28" s="80">
        <f t="shared" si="11"/>
        <v>29000</v>
      </c>
      <c r="N28" s="77">
        <v>92500.0</v>
      </c>
      <c r="O28" s="77">
        <v>12688.333333333332</v>
      </c>
      <c r="P28" s="81">
        <f t="shared" si="12"/>
        <v>7.290161566</v>
      </c>
      <c r="Q28" s="82">
        <v>92500.0</v>
      </c>
      <c r="R28" s="77">
        <v>12985.166666666666</v>
      </c>
      <c r="S28" s="81">
        <f t="shared" si="13"/>
        <v>7.123512726</v>
      </c>
      <c r="T28" s="77">
        <v>98500.0</v>
      </c>
      <c r="U28" s="77">
        <v>13282.0</v>
      </c>
      <c r="V28" s="81">
        <f t="shared" si="14"/>
        <v>7.416051799</v>
      </c>
      <c r="W28" s="83">
        <f t="shared" si="15"/>
        <v>7.276575364</v>
      </c>
      <c r="X28" s="84">
        <f t="shared" si="16"/>
        <v>94500</v>
      </c>
      <c r="AD28" s="65"/>
      <c r="AG28" s="65"/>
      <c r="AJ28" s="65"/>
      <c r="AK28" s="65"/>
      <c r="AL28" s="68"/>
      <c r="AO28" s="65"/>
      <c r="AR28" s="65"/>
      <c r="AU28" s="65"/>
      <c r="AV28" s="65"/>
      <c r="AW28" s="68"/>
    </row>
    <row r="29" ht="15.75" customHeight="1">
      <c r="A29" s="29">
        <v>11002.0</v>
      </c>
      <c r="B29" s="76" t="s">
        <v>35</v>
      </c>
      <c r="C29" s="77">
        <v>21600.0</v>
      </c>
      <c r="D29" s="77">
        <v>2541.0</v>
      </c>
      <c r="E29" s="78">
        <f t="shared" si="7"/>
        <v>8.500590319</v>
      </c>
      <c r="F29" s="77">
        <v>21600.0</v>
      </c>
      <c r="G29" s="77">
        <v>2541.5</v>
      </c>
      <c r="H29" s="78">
        <f t="shared" si="8"/>
        <v>8.498917962</v>
      </c>
      <c r="I29" s="77">
        <v>21600.0</v>
      </c>
      <c r="J29" s="77">
        <v>2542.0</v>
      </c>
      <c r="K29" s="78">
        <f t="shared" si="9"/>
        <v>8.497246263</v>
      </c>
      <c r="L29" s="79">
        <f t="shared" si="10"/>
        <v>8.498918181</v>
      </c>
      <c r="M29" s="80">
        <f t="shared" si="11"/>
        <v>21600</v>
      </c>
      <c r="N29" s="77">
        <v>15000.0</v>
      </c>
      <c r="O29" s="77">
        <v>2546.0</v>
      </c>
      <c r="P29" s="81">
        <f t="shared" si="12"/>
        <v>5.891594658</v>
      </c>
      <c r="Q29" s="82">
        <v>15000.0</v>
      </c>
      <c r="R29" s="77">
        <v>2546.5</v>
      </c>
      <c r="S29" s="81">
        <f t="shared" si="13"/>
        <v>5.890437856</v>
      </c>
      <c r="T29" s="77">
        <v>15000.0</v>
      </c>
      <c r="U29" s="77">
        <v>2547.0</v>
      </c>
      <c r="V29" s="81">
        <f t="shared" si="14"/>
        <v>5.889281508</v>
      </c>
      <c r="W29" s="83">
        <f t="shared" si="15"/>
        <v>5.890438007</v>
      </c>
      <c r="X29" s="84">
        <f t="shared" si="16"/>
        <v>15000</v>
      </c>
      <c r="AD29" s="65"/>
      <c r="AG29" s="65"/>
      <c r="AJ29" s="65"/>
      <c r="AK29" s="65"/>
      <c r="AL29" s="68"/>
      <c r="AO29" s="65"/>
      <c r="AR29" s="65"/>
      <c r="AU29" s="65"/>
      <c r="AV29" s="65"/>
      <c r="AW29" s="68"/>
    </row>
    <row r="30" ht="15.75" customHeight="1">
      <c r="A30" s="29">
        <v>11003.0</v>
      </c>
      <c r="B30" s="76" t="s">
        <v>36</v>
      </c>
      <c r="C30" s="77">
        <v>68000.0</v>
      </c>
      <c r="D30" s="77">
        <v>7418.0</v>
      </c>
      <c r="E30" s="78">
        <f t="shared" si="7"/>
        <v>9.166891345</v>
      </c>
      <c r="F30" s="77">
        <v>70000.0</v>
      </c>
      <c r="G30" s="77">
        <v>7402.75</v>
      </c>
      <c r="H30" s="78">
        <f t="shared" si="8"/>
        <v>9.455945426</v>
      </c>
      <c r="I30" s="77">
        <v>80000.0</v>
      </c>
      <c r="J30" s="77">
        <v>7387.5</v>
      </c>
      <c r="K30" s="78">
        <f t="shared" si="9"/>
        <v>10.82910321</v>
      </c>
      <c r="L30" s="79">
        <f t="shared" si="10"/>
        <v>9.817313329</v>
      </c>
      <c r="M30" s="80">
        <f t="shared" si="11"/>
        <v>72666.66667</v>
      </c>
      <c r="N30" s="77">
        <v>60000.0</v>
      </c>
      <c r="O30" s="77">
        <v>7265.5</v>
      </c>
      <c r="P30" s="81">
        <f t="shared" si="12"/>
        <v>8.258206593</v>
      </c>
      <c r="Q30" s="82">
        <v>86535.0</v>
      </c>
      <c r="R30" s="77">
        <v>7250.25</v>
      </c>
      <c r="S30" s="81">
        <f t="shared" si="13"/>
        <v>11.9354505</v>
      </c>
      <c r="T30" s="77">
        <v>70210.0</v>
      </c>
      <c r="U30" s="77">
        <v>7235.0</v>
      </c>
      <c r="V30" s="81">
        <f t="shared" si="14"/>
        <v>9.704215619</v>
      </c>
      <c r="W30" s="83">
        <f t="shared" si="15"/>
        <v>9.965957571</v>
      </c>
      <c r="X30" s="84">
        <f t="shared" si="16"/>
        <v>72248.33333</v>
      </c>
      <c r="AD30" s="65"/>
      <c r="AG30" s="65"/>
      <c r="AJ30" s="65"/>
      <c r="AK30" s="65"/>
      <c r="AL30" s="68"/>
      <c r="AO30" s="65"/>
      <c r="AR30" s="65"/>
      <c r="AU30" s="65"/>
      <c r="AV30" s="65"/>
      <c r="AW30" s="68"/>
    </row>
    <row r="31" ht="15.75" customHeight="1">
      <c r="A31" s="29">
        <v>20101.0</v>
      </c>
      <c r="B31" s="76" t="s">
        <v>37</v>
      </c>
      <c r="C31" s="77">
        <v>7.7987987E7</v>
      </c>
      <c r="D31" s="77">
        <v>766468.0</v>
      </c>
      <c r="E31" s="78">
        <f t="shared" si="7"/>
        <v>101.7498278</v>
      </c>
      <c r="F31" s="77">
        <v>4.758E7</v>
      </c>
      <c r="G31" s="77">
        <v>765714.9166666666</v>
      </c>
      <c r="H31" s="78">
        <f t="shared" si="8"/>
        <v>62.1380085</v>
      </c>
      <c r="I31" s="77">
        <v>6.8115002E7</v>
      </c>
      <c r="J31" s="77">
        <v>764961.8333333334</v>
      </c>
      <c r="K31" s="78">
        <f t="shared" si="9"/>
        <v>89.04366078</v>
      </c>
      <c r="L31" s="79">
        <f t="shared" si="10"/>
        <v>84.31049902</v>
      </c>
      <c r="M31" s="80">
        <f t="shared" si="11"/>
        <v>64560996.33</v>
      </c>
      <c r="N31" s="77">
        <v>2.4314787E8</v>
      </c>
      <c r="O31" s="77">
        <v>758937.1666666666</v>
      </c>
      <c r="P31" s="81">
        <f t="shared" si="12"/>
        <v>320.3794473</v>
      </c>
      <c r="Q31" s="82">
        <v>2.20555391E8</v>
      </c>
      <c r="R31" s="77">
        <v>758184.0833333334</v>
      </c>
      <c r="S31" s="81">
        <f t="shared" si="13"/>
        <v>290.8995267</v>
      </c>
      <c r="T31" s="77">
        <v>1.90631493E8</v>
      </c>
      <c r="U31" s="77">
        <v>757431.0</v>
      </c>
      <c r="V31" s="81">
        <f t="shared" si="14"/>
        <v>251.6816621</v>
      </c>
      <c r="W31" s="83">
        <f t="shared" si="15"/>
        <v>287.6535454</v>
      </c>
      <c r="X31" s="84">
        <f t="shared" si="16"/>
        <v>218111584.7</v>
      </c>
      <c r="AD31" s="65"/>
      <c r="AG31" s="65"/>
      <c r="AJ31" s="65"/>
      <c r="AK31" s="65"/>
      <c r="AL31" s="68"/>
      <c r="AO31" s="65"/>
      <c r="AR31" s="65"/>
      <c r="AU31" s="65"/>
      <c r="AV31" s="65"/>
      <c r="AW31" s="68"/>
    </row>
    <row r="32" ht="15.75" customHeight="1">
      <c r="A32" s="29">
        <v>20102.0</v>
      </c>
      <c r="B32" s="76" t="s">
        <v>38</v>
      </c>
      <c r="C32" s="77">
        <v>0.0</v>
      </c>
      <c r="D32" s="77">
        <v>16622.0</v>
      </c>
      <c r="E32" s="78">
        <f t="shared" si="7"/>
        <v>0</v>
      </c>
      <c r="F32" s="77">
        <v>10000.0</v>
      </c>
      <c r="G32" s="77">
        <v>17047.583333333332</v>
      </c>
      <c r="H32" s="78">
        <f t="shared" si="8"/>
        <v>0.5865934077</v>
      </c>
      <c r="I32" s="77">
        <v>10000.0</v>
      </c>
      <c r="J32" s="77">
        <v>17473.166666666668</v>
      </c>
      <c r="K32" s="78">
        <f t="shared" si="9"/>
        <v>0.5723061075</v>
      </c>
      <c r="L32" s="79">
        <f t="shared" si="10"/>
        <v>0.3862998384</v>
      </c>
      <c r="M32" s="80">
        <f t="shared" si="11"/>
        <v>6666.666667</v>
      </c>
      <c r="N32" s="77">
        <v>27000.0</v>
      </c>
      <c r="O32" s="77">
        <v>20877.833333333332</v>
      </c>
      <c r="P32" s="81">
        <f t="shared" si="12"/>
        <v>1.293237644</v>
      </c>
      <c r="Q32" s="82">
        <v>50000.0</v>
      </c>
      <c r="R32" s="77">
        <v>21303.416666666664</v>
      </c>
      <c r="S32" s="81">
        <f t="shared" si="13"/>
        <v>2.347041359</v>
      </c>
      <c r="T32" s="77">
        <v>50000.0</v>
      </c>
      <c r="U32" s="77">
        <v>21729.0</v>
      </c>
      <c r="V32" s="81">
        <f t="shared" si="14"/>
        <v>2.3010723</v>
      </c>
      <c r="W32" s="83">
        <f t="shared" si="15"/>
        <v>1.980450434</v>
      </c>
      <c r="X32" s="84">
        <f t="shared" si="16"/>
        <v>42333.33333</v>
      </c>
      <c r="AD32" s="65"/>
      <c r="AG32" s="65"/>
      <c r="AJ32" s="65"/>
      <c r="AK32" s="65"/>
      <c r="AL32" s="68"/>
      <c r="AO32" s="65"/>
      <c r="AR32" s="65"/>
      <c r="AU32" s="65"/>
      <c r="AV32" s="65"/>
      <c r="AW32" s="68"/>
    </row>
    <row r="33" ht="15.75" customHeight="1">
      <c r="A33" s="29">
        <v>20103.0</v>
      </c>
      <c r="B33" s="76" t="s">
        <v>39</v>
      </c>
      <c r="C33" s="77">
        <v>50000.0</v>
      </c>
      <c r="D33" s="77">
        <v>15834.0</v>
      </c>
      <c r="E33" s="78">
        <f t="shared" si="7"/>
        <v>3.157761778</v>
      </c>
      <c r="F33" s="77">
        <v>50000.0</v>
      </c>
      <c r="G33" s="77">
        <v>16218.333333333334</v>
      </c>
      <c r="H33" s="78">
        <f t="shared" si="8"/>
        <v>3.08293084</v>
      </c>
      <c r="I33" s="77">
        <v>100000.0</v>
      </c>
      <c r="J33" s="77">
        <v>16602.666666666668</v>
      </c>
      <c r="K33" s="78">
        <f t="shared" si="9"/>
        <v>6.023128815</v>
      </c>
      <c r="L33" s="79">
        <f t="shared" si="10"/>
        <v>4.087940478</v>
      </c>
      <c r="M33" s="80">
        <f t="shared" si="11"/>
        <v>66666.66667</v>
      </c>
      <c r="N33" s="77">
        <v>274600.0</v>
      </c>
      <c r="O33" s="77">
        <v>19677.333333333332</v>
      </c>
      <c r="P33" s="81">
        <f t="shared" si="12"/>
        <v>13.95514297</v>
      </c>
      <c r="Q33" s="82">
        <v>274600.0</v>
      </c>
      <c r="R33" s="77">
        <v>20061.666666666664</v>
      </c>
      <c r="S33" s="81">
        <f t="shared" si="13"/>
        <v>13.68779596</v>
      </c>
      <c r="T33" s="77">
        <v>274600.0</v>
      </c>
      <c r="U33" s="77">
        <v>20446.0</v>
      </c>
      <c r="V33" s="81">
        <f t="shared" si="14"/>
        <v>13.43049985</v>
      </c>
      <c r="W33" s="83">
        <f t="shared" si="15"/>
        <v>13.69114626</v>
      </c>
      <c r="X33" s="84">
        <f t="shared" si="16"/>
        <v>274600</v>
      </c>
      <c r="AD33" s="65"/>
      <c r="AG33" s="65"/>
      <c r="AJ33" s="65"/>
      <c r="AK33" s="65"/>
      <c r="AL33" s="68"/>
      <c r="AO33" s="65"/>
      <c r="AR33" s="65"/>
      <c r="AU33" s="65"/>
      <c r="AV33" s="65"/>
      <c r="AW33" s="68"/>
    </row>
    <row r="34" ht="15.75" customHeight="1">
      <c r="A34" s="29">
        <v>20104.0</v>
      </c>
      <c r="B34" s="76" t="s">
        <v>40</v>
      </c>
      <c r="C34" s="77">
        <v>288800.0</v>
      </c>
      <c r="D34" s="77">
        <v>22431.0</v>
      </c>
      <c r="E34" s="78">
        <f t="shared" si="7"/>
        <v>12.87503901</v>
      </c>
      <c r="F34" s="77">
        <v>130000.0</v>
      </c>
      <c r="G34" s="77">
        <v>24410.75</v>
      </c>
      <c r="H34" s="78">
        <f t="shared" si="8"/>
        <v>5.325522567</v>
      </c>
      <c r="I34" s="77">
        <v>548640.0</v>
      </c>
      <c r="J34" s="77">
        <v>26390.5</v>
      </c>
      <c r="K34" s="78">
        <f t="shared" si="9"/>
        <v>20.78929918</v>
      </c>
      <c r="L34" s="79">
        <f t="shared" si="10"/>
        <v>12.99662025</v>
      </c>
      <c r="M34" s="80">
        <f t="shared" si="11"/>
        <v>322480</v>
      </c>
      <c r="N34" s="77">
        <v>1153098.0</v>
      </c>
      <c r="O34" s="77">
        <v>42228.5</v>
      </c>
      <c r="P34" s="81">
        <f t="shared" si="12"/>
        <v>27.3061558</v>
      </c>
      <c r="Q34" s="82">
        <v>1203098.0</v>
      </c>
      <c r="R34" s="77">
        <v>44208.25</v>
      </c>
      <c r="S34" s="81">
        <f t="shared" si="13"/>
        <v>27.21433217</v>
      </c>
      <c r="T34" s="77">
        <v>1415154.0</v>
      </c>
      <c r="U34" s="77">
        <v>46188.0</v>
      </c>
      <c r="V34" s="81">
        <f t="shared" si="14"/>
        <v>30.63899714</v>
      </c>
      <c r="W34" s="83">
        <f t="shared" si="15"/>
        <v>28.38649503</v>
      </c>
      <c r="X34" s="84">
        <f t="shared" si="16"/>
        <v>1257116.667</v>
      </c>
      <c r="AD34" s="65"/>
      <c r="AG34" s="65"/>
      <c r="AJ34" s="65"/>
      <c r="AK34" s="65"/>
      <c r="AL34" s="68"/>
      <c r="AO34" s="65"/>
      <c r="AR34" s="65"/>
      <c r="AU34" s="65"/>
      <c r="AV34" s="65"/>
      <c r="AW34" s="68"/>
    </row>
    <row r="35" ht="15.75" customHeight="1">
      <c r="A35" s="29">
        <v>20105.0</v>
      </c>
      <c r="B35" s="76" t="s">
        <v>41</v>
      </c>
      <c r="C35" s="77">
        <v>1.787813E7</v>
      </c>
      <c r="D35" s="77">
        <v>848452.0</v>
      </c>
      <c r="E35" s="78">
        <f t="shared" si="7"/>
        <v>21.07146898</v>
      </c>
      <c r="F35" s="77">
        <v>0.0</v>
      </c>
      <c r="G35" s="77">
        <v>851566.4166666666</v>
      </c>
      <c r="H35" s="78">
        <f t="shared" si="8"/>
        <v>0</v>
      </c>
      <c r="I35" s="77">
        <v>6.1402847E7</v>
      </c>
      <c r="J35" s="77">
        <v>854680.8333333334</v>
      </c>
      <c r="K35" s="78">
        <f t="shared" si="9"/>
        <v>71.84301391</v>
      </c>
      <c r="L35" s="79">
        <f t="shared" si="10"/>
        <v>30.9714943</v>
      </c>
      <c r="M35" s="80">
        <f t="shared" si="11"/>
        <v>26426992.33</v>
      </c>
      <c r="N35" s="77">
        <v>1.77793295E8</v>
      </c>
      <c r="O35" s="77">
        <v>879596.1666666666</v>
      </c>
      <c r="P35" s="81">
        <f t="shared" si="12"/>
        <v>202.1305933</v>
      </c>
      <c r="Q35" s="82">
        <v>1.68328939E8</v>
      </c>
      <c r="R35" s="77">
        <v>882710.5833333334</v>
      </c>
      <c r="S35" s="81">
        <f t="shared" si="13"/>
        <v>190.6955033</v>
      </c>
      <c r="T35" s="77">
        <v>1.40413597E8</v>
      </c>
      <c r="U35" s="77">
        <v>885825.0</v>
      </c>
      <c r="V35" s="81">
        <f t="shared" si="14"/>
        <v>158.5116665</v>
      </c>
      <c r="W35" s="83">
        <f t="shared" si="15"/>
        <v>183.7792544</v>
      </c>
      <c r="X35" s="84">
        <f t="shared" si="16"/>
        <v>162178610.3</v>
      </c>
      <c r="AD35" s="65"/>
      <c r="AG35" s="65"/>
      <c r="AJ35" s="65"/>
      <c r="AK35" s="65"/>
      <c r="AL35" s="68"/>
      <c r="AO35" s="65"/>
      <c r="AR35" s="65"/>
      <c r="AU35" s="65"/>
      <c r="AV35" s="65"/>
      <c r="AW35" s="68"/>
    </row>
    <row r="36" ht="15.75" customHeight="1">
      <c r="A36" s="29">
        <v>20201.0</v>
      </c>
      <c r="B36" s="76" t="s">
        <v>42</v>
      </c>
      <c r="C36" s="77">
        <v>211366.0</v>
      </c>
      <c r="D36" s="77">
        <v>46058.0</v>
      </c>
      <c r="E36" s="78">
        <f t="shared" si="7"/>
        <v>4.589126753</v>
      </c>
      <c r="F36" s="77">
        <v>62926.0</v>
      </c>
      <c r="G36" s="77">
        <v>46157.916666666664</v>
      </c>
      <c r="H36" s="78">
        <f t="shared" si="8"/>
        <v>1.363276433</v>
      </c>
      <c r="I36" s="77">
        <v>1374086.0</v>
      </c>
      <c r="J36" s="77">
        <v>46257.833333333336</v>
      </c>
      <c r="K36" s="78">
        <f t="shared" si="9"/>
        <v>29.70493646</v>
      </c>
      <c r="L36" s="79">
        <f t="shared" si="10"/>
        <v>11.88577988</v>
      </c>
      <c r="M36" s="80">
        <f t="shared" si="11"/>
        <v>549459.3333</v>
      </c>
      <c r="N36" s="77">
        <v>776802.0</v>
      </c>
      <c r="O36" s="77">
        <v>47057.166666666664</v>
      </c>
      <c r="P36" s="81">
        <f t="shared" si="12"/>
        <v>16.50762371</v>
      </c>
      <c r="Q36" s="82">
        <v>829620.0</v>
      </c>
      <c r="R36" s="77">
        <v>47157.083333333336</v>
      </c>
      <c r="S36" s="81">
        <f t="shared" si="13"/>
        <v>17.59269109</v>
      </c>
      <c r="T36" s="77">
        <v>829620.0</v>
      </c>
      <c r="U36" s="77">
        <v>47257.0</v>
      </c>
      <c r="V36" s="81">
        <f t="shared" si="14"/>
        <v>17.55549442</v>
      </c>
      <c r="W36" s="83">
        <f t="shared" si="15"/>
        <v>17.21860307</v>
      </c>
      <c r="X36" s="84">
        <f t="shared" si="16"/>
        <v>812014</v>
      </c>
      <c r="AD36" s="65"/>
      <c r="AG36" s="65"/>
      <c r="AJ36" s="65"/>
      <c r="AK36" s="65"/>
      <c r="AL36" s="68"/>
      <c r="AO36" s="65"/>
      <c r="AR36" s="65"/>
      <c r="AU36" s="65"/>
      <c r="AV36" s="65"/>
      <c r="AW36" s="68"/>
    </row>
    <row r="37" ht="15.75" customHeight="1">
      <c r="A37" s="29">
        <v>20202.0</v>
      </c>
      <c r="B37" s="76" t="s">
        <v>43</v>
      </c>
      <c r="C37" s="77">
        <v>5000.0</v>
      </c>
      <c r="D37" s="77">
        <v>13136.0</v>
      </c>
      <c r="E37" s="78">
        <f t="shared" si="7"/>
        <v>0.3806333739</v>
      </c>
      <c r="F37" s="77">
        <v>10000.0</v>
      </c>
      <c r="G37" s="77">
        <v>13454.083333333334</v>
      </c>
      <c r="H37" s="78">
        <f t="shared" si="8"/>
        <v>0.7432687722</v>
      </c>
      <c r="I37" s="77">
        <v>10000.0</v>
      </c>
      <c r="J37" s="77">
        <v>13772.166666666666</v>
      </c>
      <c r="K37" s="78">
        <f t="shared" si="9"/>
        <v>0.7261021626</v>
      </c>
      <c r="L37" s="79">
        <f t="shared" si="10"/>
        <v>0.6166681029</v>
      </c>
      <c r="M37" s="80">
        <f t="shared" si="11"/>
        <v>8333.333333</v>
      </c>
      <c r="N37" s="77">
        <v>22500.0</v>
      </c>
      <c r="O37" s="77">
        <v>16316.833333333332</v>
      </c>
      <c r="P37" s="81">
        <f t="shared" si="12"/>
        <v>1.378944035</v>
      </c>
      <c r="Q37" s="82">
        <v>0.0</v>
      </c>
      <c r="R37" s="77">
        <v>16634.916666666668</v>
      </c>
      <c r="S37" s="81">
        <f t="shared" si="13"/>
        <v>0</v>
      </c>
      <c r="T37" s="77">
        <v>60000.0</v>
      </c>
      <c r="U37" s="77">
        <v>16953.0</v>
      </c>
      <c r="V37" s="81">
        <f t="shared" si="14"/>
        <v>3.539196602</v>
      </c>
      <c r="W37" s="83">
        <f t="shared" si="15"/>
        <v>1.639380213</v>
      </c>
      <c r="X37" s="84">
        <f t="shared" si="16"/>
        <v>27500</v>
      </c>
      <c r="AD37" s="65"/>
      <c r="AG37" s="65"/>
      <c r="AJ37" s="65"/>
      <c r="AK37" s="65"/>
      <c r="AL37" s="68"/>
      <c r="AO37" s="65"/>
      <c r="AR37" s="65"/>
      <c r="AU37" s="65"/>
      <c r="AV37" s="65"/>
      <c r="AW37" s="68"/>
    </row>
    <row r="38" ht="15.75" customHeight="1">
      <c r="A38" s="29">
        <v>20203.0</v>
      </c>
      <c r="B38" s="76" t="s">
        <v>44</v>
      </c>
      <c r="C38" s="77">
        <v>0.0</v>
      </c>
      <c r="D38" s="77">
        <v>5003.0</v>
      </c>
      <c r="E38" s="78">
        <f t="shared" si="7"/>
        <v>0</v>
      </c>
      <c r="F38" s="77">
        <v>0.0</v>
      </c>
      <c r="G38" s="77">
        <v>5188.25</v>
      </c>
      <c r="H38" s="78">
        <f t="shared" si="8"/>
        <v>0</v>
      </c>
      <c r="I38" s="77">
        <v>70000.0</v>
      </c>
      <c r="J38" s="77">
        <v>5373.5</v>
      </c>
      <c r="K38" s="78">
        <f t="shared" si="9"/>
        <v>13.02689123</v>
      </c>
      <c r="L38" s="79">
        <f t="shared" si="10"/>
        <v>4.342297075</v>
      </c>
      <c r="M38" s="80">
        <f t="shared" si="11"/>
        <v>23333.33333</v>
      </c>
      <c r="N38" s="77">
        <v>40000.0</v>
      </c>
      <c r="O38" s="77">
        <v>6855.5</v>
      </c>
      <c r="P38" s="81">
        <f t="shared" si="12"/>
        <v>5.834731238</v>
      </c>
      <c r="Q38" s="82">
        <v>35000.0</v>
      </c>
      <c r="R38" s="77">
        <v>7040.75</v>
      </c>
      <c r="S38" s="81">
        <f t="shared" si="13"/>
        <v>4.971061322</v>
      </c>
      <c r="T38" s="77">
        <v>35000.0</v>
      </c>
      <c r="U38" s="77">
        <v>7226.0</v>
      </c>
      <c r="V38" s="81">
        <f t="shared" si="14"/>
        <v>4.84362026</v>
      </c>
      <c r="W38" s="83">
        <f t="shared" si="15"/>
        <v>5.21647094</v>
      </c>
      <c r="X38" s="84">
        <f t="shared" si="16"/>
        <v>36666.66667</v>
      </c>
      <c r="AD38" s="65"/>
      <c r="AG38" s="65"/>
      <c r="AJ38" s="65"/>
      <c r="AK38" s="65"/>
      <c r="AL38" s="68"/>
      <c r="AO38" s="65"/>
      <c r="AR38" s="65"/>
      <c r="AU38" s="65"/>
      <c r="AV38" s="65"/>
      <c r="AW38" s="68"/>
    </row>
    <row r="39" ht="15.75" customHeight="1">
      <c r="A39" s="29">
        <v>20204.0</v>
      </c>
      <c r="B39" s="76" t="s">
        <v>45</v>
      </c>
      <c r="C39" s="77">
        <v>39584.0</v>
      </c>
      <c r="D39" s="77">
        <v>7948.0</v>
      </c>
      <c r="E39" s="78">
        <f t="shared" si="7"/>
        <v>4.980372421</v>
      </c>
      <c r="F39" s="77">
        <v>24294.0</v>
      </c>
      <c r="G39" s="77">
        <v>8008.916666666667</v>
      </c>
      <c r="H39" s="78">
        <f t="shared" si="8"/>
        <v>3.033369057</v>
      </c>
      <c r="I39" s="77">
        <v>32000.0</v>
      </c>
      <c r="J39" s="77">
        <v>8069.833333333333</v>
      </c>
      <c r="K39" s="78">
        <f t="shared" si="9"/>
        <v>3.965385489</v>
      </c>
      <c r="L39" s="79">
        <f t="shared" si="10"/>
        <v>3.993042322</v>
      </c>
      <c r="M39" s="80">
        <f t="shared" si="11"/>
        <v>31959.33333</v>
      </c>
      <c r="N39" s="77">
        <v>60000.0</v>
      </c>
      <c r="O39" s="77">
        <v>8557.166666666666</v>
      </c>
      <c r="P39" s="81">
        <f t="shared" si="12"/>
        <v>7.011666634</v>
      </c>
      <c r="Q39" s="82">
        <v>60000.0</v>
      </c>
      <c r="R39" s="77">
        <v>8618.083333333334</v>
      </c>
      <c r="S39" s="81">
        <f t="shared" si="13"/>
        <v>6.962104876</v>
      </c>
      <c r="T39" s="77">
        <v>60000.0</v>
      </c>
      <c r="U39" s="77">
        <v>8679.0</v>
      </c>
      <c r="V39" s="81">
        <f t="shared" si="14"/>
        <v>6.913238852</v>
      </c>
      <c r="W39" s="83">
        <f t="shared" si="15"/>
        <v>6.962336788</v>
      </c>
      <c r="X39" s="84">
        <f t="shared" si="16"/>
        <v>60000</v>
      </c>
      <c r="AD39" s="65"/>
      <c r="AG39" s="65"/>
      <c r="AJ39" s="65"/>
      <c r="AK39" s="65"/>
      <c r="AL39" s="68"/>
      <c r="AO39" s="65"/>
      <c r="AR39" s="65"/>
      <c r="AU39" s="65"/>
      <c r="AV39" s="65"/>
      <c r="AW39" s="68"/>
    </row>
    <row r="40" ht="15.75" customHeight="1">
      <c r="A40" s="29">
        <v>20205.0</v>
      </c>
      <c r="B40" s="76" t="s">
        <v>46</v>
      </c>
      <c r="C40" s="77">
        <v>0.0</v>
      </c>
      <c r="D40" s="77">
        <v>8562.0</v>
      </c>
      <c r="E40" s="78">
        <f t="shared" si="7"/>
        <v>0</v>
      </c>
      <c r="F40" s="77">
        <v>0.0</v>
      </c>
      <c r="G40" s="77">
        <v>8622.416666666666</v>
      </c>
      <c r="H40" s="78">
        <f t="shared" si="8"/>
        <v>0</v>
      </c>
      <c r="I40" s="77">
        <v>50000.0</v>
      </c>
      <c r="J40" s="77">
        <v>8682.833333333334</v>
      </c>
      <c r="K40" s="78">
        <f t="shared" si="9"/>
        <v>5.758488972</v>
      </c>
      <c r="L40" s="79">
        <f t="shared" si="10"/>
        <v>1.919496324</v>
      </c>
      <c r="M40" s="80">
        <f t="shared" si="11"/>
        <v>16666.66667</v>
      </c>
      <c r="N40" s="77">
        <v>105600.0</v>
      </c>
      <c r="O40" s="77">
        <v>9166.166666666666</v>
      </c>
      <c r="P40" s="81">
        <f t="shared" si="12"/>
        <v>11.5206284</v>
      </c>
      <c r="Q40" s="82">
        <v>105600.0</v>
      </c>
      <c r="R40" s="77">
        <v>9226.583333333334</v>
      </c>
      <c r="S40" s="81">
        <f t="shared" si="13"/>
        <v>11.44519008</v>
      </c>
      <c r="T40" s="77">
        <v>105600.0</v>
      </c>
      <c r="U40" s="77">
        <v>9287.0</v>
      </c>
      <c r="V40" s="81">
        <f t="shared" si="14"/>
        <v>11.37073328</v>
      </c>
      <c r="W40" s="83">
        <f t="shared" si="15"/>
        <v>11.44551725</v>
      </c>
      <c r="X40" s="84">
        <f t="shared" si="16"/>
        <v>105600</v>
      </c>
      <c r="AD40" s="65"/>
      <c r="AG40" s="65"/>
      <c r="AJ40" s="65"/>
      <c r="AK40" s="65"/>
      <c r="AL40" s="68"/>
      <c r="AO40" s="65"/>
      <c r="AR40" s="65"/>
      <c r="AU40" s="65"/>
      <c r="AV40" s="65"/>
      <c r="AW40" s="68"/>
    </row>
    <row r="41" ht="15.75" customHeight="1">
      <c r="A41" s="29">
        <v>20206.0</v>
      </c>
      <c r="B41" s="76" t="s">
        <v>47</v>
      </c>
      <c r="C41" s="77">
        <v>0.0</v>
      </c>
      <c r="D41" s="77">
        <v>3927.0</v>
      </c>
      <c r="E41" s="78">
        <f t="shared" si="7"/>
        <v>0</v>
      </c>
      <c r="F41" s="77">
        <v>0.0</v>
      </c>
      <c r="G41" s="77">
        <v>4026.25</v>
      </c>
      <c r="H41" s="78">
        <f t="shared" si="8"/>
        <v>0</v>
      </c>
      <c r="I41" s="77">
        <v>9460.0</v>
      </c>
      <c r="J41" s="77">
        <v>4125.5</v>
      </c>
      <c r="K41" s="78">
        <f t="shared" si="9"/>
        <v>2.293055387</v>
      </c>
      <c r="L41" s="79">
        <f t="shared" si="10"/>
        <v>0.7643517957</v>
      </c>
      <c r="M41" s="80">
        <f t="shared" si="11"/>
        <v>3153.333333</v>
      </c>
      <c r="N41" s="77">
        <v>10000.0</v>
      </c>
      <c r="O41" s="77">
        <v>4919.5</v>
      </c>
      <c r="P41" s="81">
        <f t="shared" si="12"/>
        <v>2.032726903</v>
      </c>
      <c r="Q41" s="82">
        <v>5000.0</v>
      </c>
      <c r="R41" s="77">
        <v>5018.75</v>
      </c>
      <c r="S41" s="81">
        <f t="shared" si="13"/>
        <v>0.99626401</v>
      </c>
      <c r="T41" s="77">
        <v>20000.0</v>
      </c>
      <c r="U41" s="77">
        <v>5118.0</v>
      </c>
      <c r="V41" s="81">
        <f t="shared" si="14"/>
        <v>3.907776475</v>
      </c>
      <c r="W41" s="83">
        <f t="shared" si="15"/>
        <v>2.312255796</v>
      </c>
      <c r="X41" s="84">
        <f t="shared" si="16"/>
        <v>11666.66667</v>
      </c>
      <c r="AD41" s="65"/>
      <c r="AG41" s="65"/>
      <c r="AJ41" s="65"/>
      <c r="AK41" s="65"/>
      <c r="AL41" s="68"/>
      <c r="AO41" s="65"/>
      <c r="AR41" s="65"/>
      <c r="AU41" s="65"/>
      <c r="AV41" s="65"/>
      <c r="AW41" s="68"/>
    </row>
    <row r="42" ht="15.75" customHeight="1">
      <c r="A42" s="29">
        <v>20301.0</v>
      </c>
      <c r="B42" s="76" t="s">
        <v>48</v>
      </c>
      <c r="C42" s="77">
        <v>10000.0</v>
      </c>
      <c r="D42" s="77">
        <v>10647.0</v>
      </c>
      <c r="E42" s="78">
        <f t="shared" si="7"/>
        <v>0.9392317085</v>
      </c>
      <c r="F42" s="77">
        <v>15000.0</v>
      </c>
      <c r="G42" s="77">
        <v>10889.0</v>
      </c>
      <c r="H42" s="78">
        <f t="shared" si="8"/>
        <v>1.377536964</v>
      </c>
      <c r="I42" s="77">
        <v>0.0</v>
      </c>
      <c r="J42" s="77">
        <v>11131.0</v>
      </c>
      <c r="K42" s="78">
        <f t="shared" si="9"/>
        <v>0</v>
      </c>
      <c r="L42" s="79">
        <f t="shared" si="10"/>
        <v>0.7722562241</v>
      </c>
      <c r="M42" s="80">
        <f t="shared" si="11"/>
        <v>8333.333333</v>
      </c>
      <c r="N42" s="77">
        <v>10000.0</v>
      </c>
      <c r="O42" s="77">
        <v>13067.0</v>
      </c>
      <c r="P42" s="81">
        <f t="shared" si="12"/>
        <v>0.7652865998</v>
      </c>
      <c r="Q42" s="82">
        <v>70000.0</v>
      </c>
      <c r="R42" s="77">
        <v>13309.0</v>
      </c>
      <c r="S42" s="81">
        <f t="shared" si="13"/>
        <v>5.259598768</v>
      </c>
      <c r="T42" s="77">
        <v>67000.0</v>
      </c>
      <c r="U42" s="77">
        <v>13551.0</v>
      </c>
      <c r="V42" s="81">
        <f t="shared" si="14"/>
        <v>4.944284555</v>
      </c>
      <c r="W42" s="83">
        <f t="shared" si="15"/>
        <v>3.656389974</v>
      </c>
      <c r="X42" s="84">
        <f t="shared" si="16"/>
        <v>49000</v>
      </c>
      <c r="AD42" s="65"/>
      <c r="AG42" s="65"/>
      <c r="AJ42" s="65"/>
      <c r="AK42" s="65"/>
      <c r="AL42" s="68"/>
      <c r="AO42" s="65"/>
      <c r="AR42" s="65"/>
      <c r="AU42" s="65"/>
      <c r="AV42" s="65"/>
      <c r="AW42" s="68"/>
    </row>
    <row r="43" ht="15.75" customHeight="1">
      <c r="A43" s="29">
        <v>20302.0</v>
      </c>
      <c r="B43" s="76" t="s">
        <v>49</v>
      </c>
      <c r="C43" s="77">
        <v>0.0</v>
      </c>
      <c r="D43" s="77">
        <v>14687.0</v>
      </c>
      <c r="E43" s="78">
        <f t="shared" si="7"/>
        <v>0</v>
      </c>
      <c r="F43" s="77">
        <v>0.0</v>
      </c>
      <c r="G43" s="77">
        <v>14760.583333333334</v>
      </c>
      <c r="H43" s="78">
        <f t="shared" si="8"/>
        <v>0</v>
      </c>
      <c r="I43" s="77">
        <v>0.0</v>
      </c>
      <c r="J43" s="77">
        <v>14834.166666666666</v>
      </c>
      <c r="K43" s="78">
        <f t="shared" si="9"/>
        <v>0</v>
      </c>
      <c r="L43" s="79">
        <f t="shared" si="10"/>
        <v>0</v>
      </c>
      <c r="M43" s="80">
        <f t="shared" si="11"/>
        <v>0</v>
      </c>
      <c r="N43" s="77">
        <v>30000.0</v>
      </c>
      <c r="O43" s="77">
        <v>15422.833333333334</v>
      </c>
      <c r="P43" s="81">
        <f t="shared" si="12"/>
        <v>1.945167879</v>
      </c>
      <c r="Q43" s="82">
        <v>30000.0</v>
      </c>
      <c r="R43" s="77">
        <v>15496.416666666666</v>
      </c>
      <c r="S43" s="81">
        <f t="shared" si="13"/>
        <v>1.935931425</v>
      </c>
      <c r="T43" s="77">
        <v>15000.0</v>
      </c>
      <c r="U43" s="77">
        <v>15570.0</v>
      </c>
      <c r="V43" s="81">
        <f t="shared" si="14"/>
        <v>0.9633911368</v>
      </c>
      <c r="W43" s="83">
        <f t="shared" si="15"/>
        <v>1.614830147</v>
      </c>
      <c r="X43" s="84">
        <f t="shared" si="16"/>
        <v>25000</v>
      </c>
      <c r="AD43" s="65"/>
      <c r="AG43" s="65"/>
      <c r="AJ43" s="65"/>
      <c r="AK43" s="65"/>
      <c r="AL43" s="68"/>
      <c r="AO43" s="65"/>
      <c r="AR43" s="65"/>
      <c r="AU43" s="65"/>
      <c r="AV43" s="65"/>
      <c r="AW43" s="68"/>
    </row>
    <row r="44" ht="15.75" customHeight="1">
      <c r="A44" s="29">
        <v>20303.0</v>
      </c>
      <c r="B44" s="76" t="s">
        <v>50</v>
      </c>
      <c r="C44" s="77">
        <v>0.0</v>
      </c>
      <c r="D44" s="77">
        <v>9879.0</v>
      </c>
      <c r="E44" s="78">
        <f t="shared" si="7"/>
        <v>0</v>
      </c>
      <c r="F44" s="77">
        <v>0.0</v>
      </c>
      <c r="G44" s="77">
        <v>10074.0</v>
      </c>
      <c r="H44" s="78">
        <f t="shared" si="8"/>
        <v>0</v>
      </c>
      <c r="I44" s="77">
        <v>0.0</v>
      </c>
      <c r="J44" s="77">
        <v>10269.0</v>
      </c>
      <c r="K44" s="78">
        <f t="shared" si="9"/>
        <v>0</v>
      </c>
      <c r="L44" s="79">
        <f t="shared" si="10"/>
        <v>0</v>
      </c>
      <c r="M44" s="80">
        <f t="shared" si="11"/>
        <v>0</v>
      </c>
      <c r="N44" s="77">
        <v>5000.0</v>
      </c>
      <c r="O44" s="77">
        <v>11829.0</v>
      </c>
      <c r="P44" s="81">
        <f t="shared" si="12"/>
        <v>0.4226899992</v>
      </c>
      <c r="Q44" s="82">
        <v>0.0</v>
      </c>
      <c r="R44" s="77">
        <v>12024.0</v>
      </c>
      <c r="S44" s="81">
        <f t="shared" si="13"/>
        <v>0</v>
      </c>
      <c r="T44" s="77">
        <v>0.0</v>
      </c>
      <c r="U44" s="77">
        <v>12219.0</v>
      </c>
      <c r="V44" s="81">
        <f t="shared" si="14"/>
        <v>0</v>
      </c>
      <c r="W44" s="83">
        <f t="shared" si="15"/>
        <v>0.1408966664</v>
      </c>
      <c r="X44" s="84">
        <f t="shared" si="16"/>
        <v>1666.666667</v>
      </c>
      <c r="AD44" s="65"/>
      <c r="AG44" s="65"/>
      <c r="AJ44" s="65"/>
      <c r="AK44" s="65"/>
      <c r="AL44" s="68"/>
      <c r="AO44" s="65"/>
      <c r="AR44" s="65"/>
      <c r="AU44" s="65"/>
      <c r="AV44" s="65"/>
      <c r="AW44" s="68"/>
    </row>
    <row r="45" ht="15.75" customHeight="1">
      <c r="A45" s="29">
        <v>20304.0</v>
      </c>
      <c r="B45" s="76" t="s">
        <v>51</v>
      </c>
      <c r="C45" s="77">
        <v>0.0</v>
      </c>
      <c r="D45" s="77">
        <v>3880.0</v>
      </c>
      <c r="E45" s="78">
        <f t="shared" si="7"/>
        <v>0</v>
      </c>
      <c r="F45" s="77">
        <v>0.0</v>
      </c>
      <c r="G45" s="77">
        <v>3993.1666666666665</v>
      </c>
      <c r="H45" s="78">
        <f t="shared" si="8"/>
        <v>0</v>
      </c>
      <c r="I45" s="77">
        <v>0.0</v>
      </c>
      <c r="J45" s="77">
        <v>4106.333333333333</v>
      </c>
      <c r="K45" s="78">
        <f t="shared" si="9"/>
        <v>0</v>
      </c>
      <c r="L45" s="79">
        <f t="shared" si="10"/>
        <v>0</v>
      </c>
      <c r="M45" s="80">
        <f t="shared" si="11"/>
        <v>0</v>
      </c>
      <c r="N45" s="77">
        <v>10000.0</v>
      </c>
      <c r="O45" s="77">
        <v>5011.666666666667</v>
      </c>
      <c r="P45" s="81">
        <f t="shared" si="12"/>
        <v>1.995344197</v>
      </c>
      <c r="Q45" s="82">
        <v>10000.0</v>
      </c>
      <c r="R45" s="77">
        <v>5124.833333333334</v>
      </c>
      <c r="S45" s="81">
        <f t="shared" si="13"/>
        <v>1.951282969</v>
      </c>
      <c r="T45" s="77">
        <v>5000.0</v>
      </c>
      <c r="U45" s="77">
        <v>5238.0</v>
      </c>
      <c r="V45" s="81">
        <f t="shared" si="14"/>
        <v>0.9545628102</v>
      </c>
      <c r="W45" s="83">
        <f t="shared" si="15"/>
        <v>1.633729992</v>
      </c>
      <c r="X45" s="84">
        <f t="shared" si="16"/>
        <v>8333.333333</v>
      </c>
      <c r="AD45" s="65"/>
      <c r="AG45" s="65"/>
      <c r="AJ45" s="65"/>
      <c r="AK45" s="65"/>
      <c r="AL45" s="68"/>
      <c r="AO45" s="65"/>
      <c r="AR45" s="65"/>
      <c r="AU45" s="65"/>
      <c r="AV45" s="65"/>
      <c r="AW45" s="68"/>
    </row>
    <row r="46" ht="15.75" customHeight="1">
      <c r="A46" s="29">
        <v>20305.0</v>
      </c>
      <c r="B46" s="76" t="s">
        <v>52</v>
      </c>
      <c r="C46" s="77">
        <v>5000.0</v>
      </c>
      <c r="D46" s="77">
        <v>3246.0</v>
      </c>
      <c r="E46" s="78">
        <f t="shared" si="7"/>
        <v>1.540357363</v>
      </c>
      <c r="F46" s="77">
        <v>5000.0</v>
      </c>
      <c r="G46" s="77">
        <v>3327.25</v>
      </c>
      <c r="H46" s="78">
        <f t="shared" si="8"/>
        <v>1.502742505</v>
      </c>
      <c r="I46" s="77">
        <v>0.0</v>
      </c>
      <c r="J46" s="77">
        <v>3408.5</v>
      </c>
      <c r="K46" s="78">
        <f t="shared" si="9"/>
        <v>0</v>
      </c>
      <c r="L46" s="79">
        <f t="shared" si="10"/>
        <v>1.014366623</v>
      </c>
      <c r="M46" s="80">
        <f t="shared" si="11"/>
        <v>3333.333333</v>
      </c>
      <c r="N46" s="77">
        <v>3000.0</v>
      </c>
      <c r="O46" s="77">
        <v>4058.5</v>
      </c>
      <c r="P46" s="81">
        <f t="shared" si="12"/>
        <v>0.7391893557</v>
      </c>
      <c r="Q46" s="82">
        <v>3000.0</v>
      </c>
      <c r="R46" s="77">
        <v>4139.75</v>
      </c>
      <c r="S46" s="81">
        <f t="shared" si="13"/>
        <v>0.7246814421</v>
      </c>
      <c r="T46" s="77">
        <v>3000.0</v>
      </c>
      <c r="U46" s="77">
        <v>4221.0</v>
      </c>
      <c r="V46" s="81">
        <f t="shared" si="14"/>
        <v>0.710732054</v>
      </c>
      <c r="W46" s="83">
        <f t="shared" si="15"/>
        <v>0.7248676173</v>
      </c>
      <c r="X46" s="84">
        <f t="shared" si="16"/>
        <v>3000</v>
      </c>
      <c r="AD46" s="65"/>
      <c r="AG46" s="65"/>
      <c r="AJ46" s="65"/>
      <c r="AK46" s="65"/>
      <c r="AL46" s="68"/>
      <c r="AO46" s="65"/>
      <c r="AR46" s="65"/>
      <c r="AU46" s="65"/>
      <c r="AV46" s="65"/>
      <c r="AW46" s="68"/>
    </row>
    <row r="47" ht="15.75" customHeight="1">
      <c r="A47" s="29">
        <v>20306.0</v>
      </c>
      <c r="B47" s="76" t="s">
        <v>53</v>
      </c>
      <c r="C47" s="77">
        <v>2000.0</v>
      </c>
      <c r="D47" s="77">
        <v>5069.0</v>
      </c>
      <c r="E47" s="78">
        <f t="shared" si="7"/>
        <v>0.3945551391</v>
      </c>
      <c r="F47" s="77">
        <v>4000.0</v>
      </c>
      <c r="G47" s="77">
        <v>5183.416666666667</v>
      </c>
      <c r="H47" s="78">
        <f t="shared" si="8"/>
        <v>0.7716917734</v>
      </c>
      <c r="I47" s="77">
        <v>0.0</v>
      </c>
      <c r="J47" s="77">
        <v>5297.833333333333</v>
      </c>
      <c r="K47" s="78">
        <f t="shared" si="9"/>
        <v>0</v>
      </c>
      <c r="L47" s="79">
        <f t="shared" si="10"/>
        <v>0.3887489708</v>
      </c>
      <c r="M47" s="80">
        <f t="shared" si="11"/>
        <v>2000</v>
      </c>
      <c r="N47" s="77">
        <v>30968.0</v>
      </c>
      <c r="O47" s="77">
        <v>6213.166666666667</v>
      </c>
      <c r="P47" s="81">
        <f t="shared" si="12"/>
        <v>4.984253869</v>
      </c>
      <c r="Q47" s="82">
        <v>30968.0</v>
      </c>
      <c r="R47" s="77">
        <v>6327.583333333334</v>
      </c>
      <c r="S47" s="81">
        <f t="shared" si="13"/>
        <v>4.894127563</v>
      </c>
      <c r="T47" s="77">
        <v>31968.0</v>
      </c>
      <c r="U47" s="77">
        <v>6442.0</v>
      </c>
      <c r="V47" s="81">
        <f t="shared" si="14"/>
        <v>4.962434027</v>
      </c>
      <c r="W47" s="83">
        <f t="shared" si="15"/>
        <v>4.946938486</v>
      </c>
      <c r="X47" s="84">
        <f t="shared" si="16"/>
        <v>31301.33333</v>
      </c>
      <c r="AD47" s="65"/>
      <c r="AG47" s="65"/>
      <c r="AJ47" s="65"/>
      <c r="AK47" s="65"/>
      <c r="AL47" s="68"/>
      <c r="AO47" s="65"/>
      <c r="AR47" s="65"/>
      <c r="AU47" s="65"/>
      <c r="AV47" s="65"/>
      <c r="AW47" s="68"/>
    </row>
    <row r="48" ht="15.75" customHeight="1">
      <c r="A48" s="29">
        <v>20307.0</v>
      </c>
      <c r="B48" s="76" t="s">
        <v>54</v>
      </c>
      <c r="C48" s="77">
        <v>0.0</v>
      </c>
      <c r="D48" s="76">
        <v>619.0</v>
      </c>
      <c r="E48" s="78">
        <f t="shared" si="7"/>
        <v>0</v>
      </c>
      <c r="F48" s="77">
        <v>0.0</v>
      </c>
      <c r="G48" s="78">
        <v>902.5833333333333</v>
      </c>
      <c r="H48" s="78">
        <f t="shared" si="8"/>
        <v>0</v>
      </c>
      <c r="I48" s="77">
        <v>0.0</v>
      </c>
      <c r="J48" s="78">
        <v>1186.1666666666665</v>
      </c>
      <c r="K48" s="78">
        <f t="shared" si="9"/>
        <v>0</v>
      </c>
      <c r="L48" s="79">
        <f t="shared" si="10"/>
        <v>0</v>
      </c>
      <c r="M48" s="80">
        <f t="shared" si="11"/>
        <v>0</v>
      </c>
      <c r="N48" s="77">
        <v>0.0</v>
      </c>
      <c r="O48" s="76">
        <v>3454.833333333333</v>
      </c>
      <c r="P48" s="81">
        <f t="shared" si="12"/>
        <v>0</v>
      </c>
      <c r="Q48" s="82">
        <v>1000.0</v>
      </c>
      <c r="R48" s="76">
        <v>3738.4166666666665</v>
      </c>
      <c r="S48" s="81">
        <f t="shared" si="13"/>
        <v>0.2674929226</v>
      </c>
      <c r="T48" s="77">
        <v>1000.0</v>
      </c>
      <c r="U48" s="77">
        <v>4022.0</v>
      </c>
      <c r="V48" s="81">
        <f t="shared" si="14"/>
        <v>0.2486325211</v>
      </c>
      <c r="W48" s="83">
        <f t="shared" si="15"/>
        <v>0.1720418146</v>
      </c>
      <c r="X48" s="84">
        <f t="shared" si="16"/>
        <v>666.6666667</v>
      </c>
      <c r="AD48" s="65"/>
      <c r="AG48" s="65"/>
      <c r="AJ48" s="65"/>
      <c r="AK48" s="65"/>
      <c r="AL48" s="68"/>
      <c r="AO48" s="65"/>
      <c r="AR48" s="65"/>
      <c r="AU48" s="65"/>
      <c r="AV48" s="65"/>
      <c r="AW48" s="68"/>
    </row>
    <row r="49" ht="15.75" customHeight="1">
      <c r="A49" s="29">
        <v>20308.0</v>
      </c>
      <c r="B49" s="76" t="s">
        <v>55</v>
      </c>
      <c r="C49" s="77">
        <v>0.0</v>
      </c>
      <c r="D49" s="77">
        <v>7289.0</v>
      </c>
      <c r="E49" s="78">
        <f t="shared" si="7"/>
        <v>0</v>
      </c>
      <c r="F49" s="77">
        <v>0.0</v>
      </c>
      <c r="G49" s="77">
        <v>7351.333333333333</v>
      </c>
      <c r="H49" s="78">
        <f t="shared" si="8"/>
        <v>0</v>
      </c>
      <c r="I49" s="77">
        <v>0.0</v>
      </c>
      <c r="J49" s="77">
        <v>7413.666666666667</v>
      </c>
      <c r="K49" s="78">
        <f t="shared" si="9"/>
        <v>0</v>
      </c>
      <c r="L49" s="79">
        <f t="shared" si="10"/>
        <v>0</v>
      </c>
      <c r="M49" s="80">
        <f t="shared" si="11"/>
        <v>0</v>
      </c>
      <c r="N49" s="77">
        <v>10000.0</v>
      </c>
      <c r="O49" s="77">
        <v>7912.333333333333</v>
      </c>
      <c r="P49" s="81">
        <f t="shared" si="12"/>
        <v>1.263849686</v>
      </c>
      <c r="Q49" s="82">
        <v>10000.0</v>
      </c>
      <c r="R49" s="77">
        <v>7974.666666666667</v>
      </c>
      <c r="S49" s="81">
        <f t="shared" si="13"/>
        <v>1.253970908</v>
      </c>
      <c r="T49" s="77">
        <v>10000.0</v>
      </c>
      <c r="U49" s="77">
        <v>8037.0</v>
      </c>
      <c r="V49" s="81">
        <f t="shared" si="14"/>
        <v>1.244245365</v>
      </c>
      <c r="W49" s="83">
        <f t="shared" si="15"/>
        <v>1.254021986</v>
      </c>
      <c r="X49" s="84">
        <f t="shared" si="16"/>
        <v>10000</v>
      </c>
      <c r="AD49" s="65"/>
      <c r="AG49" s="65"/>
      <c r="AJ49" s="65"/>
      <c r="AK49" s="65"/>
      <c r="AL49" s="68"/>
      <c r="AO49" s="65"/>
      <c r="AR49" s="65"/>
      <c r="AU49" s="65"/>
      <c r="AV49" s="65"/>
      <c r="AW49" s="68"/>
    </row>
    <row r="50" ht="15.75" customHeight="1">
      <c r="A50" s="29">
        <v>20401.0</v>
      </c>
      <c r="B50" s="76" t="s">
        <v>56</v>
      </c>
      <c r="C50" s="77">
        <v>0.0</v>
      </c>
      <c r="D50" s="77">
        <v>11290.0</v>
      </c>
      <c r="E50" s="78">
        <f t="shared" si="7"/>
        <v>0</v>
      </c>
      <c r="F50" s="77">
        <v>40000.0</v>
      </c>
      <c r="G50" s="77">
        <v>11516.833333333334</v>
      </c>
      <c r="H50" s="78">
        <f t="shared" si="8"/>
        <v>3.473176944</v>
      </c>
      <c r="I50" s="77">
        <v>0.0</v>
      </c>
      <c r="J50" s="77">
        <v>11743.666666666666</v>
      </c>
      <c r="K50" s="78">
        <f t="shared" si="9"/>
        <v>0</v>
      </c>
      <c r="L50" s="79">
        <f t="shared" si="10"/>
        <v>1.157725648</v>
      </c>
      <c r="M50" s="80">
        <f t="shared" si="11"/>
        <v>13333.33333</v>
      </c>
      <c r="N50" s="77">
        <v>70000.0</v>
      </c>
      <c r="O50" s="77">
        <v>13558.333333333334</v>
      </c>
      <c r="P50" s="81">
        <f t="shared" si="12"/>
        <v>5.16287646</v>
      </c>
      <c r="Q50" s="82">
        <v>65000.0</v>
      </c>
      <c r="R50" s="77">
        <v>13785.166666666668</v>
      </c>
      <c r="S50" s="81">
        <f t="shared" si="13"/>
        <v>4.715213212</v>
      </c>
      <c r="T50" s="77">
        <v>388871.0</v>
      </c>
      <c r="U50" s="77">
        <v>14012.0</v>
      </c>
      <c r="V50" s="81">
        <f t="shared" si="14"/>
        <v>27.75271196</v>
      </c>
      <c r="W50" s="83">
        <f t="shared" si="15"/>
        <v>12.54360054</v>
      </c>
      <c r="X50" s="84">
        <f t="shared" si="16"/>
        <v>174623.6667</v>
      </c>
      <c r="AD50" s="65"/>
      <c r="AG50" s="65"/>
      <c r="AJ50" s="65"/>
      <c r="AK50" s="65"/>
      <c r="AL50" s="68"/>
      <c r="AO50" s="65"/>
      <c r="AR50" s="65"/>
      <c r="AU50" s="65"/>
      <c r="AV50" s="65"/>
      <c r="AW50" s="68"/>
    </row>
    <row r="51" ht="15.75" customHeight="1">
      <c r="A51" s="29">
        <v>20402.0</v>
      </c>
      <c r="B51" s="76" t="s">
        <v>57</v>
      </c>
      <c r="C51" s="77">
        <v>20000.0</v>
      </c>
      <c r="D51" s="77">
        <v>15665.0</v>
      </c>
      <c r="E51" s="78">
        <f t="shared" si="7"/>
        <v>1.276731567</v>
      </c>
      <c r="F51" s="77">
        <v>0.0</v>
      </c>
      <c r="G51" s="77">
        <v>15843.833333333334</v>
      </c>
      <c r="H51" s="78">
        <f t="shared" si="8"/>
        <v>0</v>
      </c>
      <c r="I51" s="77">
        <v>0.0</v>
      </c>
      <c r="J51" s="77">
        <v>16022.666666666666</v>
      </c>
      <c r="K51" s="78">
        <f t="shared" si="9"/>
        <v>0</v>
      </c>
      <c r="L51" s="79">
        <f t="shared" si="10"/>
        <v>0.4255771891</v>
      </c>
      <c r="M51" s="80">
        <f t="shared" si="11"/>
        <v>6666.666667</v>
      </c>
      <c r="N51" s="77">
        <v>40000.0</v>
      </c>
      <c r="O51" s="77">
        <v>17453.333333333332</v>
      </c>
      <c r="P51" s="81">
        <f t="shared" si="12"/>
        <v>2.291825821</v>
      </c>
      <c r="Q51" s="82">
        <v>120000.0</v>
      </c>
      <c r="R51" s="77">
        <v>17632.166666666668</v>
      </c>
      <c r="S51" s="81">
        <f t="shared" si="13"/>
        <v>6.805743291</v>
      </c>
      <c r="T51" s="77">
        <v>120000.0</v>
      </c>
      <c r="U51" s="77">
        <v>17811.0</v>
      </c>
      <c r="V51" s="81">
        <f t="shared" si="14"/>
        <v>6.737409466</v>
      </c>
      <c r="W51" s="83">
        <f t="shared" si="15"/>
        <v>5.278326193</v>
      </c>
      <c r="X51" s="84">
        <f t="shared" si="16"/>
        <v>93333.33333</v>
      </c>
      <c r="AD51" s="65"/>
      <c r="AG51" s="65"/>
      <c r="AJ51" s="65"/>
      <c r="AK51" s="65"/>
      <c r="AL51" s="68"/>
      <c r="AO51" s="65"/>
      <c r="AR51" s="65"/>
      <c r="AU51" s="65"/>
      <c r="AV51" s="65"/>
      <c r="AW51" s="68"/>
    </row>
    <row r="52" ht="15.75" customHeight="1">
      <c r="A52" s="29">
        <v>20403.0</v>
      </c>
      <c r="B52" s="76" t="s">
        <v>58</v>
      </c>
      <c r="C52" s="77">
        <v>50000.0</v>
      </c>
      <c r="D52" s="77">
        <v>14589.0</v>
      </c>
      <c r="E52" s="78">
        <f t="shared" si="7"/>
        <v>3.427239701</v>
      </c>
      <c r="F52" s="77">
        <v>40000.0</v>
      </c>
      <c r="G52" s="77">
        <v>14817.916666666666</v>
      </c>
      <c r="H52" s="78">
        <f t="shared" si="8"/>
        <v>2.699434806</v>
      </c>
      <c r="I52" s="77">
        <v>0.0</v>
      </c>
      <c r="J52" s="77">
        <v>15046.833333333334</v>
      </c>
      <c r="K52" s="78">
        <f t="shared" si="9"/>
        <v>0</v>
      </c>
      <c r="L52" s="79">
        <f t="shared" si="10"/>
        <v>2.042224836</v>
      </c>
      <c r="M52" s="80">
        <f t="shared" si="11"/>
        <v>30000</v>
      </c>
      <c r="N52" s="77">
        <v>105000.0</v>
      </c>
      <c r="O52" s="77">
        <v>16878.166666666668</v>
      </c>
      <c r="P52" s="81">
        <f t="shared" si="12"/>
        <v>6.221054814</v>
      </c>
      <c r="Q52" s="82">
        <v>60000.0</v>
      </c>
      <c r="R52" s="77">
        <v>17107.083333333332</v>
      </c>
      <c r="S52" s="81">
        <f t="shared" si="13"/>
        <v>3.507319093</v>
      </c>
      <c r="T52" s="77">
        <v>70000.0</v>
      </c>
      <c r="U52" s="77">
        <v>17336.0</v>
      </c>
      <c r="V52" s="81">
        <f t="shared" si="14"/>
        <v>4.037840332</v>
      </c>
      <c r="W52" s="83">
        <f t="shared" si="15"/>
        <v>4.58873808</v>
      </c>
      <c r="X52" s="84">
        <f t="shared" si="16"/>
        <v>78333.33333</v>
      </c>
      <c r="AD52" s="65"/>
      <c r="AG52" s="65"/>
      <c r="AJ52" s="65"/>
      <c r="AK52" s="65"/>
      <c r="AL52" s="68"/>
      <c r="AO52" s="65"/>
      <c r="AR52" s="65"/>
      <c r="AU52" s="65"/>
      <c r="AV52" s="65"/>
      <c r="AW52" s="68"/>
    </row>
    <row r="53" ht="15.75" customHeight="1">
      <c r="A53" s="29">
        <v>20404.0</v>
      </c>
      <c r="B53" s="76" t="s">
        <v>59</v>
      </c>
      <c r="C53" s="77">
        <v>0.0</v>
      </c>
      <c r="D53" s="77">
        <v>5342.0</v>
      </c>
      <c r="E53" s="78">
        <f t="shared" si="7"/>
        <v>0</v>
      </c>
      <c r="F53" s="77">
        <v>0.0</v>
      </c>
      <c r="G53" s="77">
        <v>5368.333333333333</v>
      </c>
      <c r="H53" s="78">
        <f t="shared" si="8"/>
        <v>0</v>
      </c>
      <c r="I53" s="77">
        <v>0.0</v>
      </c>
      <c r="J53" s="77">
        <v>5394.666666666667</v>
      </c>
      <c r="K53" s="78">
        <f t="shared" si="9"/>
        <v>0</v>
      </c>
      <c r="L53" s="79">
        <f t="shared" si="10"/>
        <v>0</v>
      </c>
      <c r="M53" s="80">
        <f t="shared" si="11"/>
        <v>0</v>
      </c>
      <c r="N53" s="77">
        <v>30000.0</v>
      </c>
      <c r="O53" s="77">
        <v>5605.333333333333</v>
      </c>
      <c r="P53" s="81">
        <f t="shared" si="12"/>
        <v>5.352045671</v>
      </c>
      <c r="Q53" s="82">
        <v>22500.0</v>
      </c>
      <c r="R53" s="77">
        <v>5631.666666666667</v>
      </c>
      <c r="S53" s="81">
        <f t="shared" si="13"/>
        <v>3.995264871</v>
      </c>
      <c r="T53" s="77">
        <v>28344.0</v>
      </c>
      <c r="U53" s="77">
        <v>5658.0</v>
      </c>
      <c r="V53" s="81">
        <f t="shared" si="14"/>
        <v>5.009544008</v>
      </c>
      <c r="W53" s="83">
        <f t="shared" si="15"/>
        <v>4.785618184</v>
      </c>
      <c r="X53" s="84">
        <f t="shared" si="16"/>
        <v>26948</v>
      </c>
      <c r="AD53" s="65"/>
      <c r="AG53" s="65"/>
      <c r="AJ53" s="65"/>
      <c r="AK53" s="65"/>
      <c r="AL53" s="68"/>
      <c r="AO53" s="65"/>
      <c r="AR53" s="65"/>
      <c r="AU53" s="65"/>
      <c r="AV53" s="65"/>
      <c r="AW53" s="68"/>
    </row>
    <row r="54" ht="15.75" customHeight="1">
      <c r="A54" s="29">
        <v>20405.0</v>
      </c>
      <c r="B54" s="76" t="s">
        <v>60</v>
      </c>
      <c r="C54" s="77">
        <v>20000.0</v>
      </c>
      <c r="D54" s="77">
        <v>7186.0</v>
      </c>
      <c r="E54" s="78">
        <f t="shared" si="7"/>
        <v>2.783189535</v>
      </c>
      <c r="F54" s="77">
        <v>30000.0</v>
      </c>
      <c r="G54" s="77">
        <v>7323.583333333333</v>
      </c>
      <c r="H54" s="78">
        <f t="shared" si="8"/>
        <v>4.096355382</v>
      </c>
      <c r="I54" s="77">
        <v>0.0</v>
      </c>
      <c r="J54" s="77">
        <v>7461.166666666667</v>
      </c>
      <c r="K54" s="78">
        <f t="shared" si="9"/>
        <v>0</v>
      </c>
      <c r="L54" s="79">
        <f t="shared" si="10"/>
        <v>2.293181639</v>
      </c>
      <c r="M54" s="80">
        <f t="shared" si="11"/>
        <v>16666.66667</v>
      </c>
      <c r="N54" s="77">
        <v>0.0</v>
      </c>
      <c r="O54" s="77">
        <v>8561.833333333334</v>
      </c>
      <c r="P54" s="81">
        <f t="shared" si="12"/>
        <v>0</v>
      </c>
      <c r="Q54" s="82">
        <v>10000.0</v>
      </c>
      <c r="R54" s="77">
        <v>8699.416666666666</v>
      </c>
      <c r="S54" s="81">
        <f t="shared" si="13"/>
        <v>1.149502361</v>
      </c>
      <c r="T54" s="77">
        <v>20000.0</v>
      </c>
      <c r="U54" s="77">
        <v>8837.0</v>
      </c>
      <c r="V54" s="81">
        <f t="shared" si="14"/>
        <v>2.263211497</v>
      </c>
      <c r="W54" s="83">
        <f t="shared" si="15"/>
        <v>1.137571286</v>
      </c>
      <c r="X54" s="84">
        <f t="shared" si="16"/>
        <v>10000</v>
      </c>
      <c r="AD54" s="65"/>
      <c r="AG54" s="65"/>
      <c r="AJ54" s="65"/>
      <c r="AK54" s="65"/>
      <c r="AL54" s="68"/>
      <c r="AO54" s="65"/>
      <c r="AR54" s="65"/>
      <c r="AU54" s="65"/>
      <c r="AV54" s="65"/>
      <c r="AW54" s="68"/>
    </row>
    <row r="55" ht="15.75" customHeight="1">
      <c r="A55" s="29">
        <v>20501.0</v>
      </c>
      <c r="B55" s="76" t="s">
        <v>61</v>
      </c>
      <c r="C55" s="77">
        <v>20000.0</v>
      </c>
      <c r="D55" s="77">
        <v>11473.0</v>
      </c>
      <c r="E55" s="78">
        <f t="shared" si="7"/>
        <v>1.74322322</v>
      </c>
      <c r="F55" s="77">
        <v>15000.0</v>
      </c>
      <c r="G55" s="77">
        <v>12002.75</v>
      </c>
      <c r="H55" s="78">
        <f t="shared" si="8"/>
        <v>1.249713607</v>
      </c>
      <c r="I55" s="77">
        <v>0.0</v>
      </c>
      <c r="J55" s="77">
        <v>12532.5</v>
      </c>
      <c r="K55" s="78">
        <f t="shared" si="9"/>
        <v>0</v>
      </c>
      <c r="L55" s="79">
        <f t="shared" si="10"/>
        <v>0.997645609</v>
      </c>
      <c r="M55" s="80">
        <f t="shared" si="11"/>
        <v>11666.66667</v>
      </c>
      <c r="N55" s="77">
        <v>24000.0</v>
      </c>
      <c r="O55" s="77">
        <v>16770.5</v>
      </c>
      <c r="P55" s="81">
        <f t="shared" si="12"/>
        <v>1.431084345</v>
      </c>
      <c r="Q55" s="82">
        <v>24000.0</v>
      </c>
      <c r="R55" s="77">
        <v>17300.25</v>
      </c>
      <c r="S55" s="81">
        <f t="shared" si="13"/>
        <v>1.38726319</v>
      </c>
      <c r="T55" s="77">
        <v>24000.0</v>
      </c>
      <c r="U55" s="77">
        <v>17830.0</v>
      </c>
      <c r="V55" s="81">
        <f t="shared" si="14"/>
        <v>1.34604599</v>
      </c>
      <c r="W55" s="83">
        <f t="shared" si="15"/>
        <v>1.388131175</v>
      </c>
      <c r="X55" s="84">
        <f t="shared" si="16"/>
        <v>24000</v>
      </c>
      <c r="AD55" s="65"/>
      <c r="AG55" s="65"/>
      <c r="AJ55" s="65"/>
      <c r="AK55" s="65"/>
      <c r="AL55" s="68"/>
      <c r="AO55" s="65"/>
      <c r="AR55" s="65"/>
      <c r="AU55" s="65"/>
      <c r="AV55" s="65"/>
      <c r="AW55" s="68"/>
    </row>
    <row r="56" ht="15.75" customHeight="1">
      <c r="A56" s="29">
        <v>20502.0</v>
      </c>
      <c r="B56" s="76" t="s">
        <v>62</v>
      </c>
      <c r="C56" s="77">
        <v>0.0</v>
      </c>
      <c r="D56" s="77">
        <v>8410.0</v>
      </c>
      <c r="E56" s="78">
        <f t="shared" si="7"/>
        <v>0</v>
      </c>
      <c r="F56" s="77">
        <v>0.0</v>
      </c>
      <c r="G56" s="77">
        <v>8461.583333333334</v>
      </c>
      <c r="H56" s="78">
        <f t="shared" si="8"/>
        <v>0</v>
      </c>
      <c r="I56" s="77">
        <v>0.0</v>
      </c>
      <c r="J56" s="77">
        <v>8513.166666666666</v>
      </c>
      <c r="K56" s="78">
        <f t="shared" si="9"/>
        <v>0</v>
      </c>
      <c r="L56" s="79">
        <f t="shared" si="10"/>
        <v>0</v>
      </c>
      <c r="M56" s="80">
        <f t="shared" si="11"/>
        <v>0</v>
      </c>
      <c r="N56" s="77">
        <v>50000.0</v>
      </c>
      <c r="O56" s="77">
        <v>8925.833333333334</v>
      </c>
      <c r="P56" s="81">
        <f t="shared" si="12"/>
        <v>5.60171786</v>
      </c>
      <c r="Q56" s="82">
        <v>50000.0</v>
      </c>
      <c r="R56" s="77">
        <v>8977.416666666666</v>
      </c>
      <c r="S56" s="81">
        <f t="shared" si="13"/>
        <v>5.569530953</v>
      </c>
      <c r="T56" s="77">
        <v>80000.0</v>
      </c>
      <c r="U56" s="77">
        <v>9029.0</v>
      </c>
      <c r="V56" s="81">
        <f t="shared" si="14"/>
        <v>8.860338908</v>
      </c>
      <c r="W56" s="83">
        <f t="shared" si="15"/>
        <v>6.677195907</v>
      </c>
      <c r="X56" s="84">
        <f t="shared" si="16"/>
        <v>60000</v>
      </c>
      <c r="AD56" s="65"/>
      <c r="AG56" s="65"/>
      <c r="AJ56" s="65"/>
      <c r="AK56" s="65"/>
      <c r="AL56" s="68"/>
      <c r="AO56" s="65"/>
      <c r="AR56" s="65"/>
      <c r="AU56" s="65"/>
      <c r="AV56" s="65"/>
      <c r="AW56" s="68"/>
    </row>
    <row r="57" ht="15.75" customHeight="1">
      <c r="A57" s="29">
        <v>20503.0</v>
      </c>
      <c r="B57" s="76" t="s">
        <v>63</v>
      </c>
      <c r="C57" s="77">
        <v>0.0</v>
      </c>
      <c r="D57" s="77">
        <v>5495.0</v>
      </c>
      <c r="E57" s="78">
        <f t="shared" si="7"/>
        <v>0</v>
      </c>
      <c r="F57" s="77">
        <v>0.0</v>
      </c>
      <c r="G57" s="77">
        <v>5597.166666666667</v>
      </c>
      <c r="H57" s="78">
        <f t="shared" si="8"/>
        <v>0</v>
      </c>
      <c r="I57" s="77">
        <v>0.0</v>
      </c>
      <c r="J57" s="77">
        <v>5699.333333333333</v>
      </c>
      <c r="K57" s="78">
        <f t="shared" si="9"/>
        <v>0</v>
      </c>
      <c r="L57" s="79">
        <f t="shared" si="10"/>
        <v>0</v>
      </c>
      <c r="M57" s="80">
        <f t="shared" si="11"/>
        <v>0</v>
      </c>
      <c r="N57" s="77">
        <v>0.0</v>
      </c>
      <c r="O57" s="77">
        <v>6516.666666666667</v>
      </c>
      <c r="P57" s="81">
        <f t="shared" si="12"/>
        <v>0</v>
      </c>
      <c r="Q57" s="82">
        <v>10000.0</v>
      </c>
      <c r="R57" s="77">
        <v>6618.833333333334</v>
      </c>
      <c r="S57" s="81">
        <f t="shared" si="13"/>
        <v>1.510840279</v>
      </c>
      <c r="T57" s="77">
        <v>10000.0</v>
      </c>
      <c r="U57" s="77">
        <v>6721.0</v>
      </c>
      <c r="V57" s="81">
        <f t="shared" si="14"/>
        <v>1.487873828</v>
      </c>
      <c r="W57" s="83">
        <f t="shared" si="15"/>
        <v>0.9995713691</v>
      </c>
      <c r="X57" s="84">
        <f t="shared" si="16"/>
        <v>6666.666667</v>
      </c>
      <c r="AD57" s="65"/>
      <c r="AG57" s="65"/>
      <c r="AJ57" s="65"/>
      <c r="AK57" s="65"/>
      <c r="AL57" s="68"/>
      <c r="AO57" s="65"/>
      <c r="AR57" s="65"/>
      <c r="AU57" s="65"/>
      <c r="AV57" s="65"/>
      <c r="AW57" s="68"/>
    </row>
    <row r="58" ht="15.75" customHeight="1">
      <c r="A58" s="29">
        <v>20601.0</v>
      </c>
      <c r="B58" s="76" t="s">
        <v>64</v>
      </c>
      <c r="C58" s="77">
        <v>70000.0</v>
      </c>
      <c r="D58" s="77">
        <v>23512.0</v>
      </c>
      <c r="E58" s="78">
        <f t="shared" si="7"/>
        <v>2.97720313</v>
      </c>
      <c r="F58" s="77">
        <v>95000.0</v>
      </c>
      <c r="G58" s="77">
        <v>24059.583333333332</v>
      </c>
      <c r="H58" s="78">
        <f t="shared" si="8"/>
        <v>3.948530558</v>
      </c>
      <c r="I58" s="77">
        <v>0.0</v>
      </c>
      <c r="J58" s="77">
        <v>24607.166666666668</v>
      </c>
      <c r="K58" s="78">
        <f t="shared" si="9"/>
        <v>0</v>
      </c>
      <c r="L58" s="79">
        <f t="shared" si="10"/>
        <v>2.308577896</v>
      </c>
      <c r="M58" s="80">
        <f t="shared" si="11"/>
        <v>55000</v>
      </c>
      <c r="N58" s="77">
        <v>455400.0</v>
      </c>
      <c r="O58" s="77">
        <v>28987.833333333336</v>
      </c>
      <c r="P58" s="81">
        <f t="shared" si="12"/>
        <v>15.71003927</v>
      </c>
      <c r="Q58" s="82">
        <v>500000.0</v>
      </c>
      <c r="R58" s="77">
        <v>29535.416666666668</v>
      </c>
      <c r="S58" s="81">
        <f t="shared" si="13"/>
        <v>16.92882838</v>
      </c>
      <c r="T58" s="77">
        <v>540245.0</v>
      </c>
      <c r="U58" s="77">
        <v>30083.0</v>
      </c>
      <c r="V58" s="81">
        <f t="shared" si="14"/>
        <v>17.95848153</v>
      </c>
      <c r="W58" s="83">
        <f t="shared" si="15"/>
        <v>16.86578306</v>
      </c>
      <c r="X58" s="84">
        <f t="shared" si="16"/>
        <v>498548.3333</v>
      </c>
      <c r="AD58" s="65"/>
      <c r="AG58" s="65"/>
      <c r="AJ58" s="65"/>
      <c r="AK58" s="65"/>
      <c r="AL58" s="68"/>
      <c r="AO58" s="65"/>
      <c r="AR58" s="65"/>
      <c r="AU58" s="65"/>
      <c r="AV58" s="65"/>
      <c r="AW58" s="68"/>
    </row>
    <row r="59" ht="15.75" customHeight="1">
      <c r="A59" s="29">
        <v>20602.0</v>
      </c>
      <c r="B59" s="76" t="s">
        <v>65</v>
      </c>
      <c r="C59" s="77">
        <v>100000.0</v>
      </c>
      <c r="D59" s="77">
        <v>14788.0</v>
      </c>
      <c r="E59" s="78">
        <f t="shared" si="7"/>
        <v>6.762239654</v>
      </c>
      <c r="F59" s="77">
        <v>100000.0</v>
      </c>
      <c r="G59" s="77">
        <v>14921.166666666666</v>
      </c>
      <c r="H59" s="78">
        <f t="shared" si="8"/>
        <v>6.701888816</v>
      </c>
      <c r="I59" s="77">
        <v>0.0</v>
      </c>
      <c r="J59" s="77">
        <v>15054.333333333334</v>
      </c>
      <c r="K59" s="78">
        <f t="shared" si="9"/>
        <v>0</v>
      </c>
      <c r="L59" s="79">
        <f t="shared" si="10"/>
        <v>4.488042823</v>
      </c>
      <c r="M59" s="80">
        <f t="shared" si="11"/>
        <v>66666.66667</v>
      </c>
      <c r="N59" s="77">
        <v>150000.0</v>
      </c>
      <c r="O59" s="77">
        <v>16119.666666666666</v>
      </c>
      <c r="P59" s="81">
        <f t="shared" si="12"/>
        <v>9.305403338</v>
      </c>
      <c r="Q59" s="82">
        <v>150000.0</v>
      </c>
      <c r="R59" s="77">
        <v>16252.833333333334</v>
      </c>
      <c r="S59" s="81">
        <f t="shared" si="13"/>
        <v>9.229160044</v>
      </c>
      <c r="T59" s="77">
        <v>130000.0</v>
      </c>
      <c r="U59" s="77">
        <v>16386.0</v>
      </c>
      <c r="V59" s="81">
        <f t="shared" si="14"/>
        <v>7.933601855</v>
      </c>
      <c r="W59" s="83">
        <f t="shared" si="15"/>
        <v>8.822721746</v>
      </c>
      <c r="X59" s="84">
        <f t="shared" si="16"/>
        <v>143333.3333</v>
      </c>
      <c r="AD59" s="65"/>
      <c r="AG59" s="65"/>
      <c r="AJ59" s="65"/>
      <c r="AK59" s="65"/>
      <c r="AL59" s="68"/>
      <c r="AO59" s="65"/>
      <c r="AR59" s="65"/>
      <c r="AU59" s="65"/>
      <c r="AV59" s="65"/>
      <c r="AW59" s="68"/>
    </row>
    <row r="60" ht="15.75" customHeight="1">
      <c r="A60" s="29">
        <v>20603.0</v>
      </c>
      <c r="B60" s="76" t="s">
        <v>66</v>
      </c>
      <c r="C60" s="77">
        <v>0.0</v>
      </c>
      <c r="D60" s="77">
        <v>8182.0</v>
      </c>
      <c r="E60" s="78">
        <f t="shared" si="7"/>
        <v>0</v>
      </c>
      <c r="F60" s="77">
        <v>0.0</v>
      </c>
      <c r="G60" s="77">
        <v>8313.583333333334</v>
      </c>
      <c r="H60" s="78">
        <f t="shared" si="8"/>
        <v>0</v>
      </c>
      <c r="I60" s="77">
        <v>0.0</v>
      </c>
      <c r="J60" s="77">
        <v>8445.166666666666</v>
      </c>
      <c r="K60" s="78">
        <f t="shared" si="9"/>
        <v>0</v>
      </c>
      <c r="L60" s="79">
        <f t="shared" si="10"/>
        <v>0</v>
      </c>
      <c r="M60" s="80">
        <f t="shared" si="11"/>
        <v>0</v>
      </c>
      <c r="N60" s="77">
        <v>0.0</v>
      </c>
      <c r="O60" s="77">
        <v>9497.833333333334</v>
      </c>
      <c r="P60" s="81">
        <f t="shared" si="12"/>
        <v>0</v>
      </c>
      <c r="Q60" s="82">
        <v>0.0</v>
      </c>
      <c r="R60" s="77">
        <v>9629.416666666666</v>
      </c>
      <c r="S60" s="81">
        <f t="shared" si="13"/>
        <v>0</v>
      </c>
      <c r="T60" s="77">
        <v>0.0</v>
      </c>
      <c r="U60" s="77">
        <v>9761.0</v>
      </c>
      <c r="V60" s="81">
        <f t="shared" si="14"/>
        <v>0</v>
      </c>
      <c r="W60" s="83">
        <f t="shared" si="15"/>
        <v>0</v>
      </c>
      <c r="X60" s="84">
        <f t="shared" si="16"/>
        <v>0</v>
      </c>
      <c r="AD60" s="65"/>
      <c r="AG60" s="65"/>
      <c r="AJ60" s="65"/>
      <c r="AK60" s="65"/>
      <c r="AL60" s="68"/>
      <c r="AO60" s="65"/>
      <c r="AR60" s="65"/>
      <c r="AU60" s="65"/>
      <c r="AV60" s="65"/>
      <c r="AW60" s="68"/>
    </row>
    <row r="61" ht="15.75" customHeight="1">
      <c r="A61" s="29">
        <v>20604.0</v>
      </c>
      <c r="B61" s="76" t="s">
        <v>67</v>
      </c>
      <c r="C61" s="77">
        <v>0.0</v>
      </c>
      <c r="D61" s="77">
        <v>2684.0</v>
      </c>
      <c r="E61" s="78">
        <f t="shared" si="7"/>
        <v>0</v>
      </c>
      <c r="F61" s="77">
        <v>20000.0</v>
      </c>
      <c r="G61" s="77">
        <v>2812.3333333333335</v>
      </c>
      <c r="H61" s="78">
        <f t="shared" si="8"/>
        <v>7.111532535</v>
      </c>
      <c r="I61" s="77">
        <v>0.0</v>
      </c>
      <c r="J61" s="77">
        <v>2940.6666666666665</v>
      </c>
      <c r="K61" s="78">
        <f t="shared" si="9"/>
        <v>0</v>
      </c>
      <c r="L61" s="79">
        <f t="shared" si="10"/>
        <v>2.370510845</v>
      </c>
      <c r="M61" s="80">
        <f t="shared" si="11"/>
        <v>6666.666667</v>
      </c>
      <c r="N61" s="77">
        <v>5000.0</v>
      </c>
      <c r="O61" s="77">
        <v>3967.3333333333335</v>
      </c>
      <c r="P61" s="81">
        <f t="shared" si="12"/>
        <v>1.260292388</v>
      </c>
      <c r="Q61" s="82">
        <v>8000.0</v>
      </c>
      <c r="R61" s="77">
        <v>4095.666666666667</v>
      </c>
      <c r="S61" s="81">
        <f t="shared" si="13"/>
        <v>1.953283959</v>
      </c>
      <c r="T61" s="77">
        <v>76057.0</v>
      </c>
      <c r="U61" s="77">
        <v>4224.0</v>
      </c>
      <c r="V61" s="81">
        <f t="shared" si="14"/>
        <v>18.00591856</v>
      </c>
      <c r="W61" s="83">
        <f t="shared" si="15"/>
        <v>7.073164969</v>
      </c>
      <c r="X61" s="84">
        <f t="shared" si="16"/>
        <v>29685.66667</v>
      </c>
      <c r="AD61" s="65"/>
      <c r="AG61" s="65"/>
      <c r="AJ61" s="65"/>
      <c r="AK61" s="65"/>
      <c r="AL61" s="68"/>
      <c r="AO61" s="65"/>
      <c r="AR61" s="65"/>
      <c r="AU61" s="65"/>
      <c r="AV61" s="65"/>
      <c r="AW61" s="68"/>
    </row>
    <row r="62" ht="15.75" customHeight="1">
      <c r="A62" s="29">
        <v>20605.0</v>
      </c>
      <c r="B62" s="76" t="s">
        <v>68</v>
      </c>
      <c r="C62" s="77">
        <v>0.0</v>
      </c>
      <c r="D62" s="77">
        <v>3731.0</v>
      </c>
      <c r="E62" s="78">
        <f t="shared" si="7"/>
        <v>0</v>
      </c>
      <c r="F62" s="77">
        <v>0.0</v>
      </c>
      <c r="G62" s="77">
        <v>3714.1666666666665</v>
      </c>
      <c r="H62" s="78">
        <f t="shared" si="8"/>
        <v>0</v>
      </c>
      <c r="I62" s="77">
        <v>0.0</v>
      </c>
      <c r="J62" s="77">
        <v>3697.3333333333335</v>
      </c>
      <c r="K62" s="78">
        <f t="shared" si="9"/>
        <v>0</v>
      </c>
      <c r="L62" s="79">
        <f t="shared" si="10"/>
        <v>0</v>
      </c>
      <c r="M62" s="80">
        <f t="shared" si="11"/>
        <v>0</v>
      </c>
      <c r="N62" s="77">
        <v>2000.0</v>
      </c>
      <c r="O62" s="77">
        <v>3562.6666666666665</v>
      </c>
      <c r="P62" s="81">
        <f t="shared" si="12"/>
        <v>0.5613772455</v>
      </c>
      <c r="Q62" s="82">
        <v>2000.0</v>
      </c>
      <c r="R62" s="77">
        <v>3545.8333333333335</v>
      </c>
      <c r="S62" s="81">
        <f t="shared" si="13"/>
        <v>0.5640423032</v>
      </c>
      <c r="T62" s="77">
        <v>2000.0</v>
      </c>
      <c r="U62" s="77">
        <v>3529.0</v>
      </c>
      <c r="V62" s="81">
        <f t="shared" si="14"/>
        <v>0.5667327855</v>
      </c>
      <c r="W62" s="83">
        <f t="shared" si="15"/>
        <v>0.5640507781</v>
      </c>
      <c r="X62" s="84">
        <f t="shared" si="16"/>
        <v>2000</v>
      </c>
      <c r="AD62" s="65"/>
      <c r="AG62" s="65"/>
      <c r="AJ62" s="65"/>
      <c r="AK62" s="65"/>
      <c r="AL62" s="68"/>
      <c r="AO62" s="65"/>
      <c r="AR62" s="65"/>
      <c r="AU62" s="65"/>
      <c r="AV62" s="65"/>
      <c r="AW62" s="68"/>
    </row>
    <row r="63" ht="15.75" customHeight="1">
      <c r="A63" s="29">
        <v>20606.0</v>
      </c>
      <c r="B63" s="76" t="s">
        <v>69</v>
      </c>
      <c r="C63" s="77">
        <v>40000.0</v>
      </c>
      <c r="D63" s="77">
        <v>9985.0</v>
      </c>
      <c r="E63" s="78">
        <f t="shared" si="7"/>
        <v>4.006009014</v>
      </c>
      <c r="F63" s="77">
        <v>50000.0</v>
      </c>
      <c r="G63" s="77">
        <v>9795.916666666666</v>
      </c>
      <c r="H63" s="78">
        <f t="shared" si="8"/>
        <v>5.104167553</v>
      </c>
      <c r="I63" s="77">
        <v>0.0</v>
      </c>
      <c r="J63" s="77">
        <v>9606.833333333334</v>
      </c>
      <c r="K63" s="78">
        <f t="shared" si="9"/>
        <v>0</v>
      </c>
      <c r="L63" s="79">
        <f t="shared" si="10"/>
        <v>3.036725522</v>
      </c>
      <c r="M63" s="80">
        <f t="shared" si="11"/>
        <v>30000</v>
      </c>
      <c r="N63" s="77">
        <v>309523.0</v>
      </c>
      <c r="O63" s="77">
        <v>8094.166666666666</v>
      </c>
      <c r="P63" s="81">
        <f t="shared" si="12"/>
        <v>38.24025533</v>
      </c>
      <c r="Q63" s="82">
        <v>301424.0</v>
      </c>
      <c r="R63" s="77">
        <v>7905.083333333333</v>
      </c>
      <c r="S63" s="81">
        <f t="shared" si="13"/>
        <v>38.13040132</v>
      </c>
      <c r="T63" s="77">
        <v>531826.0</v>
      </c>
      <c r="U63" s="77">
        <v>7716.0</v>
      </c>
      <c r="V63" s="81">
        <f t="shared" si="14"/>
        <v>68.92509072</v>
      </c>
      <c r="W63" s="83">
        <f t="shared" si="15"/>
        <v>48.43191579</v>
      </c>
      <c r="X63" s="84">
        <f t="shared" si="16"/>
        <v>380924.3333</v>
      </c>
      <c r="AD63" s="65"/>
      <c r="AG63" s="65"/>
      <c r="AJ63" s="65"/>
      <c r="AK63" s="65"/>
      <c r="AL63" s="68"/>
      <c r="AO63" s="65"/>
      <c r="AR63" s="65"/>
      <c r="AU63" s="65"/>
      <c r="AV63" s="65"/>
      <c r="AW63" s="68"/>
    </row>
    <row r="64" ht="15.75" customHeight="1">
      <c r="A64" s="29">
        <v>20607.0</v>
      </c>
      <c r="B64" s="76" t="s">
        <v>70</v>
      </c>
      <c r="C64" s="77">
        <v>40000.0</v>
      </c>
      <c r="D64" s="77">
        <v>13891.0</v>
      </c>
      <c r="E64" s="78">
        <f t="shared" si="7"/>
        <v>2.879562307</v>
      </c>
      <c r="F64" s="77">
        <v>50000.0</v>
      </c>
      <c r="G64" s="77">
        <v>14553.666666666666</v>
      </c>
      <c r="H64" s="78">
        <f t="shared" si="8"/>
        <v>3.43556034</v>
      </c>
      <c r="I64" s="77">
        <v>0.0</v>
      </c>
      <c r="J64" s="77">
        <v>15216.333333333334</v>
      </c>
      <c r="K64" s="78">
        <f t="shared" si="9"/>
        <v>0</v>
      </c>
      <c r="L64" s="79">
        <f t="shared" si="10"/>
        <v>2.105040882</v>
      </c>
      <c r="M64" s="80">
        <f t="shared" si="11"/>
        <v>30000</v>
      </c>
      <c r="N64" s="77">
        <v>550000.0</v>
      </c>
      <c r="O64" s="77">
        <v>20517.666666666664</v>
      </c>
      <c r="P64" s="81">
        <f t="shared" si="12"/>
        <v>26.80616704</v>
      </c>
      <c r="Q64" s="82">
        <v>872000.0</v>
      </c>
      <c r="R64" s="77">
        <v>21180.333333333332</v>
      </c>
      <c r="S64" s="81">
        <f t="shared" si="13"/>
        <v>41.17026802</v>
      </c>
      <c r="T64" s="77">
        <v>674800.0</v>
      </c>
      <c r="U64" s="77">
        <v>21843.0</v>
      </c>
      <c r="V64" s="81">
        <f t="shared" si="14"/>
        <v>30.89319233</v>
      </c>
      <c r="W64" s="83">
        <f t="shared" si="15"/>
        <v>32.95654246</v>
      </c>
      <c r="X64" s="84">
        <f t="shared" si="16"/>
        <v>698933.3333</v>
      </c>
      <c r="AD64" s="65"/>
      <c r="AG64" s="65"/>
      <c r="AJ64" s="65"/>
      <c r="AK64" s="65"/>
      <c r="AL64" s="68"/>
      <c r="AO64" s="65"/>
      <c r="AR64" s="65"/>
      <c r="AU64" s="65"/>
      <c r="AV64" s="65"/>
      <c r="AW64" s="68"/>
    </row>
    <row r="65" ht="15.75" customHeight="1">
      <c r="A65" s="29">
        <v>20608.0</v>
      </c>
      <c r="B65" s="76" t="s">
        <v>71</v>
      </c>
      <c r="C65" s="77">
        <v>25800.0</v>
      </c>
      <c r="D65" s="77">
        <v>9349.0</v>
      </c>
      <c r="E65" s="78">
        <f t="shared" si="7"/>
        <v>2.759653439</v>
      </c>
      <c r="F65" s="77">
        <v>40000.0</v>
      </c>
      <c r="G65" s="77">
        <v>9684.833333333334</v>
      </c>
      <c r="H65" s="78">
        <f t="shared" si="8"/>
        <v>4.130169165</v>
      </c>
      <c r="I65" s="77">
        <v>0.0</v>
      </c>
      <c r="J65" s="77">
        <v>10020.666666666666</v>
      </c>
      <c r="K65" s="78">
        <f t="shared" si="9"/>
        <v>0</v>
      </c>
      <c r="L65" s="79">
        <f t="shared" si="10"/>
        <v>2.296607535</v>
      </c>
      <c r="M65" s="80">
        <f t="shared" si="11"/>
        <v>21933.33333</v>
      </c>
      <c r="N65" s="77">
        <v>50000.0</v>
      </c>
      <c r="O65" s="77">
        <v>12707.333333333332</v>
      </c>
      <c r="P65" s="81">
        <f t="shared" si="12"/>
        <v>3.934735848</v>
      </c>
      <c r="Q65" s="82">
        <v>50000.0</v>
      </c>
      <c r="R65" s="77">
        <v>13043.166666666666</v>
      </c>
      <c r="S65" s="81">
        <f t="shared" si="13"/>
        <v>3.83342491</v>
      </c>
      <c r="T65" s="77">
        <v>50000.0</v>
      </c>
      <c r="U65" s="77">
        <v>13379.0</v>
      </c>
      <c r="V65" s="81">
        <f t="shared" si="14"/>
        <v>3.73720009</v>
      </c>
      <c r="W65" s="83">
        <f t="shared" si="15"/>
        <v>3.835120282</v>
      </c>
      <c r="X65" s="84">
        <f t="shared" si="16"/>
        <v>50000</v>
      </c>
      <c r="AD65" s="65"/>
      <c r="AG65" s="65"/>
      <c r="AJ65" s="65"/>
      <c r="AK65" s="65"/>
      <c r="AL65" s="68"/>
      <c r="AO65" s="65"/>
      <c r="AR65" s="65"/>
      <c r="AU65" s="65"/>
      <c r="AV65" s="65"/>
      <c r="AW65" s="68"/>
    </row>
    <row r="66" ht="15.75" customHeight="1">
      <c r="A66" s="29">
        <v>20701.0</v>
      </c>
      <c r="B66" s="76" t="s">
        <v>72</v>
      </c>
      <c r="C66" s="77">
        <v>50000.0</v>
      </c>
      <c r="D66" s="77">
        <v>20308.0</v>
      </c>
      <c r="E66" s="78">
        <f t="shared" si="7"/>
        <v>2.462083908</v>
      </c>
      <c r="F66" s="77">
        <v>48000.0</v>
      </c>
      <c r="G66" s="77">
        <v>20212.0</v>
      </c>
      <c r="H66" s="78">
        <f t="shared" si="8"/>
        <v>2.374826836</v>
      </c>
      <c r="I66" s="77">
        <v>0.0</v>
      </c>
      <c r="J66" s="77">
        <v>20116.0</v>
      </c>
      <c r="K66" s="78">
        <f t="shared" si="9"/>
        <v>0</v>
      </c>
      <c r="L66" s="79">
        <f t="shared" si="10"/>
        <v>1.612303581</v>
      </c>
      <c r="M66" s="80">
        <f t="shared" si="11"/>
        <v>32666.66667</v>
      </c>
      <c r="N66" s="77">
        <v>280000.0</v>
      </c>
      <c r="O66" s="77">
        <v>19348.0</v>
      </c>
      <c r="P66" s="81">
        <f t="shared" si="12"/>
        <v>14.47178003</v>
      </c>
      <c r="Q66" s="82">
        <v>630000.0</v>
      </c>
      <c r="R66" s="77">
        <v>19252.0</v>
      </c>
      <c r="S66" s="81">
        <f t="shared" si="13"/>
        <v>32.72387284</v>
      </c>
      <c r="T66" s="77">
        <v>665000.0</v>
      </c>
      <c r="U66" s="77">
        <v>19156.0</v>
      </c>
      <c r="V66" s="81">
        <f t="shared" si="14"/>
        <v>34.71497181</v>
      </c>
      <c r="W66" s="83">
        <f t="shared" si="15"/>
        <v>27.30354156</v>
      </c>
      <c r="X66" s="84">
        <f t="shared" si="16"/>
        <v>525000</v>
      </c>
      <c r="AD66" s="65"/>
      <c r="AG66" s="65"/>
      <c r="AJ66" s="65"/>
      <c r="AK66" s="65"/>
      <c r="AL66" s="68"/>
      <c r="AO66" s="65"/>
      <c r="AR66" s="65"/>
      <c r="AU66" s="65"/>
      <c r="AV66" s="65"/>
      <c r="AW66" s="68"/>
    </row>
    <row r="67" ht="15.75" customHeight="1">
      <c r="A67" s="29">
        <v>20702.0</v>
      </c>
      <c r="B67" s="76" t="s">
        <v>73</v>
      </c>
      <c r="C67" s="77">
        <v>0.0</v>
      </c>
      <c r="D67" s="77">
        <v>6780.0</v>
      </c>
      <c r="E67" s="78">
        <f t="shared" si="7"/>
        <v>0</v>
      </c>
      <c r="F67" s="77">
        <v>0.0</v>
      </c>
      <c r="G67" s="77">
        <v>6970.0</v>
      </c>
      <c r="H67" s="78">
        <f t="shared" si="8"/>
        <v>0</v>
      </c>
      <c r="I67" s="77">
        <v>0.0</v>
      </c>
      <c r="J67" s="77">
        <v>7160.0</v>
      </c>
      <c r="K67" s="78">
        <f t="shared" si="9"/>
        <v>0</v>
      </c>
      <c r="L67" s="79">
        <f t="shared" si="10"/>
        <v>0</v>
      </c>
      <c r="M67" s="80">
        <f t="shared" si="11"/>
        <v>0</v>
      </c>
      <c r="N67" s="77">
        <v>0.0</v>
      </c>
      <c r="O67" s="77">
        <v>8680.0</v>
      </c>
      <c r="P67" s="81">
        <f t="shared" si="12"/>
        <v>0</v>
      </c>
      <c r="Q67" s="82">
        <v>0.0</v>
      </c>
      <c r="R67" s="77">
        <v>8870.0</v>
      </c>
      <c r="S67" s="81">
        <f t="shared" si="13"/>
        <v>0</v>
      </c>
      <c r="T67" s="77">
        <v>0.0</v>
      </c>
      <c r="U67" s="77">
        <v>9060.0</v>
      </c>
      <c r="V67" s="81">
        <f t="shared" si="14"/>
        <v>0</v>
      </c>
      <c r="W67" s="83">
        <f t="shared" si="15"/>
        <v>0</v>
      </c>
      <c r="X67" s="84">
        <f t="shared" si="16"/>
        <v>0</v>
      </c>
      <c r="AD67" s="65"/>
      <c r="AG67" s="65"/>
      <c r="AJ67" s="65"/>
      <c r="AK67" s="65"/>
      <c r="AL67" s="68"/>
      <c r="AO67" s="65"/>
      <c r="AR67" s="65"/>
      <c r="AU67" s="65"/>
      <c r="AV67" s="65"/>
      <c r="AW67" s="68"/>
    </row>
    <row r="68" ht="15.75" customHeight="1">
      <c r="A68" s="29">
        <v>20801.0</v>
      </c>
      <c r="B68" s="76" t="s">
        <v>74</v>
      </c>
      <c r="C68" s="77">
        <v>2188526.0</v>
      </c>
      <c r="D68" s="77">
        <v>80724.0</v>
      </c>
      <c r="E68" s="78">
        <f t="shared" si="7"/>
        <v>27.11121847</v>
      </c>
      <c r="F68" s="77">
        <v>2499000.0</v>
      </c>
      <c r="G68" s="77">
        <v>83459.83333333333</v>
      </c>
      <c r="H68" s="78">
        <f t="shared" si="8"/>
        <v>29.94254721</v>
      </c>
      <c r="I68" s="77">
        <v>0.0</v>
      </c>
      <c r="J68" s="77">
        <v>86195.66666666667</v>
      </c>
      <c r="K68" s="78">
        <f t="shared" si="9"/>
        <v>0</v>
      </c>
      <c r="L68" s="79">
        <f t="shared" si="10"/>
        <v>19.0179219</v>
      </c>
      <c r="M68" s="80">
        <f t="shared" si="11"/>
        <v>1562508.667</v>
      </c>
      <c r="N68" s="77">
        <v>2560000.0</v>
      </c>
      <c r="O68" s="77">
        <v>108082.33333333334</v>
      </c>
      <c r="P68" s="81">
        <f t="shared" si="12"/>
        <v>23.68564705</v>
      </c>
      <c r="Q68" s="82">
        <v>3072015.0</v>
      </c>
      <c r="R68" s="77">
        <v>110818.16666666667</v>
      </c>
      <c r="S68" s="81">
        <f t="shared" si="13"/>
        <v>27.721222</v>
      </c>
      <c r="T68" s="77">
        <v>5030438.0</v>
      </c>
      <c r="U68" s="77">
        <v>113554.0</v>
      </c>
      <c r="V68" s="81">
        <f t="shared" si="14"/>
        <v>44.29996301</v>
      </c>
      <c r="W68" s="83">
        <f t="shared" si="15"/>
        <v>31.90227736</v>
      </c>
      <c r="X68" s="84">
        <f t="shared" si="16"/>
        <v>3554151</v>
      </c>
      <c r="AD68" s="65"/>
      <c r="AG68" s="65"/>
      <c r="AJ68" s="65"/>
      <c r="AK68" s="65"/>
      <c r="AL68" s="68"/>
      <c r="AO68" s="65"/>
      <c r="AR68" s="65"/>
      <c r="AU68" s="65"/>
      <c r="AV68" s="65"/>
      <c r="AW68" s="68"/>
    </row>
    <row r="69" ht="15.75" customHeight="1">
      <c r="A69" s="29">
        <v>20802.0</v>
      </c>
      <c r="B69" s="76" t="s">
        <v>75</v>
      </c>
      <c r="C69" s="77">
        <v>40000.0</v>
      </c>
      <c r="D69" s="77">
        <v>7278.0</v>
      </c>
      <c r="E69" s="78">
        <f t="shared" si="7"/>
        <v>5.496015389</v>
      </c>
      <c r="F69" s="77">
        <v>50000.0</v>
      </c>
      <c r="G69" s="77">
        <v>7387.5</v>
      </c>
      <c r="H69" s="78">
        <f t="shared" si="8"/>
        <v>6.768189509</v>
      </c>
      <c r="I69" s="77">
        <v>0.0</v>
      </c>
      <c r="J69" s="77">
        <v>7497.0</v>
      </c>
      <c r="K69" s="78">
        <f t="shared" si="9"/>
        <v>0</v>
      </c>
      <c r="L69" s="79">
        <f t="shared" si="10"/>
        <v>4.088068299</v>
      </c>
      <c r="M69" s="80">
        <f t="shared" si="11"/>
        <v>30000</v>
      </c>
      <c r="N69" s="77">
        <v>55000.0</v>
      </c>
      <c r="O69" s="77">
        <v>8373.0</v>
      </c>
      <c r="P69" s="81">
        <f t="shared" si="12"/>
        <v>6.568732832</v>
      </c>
      <c r="Q69" s="82">
        <v>55000.0</v>
      </c>
      <c r="R69" s="77">
        <v>8482.5</v>
      </c>
      <c r="S69" s="81">
        <f t="shared" si="13"/>
        <v>6.483937518</v>
      </c>
      <c r="T69" s="77">
        <v>56688.0</v>
      </c>
      <c r="U69" s="77">
        <v>8592.0</v>
      </c>
      <c r="V69" s="81">
        <f t="shared" si="14"/>
        <v>6.597765363</v>
      </c>
      <c r="W69" s="83">
        <f t="shared" si="15"/>
        <v>6.550145238</v>
      </c>
      <c r="X69" s="84">
        <f t="shared" si="16"/>
        <v>55562.66667</v>
      </c>
      <c r="AD69" s="65"/>
      <c r="AG69" s="65"/>
      <c r="AJ69" s="65"/>
      <c r="AK69" s="65"/>
      <c r="AL69" s="68"/>
      <c r="AO69" s="65"/>
      <c r="AR69" s="65"/>
      <c r="AU69" s="65"/>
      <c r="AV69" s="65"/>
      <c r="AW69" s="68"/>
    </row>
    <row r="70" ht="15.75" customHeight="1">
      <c r="A70" s="29">
        <v>20803.0</v>
      </c>
      <c r="B70" s="76" t="s">
        <v>76</v>
      </c>
      <c r="C70" s="77">
        <v>226280.0</v>
      </c>
      <c r="D70" s="77">
        <v>12189.0</v>
      </c>
      <c r="E70" s="78">
        <f t="shared" si="7"/>
        <v>18.56427927</v>
      </c>
      <c r="F70" s="77">
        <v>100000.0</v>
      </c>
      <c r="G70" s="77">
        <v>12310.583333333334</v>
      </c>
      <c r="H70" s="78">
        <f t="shared" si="8"/>
        <v>8.12309192</v>
      </c>
      <c r="I70" s="77">
        <v>337336.0</v>
      </c>
      <c r="J70" s="77">
        <v>12432.166666666666</v>
      </c>
      <c r="K70" s="78">
        <f t="shared" si="9"/>
        <v>27.13412787</v>
      </c>
      <c r="L70" s="79">
        <f t="shared" si="10"/>
        <v>17.94049968</v>
      </c>
      <c r="M70" s="80">
        <f t="shared" si="11"/>
        <v>221205.3333</v>
      </c>
      <c r="N70" s="77">
        <v>105000.0</v>
      </c>
      <c r="O70" s="77">
        <v>13404.833333333334</v>
      </c>
      <c r="P70" s="81">
        <f t="shared" si="12"/>
        <v>7.832995561</v>
      </c>
      <c r="Q70" s="82">
        <v>175000.0</v>
      </c>
      <c r="R70" s="77">
        <v>13526.416666666666</v>
      </c>
      <c r="S70" s="81">
        <f t="shared" si="13"/>
        <v>12.9376467</v>
      </c>
      <c r="T70" s="77">
        <v>210000.0</v>
      </c>
      <c r="U70" s="77">
        <v>13648.0</v>
      </c>
      <c r="V70" s="81">
        <f t="shared" si="14"/>
        <v>15.38686987</v>
      </c>
      <c r="W70" s="83">
        <f t="shared" si="15"/>
        <v>12.05250405</v>
      </c>
      <c r="X70" s="84">
        <f t="shared" si="16"/>
        <v>163333.3333</v>
      </c>
      <c r="AD70" s="65"/>
      <c r="AG70" s="65"/>
      <c r="AJ70" s="65"/>
      <c r="AK70" s="65"/>
      <c r="AL70" s="68"/>
      <c r="AO70" s="65"/>
      <c r="AR70" s="65"/>
      <c r="AU70" s="65"/>
      <c r="AV70" s="65"/>
      <c r="AW70" s="68"/>
    </row>
    <row r="71" ht="15.75" customHeight="1">
      <c r="A71" s="29">
        <v>20804.0</v>
      </c>
      <c r="B71" s="76" t="s">
        <v>77</v>
      </c>
      <c r="C71" s="77">
        <v>120000.0</v>
      </c>
      <c r="D71" s="77">
        <v>6987.0</v>
      </c>
      <c r="E71" s="78">
        <f t="shared" si="7"/>
        <v>17.17475311</v>
      </c>
      <c r="F71" s="77">
        <v>130000.0</v>
      </c>
      <c r="G71" s="77">
        <v>7062.833333333333</v>
      </c>
      <c r="H71" s="78">
        <f t="shared" si="8"/>
        <v>18.40621092</v>
      </c>
      <c r="I71" s="77">
        <v>0.0</v>
      </c>
      <c r="J71" s="77">
        <v>7138.666666666667</v>
      </c>
      <c r="K71" s="78">
        <f t="shared" si="9"/>
        <v>0</v>
      </c>
      <c r="L71" s="79">
        <f t="shared" si="10"/>
        <v>11.86032134</v>
      </c>
      <c r="M71" s="80">
        <f t="shared" si="11"/>
        <v>83333.33333</v>
      </c>
      <c r="N71" s="77">
        <v>310000.0</v>
      </c>
      <c r="O71" s="77">
        <v>7745.333333333333</v>
      </c>
      <c r="P71" s="81">
        <f t="shared" si="12"/>
        <v>40.02410053</v>
      </c>
      <c r="Q71" s="82">
        <v>268480.0</v>
      </c>
      <c r="R71" s="77">
        <v>7821.166666666667</v>
      </c>
      <c r="S71" s="81">
        <f t="shared" si="13"/>
        <v>34.32735952</v>
      </c>
      <c r="T71" s="77">
        <v>280000.0</v>
      </c>
      <c r="U71" s="77">
        <v>7897.0</v>
      </c>
      <c r="V71" s="81">
        <f t="shared" si="14"/>
        <v>35.45650247</v>
      </c>
      <c r="W71" s="83">
        <f t="shared" si="15"/>
        <v>36.60265417</v>
      </c>
      <c r="X71" s="84">
        <f t="shared" si="16"/>
        <v>286160</v>
      </c>
      <c r="AD71" s="65"/>
      <c r="AG71" s="65"/>
      <c r="AJ71" s="65"/>
      <c r="AK71" s="65"/>
      <c r="AL71" s="68"/>
      <c r="AO71" s="65"/>
      <c r="AR71" s="65"/>
      <c r="AU71" s="65"/>
      <c r="AV71" s="65"/>
      <c r="AW71" s="68"/>
    </row>
    <row r="72" ht="15.75" customHeight="1">
      <c r="A72" s="29">
        <v>20805.0</v>
      </c>
      <c r="B72" s="76" t="s">
        <v>78</v>
      </c>
      <c r="C72" s="77">
        <v>0.0</v>
      </c>
      <c r="D72" s="77">
        <v>6145.0</v>
      </c>
      <c r="E72" s="78">
        <f t="shared" si="7"/>
        <v>0</v>
      </c>
      <c r="F72" s="77">
        <v>0.0</v>
      </c>
      <c r="G72" s="77">
        <v>6294.25</v>
      </c>
      <c r="H72" s="78">
        <f t="shared" si="8"/>
        <v>0</v>
      </c>
      <c r="I72" s="77">
        <v>0.0</v>
      </c>
      <c r="J72" s="77">
        <v>6443.5</v>
      </c>
      <c r="K72" s="78">
        <f t="shared" si="9"/>
        <v>0</v>
      </c>
      <c r="L72" s="79">
        <f t="shared" si="10"/>
        <v>0</v>
      </c>
      <c r="M72" s="80">
        <f t="shared" si="11"/>
        <v>0</v>
      </c>
      <c r="N72" s="77">
        <v>20000.0</v>
      </c>
      <c r="O72" s="77">
        <v>7637.5</v>
      </c>
      <c r="P72" s="81">
        <f t="shared" si="12"/>
        <v>2.618657938</v>
      </c>
      <c r="Q72" s="82">
        <v>10000.0</v>
      </c>
      <c r="R72" s="77">
        <v>7786.75</v>
      </c>
      <c r="S72" s="81">
        <f t="shared" si="13"/>
        <v>1.284232831</v>
      </c>
      <c r="T72" s="77">
        <v>10000.0</v>
      </c>
      <c r="U72" s="77">
        <v>7936.0</v>
      </c>
      <c r="V72" s="81">
        <f t="shared" si="14"/>
        <v>1.260080645</v>
      </c>
      <c r="W72" s="83">
        <f t="shared" si="15"/>
        <v>1.720990471</v>
      </c>
      <c r="X72" s="84">
        <f t="shared" si="16"/>
        <v>13333.33333</v>
      </c>
      <c r="AD72" s="65"/>
      <c r="AG72" s="65"/>
      <c r="AJ72" s="65"/>
      <c r="AK72" s="65"/>
      <c r="AL72" s="68"/>
      <c r="AO72" s="65"/>
      <c r="AR72" s="65"/>
      <c r="AU72" s="65"/>
      <c r="AV72" s="65"/>
      <c r="AW72" s="68"/>
    </row>
    <row r="73" ht="15.75" customHeight="1">
      <c r="A73" s="29">
        <v>20806.0</v>
      </c>
      <c r="B73" s="76" t="s">
        <v>79</v>
      </c>
      <c r="C73" s="77">
        <v>5000.0</v>
      </c>
      <c r="D73" s="77">
        <v>15039.0</v>
      </c>
      <c r="E73" s="78">
        <f t="shared" si="7"/>
        <v>0.3324689142</v>
      </c>
      <c r="F73" s="77">
        <v>5000.0</v>
      </c>
      <c r="G73" s="77">
        <v>15203.75</v>
      </c>
      <c r="H73" s="78">
        <f t="shared" si="8"/>
        <v>0.3288662337</v>
      </c>
      <c r="I73" s="77">
        <v>0.0</v>
      </c>
      <c r="J73" s="77">
        <v>15368.5</v>
      </c>
      <c r="K73" s="78">
        <f t="shared" si="9"/>
        <v>0</v>
      </c>
      <c r="L73" s="79">
        <f t="shared" si="10"/>
        <v>0.2204450493</v>
      </c>
      <c r="M73" s="80">
        <f t="shared" si="11"/>
        <v>3333.333333</v>
      </c>
      <c r="N73" s="77">
        <v>18000.0</v>
      </c>
      <c r="O73" s="77">
        <v>16686.5</v>
      </c>
      <c r="P73" s="81">
        <f t="shared" si="12"/>
        <v>1.078716328</v>
      </c>
      <c r="Q73" s="82">
        <v>20000.0</v>
      </c>
      <c r="R73" s="77">
        <v>16851.25</v>
      </c>
      <c r="S73" s="81">
        <f t="shared" si="13"/>
        <v>1.186855575</v>
      </c>
      <c r="T73" s="77">
        <v>30000.0</v>
      </c>
      <c r="U73" s="77">
        <v>17016.0</v>
      </c>
      <c r="V73" s="81">
        <f t="shared" si="14"/>
        <v>1.763046544</v>
      </c>
      <c r="W73" s="83">
        <f t="shared" si="15"/>
        <v>1.342872816</v>
      </c>
      <c r="X73" s="84">
        <f t="shared" si="16"/>
        <v>22666.66667</v>
      </c>
      <c r="AD73" s="65"/>
      <c r="AG73" s="65"/>
      <c r="AJ73" s="65"/>
      <c r="AK73" s="65"/>
      <c r="AL73" s="68"/>
      <c r="AO73" s="65"/>
      <c r="AR73" s="65"/>
      <c r="AU73" s="65"/>
      <c r="AV73" s="65"/>
      <c r="AW73" s="68"/>
    </row>
    <row r="74" ht="15.75" customHeight="1">
      <c r="A74" s="29">
        <v>20807.0</v>
      </c>
      <c r="B74" s="76" t="s">
        <v>80</v>
      </c>
      <c r="C74" s="77">
        <v>0.0</v>
      </c>
      <c r="D74" s="77">
        <v>6603.0</v>
      </c>
      <c r="E74" s="78">
        <f t="shared" si="7"/>
        <v>0</v>
      </c>
      <c r="F74" s="77">
        <v>0.0</v>
      </c>
      <c r="G74" s="77">
        <v>6681.083333333333</v>
      </c>
      <c r="H74" s="78">
        <f t="shared" si="8"/>
        <v>0</v>
      </c>
      <c r="I74" s="77">
        <v>0.0</v>
      </c>
      <c r="J74" s="77">
        <v>6759.166666666667</v>
      </c>
      <c r="K74" s="78">
        <f t="shared" si="9"/>
        <v>0</v>
      </c>
      <c r="L74" s="79">
        <f t="shared" si="10"/>
        <v>0</v>
      </c>
      <c r="M74" s="80">
        <f t="shared" si="11"/>
        <v>0</v>
      </c>
      <c r="N74" s="77">
        <v>40968.0</v>
      </c>
      <c r="O74" s="77">
        <v>7383.833333333333</v>
      </c>
      <c r="P74" s="81">
        <f t="shared" si="12"/>
        <v>5.548337584</v>
      </c>
      <c r="Q74" s="82">
        <v>60888.0</v>
      </c>
      <c r="R74" s="77">
        <v>7461.916666666667</v>
      </c>
      <c r="S74" s="81">
        <f t="shared" si="13"/>
        <v>8.159833823</v>
      </c>
      <c r="T74" s="77">
        <v>76000.0</v>
      </c>
      <c r="U74" s="77">
        <v>7540.0</v>
      </c>
      <c r="V74" s="81">
        <f t="shared" si="14"/>
        <v>10.0795756</v>
      </c>
      <c r="W74" s="83">
        <f t="shared" si="15"/>
        <v>7.929249001</v>
      </c>
      <c r="X74" s="84">
        <f t="shared" si="16"/>
        <v>59285.33333</v>
      </c>
      <c r="AD74" s="65"/>
      <c r="AG74" s="65"/>
      <c r="AJ74" s="65"/>
      <c r="AK74" s="65"/>
      <c r="AL74" s="68"/>
      <c r="AO74" s="65"/>
      <c r="AR74" s="65"/>
      <c r="AU74" s="65"/>
      <c r="AV74" s="65"/>
      <c r="AW74" s="68"/>
    </row>
    <row r="75" ht="15.75" customHeight="1">
      <c r="A75" s="29">
        <v>20901.0</v>
      </c>
      <c r="B75" s="76" t="s">
        <v>81</v>
      </c>
      <c r="C75" s="77">
        <v>120000.0</v>
      </c>
      <c r="D75" s="77">
        <v>11139.0</v>
      </c>
      <c r="E75" s="78">
        <f t="shared" si="7"/>
        <v>10.77295987</v>
      </c>
      <c r="F75" s="77">
        <v>20000.0</v>
      </c>
      <c r="G75" s="77">
        <v>11102.666666666666</v>
      </c>
      <c r="H75" s="78">
        <f t="shared" si="8"/>
        <v>1.80136904</v>
      </c>
      <c r="I75" s="77">
        <v>480000.0</v>
      </c>
      <c r="J75" s="77">
        <v>11066.333333333334</v>
      </c>
      <c r="K75" s="78">
        <f t="shared" si="9"/>
        <v>43.37480045</v>
      </c>
      <c r="L75" s="79">
        <f t="shared" si="10"/>
        <v>18.64970979</v>
      </c>
      <c r="M75" s="80">
        <f t="shared" si="11"/>
        <v>206666.6667</v>
      </c>
      <c r="N75" s="77">
        <v>40000.0</v>
      </c>
      <c r="O75" s="77">
        <v>10775.666666666666</v>
      </c>
      <c r="P75" s="81">
        <f t="shared" si="12"/>
        <v>3.712067312</v>
      </c>
      <c r="Q75" s="82">
        <v>20000.0</v>
      </c>
      <c r="R75" s="77">
        <v>10739.333333333334</v>
      </c>
      <c r="S75" s="81">
        <f t="shared" si="13"/>
        <v>1.862312993</v>
      </c>
      <c r="T75" s="77">
        <v>20000.0</v>
      </c>
      <c r="U75" s="77">
        <v>10703.0</v>
      </c>
      <c r="V75" s="81">
        <f t="shared" si="14"/>
        <v>1.868634962</v>
      </c>
      <c r="W75" s="83">
        <f t="shared" si="15"/>
        <v>2.481005089</v>
      </c>
      <c r="X75" s="84">
        <f t="shared" si="16"/>
        <v>26666.66667</v>
      </c>
      <c r="AD75" s="65"/>
      <c r="AG75" s="65"/>
      <c r="AJ75" s="65"/>
      <c r="AK75" s="65"/>
      <c r="AL75" s="68"/>
      <c r="AO75" s="65"/>
      <c r="AR75" s="65"/>
      <c r="AU75" s="65"/>
      <c r="AV75" s="65"/>
      <c r="AW75" s="68"/>
    </row>
    <row r="76" ht="15.75" customHeight="1">
      <c r="A76" s="29">
        <v>20902.0</v>
      </c>
      <c r="B76" s="76" t="s">
        <v>82</v>
      </c>
      <c r="C76" s="77">
        <v>14067.0</v>
      </c>
      <c r="D76" s="77">
        <v>12484.0</v>
      </c>
      <c r="E76" s="78">
        <f t="shared" si="7"/>
        <v>1.126802307</v>
      </c>
      <c r="F76" s="77">
        <v>53067.0</v>
      </c>
      <c r="G76" s="77">
        <v>12818.416666666666</v>
      </c>
      <c r="H76" s="78">
        <f t="shared" si="8"/>
        <v>4.139902874</v>
      </c>
      <c r="I76" s="77">
        <v>0.0</v>
      </c>
      <c r="J76" s="77">
        <v>13152.833333333334</v>
      </c>
      <c r="K76" s="78">
        <f t="shared" si="9"/>
        <v>0</v>
      </c>
      <c r="L76" s="79">
        <f t="shared" si="10"/>
        <v>1.755568394</v>
      </c>
      <c r="M76" s="80">
        <f t="shared" si="11"/>
        <v>22378</v>
      </c>
      <c r="N76" s="77">
        <v>0.0</v>
      </c>
      <c r="O76" s="77">
        <v>15828.166666666668</v>
      </c>
      <c r="P76" s="81">
        <f t="shared" si="12"/>
        <v>0</v>
      </c>
      <c r="Q76" s="82">
        <v>10000.0</v>
      </c>
      <c r="R76" s="77">
        <v>16162.583333333334</v>
      </c>
      <c r="S76" s="81">
        <f t="shared" si="13"/>
        <v>0.6187129739</v>
      </c>
      <c r="T76" s="77">
        <v>30000.0</v>
      </c>
      <c r="U76" s="77">
        <v>16497.0</v>
      </c>
      <c r="V76" s="81">
        <f t="shared" si="14"/>
        <v>1.818512457</v>
      </c>
      <c r="W76" s="83">
        <f t="shared" si="15"/>
        <v>0.8124084769</v>
      </c>
      <c r="X76" s="84">
        <f t="shared" si="16"/>
        <v>13333.33333</v>
      </c>
      <c r="AD76" s="65"/>
      <c r="AG76" s="65"/>
      <c r="AJ76" s="65"/>
      <c r="AK76" s="65"/>
      <c r="AL76" s="68"/>
      <c r="AO76" s="65"/>
      <c r="AR76" s="65"/>
      <c r="AU76" s="65"/>
      <c r="AV76" s="65"/>
      <c r="AW76" s="68"/>
    </row>
    <row r="77" ht="15.75" customHeight="1">
      <c r="A77" s="29">
        <v>20903.0</v>
      </c>
      <c r="B77" s="76" t="s">
        <v>83</v>
      </c>
      <c r="C77" s="77">
        <v>0.0</v>
      </c>
      <c r="D77" s="77">
        <v>7315.0</v>
      </c>
      <c r="E77" s="78">
        <f t="shared" si="7"/>
        <v>0</v>
      </c>
      <c r="F77" s="77">
        <v>0.0</v>
      </c>
      <c r="G77" s="77">
        <v>7730.083333333333</v>
      </c>
      <c r="H77" s="78">
        <f t="shared" si="8"/>
        <v>0</v>
      </c>
      <c r="I77" s="77">
        <v>0.0</v>
      </c>
      <c r="J77" s="77">
        <v>8145.166666666667</v>
      </c>
      <c r="K77" s="78">
        <f t="shared" si="9"/>
        <v>0</v>
      </c>
      <c r="L77" s="79">
        <f t="shared" si="10"/>
        <v>0</v>
      </c>
      <c r="M77" s="80">
        <f t="shared" si="11"/>
        <v>0</v>
      </c>
      <c r="N77" s="77">
        <v>0.0</v>
      </c>
      <c r="O77" s="77">
        <v>11465.833333333332</v>
      </c>
      <c r="P77" s="81">
        <f t="shared" si="12"/>
        <v>0</v>
      </c>
      <c r="Q77" s="82">
        <v>30000.0</v>
      </c>
      <c r="R77" s="77">
        <v>11880.916666666666</v>
      </c>
      <c r="S77" s="81">
        <f t="shared" si="13"/>
        <v>2.525057691</v>
      </c>
      <c r="T77" s="77">
        <v>30000.0</v>
      </c>
      <c r="U77" s="77">
        <v>12296.0</v>
      </c>
      <c r="V77" s="81">
        <f t="shared" si="14"/>
        <v>2.439817827</v>
      </c>
      <c r="W77" s="83">
        <f t="shared" si="15"/>
        <v>1.654958506</v>
      </c>
      <c r="X77" s="84">
        <f t="shared" si="16"/>
        <v>20000</v>
      </c>
      <c r="AD77" s="65"/>
      <c r="AG77" s="65"/>
      <c r="AJ77" s="65"/>
      <c r="AK77" s="65"/>
      <c r="AL77" s="68"/>
      <c r="AO77" s="65"/>
      <c r="AR77" s="65"/>
      <c r="AU77" s="65"/>
      <c r="AV77" s="65"/>
      <c r="AW77" s="68"/>
    </row>
    <row r="78" ht="15.75" customHeight="1">
      <c r="A78" s="29">
        <v>20904.0</v>
      </c>
      <c r="B78" s="76" t="s">
        <v>84</v>
      </c>
      <c r="C78" s="77">
        <v>0.0</v>
      </c>
      <c r="D78" s="77">
        <v>5180.0</v>
      </c>
      <c r="E78" s="78">
        <f t="shared" si="7"/>
        <v>0</v>
      </c>
      <c r="F78" s="77">
        <v>0.0</v>
      </c>
      <c r="G78" s="77">
        <v>5189.75</v>
      </c>
      <c r="H78" s="78">
        <f t="shared" si="8"/>
        <v>0</v>
      </c>
      <c r="I78" s="77">
        <v>0.0</v>
      </c>
      <c r="J78" s="77">
        <v>5199.5</v>
      </c>
      <c r="K78" s="78">
        <f t="shared" si="9"/>
        <v>0</v>
      </c>
      <c r="L78" s="79">
        <f t="shared" si="10"/>
        <v>0</v>
      </c>
      <c r="M78" s="80">
        <f t="shared" si="11"/>
        <v>0</v>
      </c>
      <c r="N78" s="77">
        <v>0.0</v>
      </c>
      <c r="O78" s="77">
        <v>5277.5</v>
      </c>
      <c r="P78" s="81">
        <f t="shared" si="12"/>
        <v>0</v>
      </c>
      <c r="Q78" s="82">
        <v>0.0</v>
      </c>
      <c r="R78" s="77">
        <v>5287.25</v>
      </c>
      <c r="S78" s="81">
        <f t="shared" si="13"/>
        <v>0</v>
      </c>
      <c r="T78" s="77">
        <v>0.0</v>
      </c>
      <c r="U78" s="77">
        <v>5297.0</v>
      </c>
      <c r="V78" s="81">
        <f t="shared" si="14"/>
        <v>0</v>
      </c>
      <c r="W78" s="83">
        <f t="shared" si="15"/>
        <v>0</v>
      </c>
      <c r="X78" s="84">
        <f t="shared" si="16"/>
        <v>0</v>
      </c>
      <c r="AD78" s="65"/>
      <c r="AG78" s="65"/>
      <c r="AJ78" s="65"/>
      <c r="AK78" s="65"/>
      <c r="AL78" s="68"/>
      <c r="AO78" s="65"/>
      <c r="AR78" s="65"/>
      <c r="AU78" s="65"/>
      <c r="AV78" s="65"/>
      <c r="AW78" s="68"/>
    </row>
    <row r="79" ht="15.75" customHeight="1">
      <c r="A79" s="29">
        <v>20905.0</v>
      </c>
      <c r="B79" s="76" t="s">
        <v>85</v>
      </c>
      <c r="C79" s="77">
        <v>5000.0</v>
      </c>
      <c r="D79" s="77">
        <v>11355.0</v>
      </c>
      <c r="E79" s="78">
        <f t="shared" si="7"/>
        <v>0.4403346543</v>
      </c>
      <c r="F79" s="77">
        <v>30000.0</v>
      </c>
      <c r="G79" s="77">
        <v>11541.916666666666</v>
      </c>
      <c r="H79" s="78">
        <f t="shared" si="8"/>
        <v>2.599221678</v>
      </c>
      <c r="I79" s="77">
        <v>0.0</v>
      </c>
      <c r="J79" s="77">
        <v>11728.833333333334</v>
      </c>
      <c r="K79" s="78">
        <f t="shared" si="9"/>
        <v>0</v>
      </c>
      <c r="L79" s="79">
        <f t="shared" si="10"/>
        <v>1.013185444</v>
      </c>
      <c r="M79" s="80">
        <f t="shared" si="11"/>
        <v>11666.66667</v>
      </c>
      <c r="N79" s="77">
        <v>80000.0</v>
      </c>
      <c r="O79" s="77">
        <v>13224.166666666666</v>
      </c>
      <c r="P79" s="81">
        <f t="shared" si="12"/>
        <v>6.049530531</v>
      </c>
      <c r="Q79" s="82">
        <v>150000.0</v>
      </c>
      <c r="R79" s="77">
        <v>13411.083333333332</v>
      </c>
      <c r="S79" s="81">
        <f t="shared" si="13"/>
        <v>11.18477876</v>
      </c>
      <c r="T79" s="77">
        <v>150000.0</v>
      </c>
      <c r="U79" s="77">
        <v>13598.0</v>
      </c>
      <c r="V79" s="81">
        <f t="shared" si="14"/>
        <v>11.03103398</v>
      </c>
      <c r="W79" s="83">
        <f t="shared" si="15"/>
        <v>9.421781089</v>
      </c>
      <c r="X79" s="84">
        <f t="shared" si="16"/>
        <v>126666.6667</v>
      </c>
      <c r="AD79" s="65"/>
      <c r="AG79" s="65"/>
      <c r="AJ79" s="65"/>
      <c r="AK79" s="65"/>
      <c r="AL79" s="68"/>
      <c r="AO79" s="65"/>
      <c r="AR79" s="65"/>
      <c r="AU79" s="65"/>
      <c r="AV79" s="65"/>
      <c r="AW79" s="68"/>
    </row>
    <row r="80" ht="15.75" customHeight="1">
      <c r="A80" s="29">
        <v>21001.0</v>
      </c>
      <c r="B80" s="76" t="s">
        <v>86</v>
      </c>
      <c r="C80" s="77">
        <v>30000.0</v>
      </c>
      <c r="D80" s="77">
        <v>14717.0</v>
      </c>
      <c r="E80" s="78">
        <f t="shared" si="7"/>
        <v>2.038458925</v>
      </c>
      <c r="F80" s="77">
        <v>40000.0</v>
      </c>
      <c r="G80" s="77">
        <v>15047.166666666666</v>
      </c>
      <c r="H80" s="78">
        <f t="shared" si="8"/>
        <v>2.658307766</v>
      </c>
      <c r="I80" s="77">
        <v>0.0</v>
      </c>
      <c r="J80" s="77">
        <v>15377.333333333334</v>
      </c>
      <c r="K80" s="78">
        <f t="shared" si="9"/>
        <v>0</v>
      </c>
      <c r="L80" s="79">
        <f t="shared" si="10"/>
        <v>1.565588897</v>
      </c>
      <c r="M80" s="80">
        <f t="shared" si="11"/>
        <v>23333.33333</v>
      </c>
      <c r="N80" s="77">
        <v>70000.0</v>
      </c>
      <c r="O80" s="77">
        <v>18018.666666666668</v>
      </c>
      <c r="P80" s="81">
        <f t="shared" si="12"/>
        <v>3.884860145</v>
      </c>
      <c r="Q80" s="82">
        <v>70000.0</v>
      </c>
      <c r="R80" s="77">
        <v>18348.833333333332</v>
      </c>
      <c r="S80" s="81">
        <f t="shared" si="13"/>
        <v>3.814956446</v>
      </c>
      <c r="T80" s="77">
        <v>70000.0</v>
      </c>
      <c r="U80" s="77">
        <v>18679.0</v>
      </c>
      <c r="V80" s="81">
        <f t="shared" si="14"/>
        <v>3.747523957</v>
      </c>
      <c r="W80" s="83">
        <f t="shared" si="15"/>
        <v>3.815780183</v>
      </c>
      <c r="X80" s="84">
        <f t="shared" si="16"/>
        <v>70000</v>
      </c>
      <c r="AD80" s="65"/>
      <c r="AG80" s="65"/>
      <c r="AJ80" s="65"/>
      <c r="AK80" s="65"/>
      <c r="AL80" s="68"/>
      <c r="AO80" s="65"/>
      <c r="AR80" s="65"/>
      <c r="AU80" s="65"/>
      <c r="AV80" s="65"/>
      <c r="AW80" s="68"/>
    </row>
    <row r="81" ht="15.75" customHeight="1">
      <c r="A81" s="29">
        <v>21002.0</v>
      </c>
      <c r="B81" s="76" t="s">
        <v>87</v>
      </c>
      <c r="C81" s="77">
        <v>70000.0</v>
      </c>
      <c r="D81" s="77">
        <v>8266.0</v>
      </c>
      <c r="E81" s="78">
        <f t="shared" si="7"/>
        <v>8.468424873</v>
      </c>
      <c r="F81" s="77">
        <v>70000.0</v>
      </c>
      <c r="G81" s="77">
        <v>8484.416666666666</v>
      </c>
      <c r="H81" s="78">
        <f t="shared" si="8"/>
        <v>8.250419887</v>
      </c>
      <c r="I81" s="77">
        <v>0.0</v>
      </c>
      <c r="J81" s="77">
        <v>8702.833333333334</v>
      </c>
      <c r="K81" s="78">
        <f t="shared" si="9"/>
        <v>0</v>
      </c>
      <c r="L81" s="79">
        <f t="shared" si="10"/>
        <v>5.572948253</v>
      </c>
      <c r="M81" s="80">
        <f t="shared" si="11"/>
        <v>46666.66667</v>
      </c>
      <c r="N81" s="77">
        <v>120000.0</v>
      </c>
      <c r="O81" s="77">
        <v>10450.166666666666</v>
      </c>
      <c r="P81" s="81">
        <f t="shared" si="12"/>
        <v>11.48307045</v>
      </c>
      <c r="Q81" s="82">
        <v>160000.0</v>
      </c>
      <c r="R81" s="77">
        <v>10668.583333333332</v>
      </c>
      <c r="S81" s="81">
        <f t="shared" si="13"/>
        <v>14.99730517</v>
      </c>
      <c r="T81" s="77">
        <v>200000.0</v>
      </c>
      <c r="U81" s="77">
        <v>10887.0</v>
      </c>
      <c r="V81" s="81">
        <f t="shared" si="14"/>
        <v>18.37053366</v>
      </c>
      <c r="W81" s="83">
        <f t="shared" si="15"/>
        <v>14.95030309</v>
      </c>
      <c r="X81" s="84">
        <f t="shared" si="16"/>
        <v>160000</v>
      </c>
      <c r="AD81" s="65"/>
      <c r="AG81" s="65"/>
      <c r="AJ81" s="65"/>
      <c r="AK81" s="65"/>
      <c r="AL81" s="68"/>
      <c r="AO81" s="65"/>
      <c r="AR81" s="65"/>
      <c r="AU81" s="65"/>
      <c r="AV81" s="65"/>
      <c r="AW81" s="68"/>
    </row>
    <row r="82" ht="15.75" customHeight="1">
      <c r="A82" s="29">
        <v>21003.0</v>
      </c>
      <c r="B82" s="76" t="s">
        <v>88</v>
      </c>
      <c r="C82" s="77">
        <v>86800.0</v>
      </c>
      <c r="D82" s="77">
        <v>10458.0</v>
      </c>
      <c r="E82" s="78">
        <f t="shared" si="7"/>
        <v>8.299866131</v>
      </c>
      <c r="F82" s="77">
        <v>62400.0</v>
      </c>
      <c r="G82" s="77">
        <v>10883.583333333334</v>
      </c>
      <c r="H82" s="78">
        <f t="shared" si="8"/>
        <v>5.733405818</v>
      </c>
      <c r="I82" s="77">
        <v>0.0</v>
      </c>
      <c r="J82" s="77">
        <v>11309.166666666666</v>
      </c>
      <c r="K82" s="78">
        <f t="shared" si="9"/>
        <v>0</v>
      </c>
      <c r="L82" s="79">
        <f t="shared" si="10"/>
        <v>4.677757316</v>
      </c>
      <c r="M82" s="80">
        <f t="shared" si="11"/>
        <v>49733.33333</v>
      </c>
      <c r="N82" s="77">
        <v>68463.0</v>
      </c>
      <c r="O82" s="77">
        <v>14713.833333333332</v>
      </c>
      <c r="P82" s="81">
        <f t="shared" si="12"/>
        <v>4.652968295</v>
      </c>
      <c r="Q82" s="82">
        <v>130000.0</v>
      </c>
      <c r="R82" s="77">
        <v>15139.416666666666</v>
      </c>
      <c r="S82" s="81">
        <f t="shared" si="13"/>
        <v>8.586856605</v>
      </c>
      <c r="T82" s="77">
        <v>51000.0</v>
      </c>
      <c r="U82" s="77">
        <v>15565.0</v>
      </c>
      <c r="V82" s="81">
        <f t="shared" si="14"/>
        <v>3.276582075</v>
      </c>
      <c r="W82" s="83">
        <f t="shared" si="15"/>
        <v>5.505468992</v>
      </c>
      <c r="X82" s="84">
        <f t="shared" si="16"/>
        <v>83154.33333</v>
      </c>
      <c r="AD82" s="65"/>
      <c r="AG82" s="65"/>
      <c r="AJ82" s="65"/>
      <c r="AK82" s="65"/>
      <c r="AL82" s="68"/>
      <c r="AO82" s="65"/>
      <c r="AR82" s="65"/>
      <c r="AU82" s="65"/>
      <c r="AV82" s="65"/>
      <c r="AW82" s="68"/>
    </row>
    <row r="83" ht="15.75" customHeight="1">
      <c r="A83" s="29">
        <v>21004.0</v>
      </c>
      <c r="B83" s="76" t="s">
        <v>89</v>
      </c>
      <c r="C83" s="77">
        <v>0.0</v>
      </c>
      <c r="D83" s="77">
        <v>19620.0</v>
      </c>
      <c r="E83" s="78">
        <f t="shared" si="7"/>
        <v>0</v>
      </c>
      <c r="F83" s="77">
        <v>1000.0</v>
      </c>
      <c r="G83" s="77">
        <v>19943.75</v>
      </c>
      <c r="H83" s="78">
        <f t="shared" si="8"/>
        <v>0.05014102162</v>
      </c>
      <c r="I83" s="77">
        <v>0.0</v>
      </c>
      <c r="J83" s="77">
        <v>20267.5</v>
      </c>
      <c r="K83" s="78">
        <f t="shared" si="9"/>
        <v>0</v>
      </c>
      <c r="L83" s="79">
        <f t="shared" si="10"/>
        <v>0.01671367387</v>
      </c>
      <c r="M83" s="80">
        <f t="shared" si="11"/>
        <v>333.3333333</v>
      </c>
      <c r="N83" s="77">
        <v>350000.0</v>
      </c>
      <c r="O83" s="77">
        <v>22857.5</v>
      </c>
      <c r="P83" s="81">
        <f t="shared" si="12"/>
        <v>15.31226075</v>
      </c>
      <c r="Q83" s="82">
        <v>350000.0</v>
      </c>
      <c r="R83" s="77">
        <v>23181.25</v>
      </c>
      <c r="S83" s="81">
        <f t="shared" si="13"/>
        <v>15.09840927</v>
      </c>
      <c r="T83" s="77">
        <v>350000.0</v>
      </c>
      <c r="U83" s="77">
        <v>23505.0</v>
      </c>
      <c r="V83" s="81">
        <f t="shared" si="14"/>
        <v>14.89044884</v>
      </c>
      <c r="W83" s="83">
        <f t="shared" si="15"/>
        <v>15.10037295</v>
      </c>
      <c r="X83" s="84">
        <f t="shared" si="16"/>
        <v>350000</v>
      </c>
      <c r="AD83" s="65"/>
      <c r="AG83" s="65"/>
      <c r="AJ83" s="65"/>
      <c r="AK83" s="65"/>
      <c r="AL83" s="68"/>
      <c r="AO83" s="65"/>
      <c r="AR83" s="65"/>
      <c r="AU83" s="65"/>
      <c r="AV83" s="65"/>
      <c r="AW83" s="68"/>
    </row>
    <row r="84" ht="15.75" customHeight="1">
      <c r="A84" s="29">
        <v>21005.0</v>
      </c>
      <c r="B84" s="76" t="s">
        <v>90</v>
      </c>
      <c r="C84" s="77">
        <v>0.0</v>
      </c>
      <c r="D84" s="77">
        <v>7913.0</v>
      </c>
      <c r="E84" s="78">
        <f t="shared" si="7"/>
        <v>0</v>
      </c>
      <c r="F84" s="77">
        <v>17300.0</v>
      </c>
      <c r="G84" s="77">
        <v>8049.583333333333</v>
      </c>
      <c r="H84" s="78">
        <f t="shared" si="8"/>
        <v>2.149179564</v>
      </c>
      <c r="I84" s="77">
        <v>0.0</v>
      </c>
      <c r="J84" s="77">
        <v>8186.166666666667</v>
      </c>
      <c r="K84" s="78">
        <f t="shared" si="9"/>
        <v>0</v>
      </c>
      <c r="L84" s="79">
        <f t="shared" si="10"/>
        <v>0.7163931881</v>
      </c>
      <c r="M84" s="80">
        <f t="shared" si="11"/>
        <v>5766.666667</v>
      </c>
      <c r="N84" s="77">
        <v>10000.0</v>
      </c>
      <c r="O84" s="77">
        <v>9278.833333333334</v>
      </c>
      <c r="P84" s="81">
        <f t="shared" si="12"/>
        <v>1.077721696</v>
      </c>
      <c r="Q84" s="82">
        <v>10000.0</v>
      </c>
      <c r="R84" s="77">
        <v>9415.416666666666</v>
      </c>
      <c r="S84" s="81">
        <f t="shared" si="13"/>
        <v>1.062087888</v>
      </c>
      <c r="T84" s="77">
        <v>10000.0</v>
      </c>
      <c r="U84" s="77">
        <v>9552.0</v>
      </c>
      <c r="V84" s="81">
        <f t="shared" si="14"/>
        <v>1.046901173</v>
      </c>
      <c r="W84" s="83">
        <f t="shared" si="15"/>
        <v>1.062236919</v>
      </c>
      <c r="X84" s="84">
        <f t="shared" si="16"/>
        <v>10000</v>
      </c>
      <c r="AD84" s="65"/>
      <c r="AG84" s="65"/>
      <c r="AJ84" s="65"/>
      <c r="AK84" s="65"/>
      <c r="AL84" s="68"/>
      <c r="AO84" s="65"/>
      <c r="AR84" s="65"/>
      <c r="AU84" s="65"/>
      <c r="AV84" s="65"/>
      <c r="AW84" s="68"/>
    </row>
    <row r="85" ht="15.75" customHeight="1">
      <c r="A85" s="29">
        <v>21006.0</v>
      </c>
      <c r="B85" s="76" t="s">
        <v>91</v>
      </c>
      <c r="C85" s="77">
        <v>45000.0</v>
      </c>
      <c r="D85" s="77">
        <v>5488.0</v>
      </c>
      <c r="E85" s="78">
        <f t="shared" si="7"/>
        <v>8.199708455</v>
      </c>
      <c r="F85" s="77">
        <v>30000.0</v>
      </c>
      <c r="G85" s="77">
        <v>5687.083333333333</v>
      </c>
      <c r="H85" s="78">
        <f t="shared" si="8"/>
        <v>5.27511173</v>
      </c>
      <c r="I85" s="77">
        <v>0.0</v>
      </c>
      <c r="J85" s="77">
        <v>5886.166666666667</v>
      </c>
      <c r="K85" s="78">
        <f t="shared" si="9"/>
        <v>0</v>
      </c>
      <c r="L85" s="79">
        <f t="shared" si="10"/>
        <v>4.491606728</v>
      </c>
      <c r="M85" s="80">
        <f t="shared" si="11"/>
        <v>25000</v>
      </c>
      <c r="N85" s="77">
        <v>52800.0</v>
      </c>
      <c r="O85" s="77">
        <v>7478.833333333334</v>
      </c>
      <c r="P85" s="81">
        <f t="shared" si="12"/>
        <v>7.059924676</v>
      </c>
      <c r="Q85" s="82">
        <v>90000.0</v>
      </c>
      <c r="R85" s="77">
        <v>7677.916666666667</v>
      </c>
      <c r="S85" s="81">
        <f t="shared" si="13"/>
        <v>11.72192978</v>
      </c>
      <c r="T85" s="77">
        <v>80000.0</v>
      </c>
      <c r="U85" s="77">
        <v>7877.0</v>
      </c>
      <c r="V85" s="81">
        <f t="shared" si="14"/>
        <v>10.15615082</v>
      </c>
      <c r="W85" s="83">
        <f t="shared" si="15"/>
        <v>9.646001757</v>
      </c>
      <c r="X85" s="84">
        <f t="shared" si="16"/>
        <v>74266.66667</v>
      </c>
      <c r="AD85" s="65"/>
      <c r="AG85" s="65"/>
      <c r="AJ85" s="65"/>
      <c r="AK85" s="65"/>
      <c r="AL85" s="68"/>
      <c r="AO85" s="65"/>
      <c r="AR85" s="65"/>
      <c r="AU85" s="65"/>
      <c r="AV85" s="65"/>
      <c r="AW85" s="68"/>
    </row>
    <row r="86" ht="15.75" customHeight="1">
      <c r="A86" s="29">
        <v>21101.0</v>
      </c>
      <c r="B86" s="76" t="s">
        <v>92</v>
      </c>
      <c r="C86" s="77">
        <v>100000.0</v>
      </c>
      <c r="D86" s="77">
        <v>17823.0</v>
      </c>
      <c r="E86" s="78">
        <f t="shared" si="7"/>
        <v>5.610727711</v>
      </c>
      <c r="F86" s="77">
        <v>50000.0</v>
      </c>
      <c r="G86" s="77">
        <v>17863.0</v>
      </c>
      <c r="H86" s="78">
        <f t="shared" si="8"/>
        <v>2.799081901</v>
      </c>
      <c r="I86" s="77">
        <v>0.0</v>
      </c>
      <c r="J86" s="77">
        <v>17903.0</v>
      </c>
      <c r="K86" s="78">
        <f t="shared" si="9"/>
        <v>0</v>
      </c>
      <c r="L86" s="79">
        <f t="shared" si="10"/>
        <v>2.803269871</v>
      </c>
      <c r="M86" s="80">
        <f t="shared" si="11"/>
        <v>50000</v>
      </c>
      <c r="N86" s="77">
        <v>0.0</v>
      </c>
      <c r="O86" s="77">
        <v>18223.0</v>
      </c>
      <c r="P86" s="81">
        <f t="shared" si="12"/>
        <v>0</v>
      </c>
      <c r="Q86" s="82">
        <v>540000.0</v>
      </c>
      <c r="R86" s="77">
        <v>18263.0</v>
      </c>
      <c r="S86" s="81">
        <f t="shared" si="13"/>
        <v>29.56797897</v>
      </c>
      <c r="T86" s="77">
        <v>956299.0</v>
      </c>
      <c r="U86" s="77">
        <v>18303.0</v>
      </c>
      <c r="V86" s="81">
        <f t="shared" si="14"/>
        <v>52.24821068</v>
      </c>
      <c r="W86" s="83">
        <f t="shared" si="15"/>
        <v>27.27206322</v>
      </c>
      <c r="X86" s="84">
        <f t="shared" si="16"/>
        <v>498766.3333</v>
      </c>
      <c r="AD86" s="65"/>
      <c r="AG86" s="65"/>
      <c r="AJ86" s="65"/>
      <c r="AK86" s="65"/>
      <c r="AL86" s="68"/>
      <c r="AO86" s="65"/>
      <c r="AR86" s="65"/>
      <c r="AU86" s="65"/>
      <c r="AV86" s="65"/>
      <c r="AW86" s="68"/>
    </row>
    <row r="87" ht="15.75" customHeight="1">
      <c r="A87" s="29">
        <v>21102.0</v>
      </c>
      <c r="B87" s="76" t="s">
        <v>93</v>
      </c>
      <c r="C87" s="77">
        <v>200000.0</v>
      </c>
      <c r="D87" s="77">
        <v>17276.0</v>
      </c>
      <c r="E87" s="78">
        <f t="shared" si="7"/>
        <v>11.57675388</v>
      </c>
      <c r="F87" s="77">
        <v>220001.0</v>
      </c>
      <c r="G87" s="77">
        <v>17776.25</v>
      </c>
      <c r="H87" s="78">
        <f t="shared" si="8"/>
        <v>12.37611982</v>
      </c>
      <c r="I87" s="77">
        <v>0.0</v>
      </c>
      <c r="J87" s="77">
        <v>18276.5</v>
      </c>
      <c r="K87" s="78">
        <f t="shared" si="9"/>
        <v>0</v>
      </c>
      <c r="L87" s="79">
        <f t="shared" si="10"/>
        <v>7.984291234</v>
      </c>
      <c r="M87" s="80">
        <f t="shared" si="11"/>
        <v>140000.3333</v>
      </c>
      <c r="N87" s="77">
        <v>553522.0</v>
      </c>
      <c r="O87" s="77">
        <v>22278.5</v>
      </c>
      <c r="P87" s="81">
        <f t="shared" si="12"/>
        <v>24.8455686</v>
      </c>
      <c r="Q87" s="82">
        <v>416715.0</v>
      </c>
      <c r="R87" s="77">
        <v>22778.75</v>
      </c>
      <c r="S87" s="81">
        <f t="shared" si="13"/>
        <v>18.29402404</v>
      </c>
      <c r="T87" s="77">
        <v>436622.0</v>
      </c>
      <c r="U87" s="77">
        <v>23279.0</v>
      </c>
      <c r="V87" s="81">
        <f t="shared" si="14"/>
        <v>18.75604622</v>
      </c>
      <c r="W87" s="83">
        <f t="shared" si="15"/>
        <v>20.63187962</v>
      </c>
      <c r="X87" s="84">
        <f t="shared" si="16"/>
        <v>468953</v>
      </c>
      <c r="AD87" s="65"/>
      <c r="AG87" s="65"/>
      <c r="AJ87" s="65"/>
      <c r="AK87" s="65"/>
      <c r="AL87" s="68"/>
      <c r="AO87" s="65"/>
      <c r="AR87" s="65"/>
      <c r="AU87" s="65"/>
      <c r="AV87" s="65"/>
      <c r="AW87" s="68"/>
    </row>
    <row r="88" ht="15.75" customHeight="1">
      <c r="A88" s="29">
        <v>21103.0</v>
      </c>
      <c r="B88" s="76" t="s">
        <v>94</v>
      </c>
      <c r="C88" s="77">
        <v>30010.0</v>
      </c>
      <c r="D88" s="77">
        <v>6420.0</v>
      </c>
      <c r="E88" s="78">
        <f t="shared" si="7"/>
        <v>4.674454829</v>
      </c>
      <c r="F88" s="77">
        <v>34392.0</v>
      </c>
      <c r="G88" s="77">
        <v>6519.583333333333</v>
      </c>
      <c r="H88" s="78">
        <f t="shared" si="8"/>
        <v>5.275183741</v>
      </c>
      <c r="I88" s="77">
        <v>0.0</v>
      </c>
      <c r="J88" s="77">
        <v>6619.166666666667</v>
      </c>
      <c r="K88" s="78">
        <f t="shared" si="9"/>
        <v>0</v>
      </c>
      <c r="L88" s="79">
        <f t="shared" si="10"/>
        <v>3.31654619</v>
      </c>
      <c r="M88" s="80">
        <f t="shared" si="11"/>
        <v>21467.33333</v>
      </c>
      <c r="N88" s="77">
        <v>0.0</v>
      </c>
      <c r="O88" s="77">
        <v>7415.833333333333</v>
      </c>
      <c r="P88" s="81">
        <f t="shared" si="12"/>
        <v>0</v>
      </c>
      <c r="Q88" s="82">
        <v>0.0</v>
      </c>
      <c r="R88" s="77">
        <v>7515.416666666666</v>
      </c>
      <c r="S88" s="81">
        <f t="shared" si="13"/>
        <v>0</v>
      </c>
      <c r="T88" s="77">
        <v>0.0</v>
      </c>
      <c r="U88" s="77">
        <v>7615.0</v>
      </c>
      <c r="V88" s="81">
        <f t="shared" si="14"/>
        <v>0</v>
      </c>
      <c r="W88" s="83">
        <f t="shared" si="15"/>
        <v>0</v>
      </c>
      <c r="X88" s="84">
        <f t="shared" si="16"/>
        <v>0</v>
      </c>
      <c r="AD88" s="65"/>
      <c r="AG88" s="65"/>
      <c r="AJ88" s="65"/>
      <c r="AK88" s="65"/>
      <c r="AL88" s="68"/>
      <c r="AO88" s="65"/>
      <c r="AR88" s="65"/>
      <c r="AU88" s="65"/>
      <c r="AV88" s="65"/>
      <c r="AW88" s="68"/>
    </row>
    <row r="89" ht="15.75" customHeight="1">
      <c r="A89" s="29">
        <v>21104.0</v>
      </c>
      <c r="B89" s="76" t="s">
        <v>95</v>
      </c>
      <c r="C89" s="77">
        <v>80000.0</v>
      </c>
      <c r="D89" s="77">
        <v>24731.0</v>
      </c>
      <c r="E89" s="78">
        <f t="shared" si="7"/>
        <v>3.234806518</v>
      </c>
      <c r="F89" s="77">
        <v>170000.0</v>
      </c>
      <c r="G89" s="77">
        <v>24931.5</v>
      </c>
      <c r="H89" s="78">
        <f t="shared" si="8"/>
        <v>6.818683192</v>
      </c>
      <c r="I89" s="77">
        <v>0.0</v>
      </c>
      <c r="J89" s="77">
        <v>25132.0</v>
      </c>
      <c r="K89" s="78">
        <f t="shared" si="9"/>
        <v>0</v>
      </c>
      <c r="L89" s="79">
        <f t="shared" si="10"/>
        <v>3.351163237</v>
      </c>
      <c r="M89" s="80">
        <f t="shared" si="11"/>
        <v>83333.33333</v>
      </c>
      <c r="N89" s="77">
        <v>891544.0</v>
      </c>
      <c r="O89" s="77">
        <v>26736.0</v>
      </c>
      <c r="P89" s="81">
        <f t="shared" si="12"/>
        <v>33.34619988</v>
      </c>
      <c r="Q89" s="82">
        <v>340000.0</v>
      </c>
      <c r="R89" s="77">
        <v>26936.5</v>
      </c>
      <c r="S89" s="81">
        <f t="shared" si="13"/>
        <v>12.62227832</v>
      </c>
      <c r="T89" s="77">
        <v>501544.0</v>
      </c>
      <c r="U89" s="77">
        <v>27137.0</v>
      </c>
      <c r="V89" s="81">
        <f t="shared" si="14"/>
        <v>18.48192505</v>
      </c>
      <c r="W89" s="83">
        <f t="shared" si="15"/>
        <v>21.48346775</v>
      </c>
      <c r="X89" s="84">
        <f t="shared" si="16"/>
        <v>577696</v>
      </c>
      <c r="AD89" s="65"/>
      <c r="AG89" s="65"/>
      <c r="AJ89" s="65"/>
      <c r="AK89" s="65"/>
      <c r="AL89" s="68"/>
      <c r="AO89" s="65"/>
      <c r="AR89" s="65"/>
      <c r="AU89" s="65"/>
      <c r="AV89" s="65"/>
      <c r="AW89" s="68"/>
    </row>
    <row r="90" ht="15.75" customHeight="1">
      <c r="A90" s="29">
        <v>21105.0</v>
      </c>
      <c r="B90" s="76" t="s">
        <v>96</v>
      </c>
      <c r="C90" s="77">
        <v>40000.0</v>
      </c>
      <c r="D90" s="77">
        <v>40178.0</v>
      </c>
      <c r="E90" s="78">
        <f t="shared" si="7"/>
        <v>0.9955697148</v>
      </c>
      <c r="F90" s="77">
        <v>130000.0</v>
      </c>
      <c r="G90" s="77">
        <v>40628.75</v>
      </c>
      <c r="H90" s="78">
        <f t="shared" si="8"/>
        <v>3.199704643</v>
      </c>
      <c r="I90" s="77">
        <v>0.0</v>
      </c>
      <c r="J90" s="77">
        <v>41079.5</v>
      </c>
      <c r="K90" s="78">
        <f t="shared" si="9"/>
        <v>0</v>
      </c>
      <c r="L90" s="79">
        <f t="shared" si="10"/>
        <v>1.398424786</v>
      </c>
      <c r="M90" s="80">
        <f t="shared" si="11"/>
        <v>56666.66667</v>
      </c>
      <c r="N90" s="77">
        <v>463344.0</v>
      </c>
      <c r="O90" s="77">
        <v>44685.5</v>
      </c>
      <c r="P90" s="81">
        <f t="shared" si="12"/>
        <v>10.36900113</v>
      </c>
      <c r="Q90" s="82">
        <v>389503.0</v>
      </c>
      <c r="R90" s="77">
        <v>45136.25</v>
      </c>
      <c r="S90" s="81">
        <f t="shared" si="13"/>
        <v>8.629494032</v>
      </c>
      <c r="T90" s="77">
        <v>434939.0</v>
      </c>
      <c r="U90" s="77">
        <v>45587.0</v>
      </c>
      <c r="V90" s="81">
        <f t="shared" si="14"/>
        <v>9.540855946</v>
      </c>
      <c r="W90" s="83">
        <f t="shared" si="15"/>
        <v>9.513117036</v>
      </c>
      <c r="X90" s="84">
        <f t="shared" si="16"/>
        <v>429262</v>
      </c>
      <c r="AD90" s="65"/>
      <c r="AG90" s="65"/>
      <c r="AJ90" s="65"/>
      <c r="AK90" s="65"/>
      <c r="AL90" s="68"/>
      <c r="AO90" s="65"/>
      <c r="AR90" s="65"/>
      <c r="AU90" s="65"/>
      <c r="AV90" s="65"/>
      <c r="AW90" s="68"/>
    </row>
    <row r="91" ht="15.75" customHeight="1">
      <c r="A91" s="29">
        <v>21201.0</v>
      </c>
      <c r="B91" s="76" t="s">
        <v>97</v>
      </c>
      <c r="C91" s="77">
        <v>27000.0</v>
      </c>
      <c r="D91" s="77">
        <v>30124.0</v>
      </c>
      <c r="E91" s="78">
        <f t="shared" si="7"/>
        <v>0.8962953127</v>
      </c>
      <c r="F91" s="77">
        <v>30000.0</v>
      </c>
      <c r="G91" s="77">
        <v>31767.833333333332</v>
      </c>
      <c r="H91" s="78">
        <f t="shared" si="8"/>
        <v>0.9443514666</v>
      </c>
      <c r="I91" s="77">
        <v>0.0</v>
      </c>
      <c r="J91" s="77">
        <v>33411.666666666664</v>
      </c>
      <c r="K91" s="78">
        <f t="shared" si="9"/>
        <v>0</v>
      </c>
      <c r="L91" s="79">
        <f t="shared" si="10"/>
        <v>0.6135489264</v>
      </c>
      <c r="M91" s="80">
        <f t="shared" si="11"/>
        <v>19000</v>
      </c>
      <c r="N91" s="77">
        <v>100000.0</v>
      </c>
      <c r="O91" s="77">
        <v>46562.33333333333</v>
      </c>
      <c r="P91" s="81">
        <f t="shared" si="12"/>
        <v>2.147658694</v>
      </c>
      <c r="Q91" s="82">
        <v>125000.0</v>
      </c>
      <c r="R91" s="77">
        <v>48206.166666666664</v>
      </c>
      <c r="S91" s="81">
        <f t="shared" si="13"/>
        <v>2.593029246</v>
      </c>
      <c r="T91" s="77">
        <v>190000.0</v>
      </c>
      <c r="U91" s="77">
        <v>49850.0</v>
      </c>
      <c r="V91" s="81">
        <f t="shared" si="14"/>
        <v>3.811434303</v>
      </c>
      <c r="W91" s="83">
        <f t="shared" si="15"/>
        <v>2.850707414</v>
      </c>
      <c r="X91" s="84">
        <f t="shared" si="16"/>
        <v>138333.3333</v>
      </c>
      <c r="AD91" s="65"/>
      <c r="AG91" s="65"/>
      <c r="AJ91" s="65"/>
      <c r="AK91" s="65"/>
      <c r="AL91" s="68"/>
      <c r="AO91" s="65"/>
      <c r="AR91" s="65"/>
      <c r="AU91" s="65"/>
      <c r="AV91" s="65"/>
      <c r="AW91" s="68"/>
    </row>
    <row r="92" ht="15.75" customHeight="1">
      <c r="A92" s="29">
        <v>21202.0</v>
      </c>
      <c r="B92" s="76" t="s">
        <v>98</v>
      </c>
      <c r="C92" s="77">
        <v>16000.0</v>
      </c>
      <c r="D92" s="77">
        <v>24531.0</v>
      </c>
      <c r="E92" s="78">
        <f t="shared" si="7"/>
        <v>0.6522359464</v>
      </c>
      <c r="F92" s="77">
        <v>15000.0</v>
      </c>
      <c r="G92" s="77">
        <v>25707.75</v>
      </c>
      <c r="H92" s="78">
        <f t="shared" si="8"/>
        <v>0.5834816349</v>
      </c>
      <c r="I92" s="77">
        <v>0.0</v>
      </c>
      <c r="J92" s="77">
        <v>26884.5</v>
      </c>
      <c r="K92" s="78">
        <f t="shared" si="9"/>
        <v>0</v>
      </c>
      <c r="L92" s="79">
        <f t="shared" si="10"/>
        <v>0.4119058604</v>
      </c>
      <c r="M92" s="80">
        <f t="shared" si="11"/>
        <v>10333.33333</v>
      </c>
      <c r="N92" s="77">
        <v>487600.0</v>
      </c>
      <c r="O92" s="77">
        <v>36298.5</v>
      </c>
      <c r="P92" s="81">
        <f t="shared" si="12"/>
        <v>13.43306197</v>
      </c>
      <c r="Q92" s="82">
        <v>250000.0</v>
      </c>
      <c r="R92" s="77">
        <v>37475.25</v>
      </c>
      <c r="S92" s="81">
        <f t="shared" si="13"/>
        <v>6.671069573</v>
      </c>
      <c r="T92" s="77">
        <v>245000.0</v>
      </c>
      <c r="U92" s="77">
        <v>38652.0</v>
      </c>
      <c r="V92" s="81">
        <f t="shared" si="14"/>
        <v>6.338611197</v>
      </c>
      <c r="W92" s="83">
        <f t="shared" si="15"/>
        <v>8.814247581</v>
      </c>
      <c r="X92" s="84">
        <f t="shared" si="16"/>
        <v>327533.3333</v>
      </c>
      <c r="AD92" s="65"/>
      <c r="AG92" s="65"/>
      <c r="AJ92" s="65"/>
      <c r="AK92" s="65"/>
      <c r="AL92" s="68"/>
      <c r="AO92" s="65"/>
      <c r="AR92" s="65"/>
      <c r="AU92" s="65"/>
      <c r="AV92" s="65"/>
      <c r="AW92" s="68"/>
    </row>
    <row r="93" ht="15.75" customHeight="1">
      <c r="A93" s="29">
        <v>21203.0</v>
      </c>
      <c r="B93" s="76" t="s">
        <v>99</v>
      </c>
      <c r="C93" s="77">
        <v>50000.0</v>
      </c>
      <c r="D93" s="77">
        <v>17426.0</v>
      </c>
      <c r="E93" s="78">
        <f t="shared" si="7"/>
        <v>2.869275795</v>
      </c>
      <c r="F93" s="77">
        <v>120000.0</v>
      </c>
      <c r="G93" s="77">
        <v>17691.083333333332</v>
      </c>
      <c r="H93" s="78">
        <f t="shared" si="8"/>
        <v>6.783078104</v>
      </c>
      <c r="I93" s="77">
        <v>0.0</v>
      </c>
      <c r="J93" s="77">
        <v>17956.166666666668</v>
      </c>
      <c r="K93" s="78">
        <f t="shared" si="9"/>
        <v>0</v>
      </c>
      <c r="L93" s="79">
        <f t="shared" si="10"/>
        <v>3.2174513</v>
      </c>
      <c r="M93" s="80">
        <f t="shared" si="11"/>
        <v>56666.66667</v>
      </c>
      <c r="N93" s="77">
        <v>10000.0</v>
      </c>
      <c r="O93" s="77">
        <v>20076.833333333332</v>
      </c>
      <c r="P93" s="81">
        <f t="shared" si="12"/>
        <v>0.4980865176</v>
      </c>
      <c r="Q93" s="82">
        <v>250000.0</v>
      </c>
      <c r="R93" s="77">
        <v>20341.916666666668</v>
      </c>
      <c r="S93" s="81">
        <f t="shared" si="13"/>
        <v>12.28989402</v>
      </c>
      <c r="T93" s="77">
        <v>236398.0</v>
      </c>
      <c r="U93" s="77">
        <v>20607.0</v>
      </c>
      <c r="V93" s="81">
        <f t="shared" si="14"/>
        <v>11.47173291</v>
      </c>
      <c r="W93" s="83">
        <f t="shared" si="15"/>
        <v>8.086571148</v>
      </c>
      <c r="X93" s="84">
        <f t="shared" si="16"/>
        <v>165466</v>
      </c>
      <c r="AD93" s="65"/>
      <c r="AG93" s="65"/>
      <c r="AJ93" s="65"/>
      <c r="AK93" s="65"/>
      <c r="AL93" s="68"/>
      <c r="AO93" s="65"/>
      <c r="AR93" s="65"/>
      <c r="AU93" s="65"/>
      <c r="AV93" s="65"/>
      <c r="AW93" s="68"/>
    </row>
    <row r="94" ht="15.75" customHeight="1">
      <c r="A94" s="29">
        <v>21204.0</v>
      </c>
      <c r="B94" s="76" t="s">
        <v>100</v>
      </c>
      <c r="C94" s="77">
        <v>0.0</v>
      </c>
      <c r="D94" s="77">
        <v>6498.0</v>
      </c>
      <c r="E94" s="78">
        <f t="shared" si="7"/>
        <v>0</v>
      </c>
      <c r="F94" s="77">
        <v>0.0</v>
      </c>
      <c r="G94" s="77">
        <v>6614.833333333333</v>
      </c>
      <c r="H94" s="78">
        <f t="shared" si="8"/>
        <v>0</v>
      </c>
      <c r="I94" s="77">
        <v>0.0</v>
      </c>
      <c r="J94" s="77">
        <v>6731.666666666667</v>
      </c>
      <c r="K94" s="78">
        <f t="shared" si="9"/>
        <v>0</v>
      </c>
      <c r="L94" s="79">
        <f t="shared" si="10"/>
        <v>0</v>
      </c>
      <c r="M94" s="80">
        <f t="shared" si="11"/>
        <v>0</v>
      </c>
      <c r="N94" s="77">
        <v>0.0</v>
      </c>
      <c r="O94" s="77">
        <v>7666.333333333333</v>
      </c>
      <c r="P94" s="81">
        <f t="shared" si="12"/>
        <v>0</v>
      </c>
      <c r="Q94" s="82">
        <v>10000.0</v>
      </c>
      <c r="R94" s="77">
        <v>7783.166666666666</v>
      </c>
      <c r="S94" s="81">
        <f t="shared" si="13"/>
        <v>1.284824086</v>
      </c>
      <c r="T94" s="77">
        <v>10000.0</v>
      </c>
      <c r="U94" s="77">
        <v>7900.0</v>
      </c>
      <c r="V94" s="81">
        <f t="shared" si="14"/>
        <v>1.265822785</v>
      </c>
      <c r="W94" s="83">
        <f t="shared" si="15"/>
        <v>0.8502156237</v>
      </c>
      <c r="X94" s="84">
        <f t="shared" si="16"/>
        <v>6666.666667</v>
      </c>
      <c r="AD94" s="65"/>
      <c r="AG94" s="65"/>
      <c r="AJ94" s="65"/>
      <c r="AK94" s="65"/>
      <c r="AL94" s="68"/>
      <c r="AO94" s="65"/>
      <c r="AR94" s="65"/>
      <c r="AU94" s="65"/>
      <c r="AV94" s="65"/>
      <c r="AW94" s="68"/>
    </row>
    <row r="95" ht="15.75" customHeight="1">
      <c r="A95" s="29">
        <v>21301.0</v>
      </c>
      <c r="B95" s="76" t="s">
        <v>101</v>
      </c>
      <c r="C95" s="77">
        <v>171600.0</v>
      </c>
      <c r="D95" s="77">
        <v>31312.0</v>
      </c>
      <c r="E95" s="78">
        <f t="shared" si="7"/>
        <v>5.480327031</v>
      </c>
      <c r="F95" s="77">
        <v>171600.0</v>
      </c>
      <c r="G95" s="77">
        <v>31526.416666666668</v>
      </c>
      <c r="H95" s="78">
        <f t="shared" si="8"/>
        <v>5.44305437</v>
      </c>
      <c r="I95" s="77">
        <v>0.0</v>
      </c>
      <c r="J95" s="77">
        <v>31740.833333333332</v>
      </c>
      <c r="K95" s="78">
        <f t="shared" si="9"/>
        <v>0</v>
      </c>
      <c r="L95" s="79">
        <f t="shared" si="10"/>
        <v>3.641127134</v>
      </c>
      <c r="M95" s="80">
        <f t="shared" si="11"/>
        <v>114400</v>
      </c>
      <c r="N95" s="77">
        <v>200000.0</v>
      </c>
      <c r="O95" s="77">
        <v>33456.166666666664</v>
      </c>
      <c r="P95" s="81">
        <f t="shared" si="12"/>
        <v>5.977971176</v>
      </c>
      <c r="Q95" s="82">
        <v>300000.0</v>
      </c>
      <c r="R95" s="77">
        <v>33670.583333333336</v>
      </c>
      <c r="S95" s="81">
        <f t="shared" si="13"/>
        <v>8.909854547</v>
      </c>
      <c r="T95" s="77">
        <v>360000.0</v>
      </c>
      <c r="U95" s="77">
        <v>33885.0</v>
      </c>
      <c r="V95" s="81">
        <f t="shared" si="14"/>
        <v>10.62416999</v>
      </c>
      <c r="W95" s="83">
        <f t="shared" si="15"/>
        <v>8.50399857</v>
      </c>
      <c r="X95" s="84">
        <f t="shared" si="16"/>
        <v>286666.6667</v>
      </c>
      <c r="AD95" s="65"/>
      <c r="AG95" s="65"/>
      <c r="AJ95" s="65"/>
      <c r="AK95" s="65"/>
      <c r="AL95" s="68"/>
      <c r="AO95" s="65"/>
      <c r="AR95" s="65"/>
      <c r="AU95" s="65"/>
      <c r="AV95" s="65"/>
      <c r="AW95" s="68"/>
    </row>
    <row r="96" ht="15.75" customHeight="1">
      <c r="A96" s="29">
        <v>21302.0</v>
      </c>
      <c r="B96" s="76" t="s">
        <v>102</v>
      </c>
      <c r="C96" s="77">
        <v>0.0</v>
      </c>
      <c r="D96" s="77">
        <v>8903.0</v>
      </c>
      <c r="E96" s="78">
        <f t="shared" si="7"/>
        <v>0</v>
      </c>
      <c r="F96" s="77">
        <v>0.0</v>
      </c>
      <c r="G96" s="77">
        <v>8919.583333333334</v>
      </c>
      <c r="H96" s="78">
        <f t="shared" si="8"/>
        <v>0</v>
      </c>
      <c r="I96" s="77">
        <v>0.0</v>
      </c>
      <c r="J96" s="77">
        <v>8936.166666666666</v>
      </c>
      <c r="K96" s="78">
        <f t="shared" si="9"/>
        <v>0</v>
      </c>
      <c r="L96" s="79">
        <f t="shared" si="10"/>
        <v>0</v>
      </c>
      <c r="M96" s="80">
        <f t="shared" si="11"/>
        <v>0</v>
      </c>
      <c r="N96" s="77">
        <v>0.0</v>
      </c>
      <c r="O96" s="77">
        <v>9068.833333333334</v>
      </c>
      <c r="P96" s="81">
        <f t="shared" si="12"/>
        <v>0</v>
      </c>
      <c r="Q96" s="82">
        <v>0.0</v>
      </c>
      <c r="R96" s="77">
        <v>9085.416666666666</v>
      </c>
      <c r="S96" s="81">
        <f t="shared" si="13"/>
        <v>0</v>
      </c>
      <c r="T96" s="77">
        <v>0.0</v>
      </c>
      <c r="U96" s="77">
        <v>9102.0</v>
      </c>
      <c r="V96" s="81">
        <f t="shared" si="14"/>
        <v>0</v>
      </c>
      <c r="W96" s="83">
        <f t="shared" si="15"/>
        <v>0</v>
      </c>
      <c r="X96" s="84">
        <f t="shared" si="16"/>
        <v>0</v>
      </c>
      <c r="AD96" s="65"/>
      <c r="AG96" s="65"/>
      <c r="AJ96" s="65"/>
      <c r="AK96" s="65"/>
      <c r="AL96" s="68"/>
      <c r="AO96" s="65"/>
      <c r="AR96" s="65"/>
      <c r="AU96" s="65"/>
      <c r="AV96" s="65"/>
      <c r="AW96" s="68"/>
    </row>
    <row r="97" ht="15.75" customHeight="1">
      <c r="A97" s="29">
        <v>21303.0</v>
      </c>
      <c r="B97" s="76" t="s">
        <v>103</v>
      </c>
      <c r="C97" s="77">
        <v>0.0</v>
      </c>
      <c r="D97" s="77">
        <v>7798.0</v>
      </c>
      <c r="E97" s="78">
        <f t="shared" si="7"/>
        <v>0</v>
      </c>
      <c r="F97" s="77">
        <v>0.0</v>
      </c>
      <c r="G97" s="77">
        <v>8086.333333333333</v>
      </c>
      <c r="H97" s="78">
        <f t="shared" si="8"/>
        <v>0</v>
      </c>
      <c r="I97" s="77">
        <v>0.0</v>
      </c>
      <c r="J97" s="77">
        <v>8374.666666666666</v>
      </c>
      <c r="K97" s="78">
        <f t="shared" si="9"/>
        <v>0</v>
      </c>
      <c r="L97" s="79">
        <f t="shared" si="10"/>
        <v>0</v>
      </c>
      <c r="M97" s="80">
        <f t="shared" si="11"/>
        <v>0</v>
      </c>
      <c r="N97" s="77">
        <v>15000.0</v>
      </c>
      <c r="O97" s="77">
        <v>10681.333333333332</v>
      </c>
      <c r="P97" s="81">
        <f t="shared" si="12"/>
        <v>1.404319061</v>
      </c>
      <c r="Q97" s="82">
        <v>15000.0</v>
      </c>
      <c r="R97" s="77">
        <v>10969.666666666666</v>
      </c>
      <c r="S97" s="81">
        <f t="shared" si="13"/>
        <v>1.367407092</v>
      </c>
      <c r="T97" s="77">
        <v>15000.0</v>
      </c>
      <c r="U97" s="77">
        <v>11258.0</v>
      </c>
      <c r="V97" s="81">
        <f t="shared" si="14"/>
        <v>1.332385859</v>
      </c>
      <c r="W97" s="83">
        <f t="shared" si="15"/>
        <v>1.368037338</v>
      </c>
      <c r="X97" s="84">
        <f t="shared" si="16"/>
        <v>15000</v>
      </c>
      <c r="AD97" s="65"/>
      <c r="AG97" s="65"/>
      <c r="AJ97" s="65"/>
      <c r="AK97" s="65"/>
      <c r="AL97" s="68"/>
      <c r="AO97" s="65"/>
      <c r="AR97" s="65"/>
      <c r="AU97" s="65"/>
      <c r="AV97" s="65"/>
      <c r="AW97" s="68"/>
    </row>
    <row r="98" ht="15.75" customHeight="1">
      <c r="A98" s="29">
        <v>21304.0</v>
      </c>
      <c r="B98" s="76" t="s">
        <v>104</v>
      </c>
      <c r="C98" s="77">
        <v>0.0</v>
      </c>
      <c r="D98" s="77">
        <v>12413.0</v>
      </c>
      <c r="E98" s="78">
        <f t="shared" si="7"/>
        <v>0</v>
      </c>
      <c r="F98" s="77">
        <v>0.0</v>
      </c>
      <c r="G98" s="77">
        <v>12655.833333333334</v>
      </c>
      <c r="H98" s="78">
        <f t="shared" si="8"/>
        <v>0</v>
      </c>
      <c r="I98" s="77">
        <v>0.0</v>
      </c>
      <c r="J98" s="77">
        <v>12898.666666666666</v>
      </c>
      <c r="K98" s="78">
        <f t="shared" si="9"/>
        <v>0</v>
      </c>
      <c r="L98" s="79">
        <f t="shared" si="10"/>
        <v>0</v>
      </c>
      <c r="M98" s="80">
        <f t="shared" si="11"/>
        <v>0</v>
      </c>
      <c r="N98" s="77">
        <v>20000.0</v>
      </c>
      <c r="O98" s="77">
        <v>14841.333333333334</v>
      </c>
      <c r="P98" s="81">
        <f t="shared" si="12"/>
        <v>1.347587818</v>
      </c>
      <c r="Q98" s="82">
        <v>20000.0</v>
      </c>
      <c r="R98" s="77">
        <v>15084.166666666668</v>
      </c>
      <c r="S98" s="81">
        <f t="shared" si="13"/>
        <v>1.325893597</v>
      </c>
      <c r="T98" s="77">
        <v>5000.0</v>
      </c>
      <c r="U98" s="77">
        <v>15327.0</v>
      </c>
      <c r="V98" s="81">
        <f t="shared" si="14"/>
        <v>0.3262217003</v>
      </c>
      <c r="W98" s="83">
        <f t="shared" si="15"/>
        <v>0.9999010384</v>
      </c>
      <c r="X98" s="84">
        <f t="shared" si="16"/>
        <v>15000</v>
      </c>
      <c r="AD98" s="65"/>
      <c r="AG98" s="65"/>
      <c r="AJ98" s="65"/>
      <c r="AK98" s="65"/>
      <c r="AL98" s="68"/>
      <c r="AO98" s="65"/>
      <c r="AR98" s="65"/>
      <c r="AU98" s="65"/>
      <c r="AV98" s="65"/>
      <c r="AW98" s="68"/>
    </row>
    <row r="99" ht="15.75" customHeight="1">
      <c r="A99" s="29">
        <v>21305.0</v>
      </c>
      <c r="B99" s="76" t="s">
        <v>105</v>
      </c>
      <c r="C99" s="77">
        <v>0.0</v>
      </c>
      <c r="D99" s="77">
        <v>22858.0</v>
      </c>
      <c r="E99" s="78">
        <f t="shared" si="7"/>
        <v>0</v>
      </c>
      <c r="F99" s="77">
        <v>414434.0</v>
      </c>
      <c r="G99" s="77">
        <v>23048.833333333332</v>
      </c>
      <c r="H99" s="78">
        <f t="shared" si="8"/>
        <v>17.98069317</v>
      </c>
      <c r="I99" s="77">
        <v>0.0</v>
      </c>
      <c r="J99" s="77">
        <v>23239.666666666668</v>
      </c>
      <c r="K99" s="78">
        <f t="shared" si="9"/>
        <v>0</v>
      </c>
      <c r="L99" s="79">
        <f t="shared" si="10"/>
        <v>5.993564389</v>
      </c>
      <c r="M99" s="80">
        <f t="shared" si="11"/>
        <v>138144.6667</v>
      </c>
      <c r="N99" s="77">
        <v>700000.0</v>
      </c>
      <c r="O99" s="77">
        <v>24766.333333333332</v>
      </c>
      <c r="P99" s="81">
        <f t="shared" si="12"/>
        <v>28.26417583</v>
      </c>
      <c r="Q99" s="82">
        <v>903935.0</v>
      </c>
      <c r="R99" s="77">
        <v>24957.166666666668</v>
      </c>
      <c r="S99" s="81">
        <f t="shared" si="13"/>
        <v>36.219456</v>
      </c>
      <c r="T99" s="77">
        <v>903935.0</v>
      </c>
      <c r="U99" s="77">
        <v>25148.0</v>
      </c>
      <c r="V99" s="81">
        <f t="shared" si="14"/>
        <v>35.94460792</v>
      </c>
      <c r="W99" s="83">
        <f t="shared" si="15"/>
        <v>33.47607992</v>
      </c>
      <c r="X99" s="84">
        <f t="shared" si="16"/>
        <v>835956.6667</v>
      </c>
      <c r="AD99" s="65"/>
      <c r="AG99" s="65"/>
      <c r="AJ99" s="65"/>
      <c r="AK99" s="65"/>
      <c r="AL99" s="68"/>
      <c r="AO99" s="65"/>
      <c r="AR99" s="65"/>
      <c r="AU99" s="65"/>
      <c r="AV99" s="65"/>
      <c r="AW99" s="68"/>
    </row>
    <row r="100" ht="15.75" customHeight="1">
      <c r="A100" s="29">
        <v>21306.0</v>
      </c>
      <c r="B100" s="76" t="s">
        <v>106</v>
      </c>
      <c r="C100" s="77">
        <v>25000.0</v>
      </c>
      <c r="D100" s="77">
        <v>9879.0</v>
      </c>
      <c r="E100" s="78">
        <f t="shared" si="7"/>
        <v>2.530620508</v>
      </c>
      <c r="F100" s="77">
        <v>50000.0</v>
      </c>
      <c r="G100" s="77">
        <v>10096.583333333334</v>
      </c>
      <c r="H100" s="78">
        <f t="shared" si="8"/>
        <v>4.952170289</v>
      </c>
      <c r="I100" s="77">
        <v>0.0</v>
      </c>
      <c r="J100" s="77">
        <v>10314.166666666666</v>
      </c>
      <c r="K100" s="78">
        <f t="shared" si="9"/>
        <v>0</v>
      </c>
      <c r="L100" s="79">
        <f t="shared" si="10"/>
        <v>2.494263599</v>
      </c>
      <c r="M100" s="80">
        <f t="shared" si="11"/>
        <v>25000</v>
      </c>
      <c r="N100" s="77">
        <v>20000.0</v>
      </c>
      <c r="O100" s="77">
        <v>12054.833333333334</v>
      </c>
      <c r="P100" s="81">
        <f t="shared" si="12"/>
        <v>1.659085567</v>
      </c>
      <c r="Q100" s="82">
        <v>20000.0</v>
      </c>
      <c r="R100" s="77">
        <v>12272.416666666668</v>
      </c>
      <c r="S100" s="81">
        <f t="shared" si="13"/>
        <v>1.629670874</v>
      </c>
      <c r="T100" s="77">
        <v>25000.0</v>
      </c>
      <c r="U100" s="77">
        <v>12490.0</v>
      </c>
      <c r="V100" s="81">
        <f t="shared" si="14"/>
        <v>2.001601281</v>
      </c>
      <c r="W100" s="83">
        <f t="shared" si="15"/>
        <v>1.763452574</v>
      </c>
      <c r="X100" s="84">
        <f t="shared" si="16"/>
        <v>21666.66667</v>
      </c>
      <c r="AD100" s="65"/>
      <c r="AG100" s="65"/>
      <c r="AJ100" s="65"/>
      <c r="AK100" s="65"/>
      <c r="AL100" s="68"/>
      <c r="AO100" s="65"/>
      <c r="AR100" s="65"/>
      <c r="AU100" s="65"/>
      <c r="AV100" s="65"/>
      <c r="AW100" s="68"/>
    </row>
    <row r="101" ht="15.75" customHeight="1">
      <c r="A101" s="29">
        <v>21307.0</v>
      </c>
      <c r="B101" s="76" t="s">
        <v>107</v>
      </c>
      <c r="C101" s="77">
        <v>1700.0</v>
      </c>
      <c r="D101" s="77">
        <v>5042.0</v>
      </c>
      <c r="E101" s="78">
        <f t="shared" si="7"/>
        <v>0.3371677906</v>
      </c>
      <c r="F101" s="77">
        <v>15000.0</v>
      </c>
      <c r="G101" s="77">
        <v>5082.333333333333</v>
      </c>
      <c r="H101" s="78">
        <f t="shared" si="8"/>
        <v>2.951400275</v>
      </c>
      <c r="I101" s="77">
        <v>0.0</v>
      </c>
      <c r="J101" s="77">
        <v>5122.666666666667</v>
      </c>
      <c r="K101" s="78">
        <f t="shared" si="9"/>
        <v>0</v>
      </c>
      <c r="L101" s="79">
        <f t="shared" si="10"/>
        <v>1.096189355</v>
      </c>
      <c r="M101" s="80">
        <f t="shared" si="11"/>
        <v>5566.666667</v>
      </c>
      <c r="N101" s="77">
        <v>77492.0</v>
      </c>
      <c r="O101" s="77">
        <v>5445.333333333333</v>
      </c>
      <c r="P101" s="81">
        <f t="shared" si="12"/>
        <v>14.23090108</v>
      </c>
      <c r="Q101" s="82">
        <v>85000.0</v>
      </c>
      <c r="R101" s="77">
        <v>5485.666666666667</v>
      </c>
      <c r="S101" s="81">
        <f t="shared" si="13"/>
        <v>15.49492617</v>
      </c>
      <c r="T101" s="77">
        <v>60688.0</v>
      </c>
      <c r="U101" s="77">
        <v>5526.0</v>
      </c>
      <c r="V101" s="81">
        <f t="shared" si="14"/>
        <v>10.98226565</v>
      </c>
      <c r="W101" s="83">
        <f t="shared" si="15"/>
        <v>13.5693643</v>
      </c>
      <c r="X101" s="84">
        <f t="shared" si="16"/>
        <v>74393.33333</v>
      </c>
      <c r="AD101" s="65"/>
      <c r="AG101" s="65"/>
      <c r="AJ101" s="65"/>
      <c r="AK101" s="65"/>
      <c r="AL101" s="68"/>
      <c r="AO101" s="65"/>
      <c r="AR101" s="65"/>
      <c r="AU101" s="65"/>
      <c r="AV101" s="65"/>
      <c r="AW101" s="68"/>
    </row>
    <row r="102" ht="15.75" customHeight="1">
      <c r="A102" s="29">
        <v>21401.0</v>
      </c>
      <c r="B102" s="76" t="s">
        <v>108</v>
      </c>
      <c r="C102" s="77">
        <v>150000.0</v>
      </c>
      <c r="D102" s="77">
        <v>19397.0</v>
      </c>
      <c r="E102" s="78">
        <f t="shared" si="7"/>
        <v>7.733154612</v>
      </c>
      <c r="F102" s="77">
        <v>270000.0</v>
      </c>
      <c r="G102" s="77">
        <v>20089.833333333332</v>
      </c>
      <c r="H102" s="78">
        <f t="shared" si="8"/>
        <v>13.43963365</v>
      </c>
      <c r="I102" s="77">
        <v>0.0</v>
      </c>
      <c r="J102" s="77">
        <v>20782.666666666668</v>
      </c>
      <c r="K102" s="78">
        <f t="shared" si="9"/>
        <v>0</v>
      </c>
      <c r="L102" s="79">
        <f t="shared" si="10"/>
        <v>7.057596086</v>
      </c>
      <c r="M102" s="80">
        <f t="shared" si="11"/>
        <v>140000</v>
      </c>
      <c r="N102" s="77">
        <v>550000.0</v>
      </c>
      <c r="O102" s="77">
        <v>26325.333333333336</v>
      </c>
      <c r="P102" s="81">
        <f t="shared" si="12"/>
        <v>20.89242301</v>
      </c>
      <c r="Q102" s="82">
        <v>676137.0</v>
      </c>
      <c r="R102" s="77">
        <v>27018.166666666668</v>
      </c>
      <c r="S102" s="81">
        <f t="shared" si="13"/>
        <v>25.02527312</v>
      </c>
      <c r="T102" s="77">
        <v>0.0</v>
      </c>
      <c r="U102" s="77">
        <v>27711.0</v>
      </c>
      <c r="V102" s="81">
        <f t="shared" si="14"/>
        <v>0</v>
      </c>
      <c r="W102" s="83">
        <f t="shared" si="15"/>
        <v>15.30589871</v>
      </c>
      <c r="X102" s="84">
        <f t="shared" si="16"/>
        <v>408712.3333</v>
      </c>
      <c r="AD102" s="65"/>
      <c r="AG102" s="65"/>
      <c r="AJ102" s="65"/>
      <c r="AK102" s="65"/>
      <c r="AL102" s="68"/>
      <c r="AO102" s="65"/>
      <c r="AR102" s="65"/>
      <c r="AU102" s="65"/>
      <c r="AV102" s="65"/>
      <c r="AW102" s="68"/>
    </row>
    <row r="103" ht="15.75" customHeight="1">
      <c r="A103" s="29">
        <v>21402.0</v>
      </c>
      <c r="B103" s="76" t="s">
        <v>109</v>
      </c>
      <c r="C103" s="77">
        <v>80000.0</v>
      </c>
      <c r="D103" s="77">
        <v>16930.0</v>
      </c>
      <c r="E103" s="78">
        <f t="shared" si="7"/>
        <v>4.725339634</v>
      </c>
      <c r="F103" s="77">
        <v>100000.0</v>
      </c>
      <c r="G103" s="77">
        <v>17480.0</v>
      </c>
      <c r="H103" s="78">
        <f t="shared" si="8"/>
        <v>5.720823799</v>
      </c>
      <c r="I103" s="77">
        <v>0.0</v>
      </c>
      <c r="J103" s="77">
        <v>18030.0</v>
      </c>
      <c r="K103" s="78">
        <f t="shared" si="9"/>
        <v>0</v>
      </c>
      <c r="L103" s="79">
        <f t="shared" si="10"/>
        <v>3.482054477</v>
      </c>
      <c r="M103" s="80">
        <f t="shared" si="11"/>
        <v>60000</v>
      </c>
      <c r="N103" s="77">
        <v>210000.0</v>
      </c>
      <c r="O103" s="77">
        <v>22430.0</v>
      </c>
      <c r="P103" s="81">
        <f t="shared" si="12"/>
        <v>9.36246099</v>
      </c>
      <c r="Q103" s="82">
        <v>220000.0</v>
      </c>
      <c r="R103" s="77">
        <v>22980.0</v>
      </c>
      <c r="S103" s="81">
        <f t="shared" si="13"/>
        <v>9.573542211</v>
      </c>
      <c r="T103" s="77">
        <v>230000.0</v>
      </c>
      <c r="U103" s="77">
        <v>23530.0</v>
      </c>
      <c r="V103" s="81">
        <f t="shared" si="14"/>
        <v>9.774755631</v>
      </c>
      <c r="W103" s="83">
        <f t="shared" si="15"/>
        <v>9.570252944</v>
      </c>
      <c r="X103" s="84">
        <f t="shared" si="16"/>
        <v>220000</v>
      </c>
      <c r="AD103" s="65"/>
      <c r="AG103" s="65"/>
      <c r="AJ103" s="65"/>
      <c r="AK103" s="65"/>
      <c r="AL103" s="68"/>
      <c r="AO103" s="65"/>
      <c r="AR103" s="65"/>
      <c r="AU103" s="65"/>
      <c r="AV103" s="65"/>
      <c r="AW103" s="68"/>
    </row>
    <row r="104" ht="15.75" customHeight="1">
      <c r="A104" s="29">
        <v>21501.0</v>
      </c>
      <c r="B104" s="76" t="s">
        <v>110</v>
      </c>
      <c r="C104" s="77">
        <v>0.0</v>
      </c>
      <c r="D104" s="77">
        <v>9362.0</v>
      </c>
      <c r="E104" s="78">
        <f t="shared" si="7"/>
        <v>0</v>
      </c>
      <c r="F104" s="77">
        <v>75000.0</v>
      </c>
      <c r="G104" s="77">
        <v>9631.416666666666</v>
      </c>
      <c r="H104" s="78">
        <f t="shared" si="8"/>
        <v>7.787016448</v>
      </c>
      <c r="I104" s="77">
        <v>0.0</v>
      </c>
      <c r="J104" s="77">
        <v>9900.833333333334</v>
      </c>
      <c r="K104" s="78">
        <f t="shared" si="9"/>
        <v>0</v>
      </c>
      <c r="L104" s="79">
        <f t="shared" si="10"/>
        <v>2.595672149</v>
      </c>
      <c r="M104" s="80">
        <f t="shared" si="11"/>
        <v>25000</v>
      </c>
      <c r="N104" s="77">
        <v>197176.0</v>
      </c>
      <c r="O104" s="77">
        <v>12056.166666666668</v>
      </c>
      <c r="P104" s="81">
        <f t="shared" si="12"/>
        <v>16.35478386</v>
      </c>
      <c r="Q104" s="82">
        <v>222000.0</v>
      </c>
      <c r="R104" s="77">
        <v>12325.583333333334</v>
      </c>
      <c r="S104" s="81">
        <f t="shared" si="13"/>
        <v>18.01131792</v>
      </c>
      <c r="T104" s="77">
        <v>332000.0</v>
      </c>
      <c r="U104" s="77">
        <v>12595.0</v>
      </c>
      <c r="V104" s="81">
        <f t="shared" si="14"/>
        <v>26.35966653</v>
      </c>
      <c r="W104" s="83">
        <f t="shared" si="15"/>
        <v>20.24192277</v>
      </c>
      <c r="X104" s="84">
        <f t="shared" si="16"/>
        <v>250392</v>
      </c>
      <c r="AD104" s="65"/>
      <c r="AG104" s="65"/>
      <c r="AJ104" s="65"/>
      <c r="AK104" s="65"/>
      <c r="AL104" s="68"/>
      <c r="AO104" s="65"/>
      <c r="AR104" s="65"/>
      <c r="AU104" s="65"/>
      <c r="AV104" s="65"/>
      <c r="AW104" s="68"/>
    </row>
    <row r="105" ht="15.75" customHeight="1">
      <c r="A105" s="29">
        <v>21502.0</v>
      </c>
      <c r="B105" s="76" t="s">
        <v>111</v>
      </c>
      <c r="C105" s="77">
        <v>154000.0</v>
      </c>
      <c r="D105" s="77">
        <v>8711.0</v>
      </c>
      <c r="E105" s="78">
        <f t="shared" si="7"/>
        <v>17.67879692</v>
      </c>
      <c r="F105" s="77">
        <v>0.0</v>
      </c>
      <c r="G105" s="77">
        <v>8827.166666666666</v>
      </c>
      <c r="H105" s="78">
        <f t="shared" si="8"/>
        <v>0</v>
      </c>
      <c r="I105" s="77">
        <v>0.0</v>
      </c>
      <c r="J105" s="77">
        <v>8943.333333333334</v>
      </c>
      <c r="K105" s="78">
        <f t="shared" si="9"/>
        <v>0</v>
      </c>
      <c r="L105" s="79">
        <f t="shared" si="10"/>
        <v>5.892932308</v>
      </c>
      <c r="M105" s="80">
        <f t="shared" si="11"/>
        <v>51333.33333</v>
      </c>
      <c r="N105" s="77">
        <v>216000.0</v>
      </c>
      <c r="O105" s="77">
        <v>9872.666666666666</v>
      </c>
      <c r="P105" s="81">
        <f t="shared" si="12"/>
        <v>21.87858735</v>
      </c>
      <c r="Q105" s="82">
        <v>196000.0</v>
      </c>
      <c r="R105" s="77">
        <v>9988.833333333334</v>
      </c>
      <c r="S105" s="81">
        <f t="shared" si="13"/>
        <v>19.62191113</v>
      </c>
      <c r="T105" s="77">
        <v>160500.0</v>
      </c>
      <c r="U105" s="77">
        <v>10105.0</v>
      </c>
      <c r="V105" s="81">
        <f t="shared" si="14"/>
        <v>15.88322613</v>
      </c>
      <c r="W105" s="83">
        <f t="shared" si="15"/>
        <v>19.1279082</v>
      </c>
      <c r="X105" s="84">
        <f t="shared" si="16"/>
        <v>190833.3333</v>
      </c>
      <c r="AD105" s="65"/>
      <c r="AG105" s="65"/>
      <c r="AJ105" s="65"/>
      <c r="AK105" s="65"/>
      <c r="AL105" s="68"/>
      <c r="AO105" s="65"/>
      <c r="AR105" s="65"/>
      <c r="AU105" s="65"/>
      <c r="AV105" s="65"/>
      <c r="AW105" s="68"/>
    </row>
    <row r="106" ht="15.75" customHeight="1">
      <c r="A106" s="29">
        <v>21601.0</v>
      </c>
      <c r="B106" s="76" t="s">
        <v>112</v>
      </c>
      <c r="C106" s="77">
        <v>53000.0</v>
      </c>
      <c r="D106" s="77">
        <v>13023.0</v>
      </c>
      <c r="E106" s="78">
        <f t="shared" si="7"/>
        <v>4.069722798</v>
      </c>
      <c r="F106" s="77">
        <v>0.0</v>
      </c>
      <c r="G106" s="77">
        <v>13251.333333333334</v>
      </c>
      <c r="H106" s="78">
        <f t="shared" si="8"/>
        <v>0</v>
      </c>
      <c r="I106" s="77">
        <v>0.0</v>
      </c>
      <c r="J106" s="77">
        <v>13479.666666666666</v>
      </c>
      <c r="K106" s="78">
        <f t="shared" si="9"/>
        <v>0</v>
      </c>
      <c r="L106" s="79">
        <f t="shared" si="10"/>
        <v>1.356574266</v>
      </c>
      <c r="M106" s="80">
        <f t="shared" si="11"/>
        <v>17666.66667</v>
      </c>
      <c r="N106" s="77">
        <v>60968.0</v>
      </c>
      <c r="O106" s="77">
        <v>15306.333333333334</v>
      </c>
      <c r="P106" s="81">
        <f t="shared" si="12"/>
        <v>3.983187787</v>
      </c>
      <c r="Q106" s="82">
        <v>54000.0</v>
      </c>
      <c r="R106" s="77">
        <v>15534.666666666668</v>
      </c>
      <c r="S106" s="81">
        <f t="shared" si="13"/>
        <v>3.476096472</v>
      </c>
      <c r="T106" s="77">
        <v>56688.0</v>
      </c>
      <c r="U106" s="77">
        <v>15763.0</v>
      </c>
      <c r="V106" s="81">
        <f t="shared" si="14"/>
        <v>3.596269746</v>
      </c>
      <c r="W106" s="83">
        <f t="shared" si="15"/>
        <v>3.685184668</v>
      </c>
      <c r="X106" s="84">
        <f t="shared" si="16"/>
        <v>57218.66667</v>
      </c>
      <c r="AD106" s="65"/>
      <c r="AG106" s="65"/>
      <c r="AJ106" s="65"/>
      <c r="AK106" s="65"/>
      <c r="AL106" s="68"/>
      <c r="AO106" s="65"/>
      <c r="AR106" s="65"/>
      <c r="AU106" s="65"/>
      <c r="AV106" s="65"/>
      <c r="AW106" s="68"/>
    </row>
    <row r="107" ht="15.75" customHeight="1">
      <c r="A107" s="29">
        <v>21602.0</v>
      </c>
      <c r="B107" s="76" t="s">
        <v>113</v>
      </c>
      <c r="C107" s="77">
        <v>0.0</v>
      </c>
      <c r="D107" s="77">
        <v>3285.0</v>
      </c>
      <c r="E107" s="78">
        <f t="shared" si="7"/>
        <v>0</v>
      </c>
      <c r="F107" s="77">
        <v>0.0</v>
      </c>
      <c r="G107" s="77">
        <v>3562.1666666666665</v>
      </c>
      <c r="H107" s="78">
        <f t="shared" si="8"/>
        <v>0</v>
      </c>
      <c r="I107" s="77">
        <v>0.0</v>
      </c>
      <c r="J107" s="77">
        <v>3839.3333333333335</v>
      </c>
      <c r="K107" s="78">
        <f t="shared" si="9"/>
        <v>0</v>
      </c>
      <c r="L107" s="79">
        <f t="shared" si="10"/>
        <v>0</v>
      </c>
      <c r="M107" s="80">
        <f t="shared" si="11"/>
        <v>0</v>
      </c>
      <c r="N107" s="77">
        <v>5000.0</v>
      </c>
      <c r="O107" s="77">
        <v>6056.666666666667</v>
      </c>
      <c r="P107" s="81">
        <f t="shared" si="12"/>
        <v>0.8255365988</v>
      </c>
      <c r="Q107" s="82">
        <v>5000.0</v>
      </c>
      <c r="R107" s="77">
        <v>6333.833333333334</v>
      </c>
      <c r="S107" s="81">
        <f t="shared" si="13"/>
        <v>0.7894113623</v>
      </c>
      <c r="T107" s="77">
        <v>10000.0</v>
      </c>
      <c r="U107" s="77">
        <v>6611.0</v>
      </c>
      <c r="V107" s="81">
        <f t="shared" si="14"/>
        <v>1.512630464</v>
      </c>
      <c r="W107" s="83">
        <f t="shared" si="15"/>
        <v>1.042526142</v>
      </c>
      <c r="X107" s="84">
        <f t="shared" si="16"/>
        <v>6666.666667</v>
      </c>
      <c r="AD107" s="65"/>
      <c r="AG107" s="65"/>
      <c r="AJ107" s="65"/>
      <c r="AK107" s="65"/>
      <c r="AL107" s="68"/>
      <c r="AO107" s="65"/>
      <c r="AR107" s="65"/>
      <c r="AU107" s="65"/>
      <c r="AV107" s="65"/>
      <c r="AW107" s="68"/>
    </row>
    <row r="108" ht="15.75" customHeight="1">
      <c r="A108" s="29">
        <v>21701.0</v>
      </c>
      <c r="B108" s="76" t="s">
        <v>114</v>
      </c>
      <c r="C108" s="77">
        <v>310102.0</v>
      </c>
      <c r="D108" s="77">
        <v>14931.0</v>
      </c>
      <c r="E108" s="78">
        <f t="shared" si="7"/>
        <v>20.76900409</v>
      </c>
      <c r="F108" s="77">
        <v>160000.0</v>
      </c>
      <c r="G108" s="77">
        <v>15142.0</v>
      </c>
      <c r="H108" s="78">
        <f t="shared" si="8"/>
        <v>10.56663585</v>
      </c>
      <c r="I108" s="77">
        <v>160103.0</v>
      </c>
      <c r="J108" s="77">
        <v>15353.0</v>
      </c>
      <c r="K108" s="78">
        <f t="shared" si="9"/>
        <v>10.4281248</v>
      </c>
      <c r="L108" s="79">
        <f t="shared" si="10"/>
        <v>13.92125491</v>
      </c>
      <c r="M108" s="80">
        <f t="shared" si="11"/>
        <v>210068.3333</v>
      </c>
      <c r="N108" s="77">
        <v>250000.0</v>
      </c>
      <c r="O108" s="77">
        <v>17041.0</v>
      </c>
      <c r="P108" s="81">
        <f t="shared" si="12"/>
        <v>14.67050056</v>
      </c>
      <c r="Q108" s="82">
        <v>300000.0</v>
      </c>
      <c r="R108" s="77">
        <v>17252.0</v>
      </c>
      <c r="S108" s="81">
        <f t="shared" si="13"/>
        <v>17.3892882</v>
      </c>
      <c r="T108" s="77">
        <v>410000.0</v>
      </c>
      <c r="U108" s="77">
        <v>17463.0</v>
      </c>
      <c r="V108" s="81">
        <f t="shared" si="14"/>
        <v>23.47821107</v>
      </c>
      <c r="W108" s="83">
        <f t="shared" si="15"/>
        <v>18.51266661</v>
      </c>
      <c r="X108" s="84">
        <f t="shared" si="16"/>
        <v>320000</v>
      </c>
      <c r="AD108" s="65"/>
      <c r="AG108" s="65"/>
      <c r="AJ108" s="65"/>
      <c r="AK108" s="65"/>
      <c r="AL108" s="68"/>
      <c r="AO108" s="65"/>
      <c r="AR108" s="65"/>
      <c r="AU108" s="65"/>
      <c r="AV108" s="65"/>
      <c r="AW108" s="68"/>
    </row>
    <row r="109" ht="15.75" customHeight="1">
      <c r="A109" s="29">
        <v>21702.0</v>
      </c>
      <c r="B109" s="76" t="s">
        <v>115</v>
      </c>
      <c r="C109" s="77">
        <v>1244497.0</v>
      </c>
      <c r="D109" s="77">
        <v>6052.0</v>
      </c>
      <c r="E109" s="78">
        <f t="shared" si="7"/>
        <v>205.6340053</v>
      </c>
      <c r="F109" s="77">
        <v>20000.0</v>
      </c>
      <c r="G109" s="77">
        <v>6311.333333333333</v>
      </c>
      <c r="H109" s="78">
        <f t="shared" si="8"/>
        <v>3.168902503</v>
      </c>
      <c r="I109" s="77">
        <v>1243749.0</v>
      </c>
      <c r="J109" s="77">
        <v>6570.666666666667</v>
      </c>
      <c r="K109" s="78">
        <f t="shared" si="9"/>
        <v>189.2880986</v>
      </c>
      <c r="L109" s="79">
        <f t="shared" si="10"/>
        <v>132.6970021</v>
      </c>
      <c r="M109" s="80">
        <f t="shared" si="11"/>
        <v>836082</v>
      </c>
      <c r="N109" s="77">
        <v>68200.0</v>
      </c>
      <c r="O109" s="77">
        <v>8645.333333333332</v>
      </c>
      <c r="P109" s="81">
        <f t="shared" si="12"/>
        <v>7.888648982</v>
      </c>
      <c r="Q109" s="82">
        <v>70000.0</v>
      </c>
      <c r="R109" s="77">
        <v>8904.666666666666</v>
      </c>
      <c r="S109" s="81">
        <f t="shared" si="13"/>
        <v>7.861046642</v>
      </c>
      <c r="T109" s="77">
        <v>70000.0</v>
      </c>
      <c r="U109" s="77">
        <v>9164.0</v>
      </c>
      <c r="V109" s="81">
        <f t="shared" si="14"/>
        <v>7.63858577</v>
      </c>
      <c r="W109" s="83">
        <f t="shared" si="15"/>
        <v>7.796093798</v>
      </c>
      <c r="X109" s="84">
        <f t="shared" si="16"/>
        <v>69400</v>
      </c>
      <c r="AD109" s="65"/>
      <c r="AG109" s="65"/>
      <c r="AJ109" s="65"/>
      <c r="AK109" s="65"/>
      <c r="AL109" s="68"/>
      <c r="AO109" s="65"/>
      <c r="AR109" s="65"/>
      <c r="AU109" s="65"/>
      <c r="AV109" s="65"/>
      <c r="AW109" s="68"/>
    </row>
    <row r="110" ht="15.75" customHeight="1">
      <c r="A110" s="29">
        <v>21703.0</v>
      </c>
      <c r="B110" s="76" t="s">
        <v>116</v>
      </c>
      <c r="C110" s="77">
        <v>15000.0</v>
      </c>
      <c r="D110" s="77">
        <v>6261.0</v>
      </c>
      <c r="E110" s="78">
        <f t="shared" si="7"/>
        <v>2.395783421</v>
      </c>
      <c r="F110" s="77">
        <v>10000.0</v>
      </c>
      <c r="G110" s="77">
        <v>6366.333333333333</v>
      </c>
      <c r="H110" s="78">
        <f t="shared" si="8"/>
        <v>1.570762867</v>
      </c>
      <c r="I110" s="77">
        <v>0.0</v>
      </c>
      <c r="J110" s="77">
        <v>6471.666666666667</v>
      </c>
      <c r="K110" s="78">
        <f t="shared" si="9"/>
        <v>0</v>
      </c>
      <c r="L110" s="79">
        <f t="shared" si="10"/>
        <v>1.322182096</v>
      </c>
      <c r="M110" s="80">
        <f t="shared" si="11"/>
        <v>8333.333333</v>
      </c>
      <c r="N110" s="77">
        <v>57916.0</v>
      </c>
      <c r="O110" s="77">
        <v>7314.333333333333</v>
      </c>
      <c r="P110" s="81">
        <f t="shared" si="12"/>
        <v>7.918151575</v>
      </c>
      <c r="Q110" s="82">
        <v>57916.0</v>
      </c>
      <c r="R110" s="77">
        <v>7419.666666666666</v>
      </c>
      <c r="S110" s="81">
        <f t="shared" si="13"/>
        <v>7.805741498</v>
      </c>
      <c r="T110" s="77">
        <v>57916.0</v>
      </c>
      <c r="U110" s="77">
        <v>7525.0</v>
      </c>
      <c r="V110" s="81">
        <f t="shared" si="14"/>
        <v>7.696478405</v>
      </c>
      <c r="W110" s="83">
        <f t="shared" si="15"/>
        <v>7.806790493</v>
      </c>
      <c r="X110" s="84">
        <f t="shared" si="16"/>
        <v>57916</v>
      </c>
      <c r="AD110" s="65"/>
      <c r="AG110" s="65"/>
      <c r="AJ110" s="65"/>
      <c r="AK110" s="65"/>
      <c r="AL110" s="68"/>
      <c r="AO110" s="65"/>
      <c r="AR110" s="65"/>
      <c r="AU110" s="65"/>
      <c r="AV110" s="65"/>
      <c r="AW110" s="68"/>
    </row>
    <row r="111" ht="15.75" customHeight="1">
      <c r="A111" s="29">
        <v>21801.0</v>
      </c>
      <c r="B111" s="76" t="s">
        <v>117</v>
      </c>
      <c r="C111" s="77">
        <v>18991.0</v>
      </c>
      <c r="D111" s="77">
        <v>8858.0</v>
      </c>
      <c r="E111" s="78">
        <f t="shared" si="7"/>
        <v>2.143937683</v>
      </c>
      <c r="F111" s="77">
        <v>0.0</v>
      </c>
      <c r="G111" s="77">
        <v>8887.916666666666</v>
      </c>
      <c r="H111" s="78">
        <f t="shared" si="8"/>
        <v>0</v>
      </c>
      <c r="I111" s="77">
        <v>0.0</v>
      </c>
      <c r="J111" s="77">
        <v>8917.833333333334</v>
      </c>
      <c r="K111" s="78">
        <f t="shared" si="9"/>
        <v>0</v>
      </c>
      <c r="L111" s="79">
        <f t="shared" si="10"/>
        <v>0.7146458945</v>
      </c>
      <c r="M111" s="80">
        <f t="shared" si="11"/>
        <v>6330.333333</v>
      </c>
      <c r="N111" s="77">
        <v>0.0</v>
      </c>
      <c r="O111" s="77">
        <v>9157.166666666666</v>
      </c>
      <c r="P111" s="81">
        <f t="shared" si="12"/>
        <v>0</v>
      </c>
      <c r="Q111" s="82">
        <v>20000.0</v>
      </c>
      <c r="R111" s="77">
        <v>9187.083333333334</v>
      </c>
      <c r="S111" s="81">
        <f t="shared" si="13"/>
        <v>2.176969477</v>
      </c>
      <c r="T111" s="77">
        <v>0.0</v>
      </c>
      <c r="U111" s="77">
        <v>9217.0</v>
      </c>
      <c r="V111" s="81">
        <f t="shared" si="14"/>
        <v>0</v>
      </c>
      <c r="W111" s="83">
        <f t="shared" si="15"/>
        <v>0.7256564924</v>
      </c>
      <c r="X111" s="84">
        <f t="shared" si="16"/>
        <v>6666.666667</v>
      </c>
      <c r="AD111" s="65"/>
      <c r="AG111" s="65"/>
      <c r="AJ111" s="65"/>
      <c r="AK111" s="65"/>
      <c r="AL111" s="68"/>
      <c r="AO111" s="65"/>
      <c r="AR111" s="65"/>
      <c r="AU111" s="65"/>
      <c r="AV111" s="65"/>
      <c r="AW111" s="68"/>
    </row>
    <row r="112" ht="15.75" customHeight="1">
      <c r="A112" s="29">
        <v>21802.0</v>
      </c>
      <c r="B112" s="76" t="s">
        <v>118</v>
      </c>
      <c r="C112" s="77">
        <v>0.0</v>
      </c>
      <c r="D112" s="77">
        <v>7003.0</v>
      </c>
      <c r="E112" s="78">
        <f t="shared" si="7"/>
        <v>0</v>
      </c>
      <c r="F112" s="77">
        <v>0.0</v>
      </c>
      <c r="G112" s="77">
        <v>6973.5</v>
      </c>
      <c r="H112" s="78">
        <f t="shared" si="8"/>
        <v>0</v>
      </c>
      <c r="I112" s="77">
        <v>0.0</v>
      </c>
      <c r="J112" s="77">
        <v>6944.0</v>
      </c>
      <c r="K112" s="78">
        <f t="shared" si="9"/>
        <v>0</v>
      </c>
      <c r="L112" s="79">
        <f t="shared" si="10"/>
        <v>0</v>
      </c>
      <c r="M112" s="80">
        <f t="shared" si="11"/>
        <v>0</v>
      </c>
      <c r="N112" s="77">
        <v>102000.0</v>
      </c>
      <c r="O112" s="77">
        <v>6708.0</v>
      </c>
      <c r="P112" s="81">
        <f t="shared" si="12"/>
        <v>15.20572451</v>
      </c>
      <c r="Q112" s="82">
        <v>108480.0</v>
      </c>
      <c r="R112" s="77">
        <v>6678.5</v>
      </c>
      <c r="S112" s="81">
        <f t="shared" si="13"/>
        <v>16.24316838</v>
      </c>
      <c r="T112" s="77">
        <v>108480.0</v>
      </c>
      <c r="U112" s="77">
        <v>6649.0</v>
      </c>
      <c r="V112" s="81">
        <f t="shared" si="14"/>
        <v>16.31523537</v>
      </c>
      <c r="W112" s="83">
        <f t="shared" si="15"/>
        <v>15.92137609</v>
      </c>
      <c r="X112" s="84">
        <f t="shared" si="16"/>
        <v>106320</v>
      </c>
      <c r="AD112" s="65"/>
      <c r="AG112" s="65"/>
      <c r="AJ112" s="65"/>
      <c r="AK112" s="65"/>
      <c r="AL112" s="68"/>
      <c r="AO112" s="65"/>
      <c r="AR112" s="65"/>
      <c r="AU112" s="65"/>
      <c r="AV112" s="65"/>
      <c r="AW112" s="68"/>
    </row>
    <row r="113" ht="15.75" customHeight="1">
      <c r="A113" s="29">
        <v>21803.0</v>
      </c>
      <c r="B113" s="76" t="s">
        <v>119</v>
      </c>
      <c r="C113" s="77">
        <v>0.0</v>
      </c>
      <c r="D113" s="77">
        <v>2004.0</v>
      </c>
      <c r="E113" s="78">
        <f t="shared" si="7"/>
        <v>0</v>
      </c>
      <c r="F113" s="77">
        <v>0.0</v>
      </c>
      <c r="G113" s="77">
        <v>2008.0</v>
      </c>
      <c r="H113" s="78">
        <f t="shared" si="8"/>
        <v>0</v>
      </c>
      <c r="I113" s="77">
        <v>0.0</v>
      </c>
      <c r="J113" s="77">
        <v>2012.0</v>
      </c>
      <c r="K113" s="78">
        <f t="shared" si="9"/>
        <v>0</v>
      </c>
      <c r="L113" s="79">
        <f t="shared" si="10"/>
        <v>0</v>
      </c>
      <c r="M113" s="80">
        <f t="shared" si="11"/>
        <v>0</v>
      </c>
      <c r="N113" s="77">
        <v>11600.0</v>
      </c>
      <c r="O113" s="77">
        <v>2044.0</v>
      </c>
      <c r="P113" s="81">
        <f t="shared" si="12"/>
        <v>5.675146771</v>
      </c>
      <c r="Q113" s="82">
        <v>14500.0</v>
      </c>
      <c r="R113" s="77">
        <v>2048.0</v>
      </c>
      <c r="S113" s="81">
        <f t="shared" si="13"/>
        <v>7.080078125</v>
      </c>
      <c r="T113" s="77">
        <v>15300.0</v>
      </c>
      <c r="U113" s="77">
        <v>2052.0</v>
      </c>
      <c r="V113" s="81">
        <f t="shared" si="14"/>
        <v>7.456140351</v>
      </c>
      <c r="W113" s="83">
        <f t="shared" si="15"/>
        <v>6.737121749</v>
      </c>
      <c r="X113" s="84">
        <f t="shared" si="16"/>
        <v>13800</v>
      </c>
      <c r="AD113" s="65"/>
      <c r="AG113" s="65"/>
      <c r="AJ113" s="65"/>
      <c r="AK113" s="65"/>
      <c r="AL113" s="68"/>
      <c r="AO113" s="65"/>
      <c r="AR113" s="65"/>
      <c r="AU113" s="65"/>
      <c r="AV113" s="65"/>
      <c r="AW113" s="68"/>
    </row>
    <row r="114" ht="15.75" customHeight="1">
      <c r="A114" s="29">
        <v>21901.0</v>
      </c>
      <c r="B114" s="76" t="s">
        <v>120</v>
      </c>
      <c r="C114" s="77">
        <v>0.0</v>
      </c>
      <c r="D114" s="77">
        <v>4593.0</v>
      </c>
      <c r="E114" s="78">
        <f t="shared" si="7"/>
        <v>0</v>
      </c>
      <c r="F114" s="77">
        <v>0.0</v>
      </c>
      <c r="G114" s="77">
        <v>4777.333333333333</v>
      </c>
      <c r="H114" s="78">
        <f t="shared" si="8"/>
        <v>0</v>
      </c>
      <c r="I114" s="77">
        <v>0.0</v>
      </c>
      <c r="J114" s="77">
        <v>4961.666666666667</v>
      </c>
      <c r="K114" s="78">
        <f t="shared" si="9"/>
        <v>0</v>
      </c>
      <c r="L114" s="79">
        <f t="shared" si="10"/>
        <v>0</v>
      </c>
      <c r="M114" s="80">
        <f t="shared" si="11"/>
        <v>0</v>
      </c>
      <c r="N114" s="77">
        <v>30000.0</v>
      </c>
      <c r="O114" s="77">
        <v>6436.333333333334</v>
      </c>
      <c r="P114" s="81">
        <f t="shared" si="12"/>
        <v>4.661038894</v>
      </c>
      <c r="Q114" s="82">
        <v>30000.0</v>
      </c>
      <c r="R114" s="77">
        <v>6620.666666666667</v>
      </c>
      <c r="S114" s="81">
        <f t="shared" si="13"/>
        <v>4.531265734</v>
      </c>
      <c r="T114" s="77">
        <v>40000.0</v>
      </c>
      <c r="U114" s="77">
        <v>6805.0</v>
      </c>
      <c r="V114" s="81">
        <f t="shared" si="14"/>
        <v>5.87803086</v>
      </c>
      <c r="W114" s="83">
        <f t="shared" si="15"/>
        <v>5.023445162</v>
      </c>
      <c r="X114" s="84">
        <f t="shared" si="16"/>
        <v>33333.33333</v>
      </c>
      <c r="AD114" s="65"/>
      <c r="AG114" s="65"/>
      <c r="AJ114" s="65"/>
      <c r="AK114" s="65"/>
      <c r="AL114" s="68"/>
      <c r="AO114" s="65"/>
      <c r="AR114" s="65"/>
      <c r="AU114" s="65"/>
      <c r="AV114" s="65"/>
      <c r="AW114" s="68"/>
    </row>
    <row r="115" ht="15.75" customHeight="1">
      <c r="A115" s="29">
        <v>21902.0</v>
      </c>
      <c r="B115" s="76" t="s">
        <v>121</v>
      </c>
      <c r="C115" s="77">
        <v>0.0</v>
      </c>
      <c r="D115" s="77">
        <v>2881.0</v>
      </c>
      <c r="E115" s="78">
        <f t="shared" si="7"/>
        <v>0</v>
      </c>
      <c r="F115" s="77">
        <v>0.0</v>
      </c>
      <c r="G115" s="77">
        <v>3086.8333333333335</v>
      </c>
      <c r="H115" s="78">
        <f t="shared" si="8"/>
        <v>0</v>
      </c>
      <c r="I115" s="77">
        <v>0.0</v>
      </c>
      <c r="J115" s="77">
        <v>3292.6666666666665</v>
      </c>
      <c r="K115" s="78">
        <f t="shared" si="9"/>
        <v>0</v>
      </c>
      <c r="L115" s="79">
        <f t="shared" si="10"/>
        <v>0</v>
      </c>
      <c r="M115" s="80">
        <f t="shared" si="11"/>
        <v>0</v>
      </c>
      <c r="N115" s="77">
        <v>0.0</v>
      </c>
      <c r="O115" s="77">
        <v>4939.333333333334</v>
      </c>
      <c r="P115" s="81">
        <f t="shared" si="12"/>
        <v>0</v>
      </c>
      <c r="Q115" s="82">
        <v>0.0</v>
      </c>
      <c r="R115" s="77">
        <v>5145.166666666667</v>
      </c>
      <c r="S115" s="81">
        <f t="shared" si="13"/>
        <v>0</v>
      </c>
      <c r="T115" s="77">
        <v>0.0</v>
      </c>
      <c r="U115" s="77">
        <v>5351.0</v>
      </c>
      <c r="V115" s="81">
        <f t="shared" si="14"/>
        <v>0</v>
      </c>
      <c r="W115" s="83">
        <f t="shared" si="15"/>
        <v>0</v>
      </c>
      <c r="X115" s="84">
        <f t="shared" si="16"/>
        <v>0</v>
      </c>
      <c r="AD115" s="65"/>
      <c r="AG115" s="65"/>
      <c r="AJ115" s="65"/>
      <c r="AK115" s="65"/>
      <c r="AL115" s="68"/>
      <c r="AO115" s="65"/>
      <c r="AR115" s="65"/>
      <c r="AU115" s="65"/>
      <c r="AV115" s="65"/>
      <c r="AW115" s="68"/>
    </row>
    <row r="116" ht="15.75" customHeight="1">
      <c r="A116" s="29">
        <v>22001.0</v>
      </c>
      <c r="B116" s="76" t="s">
        <v>122</v>
      </c>
      <c r="C116" s="77">
        <v>670391.0</v>
      </c>
      <c r="D116" s="77">
        <v>50330.0</v>
      </c>
      <c r="E116" s="78">
        <f t="shared" si="7"/>
        <v>13.3199086</v>
      </c>
      <c r="F116" s="77">
        <v>690000.0</v>
      </c>
      <c r="G116" s="77">
        <v>51108.833333333336</v>
      </c>
      <c r="H116" s="78">
        <f t="shared" si="8"/>
        <v>13.50060166</v>
      </c>
      <c r="I116" s="77">
        <v>0.0</v>
      </c>
      <c r="J116" s="77">
        <v>51887.666666666664</v>
      </c>
      <c r="K116" s="78">
        <f t="shared" si="9"/>
        <v>0</v>
      </c>
      <c r="L116" s="79">
        <f t="shared" si="10"/>
        <v>8.940170087</v>
      </c>
      <c r="M116" s="80">
        <f t="shared" si="11"/>
        <v>453463.6667</v>
      </c>
      <c r="N116" s="77">
        <v>1690043.0</v>
      </c>
      <c r="O116" s="77">
        <v>58118.333333333336</v>
      </c>
      <c r="P116" s="81">
        <f t="shared" si="12"/>
        <v>29.07934387</v>
      </c>
      <c r="Q116" s="82">
        <v>1690043.0</v>
      </c>
      <c r="R116" s="77">
        <v>58897.16666666667</v>
      </c>
      <c r="S116" s="81">
        <f t="shared" si="13"/>
        <v>28.69480988</v>
      </c>
      <c r="T116" s="77">
        <v>3231434.0</v>
      </c>
      <c r="U116" s="77">
        <v>59676.0</v>
      </c>
      <c r="V116" s="81">
        <f t="shared" si="14"/>
        <v>54.1496414</v>
      </c>
      <c r="W116" s="83">
        <f t="shared" si="15"/>
        <v>37.30793171</v>
      </c>
      <c r="X116" s="84">
        <f t="shared" si="16"/>
        <v>2203840</v>
      </c>
      <c r="AD116" s="65"/>
      <c r="AG116" s="65"/>
      <c r="AJ116" s="65"/>
      <c r="AK116" s="65"/>
      <c r="AL116" s="68"/>
      <c r="AO116" s="65"/>
      <c r="AR116" s="65"/>
      <c r="AU116" s="65"/>
      <c r="AV116" s="65"/>
      <c r="AW116" s="68"/>
    </row>
    <row r="117" ht="15.75" customHeight="1">
      <c r="A117" s="29">
        <v>22002.0</v>
      </c>
      <c r="B117" s="76" t="s">
        <v>123</v>
      </c>
      <c r="C117" s="77">
        <v>50000.0</v>
      </c>
      <c r="D117" s="77">
        <v>11194.0</v>
      </c>
      <c r="E117" s="78">
        <f t="shared" si="7"/>
        <v>4.466678578</v>
      </c>
      <c r="F117" s="77">
        <v>0.0</v>
      </c>
      <c r="G117" s="77">
        <v>11143.25</v>
      </c>
      <c r="H117" s="78">
        <f t="shared" si="8"/>
        <v>0</v>
      </c>
      <c r="I117" s="77">
        <v>0.0</v>
      </c>
      <c r="J117" s="77">
        <v>11092.5</v>
      </c>
      <c r="K117" s="78">
        <f t="shared" si="9"/>
        <v>0</v>
      </c>
      <c r="L117" s="79">
        <f t="shared" si="10"/>
        <v>1.488892859</v>
      </c>
      <c r="M117" s="80">
        <f t="shared" si="11"/>
        <v>16666.66667</v>
      </c>
      <c r="N117" s="77">
        <v>79599.0</v>
      </c>
      <c r="O117" s="77">
        <v>10686.5</v>
      </c>
      <c r="P117" s="81">
        <f t="shared" si="12"/>
        <v>7.44855659</v>
      </c>
      <c r="Q117" s="82">
        <v>98569.0</v>
      </c>
      <c r="R117" s="77">
        <v>10635.75</v>
      </c>
      <c r="S117" s="81">
        <f t="shared" si="13"/>
        <v>9.267705615</v>
      </c>
      <c r="T117" s="77">
        <v>39408.0</v>
      </c>
      <c r="U117" s="77">
        <v>10585.0</v>
      </c>
      <c r="V117" s="81">
        <f t="shared" si="14"/>
        <v>3.723004251</v>
      </c>
      <c r="W117" s="83">
        <f t="shared" si="15"/>
        <v>6.813088819</v>
      </c>
      <c r="X117" s="84">
        <f t="shared" si="16"/>
        <v>72525.33333</v>
      </c>
      <c r="AD117" s="65"/>
      <c r="AG117" s="65"/>
      <c r="AJ117" s="65"/>
      <c r="AK117" s="65"/>
      <c r="AL117" s="68"/>
      <c r="AO117" s="65"/>
      <c r="AR117" s="65"/>
      <c r="AU117" s="65"/>
      <c r="AV117" s="65"/>
      <c r="AW117" s="68"/>
    </row>
    <row r="118" ht="15.75" customHeight="1">
      <c r="A118" s="29">
        <v>30101.0</v>
      </c>
      <c r="B118" s="76" t="s">
        <v>124</v>
      </c>
      <c r="C118" s="77">
        <v>3.51414E7</v>
      </c>
      <c r="D118" s="77">
        <v>632013.0</v>
      </c>
      <c r="E118" s="78">
        <f t="shared" si="7"/>
        <v>55.60233729</v>
      </c>
      <c r="F118" s="77">
        <v>4.6482E7</v>
      </c>
      <c r="G118" s="77">
        <v>634804.0</v>
      </c>
      <c r="H118" s="78">
        <f t="shared" si="8"/>
        <v>73.22260099</v>
      </c>
      <c r="I118" s="77">
        <v>460900.0</v>
      </c>
      <c r="J118" s="77">
        <v>637595.0</v>
      </c>
      <c r="K118" s="78">
        <f t="shared" si="9"/>
        <v>0.72287267</v>
      </c>
      <c r="L118" s="79">
        <f t="shared" si="10"/>
        <v>43.18260365</v>
      </c>
      <c r="M118" s="80">
        <f t="shared" si="11"/>
        <v>27361433.33</v>
      </c>
      <c r="N118" s="77">
        <v>1.5101E8</v>
      </c>
      <c r="O118" s="77">
        <v>659923.0</v>
      </c>
      <c r="P118" s="81">
        <f t="shared" si="12"/>
        <v>228.8297271</v>
      </c>
      <c r="Q118" s="82">
        <v>1.6369866E8</v>
      </c>
      <c r="R118" s="77">
        <v>662714.0</v>
      </c>
      <c r="S118" s="81">
        <f t="shared" si="13"/>
        <v>247.0125273</v>
      </c>
      <c r="T118" s="77">
        <v>1.57330975E8</v>
      </c>
      <c r="U118" s="77">
        <v>665505.0</v>
      </c>
      <c r="V118" s="81">
        <f t="shared" si="14"/>
        <v>236.4084041</v>
      </c>
      <c r="W118" s="83">
        <f t="shared" si="15"/>
        <v>237.4168862</v>
      </c>
      <c r="X118" s="84">
        <f t="shared" si="16"/>
        <v>157346545</v>
      </c>
      <c r="AD118" s="65"/>
      <c r="AG118" s="65"/>
      <c r="AJ118" s="65"/>
      <c r="AK118" s="65"/>
      <c r="AL118" s="68"/>
      <c r="AO118" s="65"/>
      <c r="AR118" s="65"/>
      <c r="AU118" s="65"/>
      <c r="AV118" s="65"/>
      <c r="AW118" s="68"/>
    </row>
    <row r="119" ht="15.75" customHeight="1">
      <c r="A119" s="29">
        <v>30201.0</v>
      </c>
      <c r="B119" s="76" t="s">
        <v>125</v>
      </c>
      <c r="C119" s="77">
        <v>150000.0</v>
      </c>
      <c r="D119" s="77">
        <v>23267.0</v>
      </c>
      <c r="E119" s="78">
        <f t="shared" si="7"/>
        <v>6.446899042</v>
      </c>
      <c r="F119" s="77">
        <v>150000.0</v>
      </c>
      <c r="G119" s="77">
        <v>23255.0</v>
      </c>
      <c r="H119" s="78">
        <f t="shared" si="8"/>
        <v>6.450225758</v>
      </c>
      <c r="I119" s="77">
        <v>0.0</v>
      </c>
      <c r="J119" s="77">
        <v>23243.0</v>
      </c>
      <c r="K119" s="78">
        <f t="shared" si="9"/>
        <v>0</v>
      </c>
      <c r="L119" s="79">
        <f t="shared" si="10"/>
        <v>4.2990416</v>
      </c>
      <c r="M119" s="80">
        <f t="shared" si="11"/>
        <v>100000</v>
      </c>
      <c r="N119" s="77">
        <v>150000.0</v>
      </c>
      <c r="O119" s="77">
        <v>23147.0</v>
      </c>
      <c r="P119" s="81">
        <f t="shared" si="12"/>
        <v>6.480321424</v>
      </c>
      <c r="Q119" s="82">
        <v>180000.0</v>
      </c>
      <c r="R119" s="77">
        <v>23135.0</v>
      </c>
      <c r="S119" s="81">
        <f t="shared" si="13"/>
        <v>7.780419278</v>
      </c>
      <c r="T119" s="77">
        <v>200000.0</v>
      </c>
      <c r="U119" s="77">
        <v>23123.0</v>
      </c>
      <c r="V119" s="81">
        <f t="shared" si="14"/>
        <v>8.649396705</v>
      </c>
      <c r="W119" s="83">
        <f t="shared" si="15"/>
        <v>7.636712469</v>
      </c>
      <c r="X119" s="84">
        <f t="shared" si="16"/>
        <v>176666.6667</v>
      </c>
      <c r="AD119" s="65"/>
      <c r="AG119" s="65"/>
      <c r="AJ119" s="65"/>
      <c r="AK119" s="65"/>
      <c r="AL119" s="68"/>
      <c r="AO119" s="65"/>
      <c r="AR119" s="65"/>
      <c r="AU119" s="65"/>
      <c r="AV119" s="65"/>
      <c r="AW119" s="68"/>
    </row>
    <row r="120" ht="15.75" customHeight="1">
      <c r="A120" s="29">
        <v>30202.0</v>
      </c>
      <c r="B120" s="76" t="s">
        <v>126</v>
      </c>
      <c r="C120" s="77">
        <v>25000.0</v>
      </c>
      <c r="D120" s="77">
        <v>6853.0</v>
      </c>
      <c r="E120" s="78">
        <f t="shared" si="7"/>
        <v>3.648037356</v>
      </c>
      <c r="F120" s="77">
        <v>30000.0</v>
      </c>
      <c r="G120" s="77">
        <v>6821.5</v>
      </c>
      <c r="H120" s="78">
        <f t="shared" si="8"/>
        <v>4.397859708</v>
      </c>
      <c r="I120" s="77">
        <v>0.0</v>
      </c>
      <c r="J120" s="77">
        <v>6790.0</v>
      </c>
      <c r="K120" s="78">
        <f t="shared" si="9"/>
        <v>0</v>
      </c>
      <c r="L120" s="79">
        <f t="shared" si="10"/>
        <v>2.681965688</v>
      </c>
      <c r="M120" s="80">
        <f t="shared" si="11"/>
        <v>18333.33333</v>
      </c>
      <c r="N120" s="77">
        <v>60000.0</v>
      </c>
      <c r="O120" s="77">
        <v>6538.0</v>
      </c>
      <c r="P120" s="81">
        <f t="shared" si="12"/>
        <v>9.177118385</v>
      </c>
      <c r="Q120" s="82">
        <v>40000.0</v>
      </c>
      <c r="R120" s="77">
        <v>6506.5</v>
      </c>
      <c r="S120" s="81">
        <f t="shared" si="13"/>
        <v>6.147698455</v>
      </c>
      <c r="T120" s="77">
        <v>40000.0</v>
      </c>
      <c r="U120" s="77">
        <v>6475.0</v>
      </c>
      <c r="V120" s="81">
        <f t="shared" si="14"/>
        <v>6.177606178</v>
      </c>
      <c r="W120" s="83">
        <f t="shared" si="15"/>
        <v>7.167474339</v>
      </c>
      <c r="X120" s="84">
        <f t="shared" si="16"/>
        <v>46666.66667</v>
      </c>
      <c r="AD120" s="65"/>
      <c r="AG120" s="65"/>
      <c r="AJ120" s="65"/>
      <c r="AK120" s="65"/>
      <c r="AL120" s="68"/>
      <c r="AO120" s="65"/>
      <c r="AR120" s="65"/>
      <c r="AU120" s="65"/>
      <c r="AV120" s="65"/>
      <c r="AW120" s="68"/>
    </row>
    <row r="121" ht="15.75" customHeight="1">
      <c r="A121" s="29">
        <v>30203.0</v>
      </c>
      <c r="B121" s="76" t="s">
        <v>127</v>
      </c>
      <c r="C121" s="77">
        <v>25000.0</v>
      </c>
      <c r="D121" s="77">
        <v>5643.0</v>
      </c>
      <c r="E121" s="78">
        <f t="shared" si="7"/>
        <v>4.430267588</v>
      </c>
      <c r="F121" s="77">
        <v>53000.0</v>
      </c>
      <c r="G121" s="77">
        <v>5731.083333333333</v>
      </c>
      <c r="H121" s="78">
        <f t="shared" si="8"/>
        <v>9.247815276</v>
      </c>
      <c r="I121" s="77">
        <v>0.0</v>
      </c>
      <c r="J121" s="77">
        <v>5819.166666666667</v>
      </c>
      <c r="K121" s="78">
        <f t="shared" si="9"/>
        <v>0</v>
      </c>
      <c r="L121" s="79">
        <f t="shared" si="10"/>
        <v>4.559360955</v>
      </c>
      <c r="M121" s="80">
        <f t="shared" si="11"/>
        <v>26000</v>
      </c>
      <c r="N121" s="77">
        <v>64920.0</v>
      </c>
      <c r="O121" s="77">
        <v>6523.833333333333</v>
      </c>
      <c r="P121" s="81">
        <f t="shared" si="12"/>
        <v>9.951204558</v>
      </c>
      <c r="Q121" s="82">
        <v>64920.0</v>
      </c>
      <c r="R121" s="77">
        <v>6611.916666666667</v>
      </c>
      <c r="S121" s="81">
        <f t="shared" si="13"/>
        <v>9.818635544</v>
      </c>
      <c r="T121" s="77">
        <v>69720.0</v>
      </c>
      <c r="U121" s="77">
        <v>6700.0</v>
      </c>
      <c r="V121" s="81">
        <f t="shared" si="14"/>
        <v>10.40597015</v>
      </c>
      <c r="W121" s="83">
        <f t="shared" si="15"/>
        <v>10.05860342</v>
      </c>
      <c r="X121" s="84">
        <f t="shared" si="16"/>
        <v>66520</v>
      </c>
      <c r="AD121" s="65"/>
      <c r="AG121" s="65"/>
      <c r="AJ121" s="65"/>
      <c r="AK121" s="65"/>
      <c r="AL121" s="68"/>
      <c r="AO121" s="65"/>
      <c r="AR121" s="65"/>
      <c r="AU121" s="65"/>
      <c r="AV121" s="65"/>
      <c r="AW121" s="68"/>
    </row>
    <row r="122" ht="15.75" customHeight="1">
      <c r="A122" s="29">
        <v>30301.0</v>
      </c>
      <c r="B122" s="76" t="s">
        <v>128</v>
      </c>
      <c r="C122" s="77">
        <v>90000.0</v>
      </c>
      <c r="D122" s="77">
        <v>23658.0</v>
      </c>
      <c r="E122" s="78">
        <f t="shared" si="7"/>
        <v>3.804209992</v>
      </c>
      <c r="F122" s="77">
        <v>90000.0</v>
      </c>
      <c r="G122" s="77">
        <v>23504.416666666668</v>
      </c>
      <c r="H122" s="78">
        <f t="shared" si="8"/>
        <v>3.829067587</v>
      </c>
      <c r="I122" s="77">
        <v>0.0</v>
      </c>
      <c r="J122" s="77">
        <v>23350.833333333332</v>
      </c>
      <c r="K122" s="78">
        <f t="shared" si="9"/>
        <v>0</v>
      </c>
      <c r="L122" s="79">
        <f t="shared" si="10"/>
        <v>2.54442586</v>
      </c>
      <c r="M122" s="80">
        <f t="shared" si="11"/>
        <v>60000</v>
      </c>
      <c r="N122" s="77">
        <v>150000.0</v>
      </c>
      <c r="O122" s="77">
        <v>22122.166666666668</v>
      </c>
      <c r="P122" s="81">
        <f t="shared" si="12"/>
        <v>6.780529333</v>
      </c>
      <c r="Q122" s="82">
        <v>149908.0</v>
      </c>
      <c r="R122" s="77">
        <v>21968.583333333332</v>
      </c>
      <c r="S122" s="81">
        <f t="shared" si="13"/>
        <v>6.823744514</v>
      </c>
      <c r="T122" s="77">
        <v>151252.0</v>
      </c>
      <c r="U122" s="77">
        <v>21815.0</v>
      </c>
      <c r="V122" s="81">
        <f t="shared" si="14"/>
        <v>6.933394453</v>
      </c>
      <c r="W122" s="83">
        <f t="shared" si="15"/>
        <v>6.845889434</v>
      </c>
      <c r="X122" s="84">
        <f t="shared" si="16"/>
        <v>150386.6667</v>
      </c>
      <c r="AD122" s="65"/>
      <c r="AG122" s="65"/>
      <c r="AJ122" s="65"/>
      <c r="AK122" s="65"/>
      <c r="AL122" s="68"/>
      <c r="AO122" s="65"/>
      <c r="AR122" s="65"/>
      <c r="AU122" s="65"/>
      <c r="AV122" s="65"/>
      <c r="AW122" s="68"/>
    </row>
    <row r="123" ht="15.75" customHeight="1">
      <c r="A123" s="29">
        <v>30302.0</v>
      </c>
      <c r="B123" s="76" t="s">
        <v>129</v>
      </c>
      <c r="C123" s="77">
        <v>45000.0</v>
      </c>
      <c r="D123" s="77">
        <v>12797.0</v>
      </c>
      <c r="E123" s="78">
        <f t="shared" si="7"/>
        <v>3.516449168</v>
      </c>
      <c r="F123" s="77">
        <v>45000.0</v>
      </c>
      <c r="G123" s="77">
        <v>12957.25</v>
      </c>
      <c r="H123" s="78">
        <f t="shared" si="8"/>
        <v>3.472959154</v>
      </c>
      <c r="I123" s="77">
        <v>0.0</v>
      </c>
      <c r="J123" s="77">
        <v>13117.5</v>
      </c>
      <c r="K123" s="78">
        <f t="shared" si="9"/>
        <v>0</v>
      </c>
      <c r="L123" s="79">
        <f t="shared" si="10"/>
        <v>2.329802774</v>
      </c>
      <c r="M123" s="80">
        <f t="shared" si="11"/>
        <v>30000</v>
      </c>
      <c r="N123" s="77">
        <v>69500.0</v>
      </c>
      <c r="O123" s="77">
        <v>14399.5</v>
      </c>
      <c r="P123" s="81">
        <f t="shared" si="12"/>
        <v>4.826556478</v>
      </c>
      <c r="Q123" s="82">
        <v>45000.0</v>
      </c>
      <c r="R123" s="77">
        <v>14559.75</v>
      </c>
      <c r="S123" s="81">
        <f t="shared" si="13"/>
        <v>3.090712409</v>
      </c>
      <c r="T123" s="77">
        <v>45000.0</v>
      </c>
      <c r="U123" s="77">
        <v>14720.0</v>
      </c>
      <c r="V123" s="81">
        <f t="shared" si="14"/>
        <v>3.057065217</v>
      </c>
      <c r="W123" s="83">
        <f t="shared" si="15"/>
        <v>3.658111368</v>
      </c>
      <c r="X123" s="84">
        <f t="shared" si="16"/>
        <v>53166.66667</v>
      </c>
      <c r="AD123" s="65"/>
      <c r="AG123" s="65"/>
      <c r="AJ123" s="65"/>
      <c r="AK123" s="65"/>
      <c r="AL123" s="68"/>
      <c r="AO123" s="65"/>
      <c r="AR123" s="65"/>
      <c r="AU123" s="65"/>
      <c r="AV123" s="65"/>
      <c r="AW123" s="68"/>
    </row>
    <row r="124" ht="15.75" customHeight="1">
      <c r="A124" s="29">
        <v>30303.0</v>
      </c>
      <c r="B124" s="76" t="s">
        <v>130</v>
      </c>
      <c r="C124" s="77">
        <v>35000.0</v>
      </c>
      <c r="D124" s="77">
        <v>18076.0</v>
      </c>
      <c r="E124" s="78">
        <f t="shared" si="7"/>
        <v>1.936269086</v>
      </c>
      <c r="F124" s="77">
        <v>30000.0</v>
      </c>
      <c r="G124" s="77">
        <v>18203.666666666668</v>
      </c>
      <c r="H124" s="78">
        <f t="shared" si="8"/>
        <v>1.64801963</v>
      </c>
      <c r="I124" s="77">
        <v>0.0</v>
      </c>
      <c r="J124" s="77">
        <v>18331.333333333332</v>
      </c>
      <c r="K124" s="78">
        <f t="shared" si="9"/>
        <v>0</v>
      </c>
      <c r="L124" s="79">
        <f t="shared" si="10"/>
        <v>1.194762905</v>
      </c>
      <c r="M124" s="80">
        <f t="shared" si="11"/>
        <v>21666.66667</v>
      </c>
      <c r="N124" s="77">
        <v>0.0</v>
      </c>
      <c r="O124" s="77">
        <v>19352.666666666668</v>
      </c>
      <c r="P124" s="81">
        <f t="shared" si="12"/>
        <v>0</v>
      </c>
      <c r="Q124" s="82">
        <v>0.0</v>
      </c>
      <c r="R124" s="77">
        <v>19480.333333333332</v>
      </c>
      <c r="S124" s="81">
        <f t="shared" si="13"/>
        <v>0</v>
      </c>
      <c r="T124" s="77">
        <v>0.0</v>
      </c>
      <c r="U124" s="77">
        <v>19608.0</v>
      </c>
      <c r="V124" s="81">
        <f t="shared" si="14"/>
        <v>0</v>
      </c>
      <c r="W124" s="83">
        <f t="shared" si="15"/>
        <v>0</v>
      </c>
      <c r="X124" s="84">
        <f t="shared" si="16"/>
        <v>0</v>
      </c>
      <c r="AD124" s="65"/>
      <c r="AG124" s="65"/>
      <c r="AJ124" s="65"/>
      <c r="AK124" s="65"/>
      <c r="AL124" s="68"/>
      <c r="AO124" s="65"/>
      <c r="AR124" s="65"/>
      <c r="AU124" s="65"/>
      <c r="AV124" s="65"/>
      <c r="AW124" s="68"/>
    </row>
    <row r="125" ht="15.75" customHeight="1">
      <c r="A125" s="29">
        <v>30401.0</v>
      </c>
      <c r="B125" s="76" t="s">
        <v>131</v>
      </c>
      <c r="C125" s="77">
        <v>50000.0</v>
      </c>
      <c r="D125" s="77">
        <v>8242.0</v>
      </c>
      <c r="E125" s="78">
        <f t="shared" si="7"/>
        <v>6.066488716</v>
      </c>
      <c r="F125" s="77">
        <v>50000.0</v>
      </c>
      <c r="G125" s="77">
        <v>8494.583333333334</v>
      </c>
      <c r="H125" s="78">
        <f t="shared" si="8"/>
        <v>5.88610389</v>
      </c>
      <c r="I125" s="77">
        <v>0.0</v>
      </c>
      <c r="J125" s="77">
        <v>8747.166666666666</v>
      </c>
      <c r="K125" s="78">
        <f t="shared" si="9"/>
        <v>0</v>
      </c>
      <c r="L125" s="79">
        <f t="shared" si="10"/>
        <v>3.984197535</v>
      </c>
      <c r="M125" s="80">
        <f t="shared" si="11"/>
        <v>33333.33333</v>
      </c>
      <c r="N125" s="77">
        <v>140000.0</v>
      </c>
      <c r="O125" s="77">
        <v>10767.833333333334</v>
      </c>
      <c r="P125" s="81">
        <f t="shared" si="12"/>
        <v>13.00168712</v>
      </c>
      <c r="Q125" s="82">
        <v>140000.0</v>
      </c>
      <c r="R125" s="77">
        <v>11020.416666666668</v>
      </c>
      <c r="S125" s="81">
        <f t="shared" si="13"/>
        <v>12.7036939</v>
      </c>
      <c r="T125" s="77">
        <v>141488.0</v>
      </c>
      <c r="U125" s="77">
        <v>11273.0</v>
      </c>
      <c r="V125" s="81">
        <f t="shared" si="14"/>
        <v>12.55105118</v>
      </c>
      <c r="W125" s="83">
        <f t="shared" si="15"/>
        <v>12.75214407</v>
      </c>
      <c r="X125" s="84">
        <f t="shared" si="16"/>
        <v>140496</v>
      </c>
      <c r="AD125" s="65"/>
      <c r="AG125" s="65"/>
      <c r="AJ125" s="65"/>
      <c r="AK125" s="65"/>
      <c r="AL125" s="68"/>
      <c r="AO125" s="65"/>
      <c r="AR125" s="65"/>
      <c r="AU125" s="65"/>
      <c r="AV125" s="65"/>
      <c r="AW125" s="68"/>
    </row>
    <row r="126" ht="15.75" customHeight="1">
      <c r="A126" s="29">
        <v>30402.0</v>
      </c>
      <c r="B126" s="76" t="s">
        <v>132</v>
      </c>
      <c r="C126" s="77">
        <v>40000.0</v>
      </c>
      <c r="D126" s="77">
        <v>7192.0</v>
      </c>
      <c r="E126" s="78">
        <f t="shared" si="7"/>
        <v>5.561735261</v>
      </c>
      <c r="F126" s="77">
        <v>44000.0</v>
      </c>
      <c r="G126" s="77">
        <v>7203.916666666667</v>
      </c>
      <c r="H126" s="78">
        <f t="shared" si="8"/>
        <v>6.107788587</v>
      </c>
      <c r="I126" s="77">
        <v>0.0</v>
      </c>
      <c r="J126" s="77">
        <v>7215.833333333333</v>
      </c>
      <c r="K126" s="78">
        <f t="shared" si="9"/>
        <v>0</v>
      </c>
      <c r="L126" s="79">
        <f t="shared" si="10"/>
        <v>3.889841283</v>
      </c>
      <c r="M126" s="80">
        <f t="shared" si="11"/>
        <v>28000</v>
      </c>
      <c r="N126" s="77">
        <v>20000.0</v>
      </c>
      <c r="O126" s="77">
        <v>7311.166666666667</v>
      </c>
      <c r="P126" s="81">
        <f t="shared" si="12"/>
        <v>2.735541523</v>
      </c>
      <c r="Q126" s="82">
        <v>20000.0</v>
      </c>
      <c r="R126" s="77">
        <v>7323.083333333333</v>
      </c>
      <c r="S126" s="81">
        <f t="shared" si="13"/>
        <v>2.731090046</v>
      </c>
      <c r="T126" s="77">
        <v>25000.0</v>
      </c>
      <c r="U126" s="77">
        <v>7335.0</v>
      </c>
      <c r="V126" s="81">
        <f t="shared" si="14"/>
        <v>3.408316292</v>
      </c>
      <c r="W126" s="83">
        <f t="shared" si="15"/>
        <v>2.958315954</v>
      </c>
      <c r="X126" s="84">
        <f t="shared" si="16"/>
        <v>21666.66667</v>
      </c>
      <c r="AD126" s="65"/>
      <c r="AG126" s="65"/>
      <c r="AJ126" s="65"/>
      <c r="AK126" s="65"/>
      <c r="AL126" s="68"/>
      <c r="AO126" s="65"/>
      <c r="AR126" s="65"/>
      <c r="AU126" s="65"/>
      <c r="AV126" s="65"/>
      <c r="AW126" s="68"/>
    </row>
    <row r="127" ht="15.75" customHeight="1">
      <c r="A127" s="29">
        <v>30403.0</v>
      </c>
      <c r="B127" s="76" t="s">
        <v>133</v>
      </c>
      <c r="C127" s="77">
        <v>0.0</v>
      </c>
      <c r="D127" s="77">
        <v>17445.0</v>
      </c>
      <c r="E127" s="78">
        <f t="shared" si="7"/>
        <v>0</v>
      </c>
      <c r="F127" s="77">
        <v>30000.0</v>
      </c>
      <c r="G127" s="77">
        <v>18439.166666666668</v>
      </c>
      <c r="H127" s="78">
        <f t="shared" si="8"/>
        <v>1.626971573</v>
      </c>
      <c r="I127" s="77">
        <v>0.0</v>
      </c>
      <c r="J127" s="77">
        <v>19433.333333333332</v>
      </c>
      <c r="K127" s="78">
        <f t="shared" si="9"/>
        <v>0</v>
      </c>
      <c r="L127" s="79">
        <f t="shared" si="10"/>
        <v>0.5423238577</v>
      </c>
      <c r="M127" s="80">
        <f t="shared" si="11"/>
        <v>10000</v>
      </c>
      <c r="N127" s="77">
        <v>240000.0</v>
      </c>
      <c r="O127" s="77">
        <v>27386.666666666664</v>
      </c>
      <c r="P127" s="81">
        <f t="shared" si="12"/>
        <v>8.76338851</v>
      </c>
      <c r="Q127" s="82">
        <v>185000.0</v>
      </c>
      <c r="R127" s="77">
        <v>28380.833333333332</v>
      </c>
      <c r="S127" s="81">
        <f t="shared" si="13"/>
        <v>6.518483718</v>
      </c>
      <c r="T127" s="77">
        <v>185000.0</v>
      </c>
      <c r="U127" s="77">
        <v>29375.0</v>
      </c>
      <c r="V127" s="81">
        <f t="shared" si="14"/>
        <v>6.29787234</v>
      </c>
      <c r="W127" s="83">
        <f t="shared" si="15"/>
        <v>7.19324819</v>
      </c>
      <c r="X127" s="84">
        <f t="shared" si="16"/>
        <v>203333.3333</v>
      </c>
      <c r="AD127" s="65"/>
      <c r="AG127" s="65"/>
      <c r="AJ127" s="65"/>
      <c r="AK127" s="65"/>
      <c r="AL127" s="68"/>
      <c r="AO127" s="65"/>
      <c r="AR127" s="65"/>
      <c r="AU127" s="65"/>
      <c r="AV127" s="65"/>
      <c r="AW127" s="68"/>
    </row>
    <row r="128" ht="15.75" customHeight="1">
      <c r="A128" s="29">
        <v>30404.0</v>
      </c>
      <c r="B128" s="76" t="s">
        <v>134</v>
      </c>
      <c r="C128" s="77">
        <v>0.0</v>
      </c>
      <c r="D128" s="77">
        <v>4366.0</v>
      </c>
      <c r="E128" s="78">
        <f t="shared" si="7"/>
        <v>0</v>
      </c>
      <c r="F128" s="77">
        <v>0.0</v>
      </c>
      <c r="G128" s="77">
        <v>4417.75</v>
      </c>
      <c r="H128" s="78">
        <f t="shared" si="8"/>
        <v>0</v>
      </c>
      <c r="I128" s="77">
        <v>0.0</v>
      </c>
      <c r="J128" s="77">
        <v>4469.5</v>
      </c>
      <c r="K128" s="78">
        <f t="shared" si="9"/>
        <v>0</v>
      </c>
      <c r="L128" s="79">
        <f t="shared" si="10"/>
        <v>0</v>
      </c>
      <c r="M128" s="80">
        <f t="shared" si="11"/>
        <v>0</v>
      </c>
      <c r="N128" s="77">
        <v>20000.0</v>
      </c>
      <c r="O128" s="77">
        <v>4883.5</v>
      </c>
      <c r="P128" s="81">
        <f t="shared" si="12"/>
        <v>4.095423364</v>
      </c>
      <c r="Q128" s="82">
        <v>15200.0</v>
      </c>
      <c r="R128" s="77">
        <v>4935.25</v>
      </c>
      <c r="S128" s="81">
        <f t="shared" si="13"/>
        <v>3.079884504</v>
      </c>
      <c r="T128" s="77">
        <v>10000.0</v>
      </c>
      <c r="U128" s="77">
        <v>4987.0</v>
      </c>
      <c r="V128" s="81">
        <f t="shared" si="14"/>
        <v>2.005213555</v>
      </c>
      <c r="W128" s="83">
        <f t="shared" si="15"/>
        <v>3.060173808</v>
      </c>
      <c r="X128" s="84">
        <f t="shared" si="16"/>
        <v>15066.66667</v>
      </c>
      <c r="AD128" s="65"/>
      <c r="AG128" s="65"/>
      <c r="AJ128" s="65"/>
      <c r="AK128" s="65"/>
      <c r="AL128" s="68"/>
      <c r="AO128" s="65"/>
      <c r="AR128" s="65"/>
      <c r="AU128" s="65"/>
      <c r="AV128" s="65"/>
      <c r="AW128" s="68"/>
    </row>
    <row r="129" ht="15.75" customHeight="1">
      <c r="A129" s="29">
        <v>30501.0</v>
      </c>
      <c r="B129" s="76" t="s">
        <v>135</v>
      </c>
      <c r="C129" s="77">
        <v>35000.0</v>
      </c>
      <c r="D129" s="77">
        <v>9504.0</v>
      </c>
      <c r="E129" s="78">
        <f t="shared" si="7"/>
        <v>3.682659933</v>
      </c>
      <c r="F129" s="77">
        <v>35000.0</v>
      </c>
      <c r="G129" s="77">
        <v>9643.916666666666</v>
      </c>
      <c r="H129" s="78">
        <f t="shared" si="8"/>
        <v>3.629230862</v>
      </c>
      <c r="I129" s="77">
        <v>0.0</v>
      </c>
      <c r="J129" s="77">
        <v>9783.833333333334</v>
      </c>
      <c r="K129" s="78">
        <f t="shared" si="9"/>
        <v>0</v>
      </c>
      <c r="L129" s="79">
        <f t="shared" si="10"/>
        <v>2.437296932</v>
      </c>
      <c r="M129" s="80">
        <f t="shared" si="11"/>
        <v>23333.33333</v>
      </c>
      <c r="N129" s="77">
        <v>35000.0</v>
      </c>
      <c r="O129" s="77">
        <v>10903.166666666666</v>
      </c>
      <c r="P129" s="81">
        <f t="shared" si="12"/>
        <v>3.210076583</v>
      </c>
      <c r="Q129" s="82">
        <v>40000.0</v>
      </c>
      <c r="R129" s="77">
        <v>11043.083333333334</v>
      </c>
      <c r="S129" s="81">
        <f t="shared" si="13"/>
        <v>3.622176777</v>
      </c>
      <c r="T129" s="77">
        <v>55000.0</v>
      </c>
      <c r="U129" s="77">
        <v>11183.0</v>
      </c>
      <c r="V129" s="81">
        <f t="shared" si="14"/>
        <v>4.918179379</v>
      </c>
      <c r="W129" s="83">
        <f t="shared" si="15"/>
        <v>3.916810913</v>
      </c>
      <c r="X129" s="84">
        <f t="shared" si="16"/>
        <v>43333.33333</v>
      </c>
      <c r="AD129" s="65"/>
      <c r="AG129" s="65"/>
      <c r="AJ129" s="65"/>
      <c r="AK129" s="65"/>
      <c r="AL129" s="68"/>
      <c r="AO129" s="65"/>
      <c r="AR129" s="65"/>
      <c r="AU129" s="65"/>
      <c r="AV129" s="65"/>
      <c r="AW129" s="68"/>
    </row>
    <row r="130" ht="15.75" customHeight="1">
      <c r="A130" s="29">
        <v>30502.0</v>
      </c>
      <c r="B130" s="76" t="s">
        <v>136</v>
      </c>
      <c r="C130" s="77">
        <v>135000.0</v>
      </c>
      <c r="D130" s="77">
        <v>8940.0</v>
      </c>
      <c r="E130" s="78">
        <f t="shared" si="7"/>
        <v>15.10067114</v>
      </c>
      <c r="F130" s="77">
        <v>11000.0</v>
      </c>
      <c r="G130" s="77">
        <v>8895.75</v>
      </c>
      <c r="H130" s="78">
        <f t="shared" si="8"/>
        <v>1.236545541</v>
      </c>
      <c r="I130" s="77">
        <v>0.0</v>
      </c>
      <c r="J130" s="77">
        <v>8851.5</v>
      </c>
      <c r="K130" s="78">
        <f t="shared" si="9"/>
        <v>0</v>
      </c>
      <c r="L130" s="79">
        <f t="shared" si="10"/>
        <v>5.445738894</v>
      </c>
      <c r="M130" s="80">
        <f t="shared" si="11"/>
        <v>48666.66667</v>
      </c>
      <c r="N130" s="77">
        <v>4000.0</v>
      </c>
      <c r="O130" s="77">
        <v>8497.5</v>
      </c>
      <c r="P130" s="81">
        <f t="shared" si="12"/>
        <v>0.4707266843</v>
      </c>
      <c r="Q130" s="82">
        <v>4000.0</v>
      </c>
      <c r="R130" s="77">
        <v>8453.25</v>
      </c>
      <c r="S130" s="81">
        <f t="shared" si="13"/>
        <v>0.4731907846</v>
      </c>
      <c r="T130" s="77">
        <v>4000.0</v>
      </c>
      <c r="U130" s="77">
        <v>8409.0</v>
      </c>
      <c r="V130" s="81">
        <f t="shared" si="14"/>
        <v>0.4756808182</v>
      </c>
      <c r="W130" s="83">
        <f t="shared" si="15"/>
        <v>0.473199429</v>
      </c>
      <c r="X130" s="84">
        <f t="shared" si="16"/>
        <v>4000</v>
      </c>
      <c r="AD130" s="65"/>
      <c r="AG130" s="65"/>
      <c r="AJ130" s="65"/>
      <c r="AK130" s="65"/>
      <c r="AL130" s="68"/>
      <c r="AO130" s="65"/>
      <c r="AR130" s="65"/>
      <c r="AU130" s="65"/>
      <c r="AV130" s="65"/>
      <c r="AW130" s="68"/>
    </row>
    <row r="131" ht="15.75" customHeight="1">
      <c r="A131" s="29">
        <v>30601.0</v>
      </c>
      <c r="B131" s="76" t="s">
        <v>137</v>
      </c>
      <c r="C131" s="77">
        <v>40000.0</v>
      </c>
      <c r="D131" s="77">
        <v>10597.0</v>
      </c>
      <c r="E131" s="78">
        <f t="shared" si="7"/>
        <v>3.774653204</v>
      </c>
      <c r="F131" s="77">
        <v>50000.0</v>
      </c>
      <c r="G131" s="77">
        <v>10599.916666666666</v>
      </c>
      <c r="H131" s="78">
        <f t="shared" si="8"/>
        <v>4.717018216</v>
      </c>
      <c r="I131" s="77">
        <v>0.0</v>
      </c>
      <c r="J131" s="77">
        <v>10602.833333333334</v>
      </c>
      <c r="K131" s="78">
        <f t="shared" si="9"/>
        <v>0</v>
      </c>
      <c r="L131" s="79">
        <f t="shared" si="10"/>
        <v>2.83055714</v>
      </c>
      <c r="M131" s="80">
        <f t="shared" si="11"/>
        <v>30000</v>
      </c>
      <c r="N131" s="77">
        <v>25000.0</v>
      </c>
      <c r="O131" s="77">
        <v>10626.166666666666</v>
      </c>
      <c r="P131" s="81">
        <f t="shared" si="12"/>
        <v>2.352682843</v>
      </c>
      <c r="Q131" s="82">
        <v>30000.0</v>
      </c>
      <c r="R131" s="77">
        <v>10629.083333333334</v>
      </c>
      <c r="S131" s="81">
        <f t="shared" si="13"/>
        <v>2.822444708</v>
      </c>
      <c r="T131" s="77">
        <v>40000.0</v>
      </c>
      <c r="U131" s="77">
        <v>10632.0</v>
      </c>
      <c r="V131" s="81">
        <f t="shared" si="14"/>
        <v>3.762227239</v>
      </c>
      <c r="W131" s="83">
        <f t="shared" si="15"/>
        <v>2.979118263</v>
      </c>
      <c r="X131" s="84">
        <f t="shared" si="16"/>
        <v>31666.66667</v>
      </c>
      <c r="AD131" s="65"/>
      <c r="AG131" s="65"/>
      <c r="AJ131" s="65"/>
      <c r="AK131" s="65"/>
      <c r="AL131" s="68"/>
      <c r="AO131" s="65"/>
      <c r="AR131" s="65"/>
      <c r="AU131" s="65"/>
      <c r="AV131" s="65"/>
      <c r="AW131" s="68"/>
    </row>
    <row r="132" ht="15.75" customHeight="1">
      <c r="A132" s="29">
        <v>30602.0</v>
      </c>
      <c r="B132" s="76" t="s">
        <v>138</v>
      </c>
      <c r="C132" s="77">
        <v>0.0</v>
      </c>
      <c r="D132" s="77">
        <v>10253.0</v>
      </c>
      <c r="E132" s="78">
        <f t="shared" si="7"/>
        <v>0</v>
      </c>
      <c r="F132" s="77">
        <v>0.0</v>
      </c>
      <c r="G132" s="77">
        <v>10294.416666666666</v>
      </c>
      <c r="H132" s="78">
        <f t="shared" si="8"/>
        <v>0</v>
      </c>
      <c r="I132" s="77">
        <v>0.0</v>
      </c>
      <c r="J132" s="77">
        <v>10335.833333333334</v>
      </c>
      <c r="K132" s="78">
        <f t="shared" si="9"/>
        <v>0</v>
      </c>
      <c r="L132" s="79">
        <f t="shared" si="10"/>
        <v>0</v>
      </c>
      <c r="M132" s="80">
        <f t="shared" si="11"/>
        <v>0</v>
      </c>
      <c r="N132" s="77">
        <v>6000.0</v>
      </c>
      <c r="O132" s="77">
        <v>10667.166666666666</v>
      </c>
      <c r="P132" s="81">
        <f t="shared" si="12"/>
        <v>0.562473634</v>
      </c>
      <c r="Q132" s="82">
        <v>5000.0</v>
      </c>
      <c r="R132" s="77">
        <v>10708.583333333334</v>
      </c>
      <c r="S132" s="81">
        <f t="shared" si="13"/>
        <v>0.4669151693</v>
      </c>
      <c r="T132" s="77">
        <v>3000.0</v>
      </c>
      <c r="U132" s="77">
        <v>10750.0</v>
      </c>
      <c r="V132" s="81">
        <f t="shared" si="14"/>
        <v>0.2790697674</v>
      </c>
      <c r="W132" s="83">
        <f t="shared" si="15"/>
        <v>0.4361528569</v>
      </c>
      <c r="X132" s="84">
        <f t="shared" si="16"/>
        <v>4666.666667</v>
      </c>
      <c r="AD132" s="65"/>
      <c r="AG132" s="65"/>
      <c r="AJ132" s="65"/>
      <c r="AK132" s="65"/>
      <c r="AL132" s="68"/>
      <c r="AO132" s="65"/>
      <c r="AR132" s="65"/>
      <c r="AU132" s="65"/>
      <c r="AV132" s="65"/>
      <c r="AW132" s="68"/>
    </row>
    <row r="133" ht="15.75" customHeight="1">
      <c r="A133" s="29">
        <v>30701.0</v>
      </c>
      <c r="B133" s="76" t="s">
        <v>139</v>
      </c>
      <c r="C133" s="77">
        <v>0.0</v>
      </c>
      <c r="D133" s="77">
        <v>19477.0</v>
      </c>
      <c r="E133" s="78">
        <f t="shared" si="7"/>
        <v>0</v>
      </c>
      <c r="F133" s="77">
        <v>50000.0</v>
      </c>
      <c r="G133" s="77">
        <v>19472.833333333332</v>
      </c>
      <c r="H133" s="78">
        <f t="shared" si="8"/>
        <v>2.567679759</v>
      </c>
      <c r="I133" s="77">
        <v>0.0</v>
      </c>
      <c r="J133" s="77">
        <v>19468.666666666668</v>
      </c>
      <c r="K133" s="78">
        <f t="shared" si="9"/>
        <v>0</v>
      </c>
      <c r="L133" s="79">
        <f t="shared" si="10"/>
        <v>0.855893253</v>
      </c>
      <c r="M133" s="80">
        <f t="shared" si="11"/>
        <v>16666.66667</v>
      </c>
      <c r="N133" s="77">
        <v>245000.0</v>
      </c>
      <c r="O133" s="77">
        <v>19435.333333333332</v>
      </c>
      <c r="P133" s="81">
        <f t="shared" si="12"/>
        <v>12.60590677</v>
      </c>
      <c r="Q133" s="82">
        <v>200000.0</v>
      </c>
      <c r="R133" s="77">
        <v>19431.166666666668</v>
      </c>
      <c r="S133" s="81">
        <f t="shared" si="13"/>
        <v>10.29274276</v>
      </c>
      <c r="T133" s="77">
        <v>200000.0</v>
      </c>
      <c r="U133" s="77">
        <v>19427.0</v>
      </c>
      <c r="V133" s="81">
        <f t="shared" si="14"/>
        <v>10.29495033</v>
      </c>
      <c r="W133" s="83">
        <f t="shared" si="15"/>
        <v>11.06453328</v>
      </c>
      <c r="X133" s="84">
        <f t="shared" si="16"/>
        <v>215000</v>
      </c>
      <c r="AD133" s="65"/>
      <c r="AG133" s="65"/>
      <c r="AJ133" s="65"/>
      <c r="AK133" s="65"/>
      <c r="AL133" s="68"/>
      <c r="AO133" s="65"/>
      <c r="AR133" s="65"/>
      <c r="AU133" s="65"/>
      <c r="AV133" s="65"/>
      <c r="AW133" s="68"/>
    </row>
    <row r="134" ht="15.75" customHeight="1">
      <c r="A134" s="29">
        <v>30702.0</v>
      </c>
      <c r="B134" s="76" t="s">
        <v>140</v>
      </c>
      <c r="C134" s="77">
        <v>30000.0</v>
      </c>
      <c r="D134" s="77">
        <v>6527.0</v>
      </c>
      <c r="E134" s="78">
        <f t="shared" si="7"/>
        <v>4.596292324</v>
      </c>
      <c r="F134" s="77">
        <v>30000.0</v>
      </c>
      <c r="G134" s="77">
        <v>6644.75</v>
      </c>
      <c r="H134" s="78">
        <f t="shared" si="8"/>
        <v>4.514842545</v>
      </c>
      <c r="I134" s="77">
        <v>0.0</v>
      </c>
      <c r="J134" s="77">
        <v>6762.5</v>
      </c>
      <c r="K134" s="78">
        <f t="shared" si="9"/>
        <v>0</v>
      </c>
      <c r="L134" s="79">
        <f t="shared" si="10"/>
        <v>3.037044956</v>
      </c>
      <c r="M134" s="80">
        <f t="shared" si="11"/>
        <v>20000</v>
      </c>
      <c r="N134" s="77">
        <v>35000.0</v>
      </c>
      <c r="O134" s="77">
        <v>7704.5</v>
      </c>
      <c r="P134" s="81">
        <f t="shared" si="12"/>
        <v>4.542799663</v>
      </c>
      <c r="Q134" s="82">
        <v>18000.0</v>
      </c>
      <c r="R134" s="77">
        <v>7822.25</v>
      </c>
      <c r="S134" s="81">
        <f t="shared" si="13"/>
        <v>2.301128192</v>
      </c>
      <c r="T134" s="77">
        <v>18000.0</v>
      </c>
      <c r="U134" s="77">
        <v>7940.0</v>
      </c>
      <c r="V134" s="81">
        <f t="shared" si="14"/>
        <v>2.267002519</v>
      </c>
      <c r="W134" s="83">
        <f t="shared" si="15"/>
        <v>3.036976791</v>
      </c>
      <c r="X134" s="84">
        <f t="shared" si="16"/>
        <v>23666.66667</v>
      </c>
      <c r="AD134" s="65"/>
      <c r="AG134" s="65"/>
      <c r="AJ134" s="65"/>
      <c r="AK134" s="65"/>
      <c r="AL134" s="68"/>
      <c r="AO134" s="65"/>
      <c r="AR134" s="65"/>
      <c r="AU134" s="65"/>
      <c r="AV134" s="65"/>
      <c r="AW134" s="68"/>
    </row>
    <row r="135" ht="15.75" customHeight="1">
      <c r="A135" s="29">
        <v>30703.0</v>
      </c>
      <c r="B135" s="76" t="s">
        <v>141</v>
      </c>
      <c r="C135" s="77">
        <v>0.0</v>
      </c>
      <c r="D135" s="77">
        <v>3740.0</v>
      </c>
      <c r="E135" s="78">
        <f t="shared" si="7"/>
        <v>0</v>
      </c>
      <c r="F135" s="77">
        <v>0.0</v>
      </c>
      <c r="G135" s="77">
        <v>3760.0</v>
      </c>
      <c r="H135" s="78">
        <f t="shared" si="8"/>
        <v>0</v>
      </c>
      <c r="I135" s="77">
        <v>0.0</v>
      </c>
      <c r="J135" s="77">
        <v>3780.0</v>
      </c>
      <c r="K135" s="78">
        <f t="shared" si="9"/>
        <v>0</v>
      </c>
      <c r="L135" s="79">
        <f t="shared" si="10"/>
        <v>0</v>
      </c>
      <c r="M135" s="80">
        <f t="shared" si="11"/>
        <v>0</v>
      </c>
      <c r="N135" s="77">
        <v>2000.0</v>
      </c>
      <c r="O135" s="77">
        <v>3940.0</v>
      </c>
      <c r="P135" s="81">
        <f t="shared" si="12"/>
        <v>0.5076142132</v>
      </c>
      <c r="Q135" s="82">
        <v>2000.0</v>
      </c>
      <c r="R135" s="77">
        <v>3960.0</v>
      </c>
      <c r="S135" s="81">
        <f t="shared" si="13"/>
        <v>0.5050505051</v>
      </c>
      <c r="T135" s="77">
        <v>2000.0</v>
      </c>
      <c r="U135" s="77">
        <v>3980.0</v>
      </c>
      <c r="V135" s="81">
        <f t="shared" si="14"/>
        <v>0.5025125628</v>
      </c>
      <c r="W135" s="83">
        <f t="shared" si="15"/>
        <v>0.5050590937</v>
      </c>
      <c r="X135" s="84">
        <f t="shared" si="16"/>
        <v>2000</v>
      </c>
      <c r="AD135" s="65"/>
      <c r="AG135" s="65"/>
      <c r="AJ135" s="65"/>
      <c r="AK135" s="65"/>
      <c r="AL135" s="68"/>
      <c r="AO135" s="65"/>
      <c r="AR135" s="65"/>
      <c r="AU135" s="65"/>
      <c r="AV135" s="65"/>
      <c r="AW135" s="68"/>
    </row>
    <row r="136" ht="15.75" customHeight="1">
      <c r="A136" s="29">
        <v>30801.0</v>
      </c>
      <c r="B136" s="76" t="s">
        <v>142</v>
      </c>
      <c r="C136" s="77">
        <v>175000.0</v>
      </c>
      <c r="D136" s="77">
        <v>21899.0</v>
      </c>
      <c r="E136" s="78">
        <f t="shared" si="7"/>
        <v>7.991232476</v>
      </c>
      <c r="F136" s="77">
        <v>187000.0</v>
      </c>
      <c r="G136" s="77">
        <v>21837.0</v>
      </c>
      <c r="H136" s="78">
        <f t="shared" si="8"/>
        <v>8.56344736</v>
      </c>
      <c r="I136" s="77">
        <v>0.0</v>
      </c>
      <c r="J136" s="77">
        <v>21775.0</v>
      </c>
      <c r="K136" s="78">
        <f t="shared" si="9"/>
        <v>0</v>
      </c>
      <c r="L136" s="79">
        <f t="shared" si="10"/>
        <v>5.518226612</v>
      </c>
      <c r="M136" s="80">
        <f t="shared" si="11"/>
        <v>120666.6667</v>
      </c>
      <c r="N136" s="77">
        <v>417500.0</v>
      </c>
      <c r="O136" s="77">
        <v>21279.0</v>
      </c>
      <c r="P136" s="81">
        <f t="shared" si="12"/>
        <v>19.62028291</v>
      </c>
      <c r="Q136" s="82">
        <v>543700.0</v>
      </c>
      <c r="R136" s="77">
        <v>21217.0</v>
      </c>
      <c r="S136" s="81">
        <f t="shared" si="13"/>
        <v>25.62567752</v>
      </c>
      <c r="T136" s="77">
        <v>581500.0</v>
      </c>
      <c r="U136" s="77">
        <v>21155.0</v>
      </c>
      <c r="V136" s="81">
        <f t="shared" si="14"/>
        <v>27.48759159</v>
      </c>
      <c r="W136" s="83">
        <f t="shared" si="15"/>
        <v>24.24451734</v>
      </c>
      <c r="X136" s="84">
        <f t="shared" si="16"/>
        <v>514233.3333</v>
      </c>
      <c r="AD136" s="65"/>
      <c r="AG136" s="65"/>
      <c r="AJ136" s="65"/>
      <c r="AK136" s="65"/>
      <c r="AL136" s="68"/>
      <c r="AO136" s="65"/>
      <c r="AR136" s="65"/>
      <c r="AU136" s="65"/>
      <c r="AV136" s="65"/>
      <c r="AW136" s="68"/>
    </row>
    <row r="137" ht="15.75" customHeight="1">
      <c r="A137" s="29">
        <v>30802.0</v>
      </c>
      <c r="B137" s="76" t="s">
        <v>143</v>
      </c>
      <c r="C137" s="77">
        <v>10000.0</v>
      </c>
      <c r="D137" s="77">
        <v>7057.0</v>
      </c>
      <c r="E137" s="78">
        <f t="shared" si="7"/>
        <v>1.417032733</v>
      </c>
      <c r="F137" s="77">
        <v>10000.0</v>
      </c>
      <c r="G137" s="77">
        <v>7084.083333333333</v>
      </c>
      <c r="H137" s="78">
        <f t="shared" si="8"/>
        <v>1.411615241</v>
      </c>
      <c r="I137" s="77">
        <v>0.0</v>
      </c>
      <c r="J137" s="77">
        <v>7111.166666666667</v>
      </c>
      <c r="K137" s="78">
        <f t="shared" si="9"/>
        <v>0</v>
      </c>
      <c r="L137" s="79">
        <f t="shared" si="10"/>
        <v>0.9428826581</v>
      </c>
      <c r="M137" s="80">
        <f t="shared" si="11"/>
        <v>6666.666667</v>
      </c>
      <c r="N137" s="77">
        <v>10000.0</v>
      </c>
      <c r="O137" s="77">
        <v>7327.833333333333</v>
      </c>
      <c r="P137" s="81">
        <f t="shared" si="12"/>
        <v>1.364659859</v>
      </c>
      <c r="Q137" s="82">
        <v>15000.0</v>
      </c>
      <c r="R137" s="77">
        <v>7354.916666666667</v>
      </c>
      <c r="S137" s="81">
        <f t="shared" si="13"/>
        <v>2.039452067</v>
      </c>
      <c r="T137" s="77">
        <v>15000.0</v>
      </c>
      <c r="U137" s="77">
        <v>7382.0</v>
      </c>
      <c r="V137" s="81">
        <f t="shared" si="14"/>
        <v>2.031969656</v>
      </c>
      <c r="W137" s="83">
        <f t="shared" si="15"/>
        <v>1.812027194</v>
      </c>
      <c r="X137" s="84">
        <f t="shared" si="16"/>
        <v>13333.33333</v>
      </c>
      <c r="AD137" s="65"/>
      <c r="AG137" s="65"/>
      <c r="AJ137" s="65"/>
      <c r="AK137" s="65"/>
      <c r="AL137" s="68"/>
      <c r="AO137" s="65"/>
      <c r="AR137" s="65"/>
      <c r="AU137" s="65"/>
      <c r="AV137" s="65"/>
      <c r="AW137" s="68"/>
    </row>
    <row r="138" ht="15.75" customHeight="1">
      <c r="A138" s="29">
        <v>30803.0</v>
      </c>
      <c r="B138" s="76" t="s">
        <v>144</v>
      </c>
      <c r="C138" s="77">
        <v>20000.0</v>
      </c>
      <c r="D138" s="77">
        <v>5542.0</v>
      </c>
      <c r="E138" s="78">
        <f t="shared" si="7"/>
        <v>3.608805485</v>
      </c>
      <c r="F138" s="77">
        <v>20000.0</v>
      </c>
      <c r="G138" s="77">
        <v>5804.083333333333</v>
      </c>
      <c r="H138" s="78">
        <f t="shared" si="8"/>
        <v>3.445849905</v>
      </c>
      <c r="I138" s="77">
        <v>0.0</v>
      </c>
      <c r="J138" s="77">
        <v>6066.166666666667</v>
      </c>
      <c r="K138" s="78">
        <f t="shared" si="9"/>
        <v>0</v>
      </c>
      <c r="L138" s="79">
        <f t="shared" si="10"/>
        <v>2.351551797</v>
      </c>
      <c r="M138" s="80">
        <f t="shared" si="11"/>
        <v>13333.33333</v>
      </c>
      <c r="N138" s="77">
        <v>20000.0</v>
      </c>
      <c r="O138" s="77">
        <v>8162.833333333333</v>
      </c>
      <c r="P138" s="81">
        <f t="shared" si="12"/>
        <v>2.450129653</v>
      </c>
      <c r="Q138" s="82">
        <v>20000.0</v>
      </c>
      <c r="R138" s="77">
        <v>8424.916666666666</v>
      </c>
      <c r="S138" s="81">
        <f t="shared" si="13"/>
        <v>2.373910721</v>
      </c>
      <c r="T138" s="77">
        <v>0.0</v>
      </c>
      <c r="U138" s="77">
        <v>8687.0</v>
      </c>
      <c r="V138" s="81">
        <f t="shared" si="14"/>
        <v>0</v>
      </c>
      <c r="W138" s="83">
        <f t="shared" si="15"/>
        <v>1.608013458</v>
      </c>
      <c r="X138" s="84">
        <f t="shared" si="16"/>
        <v>13333.33333</v>
      </c>
      <c r="AD138" s="65"/>
      <c r="AG138" s="65"/>
      <c r="AJ138" s="65"/>
      <c r="AK138" s="65"/>
      <c r="AL138" s="68"/>
      <c r="AO138" s="65"/>
      <c r="AR138" s="65"/>
      <c r="AU138" s="65"/>
      <c r="AV138" s="65"/>
      <c r="AW138" s="68"/>
    </row>
    <row r="139" ht="15.75" customHeight="1">
      <c r="A139" s="29">
        <v>30901.0</v>
      </c>
      <c r="B139" s="76" t="s">
        <v>145</v>
      </c>
      <c r="C139" s="77">
        <v>0.0</v>
      </c>
      <c r="D139" s="77">
        <v>137182.0</v>
      </c>
      <c r="E139" s="78">
        <f t="shared" si="7"/>
        <v>0</v>
      </c>
      <c r="F139" s="77">
        <v>0.0</v>
      </c>
      <c r="G139" s="77">
        <v>139645.25</v>
      </c>
      <c r="H139" s="78">
        <f t="shared" si="8"/>
        <v>0</v>
      </c>
      <c r="I139" s="77">
        <v>0.0</v>
      </c>
      <c r="J139" s="77">
        <v>142108.5</v>
      </c>
      <c r="K139" s="78">
        <f t="shared" si="9"/>
        <v>0</v>
      </c>
      <c r="L139" s="79">
        <f t="shared" si="10"/>
        <v>0</v>
      </c>
      <c r="M139" s="80">
        <f t="shared" si="11"/>
        <v>0</v>
      </c>
      <c r="N139" s="77">
        <v>1.8485814E7</v>
      </c>
      <c r="O139" s="77">
        <v>161814.5</v>
      </c>
      <c r="P139" s="81">
        <f t="shared" si="12"/>
        <v>114.2407757</v>
      </c>
      <c r="Q139" s="82">
        <v>2.0539026E7</v>
      </c>
      <c r="R139" s="77">
        <v>164277.75</v>
      </c>
      <c r="S139" s="81">
        <f t="shared" si="13"/>
        <v>125.0262193</v>
      </c>
      <c r="T139" s="77">
        <v>1.0835109E7</v>
      </c>
      <c r="U139" s="77">
        <v>166741.0</v>
      </c>
      <c r="V139" s="81">
        <f t="shared" si="14"/>
        <v>64.98167217</v>
      </c>
      <c r="W139" s="83">
        <f t="shared" si="15"/>
        <v>101.4162224</v>
      </c>
      <c r="X139" s="84">
        <f t="shared" si="16"/>
        <v>16619983</v>
      </c>
      <c r="AD139" s="65"/>
      <c r="AG139" s="65"/>
      <c r="AJ139" s="65"/>
      <c r="AK139" s="65"/>
      <c r="AL139" s="68"/>
      <c r="AO139" s="65"/>
      <c r="AR139" s="65"/>
      <c r="AU139" s="65"/>
      <c r="AV139" s="65"/>
      <c r="AW139" s="68"/>
    </row>
    <row r="140" ht="15.75" customHeight="1">
      <c r="A140" s="29">
        <v>30902.0</v>
      </c>
      <c r="B140" s="76" t="s">
        <v>146</v>
      </c>
      <c r="C140" s="77">
        <v>100000.0</v>
      </c>
      <c r="D140" s="77">
        <v>41571.0</v>
      </c>
      <c r="E140" s="78">
        <f t="shared" si="7"/>
        <v>2.405523081</v>
      </c>
      <c r="F140" s="77">
        <v>250000.0</v>
      </c>
      <c r="G140" s="77">
        <v>42765.75</v>
      </c>
      <c r="H140" s="78">
        <f t="shared" si="8"/>
        <v>5.845799501</v>
      </c>
      <c r="I140" s="77">
        <v>0.0</v>
      </c>
      <c r="J140" s="77">
        <v>43960.5</v>
      </c>
      <c r="K140" s="78">
        <f t="shared" si="9"/>
        <v>0</v>
      </c>
      <c r="L140" s="79">
        <f t="shared" si="10"/>
        <v>2.750440861</v>
      </c>
      <c r="M140" s="80">
        <f t="shared" si="11"/>
        <v>116666.6667</v>
      </c>
      <c r="N140" s="77">
        <v>350000.0</v>
      </c>
      <c r="O140" s="77">
        <v>53518.5</v>
      </c>
      <c r="P140" s="81">
        <f t="shared" si="12"/>
        <v>6.53979465</v>
      </c>
      <c r="Q140" s="82">
        <v>510150.0</v>
      </c>
      <c r="R140" s="77">
        <v>54713.25</v>
      </c>
      <c r="S140" s="81">
        <f t="shared" si="13"/>
        <v>9.324066839</v>
      </c>
      <c r="T140" s="77">
        <v>535150.0</v>
      </c>
      <c r="U140" s="77">
        <v>55908.0</v>
      </c>
      <c r="V140" s="81">
        <f t="shared" si="14"/>
        <v>9.571975388</v>
      </c>
      <c r="W140" s="83">
        <f t="shared" si="15"/>
        <v>8.478612293</v>
      </c>
      <c r="X140" s="84">
        <f t="shared" si="16"/>
        <v>465100</v>
      </c>
      <c r="AD140" s="65"/>
      <c r="AG140" s="65"/>
      <c r="AJ140" s="65"/>
      <c r="AK140" s="65"/>
      <c r="AL140" s="68"/>
      <c r="AO140" s="65"/>
      <c r="AR140" s="65"/>
      <c r="AU140" s="65"/>
      <c r="AV140" s="65"/>
      <c r="AW140" s="68"/>
    </row>
    <row r="141" ht="15.75" customHeight="1">
      <c r="A141" s="29">
        <v>30903.0</v>
      </c>
      <c r="B141" s="76" t="s">
        <v>147</v>
      </c>
      <c r="C141" s="77">
        <v>971166.0</v>
      </c>
      <c r="D141" s="77">
        <v>53904.0</v>
      </c>
      <c r="E141" s="78">
        <f t="shared" si="7"/>
        <v>18.01658504</v>
      </c>
      <c r="F141" s="77">
        <v>1216343.0</v>
      </c>
      <c r="G141" s="77">
        <v>54565.333333333336</v>
      </c>
      <c r="H141" s="78">
        <f t="shared" si="8"/>
        <v>22.29149765</v>
      </c>
      <c r="I141" s="77">
        <v>0.0</v>
      </c>
      <c r="J141" s="77">
        <v>55226.666666666664</v>
      </c>
      <c r="K141" s="78">
        <f t="shared" si="9"/>
        <v>0</v>
      </c>
      <c r="L141" s="79">
        <f t="shared" si="10"/>
        <v>13.43602756</v>
      </c>
      <c r="M141" s="80">
        <f t="shared" si="11"/>
        <v>729169.6667</v>
      </c>
      <c r="N141" s="77">
        <v>1477183.0</v>
      </c>
      <c r="O141" s="77">
        <v>60517.333333333336</v>
      </c>
      <c r="P141" s="81">
        <f t="shared" si="12"/>
        <v>24.40925465</v>
      </c>
      <c r="Q141" s="82">
        <v>1611951.0</v>
      </c>
      <c r="R141" s="77">
        <v>61178.666666666664</v>
      </c>
      <c r="S141" s="81">
        <f t="shared" si="13"/>
        <v>26.3482532</v>
      </c>
      <c r="T141" s="77">
        <v>1611951.0</v>
      </c>
      <c r="U141" s="77">
        <v>61840.0</v>
      </c>
      <c r="V141" s="81">
        <f t="shared" si="14"/>
        <v>26.06647801</v>
      </c>
      <c r="W141" s="83">
        <f t="shared" si="15"/>
        <v>25.60799529</v>
      </c>
      <c r="X141" s="84">
        <f t="shared" si="16"/>
        <v>1567028.333</v>
      </c>
      <c r="AD141" s="65"/>
      <c r="AG141" s="65"/>
      <c r="AJ141" s="65"/>
      <c r="AK141" s="65"/>
      <c r="AL141" s="68"/>
      <c r="AO141" s="65"/>
      <c r="AR141" s="65"/>
      <c r="AU141" s="65"/>
      <c r="AV141" s="65"/>
      <c r="AW141" s="68"/>
    </row>
    <row r="142" ht="15.75" customHeight="1">
      <c r="A142" s="29">
        <v>30904.0</v>
      </c>
      <c r="B142" s="76" t="s">
        <v>148</v>
      </c>
      <c r="C142" s="77">
        <v>349706.0</v>
      </c>
      <c r="D142" s="77">
        <v>51968.0</v>
      </c>
      <c r="E142" s="78">
        <f t="shared" si="7"/>
        <v>6.729256466</v>
      </c>
      <c r="F142" s="77">
        <v>303500.0</v>
      </c>
      <c r="G142" s="77">
        <v>52309.333333333336</v>
      </c>
      <c r="H142" s="78">
        <f t="shared" si="8"/>
        <v>5.802023858</v>
      </c>
      <c r="I142" s="77">
        <v>0.0</v>
      </c>
      <c r="J142" s="77">
        <v>52650.666666666664</v>
      </c>
      <c r="K142" s="78">
        <f t="shared" si="9"/>
        <v>0</v>
      </c>
      <c r="L142" s="79">
        <f t="shared" si="10"/>
        <v>4.177093441</v>
      </c>
      <c r="M142" s="80">
        <f t="shared" si="11"/>
        <v>217735.3333</v>
      </c>
      <c r="N142" s="77">
        <v>730000.0</v>
      </c>
      <c r="O142" s="77">
        <v>55381.333333333336</v>
      </c>
      <c r="P142" s="81">
        <f t="shared" si="12"/>
        <v>13.18133667</v>
      </c>
      <c r="Q142" s="82">
        <v>750000.0</v>
      </c>
      <c r="R142" s="77">
        <v>55722.666666666664</v>
      </c>
      <c r="S142" s="81">
        <f t="shared" si="13"/>
        <v>13.45951378</v>
      </c>
      <c r="T142" s="77">
        <v>750000.0</v>
      </c>
      <c r="U142" s="77">
        <v>56064.0</v>
      </c>
      <c r="V142" s="81">
        <f t="shared" si="14"/>
        <v>13.37756849</v>
      </c>
      <c r="W142" s="83">
        <f t="shared" si="15"/>
        <v>13.33947298</v>
      </c>
      <c r="X142" s="84">
        <f t="shared" si="16"/>
        <v>743333.3333</v>
      </c>
      <c r="AD142" s="65"/>
      <c r="AG142" s="65"/>
      <c r="AJ142" s="65"/>
      <c r="AK142" s="65"/>
      <c r="AL142" s="68"/>
      <c r="AO142" s="65"/>
      <c r="AR142" s="65"/>
      <c r="AU142" s="65"/>
      <c r="AV142" s="65"/>
      <c r="AW142" s="68"/>
    </row>
    <row r="143" ht="15.75" customHeight="1">
      <c r="A143" s="29">
        <v>30905.0</v>
      </c>
      <c r="B143" s="76" t="s">
        <v>149</v>
      </c>
      <c r="C143" s="77">
        <v>300000.0</v>
      </c>
      <c r="D143" s="77">
        <v>51990.0</v>
      </c>
      <c r="E143" s="78">
        <f t="shared" si="7"/>
        <v>5.77034045</v>
      </c>
      <c r="F143" s="77">
        <v>970000.0</v>
      </c>
      <c r="G143" s="77">
        <v>53199.583333333336</v>
      </c>
      <c r="H143" s="78">
        <f t="shared" si="8"/>
        <v>18.23322551</v>
      </c>
      <c r="I143" s="77">
        <v>0.0</v>
      </c>
      <c r="J143" s="77">
        <v>54409.166666666664</v>
      </c>
      <c r="K143" s="78">
        <f t="shared" si="9"/>
        <v>0</v>
      </c>
      <c r="L143" s="79">
        <f t="shared" si="10"/>
        <v>8.001188654</v>
      </c>
      <c r="M143" s="80">
        <f t="shared" si="11"/>
        <v>423333.3333</v>
      </c>
      <c r="N143" s="77">
        <v>3700000.0</v>
      </c>
      <c r="O143" s="77">
        <v>64085.83333333333</v>
      </c>
      <c r="P143" s="81">
        <f t="shared" si="12"/>
        <v>57.73506885</v>
      </c>
      <c r="Q143" s="82">
        <v>3100000.0</v>
      </c>
      <c r="R143" s="77">
        <v>65295.416666666664</v>
      </c>
      <c r="S143" s="81">
        <f t="shared" si="13"/>
        <v>47.47653294</v>
      </c>
      <c r="T143" s="77">
        <v>3580000.0</v>
      </c>
      <c r="U143" s="77">
        <v>66505.0</v>
      </c>
      <c r="V143" s="81">
        <f t="shared" si="14"/>
        <v>53.83053906</v>
      </c>
      <c r="W143" s="83">
        <f t="shared" si="15"/>
        <v>53.01404695</v>
      </c>
      <c r="X143" s="84">
        <f t="shared" si="16"/>
        <v>3460000</v>
      </c>
      <c r="AD143" s="65"/>
      <c r="AG143" s="65"/>
      <c r="AJ143" s="65"/>
      <c r="AK143" s="65"/>
      <c r="AL143" s="68"/>
      <c r="AO143" s="65"/>
      <c r="AR143" s="65"/>
      <c r="AU143" s="65"/>
      <c r="AV143" s="65"/>
      <c r="AW143" s="68"/>
    </row>
    <row r="144" ht="15.75" customHeight="1">
      <c r="A144" s="29">
        <v>31001.0</v>
      </c>
      <c r="B144" s="76" t="s">
        <v>150</v>
      </c>
      <c r="C144" s="77">
        <v>1000000.0</v>
      </c>
      <c r="D144" s="77">
        <v>172466.0</v>
      </c>
      <c r="E144" s="78">
        <f t="shared" si="7"/>
        <v>5.798244292</v>
      </c>
      <c r="F144" s="77">
        <v>1050000.0</v>
      </c>
      <c r="G144" s="77">
        <v>176351.5</v>
      </c>
      <c r="H144" s="78">
        <f t="shared" si="8"/>
        <v>5.95401797</v>
      </c>
      <c r="I144" s="77">
        <v>0.0</v>
      </c>
      <c r="J144" s="77">
        <v>180237.0</v>
      </c>
      <c r="K144" s="78">
        <f t="shared" si="9"/>
        <v>0</v>
      </c>
      <c r="L144" s="79">
        <f t="shared" si="10"/>
        <v>3.917420754</v>
      </c>
      <c r="M144" s="80">
        <f t="shared" si="11"/>
        <v>683333.3333</v>
      </c>
      <c r="N144" s="77">
        <v>3000000.0</v>
      </c>
      <c r="O144" s="77">
        <v>211321.0</v>
      </c>
      <c r="P144" s="81">
        <f t="shared" si="12"/>
        <v>14.19641209</v>
      </c>
      <c r="Q144" s="82">
        <v>3000000.0</v>
      </c>
      <c r="R144" s="77">
        <v>215206.5</v>
      </c>
      <c r="S144" s="81">
        <f t="shared" si="13"/>
        <v>13.94009939</v>
      </c>
      <c r="T144" s="77">
        <v>3300000.0</v>
      </c>
      <c r="U144" s="77">
        <v>219092.0</v>
      </c>
      <c r="V144" s="81">
        <f t="shared" si="14"/>
        <v>15.06216567</v>
      </c>
      <c r="W144" s="83">
        <f t="shared" si="15"/>
        <v>14.39955905</v>
      </c>
      <c r="X144" s="84">
        <f t="shared" si="16"/>
        <v>3100000</v>
      </c>
      <c r="AD144" s="65"/>
      <c r="AG144" s="65"/>
      <c r="AJ144" s="65"/>
      <c r="AK144" s="65"/>
      <c r="AL144" s="68"/>
      <c r="AO144" s="65"/>
      <c r="AR144" s="65"/>
      <c r="AU144" s="65"/>
      <c r="AV144" s="65"/>
      <c r="AW144" s="68"/>
    </row>
    <row r="145" ht="15.75" customHeight="1">
      <c r="A145" s="29">
        <v>31002.0</v>
      </c>
      <c r="B145" s="76" t="s">
        <v>151</v>
      </c>
      <c r="C145" s="77">
        <v>150000.0</v>
      </c>
      <c r="D145" s="77">
        <v>19285.0</v>
      </c>
      <c r="E145" s="78">
        <f t="shared" si="7"/>
        <v>7.778065854</v>
      </c>
      <c r="F145" s="77">
        <v>150000.0</v>
      </c>
      <c r="G145" s="77">
        <v>19498.416666666668</v>
      </c>
      <c r="H145" s="78">
        <f t="shared" si="8"/>
        <v>7.692932332</v>
      </c>
      <c r="I145" s="77">
        <v>0.0</v>
      </c>
      <c r="J145" s="77">
        <v>19711.833333333332</v>
      </c>
      <c r="K145" s="78">
        <f t="shared" si="9"/>
        <v>0</v>
      </c>
      <c r="L145" s="79">
        <f t="shared" si="10"/>
        <v>5.156999395</v>
      </c>
      <c r="M145" s="80">
        <f t="shared" si="11"/>
        <v>100000</v>
      </c>
      <c r="N145" s="77">
        <v>128000.0</v>
      </c>
      <c r="O145" s="77">
        <v>21419.166666666668</v>
      </c>
      <c r="P145" s="81">
        <f t="shared" si="12"/>
        <v>5.975956114</v>
      </c>
      <c r="Q145" s="82">
        <v>128000.0</v>
      </c>
      <c r="R145" s="77">
        <v>21632.583333333332</v>
      </c>
      <c r="S145" s="81">
        <f t="shared" si="13"/>
        <v>5.917000204</v>
      </c>
      <c r="T145" s="77">
        <v>121500.0</v>
      </c>
      <c r="U145" s="77">
        <v>21846.0</v>
      </c>
      <c r="V145" s="81">
        <f t="shared" si="14"/>
        <v>5.561658885</v>
      </c>
      <c r="W145" s="83">
        <f t="shared" si="15"/>
        <v>5.818205068</v>
      </c>
      <c r="X145" s="84">
        <f t="shared" si="16"/>
        <v>125833.3333</v>
      </c>
      <c r="AD145" s="65"/>
      <c r="AG145" s="65"/>
      <c r="AJ145" s="65"/>
      <c r="AK145" s="65"/>
      <c r="AL145" s="68"/>
      <c r="AO145" s="65"/>
      <c r="AR145" s="65"/>
      <c r="AU145" s="65"/>
      <c r="AV145" s="65"/>
      <c r="AW145" s="68"/>
    </row>
    <row r="146" ht="15.75" customHeight="1">
      <c r="A146" s="29">
        <v>31003.0</v>
      </c>
      <c r="B146" s="76" t="s">
        <v>152</v>
      </c>
      <c r="C146" s="77">
        <v>250000.0</v>
      </c>
      <c r="D146" s="77">
        <v>71386.0</v>
      </c>
      <c r="E146" s="78">
        <f t="shared" si="7"/>
        <v>3.502087244</v>
      </c>
      <c r="F146" s="77">
        <v>250000.0</v>
      </c>
      <c r="G146" s="77">
        <v>73249.41666666667</v>
      </c>
      <c r="H146" s="78">
        <f t="shared" si="8"/>
        <v>3.412996463</v>
      </c>
      <c r="I146" s="77">
        <v>0.0</v>
      </c>
      <c r="J146" s="77">
        <v>75112.83333333333</v>
      </c>
      <c r="K146" s="78">
        <f t="shared" si="9"/>
        <v>0</v>
      </c>
      <c r="L146" s="79">
        <f t="shared" si="10"/>
        <v>2.305027902</v>
      </c>
      <c r="M146" s="80">
        <f t="shared" si="11"/>
        <v>166666.6667</v>
      </c>
      <c r="N146" s="77">
        <v>1500000.0</v>
      </c>
      <c r="O146" s="77">
        <v>90020.16666666667</v>
      </c>
      <c r="P146" s="81">
        <f t="shared" si="12"/>
        <v>16.66293294</v>
      </c>
      <c r="Q146" s="82">
        <v>1700000.0</v>
      </c>
      <c r="R146" s="77">
        <v>91883.58333333334</v>
      </c>
      <c r="S146" s="81">
        <f t="shared" si="13"/>
        <v>18.50167286</v>
      </c>
      <c r="T146" s="77">
        <v>1670000.0</v>
      </c>
      <c r="U146" s="77">
        <v>93747.0</v>
      </c>
      <c r="V146" s="81">
        <f t="shared" si="14"/>
        <v>17.81390338</v>
      </c>
      <c r="W146" s="83">
        <f t="shared" si="15"/>
        <v>17.65950306</v>
      </c>
      <c r="X146" s="84">
        <f t="shared" si="16"/>
        <v>1623333.333</v>
      </c>
      <c r="AD146" s="65"/>
      <c r="AG146" s="65"/>
      <c r="AJ146" s="65"/>
      <c r="AK146" s="65"/>
      <c r="AL146" s="68"/>
      <c r="AO146" s="65"/>
      <c r="AR146" s="65"/>
      <c r="AU146" s="65"/>
      <c r="AV146" s="65"/>
      <c r="AW146" s="68"/>
    </row>
    <row r="147" ht="15.75" customHeight="1">
      <c r="A147" s="29">
        <v>31101.0</v>
      </c>
      <c r="B147" s="76" t="s">
        <v>153</v>
      </c>
      <c r="C147" s="77">
        <v>0.0</v>
      </c>
      <c r="D147" s="77">
        <v>24625.0</v>
      </c>
      <c r="E147" s="78">
        <f t="shared" si="7"/>
        <v>0</v>
      </c>
      <c r="F147" s="77">
        <v>0.0</v>
      </c>
      <c r="G147" s="77">
        <v>24628.416666666668</v>
      </c>
      <c r="H147" s="78">
        <f t="shared" si="8"/>
        <v>0</v>
      </c>
      <c r="I147" s="77">
        <v>0.0</v>
      </c>
      <c r="J147" s="77">
        <v>24631.833333333332</v>
      </c>
      <c r="K147" s="78">
        <f t="shared" si="9"/>
        <v>0</v>
      </c>
      <c r="L147" s="79">
        <f t="shared" si="10"/>
        <v>0</v>
      </c>
      <c r="M147" s="80">
        <f t="shared" si="11"/>
        <v>0</v>
      </c>
      <c r="N147" s="77">
        <v>0.0</v>
      </c>
      <c r="O147" s="77">
        <v>24659.166666666668</v>
      </c>
      <c r="P147" s="81">
        <f t="shared" si="12"/>
        <v>0</v>
      </c>
      <c r="Q147" s="82">
        <v>10000.0</v>
      </c>
      <c r="R147" s="77">
        <v>24662.583333333332</v>
      </c>
      <c r="S147" s="81">
        <f t="shared" si="13"/>
        <v>0.4054725275</v>
      </c>
      <c r="T147" s="77">
        <v>10000.0</v>
      </c>
      <c r="U147" s="77">
        <v>24666.0</v>
      </c>
      <c r="V147" s="81">
        <f t="shared" si="14"/>
        <v>0.4054163626</v>
      </c>
      <c r="W147" s="83">
        <f t="shared" si="15"/>
        <v>0.2702962967</v>
      </c>
      <c r="X147" s="84">
        <f t="shared" si="16"/>
        <v>6666.666667</v>
      </c>
      <c r="AD147" s="65"/>
      <c r="AG147" s="65"/>
      <c r="AJ147" s="65"/>
      <c r="AK147" s="65"/>
      <c r="AL147" s="68"/>
      <c r="AO147" s="65"/>
      <c r="AR147" s="65"/>
      <c r="AU147" s="65"/>
      <c r="AV147" s="65"/>
      <c r="AW147" s="68"/>
    </row>
    <row r="148" ht="15.75" customHeight="1">
      <c r="A148" s="29">
        <v>31201.0</v>
      </c>
      <c r="B148" s="76" t="s">
        <v>154</v>
      </c>
      <c r="C148" s="77">
        <v>110000.0</v>
      </c>
      <c r="D148" s="77">
        <v>14665.0</v>
      </c>
      <c r="E148" s="78">
        <f t="shared" si="7"/>
        <v>7.50085237</v>
      </c>
      <c r="F148" s="77">
        <v>145000.0</v>
      </c>
      <c r="G148" s="77">
        <v>14678.0</v>
      </c>
      <c r="H148" s="78">
        <f t="shared" si="8"/>
        <v>9.878730072</v>
      </c>
      <c r="I148" s="77">
        <v>0.0</v>
      </c>
      <c r="J148" s="77">
        <v>14691.0</v>
      </c>
      <c r="K148" s="78">
        <f t="shared" si="9"/>
        <v>0</v>
      </c>
      <c r="L148" s="79">
        <f t="shared" si="10"/>
        <v>5.793194147</v>
      </c>
      <c r="M148" s="80">
        <f t="shared" si="11"/>
        <v>85000</v>
      </c>
      <c r="N148" s="77">
        <v>295200.0</v>
      </c>
      <c r="O148" s="77">
        <v>14795.0</v>
      </c>
      <c r="P148" s="81">
        <f t="shared" si="12"/>
        <v>19.95268672</v>
      </c>
      <c r="Q148" s="82">
        <v>157600.0</v>
      </c>
      <c r="R148" s="77">
        <v>14808.0</v>
      </c>
      <c r="S148" s="81">
        <f t="shared" si="13"/>
        <v>10.64289573</v>
      </c>
      <c r="T148" s="77">
        <v>157600.0</v>
      </c>
      <c r="U148" s="77">
        <v>14821.0</v>
      </c>
      <c r="V148" s="81">
        <f t="shared" si="14"/>
        <v>10.63356049</v>
      </c>
      <c r="W148" s="83">
        <f t="shared" si="15"/>
        <v>13.74304765</v>
      </c>
      <c r="X148" s="84">
        <f t="shared" si="16"/>
        <v>203466.6667</v>
      </c>
      <c r="AD148" s="65"/>
      <c r="AG148" s="65"/>
      <c r="AJ148" s="65"/>
      <c r="AK148" s="65"/>
      <c r="AL148" s="68"/>
      <c r="AO148" s="65"/>
      <c r="AR148" s="65"/>
      <c r="AU148" s="65"/>
      <c r="AV148" s="65"/>
      <c r="AW148" s="68"/>
    </row>
    <row r="149" ht="15.75" customHeight="1">
      <c r="A149" s="29">
        <v>31202.0</v>
      </c>
      <c r="B149" s="76" t="s">
        <v>155</v>
      </c>
      <c r="C149" s="77">
        <v>15000.0</v>
      </c>
      <c r="D149" s="77">
        <v>10156.0</v>
      </c>
      <c r="E149" s="78">
        <f t="shared" si="7"/>
        <v>1.476959433</v>
      </c>
      <c r="F149" s="77">
        <v>15000.0</v>
      </c>
      <c r="G149" s="77">
        <v>10298.416666666666</v>
      </c>
      <c r="H149" s="78">
        <f t="shared" si="8"/>
        <v>1.456534581</v>
      </c>
      <c r="I149" s="77">
        <v>0.0</v>
      </c>
      <c r="J149" s="77">
        <v>10440.833333333334</v>
      </c>
      <c r="K149" s="78">
        <f t="shared" si="9"/>
        <v>0</v>
      </c>
      <c r="L149" s="79">
        <f t="shared" si="10"/>
        <v>0.9778313378</v>
      </c>
      <c r="M149" s="80">
        <f t="shared" si="11"/>
        <v>10000</v>
      </c>
      <c r="N149" s="77">
        <v>10000.0</v>
      </c>
      <c r="O149" s="77">
        <v>11580.166666666666</v>
      </c>
      <c r="P149" s="81">
        <f t="shared" si="12"/>
        <v>0.8635454297</v>
      </c>
      <c r="Q149" s="82">
        <v>14000.0</v>
      </c>
      <c r="R149" s="77">
        <v>11722.583333333334</v>
      </c>
      <c r="S149" s="81">
        <f t="shared" si="13"/>
        <v>1.194276006</v>
      </c>
      <c r="T149" s="77">
        <v>53600.0</v>
      </c>
      <c r="U149" s="77">
        <v>11865.0</v>
      </c>
      <c r="V149" s="81">
        <f t="shared" si="14"/>
        <v>4.517488411</v>
      </c>
      <c r="W149" s="83">
        <f t="shared" si="15"/>
        <v>2.191769949</v>
      </c>
      <c r="X149" s="84">
        <f t="shared" si="16"/>
        <v>25866.66667</v>
      </c>
      <c r="AD149" s="65"/>
      <c r="AG149" s="65"/>
      <c r="AJ149" s="65"/>
      <c r="AK149" s="65"/>
      <c r="AL149" s="68"/>
      <c r="AO149" s="65"/>
      <c r="AR149" s="65"/>
      <c r="AU149" s="65"/>
      <c r="AV149" s="65"/>
      <c r="AW149" s="68"/>
    </row>
    <row r="150" ht="15.75" customHeight="1">
      <c r="A150" s="29">
        <v>31203.0</v>
      </c>
      <c r="B150" s="76" t="s">
        <v>156</v>
      </c>
      <c r="C150" s="77">
        <v>0.0</v>
      </c>
      <c r="D150" s="77">
        <v>10750.0</v>
      </c>
      <c r="E150" s="78">
        <f t="shared" si="7"/>
        <v>0</v>
      </c>
      <c r="F150" s="77">
        <v>0.0</v>
      </c>
      <c r="G150" s="77">
        <v>10875.666666666666</v>
      </c>
      <c r="H150" s="78">
        <f t="shared" si="8"/>
        <v>0</v>
      </c>
      <c r="I150" s="77">
        <v>0.0</v>
      </c>
      <c r="J150" s="77">
        <v>11001.333333333334</v>
      </c>
      <c r="K150" s="78">
        <f t="shared" si="9"/>
        <v>0</v>
      </c>
      <c r="L150" s="79">
        <f t="shared" si="10"/>
        <v>0</v>
      </c>
      <c r="M150" s="80">
        <f t="shared" si="11"/>
        <v>0</v>
      </c>
      <c r="N150" s="77">
        <v>35000.0</v>
      </c>
      <c r="O150" s="77">
        <v>12006.666666666666</v>
      </c>
      <c r="P150" s="81">
        <f t="shared" si="12"/>
        <v>2.915047196</v>
      </c>
      <c r="Q150" s="82">
        <v>0.0</v>
      </c>
      <c r="R150" s="77">
        <v>12132.333333333334</v>
      </c>
      <c r="S150" s="81">
        <f t="shared" si="13"/>
        <v>0</v>
      </c>
      <c r="T150" s="77">
        <v>0.0</v>
      </c>
      <c r="U150" s="77">
        <v>12258.0</v>
      </c>
      <c r="V150" s="81">
        <f t="shared" si="14"/>
        <v>0</v>
      </c>
      <c r="W150" s="83">
        <f t="shared" si="15"/>
        <v>0.9716823987</v>
      </c>
      <c r="X150" s="84">
        <f t="shared" si="16"/>
        <v>11666.66667</v>
      </c>
      <c r="AD150" s="65"/>
      <c r="AG150" s="65"/>
      <c r="AJ150" s="65"/>
      <c r="AK150" s="65"/>
      <c r="AL150" s="68"/>
      <c r="AO150" s="65"/>
      <c r="AR150" s="65"/>
      <c r="AU150" s="65"/>
      <c r="AV150" s="65"/>
      <c r="AW150" s="68"/>
    </row>
    <row r="151" ht="15.75" customHeight="1">
      <c r="A151" s="29">
        <v>31204.0</v>
      </c>
      <c r="B151" s="76" t="s">
        <v>157</v>
      </c>
      <c r="C151" s="77">
        <v>160000.0</v>
      </c>
      <c r="D151" s="77">
        <v>21736.0</v>
      </c>
      <c r="E151" s="78">
        <f t="shared" si="7"/>
        <v>7.361059993</v>
      </c>
      <c r="F151" s="77">
        <v>250000.0</v>
      </c>
      <c r="G151" s="77">
        <v>22218.083333333332</v>
      </c>
      <c r="H151" s="78">
        <f t="shared" si="8"/>
        <v>11.2520957</v>
      </c>
      <c r="I151" s="77">
        <v>0.0</v>
      </c>
      <c r="J151" s="77">
        <v>22700.166666666668</v>
      </c>
      <c r="K151" s="78">
        <f t="shared" si="9"/>
        <v>0</v>
      </c>
      <c r="L151" s="79">
        <f t="shared" si="10"/>
        <v>6.204385232</v>
      </c>
      <c r="M151" s="80">
        <f t="shared" si="11"/>
        <v>136666.6667</v>
      </c>
      <c r="N151" s="77">
        <v>430000.0</v>
      </c>
      <c r="O151" s="77">
        <v>26556.833333333332</v>
      </c>
      <c r="P151" s="81">
        <f t="shared" si="12"/>
        <v>16.19168952</v>
      </c>
      <c r="Q151" s="82">
        <v>320000.0</v>
      </c>
      <c r="R151" s="77">
        <v>27038.916666666664</v>
      </c>
      <c r="S151" s="81">
        <f t="shared" si="13"/>
        <v>11.83479368</v>
      </c>
      <c r="T151" s="77">
        <v>330000.0</v>
      </c>
      <c r="U151" s="77">
        <v>27521.0</v>
      </c>
      <c r="V151" s="81">
        <f t="shared" si="14"/>
        <v>11.99084336</v>
      </c>
      <c r="W151" s="83">
        <f t="shared" si="15"/>
        <v>13.33910885</v>
      </c>
      <c r="X151" s="84">
        <f t="shared" si="16"/>
        <v>360000</v>
      </c>
      <c r="AD151" s="65"/>
      <c r="AG151" s="65"/>
      <c r="AJ151" s="65"/>
      <c r="AK151" s="65"/>
      <c r="AL151" s="68"/>
      <c r="AO151" s="65"/>
      <c r="AR151" s="65"/>
      <c r="AU151" s="65"/>
      <c r="AV151" s="65"/>
      <c r="AW151" s="68"/>
    </row>
    <row r="152" ht="15.75" customHeight="1">
      <c r="A152" s="29">
        <v>31205.0</v>
      </c>
      <c r="B152" s="76" t="s">
        <v>158</v>
      </c>
      <c r="C152" s="77">
        <v>157941.0</v>
      </c>
      <c r="D152" s="77">
        <v>46627.0</v>
      </c>
      <c r="E152" s="78">
        <f t="shared" si="7"/>
        <v>3.38732923</v>
      </c>
      <c r="F152" s="77">
        <v>133000.0</v>
      </c>
      <c r="G152" s="77">
        <v>48124.333333333336</v>
      </c>
      <c r="H152" s="78">
        <f t="shared" si="8"/>
        <v>2.763674648</v>
      </c>
      <c r="I152" s="77">
        <v>0.0</v>
      </c>
      <c r="J152" s="77">
        <v>49621.666666666664</v>
      </c>
      <c r="K152" s="78">
        <f t="shared" si="9"/>
        <v>0</v>
      </c>
      <c r="L152" s="79">
        <f t="shared" si="10"/>
        <v>2.050334626</v>
      </c>
      <c r="M152" s="80">
        <f t="shared" si="11"/>
        <v>96980.33333</v>
      </c>
      <c r="N152" s="77">
        <v>1494500.0</v>
      </c>
      <c r="O152" s="77">
        <v>61600.33333333333</v>
      </c>
      <c r="P152" s="81">
        <f t="shared" si="12"/>
        <v>24.26123235</v>
      </c>
      <c r="Q152" s="82">
        <v>1494500.0</v>
      </c>
      <c r="R152" s="77">
        <v>63097.666666666664</v>
      </c>
      <c r="S152" s="81">
        <f t="shared" si="13"/>
        <v>23.68550343</v>
      </c>
      <c r="T152" s="77">
        <v>1744500.0</v>
      </c>
      <c r="U152" s="77">
        <v>64595.0</v>
      </c>
      <c r="V152" s="81">
        <f t="shared" si="14"/>
        <v>27.00673427</v>
      </c>
      <c r="W152" s="83">
        <f t="shared" si="15"/>
        <v>24.98449002</v>
      </c>
      <c r="X152" s="84">
        <f t="shared" si="16"/>
        <v>1577833.333</v>
      </c>
      <c r="AD152" s="65"/>
      <c r="AG152" s="65"/>
      <c r="AJ152" s="65"/>
      <c r="AK152" s="65"/>
      <c r="AL152" s="68"/>
      <c r="AO152" s="65"/>
      <c r="AR152" s="65"/>
      <c r="AU152" s="65"/>
      <c r="AV152" s="65"/>
      <c r="AW152" s="68"/>
    </row>
    <row r="153" ht="15.75" customHeight="1">
      <c r="A153" s="29">
        <v>31206.0</v>
      </c>
      <c r="B153" s="76" t="s">
        <v>159</v>
      </c>
      <c r="C153" s="77">
        <v>240000.0</v>
      </c>
      <c r="D153" s="77">
        <v>31550.0</v>
      </c>
      <c r="E153" s="78">
        <f t="shared" si="7"/>
        <v>7.606973059</v>
      </c>
      <c r="F153" s="77">
        <v>300000.0</v>
      </c>
      <c r="G153" s="77">
        <v>32735.833333333332</v>
      </c>
      <c r="H153" s="78">
        <f t="shared" si="8"/>
        <v>9.164269531</v>
      </c>
      <c r="I153" s="77">
        <v>0.0</v>
      </c>
      <c r="J153" s="77">
        <v>33921.666666666664</v>
      </c>
      <c r="K153" s="78">
        <f t="shared" si="9"/>
        <v>0</v>
      </c>
      <c r="L153" s="79">
        <f t="shared" si="10"/>
        <v>5.590414197</v>
      </c>
      <c r="M153" s="80">
        <f t="shared" si="11"/>
        <v>180000</v>
      </c>
      <c r="N153" s="77">
        <v>580000.0</v>
      </c>
      <c r="O153" s="77">
        <v>43408.33333333333</v>
      </c>
      <c r="P153" s="81">
        <f t="shared" si="12"/>
        <v>13.36148973</v>
      </c>
      <c r="Q153" s="82">
        <v>750000.0</v>
      </c>
      <c r="R153" s="77">
        <v>44594.166666666664</v>
      </c>
      <c r="S153" s="81">
        <f t="shared" si="13"/>
        <v>16.81834321</v>
      </c>
      <c r="T153" s="77">
        <v>750000.0</v>
      </c>
      <c r="U153" s="77">
        <v>45780.0</v>
      </c>
      <c r="V153" s="81">
        <f t="shared" si="14"/>
        <v>16.38269987</v>
      </c>
      <c r="W153" s="83">
        <f t="shared" si="15"/>
        <v>15.52084427</v>
      </c>
      <c r="X153" s="84">
        <f t="shared" si="16"/>
        <v>693333.3333</v>
      </c>
      <c r="AD153" s="65"/>
      <c r="AG153" s="65"/>
      <c r="AJ153" s="65"/>
      <c r="AK153" s="65"/>
      <c r="AL153" s="68"/>
      <c r="AO153" s="65"/>
      <c r="AR153" s="65"/>
      <c r="AU153" s="65"/>
      <c r="AV153" s="65"/>
      <c r="AW153" s="68"/>
    </row>
    <row r="154" ht="15.75" customHeight="1">
      <c r="A154" s="29">
        <v>31301.0</v>
      </c>
      <c r="B154" s="76" t="s">
        <v>160</v>
      </c>
      <c r="C154" s="77">
        <v>100000.0</v>
      </c>
      <c r="D154" s="77">
        <v>19864.0</v>
      </c>
      <c r="E154" s="78">
        <f t="shared" si="7"/>
        <v>5.034232783</v>
      </c>
      <c r="F154" s="77">
        <v>190000.0</v>
      </c>
      <c r="G154" s="77">
        <v>19866.666666666668</v>
      </c>
      <c r="H154" s="78">
        <f t="shared" si="8"/>
        <v>9.563758389</v>
      </c>
      <c r="I154" s="77">
        <v>0.0</v>
      </c>
      <c r="J154" s="77">
        <v>19869.333333333332</v>
      </c>
      <c r="K154" s="78">
        <f t="shared" si="9"/>
        <v>0</v>
      </c>
      <c r="L154" s="79">
        <f t="shared" si="10"/>
        <v>4.865997057</v>
      </c>
      <c r="M154" s="80">
        <f t="shared" si="11"/>
        <v>96666.66667</v>
      </c>
      <c r="N154" s="77">
        <v>60660.0</v>
      </c>
      <c r="O154" s="77">
        <v>19890.666666666668</v>
      </c>
      <c r="P154" s="81">
        <f t="shared" si="12"/>
        <v>3.049671538</v>
      </c>
      <c r="Q154" s="82">
        <v>160000.0</v>
      </c>
      <c r="R154" s="77">
        <v>19893.333333333332</v>
      </c>
      <c r="S154" s="81">
        <f t="shared" si="13"/>
        <v>8.042895442</v>
      </c>
      <c r="T154" s="77">
        <v>120000.0</v>
      </c>
      <c r="U154" s="77">
        <v>19896.0</v>
      </c>
      <c r="V154" s="81">
        <f t="shared" si="14"/>
        <v>6.031363088</v>
      </c>
      <c r="W154" s="83">
        <f t="shared" si="15"/>
        <v>5.707976689</v>
      </c>
      <c r="X154" s="84">
        <f t="shared" si="16"/>
        <v>113553.3333</v>
      </c>
      <c r="AD154" s="65"/>
      <c r="AG154" s="65"/>
      <c r="AJ154" s="65"/>
      <c r="AK154" s="65"/>
      <c r="AL154" s="68"/>
      <c r="AO154" s="65"/>
      <c r="AR154" s="65"/>
      <c r="AU154" s="65"/>
      <c r="AV154" s="65"/>
      <c r="AW154" s="68"/>
    </row>
    <row r="155" ht="15.75" customHeight="1">
      <c r="A155" s="29">
        <v>31302.0</v>
      </c>
      <c r="B155" s="76" t="s">
        <v>161</v>
      </c>
      <c r="C155" s="77">
        <v>15000.0</v>
      </c>
      <c r="D155" s="77">
        <v>5459.0</v>
      </c>
      <c r="E155" s="78">
        <f t="shared" si="7"/>
        <v>2.747755999</v>
      </c>
      <c r="F155" s="77">
        <v>20000.0</v>
      </c>
      <c r="G155" s="77">
        <v>5441.083333333333</v>
      </c>
      <c r="H155" s="78">
        <f t="shared" si="8"/>
        <v>3.675738594</v>
      </c>
      <c r="I155" s="77">
        <v>0.0</v>
      </c>
      <c r="J155" s="77">
        <v>5423.166666666667</v>
      </c>
      <c r="K155" s="78">
        <f t="shared" si="9"/>
        <v>0</v>
      </c>
      <c r="L155" s="79">
        <f t="shared" si="10"/>
        <v>2.141164864</v>
      </c>
      <c r="M155" s="80">
        <f t="shared" si="11"/>
        <v>11666.66667</v>
      </c>
      <c r="N155" s="77">
        <v>10000.0</v>
      </c>
      <c r="O155" s="77">
        <v>5279.833333333333</v>
      </c>
      <c r="P155" s="81">
        <f t="shared" si="12"/>
        <v>1.893999179</v>
      </c>
      <c r="Q155" s="82">
        <v>0.0</v>
      </c>
      <c r="R155" s="77">
        <v>5261.916666666667</v>
      </c>
      <c r="S155" s="81">
        <f t="shared" si="13"/>
        <v>0</v>
      </c>
      <c r="T155" s="77">
        <v>10000.0</v>
      </c>
      <c r="U155" s="77">
        <v>5244.0</v>
      </c>
      <c r="V155" s="81">
        <f t="shared" si="14"/>
        <v>1.906941266</v>
      </c>
      <c r="W155" s="83">
        <f t="shared" si="15"/>
        <v>1.266980148</v>
      </c>
      <c r="X155" s="84">
        <f t="shared" si="16"/>
        <v>6666.666667</v>
      </c>
      <c r="AD155" s="65"/>
      <c r="AG155" s="65"/>
      <c r="AJ155" s="65"/>
      <c r="AK155" s="65"/>
      <c r="AL155" s="68"/>
      <c r="AO155" s="65"/>
      <c r="AR155" s="65"/>
      <c r="AU155" s="65"/>
      <c r="AV155" s="65"/>
      <c r="AW155" s="68"/>
    </row>
    <row r="156" ht="15.75" customHeight="1">
      <c r="A156" s="29">
        <v>31303.0</v>
      </c>
      <c r="B156" s="76" t="s">
        <v>162</v>
      </c>
      <c r="C156" s="77">
        <v>0.0</v>
      </c>
      <c r="D156" s="77">
        <v>3447.0</v>
      </c>
      <c r="E156" s="78">
        <f t="shared" si="7"/>
        <v>0</v>
      </c>
      <c r="F156" s="77">
        <v>0.0</v>
      </c>
      <c r="G156" s="77">
        <v>3452.4166666666665</v>
      </c>
      <c r="H156" s="78">
        <f t="shared" si="8"/>
        <v>0</v>
      </c>
      <c r="I156" s="77">
        <v>0.0</v>
      </c>
      <c r="J156" s="77">
        <v>3457.8333333333335</v>
      </c>
      <c r="K156" s="78">
        <f t="shared" si="9"/>
        <v>0</v>
      </c>
      <c r="L156" s="79">
        <f t="shared" si="10"/>
        <v>0</v>
      </c>
      <c r="M156" s="80">
        <f t="shared" si="11"/>
        <v>0</v>
      </c>
      <c r="N156" s="77">
        <v>0.0</v>
      </c>
      <c r="O156" s="77">
        <v>3501.1666666666665</v>
      </c>
      <c r="P156" s="81">
        <f t="shared" si="12"/>
        <v>0</v>
      </c>
      <c r="Q156" s="82">
        <v>0.0</v>
      </c>
      <c r="R156" s="77">
        <v>3506.5833333333335</v>
      </c>
      <c r="S156" s="81">
        <f t="shared" si="13"/>
        <v>0</v>
      </c>
      <c r="T156" s="77">
        <v>0.0</v>
      </c>
      <c r="U156" s="77">
        <v>3512.0</v>
      </c>
      <c r="V156" s="81">
        <f t="shared" si="14"/>
        <v>0</v>
      </c>
      <c r="W156" s="83">
        <f t="shared" si="15"/>
        <v>0</v>
      </c>
      <c r="X156" s="84">
        <f t="shared" si="16"/>
        <v>0</v>
      </c>
      <c r="AD156" s="65"/>
      <c r="AG156" s="65"/>
      <c r="AJ156" s="65"/>
      <c r="AK156" s="65"/>
      <c r="AL156" s="68"/>
      <c r="AO156" s="65"/>
      <c r="AR156" s="65"/>
      <c r="AU156" s="65"/>
      <c r="AV156" s="65"/>
      <c r="AW156" s="68"/>
    </row>
    <row r="157" ht="15.75" customHeight="1">
      <c r="A157" s="29">
        <v>31304.0</v>
      </c>
      <c r="B157" s="76" t="s">
        <v>163</v>
      </c>
      <c r="C157" s="77">
        <v>0.0</v>
      </c>
      <c r="D157" s="77">
        <v>7036.0</v>
      </c>
      <c r="E157" s="78">
        <f t="shared" si="7"/>
        <v>0</v>
      </c>
      <c r="F157" s="77">
        <v>0.0</v>
      </c>
      <c r="G157" s="77">
        <v>7121.0</v>
      </c>
      <c r="H157" s="78">
        <f t="shared" si="8"/>
        <v>0</v>
      </c>
      <c r="I157" s="77">
        <v>0.0</v>
      </c>
      <c r="J157" s="77">
        <v>7206.0</v>
      </c>
      <c r="K157" s="78">
        <f t="shared" si="9"/>
        <v>0</v>
      </c>
      <c r="L157" s="79">
        <f t="shared" si="10"/>
        <v>0</v>
      </c>
      <c r="M157" s="80">
        <f t="shared" si="11"/>
        <v>0</v>
      </c>
      <c r="N157" s="77">
        <v>0.0</v>
      </c>
      <c r="O157" s="77">
        <v>7886.0</v>
      </c>
      <c r="P157" s="81">
        <f t="shared" si="12"/>
        <v>0</v>
      </c>
      <c r="Q157" s="82">
        <v>0.0</v>
      </c>
      <c r="R157" s="77">
        <v>7971.0</v>
      </c>
      <c r="S157" s="81">
        <f t="shared" si="13"/>
        <v>0</v>
      </c>
      <c r="T157" s="77">
        <v>0.0</v>
      </c>
      <c r="U157" s="77">
        <v>8056.0</v>
      </c>
      <c r="V157" s="81">
        <f t="shared" si="14"/>
        <v>0</v>
      </c>
      <c r="W157" s="83">
        <f t="shared" si="15"/>
        <v>0</v>
      </c>
      <c r="X157" s="84">
        <f t="shared" si="16"/>
        <v>0</v>
      </c>
      <c r="AD157" s="65"/>
      <c r="AG157" s="65"/>
      <c r="AJ157" s="65"/>
      <c r="AK157" s="65"/>
      <c r="AL157" s="68"/>
      <c r="AO157" s="65"/>
      <c r="AR157" s="65"/>
      <c r="AU157" s="65"/>
      <c r="AV157" s="65"/>
      <c r="AW157" s="68"/>
    </row>
    <row r="158" ht="15.75" customHeight="1">
      <c r="A158" s="29">
        <v>31401.0</v>
      </c>
      <c r="B158" s="76" t="s">
        <v>164</v>
      </c>
      <c r="C158" s="77">
        <v>350000.0</v>
      </c>
      <c r="D158" s="77">
        <v>28887.0</v>
      </c>
      <c r="E158" s="78">
        <f t="shared" si="7"/>
        <v>12.11617683</v>
      </c>
      <c r="F158" s="77">
        <v>550000.0</v>
      </c>
      <c r="G158" s="77">
        <v>29417.083333333332</v>
      </c>
      <c r="H158" s="78">
        <f t="shared" si="8"/>
        <v>18.69661903</v>
      </c>
      <c r="I158" s="77">
        <v>0.0</v>
      </c>
      <c r="J158" s="77">
        <v>29947.166666666668</v>
      </c>
      <c r="K158" s="78">
        <f t="shared" si="9"/>
        <v>0</v>
      </c>
      <c r="L158" s="79">
        <f t="shared" si="10"/>
        <v>10.27093195</v>
      </c>
      <c r="M158" s="80">
        <f t="shared" si="11"/>
        <v>300000</v>
      </c>
      <c r="N158" s="77">
        <v>360000.0</v>
      </c>
      <c r="O158" s="77">
        <v>34187.833333333336</v>
      </c>
      <c r="P158" s="81">
        <f t="shared" si="12"/>
        <v>10.53006186</v>
      </c>
      <c r="Q158" s="82">
        <v>500000.0</v>
      </c>
      <c r="R158" s="77">
        <v>34717.916666666664</v>
      </c>
      <c r="S158" s="81">
        <f t="shared" si="13"/>
        <v>14.40178582</v>
      </c>
      <c r="T158" s="77">
        <v>500000.0</v>
      </c>
      <c r="U158" s="77">
        <v>35248.0</v>
      </c>
      <c r="V158" s="81">
        <f t="shared" si="14"/>
        <v>14.185202</v>
      </c>
      <c r="W158" s="83">
        <f t="shared" si="15"/>
        <v>13.03901656</v>
      </c>
      <c r="X158" s="84">
        <f t="shared" si="16"/>
        <v>453333.3333</v>
      </c>
      <c r="AD158" s="65"/>
      <c r="AG158" s="65"/>
      <c r="AJ158" s="65"/>
      <c r="AK158" s="65"/>
      <c r="AL158" s="68"/>
      <c r="AO158" s="65"/>
      <c r="AR158" s="65"/>
      <c r="AU158" s="65"/>
      <c r="AV158" s="65"/>
      <c r="AW158" s="68"/>
    </row>
    <row r="159" ht="15.75" customHeight="1">
      <c r="A159" s="29">
        <v>31402.0</v>
      </c>
      <c r="B159" s="76" t="s">
        <v>165</v>
      </c>
      <c r="C159" s="77">
        <v>20000.0</v>
      </c>
      <c r="D159" s="77">
        <v>8135.0</v>
      </c>
      <c r="E159" s="78">
        <f t="shared" si="7"/>
        <v>2.4585126</v>
      </c>
      <c r="F159" s="77">
        <v>30000.0</v>
      </c>
      <c r="G159" s="77">
        <v>8173.666666666667</v>
      </c>
      <c r="H159" s="78">
        <f t="shared" si="8"/>
        <v>3.670323396</v>
      </c>
      <c r="I159" s="77">
        <v>0.0</v>
      </c>
      <c r="J159" s="77">
        <v>8212.333333333334</v>
      </c>
      <c r="K159" s="78">
        <f t="shared" si="9"/>
        <v>0</v>
      </c>
      <c r="L159" s="79">
        <f t="shared" si="10"/>
        <v>2.042945332</v>
      </c>
      <c r="M159" s="80">
        <f t="shared" si="11"/>
        <v>16666.66667</v>
      </c>
      <c r="N159" s="77">
        <v>80000.0</v>
      </c>
      <c r="O159" s="77">
        <v>8521.666666666666</v>
      </c>
      <c r="P159" s="81">
        <f t="shared" si="12"/>
        <v>9.387834931</v>
      </c>
      <c r="Q159" s="82">
        <v>80000.0</v>
      </c>
      <c r="R159" s="77">
        <v>8560.333333333334</v>
      </c>
      <c r="S159" s="81">
        <f t="shared" si="13"/>
        <v>9.345430474</v>
      </c>
      <c r="T159" s="77">
        <v>70000.0</v>
      </c>
      <c r="U159" s="77">
        <v>8599.0</v>
      </c>
      <c r="V159" s="81">
        <f t="shared" si="14"/>
        <v>8.140481451</v>
      </c>
      <c r="W159" s="83">
        <f t="shared" si="15"/>
        <v>8.957915619</v>
      </c>
      <c r="X159" s="84">
        <f t="shared" si="16"/>
        <v>76666.66667</v>
      </c>
      <c r="AD159" s="65"/>
      <c r="AG159" s="65"/>
      <c r="AJ159" s="65"/>
      <c r="AK159" s="65"/>
      <c r="AL159" s="68"/>
      <c r="AO159" s="65"/>
      <c r="AR159" s="65"/>
      <c r="AU159" s="65"/>
      <c r="AV159" s="65"/>
      <c r="AW159" s="68"/>
    </row>
    <row r="160" ht="15.75" customHeight="1">
      <c r="A160" s="29">
        <v>31403.0</v>
      </c>
      <c r="B160" s="76" t="s">
        <v>166</v>
      </c>
      <c r="C160" s="77">
        <v>50000.0</v>
      </c>
      <c r="D160" s="77">
        <v>13562.0</v>
      </c>
      <c r="E160" s="78">
        <f t="shared" si="7"/>
        <v>3.686771863</v>
      </c>
      <c r="F160" s="77">
        <v>70000.0</v>
      </c>
      <c r="G160" s="77">
        <v>13519.666666666666</v>
      </c>
      <c r="H160" s="78">
        <f t="shared" si="8"/>
        <v>5.177642447</v>
      </c>
      <c r="I160" s="77">
        <v>0.0</v>
      </c>
      <c r="J160" s="77">
        <v>13477.333333333334</v>
      </c>
      <c r="K160" s="78">
        <f t="shared" si="9"/>
        <v>0</v>
      </c>
      <c r="L160" s="79">
        <f t="shared" si="10"/>
        <v>2.95480477</v>
      </c>
      <c r="M160" s="80">
        <f t="shared" si="11"/>
        <v>40000</v>
      </c>
      <c r="N160" s="77">
        <v>108800.0</v>
      </c>
      <c r="O160" s="77">
        <v>13138.666666666666</v>
      </c>
      <c r="P160" s="81">
        <f t="shared" si="12"/>
        <v>8.280901157</v>
      </c>
      <c r="Q160" s="82">
        <v>108800.0</v>
      </c>
      <c r="R160" s="77">
        <v>13096.333333333334</v>
      </c>
      <c r="S160" s="81">
        <f t="shared" si="13"/>
        <v>8.307668813</v>
      </c>
      <c r="T160" s="77">
        <v>121200.0</v>
      </c>
      <c r="U160" s="77">
        <v>13054.0</v>
      </c>
      <c r="V160" s="81">
        <f t="shared" si="14"/>
        <v>9.284510495</v>
      </c>
      <c r="W160" s="83">
        <f t="shared" si="15"/>
        <v>8.624360155</v>
      </c>
      <c r="X160" s="84">
        <f t="shared" si="16"/>
        <v>112933.3333</v>
      </c>
      <c r="AD160" s="65"/>
      <c r="AG160" s="65"/>
      <c r="AJ160" s="65"/>
      <c r="AK160" s="65"/>
      <c r="AL160" s="68"/>
      <c r="AO160" s="65"/>
      <c r="AR160" s="65"/>
      <c r="AU160" s="65"/>
      <c r="AV160" s="65"/>
      <c r="AW160" s="68"/>
    </row>
    <row r="161" ht="15.75" customHeight="1">
      <c r="A161" s="29">
        <v>31404.0</v>
      </c>
      <c r="B161" s="76" t="s">
        <v>167</v>
      </c>
      <c r="C161" s="77">
        <v>0.0</v>
      </c>
      <c r="D161" s="77">
        <v>1303.0</v>
      </c>
      <c r="E161" s="78">
        <f t="shared" si="7"/>
        <v>0</v>
      </c>
      <c r="F161" s="77">
        <v>0.0</v>
      </c>
      <c r="G161" s="77">
        <v>1301.6666666666667</v>
      </c>
      <c r="H161" s="78">
        <f t="shared" si="8"/>
        <v>0</v>
      </c>
      <c r="I161" s="77">
        <v>0.0</v>
      </c>
      <c r="J161" s="77">
        <v>1300.3333333333333</v>
      </c>
      <c r="K161" s="78">
        <f t="shared" si="9"/>
        <v>0</v>
      </c>
      <c r="L161" s="79">
        <f t="shared" si="10"/>
        <v>0</v>
      </c>
      <c r="M161" s="80">
        <f t="shared" si="11"/>
        <v>0</v>
      </c>
      <c r="N161" s="77">
        <v>0.0</v>
      </c>
      <c r="O161" s="77">
        <v>1289.6666666666667</v>
      </c>
      <c r="P161" s="81">
        <f t="shared" si="12"/>
        <v>0</v>
      </c>
      <c r="Q161" s="82">
        <v>0.0</v>
      </c>
      <c r="R161" s="77">
        <v>1288.3333333333333</v>
      </c>
      <c r="S161" s="81">
        <f t="shared" si="13"/>
        <v>0</v>
      </c>
      <c r="T161" s="77">
        <v>0.0</v>
      </c>
      <c r="U161" s="77">
        <v>1287.0</v>
      </c>
      <c r="V161" s="81">
        <f t="shared" si="14"/>
        <v>0</v>
      </c>
      <c r="W161" s="83">
        <f t="shared" si="15"/>
        <v>0</v>
      </c>
      <c r="X161" s="84">
        <f t="shared" si="16"/>
        <v>0</v>
      </c>
      <c r="AD161" s="65"/>
      <c r="AG161" s="65"/>
      <c r="AJ161" s="65"/>
      <c r="AK161" s="65"/>
      <c r="AL161" s="68"/>
      <c r="AO161" s="65"/>
      <c r="AR161" s="65"/>
      <c r="AU161" s="65"/>
      <c r="AV161" s="65"/>
      <c r="AW161" s="68"/>
    </row>
    <row r="162" ht="15.75" customHeight="1">
      <c r="A162" s="29">
        <v>31405.0</v>
      </c>
      <c r="B162" s="76" t="s">
        <v>168</v>
      </c>
      <c r="C162" s="77">
        <v>0.0</v>
      </c>
      <c r="D162" s="77">
        <v>2768.0</v>
      </c>
      <c r="E162" s="78">
        <f t="shared" si="7"/>
        <v>0</v>
      </c>
      <c r="F162" s="77">
        <v>0.0</v>
      </c>
      <c r="G162" s="77">
        <v>2855.8333333333335</v>
      </c>
      <c r="H162" s="78">
        <f t="shared" si="8"/>
        <v>0</v>
      </c>
      <c r="I162" s="77">
        <v>0.0</v>
      </c>
      <c r="J162" s="77">
        <v>2943.6666666666665</v>
      </c>
      <c r="K162" s="78">
        <f t="shared" si="9"/>
        <v>0</v>
      </c>
      <c r="L162" s="79">
        <f t="shared" si="10"/>
        <v>0</v>
      </c>
      <c r="M162" s="80">
        <f t="shared" si="11"/>
        <v>0</v>
      </c>
      <c r="N162" s="77">
        <v>5000.0</v>
      </c>
      <c r="O162" s="77">
        <v>3646.333333333333</v>
      </c>
      <c r="P162" s="81">
        <f t="shared" si="12"/>
        <v>1.371240516</v>
      </c>
      <c r="Q162" s="82">
        <v>3500.0</v>
      </c>
      <c r="R162" s="77">
        <v>3734.1666666666665</v>
      </c>
      <c r="S162" s="81">
        <f t="shared" si="13"/>
        <v>0.9372907833</v>
      </c>
      <c r="T162" s="77">
        <v>5000.0</v>
      </c>
      <c r="U162" s="77">
        <v>3822.0</v>
      </c>
      <c r="V162" s="81">
        <f t="shared" si="14"/>
        <v>1.308215594</v>
      </c>
      <c r="W162" s="83">
        <f t="shared" si="15"/>
        <v>1.205582298</v>
      </c>
      <c r="X162" s="84">
        <f t="shared" si="16"/>
        <v>4500</v>
      </c>
      <c r="AD162" s="65"/>
      <c r="AG162" s="65"/>
      <c r="AJ162" s="65"/>
      <c r="AK162" s="65"/>
      <c r="AL162" s="68"/>
      <c r="AO162" s="65"/>
      <c r="AR162" s="65"/>
      <c r="AU162" s="65"/>
      <c r="AV162" s="65"/>
      <c r="AW162" s="68"/>
    </row>
    <row r="163" ht="15.75" customHeight="1">
      <c r="A163" s="29">
        <v>31501.0</v>
      </c>
      <c r="B163" s="76" t="s">
        <v>169</v>
      </c>
      <c r="C163" s="77">
        <v>35000.0</v>
      </c>
      <c r="D163" s="77">
        <v>7279.0</v>
      </c>
      <c r="E163" s="78">
        <f t="shared" si="7"/>
        <v>4.808352796</v>
      </c>
      <c r="F163" s="77">
        <v>50000.0</v>
      </c>
      <c r="G163" s="77">
        <v>7362.583333333333</v>
      </c>
      <c r="H163" s="78">
        <f t="shared" si="8"/>
        <v>6.791094611</v>
      </c>
      <c r="I163" s="77">
        <v>0.0</v>
      </c>
      <c r="J163" s="77">
        <v>7446.166666666667</v>
      </c>
      <c r="K163" s="78">
        <f t="shared" si="9"/>
        <v>0</v>
      </c>
      <c r="L163" s="79">
        <f t="shared" si="10"/>
        <v>3.866482469</v>
      </c>
      <c r="M163" s="80">
        <f t="shared" si="11"/>
        <v>28333.33333</v>
      </c>
      <c r="N163" s="77">
        <v>42000.0</v>
      </c>
      <c r="O163" s="77">
        <v>8114.833333333333</v>
      </c>
      <c r="P163" s="81">
        <f t="shared" si="12"/>
        <v>5.175707039</v>
      </c>
      <c r="Q163" s="82">
        <v>39000.0</v>
      </c>
      <c r="R163" s="77">
        <v>8198.416666666666</v>
      </c>
      <c r="S163" s="81">
        <f t="shared" si="13"/>
        <v>4.757016091</v>
      </c>
      <c r="T163" s="77">
        <v>41000.0</v>
      </c>
      <c r="U163" s="77">
        <v>8282.0</v>
      </c>
      <c r="V163" s="81">
        <f t="shared" si="14"/>
        <v>4.95049505</v>
      </c>
      <c r="W163" s="83">
        <f t="shared" si="15"/>
        <v>4.961072726</v>
      </c>
      <c r="X163" s="84">
        <f t="shared" si="16"/>
        <v>40666.66667</v>
      </c>
      <c r="AD163" s="65"/>
      <c r="AG163" s="65"/>
      <c r="AJ163" s="65"/>
      <c r="AK163" s="65"/>
      <c r="AL163" s="68"/>
      <c r="AO163" s="65"/>
      <c r="AR163" s="65"/>
      <c r="AU163" s="65"/>
      <c r="AV163" s="65"/>
      <c r="AW163" s="68"/>
    </row>
    <row r="164" ht="15.75" customHeight="1">
      <c r="A164" s="29">
        <v>31601.0</v>
      </c>
      <c r="B164" s="76" t="s">
        <v>170</v>
      </c>
      <c r="C164" s="77">
        <v>64000.0</v>
      </c>
      <c r="D164" s="77">
        <v>21231.0</v>
      </c>
      <c r="E164" s="78">
        <f t="shared" si="7"/>
        <v>3.014459988</v>
      </c>
      <c r="F164" s="77">
        <v>10000.0</v>
      </c>
      <c r="G164" s="77">
        <v>21001.333333333332</v>
      </c>
      <c r="H164" s="78">
        <f t="shared" si="8"/>
        <v>0.4761602438</v>
      </c>
      <c r="I164" s="77">
        <v>0.0</v>
      </c>
      <c r="J164" s="77">
        <v>20771.666666666668</v>
      </c>
      <c r="K164" s="78">
        <f t="shared" si="9"/>
        <v>0</v>
      </c>
      <c r="L164" s="79">
        <f t="shared" si="10"/>
        <v>1.163540077</v>
      </c>
      <c r="M164" s="80">
        <f t="shared" si="11"/>
        <v>24666.66667</v>
      </c>
      <c r="N164" s="77">
        <v>232110.0</v>
      </c>
      <c r="O164" s="77">
        <v>18934.333333333332</v>
      </c>
      <c r="P164" s="81">
        <f t="shared" si="12"/>
        <v>12.25868352</v>
      </c>
      <c r="Q164" s="82">
        <v>182200.0</v>
      </c>
      <c r="R164" s="77">
        <v>18704.666666666668</v>
      </c>
      <c r="S164" s="81">
        <f t="shared" si="13"/>
        <v>9.740884628</v>
      </c>
      <c r="T164" s="77">
        <v>182200.0</v>
      </c>
      <c r="U164" s="77">
        <v>18475.0</v>
      </c>
      <c r="V164" s="81">
        <f t="shared" si="14"/>
        <v>9.861975643</v>
      </c>
      <c r="W164" s="83">
        <f t="shared" si="15"/>
        <v>10.6205146</v>
      </c>
      <c r="X164" s="84">
        <f t="shared" si="16"/>
        <v>198836.6667</v>
      </c>
      <c r="AD164" s="65"/>
      <c r="AG164" s="65"/>
      <c r="AJ164" s="65"/>
      <c r="AK164" s="65"/>
      <c r="AL164" s="68"/>
      <c r="AO164" s="65"/>
      <c r="AR164" s="65"/>
      <c r="AU164" s="65"/>
      <c r="AV164" s="65"/>
      <c r="AW164" s="68"/>
    </row>
    <row r="165" ht="15.75" customHeight="1">
      <c r="A165" s="29">
        <v>31602.0</v>
      </c>
      <c r="B165" s="76" t="s">
        <v>171</v>
      </c>
      <c r="C165" s="77">
        <v>150000.0</v>
      </c>
      <c r="D165" s="77">
        <v>20841.0</v>
      </c>
      <c r="E165" s="78">
        <f t="shared" si="7"/>
        <v>7.197351375</v>
      </c>
      <c r="F165" s="77">
        <v>151039.0</v>
      </c>
      <c r="G165" s="77">
        <v>21368.583333333332</v>
      </c>
      <c r="H165" s="78">
        <f t="shared" si="8"/>
        <v>7.068273907</v>
      </c>
      <c r="I165" s="77">
        <v>0.0</v>
      </c>
      <c r="J165" s="77">
        <v>21896.166666666668</v>
      </c>
      <c r="K165" s="78">
        <f t="shared" si="9"/>
        <v>0</v>
      </c>
      <c r="L165" s="79">
        <f t="shared" si="10"/>
        <v>4.755208427</v>
      </c>
      <c r="M165" s="80">
        <f t="shared" si="11"/>
        <v>100346.3333</v>
      </c>
      <c r="N165" s="77">
        <v>414600.0</v>
      </c>
      <c r="O165" s="77">
        <v>26116.833333333336</v>
      </c>
      <c r="P165" s="81">
        <f t="shared" si="12"/>
        <v>15.87481892</v>
      </c>
      <c r="Q165" s="82">
        <v>417686.0</v>
      </c>
      <c r="R165" s="77">
        <v>26644.416666666668</v>
      </c>
      <c r="S165" s="81">
        <f t="shared" si="13"/>
        <v>15.67630492</v>
      </c>
      <c r="T165" s="77">
        <v>447686.0</v>
      </c>
      <c r="U165" s="77">
        <v>27172.0</v>
      </c>
      <c r="V165" s="81">
        <f t="shared" si="14"/>
        <v>16.47600471</v>
      </c>
      <c r="W165" s="83">
        <f t="shared" si="15"/>
        <v>16.00904285</v>
      </c>
      <c r="X165" s="84">
        <f t="shared" si="16"/>
        <v>426657.3333</v>
      </c>
      <c r="AD165" s="65"/>
      <c r="AG165" s="65"/>
      <c r="AJ165" s="65"/>
      <c r="AK165" s="65"/>
      <c r="AL165" s="68"/>
      <c r="AO165" s="65"/>
      <c r="AR165" s="65"/>
      <c r="AU165" s="65"/>
      <c r="AV165" s="65"/>
      <c r="AW165" s="68"/>
    </row>
    <row r="166" ht="15.75" customHeight="1">
      <c r="A166" s="29">
        <v>40101.0</v>
      </c>
      <c r="B166" s="76" t="s">
        <v>172</v>
      </c>
      <c r="C166" s="77">
        <v>0.0</v>
      </c>
      <c r="D166" s="77">
        <v>264943.0</v>
      </c>
      <c r="E166" s="78">
        <f t="shared" si="7"/>
        <v>0</v>
      </c>
      <c r="F166" s="77">
        <v>0.0</v>
      </c>
      <c r="G166" s="77">
        <v>267726.9166666667</v>
      </c>
      <c r="H166" s="78">
        <f t="shared" si="8"/>
        <v>0</v>
      </c>
      <c r="I166" s="77">
        <v>0.0</v>
      </c>
      <c r="J166" s="77">
        <v>270510.8333333333</v>
      </c>
      <c r="K166" s="78">
        <f t="shared" si="9"/>
        <v>0</v>
      </c>
      <c r="L166" s="79">
        <f t="shared" si="10"/>
        <v>0</v>
      </c>
      <c r="M166" s="80">
        <f t="shared" si="11"/>
        <v>0</v>
      </c>
      <c r="N166" s="77">
        <v>1400000.0</v>
      </c>
      <c r="O166" s="77">
        <v>292782.1666666667</v>
      </c>
      <c r="P166" s="81">
        <f t="shared" si="12"/>
        <v>4.781712001</v>
      </c>
      <c r="Q166" s="82">
        <v>1264853.0</v>
      </c>
      <c r="R166" s="77">
        <v>295566.0833333333</v>
      </c>
      <c r="S166" s="81">
        <f t="shared" si="13"/>
        <v>4.279425385</v>
      </c>
      <c r="T166" s="77">
        <v>1956991.0</v>
      </c>
      <c r="U166" s="77">
        <v>298350.0</v>
      </c>
      <c r="V166" s="81">
        <f t="shared" si="14"/>
        <v>6.559379923</v>
      </c>
      <c r="W166" s="83">
        <f t="shared" si="15"/>
        <v>5.206839103</v>
      </c>
      <c r="X166" s="84">
        <f t="shared" si="16"/>
        <v>1540614.667</v>
      </c>
      <c r="AD166" s="65"/>
      <c r="AG166" s="65"/>
      <c r="AJ166" s="65"/>
      <c r="AK166" s="65"/>
      <c r="AL166" s="68"/>
      <c r="AO166" s="65"/>
      <c r="AR166" s="65"/>
      <c r="AU166" s="65"/>
      <c r="AV166" s="65"/>
      <c r="AW166" s="68"/>
    </row>
    <row r="167" ht="15.75" customHeight="1">
      <c r="A167" s="29">
        <v>40102.0</v>
      </c>
      <c r="B167" s="76" t="s">
        <v>173</v>
      </c>
      <c r="C167" s="77">
        <v>57893.0</v>
      </c>
      <c r="D167" s="77">
        <v>23115.0</v>
      </c>
      <c r="E167" s="78">
        <f t="shared" si="7"/>
        <v>2.504564136</v>
      </c>
      <c r="F167" s="77">
        <v>300000.0</v>
      </c>
      <c r="G167" s="77">
        <v>23092.916666666668</v>
      </c>
      <c r="H167" s="78">
        <f t="shared" si="8"/>
        <v>12.99099652</v>
      </c>
      <c r="I167" s="77">
        <v>0.0</v>
      </c>
      <c r="J167" s="77">
        <v>23070.833333333332</v>
      </c>
      <c r="K167" s="78">
        <f t="shared" si="9"/>
        <v>0</v>
      </c>
      <c r="L167" s="79">
        <f t="shared" si="10"/>
        <v>5.165186885</v>
      </c>
      <c r="M167" s="80">
        <f t="shared" si="11"/>
        <v>119297.6667</v>
      </c>
      <c r="N167" s="77">
        <v>550000.0</v>
      </c>
      <c r="O167" s="77">
        <v>22894.166666666668</v>
      </c>
      <c r="P167" s="81">
        <f t="shared" si="12"/>
        <v>24.02358679</v>
      </c>
      <c r="Q167" s="82">
        <v>500000.0</v>
      </c>
      <c r="R167" s="77">
        <v>22872.083333333332</v>
      </c>
      <c r="S167" s="81">
        <f t="shared" si="13"/>
        <v>21.86071084</v>
      </c>
      <c r="T167" s="77">
        <v>500000.0</v>
      </c>
      <c r="U167" s="77">
        <v>22850.0</v>
      </c>
      <c r="V167" s="81">
        <f t="shared" si="14"/>
        <v>21.88183807</v>
      </c>
      <c r="W167" s="83">
        <f t="shared" si="15"/>
        <v>22.5887119</v>
      </c>
      <c r="X167" s="84">
        <f t="shared" si="16"/>
        <v>516666.6667</v>
      </c>
      <c r="AD167" s="65"/>
      <c r="AG167" s="65"/>
      <c r="AJ167" s="65"/>
      <c r="AK167" s="65"/>
      <c r="AL167" s="68"/>
      <c r="AO167" s="65"/>
      <c r="AR167" s="65"/>
      <c r="AU167" s="65"/>
      <c r="AV167" s="65"/>
      <c r="AW167" s="68"/>
    </row>
    <row r="168" ht="15.75" customHeight="1">
      <c r="A168" s="29">
        <v>40103.0</v>
      </c>
      <c r="B168" s="76" t="s">
        <v>174</v>
      </c>
      <c r="C168" s="77">
        <v>0.0</v>
      </c>
      <c r="D168" s="77">
        <v>8725.0</v>
      </c>
      <c r="E168" s="78">
        <f t="shared" si="7"/>
        <v>0</v>
      </c>
      <c r="F168" s="77">
        <v>0.0</v>
      </c>
      <c r="G168" s="77">
        <v>8831.0</v>
      </c>
      <c r="H168" s="78">
        <f t="shared" si="8"/>
        <v>0</v>
      </c>
      <c r="I168" s="77">
        <v>0.0</v>
      </c>
      <c r="J168" s="77">
        <v>8937.0</v>
      </c>
      <c r="K168" s="78">
        <f t="shared" si="9"/>
        <v>0</v>
      </c>
      <c r="L168" s="79">
        <f t="shared" si="10"/>
        <v>0</v>
      </c>
      <c r="M168" s="80">
        <f t="shared" si="11"/>
        <v>0</v>
      </c>
      <c r="N168" s="77">
        <v>0.0</v>
      </c>
      <c r="O168" s="77">
        <v>9785.0</v>
      </c>
      <c r="P168" s="81">
        <f t="shared" si="12"/>
        <v>0</v>
      </c>
      <c r="Q168" s="82">
        <v>0.0</v>
      </c>
      <c r="R168" s="77">
        <v>9891.0</v>
      </c>
      <c r="S168" s="81">
        <f t="shared" si="13"/>
        <v>0</v>
      </c>
      <c r="T168" s="77">
        <v>60000.0</v>
      </c>
      <c r="U168" s="77">
        <v>9997.0</v>
      </c>
      <c r="V168" s="81">
        <f t="shared" si="14"/>
        <v>6.00180054</v>
      </c>
      <c r="W168" s="83">
        <f t="shared" si="15"/>
        <v>2.00060018</v>
      </c>
      <c r="X168" s="84">
        <f t="shared" si="16"/>
        <v>20000</v>
      </c>
      <c r="AD168" s="65"/>
      <c r="AG168" s="65"/>
      <c r="AJ168" s="65"/>
      <c r="AK168" s="65"/>
      <c r="AL168" s="68"/>
      <c r="AO168" s="65"/>
      <c r="AR168" s="65"/>
      <c r="AU168" s="65"/>
      <c r="AV168" s="65"/>
      <c r="AW168" s="68"/>
    </row>
    <row r="169" ht="15.75" customHeight="1">
      <c r="A169" s="29">
        <v>40104.0</v>
      </c>
      <c r="B169" s="76" t="s">
        <v>175</v>
      </c>
      <c r="C169" s="77">
        <v>0.0</v>
      </c>
      <c r="D169" s="77">
        <v>12846.0</v>
      </c>
      <c r="E169" s="78">
        <f t="shared" si="7"/>
        <v>0</v>
      </c>
      <c r="F169" s="77">
        <v>0.0</v>
      </c>
      <c r="G169" s="77">
        <v>13089.166666666666</v>
      </c>
      <c r="H169" s="78">
        <f t="shared" si="8"/>
        <v>0</v>
      </c>
      <c r="I169" s="77">
        <v>0.0</v>
      </c>
      <c r="J169" s="77">
        <v>13332.333333333334</v>
      </c>
      <c r="K169" s="78">
        <f t="shared" si="9"/>
        <v>0</v>
      </c>
      <c r="L169" s="79">
        <f t="shared" si="10"/>
        <v>0</v>
      </c>
      <c r="M169" s="80">
        <f t="shared" si="11"/>
        <v>0</v>
      </c>
      <c r="N169" s="77">
        <v>0.0</v>
      </c>
      <c r="O169" s="77">
        <v>15277.666666666666</v>
      </c>
      <c r="P169" s="81">
        <f t="shared" si="12"/>
        <v>0</v>
      </c>
      <c r="Q169" s="82">
        <v>0.0</v>
      </c>
      <c r="R169" s="77">
        <v>15520.833333333332</v>
      </c>
      <c r="S169" s="81">
        <f t="shared" si="13"/>
        <v>0</v>
      </c>
      <c r="T169" s="77">
        <v>0.0</v>
      </c>
      <c r="U169" s="77">
        <v>15764.0</v>
      </c>
      <c r="V169" s="81">
        <f t="shared" si="14"/>
        <v>0</v>
      </c>
      <c r="W169" s="83">
        <f t="shared" si="15"/>
        <v>0</v>
      </c>
      <c r="X169" s="84">
        <f t="shared" si="16"/>
        <v>0</v>
      </c>
      <c r="AD169" s="65"/>
      <c r="AG169" s="65"/>
      <c r="AJ169" s="65"/>
      <c r="AK169" s="65"/>
      <c r="AL169" s="68"/>
      <c r="AO169" s="65"/>
      <c r="AR169" s="65"/>
      <c r="AU169" s="65"/>
      <c r="AV169" s="65"/>
      <c r="AW169" s="68"/>
    </row>
    <row r="170" ht="15.75" customHeight="1">
      <c r="A170" s="29">
        <v>40201.0</v>
      </c>
      <c r="B170" s="76" t="s">
        <v>176</v>
      </c>
      <c r="C170" s="77">
        <v>210462.0</v>
      </c>
      <c r="D170" s="77">
        <v>28918.0</v>
      </c>
      <c r="E170" s="78">
        <f t="shared" si="7"/>
        <v>7.277889204</v>
      </c>
      <c r="F170" s="77">
        <v>450000.0</v>
      </c>
      <c r="G170" s="77">
        <v>29460.416666666668</v>
      </c>
      <c r="H170" s="78">
        <f t="shared" si="8"/>
        <v>15.27473305</v>
      </c>
      <c r="I170" s="77">
        <v>0.0</v>
      </c>
      <c r="J170" s="77">
        <v>30002.833333333332</v>
      </c>
      <c r="K170" s="78">
        <f t="shared" si="9"/>
        <v>0</v>
      </c>
      <c r="L170" s="79">
        <f t="shared" si="10"/>
        <v>7.51754075</v>
      </c>
      <c r="M170" s="80">
        <f t="shared" si="11"/>
        <v>220154</v>
      </c>
      <c r="N170" s="77">
        <v>895535.0</v>
      </c>
      <c r="O170" s="77">
        <v>34342.166666666664</v>
      </c>
      <c r="P170" s="81">
        <f t="shared" si="12"/>
        <v>26.0768346</v>
      </c>
      <c r="Q170" s="82">
        <v>895535.0</v>
      </c>
      <c r="R170" s="77">
        <v>34884.583333333336</v>
      </c>
      <c r="S170" s="81">
        <f t="shared" si="13"/>
        <v>25.67136868</v>
      </c>
      <c r="T170" s="77">
        <v>895535.0</v>
      </c>
      <c r="U170" s="77">
        <v>35427.0</v>
      </c>
      <c r="V170" s="81">
        <f t="shared" si="14"/>
        <v>25.2783188</v>
      </c>
      <c r="W170" s="83">
        <f t="shared" si="15"/>
        <v>25.67550736</v>
      </c>
      <c r="X170" s="84">
        <f t="shared" si="16"/>
        <v>895535</v>
      </c>
      <c r="AD170" s="65"/>
      <c r="AG170" s="65"/>
      <c r="AJ170" s="65"/>
      <c r="AK170" s="65"/>
      <c r="AL170" s="68"/>
      <c r="AO170" s="65"/>
      <c r="AR170" s="65"/>
      <c r="AU170" s="65"/>
      <c r="AV170" s="65"/>
      <c r="AW170" s="68"/>
    </row>
    <row r="171" ht="15.75" customHeight="1">
      <c r="A171" s="29">
        <v>40202.0</v>
      </c>
      <c r="B171" s="76" t="s">
        <v>177</v>
      </c>
      <c r="C171" s="77">
        <v>0.0</v>
      </c>
      <c r="D171" s="77">
        <v>4051.0</v>
      </c>
      <c r="E171" s="78">
        <f t="shared" si="7"/>
        <v>0</v>
      </c>
      <c r="F171" s="77">
        <v>0.0</v>
      </c>
      <c r="G171" s="77">
        <v>4143.5</v>
      </c>
      <c r="H171" s="78">
        <f t="shared" si="8"/>
        <v>0</v>
      </c>
      <c r="I171" s="77">
        <v>0.0</v>
      </c>
      <c r="J171" s="77">
        <v>4236.0</v>
      </c>
      <c r="K171" s="78">
        <f t="shared" si="9"/>
        <v>0</v>
      </c>
      <c r="L171" s="79">
        <f t="shared" si="10"/>
        <v>0</v>
      </c>
      <c r="M171" s="80">
        <f t="shared" si="11"/>
        <v>0</v>
      </c>
      <c r="N171" s="77">
        <v>0.0</v>
      </c>
      <c r="O171" s="77">
        <v>4976.0</v>
      </c>
      <c r="P171" s="81">
        <f t="shared" si="12"/>
        <v>0</v>
      </c>
      <c r="Q171" s="82">
        <v>0.0</v>
      </c>
      <c r="R171" s="77">
        <v>5068.5</v>
      </c>
      <c r="S171" s="81">
        <f t="shared" si="13"/>
        <v>0</v>
      </c>
      <c r="T171" s="77">
        <v>0.0</v>
      </c>
      <c r="U171" s="77">
        <v>5161.0</v>
      </c>
      <c r="V171" s="81">
        <f t="shared" si="14"/>
        <v>0</v>
      </c>
      <c r="W171" s="83">
        <f t="shared" si="15"/>
        <v>0</v>
      </c>
      <c r="X171" s="84">
        <f t="shared" si="16"/>
        <v>0</v>
      </c>
      <c r="AD171" s="65"/>
      <c r="AG171" s="65"/>
      <c r="AJ171" s="65"/>
      <c r="AK171" s="65"/>
      <c r="AL171" s="68"/>
      <c r="AO171" s="65"/>
      <c r="AR171" s="65"/>
      <c r="AU171" s="65"/>
      <c r="AV171" s="65"/>
      <c r="AW171" s="68"/>
    </row>
    <row r="172" ht="15.75" customHeight="1">
      <c r="A172" s="29">
        <v>40301.0</v>
      </c>
      <c r="B172" s="76" t="s">
        <v>178</v>
      </c>
      <c r="C172" s="77">
        <v>12000.0</v>
      </c>
      <c r="D172" s="77">
        <v>9221.0</v>
      </c>
      <c r="E172" s="78">
        <f t="shared" si="7"/>
        <v>1.301377291</v>
      </c>
      <c r="F172" s="77">
        <v>12000.0</v>
      </c>
      <c r="G172" s="77">
        <v>9794.333333333334</v>
      </c>
      <c r="H172" s="78">
        <f t="shared" si="8"/>
        <v>1.225198244</v>
      </c>
      <c r="I172" s="77">
        <v>0.0</v>
      </c>
      <c r="J172" s="77">
        <v>10367.666666666666</v>
      </c>
      <c r="K172" s="78">
        <f t="shared" si="9"/>
        <v>0</v>
      </c>
      <c r="L172" s="79">
        <f t="shared" si="10"/>
        <v>0.8421918449</v>
      </c>
      <c r="M172" s="80">
        <f t="shared" si="11"/>
        <v>8000</v>
      </c>
      <c r="N172" s="77">
        <v>30000.0</v>
      </c>
      <c r="O172" s="77">
        <v>14954.333333333334</v>
      </c>
      <c r="P172" s="81">
        <f t="shared" si="12"/>
        <v>2.006107483</v>
      </c>
      <c r="Q172" s="82">
        <v>30000.0</v>
      </c>
      <c r="R172" s="77">
        <v>15527.666666666668</v>
      </c>
      <c r="S172" s="81">
        <f t="shared" si="13"/>
        <v>1.932035292</v>
      </c>
      <c r="T172" s="77">
        <v>30000.0</v>
      </c>
      <c r="U172" s="77">
        <v>16101.0</v>
      </c>
      <c r="V172" s="81">
        <f t="shared" si="14"/>
        <v>1.863238308</v>
      </c>
      <c r="W172" s="83">
        <f t="shared" si="15"/>
        <v>1.933793694</v>
      </c>
      <c r="X172" s="84">
        <f t="shared" si="16"/>
        <v>30000</v>
      </c>
      <c r="AD172" s="65"/>
      <c r="AG172" s="65"/>
      <c r="AJ172" s="65"/>
      <c r="AK172" s="65"/>
      <c r="AL172" s="68"/>
      <c r="AO172" s="65"/>
      <c r="AR172" s="65"/>
      <c r="AU172" s="65"/>
      <c r="AV172" s="65"/>
      <c r="AW172" s="68"/>
    </row>
    <row r="173" ht="15.75" customHeight="1">
      <c r="A173" s="29">
        <v>40302.0</v>
      </c>
      <c r="B173" s="76" t="s">
        <v>179</v>
      </c>
      <c r="C173" s="77">
        <v>0.0</v>
      </c>
      <c r="D173" s="77">
        <v>1850.0</v>
      </c>
      <c r="E173" s="78">
        <f t="shared" si="7"/>
        <v>0</v>
      </c>
      <c r="F173" s="77">
        <v>20000.0</v>
      </c>
      <c r="G173" s="77">
        <v>1904.5</v>
      </c>
      <c r="H173" s="78">
        <f t="shared" si="8"/>
        <v>10.50144395</v>
      </c>
      <c r="I173" s="77">
        <v>0.0</v>
      </c>
      <c r="J173" s="77">
        <v>1959.0</v>
      </c>
      <c r="K173" s="78">
        <f t="shared" si="9"/>
        <v>0</v>
      </c>
      <c r="L173" s="79">
        <f t="shared" si="10"/>
        <v>3.500481316</v>
      </c>
      <c r="M173" s="80">
        <f t="shared" si="11"/>
        <v>6666.666667</v>
      </c>
      <c r="N173" s="77">
        <v>50000.0</v>
      </c>
      <c r="O173" s="77">
        <v>2395.0</v>
      </c>
      <c r="P173" s="81">
        <f t="shared" si="12"/>
        <v>20.87682672</v>
      </c>
      <c r="Q173" s="82">
        <v>20000.0</v>
      </c>
      <c r="R173" s="77">
        <v>2449.5</v>
      </c>
      <c r="S173" s="81">
        <f t="shared" si="13"/>
        <v>8.164931619</v>
      </c>
      <c r="T173" s="77">
        <v>22900.0</v>
      </c>
      <c r="U173" s="77">
        <v>2504.0</v>
      </c>
      <c r="V173" s="81">
        <f t="shared" si="14"/>
        <v>9.145367412</v>
      </c>
      <c r="W173" s="83">
        <f t="shared" si="15"/>
        <v>12.72904192</v>
      </c>
      <c r="X173" s="84">
        <f t="shared" si="16"/>
        <v>30966.66667</v>
      </c>
      <c r="AD173" s="65"/>
      <c r="AG173" s="65"/>
      <c r="AJ173" s="65"/>
      <c r="AK173" s="65"/>
      <c r="AL173" s="68"/>
      <c r="AO173" s="65"/>
      <c r="AR173" s="65"/>
      <c r="AU173" s="65"/>
      <c r="AV173" s="65"/>
      <c r="AW173" s="68"/>
    </row>
    <row r="174" ht="15.75" customHeight="1">
      <c r="A174" s="29">
        <v>40401.0</v>
      </c>
      <c r="B174" s="76" t="s">
        <v>180</v>
      </c>
      <c r="C174" s="77">
        <v>50000.0</v>
      </c>
      <c r="D174" s="77">
        <v>4184.0</v>
      </c>
      <c r="E174" s="78">
        <f t="shared" si="7"/>
        <v>11.95028681</v>
      </c>
      <c r="F174" s="77">
        <v>60000.0</v>
      </c>
      <c r="G174" s="77">
        <v>4392.25</v>
      </c>
      <c r="H174" s="78">
        <f t="shared" si="8"/>
        <v>13.66042461</v>
      </c>
      <c r="I174" s="77">
        <v>0.0</v>
      </c>
      <c r="J174" s="77">
        <v>4600.5</v>
      </c>
      <c r="K174" s="78">
        <f t="shared" si="9"/>
        <v>0</v>
      </c>
      <c r="L174" s="79">
        <f t="shared" si="10"/>
        <v>8.536903806</v>
      </c>
      <c r="M174" s="80">
        <f t="shared" si="11"/>
        <v>36666.66667</v>
      </c>
      <c r="N174" s="77">
        <v>70000.0</v>
      </c>
      <c r="O174" s="77">
        <v>6266.5</v>
      </c>
      <c r="P174" s="81">
        <f t="shared" si="12"/>
        <v>11.17050985</v>
      </c>
      <c r="Q174" s="82">
        <v>70000.0</v>
      </c>
      <c r="R174" s="77">
        <v>6474.75</v>
      </c>
      <c r="S174" s="81">
        <f t="shared" si="13"/>
        <v>10.81122823</v>
      </c>
      <c r="T174" s="77">
        <v>70000.0</v>
      </c>
      <c r="U174" s="77">
        <v>6683.0</v>
      </c>
      <c r="V174" s="81">
        <f t="shared" si="14"/>
        <v>10.47433787</v>
      </c>
      <c r="W174" s="83">
        <f t="shared" si="15"/>
        <v>10.81869199</v>
      </c>
      <c r="X174" s="84">
        <f t="shared" si="16"/>
        <v>70000</v>
      </c>
      <c r="AD174" s="65"/>
      <c r="AG174" s="65"/>
      <c r="AJ174" s="65"/>
      <c r="AK174" s="65"/>
      <c r="AL174" s="68"/>
      <c r="AO174" s="65"/>
      <c r="AR174" s="65"/>
      <c r="AU174" s="65"/>
      <c r="AV174" s="65"/>
      <c r="AW174" s="68"/>
    </row>
    <row r="175" ht="15.75" customHeight="1">
      <c r="A175" s="29">
        <v>40402.0</v>
      </c>
      <c r="B175" s="76" t="s">
        <v>181</v>
      </c>
      <c r="C175" s="77">
        <v>30000.0</v>
      </c>
      <c r="D175" s="77">
        <v>5207.0</v>
      </c>
      <c r="E175" s="78">
        <f t="shared" si="7"/>
        <v>5.761474938</v>
      </c>
      <c r="F175" s="77">
        <v>50000.0</v>
      </c>
      <c r="G175" s="77">
        <v>5256.666666666667</v>
      </c>
      <c r="H175" s="78">
        <f t="shared" si="8"/>
        <v>9.511731135</v>
      </c>
      <c r="I175" s="77">
        <v>0.0</v>
      </c>
      <c r="J175" s="77">
        <v>5306.333333333333</v>
      </c>
      <c r="K175" s="78">
        <f t="shared" si="9"/>
        <v>0</v>
      </c>
      <c r="L175" s="79">
        <f t="shared" si="10"/>
        <v>5.091068691</v>
      </c>
      <c r="M175" s="80">
        <f t="shared" si="11"/>
        <v>26666.66667</v>
      </c>
      <c r="N175" s="77">
        <v>55000.0</v>
      </c>
      <c r="O175" s="77">
        <v>5703.666666666667</v>
      </c>
      <c r="P175" s="81">
        <f t="shared" si="12"/>
        <v>9.642919759</v>
      </c>
      <c r="Q175" s="82">
        <v>70000.0</v>
      </c>
      <c r="R175" s="77">
        <v>5753.333333333333</v>
      </c>
      <c r="S175" s="81">
        <f t="shared" si="13"/>
        <v>12.16685979</v>
      </c>
      <c r="T175" s="77">
        <v>70000.0</v>
      </c>
      <c r="U175" s="77">
        <v>5803.0</v>
      </c>
      <c r="V175" s="81">
        <f t="shared" si="14"/>
        <v>12.06272618</v>
      </c>
      <c r="W175" s="83">
        <f t="shared" si="15"/>
        <v>11.29083524</v>
      </c>
      <c r="X175" s="84">
        <f t="shared" si="16"/>
        <v>65000</v>
      </c>
      <c r="AD175" s="65"/>
      <c r="AG175" s="65"/>
      <c r="AJ175" s="65"/>
      <c r="AK175" s="65"/>
      <c r="AL175" s="68"/>
      <c r="AO175" s="65"/>
      <c r="AR175" s="65"/>
      <c r="AU175" s="65"/>
      <c r="AV175" s="65"/>
      <c r="AW175" s="68"/>
    </row>
    <row r="176" ht="15.75" customHeight="1">
      <c r="A176" s="29">
        <v>40501.0</v>
      </c>
      <c r="B176" s="76" t="s">
        <v>182</v>
      </c>
      <c r="C176" s="77">
        <v>0.0</v>
      </c>
      <c r="D176" s="77">
        <v>1003.0</v>
      </c>
      <c r="E176" s="78">
        <f t="shared" si="7"/>
        <v>0</v>
      </c>
      <c r="F176" s="77">
        <v>0.0</v>
      </c>
      <c r="G176" s="77">
        <v>1253.6666666666667</v>
      </c>
      <c r="H176" s="78">
        <f t="shared" si="8"/>
        <v>0</v>
      </c>
      <c r="I176" s="77">
        <v>0.0</v>
      </c>
      <c r="J176" s="77">
        <v>1504.3333333333333</v>
      </c>
      <c r="K176" s="78">
        <f t="shared" si="9"/>
        <v>0</v>
      </c>
      <c r="L176" s="79">
        <f t="shared" si="10"/>
        <v>0</v>
      </c>
      <c r="M176" s="80">
        <f t="shared" si="11"/>
        <v>0</v>
      </c>
      <c r="N176" s="77">
        <v>0.0</v>
      </c>
      <c r="O176" s="77">
        <v>3509.6666666666665</v>
      </c>
      <c r="P176" s="81">
        <f t="shared" si="12"/>
        <v>0</v>
      </c>
      <c r="Q176" s="82">
        <v>0.0</v>
      </c>
      <c r="R176" s="77">
        <v>3760.333333333333</v>
      </c>
      <c r="S176" s="81">
        <f t="shared" si="13"/>
        <v>0</v>
      </c>
      <c r="T176" s="77">
        <v>0.0</v>
      </c>
      <c r="U176" s="77">
        <v>4011.0</v>
      </c>
      <c r="V176" s="81">
        <f t="shared" si="14"/>
        <v>0</v>
      </c>
      <c r="W176" s="83">
        <f t="shared" si="15"/>
        <v>0</v>
      </c>
      <c r="X176" s="84">
        <f t="shared" si="16"/>
        <v>0</v>
      </c>
      <c r="AD176" s="65"/>
      <c r="AG176" s="65"/>
      <c r="AJ176" s="65"/>
      <c r="AK176" s="65"/>
      <c r="AL176" s="68"/>
      <c r="AO176" s="65"/>
      <c r="AR176" s="65"/>
      <c r="AU176" s="65"/>
      <c r="AV176" s="65"/>
      <c r="AW176" s="68"/>
    </row>
    <row r="177" ht="15.75" customHeight="1">
      <c r="A177" s="29">
        <v>40502.0</v>
      </c>
      <c r="B177" s="76" t="s">
        <v>183</v>
      </c>
      <c r="C177" s="77">
        <v>0.0</v>
      </c>
      <c r="D177" s="77">
        <v>4223.0</v>
      </c>
      <c r="E177" s="78">
        <f t="shared" si="7"/>
        <v>0</v>
      </c>
      <c r="F177" s="77">
        <v>0.0</v>
      </c>
      <c r="G177" s="77">
        <v>4223.666666666667</v>
      </c>
      <c r="H177" s="78">
        <f t="shared" si="8"/>
        <v>0</v>
      </c>
      <c r="I177" s="77">
        <v>0.0</v>
      </c>
      <c r="J177" s="77">
        <v>4224.333333333333</v>
      </c>
      <c r="K177" s="78">
        <f t="shared" si="9"/>
        <v>0</v>
      </c>
      <c r="L177" s="79">
        <f t="shared" si="10"/>
        <v>0</v>
      </c>
      <c r="M177" s="80">
        <f t="shared" si="11"/>
        <v>0</v>
      </c>
      <c r="N177" s="77">
        <v>0.0</v>
      </c>
      <c r="O177" s="77">
        <v>4229.666666666667</v>
      </c>
      <c r="P177" s="81">
        <f t="shared" si="12"/>
        <v>0</v>
      </c>
      <c r="Q177" s="82">
        <v>0.0</v>
      </c>
      <c r="R177" s="77">
        <v>4230.333333333333</v>
      </c>
      <c r="S177" s="81">
        <f t="shared" si="13"/>
        <v>0</v>
      </c>
      <c r="T177" s="77">
        <v>0.0</v>
      </c>
      <c r="U177" s="77">
        <v>4231.0</v>
      </c>
      <c r="V177" s="81">
        <f t="shared" si="14"/>
        <v>0</v>
      </c>
      <c r="W177" s="83">
        <f t="shared" si="15"/>
        <v>0</v>
      </c>
      <c r="X177" s="84">
        <f t="shared" si="16"/>
        <v>0</v>
      </c>
      <c r="AD177" s="65"/>
      <c r="AG177" s="65"/>
      <c r="AJ177" s="65"/>
      <c r="AK177" s="65"/>
      <c r="AL177" s="68"/>
      <c r="AO177" s="65"/>
      <c r="AR177" s="65"/>
      <c r="AU177" s="65"/>
      <c r="AV177" s="65"/>
      <c r="AW177" s="68"/>
    </row>
    <row r="178" ht="15.75" customHeight="1">
      <c r="A178" s="29">
        <v>40503.0</v>
      </c>
      <c r="B178" s="76" t="s">
        <v>184</v>
      </c>
      <c r="C178" s="77">
        <v>0.0</v>
      </c>
      <c r="D178" s="77">
        <v>1967.0</v>
      </c>
      <c r="E178" s="78">
        <f t="shared" si="7"/>
        <v>0</v>
      </c>
      <c r="F178" s="77">
        <v>0.0</v>
      </c>
      <c r="G178" s="77">
        <v>1929.5</v>
      </c>
      <c r="H178" s="78">
        <f t="shared" si="8"/>
        <v>0</v>
      </c>
      <c r="I178" s="77">
        <v>0.0</v>
      </c>
      <c r="J178" s="77">
        <v>1892.0</v>
      </c>
      <c r="K178" s="78">
        <f t="shared" si="9"/>
        <v>0</v>
      </c>
      <c r="L178" s="79">
        <f t="shared" si="10"/>
        <v>0</v>
      </c>
      <c r="M178" s="80">
        <f t="shared" si="11"/>
        <v>0</v>
      </c>
      <c r="N178" s="77">
        <v>0.0</v>
      </c>
      <c r="O178" s="77">
        <v>1592.0</v>
      </c>
      <c r="P178" s="81">
        <f t="shared" si="12"/>
        <v>0</v>
      </c>
      <c r="Q178" s="82">
        <v>0.0</v>
      </c>
      <c r="R178" s="77">
        <v>1554.5</v>
      </c>
      <c r="S178" s="81">
        <f t="shared" si="13"/>
        <v>0</v>
      </c>
      <c r="T178" s="77">
        <v>0.0</v>
      </c>
      <c r="U178" s="77">
        <v>1517.0</v>
      </c>
      <c r="V178" s="81">
        <f t="shared" si="14"/>
        <v>0</v>
      </c>
      <c r="W178" s="83">
        <f t="shared" si="15"/>
        <v>0</v>
      </c>
      <c r="X178" s="84">
        <f t="shared" si="16"/>
        <v>0</v>
      </c>
      <c r="AD178" s="65"/>
      <c r="AG178" s="65"/>
      <c r="AJ178" s="65"/>
      <c r="AK178" s="65"/>
      <c r="AL178" s="68"/>
      <c r="AO178" s="65"/>
      <c r="AR178" s="65"/>
      <c r="AU178" s="65"/>
      <c r="AV178" s="65"/>
      <c r="AW178" s="68"/>
    </row>
    <row r="179" ht="15.75" customHeight="1">
      <c r="A179" s="29">
        <v>40504.0</v>
      </c>
      <c r="B179" s="76" t="s">
        <v>185</v>
      </c>
      <c r="C179" s="77">
        <v>0.0</v>
      </c>
      <c r="D179" s="76">
        <v>514.0</v>
      </c>
      <c r="E179" s="78">
        <f t="shared" si="7"/>
        <v>0</v>
      </c>
      <c r="F179" s="77">
        <v>0.0</v>
      </c>
      <c r="G179" s="78">
        <v>544.0833333333334</v>
      </c>
      <c r="H179" s="78">
        <f t="shared" si="8"/>
        <v>0</v>
      </c>
      <c r="I179" s="77">
        <v>0.0</v>
      </c>
      <c r="J179" s="78">
        <v>574.1666666666666</v>
      </c>
      <c r="K179" s="78">
        <f t="shared" si="9"/>
        <v>0</v>
      </c>
      <c r="L179" s="79">
        <f t="shared" si="10"/>
        <v>0</v>
      </c>
      <c r="M179" s="80">
        <f t="shared" si="11"/>
        <v>0</v>
      </c>
      <c r="N179" s="77">
        <v>0.0</v>
      </c>
      <c r="O179" s="76">
        <v>814.8333333333333</v>
      </c>
      <c r="P179" s="81">
        <f t="shared" si="12"/>
        <v>0</v>
      </c>
      <c r="Q179" s="82">
        <v>0.0</v>
      </c>
      <c r="R179" s="76">
        <v>844.9166666666666</v>
      </c>
      <c r="S179" s="81">
        <f t="shared" si="13"/>
        <v>0</v>
      </c>
      <c r="T179" s="77">
        <v>0.0</v>
      </c>
      <c r="U179" s="76">
        <v>875.0</v>
      </c>
      <c r="V179" s="81">
        <f t="shared" si="14"/>
        <v>0</v>
      </c>
      <c r="W179" s="83">
        <f t="shared" si="15"/>
        <v>0</v>
      </c>
      <c r="X179" s="84">
        <f t="shared" si="16"/>
        <v>0</v>
      </c>
      <c r="AD179" s="65"/>
      <c r="AG179" s="65"/>
      <c r="AJ179" s="65"/>
      <c r="AK179" s="65"/>
      <c r="AL179" s="68"/>
      <c r="AO179" s="65"/>
      <c r="AR179" s="65"/>
      <c r="AU179" s="65"/>
      <c r="AV179" s="65"/>
      <c r="AW179" s="68"/>
    </row>
    <row r="180" ht="15.75" customHeight="1">
      <c r="A180" s="29">
        <v>40505.0</v>
      </c>
      <c r="B180" s="76" t="s">
        <v>186</v>
      </c>
      <c r="C180" s="77">
        <v>0.0</v>
      </c>
      <c r="D180" s="77">
        <v>2702.0</v>
      </c>
      <c r="E180" s="78">
        <f t="shared" si="7"/>
        <v>0</v>
      </c>
      <c r="F180" s="77">
        <v>0.0</v>
      </c>
      <c r="G180" s="77">
        <v>2800.3333333333335</v>
      </c>
      <c r="H180" s="78">
        <f t="shared" si="8"/>
        <v>0</v>
      </c>
      <c r="I180" s="77">
        <v>0.0</v>
      </c>
      <c r="J180" s="77">
        <v>2898.6666666666665</v>
      </c>
      <c r="K180" s="78">
        <f t="shared" si="9"/>
        <v>0</v>
      </c>
      <c r="L180" s="79">
        <f t="shared" si="10"/>
        <v>0</v>
      </c>
      <c r="M180" s="80">
        <f t="shared" si="11"/>
        <v>0</v>
      </c>
      <c r="N180" s="77">
        <v>0.0</v>
      </c>
      <c r="O180" s="77">
        <v>3685.333333333333</v>
      </c>
      <c r="P180" s="81">
        <f t="shared" si="12"/>
        <v>0</v>
      </c>
      <c r="Q180" s="82">
        <v>0.0</v>
      </c>
      <c r="R180" s="77">
        <v>3783.6666666666665</v>
      </c>
      <c r="S180" s="81">
        <f t="shared" si="13"/>
        <v>0</v>
      </c>
      <c r="T180" s="77">
        <v>0.0</v>
      </c>
      <c r="U180" s="77">
        <v>3882.0</v>
      </c>
      <c r="V180" s="81">
        <f t="shared" si="14"/>
        <v>0</v>
      </c>
      <c r="W180" s="83">
        <f t="shared" si="15"/>
        <v>0</v>
      </c>
      <c r="X180" s="84">
        <f t="shared" si="16"/>
        <v>0</v>
      </c>
      <c r="AD180" s="65"/>
      <c r="AG180" s="65"/>
      <c r="AJ180" s="65"/>
      <c r="AK180" s="65"/>
      <c r="AL180" s="68"/>
      <c r="AO180" s="65"/>
      <c r="AR180" s="65"/>
      <c r="AU180" s="65"/>
      <c r="AV180" s="65"/>
      <c r="AW180" s="68"/>
    </row>
    <row r="181" ht="15.75" customHeight="1">
      <c r="A181" s="29">
        <v>40601.0</v>
      </c>
      <c r="B181" s="76" t="s">
        <v>187</v>
      </c>
      <c r="C181" s="77">
        <v>20000.0</v>
      </c>
      <c r="D181" s="77">
        <v>7587.0</v>
      </c>
      <c r="E181" s="78">
        <f t="shared" si="7"/>
        <v>2.636088045</v>
      </c>
      <c r="F181" s="77">
        <v>30000.0</v>
      </c>
      <c r="G181" s="77">
        <v>7720.5</v>
      </c>
      <c r="H181" s="78">
        <f t="shared" si="8"/>
        <v>3.885758694</v>
      </c>
      <c r="I181" s="77">
        <v>0.0</v>
      </c>
      <c r="J181" s="77">
        <v>7854.0</v>
      </c>
      <c r="K181" s="78">
        <f t="shared" si="9"/>
        <v>0</v>
      </c>
      <c r="L181" s="79">
        <f t="shared" si="10"/>
        <v>2.173948913</v>
      </c>
      <c r="M181" s="80">
        <f t="shared" si="11"/>
        <v>16666.66667</v>
      </c>
      <c r="N181" s="77">
        <v>90000.0</v>
      </c>
      <c r="O181" s="77">
        <v>8922.0</v>
      </c>
      <c r="P181" s="81">
        <f t="shared" si="12"/>
        <v>10.08742434</v>
      </c>
      <c r="Q181" s="82">
        <v>120000.0</v>
      </c>
      <c r="R181" s="77">
        <v>9055.5</v>
      </c>
      <c r="S181" s="81">
        <f t="shared" si="13"/>
        <v>13.25161504</v>
      </c>
      <c r="T181" s="77">
        <v>170000.0</v>
      </c>
      <c r="U181" s="77">
        <v>9189.0</v>
      </c>
      <c r="V181" s="81">
        <f t="shared" si="14"/>
        <v>18.50038089</v>
      </c>
      <c r="W181" s="83">
        <f t="shared" si="15"/>
        <v>13.94647343</v>
      </c>
      <c r="X181" s="84">
        <f t="shared" si="16"/>
        <v>126666.6667</v>
      </c>
      <c r="AD181" s="65"/>
      <c r="AG181" s="65"/>
      <c r="AJ181" s="65"/>
      <c r="AK181" s="65"/>
      <c r="AL181" s="68"/>
      <c r="AO181" s="65"/>
      <c r="AR181" s="65"/>
      <c r="AU181" s="65"/>
      <c r="AV181" s="65"/>
      <c r="AW181" s="68"/>
    </row>
    <row r="182" ht="15.75" customHeight="1">
      <c r="A182" s="29">
        <v>40602.0</v>
      </c>
      <c r="B182" s="76" t="s">
        <v>188</v>
      </c>
      <c r="C182" s="77">
        <v>5000.0</v>
      </c>
      <c r="D182" s="77">
        <v>5955.0</v>
      </c>
      <c r="E182" s="78">
        <f t="shared" si="7"/>
        <v>0.8396305626</v>
      </c>
      <c r="F182" s="77">
        <v>5000.0</v>
      </c>
      <c r="G182" s="77">
        <v>5813.0</v>
      </c>
      <c r="H182" s="78">
        <f t="shared" si="8"/>
        <v>0.8601410631</v>
      </c>
      <c r="I182" s="77">
        <v>0.0</v>
      </c>
      <c r="J182" s="77">
        <v>5671.0</v>
      </c>
      <c r="K182" s="78">
        <f t="shared" si="9"/>
        <v>0</v>
      </c>
      <c r="L182" s="79">
        <f t="shared" si="10"/>
        <v>0.5665905419</v>
      </c>
      <c r="M182" s="80">
        <f t="shared" si="11"/>
        <v>3333.333333</v>
      </c>
      <c r="N182" s="77">
        <v>26000.0</v>
      </c>
      <c r="O182" s="77">
        <v>4535.0</v>
      </c>
      <c r="P182" s="81">
        <f t="shared" si="12"/>
        <v>5.733186329</v>
      </c>
      <c r="Q182" s="82">
        <v>35000.0</v>
      </c>
      <c r="R182" s="77">
        <v>4393.0</v>
      </c>
      <c r="S182" s="81">
        <f t="shared" si="13"/>
        <v>7.967220578</v>
      </c>
      <c r="T182" s="77">
        <v>35000.0</v>
      </c>
      <c r="U182" s="77">
        <v>4251.0</v>
      </c>
      <c r="V182" s="81">
        <f t="shared" si="14"/>
        <v>8.233356857</v>
      </c>
      <c r="W182" s="83">
        <f t="shared" si="15"/>
        <v>7.311254588</v>
      </c>
      <c r="X182" s="84">
        <f t="shared" si="16"/>
        <v>32000</v>
      </c>
      <c r="AD182" s="65"/>
      <c r="AG182" s="65"/>
      <c r="AJ182" s="65"/>
      <c r="AK182" s="65"/>
      <c r="AL182" s="68"/>
      <c r="AO182" s="65"/>
      <c r="AR182" s="65"/>
      <c r="AU182" s="65"/>
      <c r="AV182" s="65"/>
      <c r="AW182" s="68"/>
    </row>
    <row r="183" ht="15.75" customHeight="1">
      <c r="A183" s="29">
        <v>40603.0</v>
      </c>
      <c r="B183" s="76" t="s">
        <v>189</v>
      </c>
      <c r="C183" s="77">
        <v>5000.0</v>
      </c>
      <c r="D183" s="77">
        <v>3264.0</v>
      </c>
      <c r="E183" s="78">
        <f t="shared" si="7"/>
        <v>1.531862745</v>
      </c>
      <c r="F183" s="77">
        <v>25000.0</v>
      </c>
      <c r="G183" s="77">
        <v>3297.5</v>
      </c>
      <c r="H183" s="78">
        <f t="shared" si="8"/>
        <v>7.581501137</v>
      </c>
      <c r="I183" s="77">
        <v>0.0</v>
      </c>
      <c r="J183" s="77">
        <v>3331.0</v>
      </c>
      <c r="K183" s="78">
        <f t="shared" si="9"/>
        <v>0</v>
      </c>
      <c r="L183" s="79">
        <f t="shared" si="10"/>
        <v>3.037787961</v>
      </c>
      <c r="M183" s="80">
        <f t="shared" si="11"/>
        <v>10000</v>
      </c>
      <c r="N183" s="77">
        <v>60000.0</v>
      </c>
      <c r="O183" s="77">
        <v>3599.0</v>
      </c>
      <c r="P183" s="81">
        <f t="shared" si="12"/>
        <v>16.67129758</v>
      </c>
      <c r="Q183" s="82">
        <v>60000.0</v>
      </c>
      <c r="R183" s="77">
        <v>3632.5</v>
      </c>
      <c r="S183" s="81">
        <f t="shared" si="13"/>
        <v>16.5175499</v>
      </c>
      <c r="T183" s="77">
        <v>100000.0</v>
      </c>
      <c r="U183" s="77">
        <v>3666.0</v>
      </c>
      <c r="V183" s="81">
        <f t="shared" si="14"/>
        <v>27.27768685</v>
      </c>
      <c r="W183" s="83">
        <f t="shared" si="15"/>
        <v>20.15551144</v>
      </c>
      <c r="X183" s="84">
        <f t="shared" si="16"/>
        <v>73333.33333</v>
      </c>
      <c r="AD183" s="65"/>
      <c r="AG183" s="65"/>
      <c r="AJ183" s="65"/>
      <c r="AK183" s="65"/>
      <c r="AL183" s="68"/>
      <c r="AO183" s="65"/>
      <c r="AR183" s="65"/>
      <c r="AU183" s="65"/>
      <c r="AV183" s="65"/>
      <c r="AW183" s="68"/>
    </row>
    <row r="184" ht="15.75" customHeight="1">
      <c r="A184" s="29">
        <v>40701.0</v>
      </c>
      <c r="B184" s="76" t="s">
        <v>190</v>
      </c>
      <c r="C184" s="77">
        <v>200000.0</v>
      </c>
      <c r="D184" s="77">
        <v>24677.0</v>
      </c>
      <c r="E184" s="78">
        <f t="shared" si="7"/>
        <v>8.104712891</v>
      </c>
      <c r="F184" s="77">
        <v>200000.0</v>
      </c>
      <c r="G184" s="77">
        <v>24297.083333333332</v>
      </c>
      <c r="H184" s="78">
        <f t="shared" si="8"/>
        <v>8.231440674</v>
      </c>
      <c r="I184" s="77">
        <v>0.0</v>
      </c>
      <c r="J184" s="77">
        <v>23917.166666666668</v>
      </c>
      <c r="K184" s="78">
        <f t="shared" si="9"/>
        <v>0</v>
      </c>
      <c r="L184" s="79">
        <f t="shared" si="10"/>
        <v>5.445384521</v>
      </c>
      <c r="M184" s="80">
        <f t="shared" si="11"/>
        <v>133333.3333</v>
      </c>
      <c r="N184" s="77">
        <v>1282653.0</v>
      </c>
      <c r="O184" s="77">
        <v>20877.833333333332</v>
      </c>
      <c r="P184" s="81">
        <f t="shared" si="12"/>
        <v>61.43611646</v>
      </c>
      <c r="Q184" s="82">
        <v>1336653.0</v>
      </c>
      <c r="R184" s="77">
        <v>20497.916666666664</v>
      </c>
      <c r="S184" s="81">
        <f t="shared" si="13"/>
        <v>65.20921232</v>
      </c>
      <c r="T184" s="77">
        <v>1351363.0</v>
      </c>
      <c r="U184" s="77">
        <v>20118.0</v>
      </c>
      <c r="V184" s="81">
        <f t="shared" si="14"/>
        <v>67.17183617</v>
      </c>
      <c r="W184" s="83">
        <f t="shared" si="15"/>
        <v>64.60572165</v>
      </c>
      <c r="X184" s="84">
        <f t="shared" si="16"/>
        <v>1323556.333</v>
      </c>
      <c r="AD184" s="65"/>
      <c r="AG184" s="65"/>
      <c r="AJ184" s="65"/>
      <c r="AK184" s="65"/>
      <c r="AL184" s="68"/>
      <c r="AO184" s="65"/>
      <c r="AR184" s="65"/>
      <c r="AU184" s="65"/>
      <c r="AV184" s="65"/>
      <c r="AW184" s="68"/>
    </row>
    <row r="185" ht="15.75" customHeight="1">
      <c r="A185" s="29">
        <v>40702.0</v>
      </c>
      <c r="B185" s="76" t="s">
        <v>191</v>
      </c>
      <c r="C185" s="77">
        <v>0.0</v>
      </c>
      <c r="D185" s="77">
        <v>4820.0</v>
      </c>
      <c r="E185" s="78">
        <f t="shared" si="7"/>
        <v>0</v>
      </c>
      <c r="F185" s="77">
        <v>0.0</v>
      </c>
      <c r="G185" s="77">
        <v>4928.333333333333</v>
      </c>
      <c r="H185" s="78">
        <f t="shared" si="8"/>
        <v>0</v>
      </c>
      <c r="I185" s="77">
        <v>0.0</v>
      </c>
      <c r="J185" s="77">
        <v>5036.666666666667</v>
      </c>
      <c r="K185" s="78">
        <f t="shared" si="9"/>
        <v>0</v>
      </c>
      <c r="L185" s="79">
        <f t="shared" si="10"/>
        <v>0</v>
      </c>
      <c r="M185" s="80">
        <f t="shared" si="11"/>
        <v>0</v>
      </c>
      <c r="N185" s="77">
        <v>77000.0</v>
      </c>
      <c r="O185" s="77">
        <v>5903.333333333333</v>
      </c>
      <c r="P185" s="81">
        <f t="shared" si="12"/>
        <v>13.04347826</v>
      </c>
      <c r="Q185" s="82">
        <v>85000.0</v>
      </c>
      <c r="R185" s="77">
        <v>6011.666666666666</v>
      </c>
      <c r="S185" s="81">
        <f t="shared" si="13"/>
        <v>14.13917383</v>
      </c>
      <c r="T185" s="77">
        <v>124853.0</v>
      </c>
      <c r="U185" s="77">
        <v>6120.0</v>
      </c>
      <c r="V185" s="81">
        <f t="shared" si="14"/>
        <v>20.40081699</v>
      </c>
      <c r="W185" s="83">
        <f t="shared" si="15"/>
        <v>15.86115636</v>
      </c>
      <c r="X185" s="84">
        <f t="shared" si="16"/>
        <v>95617.66667</v>
      </c>
      <c r="AD185" s="65"/>
      <c r="AG185" s="65"/>
      <c r="AJ185" s="65"/>
      <c r="AK185" s="65"/>
      <c r="AL185" s="68"/>
      <c r="AO185" s="65"/>
      <c r="AR185" s="65"/>
      <c r="AU185" s="65"/>
      <c r="AV185" s="65"/>
      <c r="AW185" s="68"/>
    </row>
    <row r="186" ht="15.75" customHeight="1">
      <c r="A186" s="29">
        <v>40801.0</v>
      </c>
      <c r="B186" s="76" t="s">
        <v>192</v>
      </c>
      <c r="C186" s="77">
        <v>0.0</v>
      </c>
      <c r="D186" s="77">
        <v>11878.0</v>
      </c>
      <c r="E186" s="78">
        <f t="shared" si="7"/>
        <v>0</v>
      </c>
      <c r="F186" s="77">
        <v>0.0</v>
      </c>
      <c r="G186" s="77">
        <v>12216.0</v>
      </c>
      <c r="H186" s="78">
        <f t="shared" si="8"/>
        <v>0</v>
      </c>
      <c r="I186" s="77">
        <v>0.0</v>
      </c>
      <c r="J186" s="77">
        <v>12554.0</v>
      </c>
      <c r="K186" s="78">
        <f t="shared" si="9"/>
        <v>0</v>
      </c>
      <c r="L186" s="79">
        <f t="shared" si="10"/>
        <v>0</v>
      </c>
      <c r="M186" s="80">
        <f t="shared" si="11"/>
        <v>0</v>
      </c>
      <c r="N186" s="77">
        <v>0.0</v>
      </c>
      <c r="O186" s="77">
        <v>15258.0</v>
      </c>
      <c r="P186" s="81">
        <f t="shared" si="12"/>
        <v>0</v>
      </c>
      <c r="Q186" s="82">
        <v>10000.0</v>
      </c>
      <c r="R186" s="77">
        <v>15596.0</v>
      </c>
      <c r="S186" s="81">
        <f t="shared" si="13"/>
        <v>0.6411900487</v>
      </c>
      <c r="T186" s="77">
        <v>45000.0</v>
      </c>
      <c r="U186" s="77">
        <v>15934.0</v>
      </c>
      <c r="V186" s="81">
        <f t="shared" si="14"/>
        <v>2.824149617</v>
      </c>
      <c r="W186" s="83">
        <f t="shared" si="15"/>
        <v>1.155113222</v>
      </c>
      <c r="X186" s="84">
        <f t="shared" si="16"/>
        <v>18333.33333</v>
      </c>
      <c r="AD186" s="65"/>
      <c r="AG186" s="65"/>
      <c r="AJ186" s="65"/>
      <c r="AK186" s="65"/>
      <c r="AL186" s="68"/>
      <c r="AO186" s="65"/>
      <c r="AR186" s="65"/>
      <c r="AU186" s="65"/>
      <c r="AV186" s="65"/>
      <c r="AW186" s="68"/>
    </row>
    <row r="187" ht="15.75" customHeight="1">
      <c r="A187" s="29">
        <v>40802.0</v>
      </c>
      <c r="B187" s="76" t="s">
        <v>193</v>
      </c>
      <c r="C187" s="77">
        <v>25000.0</v>
      </c>
      <c r="D187" s="77">
        <v>2973.0</v>
      </c>
      <c r="E187" s="78">
        <f t="shared" si="7"/>
        <v>8.409014464</v>
      </c>
      <c r="F187" s="77">
        <v>30000.0</v>
      </c>
      <c r="G187" s="77">
        <v>2991.6666666666665</v>
      </c>
      <c r="H187" s="78">
        <f t="shared" si="8"/>
        <v>10.02785515</v>
      </c>
      <c r="I187" s="77">
        <v>0.0</v>
      </c>
      <c r="J187" s="77">
        <v>3010.3333333333335</v>
      </c>
      <c r="K187" s="78">
        <f t="shared" si="9"/>
        <v>0</v>
      </c>
      <c r="L187" s="79">
        <f t="shared" si="10"/>
        <v>6.145623206</v>
      </c>
      <c r="M187" s="80">
        <f t="shared" si="11"/>
        <v>18333.33333</v>
      </c>
      <c r="N187" s="77">
        <v>40000.0</v>
      </c>
      <c r="O187" s="77">
        <v>3159.6666666666665</v>
      </c>
      <c r="P187" s="81">
        <f t="shared" si="12"/>
        <v>12.65956325</v>
      </c>
      <c r="Q187" s="82">
        <v>60940.0</v>
      </c>
      <c r="R187" s="77">
        <v>3178.3333333333335</v>
      </c>
      <c r="S187" s="81">
        <f t="shared" si="13"/>
        <v>19.17357105</v>
      </c>
      <c r="T187" s="77">
        <v>60400.0</v>
      </c>
      <c r="U187" s="77">
        <v>3197.0</v>
      </c>
      <c r="V187" s="81">
        <f t="shared" si="14"/>
        <v>18.89271192</v>
      </c>
      <c r="W187" s="83">
        <f t="shared" si="15"/>
        <v>16.90861541</v>
      </c>
      <c r="X187" s="84">
        <f t="shared" si="16"/>
        <v>53780</v>
      </c>
      <c r="AD187" s="65"/>
      <c r="AG187" s="65"/>
      <c r="AJ187" s="65"/>
      <c r="AK187" s="65"/>
      <c r="AL187" s="68"/>
      <c r="AO187" s="65"/>
      <c r="AR187" s="65"/>
      <c r="AU187" s="65"/>
      <c r="AV187" s="65"/>
      <c r="AW187" s="68"/>
    </row>
    <row r="188" ht="15.75" customHeight="1">
      <c r="A188" s="29">
        <v>40901.0</v>
      </c>
      <c r="B188" s="76" t="s">
        <v>194</v>
      </c>
      <c r="C188" s="77">
        <v>0.0</v>
      </c>
      <c r="D188" s="77">
        <v>8018.0</v>
      </c>
      <c r="E188" s="78">
        <f t="shared" si="7"/>
        <v>0</v>
      </c>
      <c r="F188" s="77">
        <v>30000.0</v>
      </c>
      <c r="G188" s="77">
        <v>8641.833333333334</v>
      </c>
      <c r="H188" s="78">
        <f t="shared" si="8"/>
        <v>3.471485603</v>
      </c>
      <c r="I188" s="77">
        <v>0.0</v>
      </c>
      <c r="J188" s="77">
        <v>9265.666666666666</v>
      </c>
      <c r="K188" s="78">
        <f t="shared" si="9"/>
        <v>0</v>
      </c>
      <c r="L188" s="79">
        <f t="shared" si="10"/>
        <v>1.157161868</v>
      </c>
      <c r="M188" s="80">
        <f t="shared" si="11"/>
        <v>10000</v>
      </c>
      <c r="N188" s="77">
        <v>80000.0</v>
      </c>
      <c r="O188" s="77">
        <v>14256.333333333334</v>
      </c>
      <c r="P188" s="81">
        <f t="shared" si="12"/>
        <v>5.611541069</v>
      </c>
      <c r="Q188" s="82">
        <v>80000.0</v>
      </c>
      <c r="R188" s="77">
        <v>14880.166666666668</v>
      </c>
      <c r="S188" s="81">
        <f t="shared" si="13"/>
        <v>5.376283868</v>
      </c>
      <c r="T188" s="77">
        <v>100000.0</v>
      </c>
      <c r="U188" s="77">
        <v>15504.0</v>
      </c>
      <c r="V188" s="81">
        <f t="shared" si="14"/>
        <v>6.4499484</v>
      </c>
      <c r="W188" s="83">
        <f t="shared" si="15"/>
        <v>5.812591113</v>
      </c>
      <c r="X188" s="84">
        <f t="shared" si="16"/>
        <v>86666.66667</v>
      </c>
      <c r="AD188" s="65"/>
      <c r="AG188" s="65"/>
      <c r="AJ188" s="65"/>
      <c r="AK188" s="65"/>
      <c r="AL188" s="68"/>
      <c r="AO188" s="65"/>
      <c r="AR188" s="65"/>
      <c r="AU188" s="65"/>
      <c r="AV188" s="65"/>
      <c r="AW188" s="68"/>
    </row>
    <row r="189" ht="15.75" customHeight="1">
      <c r="A189" s="29">
        <v>40902.0</v>
      </c>
      <c r="B189" s="76" t="s">
        <v>195</v>
      </c>
      <c r="C189" s="77">
        <v>0.0</v>
      </c>
      <c r="D189" s="76">
        <v>903.0</v>
      </c>
      <c r="E189" s="78">
        <f t="shared" si="7"/>
        <v>0</v>
      </c>
      <c r="F189" s="77">
        <v>0.0</v>
      </c>
      <c r="G189" s="78">
        <v>944.9166666666666</v>
      </c>
      <c r="H189" s="78">
        <f t="shared" si="8"/>
        <v>0</v>
      </c>
      <c r="I189" s="77">
        <v>0.0</v>
      </c>
      <c r="J189" s="78">
        <v>986.8333333333334</v>
      </c>
      <c r="K189" s="78">
        <f t="shared" si="9"/>
        <v>0</v>
      </c>
      <c r="L189" s="79">
        <f t="shared" si="10"/>
        <v>0</v>
      </c>
      <c r="M189" s="80">
        <f t="shared" si="11"/>
        <v>0</v>
      </c>
      <c r="N189" s="77">
        <v>6000.0</v>
      </c>
      <c r="O189" s="76">
        <v>1322.1666666666665</v>
      </c>
      <c r="P189" s="81">
        <f t="shared" si="12"/>
        <v>4.538005799</v>
      </c>
      <c r="Q189" s="82">
        <v>3000.0</v>
      </c>
      <c r="R189" s="76">
        <v>1364.0833333333333</v>
      </c>
      <c r="S189" s="81">
        <f t="shared" si="13"/>
        <v>2.199279125</v>
      </c>
      <c r="T189" s="77">
        <v>20000.0</v>
      </c>
      <c r="U189" s="77">
        <v>1406.0</v>
      </c>
      <c r="V189" s="81">
        <f t="shared" si="14"/>
        <v>14.22475107</v>
      </c>
      <c r="W189" s="83">
        <f t="shared" si="15"/>
        <v>6.98734533</v>
      </c>
      <c r="X189" s="84">
        <f t="shared" si="16"/>
        <v>9666.666667</v>
      </c>
      <c r="AD189" s="65"/>
      <c r="AG189" s="65"/>
      <c r="AJ189" s="65"/>
      <c r="AK189" s="65"/>
      <c r="AL189" s="68"/>
      <c r="AO189" s="65"/>
      <c r="AR189" s="65"/>
      <c r="AU189" s="65"/>
      <c r="AV189" s="65"/>
      <c r="AW189" s="68"/>
    </row>
    <row r="190" ht="15.75" customHeight="1">
      <c r="A190" s="29">
        <v>40903.0</v>
      </c>
      <c r="B190" s="76" t="s">
        <v>196</v>
      </c>
      <c r="C190" s="77">
        <v>0.0</v>
      </c>
      <c r="D190" s="77">
        <v>2003.0</v>
      </c>
      <c r="E190" s="78">
        <f t="shared" si="7"/>
        <v>0</v>
      </c>
      <c r="F190" s="77">
        <v>0.0</v>
      </c>
      <c r="G190" s="77">
        <v>2032.3333333333333</v>
      </c>
      <c r="H190" s="78">
        <f t="shared" si="8"/>
        <v>0</v>
      </c>
      <c r="I190" s="77">
        <v>0.0</v>
      </c>
      <c r="J190" s="77">
        <v>2061.6666666666665</v>
      </c>
      <c r="K190" s="78">
        <f t="shared" si="9"/>
        <v>0</v>
      </c>
      <c r="L190" s="79">
        <f t="shared" si="10"/>
        <v>0</v>
      </c>
      <c r="M190" s="80">
        <f t="shared" si="11"/>
        <v>0</v>
      </c>
      <c r="N190" s="77">
        <v>0.0</v>
      </c>
      <c r="O190" s="77">
        <v>2296.3333333333335</v>
      </c>
      <c r="P190" s="81">
        <f t="shared" si="12"/>
        <v>0</v>
      </c>
      <c r="Q190" s="82">
        <v>6000.0</v>
      </c>
      <c r="R190" s="77">
        <v>2325.6666666666665</v>
      </c>
      <c r="S190" s="81">
        <f t="shared" si="13"/>
        <v>2.579905403</v>
      </c>
      <c r="T190" s="77">
        <v>6000.0</v>
      </c>
      <c r="U190" s="77">
        <v>2355.0</v>
      </c>
      <c r="V190" s="81">
        <f t="shared" si="14"/>
        <v>2.547770701</v>
      </c>
      <c r="W190" s="83">
        <f t="shared" si="15"/>
        <v>1.709225368</v>
      </c>
      <c r="X190" s="84">
        <f t="shared" si="16"/>
        <v>4000</v>
      </c>
      <c r="AD190" s="65"/>
      <c r="AG190" s="65"/>
      <c r="AJ190" s="65"/>
      <c r="AK190" s="65"/>
      <c r="AL190" s="68"/>
      <c r="AO190" s="65"/>
      <c r="AR190" s="65"/>
      <c r="AU190" s="65"/>
      <c r="AV190" s="65"/>
      <c r="AW190" s="68"/>
    </row>
    <row r="191" ht="15.75" customHeight="1">
      <c r="A191" s="29">
        <v>41001.0</v>
      </c>
      <c r="B191" s="76" t="s">
        <v>197</v>
      </c>
      <c r="C191" s="77">
        <v>15000.0</v>
      </c>
      <c r="D191" s="77">
        <v>10149.0</v>
      </c>
      <c r="E191" s="78">
        <f t="shared" si="7"/>
        <v>1.477978126</v>
      </c>
      <c r="F191" s="77">
        <v>15000.0</v>
      </c>
      <c r="G191" s="77">
        <v>10320.083333333334</v>
      </c>
      <c r="H191" s="78">
        <f t="shared" si="8"/>
        <v>1.453476635</v>
      </c>
      <c r="I191" s="77">
        <v>0.0</v>
      </c>
      <c r="J191" s="77">
        <v>10491.166666666666</v>
      </c>
      <c r="K191" s="78">
        <f t="shared" si="9"/>
        <v>0</v>
      </c>
      <c r="L191" s="79">
        <f t="shared" si="10"/>
        <v>0.9771515871</v>
      </c>
      <c r="M191" s="80">
        <f t="shared" si="11"/>
        <v>10000</v>
      </c>
      <c r="N191" s="77">
        <v>50000.0</v>
      </c>
      <c r="O191" s="77">
        <v>11859.833333333334</v>
      </c>
      <c r="P191" s="81">
        <f t="shared" si="12"/>
        <v>4.215910848</v>
      </c>
      <c r="Q191" s="82">
        <v>50000.0</v>
      </c>
      <c r="R191" s="77">
        <v>12030.916666666666</v>
      </c>
      <c r="S191" s="81">
        <f t="shared" si="13"/>
        <v>4.155959299</v>
      </c>
      <c r="T191" s="77">
        <v>50000.0</v>
      </c>
      <c r="U191" s="77">
        <v>12202.0</v>
      </c>
      <c r="V191" s="81">
        <f t="shared" si="14"/>
        <v>4.097688903</v>
      </c>
      <c r="W191" s="83">
        <f t="shared" si="15"/>
        <v>4.156519683</v>
      </c>
      <c r="X191" s="84">
        <f t="shared" si="16"/>
        <v>50000</v>
      </c>
      <c r="AD191" s="65"/>
      <c r="AG191" s="65"/>
      <c r="AJ191" s="65"/>
      <c r="AK191" s="65"/>
      <c r="AL191" s="68"/>
      <c r="AO191" s="65"/>
      <c r="AR191" s="65"/>
      <c r="AU191" s="65"/>
      <c r="AV191" s="65"/>
      <c r="AW191" s="68"/>
    </row>
    <row r="192" ht="15.75" customHeight="1">
      <c r="A192" s="29">
        <v>41101.0</v>
      </c>
      <c r="B192" s="76" t="s">
        <v>198</v>
      </c>
      <c r="C192" s="77">
        <v>0.0</v>
      </c>
      <c r="D192" s="77">
        <v>5267.0</v>
      </c>
      <c r="E192" s="78">
        <f t="shared" si="7"/>
        <v>0</v>
      </c>
      <c r="F192" s="77">
        <v>30000.0</v>
      </c>
      <c r="G192" s="77">
        <v>5272.666666666667</v>
      </c>
      <c r="H192" s="78">
        <f t="shared" si="8"/>
        <v>5.689720572</v>
      </c>
      <c r="I192" s="77">
        <v>0.0</v>
      </c>
      <c r="J192" s="77">
        <v>5278.333333333333</v>
      </c>
      <c r="K192" s="78">
        <f t="shared" si="9"/>
        <v>0</v>
      </c>
      <c r="L192" s="79">
        <f t="shared" si="10"/>
        <v>1.896573524</v>
      </c>
      <c r="M192" s="80">
        <f t="shared" si="11"/>
        <v>10000</v>
      </c>
      <c r="N192" s="77">
        <v>94500.0</v>
      </c>
      <c r="O192" s="77">
        <v>5323.666666666667</v>
      </c>
      <c r="P192" s="81">
        <f t="shared" si="12"/>
        <v>17.75092355</v>
      </c>
      <c r="Q192" s="82">
        <v>105000.0</v>
      </c>
      <c r="R192" s="77">
        <v>5329.333333333333</v>
      </c>
      <c r="S192" s="81">
        <f t="shared" si="13"/>
        <v>19.70227671</v>
      </c>
      <c r="T192" s="77">
        <v>120000.0</v>
      </c>
      <c r="U192" s="77">
        <v>5335.0</v>
      </c>
      <c r="V192" s="81">
        <f t="shared" si="14"/>
        <v>22.49297095</v>
      </c>
      <c r="W192" s="83">
        <f t="shared" si="15"/>
        <v>19.98205707</v>
      </c>
      <c r="X192" s="84">
        <f t="shared" si="16"/>
        <v>106500</v>
      </c>
      <c r="AD192" s="65"/>
      <c r="AG192" s="65"/>
      <c r="AJ192" s="65"/>
      <c r="AK192" s="65"/>
      <c r="AL192" s="68"/>
      <c r="AO192" s="65"/>
      <c r="AR192" s="65"/>
      <c r="AU192" s="65"/>
      <c r="AV192" s="65"/>
      <c r="AW192" s="68"/>
    </row>
    <row r="193" ht="15.75" customHeight="1">
      <c r="A193" s="29">
        <v>41201.0</v>
      </c>
      <c r="B193" s="76" t="s">
        <v>199</v>
      </c>
      <c r="C193" s="77">
        <v>0.0</v>
      </c>
      <c r="D193" s="77">
        <v>5216.0</v>
      </c>
      <c r="E193" s="78">
        <f t="shared" si="7"/>
        <v>0</v>
      </c>
      <c r="F193" s="77">
        <v>0.0</v>
      </c>
      <c r="G193" s="77">
        <v>5307.25</v>
      </c>
      <c r="H193" s="78">
        <f t="shared" si="8"/>
        <v>0</v>
      </c>
      <c r="I193" s="77">
        <v>0.0</v>
      </c>
      <c r="J193" s="77">
        <v>5398.5</v>
      </c>
      <c r="K193" s="78">
        <f t="shared" si="9"/>
        <v>0</v>
      </c>
      <c r="L193" s="79">
        <f t="shared" si="10"/>
        <v>0</v>
      </c>
      <c r="M193" s="80">
        <f t="shared" si="11"/>
        <v>0</v>
      </c>
      <c r="N193" s="77">
        <v>100000.0</v>
      </c>
      <c r="O193" s="77">
        <v>6128.5</v>
      </c>
      <c r="P193" s="81">
        <f t="shared" si="12"/>
        <v>16.31720649</v>
      </c>
      <c r="Q193" s="82">
        <v>100000.0</v>
      </c>
      <c r="R193" s="77">
        <v>6219.75</v>
      </c>
      <c r="S193" s="81">
        <f t="shared" si="13"/>
        <v>16.07781663</v>
      </c>
      <c r="T193" s="77">
        <v>98000.0</v>
      </c>
      <c r="U193" s="77">
        <v>6311.0</v>
      </c>
      <c r="V193" s="81">
        <f t="shared" si="14"/>
        <v>15.5284424</v>
      </c>
      <c r="W193" s="83">
        <f t="shared" si="15"/>
        <v>15.97448851</v>
      </c>
      <c r="X193" s="84">
        <f t="shared" si="16"/>
        <v>99333.33333</v>
      </c>
      <c r="AD193" s="65"/>
      <c r="AG193" s="65"/>
      <c r="AJ193" s="65"/>
      <c r="AK193" s="65"/>
      <c r="AL193" s="68"/>
      <c r="AO193" s="65"/>
      <c r="AR193" s="65"/>
      <c r="AU193" s="65"/>
      <c r="AV193" s="65"/>
      <c r="AW193" s="68"/>
    </row>
    <row r="194" ht="15.75" customHeight="1">
      <c r="A194" s="29">
        <v>41202.0</v>
      </c>
      <c r="B194" s="76" t="s">
        <v>200</v>
      </c>
      <c r="C194" s="77">
        <v>20000.0</v>
      </c>
      <c r="D194" s="77">
        <v>2016.0</v>
      </c>
      <c r="E194" s="78">
        <f t="shared" si="7"/>
        <v>9.920634921</v>
      </c>
      <c r="F194" s="77">
        <v>0.0</v>
      </c>
      <c r="G194" s="77">
        <v>2103.0833333333335</v>
      </c>
      <c r="H194" s="78">
        <f t="shared" si="8"/>
        <v>0</v>
      </c>
      <c r="I194" s="77">
        <v>0.0</v>
      </c>
      <c r="J194" s="77">
        <v>2190.1666666666665</v>
      </c>
      <c r="K194" s="78">
        <f t="shared" si="9"/>
        <v>0</v>
      </c>
      <c r="L194" s="79">
        <f t="shared" si="10"/>
        <v>3.306878307</v>
      </c>
      <c r="M194" s="80">
        <f t="shared" si="11"/>
        <v>6666.666667</v>
      </c>
      <c r="N194" s="77">
        <v>0.0</v>
      </c>
      <c r="O194" s="77">
        <v>2886.833333333333</v>
      </c>
      <c r="P194" s="81">
        <f t="shared" si="12"/>
        <v>0</v>
      </c>
      <c r="Q194" s="82">
        <v>0.0</v>
      </c>
      <c r="R194" s="77">
        <v>2973.9166666666665</v>
      </c>
      <c r="S194" s="81">
        <f t="shared" si="13"/>
        <v>0</v>
      </c>
      <c r="T194" s="77">
        <v>0.0</v>
      </c>
      <c r="U194" s="77">
        <v>3061.0</v>
      </c>
      <c r="V194" s="81">
        <f t="shared" si="14"/>
        <v>0</v>
      </c>
      <c r="W194" s="83">
        <f t="shared" si="15"/>
        <v>0</v>
      </c>
      <c r="X194" s="84">
        <f t="shared" si="16"/>
        <v>0</v>
      </c>
      <c r="AD194" s="65"/>
      <c r="AG194" s="65"/>
      <c r="AJ194" s="65"/>
      <c r="AK194" s="65"/>
      <c r="AL194" s="68"/>
      <c r="AO194" s="65"/>
      <c r="AR194" s="65"/>
      <c r="AU194" s="65"/>
      <c r="AV194" s="65"/>
      <c r="AW194" s="68"/>
    </row>
    <row r="195" ht="15.75" customHeight="1">
      <c r="A195" s="29">
        <v>41301.0</v>
      </c>
      <c r="B195" s="76" t="s">
        <v>154</v>
      </c>
      <c r="C195" s="77">
        <v>0.0</v>
      </c>
      <c r="D195" s="77">
        <v>5531.0</v>
      </c>
      <c r="E195" s="78">
        <f t="shared" si="7"/>
        <v>0</v>
      </c>
      <c r="F195" s="77">
        <v>0.0</v>
      </c>
      <c r="G195" s="77">
        <v>5623.166666666667</v>
      </c>
      <c r="H195" s="78">
        <f t="shared" si="8"/>
        <v>0</v>
      </c>
      <c r="I195" s="77">
        <v>0.0</v>
      </c>
      <c r="J195" s="77">
        <v>5715.333333333333</v>
      </c>
      <c r="K195" s="78">
        <f t="shared" si="9"/>
        <v>0</v>
      </c>
      <c r="L195" s="79">
        <f t="shared" si="10"/>
        <v>0</v>
      </c>
      <c r="M195" s="80">
        <f t="shared" si="11"/>
        <v>0</v>
      </c>
      <c r="N195" s="77">
        <v>0.0</v>
      </c>
      <c r="O195" s="77">
        <v>6452.666666666667</v>
      </c>
      <c r="P195" s="81">
        <f t="shared" si="12"/>
        <v>0</v>
      </c>
      <c r="Q195" s="82">
        <v>0.0</v>
      </c>
      <c r="R195" s="77">
        <v>6544.833333333333</v>
      </c>
      <c r="S195" s="81">
        <f t="shared" si="13"/>
        <v>0</v>
      </c>
      <c r="T195" s="77">
        <v>5000.0</v>
      </c>
      <c r="U195" s="77">
        <v>6637.0</v>
      </c>
      <c r="V195" s="81">
        <f t="shared" si="14"/>
        <v>0.7533524183</v>
      </c>
      <c r="W195" s="83">
        <f t="shared" si="15"/>
        <v>0.2511174728</v>
      </c>
      <c r="X195" s="84">
        <f t="shared" si="16"/>
        <v>1666.666667</v>
      </c>
      <c r="AD195" s="65"/>
      <c r="AG195" s="65"/>
      <c r="AJ195" s="65"/>
      <c r="AK195" s="65"/>
      <c r="AL195" s="68"/>
      <c r="AO195" s="65"/>
      <c r="AR195" s="65"/>
      <c r="AU195" s="65"/>
      <c r="AV195" s="65"/>
      <c r="AW195" s="68"/>
    </row>
    <row r="196" ht="15.75" customHeight="1">
      <c r="A196" s="29">
        <v>41401.0</v>
      </c>
      <c r="B196" s="76" t="s">
        <v>201</v>
      </c>
      <c r="C196" s="77">
        <v>50000.0</v>
      </c>
      <c r="D196" s="77">
        <v>13283.0</v>
      </c>
      <c r="E196" s="78">
        <f t="shared" si="7"/>
        <v>3.764209892</v>
      </c>
      <c r="F196" s="77">
        <v>50000.0</v>
      </c>
      <c r="G196" s="77">
        <v>13301.25</v>
      </c>
      <c r="H196" s="78">
        <f t="shared" si="8"/>
        <v>3.759045203</v>
      </c>
      <c r="I196" s="77">
        <v>0.0</v>
      </c>
      <c r="J196" s="77">
        <v>13319.5</v>
      </c>
      <c r="K196" s="78">
        <f t="shared" si="9"/>
        <v>0</v>
      </c>
      <c r="L196" s="79">
        <f t="shared" si="10"/>
        <v>2.507751698</v>
      </c>
      <c r="M196" s="80">
        <f t="shared" si="11"/>
        <v>33333.33333</v>
      </c>
      <c r="N196" s="77">
        <v>200000.0</v>
      </c>
      <c r="O196" s="77">
        <v>13465.5</v>
      </c>
      <c r="P196" s="81">
        <f t="shared" si="12"/>
        <v>14.8527719</v>
      </c>
      <c r="Q196" s="82">
        <v>215000.0</v>
      </c>
      <c r="R196" s="77">
        <v>13483.75</v>
      </c>
      <c r="S196" s="81">
        <f t="shared" si="13"/>
        <v>15.94511912</v>
      </c>
      <c r="T196" s="77">
        <v>205000.0</v>
      </c>
      <c r="U196" s="77">
        <v>13502.0</v>
      </c>
      <c r="V196" s="81">
        <f t="shared" si="14"/>
        <v>15.18293586</v>
      </c>
      <c r="W196" s="83">
        <f t="shared" si="15"/>
        <v>15.32694229</v>
      </c>
      <c r="X196" s="84">
        <f t="shared" si="16"/>
        <v>206666.6667</v>
      </c>
      <c r="AD196" s="65"/>
      <c r="AG196" s="65"/>
      <c r="AJ196" s="65"/>
      <c r="AK196" s="65"/>
      <c r="AL196" s="68"/>
      <c r="AO196" s="65"/>
      <c r="AR196" s="65"/>
      <c r="AU196" s="65"/>
      <c r="AV196" s="65"/>
      <c r="AW196" s="68"/>
    </row>
    <row r="197" ht="15.75" customHeight="1">
      <c r="A197" s="29">
        <v>41501.0</v>
      </c>
      <c r="B197" s="76" t="s">
        <v>202</v>
      </c>
      <c r="C197" s="77">
        <v>0.0</v>
      </c>
      <c r="D197" s="76">
        <v>509.0</v>
      </c>
      <c r="E197" s="78">
        <f t="shared" si="7"/>
        <v>0</v>
      </c>
      <c r="F197" s="77">
        <v>0.0</v>
      </c>
      <c r="G197" s="78">
        <v>571.75</v>
      </c>
      <c r="H197" s="78">
        <f t="shared" si="8"/>
        <v>0</v>
      </c>
      <c r="I197" s="77">
        <v>0.0</v>
      </c>
      <c r="J197" s="78">
        <v>634.5</v>
      </c>
      <c r="K197" s="78">
        <f t="shared" si="9"/>
        <v>0</v>
      </c>
      <c r="L197" s="79">
        <f t="shared" si="10"/>
        <v>0</v>
      </c>
      <c r="M197" s="80">
        <f t="shared" si="11"/>
        <v>0</v>
      </c>
      <c r="N197" s="77">
        <v>0.0</v>
      </c>
      <c r="O197" s="76">
        <v>1136.5</v>
      </c>
      <c r="P197" s="81">
        <f t="shared" si="12"/>
        <v>0</v>
      </c>
      <c r="Q197" s="82">
        <v>0.0</v>
      </c>
      <c r="R197" s="76">
        <v>1199.25</v>
      </c>
      <c r="S197" s="81">
        <f t="shared" si="13"/>
        <v>0</v>
      </c>
      <c r="T197" s="77">
        <v>0.0</v>
      </c>
      <c r="U197" s="77">
        <v>1262.0</v>
      </c>
      <c r="V197" s="81">
        <f t="shared" si="14"/>
        <v>0</v>
      </c>
      <c r="W197" s="83">
        <f t="shared" si="15"/>
        <v>0</v>
      </c>
      <c r="X197" s="84">
        <f t="shared" si="16"/>
        <v>0</v>
      </c>
      <c r="AD197" s="65"/>
      <c r="AG197" s="65"/>
      <c r="AJ197" s="65"/>
      <c r="AK197" s="65"/>
      <c r="AL197" s="68"/>
      <c r="AO197" s="65"/>
      <c r="AR197" s="65"/>
      <c r="AU197" s="65"/>
      <c r="AV197" s="65"/>
      <c r="AW197" s="68"/>
    </row>
    <row r="198" ht="15.75" customHeight="1">
      <c r="A198" s="29">
        <v>41502.0</v>
      </c>
      <c r="B198" s="76" t="s">
        <v>203</v>
      </c>
      <c r="C198" s="77">
        <v>0.0</v>
      </c>
      <c r="D198" s="76">
        <v>727.0</v>
      </c>
      <c r="E198" s="78">
        <f t="shared" si="7"/>
        <v>0</v>
      </c>
      <c r="F198" s="77">
        <v>0.0</v>
      </c>
      <c r="G198" s="78">
        <v>761.4166666666666</v>
      </c>
      <c r="H198" s="78">
        <f t="shared" si="8"/>
        <v>0</v>
      </c>
      <c r="I198" s="77">
        <v>0.0</v>
      </c>
      <c r="J198" s="78">
        <v>795.8333333333334</v>
      </c>
      <c r="K198" s="78">
        <f t="shared" si="9"/>
        <v>0</v>
      </c>
      <c r="L198" s="79">
        <f t="shared" si="10"/>
        <v>0</v>
      </c>
      <c r="M198" s="80">
        <f t="shared" si="11"/>
        <v>0</v>
      </c>
      <c r="N198" s="77">
        <v>0.0</v>
      </c>
      <c r="O198" s="76">
        <v>1071.1666666666665</v>
      </c>
      <c r="P198" s="81">
        <f t="shared" si="12"/>
        <v>0</v>
      </c>
      <c r="Q198" s="82">
        <v>15000.0</v>
      </c>
      <c r="R198" s="76">
        <v>1105.5833333333333</v>
      </c>
      <c r="S198" s="81">
        <f t="shared" si="13"/>
        <v>13.5674983</v>
      </c>
      <c r="T198" s="77">
        <v>5000.0</v>
      </c>
      <c r="U198" s="77">
        <v>1140.0</v>
      </c>
      <c r="V198" s="81">
        <f t="shared" si="14"/>
        <v>4.385964912</v>
      </c>
      <c r="W198" s="83">
        <f t="shared" si="15"/>
        <v>5.984487739</v>
      </c>
      <c r="X198" s="84">
        <f t="shared" si="16"/>
        <v>6666.666667</v>
      </c>
      <c r="AD198" s="65"/>
      <c r="AG198" s="65"/>
      <c r="AJ198" s="65"/>
      <c r="AK198" s="65"/>
      <c r="AL198" s="68"/>
      <c r="AO198" s="65"/>
      <c r="AR198" s="65"/>
      <c r="AU198" s="65"/>
      <c r="AV198" s="65"/>
      <c r="AW198" s="68"/>
    </row>
    <row r="199" ht="15.75" customHeight="1">
      <c r="A199" s="29">
        <v>41503.0</v>
      </c>
      <c r="B199" s="76" t="s">
        <v>204</v>
      </c>
      <c r="C199" s="77">
        <v>0.0</v>
      </c>
      <c r="D199" s="76">
        <v>840.0</v>
      </c>
      <c r="E199" s="78">
        <f t="shared" si="7"/>
        <v>0</v>
      </c>
      <c r="F199" s="77">
        <v>0.0</v>
      </c>
      <c r="G199" s="78">
        <v>864.0833333333334</v>
      </c>
      <c r="H199" s="78">
        <f t="shared" si="8"/>
        <v>0</v>
      </c>
      <c r="I199" s="77">
        <v>0.0</v>
      </c>
      <c r="J199" s="78">
        <v>888.1666666666666</v>
      </c>
      <c r="K199" s="78">
        <f t="shared" si="9"/>
        <v>0</v>
      </c>
      <c r="L199" s="79">
        <f t="shared" si="10"/>
        <v>0</v>
      </c>
      <c r="M199" s="80">
        <f t="shared" si="11"/>
        <v>0</v>
      </c>
      <c r="N199" s="77">
        <v>2000.0</v>
      </c>
      <c r="O199" s="76">
        <v>1080.8333333333333</v>
      </c>
      <c r="P199" s="81">
        <f t="shared" si="12"/>
        <v>1.850424056</v>
      </c>
      <c r="Q199" s="82">
        <v>5000.0</v>
      </c>
      <c r="R199" s="76">
        <v>1104.9166666666665</v>
      </c>
      <c r="S199" s="81">
        <f t="shared" si="13"/>
        <v>4.525228147</v>
      </c>
      <c r="T199" s="77">
        <v>10000.0</v>
      </c>
      <c r="U199" s="77">
        <v>1129.0</v>
      </c>
      <c r="V199" s="81">
        <f t="shared" si="14"/>
        <v>8.857395926</v>
      </c>
      <c r="W199" s="83">
        <f t="shared" si="15"/>
        <v>5.077682709</v>
      </c>
      <c r="X199" s="84">
        <f t="shared" si="16"/>
        <v>5666.666667</v>
      </c>
      <c r="AD199" s="65"/>
      <c r="AG199" s="65"/>
      <c r="AJ199" s="65"/>
      <c r="AK199" s="65"/>
      <c r="AL199" s="68"/>
      <c r="AO199" s="65"/>
      <c r="AR199" s="65"/>
      <c r="AU199" s="65"/>
      <c r="AV199" s="65"/>
      <c r="AW199" s="68"/>
    </row>
    <row r="200" ht="15.75" customHeight="1">
      <c r="A200" s="29">
        <v>41601.0</v>
      </c>
      <c r="B200" s="76" t="s">
        <v>205</v>
      </c>
      <c r="C200" s="77">
        <v>0.0</v>
      </c>
      <c r="D200" s="77">
        <v>5502.0</v>
      </c>
      <c r="E200" s="78">
        <f t="shared" si="7"/>
        <v>0</v>
      </c>
      <c r="F200" s="77">
        <v>0.0</v>
      </c>
      <c r="G200" s="77">
        <v>5543.166666666667</v>
      </c>
      <c r="H200" s="78">
        <f t="shared" si="8"/>
        <v>0</v>
      </c>
      <c r="I200" s="77">
        <v>0.0</v>
      </c>
      <c r="J200" s="77">
        <v>5584.333333333333</v>
      </c>
      <c r="K200" s="78">
        <f t="shared" si="9"/>
        <v>0</v>
      </c>
      <c r="L200" s="79">
        <f t="shared" si="10"/>
        <v>0</v>
      </c>
      <c r="M200" s="80">
        <f t="shared" si="11"/>
        <v>0</v>
      </c>
      <c r="N200" s="77">
        <v>15000.0</v>
      </c>
      <c r="O200" s="77">
        <v>5913.666666666667</v>
      </c>
      <c r="P200" s="81">
        <f t="shared" si="12"/>
        <v>2.536497379</v>
      </c>
      <c r="Q200" s="82">
        <v>15000.0</v>
      </c>
      <c r="R200" s="77">
        <v>5954.833333333333</v>
      </c>
      <c r="S200" s="81">
        <f t="shared" si="13"/>
        <v>2.518962188</v>
      </c>
      <c r="T200" s="77">
        <v>10000.0</v>
      </c>
      <c r="U200" s="77">
        <v>5996.0</v>
      </c>
      <c r="V200" s="81">
        <f t="shared" si="14"/>
        <v>1.667778519</v>
      </c>
      <c r="W200" s="83">
        <f t="shared" si="15"/>
        <v>2.241079362</v>
      </c>
      <c r="X200" s="84">
        <f t="shared" si="16"/>
        <v>13333.33333</v>
      </c>
      <c r="AD200" s="65"/>
      <c r="AG200" s="65"/>
      <c r="AJ200" s="65"/>
      <c r="AK200" s="65"/>
      <c r="AL200" s="68"/>
      <c r="AO200" s="65"/>
      <c r="AR200" s="65"/>
      <c r="AU200" s="65"/>
      <c r="AV200" s="65"/>
      <c r="AW200" s="68"/>
    </row>
    <row r="201" ht="15.75" customHeight="1">
      <c r="A201" s="29">
        <v>50101.0</v>
      </c>
      <c r="B201" s="76" t="s">
        <v>206</v>
      </c>
      <c r="C201" s="77">
        <v>0.0</v>
      </c>
      <c r="D201" s="77">
        <v>191302.0</v>
      </c>
      <c r="E201" s="78">
        <f t="shared" si="7"/>
        <v>0</v>
      </c>
      <c r="F201" s="77">
        <v>0.0</v>
      </c>
      <c r="G201" s="77">
        <v>193585.33333333334</v>
      </c>
      <c r="H201" s="78">
        <f t="shared" si="8"/>
        <v>0</v>
      </c>
      <c r="I201" s="77">
        <v>0.0</v>
      </c>
      <c r="J201" s="77">
        <v>195868.66666666666</v>
      </c>
      <c r="K201" s="78">
        <f t="shared" si="9"/>
        <v>0</v>
      </c>
      <c r="L201" s="79">
        <f t="shared" si="10"/>
        <v>0</v>
      </c>
      <c r="M201" s="80">
        <f t="shared" si="11"/>
        <v>0</v>
      </c>
      <c r="N201" s="77">
        <v>6406536.0</v>
      </c>
      <c r="O201" s="77">
        <v>214135.33333333334</v>
      </c>
      <c r="P201" s="81">
        <f t="shared" si="12"/>
        <v>29.9181639</v>
      </c>
      <c r="Q201" s="82">
        <v>6320000.0</v>
      </c>
      <c r="R201" s="77">
        <v>216418.66666666666</v>
      </c>
      <c r="S201" s="81">
        <f t="shared" si="13"/>
        <v>29.20265658</v>
      </c>
      <c r="T201" s="77">
        <v>6636000.0</v>
      </c>
      <c r="U201" s="77">
        <v>218702.0</v>
      </c>
      <c r="V201" s="81">
        <f t="shared" si="14"/>
        <v>30.34265805</v>
      </c>
      <c r="W201" s="83">
        <f t="shared" si="15"/>
        <v>29.82115951</v>
      </c>
      <c r="X201" s="84">
        <f t="shared" si="16"/>
        <v>6454178.667</v>
      </c>
      <c r="AD201" s="65"/>
      <c r="AG201" s="65"/>
      <c r="AJ201" s="65"/>
      <c r="AK201" s="65"/>
      <c r="AL201" s="68"/>
      <c r="AO201" s="65"/>
      <c r="AR201" s="65"/>
      <c r="AU201" s="65"/>
      <c r="AV201" s="65"/>
      <c r="AW201" s="68"/>
    </row>
    <row r="202" ht="15.75" customHeight="1">
      <c r="A202" s="29">
        <v>50102.0</v>
      </c>
      <c r="B202" s="76" t="s">
        <v>207</v>
      </c>
      <c r="C202" s="77">
        <v>40000.0</v>
      </c>
      <c r="D202" s="77">
        <v>27200.0</v>
      </c>
      <c r="E202" s="78">
        <f t="shared" si="7"/>
        <v>1.470588235</v>
      </c>
      <c r="F202" s="77">
        <v>90000.0</v>
      </c>
      <c r="G202" s="77">
        <v>27345.166666666668</v>
      </c>
      <c r="H202" s="78">
        <f t="shared" si="8"/>
        <v>3.291258053</v>
      </c>
      <c r="I202" s="77">
        <v>0.0</v>
      </c>
      <c r="J202" s="77">
        <v>27490.333333333332</v>
      </c>
      <c r="K202" s="78">
        <f t="shared" si="9"/>
        <v>0</v>
      </c>
      <c r="L202" s="79">
        <f t="shared" si="10"/>
        <v>1.587282096</v>
      </c>
      <c r="M202" s="80">
        <f t="shared" si="11"/>
        <v>43333.33333</v>
      </c>
      <c r="N202" s="77">
        <v>18000.0</v>
      </c>
      <c r="O202" s="77">
        <v>28651.666666666668</v>
      </c>
      <c r="P202" s="81">
        <f t="shared" si="12"/>
        <v>0.6282357047</v>
      </c>
      <c r="Q202" s="82">
        <v>18000.0</v>
      </c>
      <c r="R202" s="77">
        <v>28796.833333333332</v>
      </c>
      <c r="S202" s="81">
        <f t="shared" si="13"/>
        <v>0.6250687286</v>
      </c>
      <c r="T202" s="77">
        <v>18000.0</v>
      </c>
      <c r="U202" s="77">
        <v>28942.0</v>
      </c>
      <c r="V202" s="81">
        <f t="shared" si="14"/>
        <v>0.6219335222</v>
      </c>
      <c r="W202" s="83">
        <f t="shared" si="15"/>
        <v>0.6250793185</v>
      </c>
      <c r="X202" s="84">
        <f t="shared" si="16"/>
        <v>18000</v>
      </c>
      <c r="AD202" s="65"/>
      <c r="AG202" s="65"/>
      <c r="AJ202" s="65"/>
      <c r="AK202" s="65"/>
      <c r="AL202" s="68"/>
      <c r="AO202" s="65"/>
      <c r="AR202" s="65"/>
      <c r="AU202" s="65"/>
      <c r="AV202" s="65"/>
      <c r="AW202" s="68"/>
    </row>
    <row r="203" ht="15.75" customHeight="1">
      <c r="A203" s="29">
        <v>50103.0</v>
      </c>
      <c r="B203" s="76" t="s">
        <v>208</v>
      </c>
      <c r="C203" s="77">
        <v>0.0</v>
      </c>
      <c r="D203" s="77">
        <v>8979.0</v>
      </c>
      <c r="E203" s="78">
        <f t="shared" si="7"/>
        <v>0</v>
      </c>
      <c r="F203" s="77">
        <v>30000.0</v>
      </c>
      <c r="G203" s="77">
        <v>9251.833333333334</v>
      </c>
      <c r="H203" s="78">
        <f t="shared" si="8"/>
        <v>3.242600566</v>
      </c>
      <c r="I203" s="77">
        <v>0.0</v>
      </c>
      <c r="J203" s="77">
        <v>9524.666666666666</v>
      </c>
      <c r="K203" s="78">
        <f t="shared" si="9"/>
        <v>0</v>
      </c>
      <c r="L203" s="79">
        <f t="shared" si="10"/>
        <v>1.080866855</v>
      </c>
      <c r="M203" s="80">
        <f t="shared" si="11"/>
        <v>10000</v>
      </c>
      <c r="N203" s="77">
        <v>0.0</v>
      </c>
      <c r="O203" s="77">
        <v>11707.333333333332</v>
      </c>
      <c r="P203" s="81">
        <f t="shared" si="12"/>
        <v>0</v>
      </c>
      <c r="Q203" s="82">
        <v>0.0</v>
      </c>
      <c r="R203" s="77">
        <v>11980.166666666666</v>
      </c>
      <c r="S203" s="81">
        <f t="shared" si="13"/>
        <v>0</v>
      </c>
      <c r="T203" s="77">
        <v>20000.0</v>
      </c>
      <c r="U203" s="77">
        <v>12253.0</v>
      </c>
      <c r="V203" s="81">
        <f t="shared" si="14"/>
        <v>1.632253326</v>
      </c>
      <c r="W203" s="83">
        <f t="shared" si="15"/>
        <v>0.5440844419</v>
      </c>
      <c r="X203" s="84">
        <f t="shared" si="16"/>
        <v>6666.666667</v>
      </c>
      <c r="AD203" s="65"/>
      <c r="AG203" s="65"/>
      <c r="AJ203" s="65"/>
      <c r="AK203" s="65"/>
      <c r="AL203" s="68"/>
      <c r="AO203" s="65"/>
      <c r="AR203" s="65"/>
      <c r="AU203" s="65"/>
      <c r="AV203" s="65"/>
      <c r="AW203" s="68"/>
    </row>
    <row r="204" ht="15.75" customHeight="1">
      <c r="A204" s="29">
        <v>50104.0</v>
      </c>
      <c r="B204" s="76" t="s">
        <v>209</v>
      </c>
      <c r="C204" s="77">
        <v>0.0</v>
      </c>
      <c r="D204" s="77">
        <v>2759.0</v>
      </c>
      <c r="E204" s="78">
        <f t="shared" si="7"/>
        <v>0</v>
      </c>
      <c r="F204" s="77">
        <v>0.0</v>
      </c>
      <c r="G204" s="77">
        <v>2789.1666666666665</v>
      </c>
      <c r="H204" s="78">
        <f t="shared" si="8"/>
        <v>0</v>
      </c>
      <c r="I204" s="77">
        <v>0.0</v>
      </c>
      <c r="J204" s="77">
        <v>2819.3333333333335</v>
      </c>
      <c r="K204" s="78">
        <f t="shared" si="9"/>
        <v>0</v>
      </c>
      <c r="L204" s="79">
        <f t="shared" si="10"/>
        <v>0</v>
      </c>
      <c r="M204" s="80">
        <f t="shared" si="11"/>
        <v>0</v>
      </c>
      <c r="N204" s="77">
        <v>3500.0</v>
      </c>
      <c r="O204" s="77">
        <v>3060.6666666666665</v>
      </c>
      <c r="P204" s="81">
        <f t="shared" si="12"/>
        <v>1.143541712</v>
      </c>
      <c r="Q204" s="82">
        <v>3500.0</v>
      </c>
      <c r="R204" s="77">
        <v>3090.8333333333335</v>
      </c>
      <c r="S204" s="81">
        <f t="shared" si="13"/>
        <v>1.132380696</v>
      </c>
      <c r="T204" s="77">
        <v>3500.0</v>
      </c>
      <c r="U204" s="77">
        <v>3121.0</v>
      </c>
      <c r="V204" s="81">
        <f t="shared" si="14"/>
        <v>1.121435437</v>
      </c>
      <c r="W204" s="83">
        <f t="shared" si="15"/>
        <v>1.132452615</v>
      </c>
      <c r="X204" s="84">
        <f t="shared" si="16"/>
        <v>3500</v>
      </c>
      <c r="AD204" s="65"/>
      <c r="AG204" s="65"/>
      <c r="AJ204" s="65"/>
      <c r="AK204" s="65"/>
      <c r="AL204" s="68"/>
      <c r="AO204" s="65"/>
      <c r="AR204" s="65"/>
      <c r="AU204" s="65"/>
      <c r="AV204" s="65"/>
      <c r="AW204" s="68"/>
    </row>
    <row r="205" ht="15.75" customHeight="1">
      <c r="A205" s="29">
        <v>50201.0</v>
      </c>
      <c r="B205" s="76" t="s">
        <v>210</v>
      </c>
      <c r="C205" s="77">
        <v>16776.0</v>
      </c>
      <c r="D205" s="77">
        <v>22020.0</v>
      </c>
      <c r="E205" s="78">
        <f t="shared" si="7"/>
        <v>0.761852861</v>
      </c>
      <c r="F205" s="77">
        <v>0.0</v>
      </c>
      <c r="G205" s="77">
        <v>22082.333333333332</v>
      </c>
      <c r="H205" s="78">
        <f t="shared" si="8"/>
        <v>0</v>
      </c>
      <c r="I205" s="77">
        <v>0.0</v>
      </c>
      <c r="J205" s="77">
        <v>22144.666666666668</v>
      </c>
      <c r="K205" s="78">
        <f t="shared" si="9"/>
        <v>0</v>
      </c>
      <c r="L205" s="79">
        <f t="shared" si="10"/>
        <v>0.2539509537</v>
      </c>
      <c r="M205" s="80">
        <f t="shared" si="11"/>
        <v>5592</v>
      </c>
      <c r="N205" s="77">
        <v>196652.0</v>
      </c>
      <c r="O205" s="77">
        <v>22643.333333333332</v>
      </c>
      <c r="P205" s="81">
        <f t="shared" si="12"/>
        <v>8.684763727</v>
      </c>
      <c r="Q205" s="82">
        <v>203320.0</v>
      </c>
      <c r="R205" s="77">
        <v>22705.666666666668</v>
      </c>
      <c r="S205" s="81">
        <f t="shared" si="13"/>
        <v>8.954592833</v>
      </c>
      <c r="T205" s="77">
        <v>212774.0</v>
      </c>
      <c r="U205" s="77">
        <v>22768.0</v>
      </c>
      <c r="V205" s="81">
        <f t="shared" si="14"/>
        <v>9.345309206</v>
      </c>
      <c r="W205" s="83">
        <f t="shared" si="15"/>
        <v>8.994888589</v>
      </c>
      <c r="X205" s="84">
        <f t="shared" si="16"/>
        <v>204248.6667</v>
      </c>
      <c r="AD205" s="65"/>
      <c r="AG205" s="65"/>
      <c r="AJ205" s="65"/>
      <c r="AK205" s="65"/>
      <c r="AL205" s="68"/>
      <c r="AO205" s="65"/>
      <c r="AR205" s="65"/>
      <c r="AU205" s="65"/>
      <c r="AV205" s="65"/>
      <c r="AW205" s="68"/>
    </row>
    <row r="206" ht="15.75" customHeight="1">
      <c r="A206" s="29">
        <v>50202.0</v>
      </c>
      <c r="B206" s="76" t="s">
        <v>211</v>
      </c>
      <c r="C206" s="77">
        <v>5000.0</v>
      </c>
      <c r="D206" s="77">
        <v>16129.0</v>
      </c>
      <c r="E206" s="78">
        <f t="shared" si="7"/>
        <v>0.31000062</v>
      </c>
      <c r="F206" s="77">
        <v>0.0</v>
      </c>
      <c r="G206" s="77">
        <v>16120.0</v>
      </c>
      <c r="H206" s="78">
        <f t="shared" si="8"/>
        <v>0</v>
      </c>
      <c r="I206" s="77">
        <v>0.0</v>
      </c>
      <c r="J206" s="77">
        <v>16111.0</v>
      </c>
      <c r="K206" s="78">
        <f t="shared" si="9"/>
        <v>0</v>
      </c>
      <c r="L206" s="79">
        <f t="shared" si="10"/>
        <v>0.10333354</v>
      </c>
      <c r="M206" s="80">
        <f t="shared" si="11"/>
        <v>1666.666667</v>
      </c>
      <c r="N206" s="77">
        <v>30000.0</v>
      </c>
      <c r="O206" s="77">
        <v>16039.0</v>
      </c>
      <c r="P206" s="81">
        <f t="shared" si="12"/>
        <v>1.870440801</v>
      </c>
      <c r="Q206" s="82">
        <v>30000.0</v>
      </c>
      <c r="R206" s="77">
        <v>16030.0</v>
      </c>
      <c r="S206" s="81">
        <f t="shared" si="13"/>
        <v>1.871490954</v>
      </c>
      <c r="T206" s="77">
        <v>50000.0</v>
      </c>
      <c r="U206" s="77">
        <v>16021.0</v>
      </c>
      <c r="V206" s="81">
        <f t="shared" si="14"/>
        <v>3.120903814</v>
      </c>
      <c r="W206" s="83">
        <f t="shared" si="15"/>
        <v>2.287611856</v>
      </c>
      <c r="X206" s="84">
        <f t="shared" si="16"/>
        <v>36666.66667</v>
      </c>
      <c r="AD206" s="65"/>
      <c r="AG206" s="65"/>
      <c r="AJ206" s="65"/>
      <c r="AK206" s="65"/>
      <c r="AL206" s="68"/>
      <c r="AO206" s="65"/>
      <c r="AR206" s="65"/>
      <c r="AU206" s="65"/>
      <c r="AV206" s="65"/>
      <c r="AW206" s="68"/>
    </row>
    <row r="207" ht="15.75" customHeight="1">
      <c r="A207" s="29">
        <v>50203.0</v>
      </c>
      <c r="B207" s="76" t="s">
        <v>212</v>
      </c>
      <c r="C207" s="77">
        <v>0.0</v>
      </c>
      <c r="D207" s="77">
        <v>41104.0</v>
      </c>
      <c r="E207" s="78">
        <f t="shared" si="7"/>
        <v>0</v>
      </c>
      <c r="F207" s="77">
        <v>0.0</v>
      </c>
      <c r="G207" s="77">
        <v>41152.5</v>
      </c>
      <c r="H207" s="78">
        <f t="shared" si="8"/>
        <v>0</v>
      </c>
      <c r="I207" s="77">
        <v>0.0</v>
      </c>
      <c r="J207" s="77">
        <v>41201.0</v>
      </c>
      <c r="K207" s="78">
        <f t="shared" si="9"/>
        <v>0</v>
      </c>
      <c r="L207" s="79">
        <f t="shared" si="10"/>
        <v>0</v>
      </c>
      <c r="M207" s="80">
        <f t="shared" si="11"/>
        <v>0</v>
      </c>
      <c r="N207" s="77">
        <v>1020000.0</v>
      </c>
      <c r="O207" s="77">
        <v>41589.0</v>
      </c>
      <c r="P207" s="81">
        <f t="shared" si="12"/>
        <v>24.52571593</v>
      </c>
      <c r="Q207" s="82">
        <v>1020000.0</v>
      </c>
      <c r="R207" s="77">
        <v>41637.5</v>
      </c>
      <c r="S207" s="81">
        <f t="shared" si="13"/>
        <v>24.497148</v>
      </c>
      <c r="T207" s="77">
        <v>1004197.0</v>
      </c>
      <c r="U207" s="77">
        <v>41686.0</v>
      </c>
      <c r="V207" s="81">
        <f t="shared" si="14"/>
        <v>24.08955045</v>
      </c>
      <c r="W207" s="83">
        <f t="shared" si="15"/>
        <v>24.3708048</v>
      </c>
      <c r="X207" s="84">
        <f t="shared" si="16"/>
        <v>1014732.333</v>
      </c>
      <c r="AD207" s="65"/>
      <c r="AG207" s="65"/>
      <c r="AJ207" s="65"/>
      <c r="AK207" s="65"/>
      <c r="AL207" s="68"/>
      <c r="AO207" s="65"/>
      <c r="AR207" s="65"/>
      <c r="AU207" s="65"/>
      <c r="AV207" s="65"/>
      <c r="AW207" s="68"/>
    </row>
    <row r="208" ht="15.75" customHeight="1">
      <c r="A208" s="29">
        <v>50204.0</v>
      </c>
      <c r="B208" s="76" t="s">
        <v>213</v>
      </c>
      <c r="C208" s="77">
        <v>10000.0</v>
      </c>
      <c r="D208" s="77">
        <v>8019.0</v>
      </c>
      <c r="E208" s="78">
        <f t="shared" si="7"/>
        <v>1.247038284</v>
      </c>
      <c r="F208" s="77">
        <v>23500.0</v>
      </c>
      <c r="G208" s="77">
        <v>8035.75</v>
      </c>
      <c r="H208" s="78">
        <f t="shared" si="8"/>
        <v>2.924431447</v>
      </c>
      <c r="I208" s="77">
        <v>0.0</v>
      </c>
      <c r="J208" s="77">
        <v>8052.5</v>
      </c>
      <c r="K208" s="78">
        <f t="shared" si="9"/>
        <v>0</v>
      </c>
      <c r="L208" s="79">
        <f t="shared" si="10"/>
        <v>1.39048991</v>
      </c>
      <c r="M208" s="80">
        <f t="shared" si="11"/>
        <v>11166.66667</v>
      </c>
      <c r="N208" s="77">
        <v>12000.0</v>
      </c>
      <c r="O208" s="77">
        <v>8186.5</v>
      </c>
      <c r="P208" s="81">
        <f t="shared" si="12"/>
        <v>1.465827887</v>
      </c>
      <c r="Q208" s="82">
        <v>12000.0</v>
      </c>
      <c r="R208" s="77">
        <v>8203.25</v>
      </c>
      <c r="S208" s="81">
        <f t="shared" si="13"/>
        <v>1.462834852</v>
      </c>
      <c r="T208" s="77">
        <v>10000.0</v>
      </c>
      <c r="U208" s="77">
        <v>8220.0</v>
      </c>
      <c r="V208" s="81">
        <f t="shared" si="14"/>
        <v>1.216545012</v>
      </c>
      <c r="W208" s="83">
        <f t="shared" si="15"/>
        <v>1.381735917</v>
      </c>
      <c r="X208" s="84">
        <f t="shared" si="16"/>
        <v>11333.33333</v>
      </c>
      <c r="AD208" s="65"/>
      <c r="AG208" s="65"/>
      <c r="AJ208" s="65"/>
      <c r="AK208" s="65"/>
      <c r="AL208" s="68"/>
      <c r="AO208" s="65"/>
      <c r="AR208" s="65"/>
      <c r="AU208" s="65"/>
      <c r="AV208" s="65"/>
      <c r="AW208" s="68"/>
    </row>
    <row r="209" ht="15.75" customHeight="1">
      <c r="A209" s="29">
        <v>50301.0</v>
      </c>
      <c r="B209" s="76" t="s">
        <v>214</v>
      </c>
      <c r="C209" s="77">
        <v>33200.0</v>
      </c>
      <c r="D209" s="77">
        <v>33922.0</v>
      </c>
      <c r="E209" s="78">
        <f t="shared" si="7"/>
        <v>0.9787158776</v>
      </c>
      <c r="F209" s="77">
        <v>33200.0</v>
      </c>
      <c r="G209" s="77">
        <v>33753.833333333336</v>
      </c>
      <c r="H209" s="78">
        <f t="shared" si="8"/>
        <v>0.9835919871</v>
      </c>
      <c r="I209" s="77">
        <v>0.0</v>
      </c>
      <c r="J209" s="77">
        <v>33585.666666666664</v>
      </c>
      <c r="K209" s="78">
        <f t="shared" si="9"/>
        <v>0</v>
      </c>
      <c r="L209" s="79">
        <f t="shared" si="10"/>
        <v>0.6541026216</v>
      </c>
      <c r="M209" s="80">
        <f t="shared" si="11"/>
        <v>22133.33333</v>
      </c>
      <c r="N209" s="77">
        <v>1394877.0</v>
      </c>
      <c r="O209" s="77">
        <v>32240.333333333332</v>
      </c>
      <c r="P209" s="81">
        <f t="shared" si="12"/>
        <v>43.26496831</v>
      </c>
      <c r="Q209" s="82">
        <v>400000.0</v>
      </c>
      <c r="R209" s="77">
        <v>32072.166666666668</v>
      </c>
      <c r="S209" s="81">
        <f t="shared" si="13"/>
        <v>12.47187333</v>
      </c>
      <c r="T209" s="77">
        <v>400000.0</v>
      </c>
      <c r="U209" s="77">
        <v>31904.0</v>
      </c>
      <c r="V209" s="81">
        <f t="shared" si="14"/>
        <v>12.53761284</v>
      </c>
      <c r="W209" s="83">
        <f t="shared" si="15"/>
        <v>22.75815149</v>
      </c>
      <c r="X209" s="84">
        <f t="shared" si="16"/>
        <v>731625.6667</v>
      </c>
      <c r="AD209" s="65"/>
      <c r="AG209" s="65"/>
      <c r="AJ209" s="65"/>
      <c r="AK209" s="65"/>
      <c r="AL209" s="68"/>
      <c r="AO209" s="65"/>
      <c r="AR209" s="65"/>
      <c r="AU209" s="65"/>
      <c r="AV209" s="65"/>
      <c r="AW209" s="68"/>
    </row>
    <row r="210" ht="15.75" customHeight="1">
      <c r="A210" s="29">
        <v>50302.0</v>
      </c>
      <c r="B210" s="76" t="s">
        <v>215</v>
      </c>
      <c r="C210" s="77">
        <v>9999.0</v>
      </c>
      <c r="D210" s="77">
        <v>9910.0</v>
      </c>
      <c r="E210" s="78">
        <f t="shared" si="7"/>
        <v>1.008980827</v>
      </c>
      <c r="F210" s="77">
        <v>10000.0</v>
      </c>
      <c r="G210" s="77">
        <v>9857.916666666666</v>
      </c>
      <c r="H210" s="78">
        <f t="shared" si="8"/>
        <v>1.01441312</v>
      </c>
      <c r="I210" s="77">
        <v>0.0</v>
      </c>
      <c r="J210" s="77">
        <v>9805.833333333334</v>
      </c>
      <c r="K210" s="78">
        <f t="shared" si="9"/>
        <v>0</v>
      </c>
      <c r="L210" s="79">
        <f t="shared" si="10"/>
        <v>0.6744646491</v>
      </c>
      <c r="M210" s="80">
        <f t="shared" si="11"/>
        <v>6666.333333</v>
      </c>
      <c r="N210" s="77">
        <v>7000.0</v>
      </c>
      <c r="O210" s="77">
        <v>9389.166666666666</v>
      </c>
      <c r="P210" s="81">
        <f t="shared" si="12"/>
        <v>0.7455400728</v>
      </c>
      <c r="Q210" s="82">
        <v>9000.0</v>
      </c>
      <c r="R210" s="77">
        <v>9337.083333333334</v>
      </c>
      <c r="S210" s="81">
        <f t="shared" si="13"/>
        <v>0.9638984337</v>
      </c>
      <c r="T210" s="77">
        <v>9000.0</v>
      </c>
      <c r="U210" s="77">
        <v>9285.0</v>
      </c>
      <c r="V210" s="81">
        <f t="shared" si="14"/>
        <v>0.9693053312</v>
      </c>
      <c r="W210" s="83">
        <f t="shared" si="15"/>
        <v>0.8929146125</v>
      </c>
      <c r="X210" s="84">
        <f t="shared" si="16"/>
        <v>8333.333333</v>
      </c>
      <c r="AD210" s="65"/>
      <c r="AG210" s="65"/>
      <c r="AJ210" s="65"/>
      <c r="AK210" s="65"/>
      <c r="AL210" s="68"/>
      <c r="AO210" s="65"/>
      <c r="AR210" s="65"/>
      <c r="AU210" s="65"/>
      <c r="AV210" s="65"/>
      <c r="AW210" s="68"/>
    </row>
    <row r="211" ht="15.75" customHeight="1">
      <c r="A211" s="29">
        <v>50303.0</v>
      </c>
      <c r="B211" s="76" t="s">
        <v>216</v>
      </c>
      <c r="C211" s="77">
        <v>10000.0</v>
      </c>
      <c r="D211" s="77">
        <v>11835.0</v>
      </c>
      <c r="E211" s="78">
        <f t="shared" si="7"/>
        <v>0.8449514153</v>
      </c>
      <c r="F211" s="77">
        <v>30000.0</v>
      </c>
      <c r="G211" s="77">
        <v>12045.916666666666</v>
      </c>
      <c r="H211" s="78">
        <f t="shared" si="8"/>
        <v>2.490470491</v>
      </c>
      <c r="I211" s="77">
        <v>0.0</v>
      </c>
      <c r="J211" s="77">
        <v>12256.833333333334</v>
      </c>
      <c r="K211" s="78">
        <f t="shared" si="9"/>
        <v>0</v>
      </c>
      <c r="L211" s="79">
        <f t="shared" si="10"/>
        <v>1.111807302</v>
      </c>
      <c r="M211" s="80">
        <f t="shared" si="11"/>
        <v>13333.33333</v>
      </c>
      <c r="N211" s="77">
        <v>80000.0</v>
      </c>
      <c r="O211" s="77">
        <v>13944.166666666666</v>
      </c>
      <c r="P211" s="81">
        <f t="shared" si="12"/>
        <v>5.737166079</v>
      </c>
      <c r="Q211" s="82">
        <v>62200.0</v>
      </c>
      <c r="R211" s="77">
        <v>14155.083333333332</v>
      </c>
      <c r="S211" s="81">
        <f t="shared" si="13"/>
        <v>4.394181125</v>
      </c>
      <c r="T211" s="77">
        <v>47200.0</v>
      </c>
      <c r="U211" s="77">
        <v>14366.0</v>
      </c>
      <c r="V211" s="81">
        <f t="shared" si="14"/>
        <v>3.285535292</v>
      </c>
      <c r="W211" s="83">
        <f t="shared" si="15"/>
        <v>4.472294165</v>
      </c>
      <c r="X211" s="84">
        <f t="shared" si="16"/>
        <v>63133.33333</v>
      </c>
      <c r="AD211" s="65"/>
      <c r="AG211" s="65"/>
      <c r="AJ211" s="65"/>
      <c r="AK211" s="65"/>
      <c r="AL211" s="68"/>
      <c r="AO211" s="65"/>
      <c r="AR211" s="65"/>
      <c r="AU211" s="65"/>
      <c r="AV211" s="65"/>
      <c r="AW211" s="68"/>
    </row>
    <row r="212" ht="15.75" customHeight="1">
      <c r="A212" s="29">
        <v>50401.0</v>
      </c>
      <c r="B212" s="76" t="s">
        <v>217</v>
      </c>
      <c r="C212" s="77">
        <v>0.0</v>
      </c>
      <c r="D212" s="77">
        <v>15260.0</v>
      </c>
      <c r="E212" s="78">
        <f t="shared" si="7"/>
        <v>0</v>
      </c>
      <c r="F212" s="77">
        <v>80000.0</v>
      </c>
      <c r="G212" s="77">
        <v>15351.916666666666</v>
      </c>
      <c r="H212" s="78">
        <f t="shared" si="8"/>
        <v>5.211075707</v>
      </c>
      <c r="I212" s="77">
        <v>0.0</v>
      </c>
      <c r="J212" s="77">
        <v>15443.833333333334</v>
      </c>
      <c r="K212" s="78">
        <f t="shared" si="9"/>
        <v>0</v>
      </c>
      <c r="L212" s="79">
        <f t="shared" si="10"/>
        <v>1.737025236</v>
      </c>
      <c r="M212" s="80">
        <f t="shared" si="11"/>
        <v>26666.66667</v>
      </c>
      <c r="N212" s="77">
        <v>120400.0</v>
      </c>
      <c r="O212" s="77">
        <v>16179.166666666666</v>
      </c>
      <c r="P212" s="81">
        <f t="shared" si="12"/>
        <v>7.441668813</v>
      </c>
      <c r="Q212" s="82">
        <v>145400.0</v>
      </c>
      <c r="R212" s="77">
        <v>16271.083333333334</v>
      </c>
      <c r="S212" s="81">
        <f t="shared" si="13"/>
        <v>8.936098293</v>
      </c>
      <c r="T212" s="77">
        <v>110000.0</v>
      </c>
      <c r="U212" s="77">
        <v>16363.0</v>
      </c>
      <c r="V212" s="81">
        <f t="shared" si="14"/>
        <v>6.722483652</v>
      </c>
      <c r="W212" s="83">
        <f t="shared" si="15"/>
        <v>7.700083586</v>
      </c>
      <c r="X212" s="84">
        <f t="shared" si="16"/>
        <v>125266.6667</v>
      </c>
      <c r="AD212" s="65"/>
      <c r="AG212" s="65"/>
      <c r="AJ212" s="65"/>
      <c r="AK212" s="65"/>
      <c r="AL212" s="68"/>
      <c r="AO212" s="65"/>
      <c r="AR212" s="65"/>
      <c r="AU212" s="65"/>
      <c r="AV212" s="65"/>
      <c r="AW212" s="68"/>
    </row>
    <row r="213" ht="15.75" customHeight="1">
      <c r="A213" s="29">
        <v>50402.0</v>
      </c>
      <c r="B213" s="76" t="s">
        <v>218</v>
      </c>
      <c r="C213" s="77">
        <v>0.0</v>
      </c>
      <c r="D213" s="77">
        <v>21213.0</v>
      </c>
      <c r="E213" s="78">
        <f t="shared" si="7"/>
        <v>0</v>
      </c>
      <c r="F213" s="77">
        <v>0.0</v>
      </c>
      <c r="G213" s="77">
        <v>20854.333333333332</v>
      </c>
      <c r="H213" s="78">
        <f t="shared" si="8"/>
        <v>0</v>
      </c>
      <c r="I213" s="77">
        <v>0.0</v>
      </c>
      <c r="J213" s="77">
        <v>20495.666666666668</v>
      </c>
      <c r="K213" s="78">
        <f t="shared" si="9"/>
        <v>0</v>
      </c>
      <c r="L213" s="79">
        <f t="shared" si="10"/>
        <v>0</v>
      </c>
      <c r="M213" s="80">
        <f t="shared" si="11"/>
        <v>0</v>
      </c>
      <c r="N213" s="77">
        <v>50000.0</v>
      </c>
      <c r="O213" s="77">
        <v>17626.333333333332</v>
      </c>
      <c r="P213" s="81">
        <f t="shared" si="12"/>
        <v>2.836664839</v>
      </c>
      <c r="Q213" s="82">
        <v>50000.0</v>
      </c>
      <c r="R213" s="77">
        <v>17267.666666666668</v>
      </c>
      <c r="S213" s="81">
        <f t="shared" si="13"/>
        <v>2.895585198</v>
      </c>
      <c r="T213" s="77">
        <v>50000.0</v>
      </c>
      <c r="U213" s="77">
        <v>16909.0</v>
      </c>
      <c r="V213" s="81">
        <f t="shared" si="14"/>
        <v>2.957005145</v>
      </c>
      <c r="W213" s="83">
        <f t="shared" si="15"/>
        <v>2.896418394</v>
      </c>
      <c r="X213" s="84">
        <f t="shared" si="16"/>
        <v>50000</v>
      </c>
      <c r="AD213" s="65"/>
      <c r="AG213" s="65"/>
      <c r="AJ213" s="65"/>
      <c r="AK213" s="65"/>
      <c r="AL213" s="68"/>
      <c r="AO213" s="65"/>
      <c r="AR213" s="65"/>
      <c r="AU213" s="65"/>
      <c r="AV213" s="65"/>
      <c r="AW213" s="68"/>
    </row>
    <row r="214" ht="15.75" customHeight="1">
      <c r="A214" s="29">
        <v>50403.0</v>
      </c>
      <c r="B214" s="76" t="s">
        <v>219</v>
      </c>
      <c r="C214" s="77">
        <v>0.0</v>
      </c>
      <c r="D214" s="77">
        <v>26330.0</v>
      </c>
      <c r="E214" s="78">
        <f t="shared" si="7"/>
        <v>0</v>
      </c>
      <c r="F214" s="77">
        <v>0.0</v>
      </c>
      <c r="G214" s="77">
        <v>26855.916666666668</v>
      </c>
      <c r="H214" s="78">
        <f t="shared" si="8"/>
        <v>0</v>
      </c>
      <c r="I214" s="77">
        <v>0.0</v>
      </c>
      <c r="J214" s="77">
        <v>27381.833333333332</v>
      </c>
      <c r="K214" s="78">
        <f t="shared" si="9"/>
        <v>0</v>
      </c>
      <c r="L214" s="79">
        <f t="shared" si="10"/>
        <v>0</v>
      </c>
      <c r="M214" s="80">
        <f t="shared" si="11"/>
        <v>0</v>
      </c>
      <c r="N214" s="77">
        <v>50000.0</v>
      </c>
      <c r="O214" s="77">
        <v>31589.166666666664</v>
      </c>
      <c r="P214" s="81">
        <f t="shared" si="12"/>
        <v>1.582821115</v>
      </c>
      <c r="Q214" s="82">
        <v>100000.0</v>
      </c>
      <c r="R214" s="77">
        <v>32115.083333333332</v>
      </c>
      <c r="S214" s="81">
        <f t="shared" si="13"/>
        <v>3.113801666</v>
      </c>
      <c r="T214" s="77">
        <v>100000.0</v>
      </c>
      <c r="U214" s="77">
        <v>32641.0</v>
      </c>
      <c r="V214" s="81">
        <f t="shared" si="14"/>
        <v>3.063631629</v>
      </c>
      <c r="W214" s="83">
        <f t="shared" si="15"/>
        <v>2.58675147</v>
      </c>
      <c r="X214" s="84">
        <f t="shared" si="16"/>
        <v>83333.33333</v>
      </c>
      <c r="AD214" s="65"/>
      <c r="AG214" s="65"/>
      <c r="AJ214" s="65"/>
      <c r="AK214" s="65"/>
      <c r="AL214" s="68"/>
      <c r="AO214" s="65"/>
      <c r="AR214" s="65"/>
      <c r="AU214" s="65"/>
      <c r="AV214" s="65"/>
      <c r="AW214" s="68"/>
    </row>
    <row r="215" ht="15.75" customHeight="1">
      <c r="A215" s="29">
        <v>50404.0</v>
      </c>
      <c r="B215" s="76" t="s">
        <v>220</v>
      </c>
      <c r="C215" s="77">
        <v>0.0</v>
      </c>
      <c r="D215" s="77">
        <v>16118.0</v>
      </c>
      <c r="E215" s="78">
        <f t="shared" si="7"/>
        <v>0</v>
      </c>
      <c r="F215" s="77">
        <v>20000.0</v>
      </c>
      <c r="G215" s="77">
        <v>15985.833333333334</v>
      </c>
      <c r="H215" s="78">
        <f t="shared" si="8"/>
        <v>1.251107752</v>
      </c>
      <c r="I215" s="77">
        <v>0.0</v>
      </c>
      <c r="J215" s="77">
        <v>15853.666666666666</v>
      </c>
      <c r="K215" s="78">
        <f t="shared" si="9"/>
        <v>0</v>
      </c>
      <c r="L215" s="79">
        <f t="shared" si="10"/>
        <v>0.4170359172</v>
      </c>
      <c r="M215" s="80">
        <f t="shared" si="11"/>
        <v>6666.666667</v>
      </c>
      <c r="N215" s="77">
        <v>101667.0</v>
      </c>
      <c r="O215" s="77">
        <v>14796.333333333334</v>
      </c>
      <c r="P215" s="81">
        <f t="shared" si="12"/>
        <v>6.87109419</v>
      </c>
      <c r="Q215" s="82">
        <v>101667.0</v>
      </c>
      <c r="R215" s="77">
        <v>14664.166666666666</v>
      </c>
      <c r="S215" s="81">
        <f t="shared" si="13"/>
        <v>6.933022674</v>
      </c>
      <c r="T215" s="77">
        <v>101667.0</v>
      </c>
      <c r="U215" s="77">
        <v>14532.0</v>
      </c>
      <c r="V215" s="81">
        <f t="shared" si="14"/>
        <v>6.996077622</v>
      </c>
      <c r="W215" s="83">
        <f t="shared" si="15"/>
        <v>6.933398162</v>
      </c>
      <c r="X215" s="84">
        <f t="shared" si="16"/>
        <v>101667</v>
      </c>
      <c r="AD215" s="65"/>
      <c r="AG215" s="65"/>
      <c r="AJ215" s="65"/>
      <c r="AK215" s="65"/>
      <c r="AL215" s="68"/>
      <c r="AO215" s="65"/>
      <c r="AR215" s="65"/>
      <c r="AU215" s="65"/>
      <c r="AV215" s="65"/>
      <c r="AW215" s="68"/>
    </row>
    <row r="216" ht="15.75" customHeight="1">
      <c r="A216" s="51">
        <v>50405.0</v>
      </c>
      <c r="B216" s="85" t="s">
        <v>221</v>
      </c>
      <c r="C216" s="77">
        <v>0.0</v>
      </c>
      <c r="D216" s="77">
        <v>19939.0</v>
      </c>
      <c r="E216" s="78">
        <f t="shared" si="7"/>
        <v>0</v>
      </c>
      <c r="F216" s="77">
        <v>80000.0</v>
      </c>
      <c r="G216" s="77">
        <v>20028.333333333332</v>
      </c>
      <c r="H216" s="78">
        <f t="shared" si="8"/>
        <v>3.99434135</v>
      </c>
      <c r="I216" s="77">
        <v>0.0</v>
      </c>
      <c r="J216" s="77">
        <v>20117.666666666668</v>
      </c>
      <c r="K216" s="78">
        <f t="shared" si="9"/>
        <v>0</v>
      </c>
      <c r="L216" s="79">
        <f t="shared" si="10"/>
        <v>1.331447117</v>
      </c>
      <c r="M216" s="80">
        <f t="shared" si="11"/>
        <v>26666.66667</v>
      </c>
      <c r="N216" s="77">
        <v>0.0</v>
      </c>
      <c r="O216" s="77">
        <v>20832.333333333332</v>
      </c>
      <c r="P216" s="81">
        <f t="shared" si="12"/>
        <v>0</v>
      </c>
      <c r="Q216" s="82">
        <v>16136.0</v>
      </c>
      <c r="R216" s="77">
        <v>20921.666666666668</v>
      </c>
      <c r="S216" s="81">
        <f t="shared" si="13"/>
        <v>0.7712578666</v>
      </c>
      <c r="T216" s="77">
        <v>29000.0</v>
      </c>
      <c r="U216" s="77">
        <v>21011.0</v>
      </c>
      <c r="V216" s="81">
        <f t="shared" si="14"/>
        <v>1.380229404</v>
      </c>
      <c r="W216" s="83">
        <f t="shared" si="15"/>
        <v>0.7171624234</v>
      </c>
      <c r="X216" s="84">
        <f t="shared" si="16"/>
        <v>15045.33333</v>
      </c>
      <c r="AD216" s="65"/>
      <c r="AG216" s="65"/>
      <c r="AJ216" s="65"/>
      <c r="AK216" s="65"/>
      <c r="AL216" s="68"/>
      <c r="AO216" s="65"/>
      <c r="AR216" s="65"/>
      <c r="AU216" s="65"/>
      <c r="AV216" s="65"/>
      <c r="AW216" s="68"/>
    </row>
    <row r="217" ht="15.75" customHeight="1">
      <c r="A217" s="29">
        <v>50501.0</v>
      </c>
      <c r="B217" s="76" t="s">
        <v>222</v>
      </c>
      <c r="C217" s="77">
        <v>150000.0</v>
      </c>
      <c r="D217" s="77">
        <v>30012.0</v>
      </c>
      <c r="E217" s="78">
        <f t="shared" si="7"/>
        <v>4.9980008</v>
      </c>
      <c r="F217" s="77">
        <v>150000.0</v>
      </c>
      <c r="G217" s="77">
        <v>29879.0</v>
      </c>
      <c r="H217" s="78">
        <f t="shared" si="8"/>
        <v>5.020248335</v>
      </c>
      <c r="I217" s="77">
        <v>0.0</v>
      </c>
      <c r="J217" s="77">
        <v>29746.0</v>
      </c>
      <c r="K217" s="78">
        <f t="shared" si="9"/>
        <v>0</v>
      </c>
      <c r="L217" s="79">
        <f t="shared" si="10"/>
        <v>3.339416378</v>
      </c>
      <c r="M217" s="80">
        <f t="shared" si="11"/>
        <v>100000</v>
      </c>
      <c r="N217" s="77">
        <v>83435.0</v>
      </c>
      <c r="O217" s="77">
        <v>28682.0</v>
      </c>
      <c r="P217" s="81">
        <f t="shared" si="12"/>
        <v>2.908967297</v>
      </c>
      <c r="Q217" s="82">
        <v>80000.0</v>
      </c>
      <c r="R217" s="77">
        <v>28549.0</v>
      </c>
      <c r="S217" s="81">
        <f t="shared" si="13"/>
        <v>2.802199727</v>
      </c>
      <c r="T217" s="77">
        <v>50000.0</v>
      </c>
      <c r="U217" s="77">
        <v>28416.0</v>
      </c>
      <c r="V217" s="81">
        <f t="shared" si="14"/>
        <v>1.759572072</v>
      </c>
      <c r="W217" s="83">
        <f t="shared" si="15"/>
        <v>2.490246365</v>
      </c>
      <c r="X217" s="84">
        <f t="shared" si="16"/>
        <v>71145</v>
      </c>
      <c r="AD217" s="65"/>
      <c r="AG217" s="65"/>
      <c r="AJ217" s="65"/>
      <c r="AK217" s="65"/>
      <c r="AL217" s="68"/>
      <c r="AO217" s="65"/>
      <c r="AR217" s="65"/>
      <c r="AU217" s="65"/>
      <c r="AV217" s="65"/>
      <c r="AW217" s="68"/>
    </row>
    <row r="218" ht="15.75" customHeight="1">
      <c r="A218" s="29">
        <v>50502.0</v>
      </c>
      <c r="B218" s="76" t="s">
        <v>223</v>
      </c>
      <c r="C218" s="77">
        <v>25000.0</v>
      </c>
      <c r="D218" s="77">
        <v>10870.0</v>
      </c>
      <c r="E218" s="78">
        <f t="shared" si="7"/>
        <v>2.299908004</v>
      </c>
      <c r="F218" s="77">
        <v>51000.0</v>
      </c>
      <c r="G218" s="77">
        <v>10857.0</v>
      </c>
      <c r="H218" s="78">
        <f t="shared" si="8"/>
        <v>4.697430229</v>
      </c>
      <c r="I218" s="77">
        <v>0.0</v>
      </c>
      <c r="J218" s="77">
        <v>10844.0</v>
      </c>
      <c r="K218" s="78">
        <f t="shared" si="9"/>
        <v>0</v>
      </c>
      <c r="L218" s="79">
        <f t="shared" si="10"/>
        <v>2.332446078</v>
      </c>
      <c r="M218" s="80">
        <f t="shared" si="11"/>
        <v>25333.33333</v>
      </c>
      <c r="N218" s="77">
        <v>92000.0</v>
      </c>
      <c r="O218" s="77">
        <v>10740.0</v>
      </c>
      <c r="P218" s="81">
        <f t="shared" si="12"/>
        <v>8.566108007</v>
      </c>
      <c r="Q218" s="82">
        <v>115000.0</v>
      </c>
      <c r="R218" s="77">
        <v>10727.0</v>
      </c>
      <c r="S218" s="81">
        <f t="shared" si="13"/>
        <v>10.72061154</v>
      </c>
      <c r="T218" s="77">
        <v>110000.0</v>
      </c>
      <c r="U218" s="77">
        <v>10714.0</v>
      </c>
      <c r="V218" s="81">
        <f t="shared" si="14"/>
        <v>10.26694045</v>
      </c>
      <c r="W218" s="83">
        <f t="shared" si="15"/>
        <v>9.85122</v>
      </c>
      <c r="X218" s="84">
        <f t="shared" si="16"/>
        <v>105666.6667</v>
      </c>
      <c r="AD218" s="65"/>
      <c r="AG218" s="65"/>
      <c r="AJ218" s="65"/>
      <c r="AK218" s="65"/>
      <c r="AL218" s="68"/>
      <c r="AO218" s="65"/>
      <c r="AR218" s="65"/>
      <c r="AU218" s="65"/>
      <c r="AV218" s="65"/>
      <c r="AW218" s="68"/>
    </row>
    <row r="219" ht="15.75" customHeight="1">
      <c r="A219" s="29">
        <v>50601.0</v>
      </c>
      <c r="B219" s="76" t="s">
        <v>224</v>
      </c>
      <c r="C219" s="77">
        <v>0.0</v>
      </c>
      <c r="D219" s="77">
        <v>31801.0</v>
      </c>
      <c r="E219" s="78">
        <f t="shared" si="7"/>
        <v>0</v>
      </c>
      <c r="F219" s="77">
        <v>0.0</v>
      </c>
      <c r="G219" s="77">
        <v>31586.0</v>
      </c>
      <c r="H219" s="78">
        <f t="shared" si="8"/>
        <v>0</v>
      </c>
      <c r="I219" s="77">
        <v>0.0</v>
      </c>
      <c r="J219" s="77">
        <v>31371.0</v>
      </c>
      <c r="K219" s="78">
        <f t="shared" si="9"/>
        <v>0</v>
      </c>
      <c r="L219" s="79">
        <f t="shared" si="10"/>
        <v>0</v>
      </c>
      <c r="M219" s="80">
        <f t="shared" si="11"/>
        <v>0</v>
      </c>
      <c r="N219" s="77">
        <v>0.0</v>
      </c>
      <c r="O219" s="77">
        <v>29651.0</v>
      </c>
      <c r="P219" s="81">
        <f t="shared" si="12"/>
        <v>0</v>
      </c>
      <c r="Q219" s="82">
        <v>0.0</v>
      </c>
      <c r="R219" s="77">
        <v>29436.0</v>
      </c>
      <c r="S219" s="81">
        <f t="shared" si="13"/>
        <v>0</v>
      </c>
      <c r="T219" s="77">
        <v>0.0</v>
      </c>
      <c r="U219" s="77">
        <v>29221.0</v>
      </c>
      <c r="V219" s="81">
        <f t="shared" si="14"/>
        <v>0</v>
      </c>
      <c r="W219" s="83">
        <f t="shared" si="15"/>
        <v>0</v>
      </c>
      <c r="X219" s="84">
        <f t="shared" si="16"/>
        <v>0</v>
      </c>
      <c r="AD219" s="65"/>
      <c r="AG219" s="65"/>
      <c r="AJ219" s="65"/>
      <c r="AK219" s="65"/>
      <c r="AL219" s="68"/>
      <c r="AO219" s="65"/>
      <c r="AR219" s="65"/>
      <c r="AU219" s="65"/>
      <c r="AV219" s="65"/>
      <c r="AW219" s="68"/>
    </row>
    <row r="220" ht="15.75" customHeight="1">
      <c r="A220" s="29">
        <v>50602.0</v>
      </c>
      <c r="B220" s="76" t="s">
        <v>225</v>
      </c>
      <c r="C220" s="77">
        <v>0.0</v>
      </c>
      <c r="D220" s="77">
        <v>10646.0</v>
      </c>
      <c r="E220" s="78">
        <f t="shared" si="7"/>
        <v>0</v>
      </c>
      <c r="F220" s="77">
        <v>0.0</v>
      </c>
      <c r="G220" s="77">
        <v>10607.5</v>
      </c>
      <c r="H220" s="78">
        <f t="shared" si="8"/>
        <v>0</v>
      </c>
      <c r="I220" s="77">
        <v>0.0</v>
      </c>
      <c r="J220" s="77">
        <v>10569.0</v>
      </c>
      <c r="K220" s="78">
        <f t="shared" si="9"/>
        <v>0</v>
      </c>
      <c r="L220" s="79">
        <f t="shared" si="10"/>
        <v>0</v>
      </c>
      <c r="M220" s="80">
        <f t="shared" si="11"/>
        <v>0</v>
      </c>
      <c r="N220" s="77">
        <v>0.0</v>
      </c>
      <c r="O220" s="77">
        <v>10261.0</v>
      </c>
      <c r="P220" s="81">
        <f t="shared" si="12"/>
        <v>0</v>
      </c>
      <c r="Q220" s="82">
        <v>40000.0</v>
      </c>
      <c r="R220" s="77">
        <v>10222.5</v>
      </c>
      <c r="S220" s="81">
        <f t="shared" si="13"/>
        <v>3.912937148</v>
      </c>
      <c r="T220" s="77">
        <v>42000.0</v>
      </c>
      <c r="U220" s="77">
        <v>10184.0</v>
      </c>
      <c r="V220" s="81">
        <f t="shared" si="14"/>
        <v>4.124116261</v>
      </c>
      <c r="W220" s="83">
        <f t="shared" si="15"/>
        <v>2.679017803</v>
      </c>
      <c r="X220" s="84">
        <f t="shared" si="16"/>
        <v>27333.33333</v>
      </c>
      <c r="AD220" s="65"/>
      <c r="AG220" s="65"/>
      <c r="AJ220" s="65"/>
      <c r="AK220" s="65"/>
      <c r="AL220" s="68"/>
      <c r="AO220" s="65"/>
      <c r="AR220" s="65"/>
      <c r="AU220" s="65"/>
      <c r="AV220" s="65"/>
      <c r="AW220" s="68"/>
    </row>
    <row r="221" ht="15.75" customHeight="1">
      <c r="A221" s="29">
        <v>50701.0</v>
      </c>
      <c r="B221" s="76" t="s">
        <v>226</v>
      </c>
      <c r="C221" s="77">
        <v>18593.0</v>
      </c>
      <c r="D221" s="77">
        <v>19611.0</v>
      </c>
      <c r="E221" s="78">
        <f t="shared" si="7"/>
        <v>0.9480903575</v>
      </c>
      <c r="F221" s="77">
        <v>0.0</v>
      </c>
      <c r="G221" s="77">
        <v>19410.5</v>
      </c>
      <c r="H221" s="78">
        <f t="shared" si="8"/>
        <v>0</v>
      </c>
      <c r="I221" s="77">
        <v>0.0</v>
      </c>
      <c r="J221" s="77">
        <v>19210.0</v>
      </c>
      <c r="K221" s="78">
        <f t="shared" si="9"/>
        <v>0</v>
      </c>
      <c r="L221" s="79">
        <f t="shared" si="10"/>
        <v>0.3160301192</v>
      </c>
      <c r="M221" s="80">
        <f t="shared" si="11"/>
        <v>6197.666667</v>
      </c>
      <c r="N221" s="77">
        <v>44000.0</v>
      </c>
      <c r="O221" s="77">
        <v>17606.0</v>
      </c>
      <c r="P221" s="81">
        <f t="shared" si="12"/>
        <v>2.499148018</v>
      </c>
      <c r="Q221" s="82">
        <v>44000.0</v>
      </c>
      <c r="R221" s="77">
        <v>17405.5</v>
      </c>
      <c r="S221" s="81">
        <f t="shared" si="13"/>
        <v>2.527936572</v>
      </c>
      <c r="T221" s="77">
        <v>52000.0</v>
      </c>
      <c r="U221" s="77">
        <v>17205.0</v>
      </c>
      <c r="V221" s="81">
        <f t="shared" si="14"/>
        <v>3.022377216</v>
      </c>
      <c r="W221" s="83">
        <f t="shared" si="15"/>
        <v>2.683153935</v>
      </c>
      <c r="X221" s="84">
        <f t="shared" si="16"/>
        <v>46666.66667</v>
      </c>
      <c r="AD221" s="65"/>
      <c r="AG221" s="65"/>
      <c r="AJ221" s="65"/>
      <c r="AK221" s="65"/>
      <c r="AL221" s="68"/>
      <c r="AO221" s="65"/>
      <c r="AR221" s="65"/>
      <c r="AU221" s="65"/>
      <c r="AV221" s="65"/>
      <c r="AW221" s="68"/>
    </row>
    <row r="222" ht="15.75" customHeight="1">
      <c r="A222" s="29">
        <v>50702.0</v>
      </c>
      <c r="B222" s="76" t="s">
        <v>227</v>
      </c>
      <c r="C222" s="77">
        <v>20017.0</v>
      </c>
      <c r="D222" s="77">
        <v>8704.0</v>
      </c>
      <c r="E222" s="78">
        <f t="shared" si="7"/>
        <v>2.299747243</v>
      </c>
      <c r="F222" s="77">
        <v>16793.0</v>
      </c>
      <c r="G222" s="77">
        <v>8683.5</v>
      </c>
      <c r="H222" s="78">
        <f t="shared" si="8"/>
        <v>1.933897622</v>
      </c>
      <c r="I222" s="77">
        <v>0.0</v>
      </c>
      <c r="J222" s="77">
        <v>8663.0</v>
      </c>
      <c r="K222" s="78">
        <f t="shared" si="9"/>
        <v>0</v>
      </c>
      <c r="L222" s="79">
        <f t="shared" si="10"/>
        <v>1.411214955</v>
      </c>
      <c r="M222" s="80">
        <f t="shared" si="11"/>
        <v>12270</v>
      </c>
      <c r="N222" s="77">
        <v>29550.0</v>
      </c>
      <c r="O222" s="77">
        <v>8499.0</v>
      </c>
      <c r="P222" s="81">
        <f t="shared" si="12"/>
        <v>3.476879633</v>
      </c>
      <c r="Q222" s="82">
        <v>29200.0</v>
      </c>
      <c r="R222" s="77">
        <v>8478.5</v>
      </c>
      <c r="S222" s="81">
        <f t="shared" si="13"/>
        <v>3.444005425</v>
      </c>
      <c r="T222" s="77">
        <v>29400.0</v>
      </c>
      <c r="U222" s="77">
        <v>8458.0</v>
      </c>
      <c r="V222" s="81">
        <f t="shared" si="14"/>
        <v>3.475999054</v>
      </c>
      <c r="W222" s="83">
        <f t="shared" si="15"/>
        <v>3.465628038</v>
      </c>
      <c r="X222" s="84">
        <f t="shared" si="16"/>
        <v>29383.33333</v>
      </c>
      <c r="AD222" s="65"/>
      <c r="AG222" s="65"/>
      <c r="AJ222" s="65"/>
      <c r="AK222" s="65"/>
      <c r="AL222" s="68"/>
      <c r="AO222" s="65"/>
      <c r="AR222" s="65"/>
      <c r="AU222" s="65"/>
      <c r="AV222" s="65"/>
      <c r="AW222" s="68"/>
    </row>
    <row r="223" ht="15.75" customHeight="1">
      <c r="A223" s="29">
        <v>50801.0</v>
      </c>
      <c r="B223" s="76" t="s">
        <v>228</v>
      </c>
      <c r="C223" s="77">
        <v>303000.0</v>
      </c>
      <c r="D223" s="77">
        <v>44814.0</v>
      </c>
      <c r="E223" s="78">
        <f t="shared" si="7"/>
        <v>6.761279957</v>
      </c>
      <c r="F223" s="77">
        <v>1136499.0</v>
      </c>
      <c r="G223" s="77">
        <v>44878.666666666664</v>
      </c>
      <c r="H223" s="78">
        <f t="shared" si="8"/>
        <v>25.32381384</v>
      </c>
      <c r="I223" s="77">
        <v>0.0</v>
      </c>
      <c r="J223" s="77">
        <v>44943.333333333336</v>
      </c>
      <c r="K223" s="78">
        <f t="shared" si="9"/>
        <v>0</v>
      </c>
      <c r="L223" s="79">
        <f t="shared" si="10"/>
        <v>10.69503127</v>
      </c>
      <c r="M223" s="80">
        <f t="shared" si="11"/>
        <v>479833</v>
      </c>
      <c r="N223" s="77">
        <v>1656300.0</v>
      </c>
      <c r="O223" s="77">
        <v>45460.666666666664</v>
      </c>
      <c r="P223" s="81">
        <f t="shared" si="12"/>
        <v>36.4336936</v>
      </c>
      <c r="Q223" s="82">
        <v>1456300.0</v>
      </c>
      <c r="R223" s="77">
        <v>45525.333333333336</v>
      </c>
      <c r="S223" s="81">
        <f t="shared" si="13"/>
        <v>31.9887828</v>
      </c>
      <c r="T223" s="77">
        <v>3100010.0</v>
      </c>
      <c r="U223" s="77">
        <v>45590.0</v>
      </c>
      <c r="V223" s="81">
        <f t="shared" si="14"/>
        <v>67.99758719</v>
      </c>
      <c r="W223" s="83">
        <f t="shared" si="15"/>
        <v>45.47335453</v>
      </c>
      <c r="X223" s="84">
        <f t="shared" si="16"/>
        <v>2070870</v>
      </c>
      <c r="AD223" s="65"/>
      <c r="AG223" s="65"/>
      <c r="AJ223" s="65"/>
      <c r="AK223" s="65"/>
      <c r="AL223" s="68"/>
      <c r="AO223" s="65"/>
      <c r="AR223" s="65"/>
      <c r="AU223" s="65"/>
      <c r="AV223" s="65"/>
      <c r="AW223" s="68"/>
    </row>
    <row r="224" ht="15.75" customHeight="1">
      <c r="A224" s="29">
        <v>50802.0</v>
      </c>
      <c r="B224" s="76" t="s">
        <v>229</v>
      </c>
      <c r="C224" s="77">
        <v>210209.0</v>
      </c>
      <c r="D224" s="77">
        <v>11234.0</v>
      </c>
      <c r="E224" s="78">
        <f t="shared" si="7"/>
        <v>18.71185686</v>
      </c>
      <c r="F224" s="77">
        <v>174860.0</v>
      </c>
      <c r="G224" s="77">
        <v>11098.666666666666</v>
      </c>
      <c r="H224" s="78">
        <f t="shared" si="8"/>
        <v>15.75504565</v>
      </c>
      <c r="I224" s="77">
        <v>0.0</v>
      </c>
      <c r="J224" s="77">
        <v>10963.333333333334</v>
      </c>
      <c r="K224" s="78">
        <f t="shared" si="9"/>
        <v>0</v>
      </c>
      <c r="L224" s="79">
        <f t="shared" si="10"/>
        <v>11.4889675</v>
      </c>
      <c r="M224" s="80">
        <f t="shared" si="11"/>
        <v>128356.3333</v>
      </c>
      <c r="N224" s="77">
        <v>315935.0</v>
      </c>
      <c r="O224" s="77">
        <v>9880.666666666666</v>
      </c>
      <c r="P224" s="81">
        <f t="shared" si="12"/>
        <v>31.97506916</v>
      </c>
      <c r="Q224" s="82">
        <v>452881.0</v>
      </c>
      <c r="R224" s="77">
        <v>9745.333333333334</v>
      </c>
      <c r="S224" s="81">
        <f t="shared" si="13"/>
        <v>46.47157614</v>
      </c>
      <c r="T224" s="77">
        <v>352868.0</v>
      </c>
      <c r="U224" s="77">
        <v>9610.0</v>
      </c>
      <c r="V224" s="81">
        <f t="shared" si="14"/>
        <v>36.71883455</v>
      </c>
      <c r="W224" s="83">
        <f t="shared" si="15"/>
        <v>38.38849328</v>
      </c>
      <c r="X224" s="84">
        <f t="shared" si="16"/>
        <v>373894.6667</v>
      </c>
      <c r="AD224" s="65"/>
      <c r="AG224" s="65"/>
      <c r="AJ224" s="65"/>
      <c r="AK224" s="65"/>
      <c r="AL224" s="68"/>
      <c r="AO224" s="65"/>
      <c r="AR224" s="65"/>
      <c r="AU224" s="65"/>
      <c r="AV224" s="65"/>
      <c r="AW224" s="68"/>
    </row>
    <row r="225" ht="15.75" customHeight="1">
      <c r="A225" s="29">
        <v>50901.0</v>
      </c>
      <c r="B225" s="76" t="s">
        <v>230</v>
      </c>
      <c r="C225" s="77">
        <v>107000.0</v>
      </c>
      <c r="D225" s="77">
        <v>12997.0</v>
      </c>
      <c r="E225" s="78">
        <f t="shared" si="7"/>
        <v>8.232669077</v>
      </c>
      <c r="F225" s="77">
        <v>74000.0</v>
      </c>
      <c r="G225" s="77">
        <v>12975.583333333334</v>
      </c>
      <c r="H225" s="78">
        <f t="shared" si="8"/>
        <v>5.703019132</v>
      </c>
      <c r="I225" s="77">
        <v>0.0</v>
      </c>
      <c r="J225" s="77">
        <v>12954.166666666666</v>
      </c>
      <c r="K225" s="78">
        <f t="shared" si="9"/>
        <v>0</v>
      </c>
      <c r="L225" s="79">
        <f t="shared" si="10"/>
        <v>4.645229403</v>
      </c>
      <c r="M225" s="80">
        <f t="shared" si="11"/>
        <v>60333.33333</v>
      </c>
      <c r="N225" s="77">
        <v>1760000.0</v>
      </c>
      <c r="O225" s="77">
        <v>12782.833333333334</v>
      </c>
      <c r="P225" s="81">
        <f t="shared" si="12"/>
        <v>137.6846552</v>
      </c>
      <c r="Q225" s="82">
        <v>2382676.0</v>
      </c>
      <c r="R225" s="77">
        <v>12761.416666666666</v>
      </c>
      <c r="S225" s="81">
        <f t="shared" si="13"/>
        <v>186.7093648</v>
      </c>
      <c r="T225" s="77">
        <v>3223496.0</v>
      </c>
      <c r="U225" s="77">
        <v>12740.0</v>
      </c>
      <c r="V225" s="81">
        <f t="shared" si="14"/>
        <v>253.0216641</v>
      </c>
      <c r="W225" s="83">
        <f t="shared" si="15"/>
        <v>192.4718947</v>
      </c>
      <c r="X225" s="84">
        <f t="shared" si="16"/>
        <v>2455390.667</v>
      </c>
      <c r="AD225" s="65"/>
      <c r="AG225" s="65"/>
      <c r="AJ225" s="65"/>
      <c r="AK225" s="65"/>
      <c r="AL225" s="68"/>
      <c r="AO225" s="65"/>
      <c r="AR225" s="65"/>
      <c r="AU225" s="65"/>
      <c r="AV225" s="65"/>
      <c r="AW225" s="68"/>
    </row>
    <row r="226" ht="15.75" customHeight="1">
      <c r="A226" s="29">
        <v>50902.0</v>
      </c>
      <c r="B226" s="76" t="s">
        <v>231</v>
      </c>
      <c r="C226" s="77">
        <v>0.0</v>
      </c>
      <c r="D226" s="77">
        <v>1060.0</v>
      </c>
      <c r="E226" s="78">
        <f t="shared" si="7"/>
        <v>0</v>
      </c>
      <c r="F226" s="77">
        <v>0.0</v>
      </c>
      <c r="G226" s="77">
        <v>1106.75</v>
      </c>
      <c r="H226" s="78">
        <f t="shared" si="8"/>
        <v>0</v>
      </c>
      <c r="I226" s="77">
        <v>0.0</v>
      </c>
      <c r="J226" s="77">
        <v>1153.5</v>
      </c>
      <c r="K226" s="78">
        <f t="shared" si="9"/>
        <v>0</v>
      </c>
      <c r="L226" s="79">
        <f t="shared" si="10"/>
        <v>0</v>
      </c>
      <c r="M226" s="80">
        <f t="shared" si="11"/>
        <v>0</v>
      </c>
      <c r="N226" s="77">
        <v>0.0</v>
      </c>
      <c r="O226" s="77">
        <v>1527.5</v>
      </c>
      <c r="P226" s="81">
        <f t="shared" si="12"/>
        <v>0</v>
      </c>
      <c r="Q226" s="82">
        <v>0.0</v>
      </c>
      <c r="R226" s="77">
        <v>1574.25</v>
      </c>
      <c r="S226" s="81">
        <f t="shared" si="13"/>
        <v>0</v>
      </c>
      <c r="T226" s="77">
        <v>0.0</v>
      </c>
      <c r="U226" s="77">
        <v>1621.0</v>
      </c>
      <c r="V226" s="81">
        <f t="shared" si="14"/>
        <v>0</v>
      </c>
      <c r="W226" s="83">
        <f t="shared" si="15"/>
        <v>0</v>
      </c>
      <c r="X226" s="84">
        <f t="shared" si="16"/>
        <v>0</v>
      </c>
      <c r="AD226" s="65"/>
      <c r="AG226" s="65"/>
      <c r="AJ226" s="65"/>
      <c r="AK226" s="65"/>
      <c r="AL226" s="68"/>
      <c r="AO226" s="65"/>
      <c r="AR226" s="65"/>
      <c r="AU226" s="65"/>
      <c r="AV226" s="65"/>
      <c r="AW226" s="68"/>
    </row>
    <row r="227" ht="15.75" customHeight="1">
      <c r="A227" s="29">
        <v>51001.0</v>
      </c>
      <c r="B227" s="76" t="s">
        <v>232</v>
      </c>
      <c r="C227" s="77">
        <v>0.0</v>
      </c>
      <c r="D227" s="77">
        <v>3371.0</v>
      </c>
      <c r="E227" s="78">
        <f t="shared" si="7"/>
        <v>0</v>
      </c>
      <c r="F227" s="77">
        <v>0.0</v>
      </c>
      <c r="G227" s="77">
        <v>3352.5833333333335</v>
      </c>
      <c r="H227" s="78">
        <f t="shared" si="8"/>
        <v>0</v>
      </c>
      <c r="I227" s="77">
        <v>0.0</v>
      </c>
      <c r="J227" s="77">
        <v>3334.1666666666665</v>
      </c>
      <c r="K227" s="78">
        <f t="shared" si="9"/>
        <v>0</v>
      </c>
      <c r="L227" s="79">
        <f t="shared" si="10"/>
        <v>0</v>
      </c>
      <c r="M227" s="80">
        <f t="shared" si="11"/>
        <v>0</v>
      </c>
      <c r="N227" s="77">
        <v>15000.0</v>
      </c>
      <c r="O227" s="77">
        <v>3186.8333333333335</v>
      </c>
      <c r="P227" s="81">
        <f t="shared" si="12"/>
        <v>4.706866796</v>
      </c>
      <c r="Q227" s="82">
        <v>7000.0</v>
      </c>
      <c r="R227" s="77">
        <v>3168.4166666666665</v>
      </c>
      <c r="S227" s="81">
        <f t="shared" si="13"/>
        <v>2.209305384</v>
      </c>
      <c r="T227" s="77">
        <v>7000.0</v>
      </c>
      <c r="U227" s="77">
        <v>3150.0</v>
      </c>
      <c r="V227" s="81">
        <f t="shared" si="14"/>
        <v>2.222222222</v>
      </c>
      <c r="W227" s="83">
        <f t="shared" si="15"/>
        <v>3.046131467</v>
      </c>
      <c r="X227" s="84">
        <f t="shared" si="16"/>
        <v>9666.666667</v>
      </c>
      <c r="AD227" s="65"/>
      <c r="AG227" s="65"/>
      <c r="AJ227" s="65"/>
      <c r="AK227" s="65"/>
      <c r="AL227" s="68"/>
      <c r="AO227" s="65"/>
      <c r="AR227" s="65"/>
      <c r="AU227" s="65"/>
      <c r="AV227" s="65"/>
      <c r="AW227" s="68"/>
    </row>
    <row r="228" ht="15.75" customHeight="1">
      <c r="A228" s="29">
        <v>51002.0</v>
      </c>
      <c r="B228" s="76" t="s">
        <v>233</v>
      </c>
      <c r="C228" s="77">
        <v>0.0</v>
      </c>
      <c r="D228" s="77">
        <v>1180.0</v>
      </c>
      <c r="E228" s="78">
        <f t="shared" si="7"/>
        <v>0</v>
      </c>
      <c r="F228" s="77">
        <v>0.0</v>
      </c>
      <c r="G228" s="77">
        <v>1167.0833333333333</v>
      </c>
      <c r="H228" s="78">
        <f t="shared" si="8"/>
        <v>0</v>
      </c>
      <c r="I228" s="77">
        <v>0.0</v>
      </c>
      <c r="J228" s="77">
        <v>1154.1666666666667</v>
      </c>
      <c r="K228" s="78">
        <f t="shared" si="9"/>
        <v>0</v>
      </c>
      <c r="L228" s="79">
        <f t="shared" si="10"/>
        <v>0</v>
      </c>
      <c r="M228" s="80">
        <f t="shared" si="11"/>
        <v>0</v>
      </c>
      <c r="N228" s="77">
        <v>2500.0</v>
      </c>
      <c r="O228" s="77">
        <v>1050.8333333333333</v>
      </c>
      <c r="P228" s="81">
        <f t="shared" si="12"/>
        <v>2.379064235</v>
      </c>
      <c r="Q228" s="82">
        <v>1500.0</v>
      </c>
      <c r="R228" s="77">
        <v>1037.9166666666667</v>
      </c>
      <c r="S228" s="81">
        <f t="shared" si="13"/>
        <v>1.44520273</v>
      </c>
      <c r="T228" s="77">
        <v>1500.0</v>
      </c>
      <c r="U228" s="77">
        <v>1025.0</v>
      </c>
      <c r="V228" s="81">
        <f t="shared" si="14"/>
        <v>1.463414634</v>
      </c>
      <c r="W228" s="83">
        <f t="shared" si="15"/>
        <v>1.762560533</v>
      </c>
      <c r="X228" s="84">
        <f t="shared" si="16"/>
        <v>1833.333333</v>
      </c>
      <c r="AD228" s="65"/>
      <c r="AG228" s="65"/>
      <c r="AJ228" s="65"/>
      <c r="AK228" s="65"/>
      <c r="AL228" s="68"/>
      <c r="AO228" s="65"/>
      <c r="AR228" s="65"/>
      <c r="AU228" s="65"/>
      <c r="AV228" s="65"/>
      <c r="AW228" s="68"/>
    </row>
    <row r="229" ht="15.75" customHeight="1">
      <c r="A229" s="29">
        <v>51003.0</v>
      </c>
      <c r="B229" s="76" t="s">
        <v>234</v>
      </c>
      <c r="C229" s="77">
        <v>0.0</v>
      </c>
      <c r="D229" s="77">
        <v>2284.0</v>
      </c>
      <c r="E229" s="78">
        <f t="shared" si="7"/>
        <v>0</v>
      </c>
      <c r="F229" s="77">
        <v>0.0</v>
      </c>
      <c r="G229" s="77">
        <v>2255.0</v>
      </c>
      <c r="H229" s="78">
        <f t="shared" si="8"/>
        <v>0</v>
      </c>
      <c r="I229" s="77">
        <v>0.0</v>
      </c>
      <c r="J229" s="77">
        <v>2226.0</v>
      </c>
      <c r="K229" s="78">
        <f t="shared" si="9"/>
        <v>0</v>
      </c>
      <c r="L229" s="79">
        <f t="shared" si="10"/>
        <v>0</v>
      </c>
      <c r="M229" s="80">
        <f t="shared" si="11"/>
        <v>0</v>
      </c>
      <c r="N229" s="77">
        <v>0.0</v>
      </c>
      <c r="O229" s="77">
        <v>1994.0</v>
      </c>
      <c r="P229" s="81">
        <f t="shared" si="12"/>
        <v>0</v>
      </c>
      <c r="Q229" s="82">
        <v>0.0</v>
      </c>
      <c r="R229" s="77">
        <v>1965.0</v>
      </c>
      <c r="S229" s="81">
        <f t="shared" si="13"/>
        <v>0</v>
      </c>
      <c r="T229" s="77">
        <v>0.0</v>
      </c>
      <c r="U229" s="77">
        <v>1936.0</v>
      </c>
      <c r="V229" s="81">
        <f t="shared" si="14"/>
        <v>0</v>
      </c>
      <c r="W229" s="83">
        <f t="shared" si="15"/>
        <v>0</v>
      </c>
      <c r="X229" s="84">
        <f t="shared" si="16"/>
        <v>0</v>
      </c>
      <c r="AD229" s="65"/>
      <c r="AG229" s="65"/>
      <c r="AJ229" s="65"/>
      <c r="AK229" s="65"/>
      <c r="AL229" s="68"/>
      <c r="AO229" s="65"/>
      <c r="AR229" s="65"/>
      <c r="AU229" s="65"/>
      <c r="AV229" s="65"/>
      <c r="AW229" s="68"/>
    </row>
    <row r="230" ht="15.75" customHeight="1">
      <c r="A230" s="29">
        <v>51101.0</v>
      </c>
      <c r="B230" s="76" t="s">
        <v>235</v>
      </c>
      <c r="C230" s="77">
        <v>10000.0</v>
      </c>
      <c r="D230" s="77">
        <v>21917.0</v>
      </c>
      <c r="E230" s="78">
        <f t="shared" si="7"/>
        <v>0.4562668248</v>
      </c>
      <c r="F230" s="77">
        <v>10000.0</v>
      </c>
      <c r="G230" s="77">
        <v>21456.333333333332</v>
      </c>
      <c r="H230" s="78">
        <f t="shared" si="8"/>
        <v>0.4660628563</v>
      </c>
      <c r="I230" s="77">
        <v>0.0</v>
      </c>
      <c r="J230" s="77">
        <v>20995.666666666668</v>
      </c>
      <c r="K230" s="78">
        <f t="shared" si="9"/>
        <v>0</v>
      </c>
      <c r="L230" s="79">
        <f t="shared" si="10"/>
        <v>0.3074432271</v>
      </c>
      <c r="M230" s="80">
        <f t="shared" si="11"/>
        <v>6666.666667</v>
      </c>
      <c r="N230" s="77">
        <v>30000.0</v>
      </c>
      <c r="O230" s="77">
        <v>17310.333333333332</v>
      </c>
      <c r="P230" s="81">
        <f t="shared" si="12"/>
        <v>1.73306888</v>
      </c>
      <c r="Q230" s="82">
        <v>26354.0</v>
      </c>
      <c r="R230" s="77">
        <v>16849.666666666664</v>
      </c>
      <c r="S230" s="81">
        <f t="shared" si="13"/>
        <v>1.564066549</v>
      </c>
      <c r="T230" s="77">
        <v>29988.0</v>
      </c>
      <c r="U230" s="77">
        <v>16389.0</v>
      </c>
      <c r="V230" s="81">
        <f t="shared" si="14"/>
        <v>1.829763866</v>
      </c>
      <c r="W230" s="83">
        <f t="shared" si="15"/>
        <v>1.708966432</v>
      </c>
      <c r="X230" s="84">
        <f t="shared" si="16"/>
        <v>28780.66667</v>
      </c>
      <c r="AD230" s="65"/>
      <c r="AG230" s="65"/>
      <c r="AJ230" s="65"/>
      <c r="AK230" s="65"/>
      <c r="AL230" s="68"/>
      <c r="AO230" s="65"/>
      <c r="AR230" s="65"/>
      <c r="AU230" s="65"/>
      <c r="AV230" s="65"/>
      <c r="AW230" s="68"/>
    </row>
    <row r="231" ht="15.75" customHeight="1">
      <c r="A231" s="29">
        <v>51102.0</v>
      </c>
      <c r="B231" s="76" t="s">
        <v>236</v>
      </c>
      <c r="C231" s="77">
        <v>18500.0</v>
      </c>
      <c r="D231" s="77">
        <v>12067.0</v>
      </c>
      <c r="E231" s="78">
        <f t="shared" si="7"/>
        <v>1.53310682</v>
      </c>
      <c r="F231" s="77">
        <v>18500.0</v>
      </c>
      <c r="G231" s="77">
        <v>12144.666666666666</v>
      </c>
      <c r="H231" s="78">
        <f t="shared" si="8"/>
        <v>1.52330241</v>
      </c>
      <c r="I231" s="77">
        <v>0.0</v>
      </c>
      <c r="J231" s="77">
        <v>12222.333333333334</v>
      </c>
      <c r="K231" s="78">
        <f t="shared" si="9"/>
        <v>0</v>
      </c>
      <c r="L231" s="79">
        <f t="shared" si="10"/>
        <v>1.018803077</v>
      </c>
      <c r="M231" s="80">
        <f t="shared" si="11"/>
        <v>12333.33333</v>
      </c>
      <c r="N231" s="77">
        <v>41100.0</v>
      </c>
      <c r="O231" s="77">
        <v>12843.666666666666</v>
      </c>
      <c r="P231" s="81">
        <f t="shared" si="12"/>
        <v>3.200020763</v>
      </c>
      <c r="Q231" s="82">
        <v>41400.0</v>
      </c>
      <c r="R231" s="77">
        <v>12921.333333333334</v>
      </c>
      <c r="S231" s="81">
        <f t="shared" si="13"/>
        <v>3.204003715</v>
      </c>
      <c r="T231" s="77">
        <v>20000.0</v>
      </c>
      <c r="U231" s="77">
        <v>12999.0</v>
      </c>
      <c r="V231" s="81">
        <f t="shared" si="14"/>
        <v>1.538579891</v>
      </c>
      <c r="W231" s="83">
        <f t="shared" si="15"/>
        <v>2.647534789</v>
      </c>
      <c r="X231" s="84">
        <f t="shared" si="16"/>
        <v>34166.66667</v>
      </c>
      <c r="AD231" s="65"/>
      <c r="AG231" s="65"/>
      <c r="AJ231" s="65"/>
      <c r="AK231" s="65"/>
      <c r="AL231" s="68"/>
      <c r="AO231" s="65"/>
      <c r="AR231" s="65"/>
      <c r="AU231" s="65"/>
      <c r="AV231" s="65"/>
      <c r="AW231" s="68"/>
    </row>
    <row r="232" ht="15.75" customHeight="1">
      <c r="A232" s="29">
        <v>51103.0</v>
      </c>
      <c r="B232" s="76" t="s">
        <v>237</v>
      </c>
      <c r="C232" s="77">
        <v>25000.0</v>
      </c>
      <c r="D232" s="77">
        <v>15812.0</v>
      </c>
      <c r="E232" s="78">
        <f t="shared" si="7"/>
        <v>1.581077663</v>
      </c>
      <c r="F232" s="77">
        <v>28560.0</v>
      </c>
      <c r="G232" s="77">
        <v>15689.166666666666</v>
      </c>
      <c r="H232" s="78">
        <f t="shared" si="8"/>
        <v>1.82036437</v>
      </c>
      <c r="I232" s="77">
        <v>0.0</v>
      </c>
      <c r="J232" s="77">
        <v>15566.333333333334</v>
      </c>
      <c r="K232" s="78">
        <f t="shared" si="9"/>
        <v>0</v>
      </c>
      <c r="L232" s="79">
        <f t="shared" si="10"/>
        <v>1.133814011</v>
      </c>
      <c r="M232" s="80">
        <f t="shared" si="11"/>
        <v>17853.33333</v>
      </c>
      <c r="N232" s="77">
        <v>0.0</v>
      </c>
      <c r="O232" s="77">
        <v>14583.666666666666</v>
      </c>
      <c r="P232" s="81">
        <f t="shared" si="12"/>
        <v>0</v>
      </c>
      <c r="Q232" s="82">
        <v>0.0</v>
      </c>
      <c r="R232" s="77">
        <v>14460.833333333334</v>
      </c>
      <c r="S232" s="81">
        <f t="shared" si="13"/>
        <v>0</v>
      </c>
      <c r="T232" s="77">
        <v>0.0</v>
      </c>
      <c r="U232" s="77">
        <v>14338.0</v>
      </c>
      <c r="V232" s="81">
        <f t="shared" si="14"/>
        <v>0</v>
      </c>
      <c r="W232" s="83">
        <f t="shared" si="15"/>
        <v>0</v>
      </c>
      <c r="X232" s="84">
        <f t="shared" si="16"/>
        <v>0</v>
      </c>
      <c r="AD232" s="65"/>
      <c r="AG232" s="65"/>
      <c r="AJ232" s="65"/>
      <c r="AK232" s="65"/>
      <c r="AL232" s="68"/>
      <c r="AO232" s="65"/>
      <c r="AR232" s="65"/>
      <c r="AU232" s="65"/>
      <c r="AV232" s="65"/>
      <c r="AW232" s="68"/>
    </row>
    <row r="233" ht="15.75" customHeight="1">
      <c r="A233" s="29">
        <v>51201.0</v>
      </c>
      <c r="B233" s="76" t="s">
        <v>238</v>
      </c>
      <c r="C233" s="77">
        <v>230000.0</v>
      </c>
      <c r="D233" s="77">
        <v>29672.0</v>
      </c>
      <c r="E233" s="78">
        <f t="shared" si="7"/>
        <v>7.751415476</v>
      </c>
      <c r="F233" s="77">
        <v>330000.0</v>
      </c>
      <c r="G233" s="77">
        <v>30142.5</v>
      </c>
      <c r="H233" s="78">
        <f t="shared" si="8"/>
        <v>10.94799701</v>
      </c>
      <c r="I233" s="77">
        <v>0.0</v>
      </c>
      <c r="J233" s="77">
        <v>30613.0</v>
      </c>
      <c r="K233" s="78">
        <f t="shared" si="9"/>
        <v>0</v>
      </c>
      <c r="L233" s="79">
        <f t="shared" si="10"/>
        <v>6.233137497</v>
      </c>
      <c r="M233" s="80">
        <f t="shared" si="11"/>
        <v>186666.6667</v>
      </c>
      <c r="N233" s="77">
        <v>1074399.0</v>
      </c>
      <c r="O233" s="77">
        <v>34377.0</v>
      </c>
      <c r="P233" s="81">
        <f t="shared" si="12"/>
        <v>31.25342526</v>
      </c>
      <c r="Q233" s="82">
        <v>1252873.0</v>
      </c>
      <c r="R233" s="77">
        <v>34847.5</v>
      </c>
      <c r="S233" s="81">
        <f t="shared" si="13"/>
        <v>35.95302389</v>
      </c>
      <c r="T233" s="77">
        <v>1403859.0</v>
      </c>
      <c r="U233" s="77">
        <v>35318.0</v>
      </c>
      <c r="V233" s="81">
        <f t="shared" si="14"/>
        <v>39.7491081</v>
      </c>
      <c r="W233" s="83">
        <f t="shared" si="15"/>
        <v>35.65185242</v>
      </c>
      <c r="X233" s="84">
        <f t="shared" si="16"/>
        <v>1243710.333</v>
      </c>
      <c r="AD233" s="65"/>
      <c r="AG233" s="65"/>
      <c r="AJ233" s="65"/>
      <c r="AK233" s="65"/>
      <c r="AL233" s="68"/>
      <c r="AO233" s="65"/>
      <c r="AR233" s="65"/>
      <c r="AU233" s="65"/>
      <c r="AV233" s="65"/>
      <c r="AW233" s="68"/>
    </row>
    <row r="234" ht="15.75" customHeight="1">
      <c r="A234" s="29">
        <v>51202.0</v>
      </c>
      <c r="B234" s="76" t="s">
        <v>239</v>
      </c>
      <c r="C234" s="77">
        <v>15000.0</v>
      </c>
      <c r="D234" s="77">
        <v>8854.0</v>
      </c>
      <c r="E234" s="78">
        <f t="shared" si="7"/>
        <v>1.694149537</v>
      </c>
      <c r="F234" s="77">
        <v>22000.0</v>
      </c>
      <c r="G234" s="77">
        <v>8769.916666666666</v>
      </c>
      <c r="H234" s="78">
        <f t="shared" si="8"/>
        <v>2.508575718</v>
      </c>
      <c r="I234" s="77">
        <v>0.0</v>
      </c>
      <c r="J234" s="77">
        <v>8685.833333333334</v>
      </c>
      <c r="K234" s="78">
        <f t="shared" si="9"/>
        <v>0</v>
      </c>
      <c r="L234" s="79">
        <f t="shared" si="10"/>
        <v>1.400908418</v>
      </c>
      <c r="M234" s="80">
        <f t="shared" si="11"/>
        <v>12333.33333</v>
      </c>
      <c r="N234" s="77">
        <v>46500.0</v>
      </c>
      <c r="O234" s="77">
        <v>8013.166666666667</v>
      </c>
      <c r="P234" s="81">
        <f t="shared" si="12"/>
        <v>5.802949313</v>
      </c>
      <c r="Q234" s="82">
        <v>44080.0</v>
      </c>
      <c r="R234" s="77">
        <v>7929.083333333333</v>
      </c>
      <c r="S234" s="81">
        <f t="shared" si="13"/>
        <v>5.559280707</v>
      </c>
      <c r="T234" s="77">
        <v>46380.0</v>
      </c>
      <c r="U234" s="77">
        <v>7845.0</v>
      </c>
      <c r="V234" s="81">
        <f t="shared" si="14"/>
        <v>5.912045889</v>
      </c>
      <c r="W234" s="83">
        <f t="shared" si="15"/>
        <v>5.75809197</v>
      </c>
      <c r="X234" s="84">
        <f t="shared" si="16"/>
        <v>45653.33333</v>
      </c>
      <c r="AD234" s="65"/>
      <c r="AG234" s="65"/>
      <c r="AJ234" s="65"/>
      <c r="AK234" s="65"/>
      <c r="AL234" s="68"/>
      <c r="AO234" s="65"/>
      <c r="AR234" s="65"/>
      <c r="AU234" s="65"/>
      <c r="AV234" s="65"/>
      <c r="AW234" s="68"/>
    </row>
    <row r="235" ht="15.75" customHeight="1">
      <c r="A235" s="29">
        <v>51203.0</v>
      </c>
      <c r="B235" s="76" t="s">
        <v>240</v>
      </c>
      <c r="C235" s="77">
        <v>70000.0</v>
      </c>
      <c r="D235" s="77">
        <v>10866.0</v>
      </c>
      <c r="E235" s="78">
        <f t="shared" si="7"/>
        <v>6.442113013</v>
      </c>
      <c r="F235" s="77">
        <v>72400.0</v>
      </c>
      <c r="G235" s="77">
        <v>11181.666666666666</v>
      </c>
      <c r="H235" s="78">
        <f t="shared" si="8"/>
        <v>6.474884484</v>
      </c>
      <c r="I235" s="77">
        <v>0.0</v>
      </c>
      <c r="J235" s="77">
        <v>11497.333333333334</v>
      </c>
      <c r="K235" s="78">
        <f t="shared" si="9"/>
        <v>0</v>
      </c>
      <c r="L235" s="79">
        <f t="shared" si="10"/>
        <v>4.305665832</v>
      </c>
      <c r="M235" s="80">
        <f t="shared" si="11"/>
        <v>47466.66667</v>
      </c>
      <c r="N235" s="77">
        <v>77000.0</v>
      </c>
      <c r="O235" s="77">
        <v>14022.666666666668</v>
      </c>
      <c r="P235" s="81">
        <f t="shared" si="12"/>
        <v>5.491109632</v>
      </c>
      <c r="Q235" s="82">
        <v>107000.0</v>
      </c>
      <c r="R235" s="77">
        <v>14338.333333333334</v>
      </c>
      <c r="S235" s="81">
        <f t="shared" si="13"/>
        <v>7.462513077</v>
      </c>
      <c r="T235" s="77">
        <v>107000.0</v>
      </c>
      <c r="U235" s="77">
        <v>14654.0</v>
      </c>
      <c r="V235" s="81">
        <f t="shared" si="14"/>
        <v>7.301760611</v>
      </c>
      <c r="W235" s="83">
        <f t="shared" si="15"/>
        <v>6.75179444</v>
      </c>
      <c r="X235" s="84">
        <f t="shared" si="16"/>
        <v>97000</v>
      </c>
      <c r="AD235" s="65"/>
      <c r="AG235" s="65"/>
      <c r="AJ235" s="65"/>
      <c r="AK235" s="65"/>
      <c r="AL235" s="68"/>
      <c r="AO235" s="65"/>
      <c r="AR235" s="65"/>
      <c r="AU235" s="65"/>
      <c r="AV235" s="65"/>
      <c r="AW235" s="68"/>
    </row>
    <row r="236" ht="15.75" customHeight="1">
      <c r="A236" s="29">
        <v>51204.0</v>
      </c>
      <c r="B236" s="76" t="s">
        <v>241</v>
      </c>
      <c r="C236" s="77">
        <v>0.0</v>
      </c>
      <c r="D236" s="77">
        <v>5935.0</v>
      </c>
      <c r="E236" s="78">
        <f t="shared" si="7"/>
        <v>0</v>
      </c>
      <c r="F236" s="77">
        <v>0.0</v>
      </c>
      <c r="G236" s="77">
        <v>5925.333333333333</v>
      </c>
      <c r="H236" s="78">
        <f t="shared" si="8"/>
        <v>0</v>
      </c>
      <c r="I236" s="77">
        <v>0.0</v>
      </c>
      <c r="J236" s="77">
        <v>5915.666666666667</v>
      </c>
      <c r="K236" s="78">
        <f t="shared" si="9"/>
        <v>0</v>
      </c>
      <c r="L236" s="79">
        <f t="shared" si="10"/>
        <v>0</v>
      </c>
      <c r="M236" s="80">
        <f t="shared" si="11"/>
        <v>0</v>
      </c>
      <c r="N236" s="77">
        <v>0.0</v>
      </c>
      <c r="O236" s="77">
        <v>5838.333333333333</v>
      </c>
      <c r="P236" s="81">
        <f t="shared" si="12"/>
        <v>0</v>
      </c>
      <c r="Q236" s="82">
        <v>4000.0</v>
      </c>
      <c r="R236" s="77">
        <v>5828.666666666667</v>
      </c>
      <c r="S236" s="81">
        <f t="shared" si="13"/>
        <v>0.6862632964</v>
      </c>
      <c r="T236" s="77">
        <v>4000.0</v>
      </c>
      <c r="U236" s="77">
        <v>5819.0</v>
      </c>
      <c r="V236" s="81">
        <f t="shared" si="14"/>
        <v>0.6874033339</v>
      </c>
      <c r="W236" s="83">
        <f t="shared" si="15"/>
        <v>0.4578888768</v>
      </c>
      <c r="X236" s="84">
        <f t="shared" si="16"/>
        <v>2666.666667</v>
      </c>
      <c r="AD236" s="65"/>
      <c r="AG236" s="65"/>
      <c r="AJ236" s="65"/>
      <c r="AK236" s="65"/>
      <c r="AL236" s="68"/>
      <c r="AO236" s="65"/>
      <c r="AR236" s="65"/>
      <c r="AU236" s="65"/>
      <c r="AV236" s="65"/>
      <c r="AW236" s="68"/>
    </row>
    <row r="237" ht="15.75" customHeight="1">
      <c r="A237" s="29">
        <v>51301.0</v>
      </c>
      <c r="B237" s="76" t="s">
        <v>242</v>
      </c>
      <c r="C237" s="77">
        <v>15000.0</v>
      </c>
      <c r="D237" s="77">
        <v>4170.0</v>
      </c>
      <c r="E237" s="78">
        <f t="shared" si="7"/>
        <v>3.597122302</v>
      </c>
      <c r="F237" s="77">
        <v>19000.0</v>
      </c>
      <c r="G237" s="77">
        <v>4128.0</v>
      </c>
      <c r="H237" s="78">
        <f t="shared" si="8"/>
        <v>4.602713178</v>
      </c>
      <c r="I237" s="77">
        <v>0.0</v>
      </c>
      <c r="J237" s="77">
        <v>4086.0</v>
      </c>
      <c r="K237" s="78">
        <f t="shared" si="9"/>
        <v>0</v>
      </c>
      <c r="L237" s="79">
        <f t="shared" si="10"/>
        <v>2.733278493</v>
      </c>
      <c r="M237" s="80">
        <f t="shared" si="11"/>
        <v>11333.33333</v>
      </c>
      <c r="N237" s="77">
        <v>5000.0</v>
      </c>
      <c r="O237" s="77">
        <v>3750.0</v>
      </c>
      <c r="P237" s="81">
        <f t="shared" si="12"/>
        <v>1.333333333</v>
      </c>
      <c r="Q237" s="82">
        <v>10000.0</v>
      </c>
      <c r="R237" s="77">
        <v>3708.0</v>
      </c>
      <c r="S237" s="81">
        <f t="shared" si="13"/>
        <v>2.696871629</v>
      </c>
      <c r="T237" s="77">
        <v>10000.0</v>
      </c>
      <c r="U237" s="77">
        <v>3666.0</v>
      </c>
      <c r="V237" s="81">
        <f t="shared" si="14"/>
        <v>2.727768685</v>
      </c>
      <c r="W237" s="83">
        <f t="shared" si="15"/>
        <v>2.252657882</v>
      </c>
      <c r="X237" s="84">
        <f t="shared" si="16"/>
        <v>8333.333333</v>
      </c>
      <c r="AD237" s="65"/>
      <c r="AG237" s="65"/>
      <c r="AJ237" s="65"/>
      <c r="AK237" s="65"/>
      <c r="AL237" s="68"/>
      <c r="AO237" s="65"/>
      <c r="AR237" s="65"/>
      <c r="AU237" s="65"/>
      <c r="AV237" s="65"/>
      <c r="AW237" s="68"/>
    </row>
    <row r="238" ht="15.75" customHeight="1">
      <c r="A238" s="29">
        <v>51302.0</v>
      </c>
      <c r="B238" s="76" t="s">
        <v>243</v>
      </c>
      <c r="C238" s="77">
        <v>45000.0</v>
      </c>
      <c r="D238" s="77">
        <v>6161.0</v>
      </c>
      <c r="E238" s="78">
        <f t="shared" si="7"/>
        <v>7.304009089</v>
      </c>
      <c r="F238" s="77">
        <v>45000.0</v>
      </c>
      <c r="G238" s="77">
        <v>6020.166666666667</v>
      </c>
      <c r="H238" s="78">
        <f t="shared" si="8"/>
        <v>7.474876111</v>
      </c>
      <c r="I238" s="77">
        <v>0.0</v>
      </c>
      <c r="J238" s="77">
        <v>5879.333333333333</v>
      </c>
      <c r="K238" s="78">
        <f t="shared" si="9"/>
        <v>0</v>
      </c>
      <c r="L238" s="79">
        <f t="shared" si="10"/>
        <v>4.926295067</v>
      </c>
      <c r="M238" s="80">
        <f t="shared" si="11"/>
        <v>30000</v>
      </c>
      <c r="N238" s="77">
        <v>10000.0</v>
      </c>
      <c r="O238" s="77">
        <v>4752.666666666666</v>
      </c>
      <c r="P238" s="81">
        <f t="shared" si="12"/>
        <v>2.104081919</v>
      </c>
      <c r="Q238" s="82">
        <v>160128.0</v>
      </c>
      <c r="R238" s="77">
        <v>4611.833333333333</v>
      </c>
      <c r="S238" s="81">
        <f t="shared" si="13"/>
        <v>34.72111597</v>
      </c>
      <c r="T238" s="77">
        <v>10000.0</v>
      </c>
      <c r="U238" s="77">
        <v>4471.0</v>
      </c>
      <c r="V238" s="81">
        <f t="shared" si="14"/>
        <v>2.236636099</v>
      </c>
      <c r="W238" s="83">
        <f t="shared" si="15"/>
        <v>13.02061133</v>
      </c>
      <c r="X238" s="84">
        <f t="shared" si="16"/>
        <v>60042.66667</v>
      </c>
      <c r="AD238" s="65"/>
      <c r="AG238" s="65"/>
      <c r="AJ238" s="65"/>
      <c r="AK238" s="65"/>
      <c r="AL238" s="68"/>
      <c r="AO238" s="65"/>
      <c r="AR238" s="65"/>
      <c r="AU238" s="65"/>
      <c r="AV238" s="65"/>
      <c r="AW238" s="68"/>
    </row>
    <row r="239" ht="15.75" customHeight="1">
      <c r="A239" s="29">
        <v>51401.0</v>
      </c>
      <c r="B239" s="76" t="s">
        <v>244</v>
      </c>
      <c r="C239" s="77">
        <v>30000.0</v>
      </c>
      <c r="D239" s="77">
        <v>4150.0</v>
      </c>
      <c r="E239" s="78">
        <f t="shared" si="7"/>
        <v>7.228915663</v>
      </c>
      <c r="F239" s="77">
        <v>38510.0</v>
      </c>
      <c r="G239" s="77">
        <v>4153.083333333333</v>
      </c>
      <c r="H239" s="78">
        <f t="shared" si="8"/>
        <v>9.27262877</v>
      </c>
      <c r="I239" s="77">
        <v>0.0</v>
      </c>
      <c r="J239" s="77">
        <v>4156.166666666667</v>
      </c>
      <c r="K239" s="78">
        <f t="shared" si="9"/>
        <v>0</v>
      </c>
      <c r="L239" s="79">
        <f t="shared" si="10"/>
        <v>5.500514811</v>
      </c>
      <c r="M239" s="80">
        <f t="shared" si="11"/>
        <v>22836.66667</v>
      </c>
      <c r="N239" s="77">
        <v>134132.0</v>
      </c>
      <c r="O239" s="77">
        <v>4180.833333333333</v>
      </c>
      <c r="P239" s="81">
        <f t="shared" si="12"/>
        <v>32.08259916</v>
      </c>
      <c r="Q239" s="82">
        <v>106278.0</v>
      </c>
      <c r="R239" s="77">
        <v>4183.916666666667</v>
      </c>
      <c r="S239" s="81">
        <f t="shared" si="13"/>
        <v>25.40155755</v>
      </c>
      <c r="T239" s="77">
        <v>51384.0</v>
      </c>
      <c r="U239" s="77">
        <v>4187.0</v>
      </c>
      <c r="V239" s="81">
        <f t="shared" si="14"/>
        <v>12.27227132</v>
      </c>
      <c r="W239" s="83">
        <f t="shared" si="15"/>
        <v>23.25214268</v>
      </c>
      <c r="X239" s="84">
        <f t="shared" si="16"/>
        <v>97264.66667</v>
      </c>
      <c r="AD239" s="65"/>
      <c r="AG239" s="65"/>
      <c r="AJ239" s="65"/>
      <c r="AK239" s="65"/>
      <c r="AL239" s="68"/>
      <c r="AO239" s="65"/>
      <c r="AR239" s="65"/>
      <c r="AU239" s="65"/>
      <c r="AV239" s="65"/>
      <c r="AW239" s="68"/>
    </row>
    <row r="240" ht="15.75" customHeight="1">
      <c r="A240" s="29">
        <v>51402.0</v>
      </c>
      <c r="B240" s="76" t="s">
        <v>245</v>
      </c>
      <c r="C240" s="77">
        <v>0.0</v>
      </c>
      <c r="D240" s="77">
        <v>1700.0</v>
      </c>
      <c r="E240" s="78">
        <f t="shared" si="7"/>
        <v>0</v>
      </c>
      <c r="F240" s="77">
        <v>3000.0</v>
      </c>
      <c r="G240" s="77">
        <v>1687.1666666666667</v>
      </c>
      <c r="H240" s="78">
        <f t="shared" si="8"/>
        <v>1.778129013</v>
      </c>
      <c r="I240" s="77">
        <v>0.0</v>
      </c>
      <c r="J240" s="77">
        <v>1674.3333333333333</v>
      </c>
      <c r="K240" s="78">
        <f t="shared" si="9"/>
        <v>0</v>
      </c>
      <c r="L240" s="79">
        <f t="shared" si="10"/>
        <v>0.592709671</v>
      </c>
      <c r="M240" s="80">
        <f t="shared" si="11"/>
        <v>1000</v>
      </c>
      <c r="N240" s="77">
        <v>0.0</v>
      </c>
      <c r="O240" s="77">
        <v>1571.6666666666667</v>
      </c>
      <c r="P240" s="81">
        <f t="shared" si="12"/>
        <v>0</v>
      </c>
      <c r="Q240" s="82">
        <v>0.0</v>
      </c>
      <c r="R240" s="77">
        <v>1558.8333333333333</v>
      </c>
      <c r="S240" s="81">
        <f t="shared" si="13"/>
        <v>0</v>
      </c>
      <c r="T240" s="77">
        <v>0.0</v>
      </c>
      <c r="U240" s="77">
        <v>1546.0</v>
      </c>
      <c r="V240" s="81">
        <f t="shared" si="14"/>
        <v>0</v>
      </c>
      <c r="W240" s="83">
        <f t="shared" si="15"/>
        <v>0</v>
      </c>
      <c r="X240" s="84">
        <f t="shared" si="16"/>
        <v>0</v>
      </c>
      <c r="AD240" s="65"/>
      <c r="AG240" s="65"/>
      <c r="AJ240" s="65"/>
      <c r="AK240" s="65"/>
      <c r="AL240" s="68"/>
      <c r="AO240" s="65"/>
      <c r="AR240" s="65"/>
      <c r="AU240" s="65"/>
      <c r="AV240" s="65"/>
      <c r="AW240" s="68"/>
    </row>
    <row r="241" ht="15.75" customHeight="1">
      <c r="A241" s="29">
        <v>51501.0</v>
      </c>
      <c r="B241" s="76" t="s">
        <v>246</v>
      </c>
      <c r="C241" s="77">
        <v>700000.0</v>
      </c>
      <c r="D241" s="77">
        <v>44906.0</v>
      </c>
      <c r="E241" s="78">
        <f t="shared" si="7"/>
        <v>15.5881174</v>
      </c>
      <c r="F241" s="77">
        <v>1000000.0</v>
      </c>
      <c r="G241" s="77">
        <v>45275.5</v>
      </c>
      <c r="H241" s="78">
        <f t="shared" si="8"/>
        <v>22.0870007</v>
      </c>
      <c r="I241" s="77">
        <v>0.0</v>
      </c>
      <c r="J241" s="77">
        <v>45645.0</v>
      </c>
      <c r="K241" s="78">
        <f t="shared" si="9"/>
        <v>0</v>
      </c>
      <c r="L241" s="79">
        <f t="shared" si="10"/>
        <v>12.5583727</v>
      </c>
      <c r="M241" s="80">
        <f t="shared" si="11"/>
        <v>566666.6667</v>
      </c>
      <c r="N241" s="77">
        <v>2500000.0</v>
      </c>
      <c r="O241" s="77">
        <v>48601.0</v>
      </c>
      <c r="P241" s="81">
        <f t="shared" si="12"/>
        <v>51.4392708</v>
      </c>
      <c r="Q241" s="82">
        <v>2958410.0</v>
      </c>
      <c r="R241" s="77">
        <v>48970.5</v>
      </c>
      <c r="S241" s="81">
        <f t="shared" si="13"/>
        <v>60.41208483</v>
      </c>
      <c r="T241" s="77">
        <v>3326072.0</v>
      </c>
      <c r="U241" s="77">
        <v>49340.0</v>
      </c>
      <c r="V241" s="81">
        <f t="shared" si="14"/>
        <v>67.41126875</v>
      </c>
      <c r="W241" s="83">
        <f t="shared" si="15"/>
        <v>59.75420812</v>
      </c>
      <c r="X241" s="84">
        <f t="shared" si="16"/>
        <v>2928160.667</v>
      </c>
      <c r="AD241" s="65"/>
      <c r="AG241" s="65"/>
      <c r="AJ241" s="65"/>
      <c r="AK241" s="65"/>
      <c r="AL241" s="68"/>
      <c r="AO241" s="65"/>
      <c r="AR241" s="65"/>
      <c r="AU241" s="65"/>
      <c r="AV241" s="65"/>
      <c r="AW241" s="68"/>
    </row>
    <row r="242" ht="15.75" customHeight="1">
      <c r="A242" s="29">
        <v>51601.0</v>
      </c>
      <c r="B242" s="76" t="s">
        <v>247</v>
      </c>
      <c r="C242" s="77">
        <v>0.0</v>
      </c>
      <c r="D242" s="77">
        <v>1684.0</v>
      </c>
      <c r="E242" s="78">
        <f t="shared" si="7"/>
        <v>0</v>
      </c>
      <c r="F242" s="77">
        <v>0.0</v>
      </c>
      <c r="G242" s="77">
        <v>1720.8333333333333</v>
      </c>
      <c r="H242" s="78">
        <f t="shared" si="8"/>
        <v>0</v>
      </c>
      <c r="I242" s="77">
        <v>0.0</v>
      </c>
      <c r="J242" s="77">
        <v>1757.6666666666667</v>
      </c>
      <c r="K242" s="78">
        <f t="shared" si="9"/>
        <v>0</v>
      </c>
      <c r="L242" s="79">
        <f t="shared" si="10"/>
        <v>0</v>
      </c>
      <c r="M242" s="80">
        <f t="shared" si="11"/>
        <v>0</v>
      </c>
      <c r="N242" s="77">
        <v>0.0</v>
      </c>
      <c r="O242" s="77">
        <v>2052.3333333333335</v>
      </c>
      <c r="P242" s="81">
        <f t="shared" si="12"/>
        <v>0</v>
      </c>
      <c r="Q242" s="82">
        <v>0.0</v>
      </c>
      <c r="R242" s="77">
        <v>2089.1666666666665</v>
      </c>
      <c r="S242" s="81">
        <f t="shared" si="13"/>
        <v>0</v>
      </c>
      <c r="T242" s="77">
        <v>0.0</v>
      </c>
      <c r="U242" s="77">
        <v>2126.0</v>
      </c>
      <c r="V242" s="81">
        <f t="shared" si="14"/>
        <v>0</v>
      </c>
      <c r="W242" s="83">
        <f t="shared" si="15"/>
        <v>0</v>
      </c>
      <c r="X242" s="84">
        <f t="shared" si="16"/>
        <v>0</v>
      </c>
      <c r="AD242" s="65"/>
      <c r="AG242" s="65"/>
      <c r="AJ242" s="65"/>
      <c r="AK242" s="65"/>
      <c r="AL242" s="68"/>
      <c r="AO242" s="65"/>
      <c r="AR242" s="65"/>
      <c r="AU242" s="65"/>
      <c r="AV242" s="65"/>
      <c r="AW242" s="68"/>
    </row>
    <row r="243" ht="15.75" customHeight="1">
      <c r="A243" s="29">
        <v>60101.0</v>
      </c>
      <c r="B243" s="76" t="s">
        <v>248</v>
      </c>
      <c r="C243" s="77">
        <v>1.1749782E7</v>
      </c>
      <c r="D243" s="77">
        <v>205375.0</v>
      </c>
      <c r="E243" s="78">
        <f t="shared" si="7"/>
        <v>57.21135484</v>
      </c>
      <c r="F243" s="77">
        <v>1.3332154E7</v>
      </c>
      <c r="G243" s="77">
        <v>208156.16666666666</v>
      </c>
      <c r="H243" s="78">
        <f t="shared" si="8"/>
        <v>64.0488063</v>
      </c>
      <c r="I243" s="77">
        <v>245857.0</v>
      </c>
      <c r="J243" s="77">
        <v>210937.33333333334</v>
      </c>
      <c r="K243" s="78">
        <f t="shared" si="9"/>
        <v>1.165545217</v>
      </c>
      <c r="L243" s="79">
        <f t="shared" si="10"/>
        <v>40.80856879</v>
      </c>
      <c r="M243" s="80">
        <f t="shared" si="11"/>
        <v>8442597.667</v>
      </c>
      <c r="N243" s="77">
        <v>2.2583322E7</v>
      </c>
      <c r="O243" s="77">
        <v>233186.66666666666</v>
      </c>
      <c r="P243" s="81">
        <f t="shared" si="12"/>
        <v>96.84654068</v>
      </c>
      <c r="Q243" s="82">
        <v>2.2783322E7</v>
      </c>
      <c r="R243" s="77">
        <v>235967.83333333334</v>
      </c>
      <c r="S243" s="81">
        <f t="shared" si="13"/>
        <v>96.55266007</v>
      </c>
      <c r="T243" s="77">
        <v>2.5763393E7</v>
      </c>
      <c r="U243" s="77">
        <v>238749.0</v>
      </c>
      <c r="V243" s="81">
        <f t="shared" si="14"/>
        <v>107.9099515</v>
      </c>
      <c r="W243" s="83">
        <f t="shared" si="15"/>
        <v>100.4363841</v>
      </c>
      <c r="X243" s="84">
        <f t="shared" si="16"/>
        <v>23710012.33</v>
      </c>
      <c r="AD243" s="65"/>
      <c r="AG243" s="65"/>
      <c r="AJ243" s="65"/>
      <c r="AK243" s="65"/>
      <c r="AL243" s="68"/>
      <c r="AO243" s="65"/>
      <c r="AR243" s="65"/>
      <c r="AU243" s="65"/>
      <c r="AV243" s="65"/>
      <c r="AW243" s="68"/>
    </row>
    <row r="244" ht="15.75" customHeight="1">
      <c r="A244" s="29">
        <v>60201.0</v>
      </c>
      <c r="B244" s="76" t="s">
        <v>249</v>
      </c>
      <c r="C244" s="77">
        <v>156300.0</v>
      </c>
      <c r="D244" s="77">
        <v>18681.0</v>
      </c>
      <c r="E244" s="78">
        <f t="shared" si="7"/>
        <v>8.366789786</v>
      </c>
      <c r="F244" s="77">
        <v>296500.0</v>
      </c>
      <c r="G244" s="77">
        <v>18609.0</v>
      </c>
      <c r="H244" s="78">
        <f t="shared" si="8"/>
        <v>15.93315063</v>
      </c>
      <c r="I244" s="77">
        <v>0.0</v>
      </c>
      <c r="J244" s="77">
        <v>18537.0</v>
      </c>
      <c r="K244" s="78">
        <f t="shared" si="9"/>
        <v>0</v>
      </c>
      <c r="L244" s="79">
        <f t="shared" si="10"/>
        <v>8.099980137</v>
      </c>
      <c r="M244" s="80">
        <f t="shared" si="11"/>
        <v>150933.3333</v>
      </c>
      <c r="N244" s="77">
        <v>120000.0</v>
      </c>
      <c r="O244" s="77">
        <v>17961.0</v>
      </c>
      <c r="P244" s="81">
        <f t="shared" si="12"/>
        <v>6.681142475</v>
      </c>
      <c r="Q244" s="82">
        <v>140000.0</v>
      </c>
      <c r="R244" s="77">
        <v>17889.0</v>
      </c>
      <c r="S244" s="81">
        <f t="shared" si="13"/>
        <v>7.826038348</v>
      </c>
      <c r="T244" s="77">
        <v>187632.0</v>
      </c>
      <c r="U244" s="77">
        <v>17817.0</v>
      </c>
      <c r="V244" s="81">
        <f t="shared" si="14"/>
        <v>10.53106584</v>
      </c>
      <c r="W244" s="83">
        <f t="shared" si="15"/>
        <v>8.34608222</v>
      </c>
      <c r="X244" s="84">
        <f t="shared" si="16"/>
        <v>149210.6667</v>
      </c>
      <c r="AD244" s="65"/>
      <c r="AG244" s="65"/>
      <c r="AJ244" s="65"/>
      <c r="AK244" s="65"/>
      <c r="AL244" s="68"/>
      <c r="AO244" s="65"/>
      <c r="AR244" s="65"/>
      <c r="AU244" s="65"/>
      <c r="AV244" s="65"/>
      <c r="AW244" s="68"/>
    </row>
    <row r="245" ht="15.75" customHeight="1">
      <c r="A245" s="29">
        <v>60202.0</v>
      </c>
      <c r="B245" s="76" t="s">
        <v>250</v>
      </c>
      <c r="C245" s="77">
        <v>715257.0</v>
      </c>
      <c r="D245" s="77">
        <v>34505.0</v>
      </c>
      <c r="E245" s="78">
        <f t="shared" si="7"/>
        <v>20.72908274</v>
      </c>
      <c r="F245" s="77">
        <v>1000000.0</v>
      </c>
      <c r="G245" s="77">
        <v>34710.416666666664</v>
      </c>
      <c r="H245" s="78">
        <f t="shared" si="8"/>
        <v>28.80979533</v>
      </c>
      <c r="I245" s="77">
        <v>0.0</v>
      </c>
      <c r="J245" s="77">
        <v>34915.833333333336</v>
      </c>
      <c r="K245" s="78">
        <f t="shared" si="9"/>
        <v>0</v>
      </c>
      <c r="L245" s="79">
        <f t="shared" si="10"/>
        <v>16.51295936</v>
      </c>
      <c r="M245" s="80">
        <f t="shared" si="11"/>
        <v>571752.3333</v>
      </c>
      <c r="N245" s="77">
        <v>1856979.0</v>
      </c>
      <c r="O245" s="77">
        <v>36559.166666666664</v>
      </c>
      <c r="P245" s="81">
        <f t="shared" si="12"/>
        <v>50.7938</v>
      </c>
      <c r="Q245" s="82">
        <v>1488590.0</v>
      </c>
      <c r="R245" s="77">
        <v>36764.583333333336</v>
      </c>
      <c r="S245" s="81">
        <f t="shared" si="13"/>
        <v>40.48978297</v>
      </c>
      <c r="T245" s="77">
        <v>1727650.0</v>
      </c>
      <c r="U245" s="77">
        <v>36970.0</v>
      </c>
      <c r="V245" s="81">
        <f t="shared" si="14"/>
        <v>46.73113335</v>
      </c>
      <c r="W245" s="83">
        <f t="shared" si="15"/>
        <v>46.00490544</v>
      </c>
      <c r="X245" s="84">
        <f t="shared" si="16"/>
        <v>1691073</v>
      </c>
      <c r="AD245" s="65"/>
      <c r="AG245" s="65"/>
      <c r="AJ245" s="65"/>
      <c r="AK245" s="65"/>
      <c r="AL245" s="68"/>
      <c r="AO245" s="65"/>
      <c r="AR245" s="65"/>
      <c r="AU245" s="65"/>
      <c r="AV245" s="65"/>
      <c r="AW245" s="68"/>
    </row>
    <row r="246" ht="15.75" customHeight="1">
      <c r="A246" s="29">
        <v>60301.0</v>
      </c>
      <c r="B246" s="76" t="s">
        <v>251</v>
      </c>
      <c r="C246" s="77">
        <v>4380000.0</v>
      </c>
      <c r="D246" s="77">
        <v>92245.0</v>
      </c>
      <c r="E246" s="78">
        <f t="shared" si="7"/>
        <v>47.48224836</v>
      </c>
      <c r="F246" s="77">
        <v>5204500.0</v>
      </c>
      <c r="G246" s="77">
        <v>92694.08333333333</v>
      </c>
      <c r="H246" s="78">
        <f t="shared" si="8"/>
        <v>56.14705721</v>
      </c>
      <c r="I246" s="77">
        <v>0.0</v>
      </c>
      <c r="J246" s="77">
        <v>93143.16666666667</v>
      </c>
      <c r="K246" s="78">
        <f t="shared" si="9"/>
        <v>0</v>
      </c>
      <c r="L246" s="79">
        <f t="shared" si="10"/>
        <v>34.54310186</v>
      </c>
      <c r="M246" s="80">
        <f t="shared" si="11"/>
        <v>3194833.333</v>
      </c>
      <c r="N246" s="77">
        <v>7408383.0</v>
      </c>
      <c r="O246" s="77">
        <v>96735.83333333333</v>
      </c>
      <c r="P246" s="81">
        <f t="shared" si="12"/>
        <v>76.58364791</v>
      </c>
      <c r="Q246" s="82">
        <v>8107951.0</v>
      </c>
      <c r="R246" s="77">
        <v>97184.91666666667</v>
      </c>
      <c r="S246" s="81">
        <f t="shared" si="13"/>
        <v>83.42807997</v>
      </c>
      <c r="T246" s="77">
        <v>6146667.0</v>
      </c>
      <c r="U246" s="77">
        <v>97634.0</v>
      </c>
      <c r="V246" s="81">
        <f t="shared" si="14"/>
        <v>62.95621402</v>
      </c>
      <c r="W246" s="83">
        <f t="shared" si="15"/>
        <v>74.3226473</v>
      </c>
      <c r="X246" s="84">
        <f t="shared" si="16"/>
        <v>7221000.333</v>
      </c>
      <c r="AD246" s="65"/>
      <c r="AG246" s="65"/>
      <c r="AJ246" s="65"/>
      <c r="AK246" s="65"/>
      <c r="AL246" s="68"/>
      <c r="AO246" s="65"/>
      <c r="AR246" s="65"/>
      <c r="AU246" s="65"/>
      <c r="AV246" s="65"/>
      <c r="AW246" s="68"/>
    </row>
    <row r="247" ht="15.75" customHeight="1">
      <c r="A247" s="29">
        <v>60302.0</v>
      </c>
      <c r="B247" s="76" t="s">
        <v>252</v>
      </c>
      <c r="C247" s="77">
        <v>790200.0</v>
      </c>
      <c r="D247" s="77">
        <v>15366.0</v>
      </c>
      <c r="E247" s="78">
        <f t="shared" si="7"/>
        <v>51.42522452</v>
      </c>
      <c r="F247" s="77">
        <v>1208600.0</v>
      </c>
      <c r="G247" s="77">
        <v>15382.083333333334</v>
      </c>
      <c r="H247" s="78">
        <f t="shared" si="8"/>
        <v>78.57193163</v>
      </c>
      <c r="I247" s="77">
        <v>50000.0</v>
      </c>
      <c r="J247" s="77">
        <v>15398.166666666666</v>
      </c>
      <c r="K247" s="78">
        <f t="shared" si="9"/>
        <v>3.247139811</v>
      </c>
      <c r="L247" s="79">
        <f t="shared" si="10"/>
        <v>44.41476532</v>
      </c>
      <c r="M247" s="80">
        <f t="shared" si="11"/>
        <v>682933.3333</v>
      </c>
      <c r="N247" s="77">
        <v>830969.0</v>
      </c>
      <c r="O247" s="77">
        <v>15526.833333333334</v>
      </c>
      <c r="P247" s="81">
        <f t="shared" si="12"/>
        <v>53.51825335</v>
      </c>
      <c r="Q247" s="82">
        <v>1035727.0</v>
      </c>
      <c r="R247" s="77">
        <v>15542.916666666666</v>
      </c>
      <c r="S247" s="81">
        <f t="shared" si="13"/>
        <v>66.63659223</v>
      </c>
      <c r="T247" s="77">
        <v>1011014.0</v>
      </c>
      <c r="U247" s="77">
        <v>15559.0</v>
      </c>
      <c r="V247" s="81">
        <f t="shared" si="14"/>
        <v>64.97936885</v>
      </c>
      <c r="W247" s="83">
        <f t="shared" si="15"/>
        <v>61.71140481</v>
      </c>
      <c r="X247" s="84">
        <f t="shared" si="16"/>
        <v>959236.6667</v>
      </c>
      <c r="AD247" s="65"/>
      <c r="AG247" s="65"/>
      <c r="AJ247" s="65"/>
      <c r="AK247" s="65"/>
      <c r="AL247" s="68"/>
      <c r="AO247" s="65"/>
      <c r="AR247" s="65"/>
      <c r="AU247" s="65"/>
      <c r="AV247" s="65"/>
      <c r="AW247" s="68"/>
    </row>
    <row r="248" ht="15.75" customHeight="1">
      <c r="A248" s="29">
        <v>60303.0</v>
      </c>
      <c r="B248" s="76" t="s">
        <v>253</v>
      </c>
      <c r="C248" s="77">
        <v>585000.0</v>
      </c>
      <c r="D248" s="77">
        <v>39867.0</v>
      </c>
      <c r="E248" s="78">
        <f t="shared" si="7"/>
        <v>14.67379035</v>
      </c>
      <c r="F248" s="77">
        <v>911000.0</v>
      </c>
      <c r="G248" s="77">
        <v>40384.0</v>
      </c>
      <c r="H248" s="78">
        <f t="shared" si="8"/>
        <v>22.55843899</v>
      </c>
      <c r="I248" s="77">
        <v>0.0</v>
      </c>
      <c r="J248" s="77">
        <v>40901.0</v>
      </c>
      <c r="K248" s="78">
        <f t="shared" si="9"/>
        <v>0</v>
      </c>
      <c r="L248" s="79">
        <f t="shared" si="10"/>
        <v>12.41074311</v>
      </c>
      <c r="M248" s="80">
        <f t="shared" si="11"/>
        <v>498666.6667</v>
      </c>
      <c r="N248" s="77">
        <v>3209700.0</v>
      </c>
      <c r="O248" s="77">
        <v>45037.0</v>
      </c>
      <c r="P248" s="81">
        <f t="shared" si="12"/>
        <v>71.26806848</v>
      </c>
      <c r="Q248" s="82">
        <v>3209686.0</v>
      </c>
      <c r="R248" s="77">
        <v>45554.0</v>
      </c>
      <c r="S248" s="81">
        <f t="shared" si="13"/>
        <v>70.45892787</v>
      </c>
      <c r="T248" s="77">
        <v>2998964.0</v>
      </c>
      <c r="U248" s="77">
        <v>46071.0</v>
      </c>
      <c r="V248" s="81">
        <f t="shared" si="14"/>
        <v>65.09439778</v>
      </c>
      <c r="W248" s="83">
        <f t="shared" si="15"/>
        <v>68.94046471</v>
      </c>
      <c r="X248" s="84">
        <f t="shared" si="16"/>
        <v>3139450</v>
      </c>
      <c r="AD248" s="65"/>
      <c r="AG248" s="65"/>
      <c r="AJ248" s="65"/>
      <c r="AK248" s="65"/>
      <c r="AL248" s="68"/>
      <c r="AO248" s="65"/>
      <c r="AR248" s="65"/>
      <c r="AU248" s="65"/>
      <c r="AV248" s="65"/>
      <c r="AW248" s="68"/>
    </row>
    <row r="249" ht="15.75" customHeight="1">
      <c r="A249" s="29">
        <v>60401.0</v>
      </c>
      <c r="B249" s="76" t="s">
        <v>254</v>
      </c>
      <c r="C249" s="77">
        <v>97864.0</v>
      </c>
      <c r="D249" s="77">
        <v>14781.0</v>
      </c>
      <c r="E249" s="78">
        <f t="shared" si="7"/>
        <v>6.620932278</v>
      </c>
      <c r="F249" s="77">
        <v>210491.0</v>
      </c>
      <c r="G249" s="77">
        <v>14876.166666666666</v>
      </c>
      <c r="H249" s="78">
        <f t="shared" si="8"/>
        <v>14.14954569</v>
      </c>
      <c r="I249" s="77">
        <v>0.0</v>
      </c>
      <c r="J249" s="77">
        <v>14971.333333333334</v>
      </c>
      <c r="K249" s="78">
        <f t="shared" si="9"/>
        <v>0</v>
      </c>
      <c r="L249" s="79">
        <f t="shared" si="10"/>
        <v>6.923492657</v>
      </c>
      <c r="M249" s="80">
        <f t="shared" si="11"/>
        <v>102785</v>
      </c>
      <c r="N249" s="77">
        <v>212041.0</v>
      </c>
      <c r="O249" s="77">
        <v>15732.666666666666</v>
      </c>
      <c r="P249" s="81">
        <f t="shared" si="12"/>
        <v>13.47775329</v>
      </c>
      <c r="Q249" s="82">
        <v>166800.0</v>
      </c>
      <c r="R249" s="77">
        <v>15827.833333333334</v>
      </c>
      <c r="S249" s="81">
        <f t="shared" si="13"/>
        <v>10.53839755</v>
      </c>
      <c r="T249" s="77">
        <v>300000.0</v>
      </c>
      <c r="U249" s="77">
        <v>15923.0</v>
      </c>
      <c r="V249" s="81">
        <f t="shared" si="14"/>
        <v>18.84067073</v>
      </c>
      <c r="W249" s="83">
        <f t="shared" si="15"/>
        <v>14.28560719</v>
      </c>
      <c r="X249" s="84">
        <f t="shared" si="16"/>
        <v>226280.3333</v>
      </c>
      <c r="AD249" s="65"/>
      <c r="AG249" s="65"/>
      <c r="AJ249" s="65"/>
      <c r="AK249" s="65"/>
      <c r="AL249" s="68"/>
      <c r="AO249" s="65"/>
      <c r="AR249" s="65"/>
      <c r="AU249" s="65"/>
      <c r="AV249" s="65"/>
      <c r="AW249" s="68"/>
    </row>
    <row r="250" ht="15.75" customHeight="1">
      <c r="A250" s="29">
        <v>60402.0</v>
      </c>
      <c r="B250" s="76" t="s">
        <v>255</v>
      </c>
      <c r="C250" s="77">
        <v>5000.0</v>
      </c>
      <c r="D250" s="77">
        <v>5490.0</v>
      </c>
      <c r="E250" s="78">
        <f t="shared" si="7"/>
        <v>0.9107468124</v>
      </c>
      <c r="F250" s="77">
        <v>93000.0</v>
      </c>
      <c r="G250" s="77">
        <v>5428.666666666667</v>
      </c>
      <c r="H250" s="78">
        <f t="shared" si="8"/>
        <v>17.1312784</v>
      </c>
      <c r="I250" s="77">
        <v>0.0</v>
      </c>
      <c r="J250" s="77">
        <v>5367.333333333333</v>
      </c>
      <c r="K250" s="78">
        <f t="shared" si="9"/>
        <v>0</v>
      </c>
      <c r="L250" s="79">
        <f t="shared" si="10"/>
        <v>6.014008404</v>
      </c>
      <c r="M250" s="80">
        <f t="shared" si="11"/>
        <v>32666.66667</v>
      </c>
      <c r="N250" s="77">
        <v>15735.0</v>
      </c>
      <c r="O250" s="77">
        <v>4876.666666666667</v>
      </c>
      <c r="P250" s="81">
        <f t="shared" si="12"/>
        <v>3.2265892</v>
      </c>
      <c r="Q250" s="82">
        <v>15581.0</v>
      </c>
      <c r="R250" s="77">
        <v>4815.333333333333</v>
      </c>
      <c r="S250" s="81">
        <f t="shared" si="13"/>
        <v>3.235705386</v>
      </c>
      <c r="T250" s="77">
        <v>10500.0</v>
      </c>
      <c r="U250" s="77">
        <v>4754.0</v>
      </c>
      <c r="V250" s="81">
        <f t="shared" si="14"/>
        <v>2.208666386</v>
      </c>
      <c r="W250" s="83">
        <f t="shared" si="15"/>
        <v>2.890320324</v>
      </c>
      <c r="X250" s="84">
        <f t="shared" si="16"/>
        <v>13938.66667</v>
      </c>
      <c r="AD250" s="65"/>
      <c r="AG250" s="65"/>
      <c r="AJ250" s="65"/>
      <c r="AK250" s="65"/>
      <c r="AL250" s="68"/>
      <c r="AO250" s="65"/>
      <c r="AR250" s="65"/>
      <c r="AU250" s="65"/>
      <c r="AV250" s="65"/>
      <c r="AW250" s="68"/>
    </row>
    <row r="251" ht="15.75" customHeight="1">
      <c r="A251" s="29">
        <v>60501.0</v>
      </c>
      <c r="B251" s="76" t="s">
        <v>256</v>
      </c>
      <c r="C251" s="77">
        <v>297460.0</v>
      </c>
      <c r="D251" s="77">
        <v>23863.0</v>
      </c>
      <c r="E251" s="78">
        <f t="shared" si="7"/>
        <v>12.46532288</v>
      </c>
      <c r="F251" s="77">
        <v>635293.0</v>
      </c>
      <c r="G251" s="77">
        <v>24403.25</v>
      </c>
      <c r="H251" s="78">
        <f t="shared" si="8"/>
        <v>26.03313083</v>
      </c>
      <c r="I251" s="77">
        <v>0.0</v>
      </c>
      <c r="J251" s="77">
        <v>24943.5</v>
      </c>
      <c r="K251" s="78">
        <f t="shared" si="9"/>
        <v>0</v>
      </c>
      <c r="L251" s="79">
        <f t="shared" si="10"/>
        <v>12.83281791</v>
      </c>
      <c r="M251" s="80">
        <f t="shared" si="11"/>
        <v>310917.6667</v>
      </c>
      <c r="N251" s="77">
        <v>160602.0</v>
      </c>
      <c r="O251" s="77">
        <v>29265.5</v>
      </c>
      <c r="P251" s="81">
        <f t="shared" si="12"/>
        <v>5.487758624</v>
      </c>
      <c r="Q251" s="82">
        <v>745689.0</v>
      </c>
      <c r="R251" s="77">
        <v>29805.75</v>
      </c>
      <c r="S251" s="81">
        <f t="shared" si="13"/>
        <v>25.01829345</v>
      </c>
      <c r="T251" s="77">
        <v>0.0</v>
      </c>
      <c r="U251" s="77">
        <v>30346.0</v>
      </c>
      <c r="V251" s="81">
        <f t="shared" si="14"/>
        <v>0</v>
      </c>
      <c r="W251" s="83">
        <f t="shared" si="15"/>
        <v>10.16868402</v>
      </c>
      <c r="X251" s="84">
        <f t="shared" si="16"/>
        <v>302097</v>
      </c>
      <c r="AD251" s="65"/>
      <c r="AG251" s="65"/>
      <c r="AJ251" s="65"/>
      <c r="AK251" s="65"/>
      <c r="AL251" s="68"/>
      <c r="AO251" s="65"/>
      <c r="AR251" s="65"/>
      <c r="AU251" s="65"/>
      <c r="AV251" s="65"/>
      <c r="AW251" s="68"/>
    </row>
    <row r="252" ht="15.75" customHeight="1">
      <c r="A252" s="29">
        <v>60502.0</v>
      </c>
      <c r="B252" s="76" t="s">
        <v>257</v>
      </c>
      <c r="C252" s="77">
        <v>50500.0</v>
      </c>
      <c r="D252" s="77">
        <v>11354.0</v>
      </c>
      <c r="E252" s="78">
        <f t="shared" si="7"/>
        <v>4.44777171</v>
      </c>
      <c r="F252" s="77">
        <v>52500.0</v>
      </c>
      <c r="G252" s="77">
        <v>11201.416666666666</v>
      </c>
      <c r="H252" s="78">
        <f t="shared" si="8"/>
        <v>4.686907162</v>
      </c>
      <c r="I252" s="77">
        <v>0.0</v>
      </c>
      <c r="J252" s="77">
        <v>11048.833333333334</v>
      </c>
      <c r="K252" s="78">
        <f t="shared" si="9"/>
        <v>0</v>
      </c>
      <c r="L252" s="79">
        <f t="shared" si="10"/>
        <v>3.044892957</v>
      </c>
      <c r="M252" s="80">
        <f t="shared" si="11"/>
        <v>34333.33333</v>
      </c>
      <c r="N252" s="77">
        <v>71004.0</v>
      </c>
      <c r="O252" s="77">
        <v>9828.166666666666</v>
      </c>
      <c r="P252" s="81">
        <f t="shared" si="12"/>
        <v>7.224541708</v>
      </c>
      <c r="Q252" s="82">
        <v>81000.0</v>
      </c>
      <c r="R252" s="77">
        <v>9675.583333333334</v>
      </c>
      <c r="S252" s="81">
        <f t="shared" si="13"/>
        <v>8.371588276</v>
      </c>
      <c r="T252" s="77">
        <v>77000.0</v>
      </c>
      <c r="U252" s="77">
        <v>9523.0</v>
      </c>
      <c r="V252" s="81">
        <f t="shared" si="14"/>
        <v>8.085687283</v>
      </c>
      <c r="W252" s="83">
        <f t="shared" si="15"/>
        <v>7.893939089</v>
      </c>
      <c r="X252" s="84">
        <f t="shared" si="16"/>
        <v>76334.66667</v>
      </c>
      <c r="AD252" s="65"/>
      <c r="AG252" s="65"/>
      <c r="AJ252" s="65"/>
      <c r="AK252" s="65"/>
      <c r="AL252" s="68"/>
      <c r="AO252" s="65"/>
      <c r="AR252" s="65"/>
      <c r="AU252" s="65"/>
      <c r="AV252" s="65"/>
      <c r="AW252" s="68"/>
    </row>
    <row r="253" ht="15.75" customHeight="1">
      <c r="A253" s="29">
        <v>60601.0</v>
      </c>
      <c r="B253" s="76" t="s">
        <v>159</v>
      </c>
      <c r="C253" s="77">
        <v>307702.0</v>
      </c>
      <c r="D253" s="77">
        <v>21991.0</v>
      </c>
      <c r="E253" s="78">
        <f t="shared" si="7"/>
        <v>13.99217862</v>
      </c>
      <c r="F253" s="77">
        <v>322982.0</v>
      </c>
      <c r="G253" s="77">
        <v>21897.083333333332</v>
      </c>
      <c r="H253" s="78">
        <f t="shared" si="8"/>
        <v>14.75000095</v>
      </c>
      <c r="I253" s="77">
        <v>0.0</v>
      </c>
      <c r="J253" s="77">
        <v>21803.166666666668</v>
      </c>
      <c r="K253" s="78">
        <f t="shared" si="9"/>
        <v>0</v>
      </c>
      <c r="L253" s="79">
        <f t="shared" si="10"/>
        <v>9.580726523</v>
      </c>
      <c r="M253" s="80">
        <f t="shared" si="11"/>
        <v>210228</v>
      </c>
      <c r="N253" s="77">
        <v>268910.0</v>
      </c>
      <c r="O253" s="77">
        <v>21051.833333333332</v>
      </c>
      <c r="P253" s="81">
        <f t="shared" si="12"/>
        <v>12.77370934</v>
      </c>
      <c r="Q253" s="82">
        <v>263439.0</v>
      </c>
      <c r="R253" s="77">
        <v>20957.916666666668</v>
      </c>
      <c r="S253" s="81">
        <f t="shared" si="13"/>
        <v>12.56990397</v>
      </c>
      <c r="T253" s="77">
        <v>312569.0</v>
      </c>
      <c r="U253" s="77">
        <v>20864.0</v>
      </c>
      <c r="V253" s="81">
        <f t="shared" si="14"/>
        <v>14.98125959</v>
      </c>
      <c r="W253" s="83">
        <f t="shared" si="15"/>
        <v>13.4416243</v>
      </c>
      <c r="X253" s="84">
        <f t="shared" si="16"/>
        <v>281639.3333</v>
      </c>
      <c r="AD253" s="65"/>
      <c r="AG253" s="65"/>
      <c r="AJ253" s="65"/>
      <c r="AK253" s="65"/>
      <c r="AL253" s="68"/>
      <c r="AO253" s="65"/>
      <c r="AR253" s="65"/>
      <c r="AU253" s="65"/>
      <c r="AV253" s="65"/>
      <c r="AW253" s="68"/>
    </row>
    <row r="254" ht="15.75" customHeight="1">
      <c r="A254" s="29">
        <v>70101.0</v>
      </c>
      <c r="B254" s="76" t="s">
        <v>258</v>
      </c>
      <c r="C254" s="77">
        <v>9.0796579E7</v>
      </c>
      <c r="D254" s="77">
        <v>1444425.0</v>
      </c>
      <c r="E254" s="78">
        <f t="shared" si="7"/>
        <v>62.86001627</v>
      </c>
      <c r="F254" s="77">
        <v>2.2025735E8</v>
      </c>
      <c r="G254" s="77">
        <v>1458304.75</v>
      </c>
      <c r="H254" s="78">
        <f t="shared" si="8"/>
        <v>151.0365717</v>
      </c>
      <c r="I254" s="77">
        <v>665000.0</v>
      </c>
      <c r="J254" s="77">
        <v>1472184.5</v>
      </c>
      <c r="K254" s="78">
        <f t="shared" si="9"/>
        <v>0.4517096872</v>
      </c>
      <c r="L254" s="79">
        <f t="shared" si="10"/>
        <v>71.44943257</v>
      </c>
      <c r="M254" s="80">
        <f t="shared" si="11"/>
        <v>103906309.7</v>
      </c>
      <c r="N254" s="77">
        <v>2.58147644E8</v>
      </c>
      <c r="O254" s="77">
        <v>1583222.5</v>
      </c>
      <c r="P254" s="81">
        <f t="shared" si="12"/>
        <v>163.0520309</v>
      </c>
      <c r="Q254" s="82">
        <v>3.15553843E8</v>
      </c>
      <c r="R254" s="77">
        <v>1597102.25</v>
      </c>
      <c r="S254" s="81">
        <f t="shared" si="13"/>
        <v>197.5789859</v>
      </c>
      <c r="T254" s="77">
        <v>3.52621164E8</v>
      </c>
      <c r="U254" s="77">
        <v>1610982.0</v>
      </c>
      <c r="V254" s="81">
        <f t="shared" si="14"/>
        <v>218.8858497</v>
      </c>
      <c r="W254" s="83">
        <f t="shared" si="15"/>
        <v>193.1722889</v>
      </c>
      <c r="X254" s="84">
        <f t="shared" si="16"/>
        <v>308774217</v>
      </c>
      <c r="AD254" s="65"/>
      <c r="AG254" s="65"/>
      <c r="AJ254" s="65"/>
      <c r="AK254" s="65"/>
      <c r="AL254" s="68"/>
      <c r="AO254" s="65"/>
      <c r="AR254" s="65"/>
      <c r="AU254" s="65"/>
      <c r="AV254" s="65"/>
      <c r="AW254" s="68"/>
    </row>
    <row r="255" ht="15.75" customHeight="1">
      <c r="A255" s="29">
        <v>70102.0</v>
      </c>
      <c r="B255" s="76" t="s">
        <v>259</v>
      </c>
      <c r="C255" s="77">
        <v>1430325.0</v>
      </c>
      <c r="D255" s="77">
        <v>55633.0</v>
      </c>
      <c r="E255" s="78">
        <f t="shared" si="7"/>
        <v>25.71001025</v>
      </c>
      <c r="F255" s="77">
        <v>3350000.0</v>
      </c>
      <c r="G255" s="77">
        <v>59880.5</v>
      </c>
      <c r="H255" s="78">
        <f t="shared" si="8"/>
        <v>55.94475664</v>
      </c>
      <c r="I255" s="77">
        <v>0.0</v>
      </c>
      <c r="J255" s="77">
        <v>64128.0</v>
      </c>
      <c r="K255" s="78">
        <f t="shared" si="9"/>
        <v>0</v>
      </c>
      <c r="L255" s="79">
        <f t="shared" si="10"/>
        <v>27.21825563</v>
      </c>
      <c r="M255" s="80">
        <f t="shared" si="11"/>
        <v>1593441.667</v>
      </c>
      <c r="N255" s="77">
        <v>3903000.0</v>
      </c>
      <c r="O255" s="77">
        <v>98108.0</v>
      </c>
      <c r="P255" s="81">
        <f t="shared" si="12"/>
        <v>39.78268847</v>
      </c>
      <c r="Q255" s="82">
        <v>4098150.0</v>
      </c>
      <c r="R255" s="77">
        <v>102355.5</v>
      </c>
      <c r="S255" s="81">
        <f t="shared" si="13"/>
        <v>40.03839559</v>
      </c>
      <c r="T255" s="77">
        <v>4643750.0</v>
      </c>
      <c r="U255" s="77">
        <v>106603.0</v>
      </c>
      <c r="V255" s="81">
        <f t="shared" si="14"/>
        <v>43.56115682</v>
      </c>
      <c r="W255" s="83">
        <f t="shared" si="15"/>
        <v>41.12741362</v>
      </c>
      <c r="X255" s="84">
        <f t="shared" si="16"/>
        <v>4214966.667</v>
      </c>
      <c r="AD255" s="65"/>
      <c r="AG255" s="65"/>
      <c r="AJ255" s="65"/>
      <c r="AK255" s="65"/>
      <c r="AL255" s="68"/>
      <c r="AO255" s="65"/>
      <c r="AR255" s="65"/>
      <c r="AU255" s="65"/>
      <c r="AV255" s="65"/>
      <c r="AW255" s="68"/>
    </row>
    <row r="256" ht="15.75" customHeight="1">
      <c r="A256" s="29">
        <v>70103.0</v>
      </c>
      <c r="B256" s="76" t="s">
        <v>260</v>
      </c>
      <c r="C256" s="77">
        <v>269573.0</v>
      </c>
      <c r="D256" s="77">
        <v>15317.0</v>
      </c>
      <c r="E256" s="78">
        <f t="shared" si="7"/>
        <v>17.59959522</v>
      </c>
      <c r="F256" s="77">
        <v>269573.0</v>
      </c>
      <c r="G256" s="77">
        <v>15967.75</v>
      </c>
      <c r="H256" s="78">
        <f t="shared" si="8"/>
        <v>16.88234097</v>
      </c>
      <c r="I256" s="77">
        <v>0.0</v>
      </c>
      <c r="J256" s="77">
        <v>16618.5</v>
      </c>
      <c r="K256" s="78">
        <f t="shared" si="9"/>
        <v>0</v>
      </c>
      <c r="L256" s="79">
        <f t="shared" si="10"/>
        <v>11.49397873</v>
      </c>
      <c r="M256" s="80">
        <f t="shared" si="11"/>
        <v>179715.3333</v>
      </c>
      <c r="N256" s="77">
        <v>1681667.0</v>
      </c>
      <c r="O256" s="77">
        <v>21824.5</v>
      </c>
      <c r="P256" s="81">
        <f t="shared" si="12"/>
        <v>77.05409059</v>
      </c>
      <c r="Q256" s="82">
        <v>2476312.0</v>
      </c>
      <c r="R256" s="77">
        <v>22475.25</v>
      </c>
      <c r="S256" s="81">
        <f t="shared" si="13"/>
        <v>110.1795086</v>
      </c>
      <c r="T256" s="77">
        <v>3331829.0</v>
      </c>
      <c r="U256" s="77">
        <v>23126.0</v>
      </c>
      <c r="V256" s="81">
        <f t="shared" si="14"/>
        <v>144.0728617</v>
      </c>
      <c r="W256" s="83">
        <f t="shared" si="15"/>
        <v>110.435487</v>
      </c>
      <c r="X256" s="84">
        <f t="shared" si="16"/>
        <v>2496602.667</v>
      </c>
      <c r="AD256" s="65"/>
      <c r="AG256" s="65"/>
      <c r="AJ256" s="65"/>
      <c r="AK256" s="65"/>
      <c r="AL256" s="68"/>
      <c r="AO256" s="65"/>
      <c r="AR256" s="65"/>
      <c r="AU256" s="65"/>
      <c r="AV256" s="65"/>
      <c r="AW256" s="68"/>
    </row>
    <row r="257" ht="15.75" customHeight="1">
      <c r="A257" s="29">
        <v>70104.0</v>
      </c>
      <c r="B257" s="76" t="s">
        <v>261</v>
      </c>
      <c r="C257" s="77">
        <v>2480000.0</v>
      </c>
      <c r="D257" s="77">
        <v>89284.0</v>
      </c>
      <c r="E257" s="78">
        <f t="shared" si="7"/>
        <v>27.77653331</v>
      </c>
      <c r="F257" s="77">
        <v>3396000.0</v>
      </c>
      <c r="G257" s="77">
        <v>94154.16666666667</v>
      </c>
      <c r="H257" s="78">
        <f t="shared" si="8"/>
        <v>36.06850467</v>
      </c>
      <c r="I257" s="77">
        <v>1500000.0</v>
      </c>
      <c r="J257" s="77">
        <v>99024.33333333333</v>
      </c>
      <c r="K257" s="78">
        <f t="shared" si="9"/>
        <v>15.14779196</v>
      </c>
      <c r="L257" s="79">
        <f t="shared" si="10"/>
        <v>26.33094331</v>
      </c>
      <c r="M257" s="80">
        <f t="shared" si="11"/>
        <v>2458666.667</v>
      </c>
      <c r="N257" s="77">
        <v>5200000.0</v>
      </c>
      <c r="O257" s="77">
        <v>137985.6666666667</v>
      </c>
      <c r="P257" s="81">
        <f t="shared" si="12"/>
        <v>37.68507357</v>
      </c>
      <c r="Q257" s="82">
        <v>5400000.0</v>
      </c>
      <c r="R257" s="77">
        <v>142855.83333333334</v>
      </c>
      <c r="S257" s="81">
        <f t="shared" si="13"/>
        <v>37.8003465</v>
      </c>
      <c r="T257" s="77">
        <v>5278776.0</v>
      </c>
      <c r="U257" s="77">
        <v>147726.0</v>
      </c>
      <c r="V257" s="81">
        <f t="shared" si="14"/>
        <v>35.73356078</v>
      </c>
      <c r="W257" s="83">
        <f t="shared" si="15"/>
        <v>37.07299362</v>
      </c>
      <c r="X257" s="84">
        <f t="shared" si="16"/>
        <v>5292925.333</v>
      </c>
      <c r="AD257" s="65"/>
      <c r="AG257" s="65"/>
      <c r="AJ257" s="65"/>
      <c r="AK257" s="65"/>
      <c r="AL257" s="68"/>
      <c r="AO257" s="65"/>
      <c r="AR257" s="65"/>
      <c r="AU257" s="65"/>
      <c r="AV257" s="65"/>
      <c r="AW257" s="68"/>
    </row>
    <row r="258" ht="15.75" customHeight="1">
      <c r="A258" s="29">
        <v>70105.0</v>
      </c>
      <c r="B258" s="76" t="s">
        <v>262</v>
      </c>
      <c r="C258" s="77">
        <v>600000.0</v>
      </c>
      <c r="D258" s="77">
        <v>49652.0</v>
      </c>
      <c r="E258" s="78">
        <f t="shared" si="7"/>
        <v>12.08410537</v>
      </c>
      <c r="F258" s="77">
        <v>1267032.0</v>
      </c>
      <c r="G258" s="77">
        <v>50155.75</v>
      </c>
      <c r="H258" s="78">
        <f t="shared" si="8"/>
        <v>25.26194903</v>
      </c>
      <c r="I258" s="77">
        <v>0.0</v>
      </c>
      <c r="J258" s="77">
        <v>50659.5</v>
      </c>
      <c r="K258" s="78">
        <f t="shared" si="9"/>
        <v>0</v>
      </c>
      <c r="L258" s="79">
        <f t="shared" si="10"/>
        <v>12.4486848</v>
      </c>
      <c r="M258" s="80">
        <f t="shared" si="11"/>
        <v>622344</v>
      </c>
      <c r="N258" s="77">
        <v>1081400.0</v>
      </c>
      <c r="O258" s="77">
        <v>54689.5</v>
      </c>
      <c r="P258" s="81">
        <f t="shared" si="12"/>
        <v>19.77344829</v>
      </c>
      <c r="Q258" s="82">
        <v>1418400.0</v>
      </c>
      <c r="R258" s="77">
        <v>55193.25</v>
      </c>
      <c r="S258" s="81">
        <f t="shared" si="13"/>
        <v>25.69879469</v>
      </c>
      <c r="T258" s="77">
        <v>1892592.0</v>
      </c>
      <c r="U258" s="77">
        <v>55697.0</v>
      </c>
      <c r="V258" s="81">
        <f t="shared" si="14"/>
        <v>33.98014256</v>
      </c>
      <c r="W258" s="83">
        <f t="shared" si="15"/>
        <v>26.48412851</v>
      </c>
      <c r="X258" s="84">
        <f t="shared" si="16"/>
        <v>1464130.667</v>
      </c>
      <c r="AD258" s="65"/>
      <c r="AG258" s="65"/>
      <c r="AJ258" s="65"/>
      <c r="AK258" s="65"/>
      <c r="AL258" s="68"/>
      <c r="AO258" s="65"/>
      <c r="AR258" s="65"/>
      <c r="AU258" s="65"/>
      <c r="AV258" s="65"/>
      <c r="AW258" s="68"/>
    </row>
    <row r="259" ht="15.75" customHeight="1">
      <c r="A259" s="29">
        <v>70201.0</v>
      </c>
      <c r="B259" s="76" t="s">
        <v>263</v>
      </c>
      <c r="C259" s="77">
        <v>2424000.0</v>
      </c>
      <c r="D259" s="77">
        <v>96406.0</v>
      </c>
      <c r="E259" s="78">
        <f t="shared" si="7"/>
        <v>25.14366326</v>
      </c>
      <c r="F259" s="77">
        <v>2725000.0</v>
      </c>
      <c r="G259" s="77">
        <v>100976.16666666667</v>
      </c>
      <c r="H259" s="78">
        <f t="shared" si="8"/>
        <v>26.98656614</v>
      </c>
      <c r="I259" s="77">
        <v>0.0</v>
      </c>
      <c r="J259" s="77">
        <v>105546.33333333333</v>
      </c>
      <c r="K259" s="78">
        <f t="shared" si="9"/>
        <v>0</v>
      </c>
      <c r="L259" s="79">
        <f t="shared" si="10"/>
        <v>17.37674313</v>
      </c>
      <c r="M259" s="80">
        <f t="shared" si="11"/>
        <v>1716333.333</v>
      </c>
      <c r="N259" s="77">
        <v>1.295E7</v>
      </c>
      <c r="O259" s="77">
        <v>142107.6666666667</v>
      </c>
      <c r="P259" s="81">
        <f t="shared" si="12"/>
        <v>91.12808833</v>
      </c>
      <c r="Q259" s="82">
        <v>1.35E7</v>
      </c>
      <c r="R259" s="77">
        <v>146677.83333333334</v>
      </c>
      <c r="S259" s="81">
        <f t="shared" si="13"/>
        <v>92.03844707</v>
      </c>
      <c r="T259" s="77">
        <v>1.52746E7</v>
      </c>
      <c r="U259" s="77">
        <v>151248.0</v>
      </c>
      <c r="V259" s="81">
        <f t="shared" si="14"/>
        <v>100.9904263</v>
      </c>
      <c r="W259" s="83">
        <f t="shared" si="15"/>
        <v>94.71898724</v>
      </c>
      <c r="X259" s="84">
        <f t="shared" si="16"/>
        <v>13908200</v>
      </c>
      <c r="AD259" s="65"/>
      <c r="AG259" s="65"/>
      <c r="AJ259" s="65"/>
      <c r="AK259" s="65"/>
      <c r="AL259" s="68"/>
      <c r="AO259" s="65"/>
      <c r="AR259" s="65"/>
      <c r="AU259" s="65"/>
      <c r="AV259" s="65"/>
      <c r="AW259" s="68"/>
    </row>
    <row r="260" ht="15.75" customHeight="1">
      <c r="A260" s="29">
        <v>70202.0</v>
      </c>
      <c r="B260" s="76" t="s">
        <v>264</v>
      </c>
      <c r="C260" s="77">
        <v>200000.0</v>
      </c>
      <c r="D260" s="77">
        <v>12482.0</v>
      </c>
      <c r="E260" s="78">
        <f t="shared" si="7"/>
        <v>16.02307323</v>
      </c>
      <c r="F260" s="77">
        <v>86000.0</v>
      </c>
      <c r="G260" s="77">
        <v>12330.583333333334</v>
      </c>
      <c r="H260" s="78">
        <f t="shared" si="8"/>
        <v>6.974528104</v>
      </c>
      <c r="I260" s="77">
        <v>0.0</v>
      </c>
      <c r="J260" s="77">
        <v>12179.166666666666</v>
      </c>
      <c r="K260" s="78">
        <f t="shared" si="9"/>
        <v>0</v>
      </c>
      <c r="L260" s="79">
        <f t="shared" si="10"/>
        <v>7.66586711</v>
      </c>
      <c r="M260" s="80">
        <f t="shared" si="11"/>
        <v>95333.33333</v>
      </c>
      <c r="N260" s="77">
        <v>1283594.0</v>
      </c>
      <c r="O260" s="77">
        <v>10967.833333333334</v>
      </c>
      <c r="P260" s="81">
        <f t="shared" si="12"/>
        <v>117.0325953</v>
      </c>
      <c r="Q260" s="82">
        <v>175000.0</v>
      </c>
      <c r="R260" s="77">
        <v>10816.416666666666</v>
      </c>
      <c r="S260" s="81">
        <f t="shared" si="13"/>
        <v>16.17911046</v>
      </c>
      <c r="T260" s="77">
        <v>200000.0</v>
      </c>
      <c r="U260" s="77">
        <v>10665.0</v>
      </c>
      <c r="V260" s="81">
        <f t="shared" si="14"/>
        <v>18.75293015</v>
      </c>
      <c r="W260" s="83">
        <f t="shared" si="15"/>
        <v>50.65487864</v>
      </c>
      <c r="X260" s="84">
        <f t="shared" si="16"/>
        <v>552864.6667</v>
      </c>
      <c r="AD260" s="65"/>
      <c r="AG260" s="65"/>
      <c r="AJ260" s="65"/>
      <c r="AK260" s="65"/>
      <c r="AL260" s="68"/>
      <c r="AO260" s="65"/>
      <c r="AR260" s="65"/>
      <c r="AU260" s="65"/>
      <c r="AV260" s="65"/>
      <c r="AW260" s="68"/>
    </row>
    <row r="261" ht="15.75" customHeight="1">
      <c r="A261" s="29">
        <v>70301.0</v>
      </c>
      <c r="B261" s="76" t="s">
        <v>265</v>
      </c>
      <c r="C261" s="77">
        <v>950000.0</v>
      </c>
      <c r="D261" s="77">
        <v>52362.0</v>
      </c>
      <c r="E261" s="78">
        <f t="shared" si="7"/>
        <v>18.14292808</v>
      </c>
      <c r="F261" s="77">
        <v>1050000.0</v>
      </c>
      <c r="G261" s="77">
        <v>53590.416666666664</v>
      </c>
      <c r="H261" s="78">
        <f t="shared" si="8"/>
        <v>19.59305535</v>
      </c>
      <c r="I261" s="77">
        <v>0.0</v>
      </c>
      <c r="J261" s="77">
        <v>54818.833333333336</v>
      </c>
      <c r="K261" s="78">
        <f t="shared" si="9"/>
        <v>0</v>
      </c>
      <c r="L261" s="79">
        <f t="shared" si="10"/>
        <v>12.57866114</v>
      </c>
      <c r="M261" s="80">
        <f t="shared" si="11"/>
        <v>666666.6667</v>
      </c>
      <c r="N261" s="77">
        <v>2227256.0</v>
      </c>
      <c r="O261" s="77">
        <v>64646.16666666667</v>
      </c>
      <c r="P261" s="81">
        <f t="shared" si="12"/>
        <v>34.45302506</v>
      </c>
      <c r="Q261" s="82">
        <v>2307855.0</v>
      </c>
      <c r="R261" s="77">
        <v>65874.58333333333</v>
      </c>
      <c r="S261" s="81">
        <f t="shared" si="13"/>
        <v>35.03407359</v>
      </c>
      <c r="T261" s="77">
        <v>2650000.0</v>
      </c>
      <c r="U261" s="77">
        <v>67103.0</v>
      </c>
      <c r="V261" s="81">
        <f t="shared" si="14"/>
        <v>39.49152795</v>
      </c>
      <c r="W261" s="83">
        <f t="shared" si="15"/>
        <v>36.32620886</v>
      </c>
      <c r="X261" s="84">
        <f t="shared" si="16"/>
        <v>2395037</v>
      </c>
      <c r="AD261" s="65"/>
      <c r="AG261" s="65"/>
      <c r="AJ261" s="65"/>
      <c r="AK261" s="65"/>
      <c r="AL261" s="68"/>
      <c r="AO261" s="65"/>
      <c r="AR261" s="65"/>
      <c r="AU261" s="65"/>
      <c r="AV261" s="65"/>
      <c r="AW261" s="68"/>
    </row>
    <row r="262" ht="15.75" customHeight="1">
      <c r="A262" s="29">
        <v>70302.0</v>
      </c>
      <c r="B262" s="76" t="s">
        <v>266</v>
      </c>
      <c r="C262" s="77">
        <v>78000.0</v>
      </c>
      <c r="D262" s="77">
        <v>11327.0</v>
      </c>
      <c r="E262" s="78">
        <f t="shared" si="7"/>
        <v>6.886201112</v>
      </c>
      <c r="F262" s="77">
        <v>75000.0</v>
      </c>
      <c r="G262" s="77">
        <v>11653.0</v>
      </c>
      <c r="H262" s="78">
        <f t="shared" si="8"/>
        <v>6.436110873</v>
      </c>
      <c r="I262" s="77">
        <v>0.0</v>
      </c>
      <c r="J262" s="77">
        <v>11979.0</v>
      </c>
      <c r="K262" s="78">
        <f t="shared" si="9"/>
        <v>0</v>
      </c>
      <c r="L262" s="79">
        <f t="shared" si="10"/>
        <v>4.440770662</v>
      </c>
      <c r="M262" s="80">
        <f t="shared" si="11"/>
        <v>51000</v>
      </c>
      <c r="N262" s="77">
        <v>120000.0</v>
      </c>
      <c r="O262" s="77">
        <v>14587.0</v>
      </c>
      <c r="P262" s="81">
        <f t="shared" si="12"/>
        <v>8.226503051</v>
      </c>
      <c r="Q262" s="82">
        <v>137000.0</v>
      </c>
      <c r="R262" s="77">
        <v>14913.0</v>
      </c>
      <c r="S262" s="81">
        <f t="shared" si="13"/>
        <v>9.186615704</v>
      </c>
      <c r="T262" s="77">
        <v>121670.0</v>
      </c>
      <c r="U262" s="77">
        <v>15239.0</v>
      </c>
      <c r="V262" s="81">
        <f t="shared" si="14"/>
        <v>7.984119693</v>
      </c>
      <c r="W262" s="83">
        <f t="shared" si="15"/>
        <v>8.465746149</v>
      </c>
      <c r="X262" s="84">
        <f t="shared" si="16"/>
        <v>126223.3333</v>
      </c>
      <c r="AD262" s="65"/>
      <c r="AG262" s="65"/>
      <c r="AJ262" s="65"/>
      <c r="AK262" s="65"/>
      <c r="AL262" s="68"/>
      <c r="AO262" s="65"/>
      <c r="AR262" s="65"/>
      <c r="AU262" s="65"/>
      <c r="AV262" s="65"/>
      <c r="AW262" s="68"/>
    </row>
    <row r="263" ht="15.75" customHeight="1">
      <c r="A263" s="29">
        <v>70303.0</v>
      </c>
      <c r="B263" s="76" t="s">
        <v>267</v>
      </c>
      <c r="C263" s="77">
        <v>0.0</v>
      </c>
      <c r="D263" s="77">
        <v>6139.0</v>
      </c>
      <c r="E263" s="78">
        <f t="shared" si="7"/>
        <v>0</v>
      </c>
      <c r="F263" s="77">
        <v>20000.0</v>
      </c>
      <c r="G263" s="77">
        <v>6364.25</v>
      </c>
      <c r="H263" s="78">
        <f t="shared" si="8"/>
        <v>3.142554111</v>
      </c>
      <c r="I263" s="77">
        <v>0.0</v>
      </c>
      <c r="J263" s="77">
        <v>6589.5</v>
      </c>
      <c r="K263" s="78">
        <f t="shared" si="9"/>
        <v>0</v>
      </c>
      <c r="L263" s="79">
        <f t="shared" si="10"/>
        <v>1.047518037</v>
      </c>
      <c r="M263" s="80">
        <f t="shared" si="11"/>
        <v>6666.666667</v>
      </c>
      <c r="N263" s="77">
        <v>53822.0</v>
      </c>
      <c r="O263" s="77">
        <v>8391.5</v>
      </c>
      <c r="P263" s="81">
        <f t="shared" si="12"/>
        <v>6.413871179</v>
      </c>
      <c r="Q263" s="82">
        <v>36000.0</v>
      </c>
      <c r="R263" s="77">
        <v>8616.75</v>
      </c>
      <c r="S263" s="81">
        <f t="shared" si="13"/>
        <v>4.177909305</v>
      </c>
      <c r="T263" s="77">
        <v>36000.0</v>
      </c>
      <c r="U263" s="77">
        <v>8842.0</v>
      </c>
      <c r="V263" s="81">
        <f t="shared" si="14"/>
        <v>4.071477041</v>
      </c>
      <c r="W263" s="83">
        <f t="shared" si="15"/>
        <v>4.887752508</v>
      </c>
      <c r="X263" s="84">
        <f t="shared" si="16"/>
        <v>41940.66667</v>
      </c>
      <c r="AD263" s="65"/>
      <c r="AG263" s="65"/>
      <c r="AJ263" s="65"/>
      <c r="AK263" s="65"/>
      <c r="AL263" s="68"/>
      <c r="AO263" s="65"/>
      <c r="AR263" s="65"/>
      <c r="AU263" s="65"/>
      <c r="AV263" s="65"/>
      <c r="AW263" s="68"/>
    </row>
    <row r="264" ht="15.75" customHeight="1">
      <c r="A264" s="29">
        <v>70401.0</v>
      </c>
      <c r="B264" s="76" t="s">
        <v>268</v>
      </c>
      <c r="C264" s="77">
        <v>140000.0</v>
      </c>
      <c r="D264" s="77">
        <v>12879.0</v>
      </c>
      <c r="E264" s="78">
        <f t="shared" si="7"/>
        <v>10.87040919</v>
      </c>
      <c r="F264" s="77">
        <v>233900.0</v>
      </c>
      <c r="G264" s="77">
        <v>12943.333333333334</v>
      </c>
      <c r="H264" s="78">
        <f t="shared" si="8"/>
        <v>18.07107906</v>
      </c>
      <c r="I264" s="77">
        <v>0.0</v>
      </c>
      <c r="J264" s="77">
        <v>13007.666666666666</v>
      </c>
      <c r="K264" s="78">
        <f t="shared" si="9"/>
        <v>0</v>
      </c>
      <c r="L264" s="79">
        <f t="shared" si="10"/>
        <v>9.647162752</v>
      </c>
      <c r="M264" s="80">
        <f t="shared" si="11"/>
        <v>124633.3333</v>
      </c>
      <c r="N264" s="77">
        <v>163500.0</v>
      </c>
      <c r="O264" s="77">
        <v>13522.333333333334</v>
      </c>
      <c r="P264" s="81">
        <f t="shared" si="12"/>
        <v>12.09110854</v>
      </c>
      <c r="Q264" s="82">
        <v>355600.0</v>
      </c>
      <c r="R264" s="77">
        <v>13586.666666666666</v>
      </c>
      <c r="S264" s="81">
        <f t="shared" si="13"/>
        <v>26.17271835</v>
      </c>
      <c r="T264" s="77">
        <v>0.0</v>
      </c>
      <c r="U264" s="77">
        <v>13651.0</v>
      </c>
      <c r="V264" s="81">
        <f t="shared" si="14"/>
        <v>0</v>
      </c>
      <c r="W264" s="83">
        <f t="shared" si="15"/>
        <v>12.75460896</v>
      </c>
      <c r="X264" s="84">
        <f t="shared" si="16"/>
        <v>173033.3333</v>
      </c>
      <c r="AD264" s="65"/>
      <c r="AG264" s="65"/>
      <c r="AJ264" s="65"/>
      <c r="AK264" s="65"/>
      <c r="AL264" s="68"/>
      <c r="AO264" s="65"/>
      <c r="AR264" s="65"/>
      <c r="AU264" s="65"/>
      <c r="AV264" s="65"/>
      <c r="AW264" s="68"/>
    </row>
    <row r="265" ht="15.75" customHeight="1">
      <c r="A265" s="29">
        <v>70402.0</v>
      </c>
      <c r="B265" s="76" t="s">
        <v>269</v>
      </c>
      <c r="C265" s="77">
        <v>85500.0</v>
      </c>
      <c r="D265" s="77">
        <v>20093.0</v>
      </c>
      <c r="E265" s="78">
        <f t="shared" si="7"/>
        <v>4.255213258</v>
      </c>
      <c r="F265" s="77">
        <v>108917.0</v>
      </c>
      <c r="G265" s="77">
        <v>19997.083333333332</v>
      </c>
      <c r="H265" s="78">
        <f t="shared" si="8"/>
        <v>5.446644302</v>
      </c>
      <c r="I265" s="77">
        <v>0.0</v>
      </c>
      <c r="J265" s="77">
        <v>19901.166666666668</v>
      </c>
      <c r="K265" s="78">
        <f t="shared" si="9"/>
        <v>0</v>
      </c>
      <c r="L265" s="79">
        <f t="shared" si="10"/>
        <v>3.23395252</v>
      </c>
      <c r="M265" s="80">
        <f t="shared" si="11"/>
        <v>64805.66667</v>
      </c>
      <c r="N265" s="77">
        <v>400000.0</v>
      </c>
      <c r="O265" s="77">
        <v>19133.833333333332</v>
      </c>
      <c r="P265" s="81">
        <f t="shared" si="12"/>
        <v>20.90537704</v>
      </c>
      <c r="Q265" s="82">
        <v>400000.0</v>
      </c>
      <c r="R265" s="77">
        <v>19037.916666666668</v>
      </c>
      <c r="S265" s="81">
        <f t="shared" si="13"/>
        <v>21.01070233</v>
      </c>
      <c r="T265" s="77">
        <v>400000.0</v>
      </c>
      <c r="U265" s="77">
        <v>18942.0</v>
      </c>
      <c r="V265" s="81">
        <f t="shared" si="14"/>
        <v>21.11709429</v>
      </c>
      <c r="W265" s="83">
        <f t="shared" si="15"/>
        <v>21.01105788</v>
      </c>
      <c r="X265" s="84">
        <f t="shared" si="16"/>
        <v>400000</v>
      </c>
      <c r="AD265" s="65"/>
      <c r="AG265" s="65"/>
      <c r="AJ265" s="65"/>
      <c r="AK265" s="65"/>
      <c r="AL265" s="68"/>
      <c r="AO265" s="65"/>
      <c r="AR265" s="65"/>
      <c r="AU265" s="65"/>
      <c r="AV265" s="65"/>
      <c r="AW265" s="68"/>
    </row>
    <row r="266" ht="15.75" customHeight="1">
      <c r="A266" s="29">
        <v>70403.0</v>
      </c>
      <c r="B266" s="76" t="s">
        <v>270</v>
      </c>
      <c r="C266" s="77">
        <v>593642.0</v>
      </c>
      <c r="D266" s="77">
        <v>50558.0</v>
      </c>
      <c r="E266" s="78">
        <f t="shared" si="7"/>
        <v>11.7418015</v>
      </c>
      <c r="F266" s="77">
        <v>400000.0</v>
      </c>
      <c r="G266" s="77">
        <v>51161.0</v>
      </c>
      <c r="H266" s="78">
        <f t="shared" si="8"/>
        <v>7.818455464</v>
      </c>
      <c r="I266" s="77">
        <v>0.0</v>
      </c>
      <c r="J266" s="77">
        <v>51764.0</v>
      </c>
      <c r="K266" s="78">
        <f t="shared" si="9"/>
        <v>0</v>
      </c>
      <c r="L266" s="79">
        <f t="shared" si="10"/>
        <v>6.520085653</v>
      </c>
      <c r="M266" s="80">
        <f t="shared" si="11"/>
        <v>331214</v>
      </c>
      <c r="N266" s="77">
        <v>3335689.0</v>
      </c>
      <c r="O266" s="77">
        <v>56588.0</v>
      </c>
      <c r="P266" s="81">
        <f t="shared" si="12"/>
        <v>58.94693221</v>
      </c>
      <c r="Q266" s="82">
        <v>3825448.0</v>
      </c>
      <c r="R266" s="77">
        <v>57191.0</v>
      </c>
      <c r="S266" s="81">
        <f t="shared" si="13"/>
        <v>66.88898603</v>
      </c>
      <c r="T266" s="77">
        <v>3781000.0</v>
      </c>
      <c r="U266" s="77">
        <v>57794.0</v>
      </c>
      <c r="V266" s="81">
        <f t="shared" si="14"/>
        <v>65.42201613</v>
      </c>
      <c r="W266" s="83">
        <f t="shared" si="15"/>
        <v>63.75264479</v>
      </c>
      <c r="X266" s="84">
        <f t="shared" si="16"/>
        <v>3647379</v>
      </c>
      <c r="AD266" s="65"/>
      <c r="AG266" s="65"/>
      <c r="AJ266" s="65"/>
      <c r="AK266" s="65"/>
      <c r="AL266" s="68"/>
      <c r="AO266" s="65"/>
      <c r="AR266" s="65"/>
      <c r="AU266" s="65"/>
      <c r="AV266" s="65"/>
      <c r="AW266" s="68"/>
    </row>
    <row r="267" ht="15.75" customHeight="1">
      <c r="A267" s="29">
        <v>70404.0</v>
      </c>
      <c r="B267" s="76" t="s">
        <v>271</v>
      </c>
      <c r="C267" s="77">
        <v>80000.0</v>
      </c>
      <c r="D267" s="77">
        <v>9191.0</v>
      </c>
      <c r="E267" s="78">
        <f t="shared" si="7"/>
        <v>8.70416712</v>
      </c>
      <c r="F267" s="77">
        <v>100000.0</v>
      </c>
      <c r="G267" s="77">
        <v>9275.083333333334</v>
      </c>
      <c r="H267" s="78">
        <f t="shared" si="8"/>
        <v>10.78157429</v>
      </c>
      <c r="I267" s="77">
        <v>0.0</v>
      </c>
      <c r="J267" s="77">
        <v>9359.166666666666</v>
      </c>
      <c r="K267" s="78">
        <f t="shared" si="9"/>
        <v>0</v>
      </c>
      <c r="L267" s="79">
        <f t="shared" si="10"/>
        <v>6.495247137</v>
      </c>
      <c r="M267" s="80">
        <f t="shared" si="11"/>
        <v>60000</v>
      </c>
      <c r="N267" s="77">
        <v>521031.0</v>
      </c>
      <c r="O267" s="77">
        <v>10031.833333333334</v>
      </c>
      <c r="P267" s="81">
        <f t="shared" si="12"/>
        <v>51.93776478</v>
      </c>
      <c r="Q267" s="82">
        <v>671031.0</v>
      </c>
      <c r="R267" s="77">
        <v>10115.916666666666</v>
      </c>
      <c r="S267" s="81">
        <f t="shared" si="13"/>
        <v>66.33417634</v>
      </c>
      <c r="T267" s="77">
        <v>0.0</v>
      </c>
      <c r="U267" s="77">
        <v>10200.0</v>
      </c>
      <c r="V267" s="81">
        <f t="shared" si="14"/>
        <v>0</v>
      </c>
      <c r="W267" s="83">
        <f t="shared" si="15"/>
        <v>39.42398037</v>
      </c>
      <c r="X267" s="84">
        <f t="shared" si="16"/>
        <v>397354</v>
      </c>
      <c r="AD267" s="65"/>
      <c r="AG267" s="65"/>
      <c r="AJ267" s="65"/>
      <c r="AK267" s="65"/>
      <c r="AL267" s="68"/>
      <c r="AO267" s="65"/>
      <c r="AR267" s="65"/>
      <c r="AU267" s="65"/>
      <c r="AV267" s="65"/>
      <c r="AW267" s="68"/>
    </row>
    <row r="268" ht="15.75" customHeight="1">
      <c r="A268" s="29">
        <v>70501.0</v>
      </c>
      <c r="B268" s="76" t="s">
        <v>272</v>
      </c>
      <c r="C268" s="77">
        <v>555000.0</v>
      </c>
      <c r="D268" s="77">
        <v>28922.0</v>
      </c>
      <c r="E268" s="78">
        <f t="shared" si="7"/>
        <v>19.18954429</v>
      </c>
      <c r="F268" s="77">
        <v>725000.0</v>
      </c>
      <c r="G268" s="77">
        <v>29926.333333333332</v>
      </c>
      <c r="H268" s="78">
        <f t="shared" si="8"/>
        <v>24.22615534</v>
      </c>
      <c r="I268" s="77">
        <v>0.0</v>
      </c>
      <c r="J268" s="77">
        <v>30930.666666666668</v>
      </c>
      <c r="K268" s="78">
        <f t="shared" si="9"/>
        <v>0</v>
      </c>
      <c r="L268" s="79">
        <f t="shared" si="10"/>
        <v>14.47189988</v>
      </c>
      <c r="M268" s="80">
        <f t="shared" si="11"/>
        <v>426666.6667</v>
      </c>
      <c r="N268" s="77">
        <v>546432.0</v>
      </c>
      <c r="O268" s="77">
        <v>38965.333333333336</v>
      </c>
      <c r="P268" s="81">
        <f t="shared" si="12"/>
        <v>14.02354229</v>
      </c>
      <c r="Q268" s="82">
        <v>650307.0</v>
      </c>
      <c r="R268" s="77">
        <v>39969.66666666667</v>
      </c>
      <c r="S268" s="81">
        <f t="shared" si="13"/>
        <v>16.27001309</v>
      </c>
      <c r="T268" s="77">
        <v>448540.0</v>
      </c>
      <c r="U268" s="77">
        <v>40974.0</v>
      </c>
      <c r="V268" s="81">
        <f t="shared" si="14"/>
        <v>10.94694196</v>
      </c>
      <c r="W268" s="83">
        <f t="shared" si="15"/>
        <v>13.74683245</v>
      </c>
      <c r="X268" s="84">
        <f t="shared" si="16"/>
        <v>548426.3333</v>
      </c>
      <c r="AD268" s="65"/>
      <c r="AG268" s="65"/>
      <c r="AJ268" s="65"/>
      <c r="AK268" s="65"/>
      <c r="AL268" s="68"/>
      <c r="AO268" s="65"/>
      <c r="AR268" s="65"/>
      <c r="AU268" s="65"/>
      <c r="AV268" s="65"/>
      <c r="AW268" s="68"/>
    </row>
    <row r="269" ht="15.75" customHeight="1">
      <c r="A269" s="29">
        <v>70502.0</v>
      </c>
      <c r="B269" s="76" t="s">
        <v>273</v>
      </c>
      <c r="C269" s="77">
        <v>522850.0</v>
      </c>
      <c r="D269" s="77">
        <v>37866.0</v>
      </c>
      <c r="E269" s="78">
        <f t="shared" si="7"/>
        <v>13.80790155</v>
      </c>
      <c r="F269" s="77">
        <v>0.0</v>
      </c>
      <c r="G269" s="77">
        <v>39251.75</v>
      </c>
      <c r="H269" s="78">
        <f t="shared" si="8"/>
        <v>0</v>
      </c>
      <c r="I269" s="77">
        <v>0.0</v>
      </c>
      <c r="J269" s="77">
        <v>40637.5</v>
      </c>
      <c r="K269" s="78">
        <f t="shared" si="9"/>
        <v>0</v>
      </c>
      <c r="L269" s="79">
        <f t="shared" si="10"/>
        <v>4.602633849</v>
      </c>
      <c r="M269" s="80">
        <f t="shared" si="11"/>
        <v>174283.3333</v>
      </c>
      <c r="N269" s="77">
        <v>903650.0</v>
      </c>
      <c r="O269" s="77">
        <v>51723.5</v>
      </c>
      <c r="P269" s="81">
        <f t="shared" si="12"/>
        <v>17.47078214</v>
      </c>
      <c r="Q269" s="82">
        <v>903650.0</v>
      </c>
      <c r="R269" s="77">
        <v>53109.25</v>
      </c>
      <c r="S269" s="81">
        <f t="shared" si="13"/>
        <v>17.01492678</v>
      </c>
      <c r="T269" s="77">
        <v>891075.0</v>
      </c>
      <c r="U269" s="77">
        <v>54495.0</v>
      </c>
      <c r="V269" s="81">
        <f t="shared" si="14"/>
        <v>16.35150014</v>
      </c>
      <c r="W269" s="83">
        <f t="shared" si="15"/>
        <v>16.94573635</v>
      </c>
      <c r="X269" s="84">
        <f t="shared" si="16"/>
        <v>899458.3333</v>
      </c>
      <c r="AD269" s="65"/>
      <c r="AG269" s="65"/>
      <c r="AJ269" s="65"/>
      <c r="AK269" s="65"/>
      <c r="AL269" s="68"/>
      <c r="AO269" s="65"/>
      <c r="AR269" s="65"/>
      <c r="AU269" s="65"/>
      <c r="AV269" s="65"/>
      <c r="AW269" s="68"/>
    </row>
    <row r="270" ht="15.75" customHeight="1">
      <c r="A270" s="29">
        <v>70503.0</v>
      </c>
      <c r="B270" s="76" t="s">
        <v>274</v>
      </c>
      <c r="C270" s="77">
        <v>383000.0</v>
      </c>
      <c r="D270" s="77">
        <v>15641.0</v>
      </c>
      <c r="E270" s="78">
        <f t="shared" si="7"/>
        <v>24.48692539</v>
      </c>
      <c r="F270" s="77">
        <v>533000.0</v>
      </c>
      <c r="G270" s="77">
        <v>15901.166666666666</v>
      </c>
      <c r="H270" s="78">
        <f t="shared" si="8"/>
        <v>33.51955307</v>
      </c>
      <c r="I270" s="77">
        <v>0.0</v>
      </c>
      <c r="J270" s="77">
        <v>16161.333333333334</v>
      </c>
      <c r="K270" s="78">
        <f t="shared" si="9"/>
        <v>0</v>
      </c>
      <c r="L270" s="79">
        <f t="shared" si="10"/>
        <v>19.33549282</v>
      </c>
      <c r="M270" s="80">
        <f t="shared" si="11"/>
        <v>305333.3333</v>
      </c>
      <c r="N270" s="77">
        <v>260500.0</v>
      </c>
      <c r="O270" s="77">
        <v>18242.666666666668</v>
      </c>
      <c r="P270" s="81">
        <f t="shared" si="12"/>
        <v>14.27971057</v>
      </c>
      <c r="Q270" s="82">
        <v>255000.0</v>
      </c>
      <c r="R270" s="77">
        <v>18502.833333333332</v>
      </c>
      <c r="S270" s="81">
        <f t="shared" si="13"/>
        <v>13.78167308</v>
      </c>
      <c r="T270" s="77">
        <v>300000.0</v>
      </c>
      <c r="U270" s="77">
        <v>18763.0</v>
      </c>
      <c r="V270" s="81">
        <f t="shared" si="14"/>
        <v>15.98891435</v>
      </c>
      <c r="W270" s="83">
        <f t="shared" si="15"/>
        <v>14.68343267</v>
      </c>
      <c r="X270" s="84">
        <f t="shared" si="16"/>
        <v>271833.3333</v>
      </c>
      <c r="AD270" s="65"/>
      <c r="AG270" s="65"/>
      <c r="AJ270" s="65"/>
      <c r="AK270" s="65"/>
      <c r="AL270" s="68"/>
      <c r="AO270" s="65"/>
      <c r="AR270" s="65"/>
      <c r="AU270" s="65"/>
      <c r="AV270" s="65"/>
      <c r="AW270" s="68"/>
    </row>
    <row r="271" ht="15.75" customHeight="1">
      <c r="A271" s="29">
        <v>70601.0</v>
      </c>
      <c r="B271" s="76" t="s">
        <v>275</v>
      </c>
      <c r="C271" s="77">
        <v>517000.0</v>
      </c>
      <c r="D271" s="77">
        <v>17885.0</v>
      </c>
      <c r="E271" s="78">
        <f t="shared" si="7"/>
        <v>28.90690523</v>
      </c>
      <c r="F271" s="77">
        <v>580000.0</v>
      </c>
      <c r="G271" s="77">
        <v>18123.166666666668</v>
      </c>
      <c r="H271" s="78">
        <f t="shared" si="8"/>
        <v>32.00323711</v>
      </c>
      <c r="I271" s="77">
        <v>0.0</v>
      </c>
      <c r="J271" s="77">
        <v>18361.333333333332</v>
      </c>
      <c r="K271" s="78">
        <f t="shared" si="9"/>
        <v>0</v>
      </c>
      <c r="L271" s="79">
        <f t="shared" si="10"/>
        <v>20.30338078</v>
      </c>
      <c r="M271" s="80">
        <f t="shared" si="11"/>
        <v>365666.6667</v>
      </c>
      <c r="N271" s="77">
        <v>1020000.0</v>
      </c>
      <c r="O271" s="77">
        <v>20266.666666666668</v>
      </c>
      <c r="P271" s="81">
        <f t="shared" si="12"/>
        <v>50.32894737</v>
      </c>
      <c r="Q271" s="82">
        <v>1050001.0</v>
      </c>
      <c r="R271" s="77">
        <v>20504.833333333332</v>
      </c>
      <c r="S271" s="81">
        <f t="shared" si="13"/>
        <v>51.20748767</v>
      </c>
      <c r="T271" s="77">
        <v>850000.0</v>
      </c>
      <c r="U271" s="77">
        <v>20743.0</v>
      </c>
      <c r="V271" s="81">
        <f t="shared" si="14"/>
        <v>40.97767922</v>
      </c>
      <c r="W271" s="83">
        <f t="shared" si="15"/>
        <v>47.50470475</v>
      </c>
      <c r="X271" s="84">
        <f t="shared" si="16"/>
        <v>973333.6667</v>
      </c>
      <c r="AD271" s="65"/>
      <c r="AG271" s="65"/>
      <c r="AJ271" s="65"/>
      <c r="AK271" s="65"/>
      <c r="AL271" s="68"/>
      <c r="AO271" s="65"/>
      <c r="AR271" s="65"/>
      <c r="AU271" s="65"/>
      <c r="AV271" s="65"/>
      <c r="AW271" s="68"/>
    </row>
    <row r="272" ht="15.75" customHeight="1">
      <c r="A272" s="29">
        <v>70602.0</v>
      </c>
      <c r="B272" s="76" t="s">
        <v>276</v>
      </c>
      <c r="C272" s="77">
        <v>117999.0</v>
      </c>
      <c r="D272" s="77">
        <v>19217.0</v>
      </c>
      <c r="E272" s="78">
        <f t="shared" si="7"/>
        <v>6.140344487</v>
      </c>
      <c r="F272" s="77">
        <v>97419.0</v>
      </c>
      <c r="G272" s="77">
        <v>19115.5</v>
      </c>
      <c r="H272" s="78">
        <f t="shared" si="8"/>
        <v>5.096335435</v>
      </c>
      <c r="I272" s="77">
        <v>0.0</v>
      </c>
      <c r="J272" s="77">
        <v>19014.0</v>
      </c>
      <c r="K272" s="78">
        <f t="shared" si="9"/>
        <v>0</v>
      </c>
      <c r="L272" s="79">
        <f t="shared" si="10"/>
        <v>3.745559974</v>
      </c>
      <c r="M272" s="80">
        <f t="shared" si="11"/>
        <v>71806</v>
      </c>
      <c r="N272" s="77">
        <v>0.0</v>
      </c>
      <c r="O272" s="77">
        <v>18202.0</v>
      </c>
      <c r="P272" s="81">
        <f t="shared" si="12"/>
        <v>0</v>
      </c>
      <c r="Q272" s="82">
        <v>105000.0</v>
      </c>
      <c r="R272" s="77">
        <v>18100.5</v>
      </c>
      <c r="S272" s="81">
        <f t="shared" si="13"/>
        <v>5.800944725</v>
      </c>
      <c r="T272" s="77">
        <v>105000.0</v>
      </c>
      <c r="U272" s="77">
        <v>17999.0</v>
      </c>
      <c r="V272" s="81">
        <f t="shared" si="14"/>
        <v>5.833657425</v>
      </c>
      <c r="W272" s="83">
        <f t="shared" si="15"/>
        <v>3.878200717</v>
      </c>
      <c r="X272" s="84">
        <f t="shared" si="16"/>
        <v>70000</v>
      </c>
      <c r="AD272" s="65"/>
      <c r="AG272" s="65"/>
      <c r="AJ272" s="65"/>
      <c r="AK272" s="65"/>
      <c r="AL272" s="68"/>
      <c r="AO272" s="65"/>
      <c r="AR272" s="65"/>
      <c r="AU272" s="65"/>
      <c r="AV272" s="65"/>
      <c r="AW272" s="68"/>
    </row>
    <row r="273" ht="15.75" customHeight="1">
      <c r="A273" s="29">
        <v>70603.0</v>
      </c>
      <c r="B273" s="76" t="s">
        <v>277</v>
      </c>
      <c r="C273" s="77">
        <v>190000.0</v>
      </c>
      <c r="D273" s="77">
        <v>6069.0</v>
      </c>
      <c r="E273" s="78">
        <f t="shared" si="7"/>
        <v>31.3066403</v>
      </c>
      <c r="F273" s="77">
        <v>170000.0</v>
      </c>
      <c r="G273" s="77">
        <v>6063.833333333333</v>
      </c>
      <c r="H273" s="78">
        <f t="shared" si="8"/>
        <v>28.03507132</v>
      </c>
      <c r="I273" s="77">
        <v>0.0</v>
      </c>
      <c r="J273" s="77">
        <v>6058.666666666667</v>
      </c>
      <c r="K273" s="78">
        <f t="shared" si="9"/>
        <v>0</v>
      </c>
      <c r="L273" s="79">
        <f t="shared" si="10"/>
        <v>19.78057054</v>
      </c>
      <c r="M273" s="80">
        <f t="shared" si="11"/>
        <v>120000</v>
      </c>
      <c r="N273" s="77">
        <v>1716000.0</v>
      </c>
      <c r="O273" s="77">
        <v>6017.333333333333</v>
      </c>
      <c r="P273" s="81">
        <f t="shared" si="12"/>
        <v>285.1761578</v>
      </c>
      <c r="Q273" s="82">
        <v>178000.0</v>
      </c>
      <c r="R273" s="77">
        <v>6012.166666666667</v>
      </c>
      <c r="S273" s="81">
        <f t="shared" si="13"/>
        <v>29.606631</v>
      </c>
      <c r="T273" s="77">
        <v>99000.0</v>
      </c>
      <c r="U273" s="77">
        <v>6007.0</v>
      </c>
      <c r="V273" s="81">
        <f t="shared" si="14"/>
        <v>16.48077243</v>
      </c>
      <c r="W273" s="83">
        <f t="shared" si="15"/>
        <v>110.4211871</v>
      </c>
      <c r="X273" s="84">
        <f t="shared" si="16"/>
        <v>664333.3333</v>
      </c>
      <c r="AD273" s="65"/>
      <c r="AG273" s="65"/>
      <c r="AJ273" s="65"/>
      <c r="AK273" s="65"/>
      <c r="AL273" s="68"/>
      <c r="AO273" s="65"/>
      <c r="AR273" s="65"/>
      <c r="AU273" s="65"/>
      <c r="AV273" s="65"/>
      <c r="AW273" s="68"/>
    </row>
    <row r="274" ht="15.75" customHeight="1">
      <c r="A274" s="29">
        <v>70701.0</v>
      </c>
      <c r="B274" s="76" t="s">
        <v>278</v>
      </c>
      <c r="C274" s="77">
        <v>50000.0</v>
      </c>
      <c r="D274" s="77">
        <v>5366.0</v>
      </c>
      <c r="E274" s="78">
        <f t="shared" si="7"/>
        <v>9.317927693</v>
      </c>
      <c r="F274" s="77">
        <v>30000.0</v>
      </c>
      <c r="G274" s="77">
        <v>5414.333333333333</v>
      </c>
      <c r="H274" s="78">
        <f t="shared" si="8"/>
        <v>5.540848365</v>
      </c>
      <c r="I274" s="77">
        <v>0.0</v>
      </c>
      <c r="J274" s="77">
        <v>5462.666666666667</v>
      </c>
      <c r="K274" s="78">
        <f t="shared" si="9"/>
        <v>0</v>
      </c>
      <c r="L274" s="79">
        <f t="shared" si="10"/>
        <v>4.952925353</v>
      </c>
      <c r="M274" s="80">
        <f t="shared" si="11"/>
        <v>26666.66667</v>
      </c>
      <c r="N274" s="77">
        <v>30000.0</v>
      </c>
      <c r="O274" s="77">
        <v>5849.333333333333</v>
      </c>
      <c r="P274" s="81">
        <f t="shared" si="12"/>
        <v>5.128789606</v>
      </c>
      <c r="Q274" s="82">
        <v>30000.0</v>
      </c>
      <c r="R274" s="77">
        <v>5897.666666666667</v>
      </c>
      <c r="S274" s="81">
        <f t="shared" si="13"/>
        <v>5.086757475</v>
      </c>
      <c r="T274" s="77">
        <v>30000.0</v>
      </c>
      <c r="U274" s="77">
        <v>5946.0</v>
      </c>
      <c r="V274" s="81">
        <f t="shared" si="14"/>
        <v>5.045408678</v>
      </c>
      <c r="W274" s="83">
        <f t="shared" si="15"/>
        <v>5.086985253</v>
      </c>
      <c r="X274" s="84">
        <f t="shared" si="16"/>
        <v>30000</v>
      </c>
      <c r="AD274" s="65"/>
      <c r="AG274" s="65"/>
      <c r="AJ274" s="65"/>
      <c r="AK274" s="65"/>
      <c r="AL274" s="68"/>
      <c r="AO274" s="65"/>
      <c r="AR274" s="65"/>
      <c r="AU274" s="65"/>
      <c r="AV274" s="65"/>
      <c r="AW274" s="68"/>
    </row>
    <row r="275" ht="15.75" customHeight="1">
      <c r="A275" s="29">
        <v>70702.0</v>
      </c>
      <c r="B275" s="76" t="s">
        <v>279</v>
      </c>
      <c r="C275" s="77">
        <v>0.0</v>
      </c>
      <c r="D275" s="77">
        <v>32186.0</v>
      </c>
      <c r="E275" s="78">
        <f t="shared" si="7"/>
        <v>0</v>
      </c>
      <c r="F275" s="77">
        <v>0.0</v>
      </c>
      <c r="G275" s="77">
        <v>32705.5</v>
      </c>
      <c r="H275" s="78">
        <f t="shared" si="8"/>
        <v>0</v>
      </c>
      <c r="I275" s="77">
        <v>0.0</v>
      </c>
      <c r="J275" s="77">
        <v>33225.0</v>
      </c>
      <c r="K275" s="78">
        <f t="shared" si="9"/>
        <v>0</v>
      </c>
      <c r="L275" s="79">
        <f t="shared" si="10"/>
        <v>0</v>
      </c>
      <c r="M275" s="80">
        <f t="shared" si="11"/>
        <v>0</v>
      </c>
      <c r="N275" s="77">
        <v>240808.0</v>
      </c>
      <c r="O275" s="77">
        <v>37381.0</v>
      </c>
      <c r="P275" s="81">
        <f t="shared" si="12"/>
        <v>6.441989246</v>
      </c>
      <c r="Q275" s="82">
        <v>0.0</v>
      </c>
      <c r="R275" s="77">
        <v>37900.5</v>
      </c>
      <c r="S275" s="81">
        <f t="shared" si="13"/>
        <v>0</v>
      </c>
      <c r="T275" s="77">
        <v>0.0</v>
      </c>
      <c r="U275" s="77">
        <v>38420.0</v>
      </c>
      <c r="V275" s="81">
        <f t="shared" si="14"/>
        <v>0</v>
      </c>
      <c r="W275" s="83">
        <f t="shared" si="15"/>
        <v>2.147329749</v>
      </c>
      <c r="X275" s="84">
        <f t="shared" si="16"/>
        <v>80269.33333</v>
      </c>
      <c r="AD275" s="65"/>
      <c r="AG275" s="65"/>
      <c r="AJ275" s="65"/>
      <c r="AK275" s="65"/>
      <c r="AL275" s="68"/>
      <c r="AO275" s="65"/>
      <c r="AR275" s="65"/>
      <c r="AU275" s="65"/>
      <c r="AV275" s="65"/>
      <c r="AW275" s="68"/>
    </row>
    <row r="276" ht="15.75" customHeight="1">
      <c r="A276" s="29">
        <v>70703.0</v>
      </c>
      <c r="B276" s="76" t="s">
        <v>280</v>
      </c>
      <c r="C276" s="77">
        <v>90000.0</v>
      </c>
      <c r="D276" s="77">
        <v>26434.0</v>
      </c>
      <c r="E276" s="78">
        <f t="shared" si="7"/>
        <v>3.40470606</v>
      </c>
      <c r="F276" s="77">
        <v>110000.0</v>
      </c>
      <c r="G276" s="77">
        <v>26977.916666666668</v>
      </c>
      <c r="H276" s="78">
        <f t="shared" si="8"/>
        <v>4.077408992</v>
      </c>
      <c r="I276" s="77">
        <v>0.0</v>
      </c>
      <c r="J276" s="77">
        <v>27521.833333333332</v>
      </c>
      <c r="K276" s="78">
        <f t="shared" si="9"/>
        <v>0</v>
      </c>
      <c r="L276" s="79">
        <f t="shared" si="10"/>
        <v>2.494038351</v>
      </c>
      <c r="M276" s="80">
        <f t="shared" si="11"/>
        <v>66666.66667</v>
      </c>
      <c r="N276" s="77">
        <v>117500.0</v>
      </c>
      <c r="O276" s="77">
        <v>31873.166666666664</v>
      </c>
      <c r="P276" s="81">
        <f t="shared" si="12"/>
        <v>3.686486543</v>
      </c>
      <c r="Q276" s="82">
        <v>126490.0</v>
      </c>
      <c r="R276" s="77">
        <v>32417.083333333332</v>
      </c>
      <c r="S276" s="81">
        <f t="shared" si="13"/>
        <v>3.901954988</v>
      </c>
      <c r="T276" s="77">
        <v>124668.0</v>
      </c>
      <c r="U276" s="77">
        <v>32961.0</v>
      </c>
      <c r="V276" s="81">
        <f t="shared" si="14"/>
        <v>3.782288159</v>
      </c>
      <c r="W276" s="83">
        <f t="shared" si="15"/>
        <v>3.79024323</v>
      </c>
      <c r="X276" s="84">
        <f t="shared" si="16"/>
        <v>122886</v>
      </c>
      <c r="AD276" s="65"/>
      <c r="AG276" s="65"/>
      <c r="AJ276" s="65"/>
      <c r="AK276" s="65"/>
      <c r="AL276" s="68"/>
      <c r="AO276" s="65"/>
      <c r="AR276" s="65"/>
      <c r="AU276" s="65"/>
      <c r="AV276" s="65"/>
      <c r="AW276" s="68"/>
    </row>
    <row r="277" ht="15.75" customHeight="1">
      <c r="A277" s="29">
        <v>70704.0</v>
      </c>
      <c r="B277" s="76" t="s">
        <v>281</v>
      </c>
      <c r="C277" s="77">
        <v>23404.0</v>
      </c>
      <c r="D277" s="77">
        <v>5052.0</v>
      </c>
      <c r="E277" s="78">
        <f t="shared" si="7"/>
        <v>4.632620744</v>
      </c>
      <c r="F277" s="77">
        <v>30000.0</v>
      </c>
      <c r="G277" s="77">
        <v>5075.583333333333</v>
      </c>
      <c r="H277" s="78">
        <f t="shared" si="8"/>
        <v>5.910650664</v>
      </c>
      <c r="I277" s="77">
        <v>0.0</v>
      </c>
      <c r="J277" s="77">
        <v>5099.166666666667</v>
      </c>
      <c r="K277" s="78">
        <f t="shared" si="9"/>
        <v>0</v>
      </c>
      <c r="L277" s="79">
        <f t="shared" si="10"/>
        <v>3.514423803</v>
      </c>
      <c r="M277" s="80">
        <f t="shared" si="11"/>
        <v>17801.33333</v>
      </c>
      <c r="N277" s="77">
        <v>40000.0</v>
      </c>
      <c r="O277" s="77">
        <v>5287.833333333333</v>
      </c>
      <c r="P277" s="81">
        <f t="shared" si="12"/>
        <v>7.564534939</v>
      </c>
      <c r="Q277" s="82">
        <v>35000.0</v>
      </c>
      <c r="R277" s="77">
        <v>5311.416666666667</v>
      </c>
      <c r="S277" s="81">
        <f t="shared" si="13"/>
        <v>6.589579051</v>
      </c>
      <c r="T277" s="77">
        <v>50000.0</v>
      </c>
      <c r="U277" s="77">
        <v>5335.0</v>
      </c>
      <c r="V277" s="81">
        <f t="shared" si="14"/>
        <v>9.372071228</v>
      </c>
      <c r="W277" s="83">
        <f t="shared" si="15"/>
        <v>7.842061739</v>
      </c>
      <c r="X277" s="84">
        <f t="shared" si="16"/>
        <v>41666.66667</v>
      </c>
      <c r="AD277" s="65"/>
      <c r="AG277" s="65"/>
      <c r="AJ277" s="65"/>
      <c r="AK277" s="65"/>
      <c r="AL277" s="68"/>
      <c r="AO277" s="65"/>
      <c r="AR277" s="65"/>
      <c r="AU277" s="65"/>
      <c r="AV277" s="65"/>
      <c r="AW277" s="68"/>
    </row>
    <row r="278" ht="15.75" customHeight="1">
      <c r="A278" s="29">
        <v>70705.0</v>
      </c>
      <c r="B278" s="76" t="s">
        <v>282</v>
      </c>
      <c r="C278" s="77">
        <v>5000.0</v>
      </c>
      <c r="D278" s="77">
        <v>12273.0</v>
      </c>
      <c r="E278" s="78">
        <f t="shared" si="7"/>
        <v>0.4073983541</v>
      </c>
      <c r="F278" s="77">
        <v>5000.0</v>
      </c>
      <c r="G278" s="77">
        <v>12449.333333333334</v>
      </c>
      <c r="H278" s="78">
        <f t="shared" si="8"/>
        <v>0.4016279319</v>
      </c>
      <c r="I278" s="77">
        <v>0.0</v>
      </c>
      <c r="J278" s="77">
        <v>12625.666666666666</v>
      </c>
      <c r="K278" s="78">
        <f t="shared" si="9"/>
        <v>0</v>
      </c>
      <c r="L278" s="79">
        <f t="shared" si="10"/>
        <v>0.2696754287</v>
      </c>
      <c r="M278" s="80">
        <f t="shared" si="11"/>
        <v>3333.333333</v>
      </c>
      <c r="N278" s="77">
        <v>0.0</v>
      </c>
      <c r="O278" s="77">
        <v>14036.333333333334</v>
      </c>
      <c r="P278" s="81">
        <f t="shared" si="12"/>
        <v>0</v>
      </c>
      <c r="Q278" s="82">
        <v>15000.0</v>
      </c>
      <c r="R278" s="77">
        <v>14212.666666666666</v>
      </c>
      <c r="S278" s="81">
        <f t="shared" si="13"/>
        <v>1.055396595</v>
      </c>
      <c r="T278" s="77">
        <v>0.0</v>
      </c>
      <c r="U278" s="77">
        <v>14389.0</v>
      </c>
      <c r="V278" s="81">
        <f t="shared" si="14"/>
        <v>0</v>
      </c>
      <c r="W278" s="83">
        <f t="shared" si="15"/>
        <v>0.3517988649</v>
      </c>
      <c r="X278" s="84">
        <f t="shared" si="16"/>
        <v>5000</v>
      </c>
      <c r="AD278" s="65"/>
      <c r="AG278" s="65"/>
      <c r="AJ278" s="65"/>
      <c r="AK278" s="65"/>
      <c r="AL278" s="68"/>
      <c r="AO278" s="65"/>
      <c r="AR278" s="65"/>
      <c r="AU278" s="65"/>
      <c r="AV278" s="65"/>
      <c r="AW278" s="68"/>
    </row>
    <row r="279" ht="15.75" customHeight="1">
      <c r="A279" s="29">
        <v>70706.0</v>
      </c>
      <c r="B279" s="76" t="s">
        <v>283</v>
      </c>
      <c r="C279" s="77">
        <v>1900000.0</v>
      </c>
      <c r="D279" s="77">
        <v>33838.0</v>
      </c>
      <c r="E279" s="78">
        <f t="shared" si="7"/>
        <v>56.14989066</v>
      </c>
      <c r="F279" s="77">
        <v>2900000.0</v>
      </c>
      <c r="G279" s="77">
        <v>33708.583333333336</v>
      </c>
      <c r="H279" s="78">
        <f t="shared" si="8"/>
        <v>86.03150038</v>
      </c>
      <c r="I279" s="77">
        <v>0.0</v>
      </c>
      <c r="J279" s="77">
        <v>33579.166666666664</v>
      </c>
      <c r="K279" s="78">
        <f t="shared" si="9"/>
        <v>0</v>
      </c>
      <c r="L279" s="79">
        <f t="shared" si="10"/>
        <v>47.39379701</v>
      </c>
      <c r="M279" s="80">
        <f t="shared" si="11"/>
        <v>1600000</v>
      </c>
      <c r="N279" s="77">
        <v>2950000.0</v>
      </c>
      <c r="O279" s="77">
        <v>32543.833333333332</v>
      </c>
      <c r="P279" s="81">
        <f t="shared" si="12"/>
        <v>90.64697357</v>
      </c>
      <c r="Q279" s="82">
        <v>2950000.0</v>
      </c>
      <c r="R279" s="77">
        <v>32414.416666666668</v>
      </c>
      <c r="S279" s="81">
        <f t="shared" si="13"/>
        <v>91.00888751</v>
      </c>
      <c r="T279" s="77">
        <v>2889050.0</v>
      </c>
      <c r="U279" s="77">
        <v>32285.0</v>
      </c>
      <c r="V279" s="81">
        <f t="shared" si="14"/>
        <v>89.48582933</v>
      </c>
      <c r="W279" s="83">
        <f t="shared" si="15"/>
        <v>90.38056347</v>
      </c>
      <c r="X279" s="84">
        <f t="shared" si="16"/>
        <v>2929683.333</v>
      </c>
      <c r="AD279" s="65"/>
      <c r="AG279" s="65"/>
      <c r="AJ279" s="65"/>
      <c r="AK279" s="65"/>
      <c r="AL279" s="68"/>
      <c r="AO279" s="65"/>
      <c r="AR279" s="65"/>
      <c r="AU279" s="65"/>
      <c r="AV279" s="65"/>
      <c r="AW279" s="68"/>
    </row>
    <row r="280" ht="15.75" customHeight="1">
      <c r="A280" s="29">
        <v>70707.0</v>
      </c>
      <c r="B280" s="76" t="s">
        <v>284</v>
      </c>
      <c r="C280" s="77">
        <v>45000.0</v>
      </c>
      <c r="D280" s="77">
        <v>5087.0</v>
      </c>
      <c r="E280" s="78">
        <f t="shared" si="7"/>
        <v>8.846078239</v>
      </c>
      <c r="F280" s="77">
        <v>90000.0</v>
      </c>
      <c r="G280" s="77">
        <v>5130.75</v>
      </c>
      <c r="H280" s="78">
        <f t="shared" si="8"/>
        <v>17.54129513</v>
      </c>
      <c r="I280" s="77">
        <v>0.0</v>
      </c>
      <c r="J280" s="77">
        <v>5174.5</v>
      </c>
      <c r="K280" s="78">
        <f t="shared" si="9"/>
        <v>0</v>
      </c>
      <c r="L280" s="79">
        <f t="shared" si="10"/>
        <v>8.795791124</v>
      </c>
      <c r="M280" s="80">
        <f t="shared" si="11"/>
        <v>45000</v>
      </c>
      <c r="N280" s="77">
        <v>40000.0</v>
      </c>
      <c r="O280" s="77">
        <v>5524.5</v>
      </c>
      <c r="P280" s="81">
        <f t="shared" si="12"/>
        <v>7.240474251</v>
      </c>
      <c r="Q280" s="82">
        <v>55000.0</v>
      </c>
      <c r="R280" s="77">
        <v>5568.25</v>
      </c>
      <c r="S280" s="81">
        <f t="shared" si="13"/>
        <v>9.877430072</v>
      </c>
      <c r="T280" s="77">
        <v>55000.0</v>
      </c>
      <c r="U280" s="77">
        <v>5612.0</v>
      </c>
      <c r="V280" s="81">
        <f t="shared" si="14"/>
        <v>9.800427655</v>
      </c>
      <c r="W280" s="83">
        <f t="shared" si="15"/>
        <v>8.972777326</v>
      </c>
      <c r="X280" s="84">
        <f t="shared" si="16"/>
        <v>50000</v>
      </c>
      <c r="AD280" s="65"/>
      <c r="AG280" s="65"/>
      <c r="AJ280" s="65"/>
      <c r="AK280" s="65"/>
      <c r="AL280" s="68"/>
      <c r="AO280" s="65"/>
      <c r="AR280" s="65"/>
      <c r="AU280" s="65"/>
      <c r="AV280" s="65"/>
      <c r="AW280" s="68"/>
    </row>
    <row r="281" ht="15.75" customHeight="1">
      <c r="A281" s="29">
        <v>70801.0</v>
      </c>
      <c r="B281" s="76" t="s">
        <v>285</v>
      </c>
      <c r="C281" s="77">
        <v>320000.0</v>
      </c>
      <c r="D281" s="77">
        <v>17208.0</v>
      </c>
      <c r="E281" s="78">
        <f t="shared" si="7"/>
        <v>18.59600186</v>
      </c>
      <c r="F281" s="77">
        <v>480000.0</v>
      </c>
      <c r="G281" s="77">
        <v>17211.416666666668</v>
      </c>
      <c r="H281" s="78">
        <f t="shared" si="8"/>
        <v>27.8884655</v>
      </c>
      <c r="I281" s="77">
        <v>448000.0</v>
      </c>
      <c r="J281" s="77">
        <v>17214.833333333332</v>
      </c>
      <c r="K281" s="78">
        <f t="shared" si="9"/>
        <v>26.02406839</v>
      </c>
      <c r="L281" s="79">
        <f t="shared" si="10"/>
        <v>24.16951192</v>
      </c>
      <c r="M281" s="80">
        <f t="shared" si="11"/>
        <v>416000</v>
      </c>
      <c r="N281" s="77">
        <v>750000.0</v>
      </c>
      <c r="O281" s="77">
        <v>17242.166666666668</v>
      </c>
      <c r="P281" s="81">
        <f t="shared" si="12"/>
        <v>43.49801359</v>
      </c>
      <c r="Q281" s="82">
        <v>750000.0</v>
      </c>
      <c r="R281" s="77">
        <v>17245.583333333332</v>
      </c>
      <c r="S281" s="81">
        <f t="shared" si="13"/>
        <v>43.48939584</v>
      </c>
      <c r="T281" s="77">
        <v>750000.0</v>
      </c>
      <c r="U281" s="77">
        <v>17249.0</v>
      </c>
      <c r="V281" s="81">
        <f t="shared" si="14"/>
        <v>43.48078149</v>
      </c>
      <c r="W281" s="83">
        <f t="shared" si="15"/>
        <v>43.48939697</v>
      </c>
      <c r="X281" s="84">
        <f t="shared" si="16"/>
        <v>750000</v>
      </c>
      <c r="AD281" s="65"/>
      <c r="AG281" s="65"/>
      <c r="AJ281" s="65"/>
      <c r="AK281" s="65"/>
      <c r="AL281" s="68"/>
      <c r="AO281" s="65"/>
      <c r="AR281" s="65"/>
      <c r="AU281" s="65"/>
      <c r="AV281" s="65"/>
      <c r="AW281" s="68"/>
    </row>
    <row r="282" ht="15.75" customHeight="1">
      <c r="A282" s="29">
        <v>70802.0</v>
      </c>
      <c r="B282" s="76" t="s">
        <v>286</v>
      </c>
      <c r="C282" s="77">
        <v>3000.0</v>
      </c>
      <c r="D282" s="77">
        <v>2135.0</v>
      </c>
      <c r="E282" s="78">
        <f t="shared" si="7"/>
        <v>1.405152225</v>
      </c>
      <c r="F282" s="77">
        <v>3000.0</v>
      </c>
      <c r="G282" s="77">
        <v>2153.6666666666665</v>
      </c>
      <c r="H282" s="78">
        <f t="shared" si="8"/>
        <v>1.392973224</v>
      </c>
      <c r="I282" s="77">
        <v>0.0</v>
      </c>
      <c r="J282" s="77">
        <v>2172.3333333333335</v>
      </c>
      <c r="K282" s="78">
        <f t="shared" si="9"/>
        <v>0</v>
      </c>
      <c r="L282" s="79">
        <f t="shared" si="10"/>
        <v>0.9327084829</v>
      </c>
      <c r="M282" s="80">
        <f t="shared" si="11"/>
        <v>2000</v>
      </c>
      <c r="N282" s="77">
        <v>15000.0</v>
      </c>
      <c r="O282" s="77">
        <v>2321.6666666666665</v>
      </c>
      <c r="P282" s="81">
        <f t="shared" si="12"/>
        <v>6.460875808</v>
      </c>
      <c r="Q282" s="82">
        <v>10000.0</v>
      </c>
      <c r="R282" s="77">
        <v>2340.3333333333335</v>
      </c>
      <c r="S282" s="81">
        <f t="shared" si="13"/>
        <v>4.272895599</v>
      </c>
      <c r="T282" s="77">
        <v>20000.0</v>
      </c>
      <c r="U282" s="77">
        <v>2359.0</v>
      </c>
      <c r="V282" s="81">
        <f t="shared" si="14"/>
        <v>8.478168716</v>
      </c>
      <c r="W282" s="83">
        <f t="shared" si="15"/>
        <v>6.403980041</v>
      </c>
      <c r="X282" s="84">
        <f t="shared" si="16"/>
        <v>15000</v>
      </c>
      <c r="AD282" s="65"/>
      <c r="AG282" s="65"/>
      <c r="AJ282" s="65"/>
      <c r="AK282" s="65"/>
      <c r="AL282" s="68"/>
      <c r="AO282" s="65"/>
      <c r="AR282" s="65"/>
      <c r="AU282" s="65"/>
      <c r="AV282" s="65"/>
      <c r="AW282" s="68"/>
    </row>
    <row r="283" ht="15.75" customHeight="1">
      <c r="A283" s="29">
        <v>70803.0</v>
      </c>
      <c r="B283" s="76" t="s">
        <v>287</v>
      </c>
      <c r="C283" s="77">
        <v>31700.0</v>
      </c>
      <c r="D283" s="77">
        <v>2767.0</v>
      </c>
      <c r="E283" s="78">
        <f t="shared" si="7"/>
        <v>11.45645103</v>
      </c>
      <c r="F283" s="77">
        <v>35000.0</v>
      </c>
      <c r="G283" s="77">
        <v>2769.1666666666665</v>
      </c>
      <c r="H283" s="78">
        <f t="shared" si="8"/>
        <v>12.63918146</v>
      </c>
      <c r="I283" s="77">
        <v>0.0</v>
      </c>
      <c r="J283" s="77">
        <v>2771.3333333333335</v>
      </c>
      <c r="K283" s="78">
        <f t="shared" si="9"/>
        <v>0</v>
      </c>
      <c r="L283" s="79">
        <f t="shared" si="10"/>
        <v>8.031877498</v>
      </c>
      <c r="M283" s="80">
        <f t="shared" si="11"/>
        <v>22233.33333</v>
      </c>
      <c r="N283" s="77">
        <v>18000.0</v>
      </c>
      <c r="O283" s="77">
        <v>2788.6666666666665</v>
      </c>
      <c r="P283" s="81">
        <f t="shared" si="12"/>
        <v>6.454697585</v>
      </c>
      <c r="Q283" s="82">
        <v>27141.0</v>
      </c>
      <c r="R283" s="77">
        <v>2790.8333333333335</v>
      </c>
      <c r="S283" s="81">
        <f t="shared" si="13"/>
        <v>9.725052254</v>
      </c>
      <c r="T283" s="77">
        <v>24600.0</v>
      </c>
      <c r="U283" s="77">
        <v>2793.0</v>
      </c>
      <c r="V283" s="81">
        <f t="shared" si="14"/>
        <v>8.80773362</v>
      </c>
      <c r="W283" s="83">
        <f t="shared" si="15"/>
        <v>8.329161153</v>
      </c>
      <c r="X283" s="84">
        <f t="shared" si="16"/>
        <v>23247</v>
      </c>
      <c r="AD283" s="65"/>
      <c r="AG283" s="65"/>
      <c r="AJ283" s="65"/>
      <c r="AK283" s="65"/>
      <c r="AL283" s="68"/>
      <c r="AO283" s="65"/>
      <c r="AR283" s="65"/>
      <c r="AU283" s="65"/>
      <c r="AV283" s="65"/>
      <c r="AW283" s="68"/>
    </row>
    <row r="284" ht="15.75" customHeight="1">
      <c r="A284" s="29">
        <v>70804.0</v>
      </c>
      <c r="B284" s="76" t="s">
        <v>288</v>
      </c>
      <c r="C284" s="77">
        <v>12000.0</v>
      </c>
      <c r="D284" s="77">
        <v>2390.0</v>
      </c>
      <c r="E284" s="78">
        <f t="shared" si="7"/>
        <v>5.020920502</v>
      </c>
      <c r="F284" s="77">
        <v>25000.0</v>
      </c>
      <c r="G284" s="77">
        <v>2341.3333333333335</v>
      </c>
      <c r="H284" s="78">
        <f t="shared" si="8"/>
        <v>10.67767654</v>
      </c>
      <c r="I284" s="77">
        <v>0.0</v>
      </c>
      <c r="J284" s="77">
        <v>2292.6666666666665</v>
      </c>
      <c r="K284" s="78">
        <f t="shared" si="9"/>
        <v>0</v>
      </c>
      <c r="L284" s="79">
        <f t="shared" si="10"/>
        <v>5.23286568</v>
      </c>
      <c r="M284" s="80">
        <f t="shared" si="11"/>
        <v>12333.33333</v>
      </c>
      <c r="N284" s="77">
        <v>30000.0</v>
      </c>
      <c r="O284" s="77">
        <v>1903.3333333333335</v>
      </c>
      <c r="P284" s="81">
        <f t="shared" si="12"/>
        <v>15.76182137</v>
      </c>
      <c r="Q284" s="82">
        <v>0.0</v>
      </c>
      <c r="R284" s="77">
        <v>1854.6666666666667</v>
      </c>
      <c r="S284" s="81">
        <f t="shared" si="13"/>
        <v>0</v>
      </c>
      <c r="T284" s="77">
        <v>0.0</v>
      </c>
      <c r="U284" s="77">
        <v>1806.0</v>
      </c>
      <c r="V284" s="81">
        <f t="shared" si="14"/>
        <v>0</v>
      </c>
      <c r="W284" s="83">
        <f t="shared" si="15"/>
        <v>5.253940455</v>
      </c>
      <c r="X284" s="84">
        <f t="shared" si="16"/>
        <v>10000</v>
      </c>
      <c r="AD284" s="65"/>
      <c r="AG284" s="65"/>
      <c r="AJ284" s="65"/>
      <c r="AK284" s="65"/>
      <c r="AL284" s="68"/>
      <c r="AO284" s="65"/>
      <c r="AR284" s="65"/>
      <c r="AU284" s="65"/>
      <c r="AV284" s="65"/>
      <c r="AW284" s="68"/>
    </row>
    <row r="285" ht="15.75" customHeight="1">
      <c r="A285" s="29">
        <v>70805.0</v>
      </c>
      <c r="B285" s="76" t="s">
        <v>289</v>
      </c>
      <c r="C285" s="77">
        <v>10000.0</v>
      </c>
      <c r="D285" s="77">
        <v>2076.0</v>
      </c>
      <c r="E285" s="78">
        <f t="shared" si="7"/>
        <v>4.816955684</v>
      </c>
      <c r="F285" s="77">
        <v>20000.0</v>
      </c>
      <c r="G285" s="77">
        <v>2070.9166666666665</v>
      </c>
      <c r="H285" s="78">
        <f t="shared" si="8"/>
        <v>9.657559052</v>
      </c>
      <c r="I285" s="77">
        <v>0.0</v>
      </c>
      <c r="J285" s="77">
        <v>2065.8333333333335</v>
      </c>
      <c r="K285" s="78">
        <f t="shared" si="9"/>
        <v>0</v>
      </c>
      <c r="L285" s="79">
        <f t="shared" si="10"/>
        <v>4.824838245</v>
      </c>
      <c r="M285" s="80">
        <f t="shared" si="11"/>
        <v>10000</v>
      </c>
      <c r="N285" s="77">
        <v>50000.0</v>
      </c>
      <c r="O285" s="77">
        <v>2025.1666666666667</v>
      </c>
      <c r="P285" s="81">
        <f t="shared" si="12"/>
        <v>24.68932598</v>
      </c>
      <c r="Q285" s="82">
        <v>45000.0</v>
      </c>
      <c r="R285" s="77">
        <v>2020.0833333333333</v>
      </c>
      <c r="S285" s="81">
        <f t="shared" si="13"/>
        <v>22.27630873</v>
      </c>
      <c r="T285" s="77">
        <v>40000.0</v>
      </c>
      <c r="U285" s="77">
        <v>2015.0</v>
      </c>
      <c r="V285" s="81">
        <f t="shared" si="14"/>
        <v>19.85111663</v>
      </c>
      <c r="W285" s="83">
        <f t="shared" si="15"/>
        <v>22.27225045</v>
      </c>
      <c r="X285" s="84">
        <f t="shared" si="16"/>
        <v>45000</v>
      </c>
      <c r="AD285" s="65"/>
      <c r="AG285" s="65"/>
      <c r="AJ285" s="65"/>
      <c r="AK285" s="65"/>
      <c r="AL285" s="68"/>
      <c r="AO285" s="65"/>
      <c r="AR285" s="65"/>
      <c r="AU285" s="65"/>
      <c r="AV285" s="65"/>
      <c r="AW285" s="68"/>
    </row>
    <row r="286" ht="15.75" customHeight="1">
      <c r="A286" s="29">
        <v>70901.0</v>
      </c>
      <c r="B286" s="76" t="s">
        <v>290</v>
      </c>
      <c r="C286" s="77">
        <v>80000.0</v>
      </c>
      <c r="D286" s="77">
        <v>10472.0</v>
      </c>
      <c r="E286" s="78">
        <f t="shared" si="7"/>
        <v>7.639419404</v>
      </c>
      <c r="F286" s="77">
        <v>70000.0</v>
      </c>
      <c r="G286" s="77">
        <v>10586.25</v>
      </c>
      <c r="H286" s="78">
        <f t="shared" si="8"/>
        <v>6.612350927</v>
      </c>
      <c r="I286" s="77">
        <v>0.0</v>
      </c>
      <c r="J286" s="77">
        <v>10700.5</v>
      </c>
      <c r="K286" s="78">
        <f t="shared" si="9"/>
        <v>0</v>
      </c>
      <c r="L286" s="79">
        <f t="shared" si="10"/>
        <v>4.75059011</v>
      </c>
      <c r="M286" s="80">
        <f t="shared" si="11"/>
        <v>50000</v>
      </c>
      <c r="N286" s="77">
        <v>850978.0</v>
      </c>
      <c r="O286" s="77">
        <v>11614.5</v>
      </c>
      <c r="P286" s="81">
        <f t="shared" si="12"/>
        <v>73.26858668</v>
      </c>
      <c r="Q286" s="82">
        <v>372800.0</v>
      </c>
      <c r="R286" s="77">
        <v>11728.75</v>
      </c>
      <c r="S286" s="81">
        <f t="shared" si="13"/>
        <v>31.78514334</v>
      </c>
      <c r="T286" s="77">
        <v>679130.0</v>
      </c>
      <c r="U286" s="77">
        <v>11843.0</v>
      </c>
      <c r="V286" s="81">
        <f t="shared" si="14"/>
        <v>57.34442287</v>
      </c>
      <c r="W286" s="83">
        <f t="shared" si="15"/>
        <v>54.13271763</v>
      </c>
      <c r="X286" s="84">
        <f t="shared" si="16"/>
        <v>634302.6667</v>
      </c>
      <c r="AD286" s="65"/>
      <c r="AG286" s="65"/>
      <c r="AJ286" s="65"/>
      <c r="AK286" s="65"/>
      <c r="AL286" s="68"/>
      <c r="AO286" s="65"/>
      <c r="AR286" s="65"/>
      <c r="AU286" s="65"/>
      <c r="AV286" s="65"/>
      <c r="AW286" s="68"/>
    </row>
    <row r="287" ht="15.75" customHeight="1">
      <c r="A287" s="29">
        <v>70902.0</v>
      </c>
      <c r="B287" s="76" t="s">
        <v>291</v>
      </c>
      <c r="C287" s="77">
        <v>36000.0</v>
      </c>
      <c r="D287" s="77">
        <v>9198.0</v>
      </c>
      <c r="E287" s="78">
        <f t="shared" si="7"/>
        <v>3.913894325</v>
      </c>
      <c r="F287" s="77">
        <v>35000.0</v>
      </c>
      <c r="G287" s="77">
        <v>9239.166666666666</v>
      </c>
      <c r="H287" s="78">
        <f t="shared" si="8"/>
        <v>3.788220438</v>
      </c>
      <c r="I287" s="77">
        <v>0.0</v>
      </c>
      <c r="J287" s="77">
        <v>9280.333333333334</v>
      </c>
      <c r="K287" s="78">
        <f t="shared" si="9"/>
        <v>0</v>
      </c>
      <c r="L287" s="79">
        <f t="shared" si="10"/>
        <v>2.567371588</v>
      </c>
      <c r="M287" s="80">
        <f t="shared" si="11"/>
        <v>23666.66667</v>
      </c>
      <c r="N287" s="77">
        <v>235700.0</v>
      </c>
      <c r="O287" s="77">
        <v>9609.666666666666</v>
      </c>
      <c r="P287" s="81">
        <f t="shared" si="12"/>
        <v>24.52738562</v>
      </c>
      <c r="Q287" s="82">
        <v>45000.0</v>
      </c>
      <c r="R287" s="77">
        <v>9650.833333333334</v>
      </c>
      <c r="S287" s="81">
        <f t="shared" si="13"/>
        <v>4.662809775</v>
      </c>
      <c r="T287" s="77">
        <v>62500.0</v>
      </c>
      <c r="U287" s="77">
        <v>9692.0</v>
      </c>
      <c r="V287" s="81">
        <f t="shared" si="14"/>
        <v>6.448617416</v>
      </c>
      <c r="W287" s="83">
        <f t="shared" si="15"/>
        <v>11.87960427</v>
      </c>
      <c r="X287" s="84">
        <f t="shared" si="16"/>
        <v>114400</v>
      </c>
      <c r="AD287" s="65"/>
      <c r="AG287" s="65"/>
      <c r="AJ287" s="65"/>
      <c r="AK287" s="65"/>
      <c r="AL287" s="68"/>
      <c r="AO287" s="65"/>
      <c r="AR287" s="65"/>
      <c r="AU287" s="65"/>
      <c r="AV287" s="65"/>
      <c r="AW287" s="68"/>
    </row>
    <row r="288" ht="15.75" customHeight="1">
      <c r="A288" s="29">
        <v>70903.0</v>
      </c>
      <c r="B288" s="76" t="s">
        <v>292</v>
      </c>
      <c r="C288" s="77">
        <v>110000.0</v>
      </c>
      <c r="D288" s="77">
        <v>10177.0</v>
      </c>
      <c r="E288" s="78">
        <f t="shared" si="7"/>
        <v>10.80868625</v>
      </c>
      <c r="F288" s="77">
        <v>130000.0</v>
      </c>
      <c r="G288" s="77">
        <v>10390.166666666666</v>
      </c>
      <c r="H288" s="78">
        <f t="shared" si="8"/>
        <v>12.5118301</v>
      </c>
      <c r="I288" s="77">
        <v>0.0</v>
      </c>
      <c r="J288" s="77">
        <v>10603.333333333334</v>
      </c>
      <c r="K288" s="78">
        <f t="shared" si="9"/>
        <v>0</v>
      </c>
      <c r="L288" s="79">
        <f t="shared" si="10"/>
        <v>7.77350545</v>
      </c>
      <c r="M288" s="80">
        <f t="shared" si="11"/>
        <v>80000</v>
      </c>
      <c r="N288" s="77">
        <v>257687.0</v>
      </c>
      <c r="O288" s="77">
        <v>12308.666666666666</v>
      </c>
      <c r="P288" s="81">
        <f t="shared" si="12"/>
        <v>20.93541136</v>
      </c>
      <c r="Q288" s="82">
        <v>267687.0</v>
      </c>
      <c r="R288" s="77">
        <v>12521.833333333332</v>
      </c>
      <c r="S288" s="81">
        <f t="shared" si="13"/>
        <v>21.37762042</v>
      </c>
      <c r="T288" s="77">
        <v>295000.0</v>
      </c>
      <c r="U288" s="77">
        <v>12735.0</v>
      </c>
      <c r="V288" s="81">
        <f t="shared" si="14"/>
        <v>23.16450726</v>
      </c>
      <c r="W288" s="83">
        <f t="shared" si="15"/>
        <v>21.82584635</v>
      </c>
      <c r="X288" s="84">
        <f t="shared" si="16"/>
        <v>273458</v>
      </c>
      <c r="AD288" s="65"/>
      <c r="AG288" s="65"/>
      <c r="AJ288" s="65"/>
      <c r="AK288" s="65"/>
      <c r="AL288" s="68"/>
      <c r="AO288" s="65"/>
      <c r="AR288" s="65"/>
      <c r="AU288" s="65"/>
      <c r="AV288" s="65"/>
      <c r="AW288" s="68"/>
    </row>
    <row r="289" ht="15.75" customHeight="1">
      <c r="A289" s="29">
        <v>70904.0</v>
      </c>
      <c r="B289" s="76" t="s">
        <v>293</v>
      </c>
      <c r="C289" s="77">
        <v>19000.0</v>
      </c>
      <c r="D289" s="77">
        <v>2995.0</v>
      </c>
      <c r="E289" s="78">
        <f t="shared" si="7"/>
        <v>6.343906511</v>
      </c>
      <c r="F289" s="77">
        <v>19000.0</v>
      </c>
      <c r="G289" s="77">
        <v>3002.5833333333335</v>
      </c>
      <c r="H289" s="78">
        <f t="shared" si="8"/>
        <v>6.327884322</v>
      </c>
      <c r="I289" s="77">
        <v>0.0</v>
      </c>
      <c r="J289" s="77">
        <v>3010.1666666666665</v>
      </c>
      <c r="K289" s="78">
        <f t="shared" si="9"/>
        <v>0</v>
      </c>
      <c r="L289" s="79">
        <f t="shared" si="10"/>
        <v>4.223930278</v>
      </c>
      <c r="M289" s="80">
        <f t="shared" si="11"/>
        <v>12666.66667</v>
      </c>
      <c r="N289" s="77">
        <v>40000.0</v>
      </c>
      <c r="O289" s="77">
        <v>3070.8333333333335</v>
      </c>
      <c r="P289" s="81">
        <f t="shared" si="12"/>
        <v>13.02578019</v>
      </c>
      <c r="Q289" s="82">
        <v>55000.0</v>
      </c>
      <c r="R289" s="77">
        <v>3078.4166666666665</v>
      </c>
      <c r="S289" s="81">
        <f t="shared" si="13"/>
        <v>17.86632739</v>
      </c>
      <c r="T289" s="77">
        <v>58200.0</v>
      </c>
      <c r="U289" s="77">
        <v>3086.0</v>
      </c>
      <c r="V289" s="81">
        <f t="shared" si="14"/>
        <v>18.85936487</v>
      </c>
      <c r="W289" s="83">
        <f t="shared" si="15"/>
        <v>16.58382415</v>
      </c>
      <c r="X289" s="84">
        <f t="shared" si="16"/>
        <v>51066.66667</v>
      </c>
      <c r="AD289" s="65"/>
      <c r="AG289" s="65"/>
      <c r="AJ289" s="65"/>
      <c r="AK289" s="65"/>
      <c r="AL289" s="68"/>
      <c r="AO289" s="65"/>
      <c r="AR289" s="65"/>
      <c r="AU289" s="65"/>
      <c r="AV289" s="65"/>
      <c r="AW289" s="68"/>
    </row>
    <row r="290" ht="15.75" customHeight="1">
      <c r="A290" s="29">
        <v>71001.0</v>
      </c>
      <c r="B290" s="76" t="s">
        <v>294</v>
      </c>
      <c r="C290" s="77">
        <v>6714500.0</v>
      </c>
      <c r="D290" s="77">
        <v>109518.0</v>
      </c>
      <c r="E290" s="78">
        <f t="shared" si="7"/>
        <v>61.30955642</v>
      </c>
      <c r="F290" s="77">
        <v>5593420.0</v>
      </c>
      <c r="G290" s="77">
        <v>110965.33333333333</v>
      </c>
      <c r="H290" s="78">
        <f t="shared" si="8"/>
        <v>50.40691387</v>
      </c>
      <c r="I290" s="77">
        <v>755000.0</v>
      </c>
      <c r="J290" s="77">
        <v>112412.66666666667</v>
      </c>
      <c r="K290" s="78">
        <f t="shared" si="9"/>
        <v>6.716324969</v>
      </c>
      <c r="L290" s="79">
        <f t="shared" si="10"/>
        <v>39.47759842</v>
      </c>
      <c r="M290" s="80">
        <f t="shared" si="11"/>
        <v>4354306.667</v>
      </c>
      <c r="N290" s="77">
        <v>9878161.0</v>
      </c>
      <c r="O290" s="77">
        <v>123991.33333333333</v>
      </c>
      <c r="P290" s="81">
        <f t="shared" si="12"/>
        <v>79.66815691</v>
      </c>
      <c r="Q290" s="82">
        <v>1.0584115E7</v>
      </c>
      <c r="R290" s="77">
        <v>125438.66666666667</v>
      </c>
      <c r="S290" s="81">
        <f t="shared" si="13"/>
        <v>84.37681364</v>
      </c>
      <c r="T290" s="77">
        <v>1.1305943E7</v>
      </c>
      <c r="U290" s="77">
        <v>126886.0</v>
      </c>
      <c r="V290" s="81">
        <f t="shared" si="14"/>
        <v>89.10315559</v>
      </c>
      <c r="W290" s="83">
        <f t="shared" si="15"/>
        <v>84.38270871</v>
      </c>
      <c r="X290" s="84">
        <f t="shared" si="16"/>
        <v>10589406.33</v>
      </c>
      <c r="AD290" s="65"/>
      <c r="AG290" s="65"/>
      <c r="AJ290" s="65"/>
      <c r="AK290" s="65"/>
      <c r="AL290" s="68"/>
      <c r="AO290" s="65"/>
      <c r="AR290" s="65"/>
      <c r="AU290" s="65"/>
      <c r="AV290" s="65"/>
      <c r="AW290" s="68"/>
    </row>
    <row r="291" ht="15.75" customHeight="1">
      <c r="A291" s="29">
        <v>71002.0</v>
      </c>
      <c r="B291" s="76" t="s">
        <v>295</v>
      </c>
      <c r="C291" s="77">
        <v>125000.0</v>
      </c>
      <c r="D291" s="77">
        <v>14209.0</v>
      </c>
      <c r="E291" s="78">
        <f t="shared" si="7"/>
        <v>8.797241185</v>
      </c>
      <c r="F291" s="77">
        <v>150000.0</v>
      </c>
      <c r="G291" s="77">
        <v>14408.083333333334</v>
      </c>
      <c r="H291" s="78">
        <f t="shared" si="8"/>
        <v>10.41082263</v>
      </c>
      <c r="I291" s="77">
        <v>0.0</v>
      </c>
      <c r="J291" s="77">
        <v>14607.166666666666</v>
      </c>
      <c r="K291" s="78">
        <f t="shared" si="9"/>
        <v>0</v>
      </c>
      <c r="L291" s="79">
        <f t="shared" si="10"/>
        <v>6.402687938</v>
      </c>
      <c r="M291" s="80">
        <f t="shared" si="11"/>
        <v>91666.66667</v>
      </c>
      <c r="N291" s="77">
        <v>207259.0</v>
      </c>
      <c r="O291" s="77">
        <v>16199.833333333334</v>
      </c>
      <c r="P291" s="81">
        <f t="shared" si="12"/>
        <v>12.79389706</v>
      </c>
      <c r="Q291" s="82">
        <v>261392.0</v>
      </c>
      <c r="R291" s="77">
        <v>16398.916666666668</v>
      </c>
      <c r="S291" s="81">
        <f t="shared" si="13"/>
        <v>15.93958951</v>
      </c>
      <c r="T291" s="77">
        <v>261392.0</v>
      </c>
      <c r="U291" s="77">
        <v>16598.0</v>
      </c>
      <c r="V291" s="81">
        <f t="shared" si="14"/>
        <v>15.74840342</v>
      </c>
      <c r="W291" s="83">
        <f t="shared" si="15"/>
        <v>14.82729666</v>
      </c>
      <c r="X291" s="84">
        <f t="shared" si="16"/>
        <v>243347.6667</v>
      </c>
      <c r="AD291" s="65"/>
      <c r="AG291" s="65"/>
      <c r="AJ291" s="65"/>
      <c r="AK291" s="65"/>
      <c r="AL291" s="68"/>
      <c r="AO291" s="65"/>
      <c r="AR291" s="65"/>
      <c r="AU291" s="65"/>
      <c r="AV291" s="65"/>
      <c r="AW291" s="68"/>
    </row>
    <row r="292" ht="15.75" customHeight="1">
      <c r="A292" s="29">
        <v>71003.0</v>
      </c>
      <c r="B292" s="76" t="s">
        <v>296</v>
      </c>
      <c r="C292" s="77">
        <v>355630.0</v>
      </c>
      <c r="D292" s="77">
        <v>23251.0</v>
      </c>
      <c r="E292" s="78">
        <f t="shared" si="7"/>
        <v>15.29525612</v>
      </c>
      <c r="F292" s="77">
        <v>159000.0</v>
      </c>
      <c r="G292" s="77">
        <v>23239.25</v>
      </c>
      <c r="H292" s="78">
        <f t="shared" si="8"/>
        <v>6.841873124</v>
      </c>
      <c r="I292" s="77">
        <v>0.0</v>
      </c>
      <c r="J292" s="77">
        <v>23227.5</v>
      </c>
      <c r="K292" s="78">
        <f t="shared" si="9"/>
        <v>0</v>
      </c>
      <c r="L292" s="79">
        <f t="shared" si="10"/>
        <v>7.379043081</v>
      </c>
      <c r="M292" s="80">
        <f t="shared" si="11"/>
        <v>171543.3333</v>
      </c>
      <c r="N292" s="77">
        <v>1202969.0</v>
      </c>
      <c r="O292" s="77">
        <v>23133.5</v>
      </c>
      <c r="P292" s="81">
        <f t="shared" si="12"/>
        <v>52.00116714</v>
      </c>
      <c r="Q292" s="82">
        <v>931950.0</v>
      </c>
      <c r="R292" s="77">
        <v>23121.75</v>
      </c>
      <c r="S292" s="81">
        <f t="shared" si="13"/>
        <v>40.3062052</v>
      </c>
      <c r="T292" s="77">
        <v>1149650.0</v>
      </c>
      <c r="U292" s="77">
        <v>23110.0</v>
      </c>
      <c r="V292" s="81">
        <f t="shared" si="14"/>
        <v>49.74686283</v>
      </c>
      <c r="W292" s="83">
        <f t="shared" si="15"/>
        <v>47.35141172</v>
      </c>
      <c r="X292" s="84">
        <f t="shared" si="16"/>
        <v>1094856.333</v>
      </c>
      <c r="AD292" s="65"/>
      <c r="AG292" s="65"/>
      <c r="AJ292" s="65"/>
      <c r="AK292" s="65"/>
      <c r="AL292" s="68"/>
      <c r="AO292" s="65"/>
      <c r="AR292" s="65"/>
      <c r="AU292" s="65"/>
      <c r="AV292" s="65"/>
      <c r="AW292" s="68"/>
    </row>
    <row r="293" ht="15.75" customHeight="1">
      <c r="A293" s="29">
        <v>71004.0</v>
      </c>
      <c r="B293" s="76" t="s">
        <v>297</v>
      </c>
      <c r="C293" s="77">
        <v>98260.0</v>
      </c>
      <c r="D293" s="77">
        <v>15117.0</v>
      </c>
      <c r="E293" s="78">
        <f t="shared" si="7"/>
        <v>6.499966925</v>
      </c>
      <c r="F293" s="77">
        <v>99880.0</v>
      </c>
      <c r="G293" s="77">
        <v>15074.75</v>
      </c>
      <c r="H293" s="78">
        <f t="shared" si="8"/>
        <v>6.62564885</v>
      </c>
      <c r="I293" s="77">
        <v>0.0</v>
      </c>
      <c r="J293" s="77">
        <v>15032.5</v>
      </c>
      <c r="K293" s="78">
        <f t="shared" si="9"/>
        <v>0</v>
      </c>
      <c r="L293" s="79">
        <f t="shared" si="10"/>
        <v>4.375205258</v>
      </c>
      <c r="M293" s="80">
        <f t="shared" si="11"/>
        <v>66046.66667</v>
      </c>
      <c r="N293" s="77">
        <v>529536.0</v>
      </c>
      <c r="O293" s="77">
        <v>14694.5</v>
      </c>
      <c r="P293" s="81">
        <f t="shared" si="12"/>
        <v>36.03634013</v>
      </c>
      <c r="Q293" s="82">
        <v>290400.0</v>
      </c>
      <c r="R293" s="77">
        <v>14652.25</v>
      </c>
      <c r="S293" s="81">
        <f t="shared" si="13"/>
        <v>19.81948165</v>
      </c>
      <c r="T293" s="77">
        <v>225864.0</v>
      </c>
      <c r="U293" s="77">
        <v>14610.0</v>
      </c>
      <c r="V293" s="81">
        <f t="shared" si="14"/>
        <v>15.45954825</v>
      </c>
      <c r="W293" s="83">
        <f t="shared" si="15"/>
        <v>23.77179001</v>
      </c>
      <c r="X293" s="84">
        <f t="shared" si="16"/>
        <v>348600</v>
      </c>
      <c r="AD293" s="65"/>
      <c r="AG293" s="65"/>
      <c r="AJ293" s="65"/>
      <c r="AK293" s="65"/>
      <c r="AL293" s="68"/>
      <c r="AO293" s="65"/>
      <c r="AR293" s="65"/>
      <c r="AU293" s="65"/>
      <c r="AV293" s="65"/>
      <c r="AW293" s="68"/>
    </row>
    <row r="294" ht="15.75" customHeight="1">
      <c r="A294" s="29">
        <v>71005.0</v>
      </c>
      <c r="B294" s="76" t="s">
        <v>222</v>
      </c>
      <c r="C294" s="77">
        <v>21000.0</v>
      </c>
      <c r="D294" s="77">
        <v>19103.0</v>
      </c>
      <c r="E294" s="78">
        <f t="shared" si="7"/>
        <v>1.099303774</v>
      </c>
      <c r="F294" s="77">
        <v>18000.0</v>
      </c>
      <c r="G294" s="77">
        <v>18781.583333333332</v>
      </c>
      <c r="H294" s="78">
        <f t="shared" si="8"/>
        <v>0.9583856526</v>
      </c>
      <c r="I294" s="77">
        <v>0.0</v>
      </c>
      <c r="J294" s="77">
        <v>18460.166666666668</v>
      </c>
      <c r="K294" s="78">
        <f t="shared" si="9"/>
        <v>0</v>
      </c>
      <c r="L294" s="79">
        <f t="shared" si="10"/>
        <v>0.6858964756</v>
      </c>
      <c r="M294" s="80">
        <f t="shared" si="11"/>
        <v>13000</v>
      </c>
      <c r="N294" s="77">
        <v>74450.0</v>
      </c>
      <c r="O294" s="77">
        <v>15888.833333333332</v>
      </c>
      <c r="P294" s="81">
        <f t="shared" si="12"/>
        <v>4.685680719</v>
      </c>
      <c r="Q294" s="82">
        <v>48450.0</v>
      </c>
      <c r="R294" s="77">
        <v>15567.416666666666</v>
      </c>
      <c r="S294" s="81">
        <f t="shared" si="13"/>
        <v>3.112269751</v>
      </c>
      <c r="T294" s="77">
        <v>74450.0</v>
      </c>
      <c r="U294" s="77">
        <v>15246.0</v>
      </c>
      <c r="V294" s="81">
        <f t="shared" si="14"/>
        <v>4.883248065</v>
      </c>
      <c r="W294" s="83">
        <f t="shared" si="15"/>
        <v>4.227066179</v>
      </c>
      <c r="X294" s="84">
        <f t="shared" si="16"/>
        <v>65783.33333</v>
      </c>
      <c r="AD294" s="65"/>
      <c r="AG294" s="65"/>
      <c r="AJ294" s="65"/>
      <c r="AK294" s="65"/>
      <c r="AL294" s="68"/>
      <c r="AO294" s="65"/>
      <c r="AR294" s="65"/>
      <c r="AU294" s="65"/>
      <c r="AV294" s="65"/>
      <c r="AW294" s="68"/>
    </row>
    <row r="295" ht="15.75" customHeight="1">
      <c r="A295" s="29">
        <v>71101.0</v>
      </c>
      <c r="B295" s="76" t="s">
        <v>298</v>
      </c>
      <c r="C295" s="77">
        <v>267614.0</v>
      </c>
      <c r="D295" s="77">
        <v>18800.0</v>
      </c>
      <c r="E295" s="78">
        <f t="shared" si="7"/>
        <v>14.23478723</v>
      </c>
      <c r="F295" s="77">
        <v>334000.0</v>
      </c>
      <c r="G295" s="77">
        <v>19743.166666666668</v>
      </c>
      <c r="H295" s="78">
        <f t="shared" si="8"/>
        <v>16.91724563</v>
      </c>
      <c r="I295" s="77">
        <v>0.0</v>
      </c>
      <c r="J295" s="77">
        <v>20686.333333333332</v>
      </c>
      <c r="K295" s="78">
        <f t="shared" si="9"/>
        <v>0</v>
      </c>
      <c r="L295" s="79">
        <f t="shared" si="10"/>
        <v>10.38401095</v>
      </c>
      <c r="M295" s="80">
        <f t="shared" si="11"/>
        <v>200538</v>
      </c>
      <c r="N295" s="77">
        <v>878140.0</v>
      </c>
      <c r="O295" s="77">
        <v>28231.666666666664</v>
      </c>
      <c r="P295" s="81">
        <f t="shared" si="12"/>
        <v>31.10478777</v>
      </c>
      <c r="Q295" s="82">
        <v>1042800.0</v>
      </c>
      <c r="R295" s="77">
        <v>29174.833333333332</v>
      </c>
      <c r="S295" s="81">
        <f t="shared" si="13"/>
        <v>35.74313478</v>
      </c>
      <c r="T295" s="77">
        <v>940532.0</v>
      </c>
      <c r="U295" s="77">
        <v>30118.0</v>
      </c>
      <c r="V295" s="81">
        <f t="shared" si="14"/>
        <v>31.22823561</v>
      </c>
      <c r="W295" s="83">
        <f t="shared" si="15"/>
        <v>32.69205272</v>
      </c>
      <c r="X295" s="84">
        <f t="shared" si="16"/>
        <v>953824</v>
      </c>
      <c r="AD295" s="65"/>
      <c r="AG295" s="65"/>
      <c r="AJ295" s="65"/>
      <c r="AK295" s="65"/>
      <c r="AL295" s="68"/>
      <c r="AO295" s="65"/>
      <c r="AR295" s="65"/>
      <c r="AU295" s="65"/>
      <c r="AV295" s="65"/>
      <c r="AW295" s="68"/>
    </row>
    <row r="296" ht="15.75" customHeight="1">
      <c r="A296" s="29">
        <v>71102.0</v>
      </c>
      <c r="B296" s="76" t="s">
        <v>299</v>
      </c>
      <c r="C296" s="77">
        <v>160000.0</v>
      </c>
      <c r="D296" s="77">
        <v>13620.0</v>
      </c>
      <c r="E296" s="78">
        <f t="shared" si="7"/>
        <v>11.74743025</v>
      </c>
      <c r="F296" s="77">
        <v>160000.0</v>
      </c>
      <c r="G296" s="77">
        <v>13725.666666666666</v>
      </c>
      <c r="H296" s="78">
        <f t="shared" si="8"/>
        <v>11.65699298</v>
      </c>
      <c r="I296" s="77">
        <v>0.0</v>
      </c>
      <c r="J296" s="77">
        <v>13831.333333333334</v>
      </c>
      <c r="K296" s="78">
        <f t="shared" si="9"/>
        <v>0</v>
      </c>
      <c r="L296" s="79">
        <f t="shared" si="10"/>
        <v>7.80147441</v>
      </c>
      <c r="M296" s="80">
        <f t="shared" si="11"/>
        <v>106666.6667</v>
      </c>
      <c r="N296" s="77">
        <v>540000.0</v>
      </c>
      <c r="O296" s="77">
        <v>14676.666666666666</v>
      </c>
      <c r="P296" s="81">
        <f t="shared" si="12"/>
        <v>36.79309562</v>
      </c>
      <c r="Q296" s="82">
        <v>544500.0</v>
      </c>
      <c r="R296" s="77">
        <v>14782.333333333334</v>
      </c>
      <c r="S296" s="81">
        <f t="shared" si="13"/>
        <v>36.83450966</v>
      </c>
      <c r="T296" s="77">
        <v>510000.0</v>
      </c>
      <c r="U296" s="77">
        <v>14888.0</v>
      </c>
      <c r="V296" s="81">
        <f t="shared" si="14"/>
        <v>34.25577646</v>
      </c>
      <c r="W296" s="83">
        <f t="shared" si="15"/>
        <v>35.96112725</v>
      </c>
      <c r="X296" s="84">
        <f t="shared" si="16"/>
        <v>531500</v>
      </c>
      <c r="AD296" s="65"/>
      <c r="AG296" s="65"/>
      <c r="AJ296" s="65"/>
      <c r="AK296" s="65"/>
      <c r="AL296" s="68"/>
      <c r="AO296" s="65"/>
      <c r="AR296" s="65"/>
      <c r="AU296" s="65"/>
      <c r="AV296" s="65"/>
      <c r="AW296" s="68"/>
    </row>
    <row r="297" ht="15.75" customHeight="1">
      <c r="A297" s="29">
        <v>71103.0</v>
      </c>
      <c r="B297" s="76" t="s">
        <v>300</v>
      </c>
      <c r="C297" s="77">
        <v>0.0</v>
      </c>
      <c r="D297" s="77">
        <v>7490.0</v>
      </c>
      <c r="E297" s="78">
        <f t="shared" si="7"/>
        <v>0</v>
      </c>
      <c r="F297" s="77">
        <v>267400.0</v>
      </c>
      <c r="G297" s="77">
        <v>7577.583333333333</v>
      </c>
      <c r="H297" s="78">
        <f t="shared" si="8"/>
        <v>35.28829552</v>
      </c>
      <c r="I297" s="77">
        <v>0.0</v>
      </c>
      <c r="J297" s="77">
        <v>7665.166666666667</v>
      </c>
      <c r="K297" s="78">
        <f t="shared" si="9"/>
        <v>0</v>
      </c>
      <c r="L297" s="79">
        <f t="shared" si="10"/>
        <v>11.76276517</v>
      </c>
      <c r="M297" s="80">
        <f t="shared" si="11"/>
        <v>89133.33333</v>
      </c>
      <c r="N297" s="77">
        <v>160200.0</v>
      </c>
      <c r="O297" s="77">
        <v>8365.833333333334</v>
      </c>
      <c r="P297" s="81">
        <f t="shared" si="12"/>
        <v>19.14931766</v>
      </c>
      <c r="Q297" s="82">
        <v>189176.0</v>
      </c>
      <c r="R297" s="77">
        <v>8453.416666666666</v>
      </c>
      <c r="S297" s="81">
        <f t="shared" si="13"/>
        <v>22.37864374</v>
      </c>
      <c r="T297" s="77">
        <v>176520.0</v>
      </c>
      <c r="U297" s="77">
        <v>8541.0</v>
      </c>
      <c r="V297" s="81">
        <f t="shared" si="14"/>
        <v>20.66736916</v>
      </c>
      <c r="W297" s="83">
        <f t="shared" si="15"/>
        <v>20.73177686</v>
      </c>
      <c r="X297" s="84">
        <f t="shared" si="16"/>
        <v>175298.6667</v>
      </c>
      <c r="AD297" s="65"/>
      <c r="AG297" s="65"/>
      <c r="AJ297" s="65"/>
      <c r="AK297" s="65"/>
      <c r="AL297" s="68"/>
      <c r="AO297" s="65"/>
      <c r="AR297" s="65"/>
      <c r="AU297" s="65"/>
      <c r="AV297" s="65"/>
      <c r="AW297" s="68"/>
    </row>
    <row r="298" ht="15.75" customHeight="1">
      <c r="A298" s="29">
        <v>71104.0</v>
      </c>
      <c r="B298" s="76" t="s">
        <v>301</v>
      </c>
      <c r="C298" s="77">
        <v>364830.0</v>
      </c>
      <c r="D298" s="77">
        <v>47416.0</v>
      </c>
      <c r="E298" s="78">
        <f t="shared" si="7"/>
        <v>7.694238232</v>
      </c>
      <c r="F298" s="77">
        <v>286000.0</v>
      </c>
      <c r="G298" s="77">
        <v>47207.083333333336</v>
      </c>
      <c r="H298" s="78">
        <f t="shared" si="8"/>
        <v>6.058412844</v>
      </c>
      <c r="I298" s="77">
        <v>0.0</v>
      </c>
      <c r="J298" s="77">
        <v>46998.166666666664</v>
      </c>
      <c r="K298" s="78">
        <f t="shared" si="9"/>
        <v>0</v>
      </c>
      <c r="L298" s="79">
        <f t="shared" si="10"/>
        <v>4.584217025</v>
      </c>
      <c r="M298" s="80">
        <f t="shared" si="11"/>
        <v>216943.3333</v>
      </c>
      <c r="N298" s="77">
        <v>400000.0</v>
      </c>
      <c r="O298" s="77">
        <v>45326.833333333336</v>
      </c>
      <c r="P298" s="81">
        <f t="shared" si="12"/>
        <v>8.824794732</v>
      </c>
      <c r="Q298" s="82">
        <v>450000.0</v>
      </c>
      <c r="R298" s="77">
        <v>45117.916666666664</v>
      </c>
      <c r="S298" s="81">
        <f t="shared" si="13"/>
        <v>9.97386478</v>
      </c>
      <c r="T298" s="77">
        <v>694405.0</v>
      </c>
      <c r="U298" s="77">
        <v>44909.0</v>
      </c>
      <c r="V298" s="81">
        <f t="shared" si="14"/>
        <v>15.46249081</v>
      </c>
      <c r="W298" s="83">
        <f t="shared" si="15"/>
        <v>11.42038344</v>
      </c>
      <c r="X298" s="84">
        <f t="shared" si="16"/>
        <v>514801.6667</v>
      </c>
      <c r="AD298" s="65"/>
      <c r="AG298" s="65"/>
      <c r="AJ298" s="65"/>
      <c r="AK298" s="65"/>
      <c r="AL298" s="68"/>
      <c r="AO298" s="65"/>
      <c r="AR298" s="65"/>
      <c r="AU298" s="65"/>
      <c r="AV298" s="65"/>
      <c r="AW298" s="68"/>
    </row>
    <row r="299" ht="15.75" customHeight="1">
      <c r="A299" s="29">
        <v>71105.0</v>
      </c>
      <c r="B299" s="76" t="s">
        <v>302</v>
      </c>
      <c r="C299" s="77">
        <v>15000.0</v>
      </c>
      <c r="D299" s="77">
        <v>6481.0</v>
      </c>
      <c r="E299" s="78">
        <f t="shared" si="7"/>
        <v>2.314457645</v>
      </c>
      <c r="F299" s="77">
        <v>8000.0</v>
      </c>
      <c r="G299" s="77">
        <v>6471.25</v>
      </c>
      <c r="H299" s="78">
        <f t="shared" si="8"/>
        <v>1.236237203</v>
      </c>
      <c r="I299" s="77">
        <v>0.0</v>
      </c>
      <c r="J299" s="77">
        <v>6461.5</v>
      </c>
      <c r="K299" s="78">
        <f t="shared" si="9"/>
        <v>0</v>
      </c>
      <c r="L299" s="79">
        <f t="shared" si="10"/>
        <v>1.183564949</v>
      </c>
      <c r="M299" s="80">
        <f t="shared" si="11"/>
        <v>7666.666667</v>
      </c>
      <c r="N299" s="77">
        <v>45000.0</v>
      </c>
      <c r="O299" s="77">
        <v>6383.5</v>
      </c>
      <c r="P299" s="81">
        <f t="shared" si="12"/>
        <v>7.049424297</v>
      </c>
      <c r="Q299" s="82">
        <v>50000.0</v>
      </c>
      <c r="R299" s="77">
        <v>6373.75</v>
      </c>
      <c r="S299" s="81">
        <f t="shared" si="13"/>
        <v>7.844675427</v>
      </c>
      <c r="T299" s="77">
        <v>50000.0</v>
      </c>
      <c r="U299" s="77">
        <v>6364.0</v>
      </c>
      <c r="V299" s="81">
        <f t="shared" si="14"/>
        <v>7.856693903</v>
      </c>
      <c r="W299" s="83">
        <f t="shared" si="15"/>
        <v>7.583597876</v>
      </c>
      <c r="X299" s="84">
        <f t="shared" si="16"/>
        <v>48333.33333</v>
      </c>
      <c r="AD299" s="65"/>
      <c r="AG299" s="65"/>
      <c r="AJ299" s="65"/>
      <c r="AK299" s="65"/>
      <c r="AL299" s="68"/>
      <c r="AO299" s="65"/>
      <c r="AR299" s="65"/>
      <c r="AU299" s="65"/>
      <c r="AV299" s="65"/>
      <c r="AW299" s="68"/>
    </row>
    <row r="300" ht="15.75" customHeight="1">
      <c r="A300" s="29">
        <v>71106.0</v>
      </c>
      <c r="B300" s="76" t="s">
        <v>303</v>
      </c>
      <c r="C300" s="77">
        <v>60000.0</v>
      </c>
      <c r="D300" s="77">
        <v>22845.0</v>
      </c>
      <c r="E300" s="78">
        <f t="shared" si="7"/>
        <v>2.626395272</v>
      </c>
      <c r="F300" s="77">
        <v>100500.0</v>
      </c>
      <c r="G300" s="77">
        <v>23046.083333333332</v>
      </c>
      <c r="H300" s="78">
        <f t="shared" si="8"/>
        <v>4.360827762</v>
      </c>
      <c r="I300" s="77">
        <v>0.0</v>
      </c>
      <c r="J300" s="77">
        <v>23247.166666666668</v>
      </c>
      <c r="K300" s="78">
        <f t="shared" si="9"/>
        <v>0</v>
      </c>
      <c r="L300" s="79">
        <f t="shared" si="10"/>
        <v>2.329074345</v>
      </c>
      <c r="M300" s="80">
        <f t="shared" si="11"/>
        <v>53500</v>
      </c>
      <c r="N300" s="77">
        <v>272000.0</v>
      </c>
      <c r="O300" s="77">
        <v>24855.833333333332</v>
      </c>
      <c r="P300" s="81">
        <f t="shared" si="12"/>
        <v>10.94310524</v>
      </c>
      <c r="Q300" s="82">
        <v>280000.0</v>
      </c>
      <c r="R300" s="77">
        <v>25056.916666666668</v>
      </c>
      <c r="S300" s="81">
        <f t="shared" si="13"/>
        <v>11.17455925</v>
      </c>
      <c r="T300" s="77">
        <v>178820.0</v>
      </c>
      <c r="U300" s="77">
        <v>25258.0</v>
      </c>
      <c r="V300" s="81">
        <f t="shared" si="14"/>
        <v>7.079737113</v>
      </c>
      <c r="W300" s="83">
        <f t="shared" si="15"/>
        <v>9.732467202</v>
      </c>
      <c r="X300" s="84">
        <f t="shared" si="16"/>
        <v>243606.6667</v>
      </c>
      <c r="AD300" s="65"/>
      <c r="AG300" s="65"/>
      <c r="AJ300" s="65"/>
      <c r="AK300" s="65"/>
      <c r="AL300" s="68"/>
      <c r="AO300" s="65"/>
      <c r="AR300" s="65"/>
      <c r="AU300" s="65"/>
      <c r="AV300" s="65"/>
      <c r="AW300" s="68"/>
    </row>
    <row r="301" ht="15.75" customHeight="1">
      <c r="A301" s="29">
        <v>71201.0</v>
      </c>
      <c r="B301" s="76" t="s">
        <v>304</v>
      </c>
      <c r="C301" s="77">
        <v>0.0</v>
      </c>
      <c r="D301" s="77">
        <v>14470.0</v>
      </c>
      <c r="E301" s="78">
        <f t="shared" si="7"/>
        <v>0</v>
      </c>
      <c r="F301" s="77">
        <v>100000.0</v>
      </c>
      <c r="G301" s="77">
        <v>14545.666666666666</v>
      </c>
      <c r="H301" s="78">
        <f t="shared" si="8"/>
        <v>6.874899741</v>
      </c>
      <c r="I301" s="77">
        <v>0.0</v>
      </c>
      <c r="J301" s="77">
        <v>14621.333333333334</v>
      </c>
      <c r="K301" s="78">
        <f t="shared" si="9"/>
        <v>0</v>
      </c>
      <c r="L301" s="79">
        <f t="shared" si="10"/>
        <v>2.291633247</v>
      </c>
      <c r="M301" s="80">
        <f t="shared" si="11"/>
        <v>33333.33333</v>
      </c>
      <c r="N301" s="77">
        <v>240648.0</v>
      </c>
      <c r="O301" s="77">
        <v>15226.666666666666</v>
      </c>
      <c r="P301" s="81">
        <f t="shared" si="12"/>
        <v>15.80437828</v>
      </c>
      <c r="Q301" s="82">
        <v>211100.0</v>
      </c>
      <c r="R301" s="77">
        <v>15302.333333333334</v>
      </c>
      <c r="S301" s="81">
        <f t="shared" si="13"/>
        <v>13.79528177</v>
      </c>
      <c r="T301" s="77">
        <v>227500.0</v>
      </c>
      <c r="U301" s="77">
        <v>15378.0</v>
      </c>
      <c r="V301" s="81">
        <f t="shared" si="14"/>
        <v>14.79386136</v>
      </c>
      <c r="W301" s="83">
        <f t="shared" si="15"/>
        <v>14.79784047</v>
      </c>
      <c r="X301" s="84">
        <f t="shared" si="16"/>
        <v>226416</v>
      </c>
      <c r="AD301" s="65"/>
      <c r="AG301" s="65"/>
      <c r="AJ301" s="65"/>
      <c r="AK301" s="65"/>
      <c r="AL301" s="68"/>
      <c r="AO301" s="65"/>
      <c r="AR301" s="65"/>
      <c r="AU301" s="65"/>
      <c r="AV301" s="65"/>
      <c r="AW301" s="68"/>
    </row>
    <row r="302" ht="15.75" customHeight="1">
      <c r="A302" s="29">
        <v>71301.0</v>
      </c>
      <c r="B302" s="76" t="s">
        <v>305</v>
      </c>
      <c r="C302" s="77">
        <v>0.0</v>
      </c>
      <c r="D302" s="77">
        <v>15919.0</v>
      </c>
      <c r="E302" s="78">
        <f t="shared" si="7"/>
        <v>0</v>
      </c>
      <c r="F302" s="77">
        <v>315000.0</v>
      </c>
      <c r="G302" s="77">
        <v>16025.333333333334</v>
      </c>
      <c r="H302" s="78">
        <f t="shared" si="8"/>
        <v>19.6563774</v>
      </c>
      <c r="I302" s="77">
        <v>0.0</v>
      </c>
      <c r="J302" s="77">
        <v>16131.666666666666</v>
      </c>
      <c r="K302" s="78">
        <f t="shared" si="9"/>
        <v>0</v>
      </c>
      <c r="L302" s="79">
        <f t="shared" si="10"/>
        <v>6.552125801</v>
      </c>
      <c r="M302" s="80">
        <f t="shared" si="11"/>
        <v>105000</v>
      </c>
      <c r="N302" s="77">
        <v>407000.0</v>
      </c>
      <c r="O302" s="77">
        <v>16982.333333333332</v>
      </c>
      <c r="P302" s="81">
        <f t="shared" si="12"/>
        <v>23.9660824</v>
      </c>
      <c r="Q302" s="82">
        <v>573360.0</v>
      </c>
      <c r="R302" s="77">
        <v>17088.666666666668</v>
      </c>
      <c r="S302" s="81">
        <f t="shared" si="13"/>
        <v>33.5520618</v>
      </c>
      <c r="T302" s="77">
        <v>450000.0</v>
      </c>
      <c r="U302" s="77">
        <v>17195.0</v>
      </c>
      <c r="V302" s="81">
        <f t="shared" si="14"/>
        <v>26.17039837</v>
      </c>
      <c r="W302" s="83">
        <f t="shared" si="15"/>
        <v>27.89618086</v>
      </c>
      <c r="X302" s="84">
        <f t="shared" si="16"/>
        <v>476786.6667</v>
      </c>
      <c r="AD302" s="65"/>
      <c r="AG302" s="65"/>
      <c r="AJ302" s="65"/>
      <c r="AK302" s="65"/>
      <c r="AL302" s="68"/>
      <c r="AO302" s="65"/>
      <c r="AR302" s="65"/>
      <c r="AU302" s="65"/>
      <c r="AV302" s="65"/>
      <c r="AW302" s="68"/>
    </row>
    <row r="303" ht="15.75" customHeight="1">
      <c r="A303" s="29">
        <v>71302.0</v>
      </c>
      <c r="B303" s="76" t="s">
        <v>306</v>
      </c>
      <c r="C303" s="77">
        <v>29091.0</v>
      </c>
      <c r="D303" s="77">
        <v>7390.0</v>
      </c>
      <c r="E303" s="78">
        <f t="shared" si="7"/>
        <v>3.936535859</v>
      </c>
      <c r="F303" s="77">
        <v>38848.0</v>
      </c>
      <c r="G303" s="77">
        <v>7278.166666666667</v>
      </c>
      <c r="H303" s="78">
        <f t="shared" si="8"/>
        <v>5.337607914</v>
      </c>
      <c r="I303" s="77">
        <v>0.0</v>
      </c>
      <c r="J303" s="77">
        <v>7166.333333333333</v>
      </c>
      <c r="K303" s="78">
        <f t="shared" si="9"/>
        <v>0</v>
      </c>
      <c r="L303" s="79">
        <f t="shared" si="10"/>
        <v>3.091381258</v>
      </c>
      <c r="M303" s="80">
        <f t="shared" si="11"/>
        <v>22646.33333</v>
      </c>
      <c r="N303" s="77">
        <v>65000.0</v>
      </c>
      <c r="O303" s="77">
        <v>6271.666666666667</v>
      </c>
      <c r="P303" s="81">
        <f t="shared" si="12"/>
        <v>10.36407122</v>
      </c>
      <c r="Q303" s="82">
        <v>65000.0</v>
      </c>
      <c r="R303" s="77">
        <v>6159.833333333334</v>
      </c>
      <c r="S303" s="81">
        <f t="shared" si="13"/>
        <v>10.55223356</v>
      </c>
      <c r="T303" s="77">
        <v>65000.0</v>
      </c>
      <c r="U303" s="77">
        <v>6048.0</v>
      </c>
      <c r="V303" s="81">
        <f t="shared" si="14"/>
        <v>10.7473545</v>
      </c>
      <c r="W303" s="83">
        <f t="shared" si="15"/>
        <v>10.55455309</v>
      </c>
      <c r="X303" s="84">
        <f t="shared" si="16"/>
        <v>65000</v>
      </c>
      <c r="AD303" s="65"/>
      <c r="AG303" s="65"/>
      <c r="AJ303" s="65"/>
      <c r="AK303" s="65"/>
      <c r="AL303" s="68"/>
      <c r="AO303" s="65"/>
      <c r="AR303" s="65"/>
      <c r="AU303" s="65"/>
      <c r="AV303" s="65"/>
      <c r="AW303" s="68"/>
    </row>
    <row r="304" ht="15.75" customHeight="1">
      <c r="A304" s="29">
        <v>71401.0</v>
      </c>
      <c r="B304" s="76" t="s">
        <v>307</v>
      </c>
      <c r="C304" s="77">
        <v>0.0</v>
      </c>
      <c r="D304" s="77">
        <v>19829.0</v>
      </c>
      <c r="E304" s="78">
        <f t="shared" si="7"/>
        <v>0</v>
      </c>
      <c r="F304" s="77">
        <v>729877.0</v>
      </c>
      <c r="G304" s="77">
        <v>19628.0</v>
      </c>
      <c r="H304" s="78">
        <f t="shared" si="8"/>
        <v>37.18550031</v>
      </c>
      <c r="I304" s="77">
        <v>0.0</v>
      </c>
      <c r="J304" s="77">
        <v>19427.0</v>
      </c>
      <c r="K304" s="78">
        <f t="shared" si="9"/>
        <v>0</v>
      </c>
      <c r="L304" s="79">
        <f t="shared" si="10"/>
        <v>12.39516677</v>
      </c>
      <c r="M304" s="80">
        <f t="shared" si="11"/>
        <v>243292.3333</v>
      </c>
      <c r="N304" s="77">
        <v>396501.0</v>
      </c>
      <c r="O304" s="77">
        <v>17819.0</v>
      </c>
      <c r="P304" s="81">
        <f t="shared" si="12"/>
        <v>22.25158539</v>
      </c>
      <c r="Q304" s="82">
        <v>865000.0</v>
      </c>
      <c r="R304" s="77">
        <v>17618.0</v>
      </c>
      <c r="S304" s="81">
        <f t="shared" si="13"/>
        <v>49.09751391</v>
      </c>
      <c r="T304" s="77">
        <v>1376500.0</v>
      </c>
      <c r="U304" s="77">
        <v>17417.0</v>
      </c>
      <c r="V304" s="81">
        <f t="shared" si="14"/>
        <v>79.03198025</v>
      </c>
      <c r="W304" s="83">
        <f t="shared" si="15"/>
        <v>50.12702651</v>
      </c>
      <c r="X304" s="84">
        <f t="shared" si="16"/>
        <v>879333.6667</v>
      </c>
      <c r="AD304" s="65"/>
      <c r="AG304" s="65"/>
      <c r="AJ304" s="65"/>
      <c r="AK304" s="65"/>
      <c r="AL304" s="68"/>
      <c r="AO304" s="65"/>
      <c r="AR304" s="65"/>
      <c r="AU304" s="65"/>
      <c r="AV304" s="65"/>
      <c r="AW304" s="68"/>
    </row>
    <row r="305" ht="15.75" customHeight="1">
      <c r="A305" s="29">
        <v>71402.0</v>
      </c>
      <c r="B305" s="76" t="s">
        <v>308</v>
      </c>
      <c r="C305" s="77">
        <v>100000.0</v>
      </c>
      <c r="D305" s="77">
        <v>16659.0</v>
      </c>
      <c r="E305" s="78">
        <f t="shared" si="7"/>
        <v>6.00276127</v>
      </c>
      <c r="F305" s="77">
        <v>840000.0</v>
      </c>
      <c r="G305" s="77">
        <v>16768.583333333332</v>
      </c>
      <c r="H305" s="78">
        <f t="shared" si="8"/>
        <v>50.09367716</v>
      </c>
      <c r="I305" s="77">
        <v>0.0</v>
      </c>
      <c r="J305" s="77">
        <v>16878.166666666668</v>
      </c>
      <c r="K305" s="78">
        <f t="shared" si="9"/>
        <v>0</v>
      </c>
      <c r="L305" s="79">
        <f t="shared" si="10"/>
        <v>18.69881281</v>
      </c>
      <c r="M305" s="80">
        <f t="shared" si="11"/>
        <v>313333.3333</v>
      </c>
      <c r="N305" s="77">
        <v>780000.0</v>
      </c>
      <c r="O305" s="77">
        <v>17754.833333333332</v>
      </c>
      <c r="P305" s="81">
        <f t="shared" si="12"/>
        <v>43.93169935</v>
      </c>
      <c r="Q305" s="82">
        <v>600000.0</v>
      </c>
      <c r="R305" s="77">
        <v>17864.416666666668</v>
      </c>
      <c r="S305" s="81">
        <f t="shared" si="13"/>
        <v>33.58631917</v>
      </c>
      <c r="T305" s="77">
        <v>650000.0</v>
      </c>
      <c r="U305" s="77">
        <v>17974.0</v>
      </c>
      <c r="V305" s="81">
        <f t="shared" si="14"/>
        <v>36.16334706</v>
      </c>
      <c r="W305" s="83">
        <f t="shared" si="15"/>
        <v>37.89378853</v>
      </c>
      <c r="X305" s="84">
        <f t="shared" si="16"/>
        <v>676666.6667</v>
      </c>
      <c r="AD305" s="65"/>
      <c r="AG305" s="65"/>
      <c r="AJ305" s="65"/>
      <c r="AK305" s="65"/>
      <c r="AL305" s="68"/>
      <c r="AO305" s="65"/>
      <c r="AR305" s="65"/>
      <c r="AU305" s="65"/>
      <c r="AV305" s="65"/>
      <c r="AW305" s="68"/>
    </row>
    <row r="306" ht="15.75" customHeight="1">
      <c r="A306" s="29">
        <v>71403.0</v>
      </c>
      <c r="B306" s="76" t="s">
        <v>309</v>
      </c>
      <c r="C306" s="77">
        <v>140000.0</v>
      </c>
      <c r="D306" s="77">
        <v>6342.0</v>
      </c>
      <c r="E306" s="78">
        <f t="shared" si="7"/>
        <v>22.07505519</v>
      </c>
      <c r="F306" s="77">
        <v>135000.0</v>
      </c>
      <c r="G306" s="77">
        <v>6548.166666666667</v>
      </c>
      <c r="H306" s="78">
        <f t="shared" si="8"/>
        <v>20.61645753</v>
      </c>
      <c r="I306" s="77">
        <v>0.0</v>
      </c>
      <c r="J306" s="77">
        <v>6754.333333333333</v>
      </c>
      <c r="K306" s="78">
        <f t="shared" si="9"/>
        <v>0</v>
      </c>
      <c r="L306" s="79">
        <f t="shared" si="10"/>
        <v>14.23050424</v>
      </c>
      <c r="M306" s="80">
        <f t="shared" si="11"/>
        <v>91666.66667</v>
      </c>
      <c r="N306" s="77">
        <v>15000.0</v>
      </c>
      <c r="O306" s="77">
        <v>8403.666666666666</v>
      </c>
      <c r="P306" s="81">
        <f t="shared" si="12"/>
        <v>1.784935147</v>
      </c>
      <c r="Q306" s="82">
        <v>10000.0</v>
      </c>
      <c r="R306" s="77">
        <v>8609.833333333332</v>
      </c>
      <c r="S306" s="81">
        <f t="shared" si="13"/>
        <v>1.161462669</v>
      </c>
      <c r="T306" s="77">
        <v>10000.0</v>
      </c>
      <c r="U306" s="77">
        <v>8816.0</v>
      </c>
      <c r="V306" s="81">
        <f t="shared" si="14"/>
        <v>1.13430127</v>
      </c>
      <c r="W306" s="83">
        <f t="shared" si="15"/>
        <v>1.360233029</v>
      </c>
      <c r="X306" s="84">
        <f t="shared" si="16"/>
        <v>11666.66667</v>
      </c>
      <c r="AD306" s="65"/>
      <c r="AG306" s="65"/>
      <c r="AJ306" s="65"/>
      <c r="AK306" s="65"/>
      <c r="AL306" s="68"/>
      <c r="AO306" s="65"/>
      <c r="AR306" s="65"/>
      <c r="AU306" s="65"/>
      <c r="AV306" s="65"/>
      <c r="AW306" s="68"/>
    </row>
    <row r="307" ht="15.75" customHeight="1">
      <c r="A307" s="29">
        <v>71501.0</v>
      </c>
      <c r="B307" s="76" t="s">
        <v>310</v>
      </c>
      <c r="C307" s="77">
        <v>165000.0</v>
      </c>
      <c r="D307" s="77">
        <v>27070.0</v>
      </c>
      <c r="E307" s="78">
        <f t="shared" si="7"/>
        <v>6.09530846</v>
      </c>
      <c r="F307" s="77">
        <v>180000.0</v>
      </c>
      <c r="G307" s="77">
        <v>27654.083333333332</v>
      </c>
      <c r="H307" s="78">
        <f t="shared" si="8"/>
        <v>6.508984508</v>
      </c>
      <c r="I307" s="77">
        <v>0.0</v>
      </c>
      <c r="J307" s="77">
        <v>28238.166666666668</v>
      </c>
      <c r="K307" s="78">
        <f t="shared" si="9"/>
        <v>0</v>
      </c>
      <c r="L307" s="79">
        <f t="shared" si="10"/>
        <v>4.201430989</v>
      </c>
      <c r="M307" s="80">
        <f t="shared" si="11"/>
        <v>115000</v>
      </c>
      <c r="N307" s="77">
        <v>444800.0</v>
      </c>
      <c r="O307" s="77">
        <v>32910.833333333336</v>
      </c>
      <c r="P307" s="81">
        <f t="shared" si="12"/>
        <v>13.51530651</v>
      </c>
      <c r="Q307" s="82">
        <v>540000.0</v>
      </c>
      <c r="R307" s="77">
        <v>33494.916666666664</v>
      </c>
      <c r="S307" s="81">
        <f t="shared" si="13"/>
        <v>16.12184934</v>
      </c>
      <c r="T307" s="77">
        <v>1034000.0</v>
      </c>
      <c r="U307" s="77">
        <v>34079.0</v>
      </c>
      <c r="V307" s="81">
        <f t="shared" si="14"/>
        <v>30.34126588</v>
      </c>
      <c r="W307" s="83">
        <f t="shared" si="15"/>
        <v>19.99280724</v>
      </c>
      <c r="X307" s="84">
        <f t="shared" si="16"/>
        <v>672933.3333</v>
      </c>
      <c r="AD307" s="65"/>
      <c r="AG307" s="65"/>
      <c r="AJ307" s="65"/>
      <c r="AK307" s="65"/>
      <c r="AL307" s="68"/>
      <c r="AO307" s="65"/>
      <c r="AR307" s="65"/>
      <c r="AU307" s="65"/>
      <c r="AV307" s="65"/>
      <c r="AW307" s="68"/>
    </row>
    <row r="308" ht="15.75" customHeight="1">
      <c r="A308" s="29">
        <v>71502.0</v>
      </c>
      <c r="B308" s="76" t="s">
        <v>311</v>
      </c>
      <c r="C308" s="77">
        <v>189005.0</v>
      </c>
      <c r="D308" s="77">
        <v>7026.0</v>
      </c>
      <c r="E308" s="78">
        <f t="shared" si="7"/>
        <v>26.90079704</v>
      </c>
      <c r="F308" s="77">
        <v>244689.0</v>
      </c>
      <c r="G308" s="77">
        <v>6986.75</v>
      </c>
      <c r="H308" s="78">
        <f t="shared" si="8"/>
        <v>35.02186281</v>
      </c>
      <c r="I308" s="77">
        <v>0.0</v>
      </c>
      <c r="J308" s="77">
        <v>6947.5</v>
      </c>
      <c r="K308" s="78">
        <f t="shared" si="9"/>
        <v>0</v>
      </c>
      <c r="L308" s="79">
        <f t="shared" si="10"/>
        <v>20.64088662</v>
      </c>
      <c r="M308" s="80">
        <f t="shared" si="11"/>
        <v>144564.6667</v>
      </c>
      <c r="N308" s="77">
        <v>253932.0</v>
      </c>
      <c r="O308" s="77">
        <v>6633.5</v>
      </c>
      <c r="P308" s="81">
        <f t="shared" si="12"/>
        <v>38.28024421</v>
      </c>
      <c r="Q308" s="82">
        <v>308300.0</v>
      </c>
      <c r="R308" s="77">
        <v>6594.25</v>
      </c>
      <c r="S308" s="81">
        <f t="shared" si="13"/>
        <v>46.75285286</v>
      </c>
      <c r="T308" s="77">
        <v>386700.0</v>
      </c>
      <c r="U308" s="77">
        <v>6555.0</v>
      </c>
      <c r="V308" s="81">
        <f t="shared" si="14"/>
        <v>58.99313501</v>
      </c>
      <c r="W308" s="83">
        <f t="shared" si="15"/>
        <v>48.00874403</v>
      </c>
      <c r="X308" s="84">
        <f t="shared" si="16"/>
        <v>316310.6667</v>
      </c>
      <c r="AD308" s="65"/>
      <c r="AG308" s="65"/>
      <c r="AJ308" s="65"/>
      <c r="AK308" s="65"/>
      <c r="AL308" s="68"/>
      <c r="AO308" s="65"/>
      <c r="AR308" s="65"/>
      <c r="AU308" s="65"/>
      <c r="AV308" s="65"/>
      <c r="AW308" s="68"/>
    </row>
    <row r="309" ht="15.75" customHeight="1">
      <c r="A309" s="29">
        <v>71503.0</v>
      </c>
      <c r="B309" s="76" t="s">
        <v>257</v>
      </c>
      <c r="C309" s="77">
        <v>46200.0</v>
      </c>
      <c r="D309" s="77">
        <v>14205.0</v>
      </c>
      <c r="E309" s="78">
        <f t="shared" si="7"/>
        <v>3.252375924</v>
      </c>
      <c r="F309" s="77">
        <v>46000.0</v>
      </c>
      <c r="G309" s="77">
        <v>14462.083333333334</v>
      </c>
      <c r="H309" s="78">
        <f t="shared" si="8"/>
        <v>3.180731222</v>
      </c>
      <c r="I309" s="77">
        <v>0.0</v>
      </c>
      <c r="J309" s="77">
        <v>14719.166666666666</v>
      </c>
      <c r="K309" s="78">
        <f t="shared" si="9"/>
        <v>0</v>
      </c>
      <c r="L309" s="79">
        <f t="shared" si="10"/>
        <v>2.144369049</v>
      </c>
      <c r="M309" s="80">
        <f t="shared" si="11"/>
        <v>30733.33333</v>
      </c>
      <c r="N309" s="77">
        <v>169500.0</v>
      </c>
      <c r="O309" s="77">
        <v>16775.833333333332</v>
      </c>
      <c r="P309" s="81">
        <f t="shared" si="12"/>
        <v>10.10381998</v>
      </c>
      <c r="Q309" s="82">
        <v>164000.0</v>
      </c>
      <c r="R309" s="77">
        <v>17032.916666666668</v>
      </c>
      <c r="S309" s="81">
        <f t="shared" si="13"/>
        <v>9.628415568</v>
      </c>
      <c r="T309" s="77">
        <v>162000.0</v>
      </c>
      <c r="U309" s="77">
        <v>17290.0</v>
      </c>
      <c r="V309" s="81">
        <f t="shared" si="14"/>
        <v>9.369577791</v>
      </c>
      <c r="W309" s="83">
        <f t="shared" si="15"/>
        <v>9.700604446</v>
      </c>
      <c r="X309" s="84">
        <f t="shared" si="16"/>
        <v>165166.6667</v>
      </c>
      <c r="AD309" s="65"/>
      <c r="AG309" s="65"/>
      <c r="AJ309" s="65"/>
      <c r="AK309" s="65"/>
      <c r="AL309" s="68"/>
      <c r="AO309" s="65"/>
      <c r="AR309" s="65"/>
      <c r="AU309" s="65"/>
      <c r="AV309" s="65"/>
      <c r="AW309" s="68"/>
    </row>
    <row r="310" ht="15.75" customHeight="1">
      <c r="A310" s="29">
        <v>80101.0</v>
      </c>
      <c r="B310" s="76" t="s">
        <v>312</v>
      </c>
      <c r="C310" s="77">
        <v>8234964.0</v>
      </c>
      <c r="D310" s="77">
        <v>106596.0</v>
      </c>
      <c r="E310" s="78">
        <f t="shared" si="7"/>
        <v>77.25396825</v>
      </c>
      <c r="F310" s="77">
        <v>7504964.0</v>
      </c>
      <c r="G310" s="77">
        <v>108428.75</v>
      </c>
      <c r="H310" s="78">
        <f t="shared" si="8"/>
        <v>69.21562777</v>
      </c>
      <c r="I310" s="77">
        <v>0.0</v>
      </c>
      <c r="J310" s="77">
        <v>110261.5</v>
      </c>
      <c r="K310" s="78">
        <f t="shared" si="9"/>
        <v>0</v>
      </c>
      <c r="L310" s="79">
        <f t="shared" si="10"/>
        <v>48.82319868</v>
      </c>
      <c r="M310" s="80">
        <f t="shared" si="11"/>
        <v>5246642.667</v>
      </c>
      <c r="N310" s="77">
        <v>7179778.0</v>
      </c>
      <c r="O310" s="77">
        <v>124923.5</v>
      </c>
      <c r="P310" s="81">
        <f t="shared" si="12"/>
        <v>57.47339772</v>
      </c>
      <c r="Q310" s="82">
        <v>1.0910759E7</v>
      </c>
      <c r="R310" s="77">
        <v>126756.25</v>
      </c>
      <c r="S310" s="81">
        <f t="shared" si="13"/>
        <v>86.07669444</v>
      </c>
      <c r="T310" s="77">
        <v>1.0904867E7</v>
      </c>
      <c r="U310" s="77">
        <v>128589.0</v>
      </c>
      <c r="V310" s="81">
        <f t="shared" si="14"/>
        <v>84.80404234</v>
      </c>
      <c r="W310" s="83">
        <f t="shared" si="15"/>
        <v>76.11804483</v>
      </c>
      <c r="X310" s="84">
        <f t="shared" si="16"/>
        <v>9665134.667</v>
      </c>
      <c r="AD310" s="65"/>
      <c r="AG310" s="65"/>
      <c r="AJ310" s="65"/>
      <c r="AK310" s="65"/>
      <c r="AL310" s="68"/>
      <c r="AO310" s="65"/>
      <c r="AR310" s="65"/>
      <c r="AU310" s="65"/>
      <c r="AV310" s="65"/>
      <c r="AW310" s="68"/>
    </row>
    <row r="311" ht="15.75" customHeight="1">
      <c r="A311" s="29">
        <v>80102.0</v>
      </c>
      <c r="B311" s="76" t="s">
        <v>299</v>
      </c>
      <c r="C311" s="77">
        <v>19000.0</v>
      </c>
      <c r="D311" s="77">
        <v>5277.0</v>
      </c>
      <c r="E311" s="78">
        <f t="shared" si="7"/>
        <v>3.600530605</v>
      </c>
      <c r="F311" s="77">
        <v>15000.0</v>
      </c>
      <c r="G311" s="77">
        <v>5496.666666666667</v>
      </c>
      <c r="H311" s="78">
        <f t="shared" si="8"/>
        <v>2.728926622</v>
      </c>
      <c r="I311" s="77">
        <v>0.0</v>
      </c>
      <c r="J311" s="77">
        <v>5716.333333333333</v>
      </c>
      <c r="K311" s="78">
        <f t="shared" si="9"/>
        <v>0</v>
      </c>
      <c r="L311" s="79">
        <f t="shared" si="10"/>
        <v>2.109819076</v>
      </c>
      <c r="M311" s="80">
        <f t="shared" si="11"/>
        <v>11333.33333</v>
      </c>
      <c r="N311" s="77">
        <v>50000.0</v>
      </c>
      <c r="O311" s="77">
        <v>7473.666666666666</v>
      </c>
      <c r="P311" s="81">
        <f t="shared" si="12"/>
        <v>6.69015655</v>
      </c>
      <c r="Q311" s="82">
        <v>20000.0</v>
      </c>
      <c r="R311" s="77">
        <v>7693.333333333333</v>
      </c>
      <c r="S311" s="81">
        <f t="shared" si="13"/>
        <v>2.59965338</v>
      </c>
      <c r="T311" s="77">
        <v>50000.0</v>
      </c>
      <c r="U311" s="77">
        <v>7913.0</v>
      </c>
      <c r="V311" s="81">
        <f t="shared" si="14"/>
        <v>6.318716037</v>
      </c>
      <c r="W311" s="83">
        <f t="shared" si="15"/>
        <v>5.202841989</v>
      </c>
      <c r="X311" s="84">
        <f t="shared" si="16"/>
        <v>40000</v>
      </c>
      <c r="AD311" s="65"/>
      <c r="AG311" s="65"/>
      <c r="AJ311" s="65"/>
      <c r="AK311" s="65"/>
      <c r="AL311" s="68"/>
      <c r="AO311" s="65"/>
      <c r="AR311" s="65"/>
      <c r="AU311" s="65"/>
      <c r="AV311" s="65"/>
      <c r="AW311" s="68"/>
    </row>
    <row r="312" ht="15.75" customHeight="1">
      <c r="A312" s="29">
        <v>80201.0</v>
      </c>
      <c r="B312" s="76" t="s">
        <v>313</v>
      </c>
      <c r="C312" s="77">
        <v>2460214.0</v>
      </c>
      <c r="D312" s="77">
        <v>89022.0</v>
      </c>
      <c r="E312" s="78">
        <f t="shared" si="7"/>
        <v>27.63602256</v>
      </c>
      <c r="F312" s="77">
        <v>3383734.0</v>
      </c>
      <c r="G312" s="77">
        <v>90795.33333333333</v>
      </c>
      <c r="H312" s="78">
        <f t="shared" si="8"/>
        <v>37.26770833</v>
      </c>
      <c r="I312" s="77">
        <v>0.0</v>
      </c>
      <c r="J312" s="77">
        <v>92568.66666666667</v>
      </c>
      <c r="K312" s="78">
        <f t="shared" si="9"/>
        <v>0</v>
      </c>
      <c r="L312" s="79">
        <f t="shared" si="10"/>
        <v>21.63457696</v>
      </c>
      <c r="M312" s="80">
        <f t="shared" si="11"/>
        <v>1947982.667</v>
      </c>
      <c r="N312" s="77">
        <v>0.0</v>
      </c>
      <c r="O312" s="77">
        <v>106755.33333333333</v>
      </c>
      <c r="P312" s="81">
        <f t="shared" si="12"/>
        <v>0</v>
      </c>
      <c r="Q312" s="82">
        <v>7708159.0</v>
      </c>
      <c r="R312" s="77">
        <v>108528.66666666666</v>
      </c>
      <c r="S312" s="81">
        <f t="shared" si="13"/>
        <v>71.02417487</v>
      </c>
      <c r="T312" s="77">
        <v>7708159.0</v>
      </c>
      <c r="U312" s="77">
        <v>110302.0</v>
      </c>
      <c r="V312" s="81">
        <f t="shared" si="14"/>
        <v>69.88231401</v>
      </c>
      <c r="W312" s="83">
        <f t="shared" si="15"/>
        <v>46.96882963</v>
      </c>
      <c r="X312" s="84">
        <f t="shared" si="16"/>
        <v>5138772.667</v>
      </c>
      <c r="AD312" s="65"/>
      <c r="AG312" s="65"/>
      <c r="AJ312" s="65"/>
      <c r="AK312" s="65"/>
      <c r="AL312" s="68"/>
      <c r="AO312" s="65"/>
      <c r="AR312" s="65"/>
      <c r="AU312" s="65"/>
      <c r="AV312" s="65"/>
      <c r="AW312" s="68"/>
    </row>
    <row r="313" ht="15.75" customHeight="1">
      <c r="A313" s="29">
        <v>80202.0</v>
      </c>
      <c r="B313" s="76" t="s">
        <v>314</v>
      </c>
      <c r="C313" s="77">
        <v>1839140.0</v>
      </c>
      <c r="D313" s="77">
        <v>41814.0</v>
      </c>
      <c r="E313" s="78">
        <f t="shared" si="7"/>
        <v>43.98383317</v>
      </c>
      <c r="F313" s="77">
        <v>1800000.0</v>
      </c>
      <c r="G313" s="77">
        <v>41832.083333333336</v>
      </c>
      <c r="H313" s="78">
        <f t="shared" si="8"/>
        <v>43.02917418</v>
      </c>
      <c r="I313" s="77">
        <v>0.0</v>
      </c>
      <c r="J313" s="77">
        <v>41850.166666666664</v>
      </c>
      <c r="K313" s="78">
        <f t="shared" si="9"/>
        <v>0</v>
      </c>
      <c r="L313" s="79">
        <f t="shared" si="10"/>
        <v>29.00433578</v>
      </c>
      <c r="M313" s="80">
        <f t="shared" si="11"/>
        <v>1213046.667</v>
      </c>
      <c r="N313" s="77">
        <v>1400000.0</v>
      </c>
      <c r="O313" s="77">
        <v>41994.833333333336</v>
      </c>
      <c r="P313" s="81">
        <f t="shared" si="12"/>
        <v>33.33743437</v>
      </c>
      <c r="Q313" s="82">
        <v>1600000.0</v>
      </c>
      <c r="R313" s="77">
        <v>42012.916666666664</v>
      </c>
      <c r="S313" s="81">
        <f t="shared" si="13"/>
        <v>38.0835259</v>
      </c>
      <c r="T313" s="77">
        <v>1600000.0</v>
      </c>
      <c r="U313" s="77">
        <v>42031.0</v>
      </c>
      <c r="V313" s="81">
        <f t="shared" si="14"/>
        <v>38.06714092</v>
      </c>
      <c r="W313" s="83">
        <f t="shared" si="15"/>
        <v>36.49603373</v>
      </c>
      <c r="X313" s="84">
        <f t="shared" si="16"/>
        <v>1533333.333</v>
      </c>
      <c r="AD313" s="65"/>
      <c r="AG313" s="65"/>
      <c r="AJ313" s="65"/>
      <c r="AK313" s="65"/>
      <c r="AL313" s="68"/>
      <c r="AO313" s="65"/>
      <c r="AR313" s="65"/>
      <c r="AU313" s="65"/>
      <c r="AV313" s="65"/>
      <c r="AW313" s="68"/>
    </row>
    <row r="314" ht="15.75" customHeight="1">
      <c r="A314" s="29">
        <v>80301.0</v>
      </c>
      <c r="B314" s="76" t="s">
        <v>315</v>
      </c>
      <c r="C314" s="77">
        <v>100000.0</v>
      </c>
      <c r="D314" s="77">
        <v>13246.0</v>
      </c>
      <c r="E314" s="78">
        <f t="shared" si="7"/>
        <v>7.54944889</v>
      </c>
      <c r="F314" s="77">
        <v>100000.0</v>
      </c>
      <c r="G314" s="77">
        <v>13098.666666666666</v>
      </c>
      <c r="H314" s="78">
        <f t="shared" si="8"/>
        <v>7.634364821</v>
      </c>
      <c r="I314" s="77">
        <v>0.0</v>
      </c>
      <c r="J314" s="77">
        <v>12951.333333333334</v>
      </c>
      <c r="K314" s="78">
        <f t="shared" si="9"/>
        <v>0</v>
      </c>
      <c r="L314" s="79">
        <f t="shared" si="10"/>
        <v>5.061271237</v>
      </c>
      <c r="M314" s="80">
        <f t="shared" si="11"/>
        <v>66666.66667</v>
      </c>
      <c r="N314" s="77">
        <v>446033.0</v>
      </c>
      <c r="O314" s="77">
        <v>11772.666666666666</v>
      </c>
      <c r="P314" s="81">
        <f t="shared" si="12"/>
        <v>37.88716802</v>
      </c>
      <c r="Q314" s="82">
        <v>0.0</v>
      </c>
      <c r="R314" s="77">
        <v>11625.333333333334</v>
      </c>
      <c r="S314" s="81">
        <f t="shared" si="13"/>
        <v>0</v>
      </c>
      <c r="T314" s="77">
        <v>0.0</v>
      </c>
      <c r="U314" s="77">
        <v>11478.0</v>
      </c>
      <c r="V314" s="81">
        <f t="shared" si="14"/>
        <v>0</v>
      </c>
      <c r="W314" s="83">
        <f t="shared" si="15"/>
        <v>12.62905601</v>
      </c>
      <c r="X314" s="84">
        <f t="shared" si="16"/>
        <v>148677.6667</v>
      </c>
      <c r="AD314" s="65"/>
      <c r="AG314" s="65"/>
      <c r="AJ314" s="65"/>
      <c r="AK314" s="65"/>
      <c r="AL314" s="68"/>
      <c r="AO314" s="65"/>
      <c r="AR314" s="65"/>
      <c r="AU314" s="65"/>
      <c r="AV314" s="65"/>
      <c r="AW314" s="68"/>
    </row>
    <row r="315" ht="15.75" customHeight="1">
      <c r="A315" s="29">
        <v>80302.0</v>
      </c>
      <c r="B315" s="76" t="s">
        <v>316</v>
      </c>
      <c r="C315" s="77">
        <v>424560.0</v>
      </c>
      <c r="D315" s="77">
        <v>40864.0</v>
      </c>
      <c r="E315" s="78">
        <f t="shared" si="7"/>
        <v>10.38958496</v>
      </c>
      <c r="F315" s="77">
        <v>793000.0</v>
      </c>
      <c r="G315" s="77">
        <v>41275.166666666664</v>
      </c>
      <c r="H315" s="78">
        <f t="shared" si="8"/>
        <v>19.21252085</v>
      </c>
      <c r="I315" s="77">
        <v>0.0</v>
      </c>
      <c r="J315" s="77">
        <v>41686.333333333336</v>
      </c>
      <c r="K315" s="78">
        <f t="shared" si="9"/>
        <v>0</v>
      </c>
      <c r="L315" s="79">
        <f t="shared" si="10"/>
        <v>9.867368604</v>
      </c>
      <c r="M315" s="80">
        <f t="shared" si="11"/>
        <v>405853.3333</v>
      </c>
      <c r="N315" s="77">
        <v>2125000.0</v>
      </c>
      <c r="O315" s="77">
        <v>44975.666666666664</v>
      </c>
      <c r="P315" s="81">
        <f t="shared" si="12"/>
        <v>47.24777102</v>
      </c>
      <c r="Q315" s="82">
        <v>2224000.0</v>
      </c>
      <c r="R315" s="77">
        <v>45386.833333333336</v>
      </c>
      <c r="S315" s="81">
        <f t="shared" si="13"/>
        <v>49.00099515</v>
      </c>
      <c r="T315" s="77">
        <v>2315689.0</v>
      </c>
      <c r="U315" s="77">
        <v>45798.0</v>
      </c>
      <c r="V315" s="81">
        <f t="shared" si="14"/>
        <v>50.56310319</v>
      </c>
      <c r="W315" s="83">
        <f t="shared" si="15"/>
        <v>48.93728979</v>
      </c>
      <c r="X315" s="84">
        <f t="shared" si="16"/>
        <v>2221563</v>
      </c>
      <c r="AD315" s="65"/>
      <c r="AG315" s="65"/>
      <c r="AJ315" s="65"/>
      <c r="AK315" s="65"/>
      <c r="AL315" s="68"/>
      <c r="AO315" s="65"/>
      <c r="AR315" s="65"/>
      <c r="AU315" s="65"/>
      <c r="AV315" s="65"/>
      <c r="AW315" s="68"/>
    </row>
    <row r="316" ht="15.75" customHeight="1">
      <c r="A316" s="29">
        <v>80303.0</v>
      </c>
      <c r="B316" s="76" t="s">
        <v>276</v>
      </c>
      <c r="C316" s="77">
        <v>269150.0</v>
      </c>
      <c r="D316" s="77">
        <v>9478.0</v>
      </c>
      <c r="E316" s="78">
        <f t="shared" si="7"/>
        <v>28.39734121</v>
      </c>
      <c r="F316" s="77">
        <v>350435.0</v>
      </c>
      <c r="G316" s="77">
        <v>9615.0</v>
      </c>
      <c r="H316" s="78">
        <f t="shared" si="8"/>
        <v>36.44669787</v>
      </c>
      <c r="I316" s="77">
        <v>0.0</v>
      </c>
      <c r="J316" s="77">
        <v>9752.0</v>
      </c>
      <c r="K316" s="78">
        <f t="shared" si="9"/>
        <v>0</v>
      </c>
      <c r="L316" s="79">
        <f t="shared" si="10"/>
        <v>21.61467969</v>
      </c>
      <c r="M316" s="80">
        <f t="shared" si="11"/>
        <v>206528.3333</v>
      </c>
      <c r="N316" s="77">
        <v>271400.0</v>
      </c>
      <c r="O316" s="77">
        <v>10848.0</v>
      </c>
      <c r="P316" s="81">
        <f t="shared" si="12"/>
        <v>25.01843658</v>
      </c>
      <c r="Q316" s="82">
        <v>271400.0</v>
      </c>
      <c r="R316" s="77">
        <v>10985.0</v>
      </c>
      <c r="S316" s="81">
        <f t="shared" si="13"/>
        <v>24.70641784</v>
      </c>
      <c r="T316" s="77">
        <v>231400.0</v>
      </c>
      <c r="U316" s="77">
        <v>11122.0</v>
      </c>
      <c r="V316" s="81">
        <f t="shared" si="14"/>
        <v>20.8056105</v>
      </c>
      <c r="W316" s="83">
        <f t="shared" si="15"/>
        <v>23.51015497</v>
      </c>
      <c r="X316" s="84">
        <f t="shared" si="16"/>
        <v>258066.6667</v>
      </c>
      <c r="AD316" s="65"/>
      <c r="AG316" s="65"/>
      <c r="AJ316" s="65"/>
      <c r="AK316" s="65"/>
      <c r="AL316" s="68"/>
      <c r="AO316" s="65"/>
      <c r="AR316" s="65"/>
      <c r="AU316" s="65"/>
      <c r="AV316" s="65"/>
      <c r="AW316" s="68"/>
    </row>
    <row r="317" ht="15.75" customHeight="1">
      <c r="A317" s="29">
        <v>80304.0</v>
      </c>
      <c r="B317" s="76" t="s">
        <v>317</v>
      </c>
      <c r="C317" s="77">
        <v>350000.0</v>
      </c>
      <c r="D317" s="77">
        <v>19195.0</v>
      </c>
      <c r="E317" s="78">
        <f t="shared" si="7"/>
        <v>18.23391508</v>
      </c>
      <c r="F317" s="77">
        <v>350000.0</v>
      </c>
      <c r="G317" s="77">
        <v>19365.416666666668</v>
      </c>
      <c r="H317" s="78">
        <f t="shared" si="8"/>
        <v>18.07345569</v>
      </c>
      <c r="I317" s="77">
        <v>0.0</v>
      </c>
      <c r="J317" s="77">
        <v>19535.833333333332</v>
      </c>
      <c r="K317" s="78">
        <f t="shared" si="9"/>
        <v>0</v>
      </c>
      <c r="L317" s="79">
        <f t="shared" si="10"/>
        <v>12.10245692</v>
      </c>
      <c r="M317" s="80">
        <f t="shared" si="11"/>
        <v>233333.3333</v>
      </c>
      <c r="N317" s="77">
        <v>558299.0</v>
      </c>
      <c r="O317" s="77">
        <v>20899.166666666668</v>
      </c>
      <c r="P317" s="81">
        <f t="shared" si="12"/>
        <v>26.71393596</v>
      </c>
      <c r="Q317" s="82">
        <v>988299.0</v>
      </c>
      <c r="R317" s="77">
        <v>21069.583333333332</v>
      </c>
      <c r="S317" s="81">
        <f t="shared" si="13"/>
        <v>46.90643305</v>
      </c>
      <c r="T317" s="77">
        <v>1268299.0</v>
      </c>
      <c r="U317" s="77">
        <v>21240.0</v>
      </c>
      <c r="V317" s="81">
        <f t="shared" si="14"/>
        <v>59.71275895</v>
      </c>
      <c r="W317" s="83">
        <f t="shared" si="15"/>
        <v>44.44437599</v>
      </c>
      <c r="X317" s="84">
        <f t="shared" si="16"/>
        <v>938299</v>
      </c>
      <c r="AD317" s="65"/>
      <c r="AG317" s="65"/>
      <c r="AJ317" s="65"/>
      <c r="AK317" s="65"/>
      <c r="AL317" s="68"/>
      <c r="AO317" s="65"/>
      <c r="AR317" s="65"/>
      <c r="AU317" s="65"/>
      <c r="AV317" s="65"/>
      <c r="AW317" s="68"/>
    </row>
    <row r="318" ht="15.75" customHeight="1">
      <c r="A318" s="29">
        <v>80401.0</v>
      </c>
      <c r="B318" s="76" t="s">
        <v>318</v>
      </c>
      <c r="C318" s="77">
        <v>250000.0</v>
      </c>
      <c r="D318" s="77">
        <v>17069.0</v>
      </c>
      <c r="E318" s="78">
        <f t="shared" si="7"/>
        <v>14.64643506</v>
      </c>
      <c r="F318" s="77">
        <v>1000000.0</v>
      </c>
      <c r="G318" s="77">
        <v>17153.916666666668</v>
      </c>
      <c r="H318" s="78">
        <f t="shared" si="8"/>
        <v>58.29572449</v>
      </c>
      <c r="I318" s="77">
        <v>0.0</v>
      </c>
      <c r="J318" s="77">
        <v>17238.833333333332</v>
      </c>
      <c r="K318" s="78">
        <f t="shared" si="9"/>
        <v>0</v>
      </c>
      <c r="L318" s="79">
        <f t="shared" si="10"/>
        <v>24.31405318</v>
      </c>
      <c r="M318" s="80">
        <f t="shared" si="11"/>
        <v>416666.6667</v>
      </c>
      <c r="N318" s="77">
        <v>263000.0</v>
      </c>
      <c r="O318" s="77">
        <v>17918.166666666668</v>
      </c>
      <c r="P318" s="81">
        <f t="shared" si="12"/>
        <v>14.67784092</v>
      </c>
      <c r="Q318" s="82">
        <v>516760.0</v>
      </c>
      <c r="R318" s="77">
        <v>18003.083333333332</v>
      </c>
      <c r="S318" s="81">
        <f t="shared" si="13"/>
        <v>28.703972</v>
      </c>
      <c r="T318" s="77">
        <v>580318.0</v>
      </c>
      <c r="U318" s="77">
        <v>18088.0</v>
      </c>
      <c r="V318" s="81">
        <f t="shared" si="14"/>
        <v>32.08303848</v>
      </c>
      <c r="W318" s="83">
        <f t="shared" si="15"/>
        <v>25.15495047</v>
      </c>
      <c r="X318" s="84">
        <f t="shared" si="16"/>
        <v>453359.3333</v>
      </c>
      <c r="AD318" s="65"/>
      <c r="AG318" s="65"/>
      <c r="AJ318" s="65"/>
      <c r="AK318" s="65"/>
      <c r="AL318" s="68"/>
      <c r="AO318" s="65"/>
      <c r="AR318" s="65"/>
      <c r="AU318" s="65"/>
      <c r="AV318" s="65"/>
      <c r="AW318" s="68"/>
    </row>
    <row r="319" ht="15.75" customHeight="1">
      <c r="A319" s="29">
        <v>80402.0</v>
      </c>
      <c r="B319" s="76" t="s">
        <v>319</v>
      </c>
      <c r="C319" s="77">
        <v>0.0</v>
      </c>
      <c r="D319" s="77">
        <v>6362.0</v>
      </c>
      <c r="E319" s="78">
        <f t="shared" si="7"/>
        <v>0</v>
      </c>
      <c r="F319" s="77">
        <v>102500.0</v>
      </c>
      <c r="G319" s="77">
        <v>6499.5</v>
      </c>
      <c r="H319" s="78">
        <f t="shared" si="8"/>
        <v>15.77044388</v>
      </c>
      <c r="I319" s="77">
        <v>0.0</v>
      </c>
      <c r="J319" s="77">
        <v>6637.0</v>
      </c>
      <c r="K319" s="78">
        <f t="shared" si="9"/>
        <v>0</v>
      </c>
      <c r="L319" s="79">
        <f t="shared" si="10"/>
        <v>5.256814627</v>
      </c>
      <c r="M319" s="80">
        <f t="shared" si="11"/>
        <v>34166.66667</v>
      </c>
      <c r="N319" s="77">
        <v>70000.0</v>
      </c>
      <c r="O319" s="77">
        <v>7737.0</v>
      </c>
      <c r="P319" s="81">
        <f t="shared" si="12"/>
        <v>9.047434406</v>
      </c>
      <c r="Q319" s="82">
        <v>130000.0</v>
      </c>
      <c r="R319" s="77">
        <v>7874.5</v>
      </c>
      <c r="S319" s="81">
        <f t="shared" si="13"/>
        <v>16.5089847</v>
      </c>
      <c r="T319" s="77">
        <v>0.0</v>
      </c>
      <c r="U319" s="77">
        <v>8012.0</v>
      </c>
      <c r="V319" s="81">
        <f t="shared" si="14"/>
        <v>0</v>
      </c>
      <c r="W319" s="83">
        <f t="shared" si="15"/>
        <v>8.518806368</v>
      </c>
      <c r="X319" s="84">
        <f t="shared" si="16"/>
        <v>66666.66667</v>
      </c>
      <c r="AD319" s="65"/>
      <c r="AG319" s="65"/>
      <c r="AJ319" s="65"/>
      <c r="AK319" s="65"/>
      <c r="AL319" s="68"/>
      <c r="AO319" s="65"/>
      <c r="AR319" s="65"/>
      <c r="AU319" s="65"/>
      <c r="AV319" s="65"/>
      <c r="AW319" s="68"/>
    </row>
    <row r="320" ht="15.75" customHeight="1">
      <c r="A320" s="29">
        <v>80501.0</v>
      </c>
      <c r="B320" s="76" t="s">
        <v>265</v>
      </c>
      <c r="C320" s="77">
        <v>181672.0</v>
      </c>
      <c r="D320" s="77">
        <v>19252.0</v>
      </c>
      <c r="E320" s="78">
        <f t="shared" si="7"/>
        <v>9.436526075</v>
      </c>
      <c r="F320" s="77">
        <v>80137.0</v>
      </c>
      <c r="G320" s="77">
        <v>19446.333333333332</v>
      </c>
      <c r="H320" s="78">
        <f t="shared" si="8"/>
        <v>4.12093111</v>
      </c>
      <c r="I320" s="77">
        <v>0.0</v>
      </c>
      <c r="J320" s="77">
        <v>19640.666666666668</v>
      </c>
      <c r="K320" s="78">
        <f t="shared" si="9"/>
        <v>0</v>
      </c>
      <c r="L320" s="79">
        <f t="shared" si="10"/>
        <v>4.519152395</v>
      </c>
      <c r="M320" s="80">
        <f t="shared" si="11"/>
        <v>87269.66667</v>
      </c>
      <c r="N320" s="77">
        <v>0.0</v>
      </c>
      <c r="O320" s="77">
        <v>21195.333333333332</v>
      </c>
      <c r="P320" s="81">
        <f t="shared" si="12"/>
        <v>0</v>
      </c>
      <c r="Q320" s="82">
        <v>479705.0</v>
      </c>
      <c r="R320" s="77">
        <v>21389.666666666668</v>
      </c>
      <c r="S320" s="81">
        <f t="shared" si="13"/>
        <v>22.42695071</v>
      </c>
      <c r="T320" s="77">
        <v>479605.0</v>
      </c>
      <c r="U320" s="77">
        <v>21584.0</v>
      </c>
      <c r="V320" s="81">
        <f t="shared" si="14"/>
        <v>22.22039474</v>
      </c>
      <c r="W320" s="83">
        <f t="shared" si="15"/>
        <v>14.88244848</v>
      </c>
      <c r="X320" s="84">
        <f t="shared" si="16"/>
        <v>319770</v>
      </c>
      <c r="AD320" s="65"/>
      <c r="AG320" s="65"/>
      <c r="AJ320" s="65"/>
      <c r="AK320" s="65"/>
      <c r="AL320" s="68"/>
      <c r="AO320" s="65"/>
      <c r="AR320" s="65"/>
      <c r="AU320" s="65"/>
      <c r="AV320" s="65"/>
      <c r="AW320" s="68"/>
    </row>
    <row r="321" ht="15.75" customHeight="1">
      <c r="A321" s="29">
        <v>80601.0</v>
      </c>
      <c r="B321" s="76" t="s">
        <v>320</v>
      </c>
      <c r="C321" s="77">
        <v>0.0</v>
      </c>
      <c r="D321" s="77">
        <v>3828.0</v>
      </c>
      <c r="E321" s="78">
        <f t="shared" si="7"/>
        <v>0</v>
      </c>
      <c r="F321" s="77">
        <v>0.0</v>
      </c>
      <c r="G321" s="77">
        <v>3864.75</v>
      </c>
      <c r="H321" s="78">
        <f t="shared" si="8"/>
        <v>0</v>
      </c>
      <c r="I321" s="77">
        <v>0.0</v>
      </c>
      <c r="J321" s="77">
        <v>3901.5</v>
      </c>
      <c r="K321" s="78">
        <f t="shared" si="9"/>
        <v>0</v>
      </c>
      <c r="L321" s="79">
        <f t="shared" si="10"/>
        <v>0</v>
      </c>
      <c r="M321" s="80">
        <f t="shared" si="11"/>
        <v>0</v>
      </c>
      <c r="N321" s="77">
        <v>0.0</v>
      </c>
      <c r="O321" s="77">
        <v>4195.5</v>
      </c>
      <c r="P321" s="81">
        <f t="shared" si="12"/>
        <v>0</v>
      </c>
      <c r="Q321" s="82">
        <v>0.0</v>
      </c>
      <c r="R321" s="77">
        <v>4232.25</v>
      </c>
      <c r="S321" s="81">
        <f t="shared" si="13"/>
        <v>0</v>
      </c>
      <c r="T321" s="77">
        <v>0.0</v>
      </c>
      <c r="U321" s="77">
        <v>4269.0</v>
      </c>
      <c r="V321" s="81">
        <f t="shared" si="14"/>
        <v>0</v>
      </c>
      <c r="W321" s="83">
        <f t="shared" si="15"/>
        <v>0</v>
      </c>
      <c r="X321" s="84">
        <f t="shared" si="16"/>
        <v>0</v>
      </c>
      <c r="AD321" s="65"/>
      <c r="AG321" s="65"/>
      <c r="AJ321" s="65"/>
      <c r="AK321" s="65"/>
      <c r="AL321" s="68"/>
      <c r="AO321" s="65"/>
      <c r="AR321" s="65"/>
      <c r="AU321" s="65"/>
      <c r="AV321" s="65"/>
      <c r="AW321" s="68"/>
    </row>
    <row r="322" ht="15.75" customHeight="1">
      <c r="A322" s="29">
        <v>80602.0</v>
      </c>
      <c r="B322" s="76" t="s">
        <v>321</v>
      </c>
      <c r="C322" s="77">
        <v>0.0</v>
      </c>
      <c r="D322" s="77">
        <v>12503.0</v>
      </c>
      <c r="E322" s="78">
        <f t="shared" si="7"/>
        <v>0</v>
      </c>
      <c r="F322" s="77">
        <v>0.0</v>
      </c>
      <c r="G322" s="77">
        <v>12758.583333333334</v>
      </c>
      <c r="H322" s="78">
        <f t="shared" si="8"/>
        <v>0</v>
      </c>
      <c r="I322" s="77">
        <v>0.0</v>
      </c>
      <c r="J322" s="77">
        <v>13014.166666666666</v>
      </c>
      <c r="K322" s="78">
        <f t="shared" si="9"/>
        <v>0</v>
      </c>
      <c r="L322" s="79">
        <f t="shared" si="10"/>
        <v>0</v>
      </c>
      <c r="M322" s="80">
        <f t="shared" si="11"/>
        <v>0</v>
      </c>
      <c r="N322" s="77">
        <v>0.0</v>
      </c>
      <c r="O322" s="77">
        <v>15058.833333333334</v>
      </c>
      <c r="P322" s="81">
        <f t="shared" si="12"/>
        <v>0</v>
      </c>
      <c r="Q322" s="82">
        <v>0.0</v>
      </c>
      <c r="R322" s="77">
        <v>15314.416666666668</v>
      </c>
      <c r="S322" s="81">
        <f t="shared" si="13"/>
        <v>0</v>
      </c>
      <c r="T322" s="77">
        <v>0.0</v>
      </c>
      <c r="U322" s="77">
        <v>15570.0</v>
      </c>
      <c r="V322" s="81">
        <f t="shared" si="14"/>
        <v>0</v>
      </c>
      <c r="W322" s="83">
        <f t="shared" si="15"/>
        <v>0</v>
      </c>
      <c r="X322" s="84">
        <f t="shared" si="16"/>
        <v>0</v>
      </c>
      <c r="AD322" s="65"/>
      <c r="AG322" s="65"/>
      <c r="AJ322" s="65"/>
      <c r="AK322" s="65"/>
      <c r="AL322" s="68"/>
      <c r="AO322" s="65"/>
      <c r="AR322" s="65"/>
      <c r="AU322" s="65"/>
      <c r="AV322" s="65"/>
      <c r="AW322" s="68"/>
    </row>
    <row r="323" ht="15.75" customHeight="1">
      <c r="A323" s="29">
        <v>80701.0</v>
      </c>
      <c r="B323" s="76" t="s">
        <v>322</v>
      </c>
      <c r="C323" s="77">
        <v>470000.0</v>
      </c>
      <c r="D323" s="77">
        <v>6917.0</v>
      </c>
      <c r="E323" s="78">
        <f t="shared" si="7"/>
        <v>67.9485326</v>
      </c>
      <c r="F323" s="77">
        <v>450000.0</v>
      </c>
      <c r="G323" s="77">
        <v>6907.916666666667</v>
      </c>
      <c r="H323" s="78">
        <f t="shared" si="8"/>
        <v>65.14265034</v>
      </c>
      <c r="I323" s="77">
        <v>0.0</v>
      </c>
      <c r="J323" s="77">
        <v>6898.833333333333</v>
      </c>
      <c r="K323" s="78">
        <f t="shared" si="9"/>
        <v>0</v>
      </c>
      <c r="L323" s="79">
        <f t="shared" si="10"/>
        <v>44.36372765</v>
      </c>
      <c r="M323" s="80">
        <f t="shared" si="11"/>
        <v>306666.6667</v>
      </c>
      <c r="N323" s="77">
        <v>395984.0</v>
      </c>
      <c r="O323" s="77">
        <v>6826.166666666667</v>
      </c>
      <c r="P323" s="81">
        <f t="shared" si="12"/>
        <v>58.00971751</v>
      </c>
      <c r="Q323" s="82">
        <v>456628.0</v>
      </c>
      <c r="R323" s="77">
        <v>6817.083333333333</v>
      </c>
      <c r="S323" s="81">
        <f t="shared" si="13"/>
        <v>66.98289836</v>
      </c>
      <c r="T323" s="77">
        <v>470318.0</v>
      </c>
      <c r="U323" s="77">
        <v>6808.0</v>
      </c>
      <c r="V323" s="81">
        <f t="shared" si="14"/>
        <v>69.08313749</v>
      </c>
      <c r="W323" s="83">
        <f t="shared" si="15"/>
        <v>64.69191778</v>
      </c>
      <c r="X323" s="84">
        <f t="shared" si="16"/>
        <v>440976.6667</v>
      </c>
      <c r="AD323" s="65"/>
      <c r="AG323" s="65"/>
      <c r="AJ323" s="65"/>
      <c r="AK323" s="65"/>
      <c r="AL323" s="68"/>
      <c r="AO323" s="65"/>
      <c r="AR323" s="65"/>
      <c r="AU323" s="65"/>
      <c r="AV323" s="65"/>
      <c r="AW323" s="68"/>
    </row>
    <row r="324" ht="15.75" customHeight="1">
      <c r="A324" s="29">
        <v>80702.0</v>
      </c>
      <c r="B324" s="76" t="s">
        <v>300</v>
      </c>
      <c r="C324" s="77">
        <v>174452.0</v>
      </c>
      <c r="D324" s="77">
        <v>4955.0</v>
      </c>
      <c r="E324" s="78">
        <f t="shared" si="7"/>
        <v>35.20726539</v>
      </c>
      <c r="F324" s="77">
        <v>0.0</v>
      </c>
      <c r="G324" s="77">
        <v>4999.5</v>
      </c>
      <c r="H324" s="78">
        <f t="shared" si="8"/>
        <v>0</v>
      </c>
      <c r="I324" s="77">
        <v>0.0</v>
      </c>
      <c r="J324" s="77">
        <v>5044.0</v>
      </c>
      <c r="K324" s="78">
        <f t="shared" si="9"/>
        <v>0</v>
      </c>
      <c r="L324" s="79">
        <f t="shared" si="10"/>
        <v>11.73575513</v>
      </c>
      <c r="M324" s="80">
        <f t="shared" si="11"/>
        <v>58150.66667</v>
      </c>
      <c r="N324" s="77">
        <v>140600.0</v>
      </c>
      <c r="O324" s="77">
        <v>5400.0</v>
      </c>
      <c r="P324" s="81">
        <f t="shared" si="12"/>
        <v>26.03703704</v>
      </c>
      <c r="Q324" s="82">
        <v>327176.0</v>
      </c>
      <c r="R324" s="77">
        <v>5444.5</v>
      </c>
      <c r="S324" s="81">
        <f t="shared" si="13"/>
        <v>60.09293783</v>
      </c>
      <c r="T324" s="77">
        <v>1396224.0</v>
      </c>
      <c r="U324" s="77">
        <v>5489.0</v>
      </c>
      <c r="V324" s="81">
        <f t="shared" si="14"/>
        <v>254.3676444</v>
      </c>
      <c r="W324" s="83">
        <f t="shared" si="15"/>
        <v>113.4992064</v>
      </c>
      <c r="X324" s="84">
        <f t="shared" si="16"/>
        <v>621333.3333</v>
      </c>
      <c r="AD324" s="65"/>
      <c r="AG324" s="65"/>
      <c r="AJ324" s="65"/>
      <c r="AK324" s="65"/>
      <c r="AL324" s="68"/>
      <c r="AO324" s="65"/>
      <c r="AR324" s="65"/>
      <c r="AU324" s="65"/>
      <c r="AV324" s="65"/>
      <c r="AW324" s="68"/>
    </row>
    <row r="325" ht="15.75" customHeight="1">
      <c r="A325" s="29">
        <v>80703.0</v>
      </c>
      <c r="B325" s="76" t="s">
        <v>323</v>
      </c>
      <c r="C325" s="77">
        <v>0.0</v>
      </c>
      <c r="D325" s="76">
        <v>945.0</v>
      </c>
      <c r="E325" s="78">
        <f t="shared" si="7"/>
        <v>0</v>
      </c>
      <c r="F325" s="77">
        <v>0.0</v>
      </c>
      <c r="G325" s="78">
        <v>957.1666666666666</v>
      </c>
      <c r="H325" s="78">
        <f t="shared" si="8"/>
        <v>0</v>
      </c>
      <c r="I325" s="77">
        <v>0.0</v>
      </c>
      <c r="J325" s="78">
        <v>969.3333333333334</v>
      </c>
      <c r="K325" s="78">
        <f t="shared" si="9"/>
        <v>0</v>
      </c>
      <c r="L325" s="79">
        <f t="shared" si="10"/>
        <v>0</v>
      </c>
      <c r="M325" s="80">
        <f t="shared" si="11"/>
        <v>0</v>
      </c>
      <c r="N325" s="77">
        <v>0.0</v>
      </c>
      <c r="O325" s="76">
        <v>1066.6666666666667</v>
      </c>
      <c r="P325" s="81">
        <f t="shared" si="12"/>
        <v>0</v>
      </c>
      <c r="Q325" s="82">
        <v>0.0</v>
      </c>
      <c r="R325" s="76">
        <v>1078.8333333333333</v>
      </c>
      <c r="S325" s="81">
        <f t="shared" si="13"/>
        <v>0</v>
      </c>
      <c r="T325" s="77">
        <v>15000.0</v>
      </c>
      <c r="U325" s="77">
        <v>1091.0</v>
      </c>
      <c r="V325" s="81">
        <f t="shared" si="14"/>
        <v>13.74885426</v>
      </c>
      <c r="W325" s="83">
        <f t="shared" si="15"/>
        <v>4.582951421</v>
      </c>
      <c r="X325" s="84">
        <f t="shared" si="16"/>
        <v>5000</v>
      </c>
      <c r="AD325" s="65"/>
      <c r="AG325" s="65"/>
      <c r="AJ325" s="65"/>
      <c r="AK325" s="65"/>
      <c r="AL325" s="68"/>
      <c r="AO325" s="65"/>
      <c r="AR325" s="65"/>
      <c r="AU325" s="65"/>
      <c r="AV325" s="65"/>
      <c r="AW325" s="68"/>
    </row>
    <row r="326" ht="15.75" customHeight="1">
      <c r="A326" s="29">
        <v>80801.0</v>
      </c>
      <c r="B326" s="76" t="s">
        <v>324</v>
      </c>
      <c r="C326" s="77">
        <v>0.0</v>
      </c>
      <c r="D326" s="77">
        <v>11377.0</v>
      </c>
      <c r="E326" s="78">
        <f t="shared" si="7"/>
        <v>0</v>
      </c>
      <c r="F326" s="77">
        <v>0.0</v>
      </c>
      <c r="G326" s="77">
        <v>11494.333333333334</v>
      </c>
      <c r="H326" s="78">
        <f t="shared" si="8"/>
        <v>0</v>
      </c>
      <c r="I326" s="77">
        <v>0.0</v>
      </c>
      <c r="J326" s="77">
        <v>11611.666666666666</v>
      </c>
      <c r="K326" s="78">
        <f t="shared" si="9"/>
        <v>0</v>
      </c>
      <c r="L326" s="79">
        <f t="shared" si="10"/>
        <v>0</v>
      </c>
      <c r="M326" s="80">
        <f t="shared" si="11"/>
        <v>0</v>
      </c>
      <c r="N326" s="77">
        <v>109500.0</v>
      </c>
      <c r="O326" s="77">
        <v>12550.333333333334</v>
      </c>
      <c r="P326" s="81">
        <f t="shared" si="12"/>
        <v>8.724867865</v>
      </c>
      <c r="Q326" s="82">
        <v>132000.0</v>
      </c>
      <c r="R326" s="77">
        <v>12667.666666666666</v>
      </c>
      <c r="S326" s="81">
        <f t="shared" si="13"/>
        <v>10.42022998</v>
      </c>
      <c r="T326" s="77">
        <v>132000.0</v>
      </c>
      <c r="U326" s="77">
        <v>12785.0</v>
      </c>
      <c r="V326" s="81">
        <f t="shared" si="14"/>
        <v>10.32459914</v>
      </c>
      <c r="W326" s="83">
        <f t="shared" si="15"/>
        <v>9.823232329</v>
      </c>
      <c r="X326" s="84">
        <f t="shared" si="16"/>
        <v>124500</v>
      </c>
      <c r="AD326" s="65"/>
      <c r="AG326" s="65"/>
      <c r="AJ326" s="65"/>
      <c r="AK326" s="65"/>
      <c r="AL326" s="68"/>
      <c r="AO326" s="65"/>
      <c r="AR326" s="65"/>
      <c r="AU326" s="65"/>
      <c r="AV326" s="65"/>
      <c r="AW326" s="68"/>
    </row>
    <row r="327" ht="15.75" customHeight="1">
      <c r="A327" s="29">
        <v>80802.0</v>
      </c>
      <c r="B327" s="76" t="s">
        <v>325</v>
      </c>
      <c r="C327" s="77">
        <v>21000.0</v>
      </c>
      <c r="D327" s="77">
        <v>5965.0</v>
      </c>
      <c r="E327" s="78">
        <f t="shared" si="7"/>
        <v>3.520536463</v>
      </c>
      <c r="F327" s="77">
        <v>36000.0</v>
      </c>
      <c r="G327" s="77">
        <v>6091.916666666667</v>
      </c>
      <c r="H327" s="78">
        <f t="shared" si="8"/>
        <v>5.9094702</v>
      </c>
      <c r="I327" s="77">
        <v>0.0</v>
      </c>
      <c r="J327" s="77">
        <v>6218.833333333333</v>
      </c>
      <c r="K327" s="78">
        <f t="shared" si="9"/>
        <v>0</v>
      </c>
      <c r="L327" s="79">
        <f t="shared" si="10"/>
        <v>3.143335554</v>
      </c>
      <c r="M327" s="80">
        <f t="shared" si="11"/>
        <v>19000</v>
      </c>
      <c r="N327" s="77">
        <v>121500.0</v>
      </c>
      <c r="O327" s="77">
        <v>7234.166666666667</v>
      </c>
      <c r="P327" s="81">
        <f t="shared" si="12"/>
        <v>16.79530008</v>
      </c>
      <c r="Q327" s="82">
        <v>129280.0</v>
      </c>
      <c r="R327" s="77">
        <v>7361.083333333334</v>
      </c>
      <c r="S327" s="81">
        <f t="shared" si="13"/>
        <v>17.56263231</v>
      </c>
      <c r="T327" s="77">
        <v>129240.0</v>
      </c>
      <c r="U327" s="77">
        <v>7488.0</v>
      </c>
      <c r="V327" s="81">
        <f t="shared" si="14"/>
        <v>17.25961538</v>
      </c>
      <c r="W327" s="83">
        <f t="shared" si="15"/>
        <v>17.20584926</v>
      </c>
      <c r="X327" s="84">
        <f t="shared" si="16"/>
        <v>126673.3333</v>
      </c>
      <c r="AD327" s="65"/>
      <c r="AG327" s="65"/>
      <c r="AJ327" s="65"/>
      <c r="AK327" s="65"/>
      <c r="AL327" s="68"/>
      <c r="AO327" s="65"/>
      <c r="AR327" s="65"/>
      <c r="AU327" s="65"/>
      <c r="AV327" s="65"/>
      <c r="AW327" s="68"/>
    </row>
    <row r="328" ht="15.75" customHeight="1">
      <c r="A328" s="29">
        <v>80803.0</v>
      </c>
      <c r="B328" s="76" t="s">
        <v>326</v>
      </c>
      <c r="C328" s="77">
        <v>0.0</v>
      </c>
      <c r="D328" s="77">
        <v>4111.0</v>
      </c>
      <c r="E328" s="78">
        <f t="shared" si="7"/>
        <v>0</v>
      </c>
      <c r="F328" s="77">
        <v>0.0</v>
      </c>
      <c r="G328" s="77">
        <v>4154.25</v>
      </c>
      <c r="H328" s="78">
        <f t="shared" si="8"/>
        <v>0</v>
      </c>
      <c r="I328" s="77">
        <v>0.0</v>
      </c>
      <c r="J328" s="77">
        <v>4197.5</v>
      </c>
      <c r="K328" s="78">
        <f t="shared" si="9"/>
        <v>0</v>
      </c>
      <c r="L328" s="79">
        <f t="shared" si="10"/>
        <v>0</v>
      </c>
      <c r="M328" s="80">
        <f t="shared" si="11"/>
        <v>0</v>
      </c>
      <c r="N328" s="77">
        <v>235000.0</v>
      </c>
      <c r="O328" s="77">
        <v>4543.5</v>
      </c>
      <c r="P328" s="81">
        <f t="shared" si="12"/>
        <v>51.72224056</v>
      </c>
      <c r="Q328" s="82">
        <v>235000.0</v>
      </c>
      <c r="R328" s="77">
        <v>4586.75</v>
      </c>
      <c r="S328" s="81">
        <f t="shared" si="13"/>
        <v>51.23453426</v>
      </c>
      <c r="T328" s="77">
        <v>245000.0</v>
      </c>
      <c r="U328" s="77">
        <v>4630.0</v>
      </c>
      <c r="V328" s="81">
        <f t="shared" si="14"/>
        <v>52.91576674</v>
      </c>
      <c r="W328" s="83">
        <f t="shared" si="15"/>
        <v>51.95751385</v>
      </c>
      <c r="X328" s="84">
        <f t="shared" si="16"/>
        <v>238333.3333</v>
      </c>
      <c r="AD328" s="65"/>
      <c r="AG328" s="65"/>
      <c r="AJ328" s="65"/>
      <c r="AK328" s="65"/>
      <c r="AL328" s="68"/>
      <c r="AO328" s="65"/>
      <c r="AR328" s="65"/>
      <c r="AU328" s="65"/>
      <c r="AV328" s="65"/>
      <c r="AW328" s="68"/>
    </row>
    <row r="329" ht="15.75" customHeight="1">
      <c r="A329" s="29">
        <v>80901.0</v>
      </c>
      <c r="B329" s="76" t="s">
        <v>327</v>
      </c>
      <c r="C329" s="77">
        <v>0.0</v>
      </c>
      <c r="D329" s="77">
        <v>3232.0</v>
      </c>
      <c r="E329" s="78">
        <f t="shared" si="7"/>
        <v>0</v>
      </c>
      <c r="F329" s="77">
        <v>0.0</v>
      </c>
      <c r="G329" s="77">
        <v>3293.75</v>
      </c>
      <c r="H329" s="78">
        <f t="shared" si="8"/>
        <v>0</v>
      </c>
      <c r="I329" s="77">
        <v>0.0</v>
      </c>
      <c r="J329" s="77">
        <v>3355.5</v>
      </c>
      <c r="K329" s="78">
        <f t="shared" si="9"/>
        <v>0</v>
      </c>
      <c r="L329" s="79">
        <f t="shared" si="10"/>
        <v>0</v>
      </c>
      <c r="M329" s="80">
        <f t="shared" si="11"/>
        <v>0</v>
      </c>
      <c r="N329" s="77">
        <v>0.0</v>
      </c>
      <c r="O329" s="77">
        <v>3849.5</v>
      </c>
      <c r="P329" s="81">
        <f t="shared" si="12"/>
        <v>0</v>
      </c>
      <c r="Q329" s="82">
        <v>0.0</v>
      </c>
      <c r="R329" s="77">
        <v>3911.25</v>
      </c>
      <c r="S329" s="81">
        <f t="shared" si="13"/>
        <v>0</v>
      </c>
      <c r="T329" s="77">
        <v>0.0</v>
      </c>
      <c r="U329" s="77">
        <v>3973.0</v>
      </c>
      <c r="V329" s="81">
        <f t="shared" si="14"/>
        <v>0</v>
      </c>
      <c r="W329" s="83">
        <f t="shared" si="15"/>
        <v>0</v>
      </c>
      <c r="X329" s="84">
        <f t="shared" si="16"/>
        <v>0</v>
      </c>
      <c r="AD329" s="65"/>
      <c r="AG329" s="65"/>
      <c r="AJ329" s="65"/>
      <c r="AK329" s="65"/>
      <c r="AL329" s="68"/>
      <c r="AO329" s="65"/>
      <c r="AR329" s="65"/>
      <c r="AU329" s="65"/>
      <c r="AV329" s="65"/>
      <c r="AW329" s="68"/>
    </row>
    <row r="330" ht="15.75" customHeight="1">
      <c r="A330" s="29">
        <v>90101.0</v>
      </c>
      <c r="B330" s="76" t="s">
        <v>328</v>
      </c>
      <c r="C330" s="77">
        <v>1358360.0</v>
      </c>
      <c r="D330" s="77">
        <v>46267.0</v>
      </c>
      <c r="E330" s="78">
        <f t="shared" si="7"/>
        <v>29.35915447</v>
      </c>
      <c r="F330" s="77">
        <v>2753305.0</v>
      </c>
      <c r="G330" s="77">
        <v>47004.25</v>
      </c>
      <c r="H330" s="78">
        <f t="shared" si="8"/>
        <v>58.57566071</v>
      </c>
      <c r="I330" s="77">
        <v>0.0</v>
      </c>
      <c r="J330" s="77">
        <v>47741.5</v>
      </c>
      <c r="K330" s="78">
        <f t="shared" si="9"/>
        <v>0</v>
      </c>
      <c r="L330" s="79">
        <f t="shared" si="10"/>
        <v>29.31160506</v>
      </c>
      <c r="M330" s="80">
        <f t="shared" si="11"/>
        <v>1370555</v>
      </c>
      <c r="N330" s="77">
        <v>4250000.0</v>
      </c>
      <c r="O330" s="77">
        <v>53639.5</v>
      </c>
      <c r="P330" s="81">
        <f t="shared" si="12"/>
        <v>79.23265504</v>
      </c>
      <c r="Q330" s="82">
        <v>4700002.0</v>
      </c>
      <c r="R330" s="77">
        <v>54376.75</v>
      </c>
      <c r="S330" s="81">
        <f t="shared" si="13"/>
        <v>86.43403661</v>
      </c>
      <c r="T330" s="77">
        <v>4700001.0</v>
      </c>
      <c r="U330" s="77">
        <v>55114.0</v>
      </c>
      <c r="V330" s="81">
        <f t="shared" si="14"/>
        <v>85.277806</v>
      </c>
      <c r="W330" s="83">
        <f t="shared" si="15"/>
        <v>83.64816588</v>
      </c>
      <c r="X330" s="84">
        <f t="shared" si="16"/>
        <v>4550001</v>
      </c>
      <c r="AD330" s="65"/>
      <c r="AG330" s="65"/>
      <c r="AJ330" s="65"/>
      <c r="AK330" s="65"/>
      <c r="AL330" s="68"/>
      <c r="AO330" s="65"/>
      <c r="AR330" s="65"/>
      <c r="AU330" s="65"/>
      <c r="AV330" s="65"/>
      <c r="AW330" s="68"/>
    </row>
    <row r="331" ht="15.75" customHeight="1">
      <c r="A331" s="29">
        <v>90102.0</v>
      </c>
      <c r="B331" s="76" t="s">
        <v>329</v>
      </c>
      <c r="C331" s="77">
        <v>700000.0</v>
      </c>
      <c r="D331" s="77">
        <v>7948.0</v>
      </c>
      <c r="E331" s="78">
        <f t="shared" si="7"/>
        <v>88.07247106</v>
      </c>
      <c r="F331" s="77">
        <v>420000.0</v>
      </c>
      <c r="G331" s="77">
        <v>8065.083333333333</v>
      </c>
      <c r="H331" s="78">
        <f t="shared" si="8"/>
        <v>52.0763373</v>
      </c>
      <c r="I331" s="77">
        <v>0.0</v>
      </c>
      <c r="J331" s="77">
        <v>8182.166666666667</v>
      </c>
      <c r="K331" s="78">
        <f t="shared" si="9"/>
        <v>0</v>
      </c>
      <c r="L331" s="79">
        <f t="shared" si="10"/>
        <v>46.71626945</v>
      </c>
      <c r="M331" s="80">
        <f t="shared" si="11"/>
        <v>373333.3333</v>
      </c>
      <c r="N331" s="77">
        <v>263500.0</v>
      </c>
      <c r="O331" s="77">
        <v>9118.833333333334</v>
      </c>
      <c r="P331" s="81">
        <f t="shared" si="12"/>
        <v>28.89624038</v>
      </c>
      <c r="Q331" s="82">
        <v>374572.0</v>
      </c>
      <c r="R331" s="77">
        <v>9235.916666666666</v>
      </c>
      <c r="S331" s="81">
        <f t="shared" si="13"/>
        <v>40.55601772</v>
      </c>
      <c r="T331" s="77">
        <v>374572.0</v>
      </c>
      <c r="U331" s="77">
        <v>9353.0</v>
      </c>
      <c r="V331" s="81">
        <f t="shared" si="14"/>
        <v>40.04832674</v>
      </c>
      <c r="W331" s="83">
        <f t="shared" si="15"/>
        <v>36.50019495</v>
      </c>
      <c r="X331" s="84">
        <f t="shared" si="16"/>
        <v>337548</v>
      </c>
      <c r="AD331" s="65"/>
      <c r="AG331" s="65"/>
      <c r="AJ331" s="65"/>
      <c r="AK331" s="65"/>
      <c r="AL331" s="68"/>
      <c r="AO331" s="65"/>
      <c r="AR331" s="65"/>
      <c r="AU331" s="65"/>
      <c r="AV331" s="65"/>
      <c r="AW331" s="68"/>
    </row>
    <row r="332" ht="15.75" customHeight="1">
      <c r="A332" s="29">
        <v>90103.0</v>
      </c>
      <c r="B332" s="76" t="s">
        <v>330</v>
      </c>
      <c r="C332" s="77">
        <v>0.0</v>
      </c>
      <c r="D332" s="77">
        <v>2173.0</v>
      </c>
      <c r="E332" s="78">
        <f t="shared" si="7"/>
        <v>0</v>
      </c>
      <c r="F332" s="77">
        <v>0.0</v>
      </c>
      <c r="G332" s="77">
        <v>2195.0</v>
      </c>
      <c r="H332" s="78">
        <f t="shared" si="8"/>
        <v>0</v>
      </c>
      <c r="I332" s="77">
        <v>0.0</v>
      </c>
      <c r="J332" s="77">
        <v>2217.0</v>
      </c>
      <c r="K332" s="78">
        <f t="shared" si="9"/>
        <v>0</v>
      </c>
      <c r="L332" s="79">
        <f t="shared" si="10"/>
        <v>0</v>
      </c>
      <c r="M332" s="80">
        <f t="shared" si="11"/>
        <v>0</v>
      </c>
      <c r="N332" s="77">
        <v>0.0</v>
      </c>
      <c r="O332" s="77">
        <v>2393.0</v>
      </c>
      <c r="P332" s="81">
        <f t="shared" si="12"/>
        <v>0</v>
      </c>
      <c r="Q332" s="82">
        <v>0.0</v>
      </c>
      <c r="R332" s="77">
        <v>2415.0</v>
      </c>
      <c r="S332" s="81">
        <f t="shared" si="13"/>
        <v>0</v>
      </c>
      <c r="T332" s="77">
        <v>0.0</v>
      </c>
      <c r="U332" s="77">
        <v>2437.0</v>
      </c>
      <c r="V332" s="81">
        <f t="shared" si="14"/>
        <v>0</v>
      </c>
      <c r="W332" s="83">
        <f t="shared" si="15"/>
        <v>0</v>
      </c>
      <c r="X332" s="84">
        <f t="shared" si="16"/>
        <v>0</v>
      </c>
      <c r="AD332" s="65"/>
      <c r="AG332" s="65"/>
      <c r="AJ332" s="65"/>
      <c r="AK332" s="65"/>
      <c r="AL332" s="68"/>
      <c r="AO332" s="65"/>
      <c r="AR332" s="65"/>
      <c r="AU332" s="65"/>
      <c r="AV332" s="65"/>
      <c r="AW332" s="68"/>
    </row>
    <row r="333" ht="15.75" customHeight="1">
      <c r="A333" s="29">
        <v>90104.0</v>
      </c>
      <c r="B333" s="76" t="s">
        <v>331</v>
      </c>
      <c r="C333" s="77">
        <v>0.0</v>
      </c>
      <c r="D333" s="77">
        <v>3909.0</v>
      </c>
      <c r="E333" s="78">
        <f t="shared" si="7"/>
        <v>0</v>
      </c>
      <c r="F333" s="77">
        <v>0.0</v>
      </c>
      <c r="G333" s="77">
        <v>3885.75</v>
      </c>
      <c r="H333" s="78">
        <f t="shared" si="8"/>
        <v>0</v>
      </c>
      <c r="I333" s="77">
        <v>0.0</v>
      </c>
      <c r="J333" s="77">
        <v>3862.5</v>
      </c>
      <c r="K333" s="78">
        <f t="shared" si="9"/>
        <v>0</v>
      </c>
      <c r="L333" s="79">
        <f t="shared" si="10"/>
        <v>0</v>
      </c>
      <c r="M333" s="80">
        <f t="shared" si="11"/>
        <v>0</v>
      </c>
      <c r="N333" s="77">
        <v>0.0</v>
      </c>
      <c r="O333" s="77">
        <v>3676.5</v>
      </c>
      <c r="P333" s="81">
        <f t="shared" si="12"/>
        <v>0</v>
      </c>
      <c r="Q333" s="82">
        <v>149600.0</v>
      </c>
      <c r="R333" s="77">
        <v>3653.25</v>
      </c>
      <c r="S333" s="81">
        <f t="shared" si="13"/>
        <v>40.94983918</v>
      </c>
      <c r="T333" s="77">
        <v>149600.0</v>
      </c>
      <c r="U333" s="77">
        <v>3630.0</v>
      </c>
      <c r="V333" s="81">
        <f t="shared" si="14"/>
        <v>41.21212121</v>
      </c>
      <c r="W333" s="83">
        <f t="shared" si="15"/>
        <v>27.38732013</v>
      </c>
      <c r="X333" s="84">
        <f t="shared" si="16"/>
        <v>99733.33333</v>
      </c>
      <c r="AD333" s="65"/>
      <c r="AG333" s="65"/>
      <c r="AJ333" s="65"/>
      <c r="AK333" s="65"/>
      <c r="AL333" s="68"/>
      <c r="AO333" s="65"/>
      <c r="AR333" s="65"/>
      <c r="AU333" s="65"/>
      <c r="AV333" s="65"/>
      <c r="AW333" s="68"/>
    </row>
    <row r="334" ht="15.75" customHeight="1">
      <c r="A334" s="29">
        <v>90201.0</v>
      </c>
      <c r="B334" s="76" t="s">
        <v>332</v>
      </c>
      <c r="C334" s="77">
        <v>0.0</v>
      </c>
      <c r="D334" s="77">
        <v>6239.0</v>
      </c>
      <c r="E334" s="78">
        <f t="shared" si="7"/>
        <v>0</v>
      </c>
      <c r="F334" s="77">
        <v>0.0</v>
      </c>
      <c r="G334" s="77">
        <v>6333.0</v>
      </c>
      <c r="H334" s="78">
        <f t="shared" si="8"/>
        <v>0</v>
      </c>
      <c r="I334" s="77">
        <v>0.0</v>
      </c>
      <c r="J334" s="77">
        <v>6427.0</v>
      </c>
      <c r="K334" s="78">
        <f t="shared" si="9"/>
        <v>0</v>
      </c>
      <c r="L334" s="79">
        <f t="shared" si="10"/>
        <v>0</v>
      </c>
      <c r="M334" s="80">
        <f t="shared" si="11"/>
        <v>0</v>
      </c>
      <c r="N334" s="77">
        <v>0.0</v>
      </c>
      <c r="O334" s="77">
        <v>7179.0</v>
      </c>
      <c r="P334" s="81">
        <f t="shared" si="12"/>
        <v>0</v>
      </c>
      <c r="Q334" s="82">
        <v>0.0</v>
      </c>
      <c r="R334" s="77">
        <v>7273.0</v>
      </c>
      <c r="S334" s="81">
        <f t="shared" si="13"/>
        <v>0</v>
      </c>
      <c r="T334" s="77">
        <v>0.0</v>
      </c>
      <c r="U334" s="77">
        <v>7367.0</v>
      </c>
      <c r="V334" s="81">
        <f t="shared" si="14"/>
        <v>0</v>
      </c>
      <c r="W334" s="83">
        <f t="shared" si="15"/>
        <v>0</v>
      </c>
      <c r="X334" s="84">
        <f t="shared" si="16"/>
        <v>0</v>
      </c>
      <c r="AD334" s="65"/>
      <c r="AG334" s="65"/>
      <c r="AJ334" s="65"/>
      <c r="AK334" s="65"/>
      <c r="AL334" s="68"/>
      <c r="AO334" s="65"/>
      <c r="AR334" s="65"/>
      <c r="AU334" s="65"/>
      <c r="AV334" s="65"/>
      <c r="AW334" s="68"/>
    </row>
    <row r="335" ht="15.75" customHeight="1">
      <c r="A335" s="29">
        <v>90202.0</v>
      </c>
      <c r="B335" s="76" t="s">
        <v>222</v>
      </c>
      <c r="C335" s="77">
        <v>0.0</v>
      </c>
      <c r="D335" s="77">
        <v>2991.0</v>
      </c>
      <c r="E335" s="78">
        <f t="shared" si="7"/>
        <v>0</v>
      </c>
      <c r="F335" s="77">
        <v>0.0</v>
      </c>
      <c r="G335" s="77">
        <v>3034.9166666666665</v>
      </c>
      <c r="H335" s="78">
        <f t="shared" si="8"/>
        <v>0</v>
      </c>
      <c r="I335" s="77">
        <v>0.0</v>
      </c>
      <c r="J335" s="77">
        <v>3078.8333333333335</v>
      </c>
      <c r="K335" s="78">
        <f t="shared" si="9"/>
        <v>0</v>
      </c>
      <c r="L335" s="79">
        <f t="shared" si="10"/>
        <v>0</v>
      </c>
      <c r="M335" s="80">
        <f t="shared" si="11"/>
        <v>0</v>
      </c>
      <c r="N335" s="77">
        <v>0.0</v>
      </c>
      <c r="O335" s="77">
        <v>3430.1666666666665</v>
      </c>
      <c r="P335" s="81">
        <f t="shared" si="12"/>
        <v>0</v>
      </c>
      <c r="Q335" s="82">
        <v>0.0</v>
      </c>
      <c r="R335" s="77">
        <v>3474.0833333333335</v>
      </c>
      <c r="S335" s="81">
        <f t="shared" si="13"/>
        <v>0</v>
      </c>
      <c r="T335" s="77">
        <v>0.0</v>
      </c>
      <c r="U335" s="77">
        <v>3518.0</v>
      </c>
      <c r="V335" s="81">
        <f t="shared" si="14"/>
        <v>0</v>
      </c>
      <c r="W335" s="83">
        <f t="shared" si="15"/>
        <v>0</v>
      </c>
      <c r="X335" s="84">
        <f t="shared" si="16"/>
        <v>0</v>
      </c>
      <c r="AD335" s="65"/>
      <c r="AG335" s="65"/>
      <c r="AJ335" s="65"/>
      <c r="AK335" s="65"/>
      <c r="AL335" s="68"/>
      <c r="AO335" s="65"/>
      <c r="AR335" s="65"/>
      <c r="AU335" s="65"/>
      <c r="AV335" s="65"/>
      <c r="AW335" s="68"/>
    </row>
    <row r="336" ht="15.75" customHeight="1">
      <c r="A336" s="29">
        <v>90203.0</v>
      </c>
      <c r="B336" s="76" t="s">
        <v>333</v>
      </c>
      <c r="C336" s="77">
        <v>115217.0</v>
      </c>
      <c r="D336" s="77">
        <v>5756.0</v>
      </c>
      <c r="E336" s="78">
        <f t="shared" si="7"/>
        <v>20.01685198</v>
      </c>
      <c r="F336" s="77">
        <v>115217.0</v>
      </c>
      <c r="G336" s="77">
        <v>5946.75</v>
      </c>
      <c r="H336" s="78">
        <f t="shared" si="8"/>
        <v>19.37478455</v>
      </c>
      <c r="I336" s="77">
        <v>0.0</v>
      </c>
      <c r="J336" s="77">
        <v>6137.5</v>
      </c>
      <c r="K336" s="78">
        <f t="shared" si="9"/>
        <v>0</v>
      </c>
      <c r="L336" s="79">
        <f t="shared" si="10"/>
        <v>13.13054551</v>
      </c>
      <c r="M336" s="80">
        <f t="shared" si="11"/>
        <v>76811.33333</v>
      </c>
      <c r="N336" s="77">
        <v>0.0</v>
      </c>
      <c r="O336" s="77">
        <v>7663.5</v>
      </c>
      <c r="P336" s="81">
        <f t="shared" si="12"/>
        <v>0</v>
      </c>
      <c r="Q336" s="82">
        <v>60000.0</v>
      </c>
      <c r="R336" s="77">
        <v>7854.25</v>
      </c>
      <c r="S336" s="81">
        <f t="shared" si="13"/>
        <v>7.639176242</v>
      </c>
      <c r="T336" s="77">
        <v>25000.0</v>
      </c>
      <c r="U336" s="77">
        <v>8045.0</v>
      </c>
      <c r="V336" s="81">
        <f t="shared" si="14"/>
        <v>3.107520199</v>
      </c>
      <c r="W336" s="83">
        <f t="shared" si="15"/>
        <v>3.582232147</v>
      </c>
      <c r="X336" s="84">
        <f t="shared" si="16"/>
        <v>28333.33333</v>
      </c>
      <c r="AD336" s="65"/>
      <c r="AG336" s="65"/>
      <c r="AJ336" s="65"/>
      <c r="AK336" s="65"/>
      <c r="AL336" s="68"/>
      <c r="AO336" s="65"/>
      <c r="AR336" s="65"/>
      <c r="AU336" s="65"/>
      <c r="AV336" s="65"/>
      <c r="AW336" s="68"/>
    </row>
    <row r="337" ht="15.75" customHeight="1">
      <c r="A337" s="29">
        <v>90301.0</v>
      </c>
      <c r="B337" s="76" t="s">
        <v>334</v>
      </c>
      <c r="C337" s="77">
        <v>67502.0</v>
      </c>
      <c r="D337" s="77">
        <v>8160.0</v>
      </c>
      <c r="E337" s="78">
        <f t="shared" si="7"/>
        <v>8.272303922</v>
      </c>
      <c r="F337" s="77">
        <v>67502.0</v>
      </c>
      <c r="G337" s="77">
        <v>8515.916666666666</v>
      </c>
      <c r="H337" s="78">
        <f t="shared" si="8"/>
        <v>7.926568876</v>
      </c>
      <c r="I337" s="77">
        <v>0.0</v>
      </c>
      <c r="J337" s="77">
        <v>8871.833333333334</v>
      </c>
      <c r="K337" s="78">
        <f t="shared" si="9"/>
        <v>0</v>
      </c>
      <c r="L337" s="79">
        <f t="shared" si="10"/>
        <v>5.399624266</v>
      </c>
      <c r="M337" s="80">
        <f t="shared" si="11"/>
        <v>45001.33333</v>
      </c>
      <c r="N337" s="77">
        <v>0.0</v>
      </c>
      <c r="O337" s="77">
        <v>11719.166666666668</v>
      </c>
      <c r="P337" s="81">
        <f t="shared" si="12"/>
        <v>0</v>
      </c>
      <c r="Q337" s="82">
        <v>48445.0</v>
      </c>
      <c r="R337" s="77">
        <v>12075.083333333334</v>
      </c>
      <c r="S337" s="81">
        <f t="shared" si="13"/>
        <v>4.011980594</v>
      </c>
      <c r="T337" s="77">
        <v>48471.0</v>
      </c>
      <c r="U337" s="77">
        <v>12431.0</v>
      </c>
      <c r="V337" s="81">
        <f t="shared" si="14"/>
        <v>3.899203604</v>
      </c>
      <c r="W337" s="83">
        <f t="shared" si="15"/>
        <v>2.637061399</v>
      </c>
      <c r="X337" s="84">
        <f t="shared" si="16"/>
        <v>32305.33333</v>
      </c>
      <c r="AD337" s="65"/>
      <c r="AG337" s="65"/>
      <c r="AJ337" s="65"/>
      <c r="AK337" s="65"/>
      <c r="AL337" s="68"/>
      <c r="AO337" s="65"/>
      <c r="AR337" s="65"/>
      <c r="AU337" s="65"/>
      <c r="AV337" s="65"/>
      <c r="AW337" s="68"/>
    </row>
    <row r="338" ht="15.75" customHeight="1">
      <c r="A338" s="29">
        <v>90302.0</v>
      </c>
      <c r="B338" s="76" t="s">
        <v>256</v>
      </c>
      <c r="C338" s="77">
        <v>0.0</v>
      </c>
      <c r="D338" s="77">
        <v>7652.0</v>
      </c>
      <c r="E338" s="78">
        <f t="shared" si="7"/>
        <v>0</v>
      </c>
      <c r="F338" s="77">
        <v>165217.0</v>
      </c>
      <c r="G338" s="77">
        <v>7833.666666666667</v>
      </c>
      <c r="H338" s="78">
        <f t="shared" si="8"/>
        <v>21.09063444</v>
      </c>
      <c r="I338" s="77">
        <v>0.0</v>
      </c>
      <c r="J338" s="77">
        <v>8015.333333333333</v>
      </c>
      <c r="K338" s="78">
        <f t="shared" si="9"/>
        <v>0</v>
      </c>
      <c r="L338" s="79">
        <f t="shared" si="10"/>
        <v>7.03021148</v>
      </c>
      <c r="M338" s="80">
        <f t="shared" si="11"/>
        <v>55072.33333</v>
      </c>
      <c r="N338" s="77">
        <v>48283.0</v>
      </c>
      <c r="O338" s="77">
        <v>9468.666666666666</v>
      </c>
      <c r="P338" s="81">
        <f t="shared" si="12"/>
        <v>5.099239597</v>
      </c>
      <c r="Q338" s="82">
        <v>282729.0</v>
      </c>
      <c r="R338" s="77">
        <v>9650.333333333334</v>
      </c>
      <c r="S338" s="81">
        <f t="shared" si="13"/>
        <v>29.29732997</v>
      </c>
      <c r="T338" s="77">
        <v>258641.0</v>
      </c>
      <c r="U338" s="77">
        <v>9832.0</v>
      </c>
      <c r="V338" s="81">
        <f t="shared" si="14"/>
        <v>26.3060415</v>
      </c>
      <c r="W338" s="83">
        <f t="shared" si="15"/>
        <v>20.23420369</v>
      </c>
      <c r="X338" s="84">
        <f t="shared" si="16"/>
        <v>196551</v>
      </c>
      <c r="AD338" s="65"/>
      <c r="AG338" s="65"/>
      <c r="AJ338" s="65"/>
      <c r="AK338" s="65"/>
      <c r="AL338" s="68"/>
      <c r="AO338" s="65"/>
      <c r="AR338" s="65"/>
      <c r="AU338" s="65"/>
      <c r="AV338" s="65"/>
      <c r="AW338" s="68"/>
    </row>
    <row r="339" ht="15.75" customHeight="1">
      <c r="A339" s="29">
        <v>90303.0</v>
      </c>
      <c r="B339" s="76" t="s">
        <v>335</v>
      </c>
      <c r="C339" s="77">
        <v>174972.0</v>
      </c>
      <c r="D339" s="77">
        <v>8258.0</v>
      </c>
      <c r="E339" s="78">
        <f t="shared" si="7"/>
        <v>21.18818116</v>
      </c>
      <c r="F339" s="77">
        <v>136972.0</v>
      </c>
      <c r="G339" s="77">
        <v>8446.666666666666</v>
      </c>
      <c r="H339" s="78">
        <f t="shared" si="8"/>
        <v>16.21610103</v>
      </c>
      <c r="I339" s="77">
        <v>0.0</v>
      </c>
      <c r="J339" s="77">
        <v>8635.333333333334</v>
      </c>
      <c r="K339" s="78">
        <f t="shared" si="9"/>
        <v>0</v>
      </c>
      <c r="L339" s="79">
        <f t="shared" si="10"/>
        <v>12.46809406</v>
      </c>
      <c r="M339" s="80">
        <f t="shared" si="11"/>
        <v>103981.3333</v>
      </c>
      <c r="N339" s="77">
        <v>342970.0</v>
      </c>
      <c r="O339" s="77">
        <v>10144.666666666666</v>
      </c>
      <c r="P339" s="81">
        <f t="shared" si="12"/>
        <v>33.8079122</v>
      </c>
      <c r="Q339" s="82">
        <v>281469.0</v>
      </c>
      <c r="R339" s="77">
        <v>10333.333333333332</v>
      </c>
      <c r="S339" s="81">
        <f t="shared" si="13"/>
        <v>27.23893548</v>
      </c>
      <c r="T339" s="77">
        <v>461142.0</v>
      </c>
      <c r="U339" s="77">
        <v>10522.0</v>
      </c>
      <c r="V339" s="81">
        <f t="shared" si="14"/>
        <v>43.82645885</v>
      </c>
      <c r="W339" s="83">
        <f t="shared" si="15"/>
        <v>34.95776885</v>
      </c>
      <c r="X339" s="84">
        <f t="shared" si="16"/>
        <v>361860.3333</v>
      </c>
      <c r="AD339" s="65"/>
      <c r="AG339" s="65"/>
      <c r="AJ339" s="65"/>
      <c r="AK339" s="65"/>
      <c r="AL339" s="68"/>
      <c r="AO339" s="65"/>
      <c r="AR339" s="65"/>
      <c r="AU339" s="65"/>
      <c r="AV339" s="65"/>
      <c r="AW339" s="68"/>
    </row>
    <row r="340" ht="15.75" customHeight="1">
      <c r="A340" s="29">
        <v>90401.0</v>
      </c>
      <c r="B340" s="76" t="s">
        <v>276</v>
      </c>
      <c r="C340" s="77">
        <v>45745.0</v>
      </c>
      <c r="D340" s="77">
        <v>2395.0</v>
      </c>
      <c r="E340" s="78">
        <f t="shared" si="7"/>
        <v>19.10020877</v>
      </c>
      <c r="F340" s="77">
        <v>0.0</v>
      </c>
      <c r="G340" s="77">
        <v>2436.1666666666665</v>
      </c>
      <c r="H340" s="78">
        <f t="shared" si="8"/>
        <v>0</v>
      </c>
      <c r="I340" s="77">
        <v>0.0</v>
      </c>
      <c r="J340" s="77">
        <v>2477.3333333333335</v>
      </c>
      <c r="K340" s="78">
        <f t="shared" si="9"/>
        <v>0</v>
      </c>
      <c r="L340" s="79">
        <f t="shared" si="10"/>
        <v>6.366736256</v>
      </c>
      <c r="M340" s="80">
        <f t="shared" si="11"/>
        <v>15248.33333</v>
      </c>
      <c r="N340" s="77">
        <v>276592.0</v>
      </c>
      <c r="O340" s="77">
        <v>2806.6666666666665</v>
      </c>
      <c r="P340" s="81">
        <f t="shared" si="12"/>
        <v>98.54821853</v>
      </c>
      <c r="Q340" s="82">
        <v>0.0</v>
      </c>
      <c r="R340" s="77">
        <v>2847.8333333333335</v>
      </c>
      <c r="S340" s="81">
        <f t="shared" si="13"/>
        <v>0</v>
      </c>
      <c r="T340" s="77">
        <v>0.0</v>
      </c>
      <c r="U340" s="77">
        <v>2889.0</v>
      </c>
      <c r="V340" s="81">
        <f t="shared" si="14"/>
        <v>0</v>
      </c>
      <c r="W340" s="83">
        <f t="shared" si="15"/>
        <v>32.84940618</v>
      </c>
      <c r="X340" s="84">
        <f t="shared" si="16"/>
        <v>92197.33333</v>
      </c>
      <c r="AD340" s="65"/>
      <c r="AG340" s="65"/>
      <c r="AJ340" s="65"/>
      <c r="AK340" s="65"/>
      <c r="AL340" s="68"/>
      <c r="AO340" s="65"/>
      <c r="AR340" s="65"/>
      <c r="AU340" s="65"/>
      <c r="AV340" s="65"/>
      <c r="AW340" s="68"/>
    </row>
    <row r="341" ht="15.75" customHeight="1">
      <c r="A341" s="29">
        <v>90402.0</v>
      </c>
      <c r="B341" s="76" t="s">
        <v>336</v>
      </c>
      <c r="C341" s="77">
        <v>0.0</v>
      </c>
      <c r="D341" s="77">
        <v>1654.0</v>
      </c>
      <c r="E341" s="78">
        <f t="shared" si="7"/>
        <v>0</v>
      </c>
      <c r="F341" s="77">
        <v>0.0</v>
      </c>
      <c r="G341" s="77">
        <v>1732.8333333333333</v>
      </c>
      <c r="H341" s="78">
        <f t="shared" si="8"/>
        <v>0</v>
      </c>
      <c r="I341" s="77">
        <v>0.0</v>
      </c>
      <c r="J341" s="77">
        <v>1811.6666666666667</v>
      </c>
      <c r="K341" s="78">
        <f t="shared" si="9"/>
        <v>0</v>
      </c>
      <c r="L341" s="79">
        <f t="shared" si="10"/>
        <v>0</v>
      </c>
      <c r="M341" s="80">
        <f t="shared" si="11"/>
        <v>0</v>
      </c>
      <c r="N341" s="77">
        <v>0.0</v>
      </c>
      <c r="O341" s="77">
        <v>2442.333333333333</v>
      </c>
      <c r="P341" s="81">
        <f t="shared" si="12"/>
        <v>0</v>
      </c>
      <c r="Q341" s="82">
        <v>0.0</v>
      </c>
      <c r="R341" s="77">
        <v>2521.1666666666665</v>
      </c>
      <c r="S341" s="81">
        <f t="shared" si="13"/>
        <v>0</v>
      </c>
      <c r="T341" s="77">
        <v>0.0</v>
      </c>
      <c r="U341" s="77">
        <v>2600.0</v>
      </c>
      <c r="V341" s="81">
        <f t="shared" si="14"/>
        <v>0</v>
      </c>
      <c r="W341" s="83">
        <f t="shared" si="15"/>
        <v>0</v>
      </c>
      <c r="X341" s="84">
        <f t="shared" si="16"/>
        <v>0</v>
      </c>
      <c r="AD341" s="65"/>
      <c r="AG341" s="65"/>
      <c r="AJ341" s="65"/>
      <c r="AK341" s="65"/>
      <c r="AL341" s="68"/>
      <c r="AO341" s="65"/>
      <c r="AR341" s="65"/>
      <c r="AU341" s="65"/>
      <c r="AV341" s="65"/>
      <c r="AW341" s="68"/>
    </row>
    <row r="342" ht="15.75" customHeight="1">
      <c r="A342" s="29">
        <v>90501.0</v>
      </c>
      <c r="B342" s="76" t="s">
        <v>337</v>
      </c>
      <c r="C342" s="77">
        <v>0.0</v>
      </c>
      <c r="D342" s="77">
        <v>2068.0</v>
      </c>
      <c r="E342" s="78">
        <f t="shared" si="7"/>
        <v>0</v>
      </c>
      <c r="F342" s="77">
        <v>0.0</v>
      </c>
      <c r="G342" s="77">
        <v>2028.8333333333333</v>
      </c>
      <c r="H342" s="78">
        <f t="shared" si="8"/>
        <v>0</v>
      </c>
      <c r="I342" s="77">
        <v>0.0</v>
      </c>
      <c r="J342" s="77">
        <v>1989.6666666666667</v>
      </c>
      <c r="K342" s="78">
        <f t="shared" si="9"/>
        <v>0</v>
      </c>
      <c r="L342" s="79">
        <f t="shared" si="10"/>
        <v>0</v>
      </c>
      <c r="M342" s="80">
        <f t="shared" si="11"/>
        <v>0</v>
      </c>
      <c r="N342" s="77">
        <v>0.0</v>
      </c>
      <c r="O342" s="77">
        <v>1676.3333333333335</v>
      </c>
      <c r="P342" s="81">
        <f t="shared" si="12"/>
        <v>0</v>
      </c>
      <c r="Q342" s="82">
        <v>0.0</v>
      </c>
      <c r="R342" s="77">
        <v>1637.1666666666667</v>
      </c>
      <c r="S342" s="81">
        <f t="shared" si="13"/>
        <v>0</v>
      </c>
      <c r="T342" s="77">
        <v>0.0</v>
      </c>
      <c r="U342" s="77">
        <v>1598.0</v>
      </c>
      <c r="V342" s="81">
        <f t="shared" si="14"/>
        <v>0</v>
      </c>
      <c r="W342" s="83">
        <f t="shared" si="15"/>
        <v>0</v>
      </c>
      <c r="X342" s="84">
        <f t="shared" si="16"/>
        <v>0</v>
      </c>
      <c r="AD342" s="65"/>
      <c r="AG342" s="65"/>
      <c r="AJ342" s="65"/>
      <c r="AK342" s="65"/>
      <c r="AL342" s="68"/>
      <c r="AO342" s="65"/>
      <c r="AR342" s="65"/>
      <c r="AU342" s="65"/>
      <c r="AV342" s="65"/>
      <c r="AW342" s="68"/>
    </row>
    <row r="343" ht="15.75" customHeight="1">
      <c r="A343" s="29">
        <v>90502.0</v>
      </c>
      <c r="B343" s="76" t="s">
        <v>338</v>
      </c>
      <c r="C343" s="77">
        <v>59788.0</v>
      </c>
      <c r="D343" s="77">
        <v>2801.0</v>
      </c>
      <c r="E343" s="78">
        <f t="shared" si="7"/>
        <v>21.34523385</v>
      </c>
      <c r="F343" s="77">
        <v>0.0</v>
      </c>
      <c r="G343" s="77">
        <v>2776.8333333333335</v>
      </c>
      <c r="H343" s="78">
        <f t="shared" si="8"/>
        <v>0</v>
      </c>
      <c r="I343" s="77">
        <v>0.0</v>
      </c>
      <c r="J343" s="77">
        <v>2752.6666666666665</v>
      </c>
      <c r="K343" s="78">
        <f t="shared" si="9"/>
        <v>0</v>
      </c>
      <c r="L343" s="79">
        <f t="shared" si="10"/>
        <v>7.115077948</v>
      </c>
      <c r="M343" s="80">
        <f t="shared" si="11"/>
        <v>19929.33333</v>
      </c>
      <c r="N343" s="77">
        <v>0.0</v>
      </c>
      <c r="O343" s="77">
        <v>2559.3333333333335</v>
      </c>
      <c r="P343" s="81">
        <f t="shared" si="12"/>
        <v>0</v>
      </c>
      <c r="Q343" s="82">
        <v>0.0</v>
      </c>
      <c r="R343" s="77">
        <v>2535.1666666666665</v>
      </c>
      <c r="S343" s="81">
        <f t="shared" si="13"/>
        <v>0</v>
      </c>
      <c r="T343" s="77">
        <v>0.0</v>
      </c>
      <c r="U343" s="77">
        <v>2511.0</v>
      </c>
      <c r="V343" s="81">
        <f t="shared" si="14"/>
        <v>0</v>
      </c>
      <c r="W343" s="83">
        <f t="shared" si="15"/>
        <v>0</v>
      </c>
      <c r="X343" s="84">
        <f t="shared" si="16"/>
        <v>0</v>
      </c>
      <c r="AD343" s="65"/>
      <c r="AG343" s="65"/>
      <c r="AJ343" s="65"/>
      <c r="AK343" s="65"/>
      <c r="AL343" s="68"/>
      <c r="AO343" s="65"/>
      <c r="AR343" s="65"/>
      <c r="AU343" s="65"/>
      <c r="AV343" s="65"/>
      <c r="AW343" s="68"/>
    </row>
    <row r="344" ht="15.75" customHeight="1">
      <c r="A344" s="29">
        <v>90503.0</v>
      </c>
      <c r="B344" s="76" t="s">
        <v>339</v>
      </c>
      <c r="C344" s="77">
        <v>6500.0</v>
      </c>
      <c r="D344" s="77">
        <v>2165.0</v>
      </c>
      <c r="E344" s="78">
        <f t="shared" si="7"/>
        <v>3.002309469</v>
      </c>
      <c r="F344" s="77">
        <v>30000.0</v>
      </c>
      <c r="G344" s="77">
        <v>2180.1666666666665</v>
      </c>
      <c r="H344" s="78">
        <f t="shared" si="8"/>
        <v>13.76041587</v>
      </c>
      <c r="I344" s="77">
        <v>0.0</v>
      </c>
      <c r="J344" s="77">
        <v>2195.3333333333335</v>
      </c>
      <c r="K344" s="78">
        <f t="shared" si="9"/>
        <v>0</v>
      </c>
      <c r="L344" s="79">
        <f t="shared" si="10"/>
        <v>5.587575113</v>
      </c>
      <c r="M344" s="80">
        <f t="shared" si="11"/>
        <v>12166.66667</v>
      </c>
      <c r="N344" s="77">
        <v>0.0</v>
      </c>
      <c r="O344" s="77">
        <v>2316.6666666666665</v>
      </c>
      <c r="P344" s="81">
        <f t="shared" si="12"/>
        <v>0</v>
      </c>
      <c r="Q344" s="82">
        <v>0.0</v>
      </c>
      <c r="R344" s="77">
        <v>2331.8333333333335</v>
      </c>
      <c r="S344" s="81">
        <f t="shared" si="13"/>
        <v>0</v>
      </c>
      <c r="T344" s="77">
        <v>0.0</v>
      </c>
      <c r="U344" s="77">
        <v>2347.0</v>
      </c>
      <c r="V344" s="81">
        <f t="shared" si="14"/>
        <v>0</v>
      </c>
      <c r="W344" s="83">
        <f t="shared" si="15"/>
        <v>0</v>
      </c>
      <c r="X344" s="84">
        <f t="shared" si="16"/>
        <v>0</v>
      </c>
      <c r="AD344" s="65"/>
      <c r="AG344" s="65"/>
      <c r="AJ344" s="65"/>
      <c r="AK344" s="65"/>
      <c r="AL344" s="68"/>
      <c r="AO344" s="65"/>
      <c r="AR344" s="65"/>
      <c r="AU344" s="65"/>
      <c r="AV344" s="65"/>
      <c r="AW344" s="68"/>
    </row>
    <row r="345" ht="15.75" customHeight="1">
      <c r="A345" s="64"/>
      <c r="B345" s="64"/>
      <c r="E345" s="65"/>
      <c r="F345" s="68"/>
      <c r="G345" s="65"/>
      <c r="H345" s="65"/>
      <c r="I345" s="68"/>
      <c r="J345" s="65"/>
      <c r="K345" s="65"/>
      <c r="L345" s="65"/>
      <c r="M345" s="68"/>
      <c r="N345" s="68"/>
      <c r="P345" s="67"/>
      <c r="Q345" s="68"/>
      <c r="S345" s="67"/>
      <c r="T345" s="68"/>
      <c r="V345" s="67"/>
      <c r="W345" s="67"/>
      <c r="X345" s="68"/>
      <c r="AD345" s="65"/>
      <c r="AG345" s="65"/>
      <c r="AJ345" s="65"/>
      <c r="AK345" s="65"/>
      <c r="AL345" s="68"/>
      <c r="AO345" s="65"/>
      <c r="AR345" s="65"/>
      <c r="AU345" s="65"/>
      <c r="AV345" s="65"/>
      <c r="AW345" s="68"/>
    </row>
    <row r="346" ht="15.75" customHeight="1">
      <c r="A346" s="64"/>
      <c r="B346" s="64"/>
      <c r="F346" s="86"/>
      <c r="G346" s="87"/>
      <c r="H346" s="87"/>
      <c r="I346" s="86"/>
      <c r="J346" s="87"/>
      <c r="K346" s="88" t="s">
        <v>371</v>
      </c>
      <c r="L346" s="87">
        <f>+AVERAGE(L2:L344)</f>
        <v>6.333556569</v>
      </c>
      <c r="M346" s="86"/>
      <c r="N346" s="87">
        <f>+L346+L347</f>
        <v>18.54251395</v>
      </c>
      <c r="P346" s="67"/>
      <c r="Q346" s="68"/>
      <c r="S346" s="67"/>
      <c r="T346" s="68"/>
      <c r="V346" s="88"/>
      <c r="W346" s="87"/>
      <c r="X346" s="86"/>
      <c r="Y346" s="87"/>
      <c r="AD346" s="65"/>
      <c r="AG346" s="65"/>
      <c r="AJ346" s="65"/>
      <c r="AK346" s="65"/>
      <c r="AL346" s="68"/>
      <c r="AO346" s="65"/>
      <c r="AR346" s="65"/>
      <c r="AU346" s="65"/>
      <c r="AV346" s="65"/>
      <c r="AW346" s="68"/>
    </row>
    <row r="347" ht="15.75" customHeight="1">
      <c r="A347" s="64"/>
      <c r="B347" s="64"/>
      <c r="F347" s="86"/>
      <c r="G347" s="87"/>
      <c r="H347" s="87"/>
      <c r="I347" s="86"/>
      <c r="J347" s="87"/>
      <c r="K347" s="88" t="s">
        <v>372</v>
      </c>
      <c r="L347" s="87">
        <f>+STDEVA(L2:L344)</f>
        <v>12.20895738</v>
      </c>
      <c r="M347" s="86"/>
      <c r="N347" s="87">
        <f>+L346-L347</f>
        <v>-5.875400813</v>
      </c>
      <c r="P347" s="67"/>
      <c r="Q347" s="68"/>
      <c r="S347" s="67"/>
      <c r="T347" s="68"/>
      <c r="V347" s="88"/>
      <c r="W347" s="87"/>
      <c r="X347" s="86"/>
      <c r="Y347" s="87"/>
      <c r="AD347" s="65"/>
      <c r="AG347" s="65"/>
      <c r="AJ347" s="65"/>
      <c r="AK347" s="65"/>
      <c r="AL347" s="68"/>
      <c r="AO347" s="65"/>
      <c r="AR347" s="65"/>
      <c r="AU347" s="65"/>
      <c r="AV347" s="65"/>
      <c r="AW347" s="68"/>
    </row>
    <row r="348" ht="15.75" customHeight="1">
      <c r="A348" s="64"/>
      <c r="B348" s="64"/>
      <c r="F348" s="86"/>
      <c r="G348" s="87"/>
      <c r="H348" s="87"/>
      <c r="I348" s="86"/>
      <c r="J348" s="87"/>
      <c r="K348" s="88" t="s">
        <v>373</v>
      </c>
      <c r="L348" s="87">
        <f>+MIN(L2:L344)</f>
        <v>0</v>
      </c>
      <c r="M348" s="86"/>
      <c r="N348" s="89"/>
      <c r="P348" s="67"/>
      <c r="Q348" s="68"/>
      <c r="S348" s="67"/>
      <c r="T348" s="68"/>
      <c r="V348" s="88"/>
      <c r="W348" s="87"/>
      <c r="X348" s="86"/>
      <c r="Y348" s="89"/>
      <c r="AD348" s="65"/>
      <c r="AG348" s="65"/>
      <c r="AJ348" s="65"/>
      <c r="AK348" s="65"/>
      <c r="AL348" s="68"/>
      <c r="AO348" s="65"/>
      <c r="AR348" s="65"/>
      <c r="AU348" s="65"/>
      <c r="AV348" s="65"/>
      <c r="AW348" s="68"/>
    </row>
    <row r="349" ht="15.75" customHeight="1">
      <c r="A349" s="64"/>
      <c r="B349" s="64"/>
      <c r="F349" s="86"/>
      <c r="G349" s="87"/>
      <c r="H349" s="87"/>
      <c r="I349" s="86"/>
      <c r="J349" s="87"/>
      <c r="K349" s="88" t="s">
        <v>374</v>
      </c>
      <c r="L349" s="87">
        <f>+MAX(L2:L344)</f>
        <v>132.6970021</v>
      </c>
      <c r="M349" s="86"/>
      <c r="N349" s="89"/>
      <c r="P349" s="67"/>
      <c r="Q349" s="68"/>
      <c r="S349" s="67"/>
      <c r="T349" s="68"/>
      <c r="V349" s="88"/>
      <c r="W349" s="87"/>
      <c r="X349" s="86"/>
      <c r="Y349" s="89"/>
      <c r="AD349" s="65"/>
      <c r="AG349" s="65"/>
      <c r="AJ349" s="65"/>
      <c r="AK349" s="65"/>
      <c r="AL349" s="68"/>
      <c r="AO349" s="65"/>
      <c r="AR349" s="65"/>
      <c r="AU349" s="65"/>
      <c r="AV349" s="65"/>
      <c r="AW349" s="68"/>
    </row>
    <row r="350" ht="15.75" customHeight="1">
      <c r="A350" s="64"/>
      <c r="B350" s="64"/>
      <c r="F350" s="86"/>
      <c r="G350" s="90"/>
      <c r="H350" s="90"/>
      <c r="I350" s="86"/>
      <c r="J350" s="90"/>
      <c r="K350" s="88" t="s">
        <v>375</v>
      </c>
      <c r="L350" s="90">
        <v>343.0</v>
      </c>
      <c r="M350" s="86"/>
      <c r="N350" s="89"/>
      <c r="P350" s="67"/>
      <c r="Q350" s="68"/>
      <c r="S350" s="67"/>
      <c r="T350" s="68"/>
      <c r="V350" s="88"/>
      <c r="W350" s="90"/>
      <c r="X350" s="86"/>
      <c r="Y350" s="89"/>
      <c r="AD350" s="65"/>
      <c r="AG350" s="65"/>
      <c r="AJ350" s="65"/>
      <c r="AK350" s="65"/>
      <c r="AL350" s="68"/>
      <c r="AO350" s="65"/>
      <c r="AR350" s="65"/>
      <c r="AU350" s="65"/>
      <c r="AV350" s="65"/>
      <c r="AW350" s="68"/>
    </row>
    <row r="351" ht="15.75" customHeight="1">
      <c r="A351" s="64"/>
      <c r="B351" s="64"/>
      <c r="E351" s="65"/>
      <c r="F351" s="68"/>
      <c r="G351" s="65"/>
      <c r="H351" s="65"/>
      <c r="I351" s="68"/>
      <c r="J351" s="65"/>
      <c r="K351" s="65"/>
      <c r="L351" s="65"/>
      <c r="M351" s="68"/>
      <c r="N351" s="68"/>
      <c r="P351" s="67"/>
      <c r="Q351" s="68"/>
      <c r="S351" s="67"/>
      <c r="T351" s="68"/>
      <c r="V351" s="67"/>
      <c r="W351" s="67"/>
      <c r="X351" s="68"/>
      <c r="AD351" s="65"/>
      <c r="AG351" s="65"/>
      <c r="AJ351" s="65"/>
      <c r="AK351" s="65"/>
      <c r="AL351" s="68"/>
      <c r="AO351" s="65"/>
      <c r="AR351" s="65"/>
      <c r="AU351" s="65"/>
      <c r="AV351" s="65"/>
      <c r="AW351" s="68"/>
    </row>
    <row r="352" ht="15.75" customHeight="1">
      <c r="A352" s="64"/>
      <c r="B352" s="64"/>
      <c r="E352" s="65"/>
      <c r="F352" s="68"/>
      <c r="G352" s="65"/>
      <c r="H352" s="65"/>
      <c r="I352" s="68"/>
      <c r="J352" s="65"/>
      <c r="K352" s="65"/>
      <c r="L352" s="65"/>
      <c r="M352" s="68"/>
      <c r="N352" s="68"/>
      <c r="P352" s="67"/>
      <c r="Q352" s="68"/>
      <c r="S352" s="67"/>
      <c r="T352" s="68"/>
      <c r="V352" s="67"/>
      <c r="W352" s="67"/>
      <c r="X352" s="68"/>
      <c r="AD352" s="65"/>
      <c r="AG352" s="65"/>
      <c r="AJ352" s="65"/>
      <c r="AK352" s="65"/>
      <c r="AL352" s="68"/>
      <c r="AO352" s="65"/>
      <c r="AR352" s="65"/>
      <c r="AU352" s="65"/>
      <c r="AV352" s="65"/>
      <c r="AW352" s="68"/>
    </row>
    <row r="353" ht="15.75" customHeight="1">
      <c r="A353" s="64"/>
      <c r="B353" s="64"/>
      <c r="E353" s="65"/>
      <c r="F353" s="68"/>
      <c r="G353" s="65"/>
      <c r="H353" s="65"/>
      <c r="I353" s="68"/>
      <c r="J353" s="65"/>
      <c r="K353" s="65"/>
      <c r="L353" s="65"/>
      <c r="M353" s="68"/>
      <c r="N353" s="68"/>
      <c r="P353" s="67"/>
      <c r="Q353" s="68"/>
      <c r="S353" s="67"/>
      <c r="T353" s="68"/>
      <c r="V353" s="67"/>
      <c r="W353" s="67"/>
      <c r="X353" s="68"/>
      <c r="AD353" s="65"/>
      <c r="AG353" s="65"/>
      <c r="AJ353" s="65"/>
      <c r="AK353" s="65"/>
      <c r="AL353" s="68"/>
      <c r="AO353" s="65"/>
      <c r="AR353" s="65"/>
      <c r="AU353" s="65"/>
      <c r="AV353" s="65"/>
      <c r="AW353" s="68"/>
    </row>
    <row r="354" ht="15.75" customHeight="1">
      <c r="A354" s="64"/>
      <c r="B354" s="64"/>
      <c r="E354" s="65"/>
      <c r="F354" s="68"/>
      <c r="G354" s="65"/>
      <c r="H354" s="65"/>
      <c r="I354" s="68"/>
      <c r="J354" s="65"/>
      <c r="K354" s="65"/>
      <c r="L354" s="65"/>
      <c r="M354" s="68"/>
      <c r="P354" s="67"/>
      <c r="Q354" s="68"/>
      <c r="S354" s="67"/>
      <c r="T354" s="68"/>
      <c r="V354" s="67"/>
      <c r="W354" s="67"/>
      <c r="X354" s="68"/>
      <c r="AD354" s="65"/>
      <c r="AG354" s="65"/>
      <c r="AJ354" s="65"/>
      <c r="AK354" s="65"/>
      <c r="AL354" s="68"/>
      <c r="AO354" s="65"/>
      <c r="AR354" s="65"/>
      <c r="AU354" s="65"/>
      <c r="AV354" s="65"/>
      <c r="AW354" s="68"/>
    </row>
    <row r="355" ht="15.75" customHeight="1">
      <c r="A355" s="64"/>
      <c r="B355" s="64"/>
      <c r="E355" s="65"/>
      <c r="F355" s="68"/>
      <c r="G355" s="65"/>
      <c r="H355" s="65"/>
      <c r="I355" s="68"/>
      <c r="J355" s="65"/>
      <c r="K355" s="65"/>
      <c r="L355" s="65"/>
      <c r="M355" s="68"/>
      <c r="P355" s="67"/>
      <c r="Q355" s="68"/>
      <c r="S355" s="67"/>
      <c r="T355" s="68"/>
      <c r="V355" s="67"/>
      <c r="W355" s="67"/>
      <c r="X355" s="68"/>
      <c r="AD355" s="65"/>
      <c r="AG355" s="65"/>
      <c r="AJ355" s="65"/>
      <c r="AK355" s="65"/>
      <c r="AL355" s="68"/>
      <c r="AO355" s="65"/>
      <c r="AR355" s="65"/>
      <c r="AU355" s="65"/>
      <c r="AV355" s="65"/>
      <c r="AW355" s="68"/>
    </row>
    <row r="356" ht="15.75" customHeight="1">
      <c r="A356" s="64"/>
      <c r="B356" s="64"/>
      <c r="E356" s="65"/>
      <c r="F356" s="68"/>
      <c r="G356" s="65"/>
      <c r="H356" s="65"/>
      <c r="I356" s="68"/>
      <c r="J356" s="65"/>
      <c r="K356" s="65"/>
      <c r="L356" s="65"/>
      <c r="M356" s="68"/>
      <c r="P356" s="67"/>
      <c r="Q356" s="68"/>
      <c r="S356" s="67"/>
      <c r="T356" s="68"/>
      <c r="V356" s="67"/>
      <c r="W356" s="67"/>
      <c r="X356" s="68"/>
      <c r="AD356" s="65"/>
      <c r="AG356" s="65"/>
      <c r="AJ356" s="65"/>
      <c r="AK356" s="65"/>
      <c r="AL356" s="68"/>
      <c r="AO356" s="65"/>
      <c r="AR356" s="65"/>
      <c r="AU356" s="65"/>
      <c r="AV356" s="65"/>
      <c r="AW356" s="68"/>
    </row>
    <row r="357" ht="15.75" customHeight="1">
      <c r="A357" s="64"/>
      <c r="B357" s="64"/>
      <c r="E357" s="65"/>
      <c r="F357" s="68"/>
      <c r="G357" s="65"/>
      <c r="H357" s="65"/>
      <c r="I357" s="68"/>
      <c r="J357" s="65"/>
      <c r="K357" s="65"/>
      <c r="L357" s="65"/>
      <c r="M357" s="68"/>
      <c r="P357" s="67"/>
      <c r="Q357" s="68"/>
      <c r="S357" s="67"/>
      <c r="T357" s="68"/>
      <c r="V357" s="67"/>
      <c r="W357" s="67"/>
      <c r="X357" s="68"/>
      <c r="AD357" s="65"/>
      <c r="AG357" s="65"/>
      <c r="AJ357" s="65"/>
      <c r="AK357" s="65"/>
      <c r="AL357" s="68"/>
      <c r="AO357" s="65"/>
      <c r="AR357" s="65"/>
      <c r="AU357" s="65"/>
      <c r="AV357" s="65"/>
      <c r="AW357" s="68"/>
    </row>
    <row r="358" ht="15.75" customHeight="1">
      <c r="A358" s="64"/>
      <c r="B358" s="64"/>
      <c r="E358" s="65"/>
      <c r="F358" s="68"/>
      <c r="G358" s="65"/>
      <c r="H358" s="65"/>
      <c r="I358" s="68"/>
      <c r="J358" s="65"/>
      <c r="K358" s="65"/>
      <c r="L358" s="65"/>
      <c r="M358" s="68"/>
      <c r="P358" s="67"/>
      <c r="Q358" s="68"/>
      <c r="S358" s="67"/>
      <c r="T358" s="68"/>
      <c r="V358" s="67"/>
      <c r="W358" s="67"/>
      <c r="X358" s="68"/>
      <c r="AD358" s="65"/>
      <c r="AG358" s="65"/>
      <c r="AJ358" s="65"/>
      <c r="AK358" s="65"/>
      <c r="AL358" s="68"/>
      <c r="AO358" s="65"/>
      <c r="AR358" s="65"/>
      <c r="AU358" s="65"/>
      <c r="AV358" s="65"/>
      <c r="AW358" s="68"/>
    </row>
    <row r="359" ht="15.75" customHeight="1">
      <c r="A359" s="64"/>
      <c r="B359" s="64"/>
      <c r="E359" s="65"/>
      <c r="F359" s="68"/>
      <c r="G359" s="65"/>
      <c r="H359" s="65"/>
      <c r="I359" s="68"/>
      <c r="J359" s="65"/>
      <c r="K359" s="65"/>
      <c r="L359" s="65"/>
      <c r="M359" s="68"/>
      <c r="P359" s="67"/>
      <c r="Q359" s="68"/>
      <c r="S359" s="67"/>
      <c r="T359" s="68"/>
      <c r="V359" s="67"/>
      <c r="W359" s="67"/>
      <c r="X359" s="68"/>
      <c r="AD359" s="65"/>
      <c r="AG359" s="65"/>
      <c r="AJ359" s="65"/>
      <c r="AK359" s="65"/>
      <c r="AL359" s="68"/>
      <c r="AO359" s="65"/>
      <c r="AR359" s="65"/>
      <c r="AU359" s="65"/>
      <c r="AV359" s="65"/>
      <c r="AW359" s="68"/>
    </row>
    <row r="360" ht="15.75" customHeight="1">
      <c r="A360" s="64"/>
      <c r="B360" s="64"/>
      <c r="E360" s="65"/>
      <c r="F360" s="68"/>
      <c r="G360" s="65"/>
      <c r="H360" s="65"/>
      <c r="I360" s="68"/>
      <c r="J360" s="65"/>
      <c r="K360" s="65"/>
      <c r="L360" s="65"/>
      <c r="M360" s="68"/>
      <c r="P360" s="67"/>
      <c r="Q360" s="68"/>
      <c r="S360" s="67"/>
      <c r="T360" s="68"/>
      <c r="V360" s="67"/>
      <c r="W360" s="67"/>
      <c r="X360" s="68"/>
      <c r="AD360" s="65"/>
      <c r="AG360" s="65"/>
      <c r="AJ360" s="65"/>
      <c r="AK360" s="65"/>
      <c r="AL360" s="68"/>
      <c r="AO360" s="65"/>
      <c r="AR360" s="65"/>
      <c r="AU360" s="65"/>
      <c r="AV360" s="65"/>
      <c r="AW360" s="68"/>
    </row>
    <row r="361" ht="15.75" customHeight="1">
      <c r="A361" s="64"/>
      <c r="B361" s="64"/>
      <c r="E361" s="65"/>
      <c r="F361" s="68"/>
      <c r="G361" s="65"/>
      <c r="H361" s="65"/>
      <c r="I361" s="68"/>
      <c r="J361" s="65"/>
      <c r="K361" s="65"/>
      <c r="L361" s="65"/>
      <c r="M361" s="68"/>
      <c r="P361" s="67"/>
      <c r="Q361" s="68"/>
      <c r="S361" s="67"/>
      <c r="T361" s="68"/>
      <c r="V361" s="67"/>
      <c r="W361" s="67"/>
      <c r="X361" s="68"/>
      <c r="AD361" s="65"/>
      <c r="AG361" s="65"/>
      <c r="AJ361" s="65"/>
      <c r="AK361" s="65"/>
      <c r="AL361" s="68"/>
      <c r="AO361" s="65"/>
      <c r="AR361" s="65"/>
      <c r="AU361" s="65"/>
      <c r="AV361" s="65"/>
      <c r="AW361" s="68"/>
    </row>
    <row r="362" ht="15.75" customHeight="1">
      <c r="A362" s="64"/>
      <c r="B362" s="64"/>
      <c r="E362" s="65"/>
      <c r="F362" s="68"/>
      <c r="G362" s="65"/>
      <c r="H362" s="65"/>
      <c r="I362" s="68"/>
      <c r="J362" s="65"/>
      <c r="K362" s="65"/>
      <c r="L362" s="65"/>
      <c r="M362" s="68"/>
      <c r="P362" s="67"/>
      <c r="Q362" s="68"/>
      <c r="S362" s="67"/>
      <c r="T362" s="68"/>
      <c r="V362" s="67"/>
      <c r="W362" s="67"/>
      <c r="X362" s="68"/>
      <c r="AD362" s="65"/>
      <c r="AG362" s="65"/>
      <c r="AJ362" s="65"/>
      <c r="AK362" s="65"/>
      <c r="AL362" s="68"/>
      <c r="AO362" s="65"/>
      <c r="AR362" s="65"/>
      <c r="AU362" s="65"/>
      <c r="AV362" s="65"/>
      <c r="AW362" s="68"/>
    </row>
    <row r="363" ht="15.75" customHeight="1">
      <c r="A363" s="64"/>
      <c r="B363" s="64"/>
      <c r="E363" s="65"/>
      <c r="F363" s="68"/>
      <c r="G363" s="65"/>
      <c r="H363" s="65"/>
      <c r="I363" s="68"/>
      <c r="J363" s="65"/>
      <c r="K363" s="65"/>
      <c r="L363" s="65"/>
      <c r="M363" s="68"/>
      <c r="P363" s="67"/>
      <c r="Q363" s="68"/>
      <c r="S363" s="67"/>
      <c r="T363" s="68"/>
      <c r="V363" s="67"/>
      <c r="W363" s="67"/>
      <c r="X363" s="68"/>
      <c r="AD363" s="65"/>
      <c r="AG363" s="65"/>
      <c r="AJ363" s="65"/>
      <c r="AK363" s="65"/>
      <c r="AL363" s="68"/>
      <c r="AO363" s="65"/>
      <c r="AR363" s="65"/>
      <c r="AU363" s="65"/>
      <c r="AV363" s="65"/>
      <c r="AW363" s="68"/>
    </row>
    <row r="364" ht="15.75" customHeight="1">
      <c r="A364" s="64"/>
      <c r="B364" s="64"/>
      <c r="E364" s="65"/>
      <c r="F364" s="68"/>
      <c r="G364" s="65"/>
      <c r="H364" s="65"/>
      <c r="I364" s="68"/>
      <c r="J364" s="65"/>
      <c r="K364" s="65"/>
      <c r="L364" s="65"/>
      <c r="M364" s="68"/>
      <c r="P364" s="67"/>
      <c r="Q364" s="68"/>
      <c r="S364" s="67"/>
      <c r="T364" s="68"/>
      <c r="V364" s="67"/>
      <c r="W364" s="67"/>
      <c r="X364" s="68"/>
      <c r="AD364" s="65"/>
      <c r="AG364" s="65"/>
      <c r="AJ364" s="65"/>
      <c r="AK364" s="65"/>
      <c r="AL364" s="68"/>
      <c r="AO364" s="65"/>
      <c r="AR364" s="65"/>
      <c r="AU364" s="65"/>
      <c r="AV364" s="65"/>
      <c r="AW364" s="68"/>
    </row>
    <row r="365" ht="15.75" customHeight="1">
      <c r="A365" s="64"/>
      <c r="B365" s="64"/>
      <c r="E365" s="65"/>
      <c r="F365" s="68"/>
      <c r="G365" s="65"/>
      <c r="H365" s="65"/>
      <c r="I365" s="68"/>
      <c r="J365" s="65"/>
      <c r="K365" s="65"/>
      <c r="L365" s="65"/>
      <c r="M365" s="68"/>
      <c r="P365" s="67"/>
      <c r="Q365" s="68"/>
      <c r="S365" s="67"/>
      <c r="T365" s="68"/>
      <c r="V365" s="67"/>
      <c r="W365" s="67"/>
      <c r="X365" s="68"/>
      <c r="AD365" s="65"/>
      <c r="AG365" s="65"/>
      <c r="AJ365" s="65"/>
      <c r="AK365" s="65"/>
      <c r="AL365" s="68"/>
      <c r="AO365" s="65"/>
      <c r="AR365" s="65"/>
      <c r="AU365" s="65"/>
      <c r="AV365" s="65"/>
      <c r="AW365" s="68"/>
    </row>
    <row r="366" ht="15.75" customHeight="1">
      <c r="A366" s="64"/>
      <c r="B366" s="64"/>
      <c r="E366" s="65"/>
      <c r="F366" s="68"/>
      <c r="G366" s="65"/>
      <c r="H366" s="65"/>
      <c r="I366" s="68"/>
      <c r="J366" s="65"/>
      <c r="K366" s="65"/>
      <c r="L366" s="65"/>
      <c r="M366" s="68"/>
      <c r="P366" s="67"/>
      <c r="Q366" s="68"/>
      <c r="S366" s="67"/>
      <c r="T366" s="68"/>
      <c r="V366" s="67"/>
      <c r="W366" s="67"/>
      <c r="X366" s="68"/>
      <c r="AD366" s="65"/>
      <c r="AG366" s="65"/>
      <c r="AJ366" s="65"/>
      <c r="AK366" s="65"/>
      <c r="AL366" s="68"/>
      <c r="AO366" s="65"/>
      <c r="AR366" s="65"/>
      <c r="AU366" s="65"/>
      <c r="AV366" s="65"/>
      <c r="AW366" s="68"/>
    </row>
    <row r="367" ht="15.75" customHeight="1">
      <c r="A367" s="64"/>
      <c r="B367" s="64"/>
      <c r="E367" s="65"/>
      <c r="F367" s="68"/>
      <c r="G367" s="65"/>
      <c r="H367" s="65"/>
      <c r="I367" s="68"/>
      <c r="J367" s="65"/>
      <c r="K367" s="65"/>
      <c r="L367" s="65"/>
      <c r="M367" s="68"/>
      <c r="P367" s="67"/>
      <c r="Q367" s="68"/>
      <c r="S367" s="67"/>
      <c r="T367" s="68"/>
      <c r="V367" s="67"/>
      <c r="W367" s="67"/>
      <c r="X367" s="68"/>
      <c r="AD367" s="65"/>
      <c r="AG367" s="65"/>
      <c r="AJ367" s="65"/>
      <c r="AK367" s="65"/>
      <c r="AL367" s="68"/>
      <c r="AO367" s="65"/>
      <c r="AR367" s="65"/>
      <c r="AU367" s="65"/>
      <c r="AV367" s="65"/>
      <c r="AW367" s="68"/>
    </row>
    <row r="368" ht="15.75" customHeight="1">
      <c r="A368" s="64"/>
      <c r="B368" s="64"/>
      <c r="E368" s="65"/>
      <c r="F368" s="68"/>
      <c r="G368" s="65"/>
      <c r="H368" s="65"/>
      <c r="I368" s="68"/>
      <c r="J368" s="65"/>
      <c r="K368" s="65"/>
      <c r="L368" s="65"/>
      <c r="M368" s="68"/>
      <c r="P368" s="67"/>
      <c r="Q368" s="68"/>
      <c r="S368" s="67"/>
      <c r="T368" s="68"/>
      <c r="V368" s="67"/>
      <c r="W368" s="67"/>
      <c r="X368" s="68"/>
      <c r="AD368" s="65"/>
      <c r="AG368" s="65"/>
      <c r="AJ368" s="65"/>
      <c r="AK368" s="65"/>
      <c r="AL368" s="68"/>
      <c r="AO368" s="65"/>
      <c r="AR368" s="65"/>
      <c r="AU368" s="65"/>
      <c r="AV368" s="65"/>
      <c r="AW368" s="68"/>
    </row>
    <row r="369" ht="15.75" customHeight="1">
      <c r="A369" s="64"/>
      <c r="B369" s="64"/>
      <c r="E369" s="65"/>
      <c r="F369" s="68"/>
      <c r="G369" s="65"/>
      <c r="H369" s="65"/>
      <c r="I369" s="68"/>
      <c r="J369" s="65"/>
      <c r="K369" s="65"/>
      <c r="L369" s="65"/>
      <c r="M369" s="68"/>
      <c r="P369" s="67"/>
      <c r="Q369" s="68"/>
      <c r="S369" s="67"/>
      <c r="T369" s="68"/>
      <c r="V369" s="67"/>
      <c r="W369" s="67"/>
      <c r="X369" s="68"/>
      <c r="AD369" s="65"/>
      <c r="AG369" s="65"/>
      <c r="AJ369" s="65"/>
      <c r="AK369" s="65"/>
      <c r="AL369" s="68"/>
      <c r="AO369" s="65"/>
      <c r="AR369" s="65"/>
      <c r="AU369" s="65"/>
      <c r="AV369" s="65"/>
      <c r="AW369" s="68"/>
    </row>
    <row r="370" ht="15.75" customHeight="1">
      <c r="A370" s="64"/>
      <c r="B370" s="64"/>
      <c r="E370" s="65"/>
      <c r="F370" s="68"/>
      <c r="G370" s="65"/>
      <c r="H370" s="65"/>
      <c r="I370" s="68"/>
      <c r="J370" s="65"/>
      <c r="K370" s="65"/>
      <c r="L370" s="65"/>
      <c r="M370" s="68"/>
      <c r="P370" s="67"/>
      <c r="Q370" s="68"/>
      <c r="S370" s="67"/>
      <c r="T370" s="68"/>
      <c r="V370" s="67"/>
      <c r="W370" s="67"/>
      <c r="X370" s="68"/>
      <c r="AD370" s="65"/>
      <c r="AG370" s="65"/>
      <c r="AJ370" s="65"/>
      <c r="AK370" s="65"/>
      <c r="AL370" s="68"/>
      <c r="AO370" s="65"/>
      <c r="AR370" s="65"/>
      <c r="AU370" s="65"/>
      <c r="AV370" s="65"/>
      <c r="AW370" s="68"/>
    </row>
    <row r="371" ht="15.75" customHeight="1">
      <c r="A371" s="64"/>
      <c r="B371" s="64"/>
      <c r="E371" s="65"/>
      <c r="F371" s="68"/>
      <c r="G371" s="65"/>
      <c r="H371" s="65"/>
      <c r="I371" s="68"/>
      <c r="J371" s="65"/>
      <c r="K371" s="65"/>
      <c r="L371" s="65"/>
      <c r="M371" s="68"/>
      <c r="P371" s="67"/>
      <c r="Q371" s="68"/>
      <c r="S371" s="67"/>
      <c r="T371" s="68"/>
      <c r="V371" s="67"/>
      <c r="W371" s="67"/>
      <c r="X371" s="68"/>
      <c r="AD371" s="65"/>
      <c r="AG371" s="65"/>
      <c r="AJ371" s="65"/>
      <c r="AK371" s="65"/>
      <c r="AL371" s="68"/>
      <c r="AO371" s="65"/>
      <c r="AR371" s="65"/>
      <c r="AU371" s="65"/>
      <c r="AV371" s="65"/>
      <c r="AW371" s="68"/>
    </row>
    <row r="372" ht="15.75" customHeight="1">
      <c r="A372" s="64"/>
      <c r="B372" s="64"/>
      <c r="E372" s="65"/>
      <c r="F372" s="68"/>
      <c r="G372" s="65"/>
      <c r="H372" s="65"/>
      <c r="I372" s="68"/>
      <c r="J372" s="65"/>
      <c r="K372" s="65"/>
      <c r="L372" s="65"/>
      <c r="M372" s="68"/>
      <c r="P372" s="67"/>
      <c r="Q372" s="68"/>
      <c r="S372" s="67"/>
      <c r="T372" s="68"/>
      <c r="V372" s="67"/>
      <c r="W372" s="67"/>
      <c r="X372" s="68"/>
      <c r="AD372" s="65"/>
      <c r="AG372" s="65"/>
      <c r="AJ372" s="65"/>
      <c r="AK372" s="65"/>
      <c r="AL372" s="68"/>
      <c r="AO372" s="65"/>
      <c r="AR372" s="65"/>
      <c r="AU372" s="65"/>
      <c r="AV372" s="65"/>
      <c r="AW372" s="68"/>
    </row>
    <row r="373" ht="15.75" customHeight="1">
      <c r="A373" s="64"/>
      <c r="B373" s="64"/>
      <c r="E373" s="65"/>
      <c r="F373" s="68"/>
      <c r="G373" s="65"/>
      <c r="H373" s="65"/>
      <c r="I373" s="68"/>
      <c r="J373" s="65"/>
      <c r="K373" s="65"/>
      <c r="L373" s="65"/>
      <c r="M373" s="68"/>
      <c r="P373" s="67"/>
      <c r="Q373" s="68"/>
      <c r="S373" s="67"/>
      <c r="T373" s="68"/>
      <c r="V373" s="67"/>
      <c r="W373" s="67"/>
      <c r="X373" s="68"/>
      <c r="AD373" s="65"/>
      <c r="AG373" s="65"/>
      <c r="AJ373" s="65"/>
      <c r="AK373" s="65"/>
      <c r="AL373" s="68"/>
      <c r="AO373" s="65"/>
      <c r="AR373" s="65"/>
      <c r="AU373" s="65"/>
      <c r="AV373" s="65"/>
      <c r="AW373" s="68"/>
    </row>
    <row r="374" ht="15.75" customHeight="1">
      <c r="A374" s="64"/>
      <c r="B374" s="64"/>
      <c r="E374" s="65"/>
      <c r="F374" s="68"/>
      <c r="G374" s="65"/>
      <c r="H374" s="65"/>
      <c r="I374" s="68"/>
      <c r="J374" s="65"/>
      <c r="K374" s="65"/>
      <c r="L374" s="65"/>
      <c r="M374" s="68"/>
      <c r="P374" s="67"/>
      <c r="Q374" s="68"/>
      <c r="S374" s="67"/>
      <c r="T374" s="68"/>
      <c r="V374" s="67"/>
      <c r="W374" s="67"/>
      <c r="X374" s="68"/>
      <c r="AD374" s="65"/>
      <c r="AG374" s="65"/>
      <c r="AJ374" s="65"/>
      <c r="AK374" s="65"/>
      <c r="AL374" s="68"/>
      <c r="AO374" s="65"/>
      <c r="AR374" s="65"/>
      <c r="AU374" s="65"/>
      <c r="AV374" s="65"/>
      <c r="AW374" s="68"/>
    </row>
    <row r="375" ht="15.75" customHeight="1">
      <c r="A375" s="64"/>
      <c r="B375" s="64"/>
      <c r="E375" s="65"/>
      <c r="F375" s="68"/>
      <c r="G375" s="65"/>
      <c r="H375" s="65"/>
      <c r="I375" s="68"/>
      <c r="J375" s="65"/>
      <c r="K375" s="65"/>
      <c r="L375" s="65"/>
      <c r="M375" s="68"/>
      <c r="P375" s="67"/>
      <c r="Q375" s="68"/>
      <c r="S375" s="67"/>
      <c r="T375" s="68"/>
      <c r="V375" s="67"/>
      <c r="W375" s="67"/>
      <c r="X375" s="68"/>
      <c r="AD375" s="65"/>
      <c r="AG375" s="65"/>
      <c r="AJ375" s="65"/>
      <c r="AK375" s="65"/>
      <c r="AL375" s="68"/>
      <c r="AO375" s="65"/>
      <c r="AR375" s="65"/>
      <c r="AU375" s="65"/>
      <c r="AV375" s="65"/>
      <c r="AW375" s="68"/>
    </row>
    <row r="376" ht="15.75" customHeight="1">
      <c r="A376" s="64"/>
      <c r="B376" s="64"/>
      <c r="E376" s="65"/>
      <c r="F376" s="68"/>
      <c r="G376" s="65"/>
      <c r="H376" s="65"/>
      <c r="I376" s="68"/>
      <c r="J376" s="65"/>
      <c r="K376" s="65"/>
      <c r="L376" s="65"/>
      <c r="M376" s="68"/>
      <c r="P376" s="67"/>
      <c r="Q376" s="68"/>
      <c r="S376" s="67"/>
      <c r="V376" s="67"/>
      <c r="W376" s="67"/>
      <c r="X376" s="68"/>
      <c r="AD376" s="65"/>
      <c r="AG376" s="65"/>
      <c r="AJ376" s="65"/>
      <c r="AK376" s="65"/>
      <c r="AL376" s="68"/>
      <c r="AO376" s="65"/>
      <c r="AR376" s="65"/>
      <c r="AU376" s="65"/>
      <c r="AV376" s="65"/>
      <c r="AW376" s="68"/>
    </row>
    <row r="377" ht="15.75" customHeight="1">
      <c r="A377" s="64"/>
      <c r="B377" s="64"/>
      <c r="E377" s="65"/>
      <c r="F377" s="68"/>
      <c r="G377" s="65"/>
      <c r="H377" s="65"/>
      <c r="I377" s="68"/>
      <c r="J377" s="65"/>
      <c r="K377" s="65"/>
      <c r="L377" s="65"/>
      <c r="M377" s="68"/>
      <c r="P377" s="67"/>
      <c r="Q377" s="68"/>
      <c r="S377" s="67"/>
      <c r="V377" s="67"/>
      <c r="W377" s="67"/>
      <c r="X377" s="68"/>
      <c r="AD377" s="65"/>
      <c r="AG377" s="65"/>
      <c r="AJ377" s="65"/>
      <c r="AK377" s="65"/>
      <c r="AL377" s="68"/>
      <c r="AO377" s="65"/>
      <c r="AR377" s="65"/>
      <c r="AU377" s="65"/>
      <c r="AV377" s="65"/>
      <c r="AW377" s="68"/>
    </row>
    <row r="378" ht="15.75" customHeight="1">
      <c r="A378" s="64"/>
      <c r="B378" s="64"/>
      <c r="E378" s="65"/>
      <c r="F378" s="68"/>
      <c r="G378" s="65"/>
      <c r="H378" s="65"/>
      <c r="I378" s="68"/>
      <c r="J378" s="65"/>
      <c r="K378" s="65"/>
      <c r="L378" s="65"/>
      <c r="M378" s="68"/>
      <c r="P378" s="67"/>
      <c r="Q378" s="68"/>
      <c r="S378" s="67"/>
      <c r="V378" s="67"/>
      <c r="W378" s="67"/>
      <c r="X378" s="68"/>
      <c r="AD378" s="65"/>
      <c r="AG378" s="65"/>
      <c r="AJ378" s="65"/>
      <c r="AK378" s="65"/>
      <c r="AL378" s="68"/>
      <c r="AO378" s="65"/>
      <c r="AR378" s="65"/>
      <c r="AU378" s="65"/>
      <c r="AV378" s="65"/>
      <c r="AW378" s="68"/>
    </row>
    <row r="379" ht="15.75" customHeight="1">
      <c r="A379" s="64"/>
      <c r="B379" s="64"/>
      <c r="E379" s="65"/>
      <c r="F379" s="68"/>
      <c r="G379" s="65"/>
      <c r="H379" s="65"/>
      <c r="I379" s="68"/>
      <c r="J379" s="65"/>
      <c r="K379" s="65"/>
      <c r="L379" s="65"/>
      <c r="M379" s="68"/>
      <c r="P379" s="67"/>
      <c r="Q379" s="68"/>
      <c r="S379" s="67"/>
      <c r="V379" s="67"/>
      <c r="W379" s="67"/>
      <c r="X379" s="68"/>
      <c r="AD379" s="65"/>
      <c r="AG379" s="65"/>
      <c r="AJ379" s="65"/>
      <c r="AK379" s="65"/>
      <c r="AL379" s="68"/>
      <c r="AO379" s="65"/>
      <c r="AR379" s="65"/>
      <c r="AU379" s="65"/>
      <c r="AV379" s="65"/>
      <c r="AW379" s="68"/>
    </row>
    <row r="380" ht="15.75" customHeight="1">
      <c r="A380" s="64"/>
      <c r="B380" s="64"/>
      <c r="E380" s="65"/>
      <c r="F380" s="68"/>
      <c r="G380" s="65"/>
      <c r="H380" s="65"/>
      <c r="I380" s="68"/>
      <c r="J380" s="65"/>
      <c r="K380" s="65"/>
      <c r="L380" s="65"/>
      <c r="M380" s="68"/>
      <c r="P380" s="67"/>
      <c r="Q380" s="68"/>
      <c r="S380" s="67"/>
      <c r="V380" s="67"/>
      <c r="W380" s="67"/>
      <c r="X380" s="68"/>
      <c r="AD380" s="65"/>
      <c r="AG380" s="65"/>
      <c r="AJ380" s="65"/>
      <c r="AK380" s="65"/>
      <c r="AL380" s="68"/>
      <c r="AO380" s="65"/>
      <c r="AR380" s="65"/>
      <c r="AU380" s="65"/>
      <c r="AV380" s="65"/>
      <c r="AW380" s="68"/>
    </row>
    <row r="381" ht="15.75" customHeight="1">
      <c r="A381" s="64"/>
      <c r="B381" s="64"/>
      <c r="E381" s="65"/>
      <c r="F381" s="68"/>
      <c r="G381" s="65"/>
      <c r="H381" s="65"/>
      <c r="I381" s="68"/>
      <c r="J381" s="65"/>
      <c r="K381" s="65"/>
      <c r="L381" s="65"/>
      <c r="M381" s="68"/>
      <c r="P381" s="67"/>
      <c r="Q381" s="68"/>
      <c r="S381" s="67"/>
      <c r="V381" s="67"/>
      <c r="W381" s="67"/>
      <c r="X381" s="68"/>
      <c r="AD381" s="65"/>
      <c r="AG381" s="65"/>
      <c r="AJ381" s="65"/>
      <c r="AK381" s="65"/>
      <c r="AL381" s="68"/>
      <c r="AO381" s="65"/>
      <c r="AR381" s="65"/>
      <c r="AU381" s="65"/>
      <c r="AV381" s="65"/>
      <c r="AW381" s="68"/>
    </row>
    <row r="382" ht="15.75" customHeight="1">
      <c r="A382" s="64"/>
      <c r="B382" s="64"/>
      <c r="E382" s="65"/>
      <c r="F382" s="68"/>
      <c r="G382" s="65"/>
      <c r="H382" s="65"/>
      <c r="I382" s="68"/>
      <c r="J382" s="65"/>
      <c r="K382" s="65"/>
      <c r="L382" s="65"/>
      <c r="M382" s="68"/>
      <c r="P382" s="67"/>
      <c r="Q382" s="68"/>
      <c r="S382" s="67"/>
      <c r="V382" s="67"/>
      <c r="W382" s="67"/>
      <c r="X382" s="68"/>
      <c r="AD382" s="65"/>
      <c r="AG382" s="65"/>
      <c r="AJ382" s="65"/>
      <c r="AK382" s="65"/>
      <c r="AL382" s="68"/>
      <c r="AO382" s="65"/>
      <c r="AR382" s="65"/>
      <c r="AU382" s="65"/>
      <c r="AV382" s="65"/>
      <c r="AW382" s="68"/>
    </row>
    <row r="383" ht="15.75" customHeight="1">
      <c r="A383" s="64"/>
      <c r="B383" s="64"/>
      <c r="E383" s="65"/>
      <c r="F383" s="68"/>
      <c r="G383" s="65"/>
      <c r="H383" s="65"/>
      <c r="I383" s="68"/>
      <c r="J383" s="65"/>
      <c r="K383" s="65"/>
      <c r="L383" s="65"/>
      <c r="M383" s="68"/>
      <c r="P383" s="67"/>
      <c r="Q383" s="68"/>
      <c r="S383" s="67"/>
      <c r="V383" s="67"/>
      <c r="W383" s="67"/>
      <c r="X383" s="68"/>
      <c r="AD383" s="65"/>
      <c r="AG383" s="65"/>
      <c r="AJ383" s="65"/>
      <c r="AK383" s="65"/>
      <c r="AL383" s="68"/>
      <c r="AO383" s="65"/>
      <c r="AR383" s="65"/>
      <c r="AU383" s="65"/>
      <c r="AV383" s="65"/>
      <c r="AW383" s="68"/>
    </row>
    <row r="384" ht="15.75" customHeight="1">
      <c r="A384" s="64"/>
      <c r="B384" s="64"/>
      <c r="E384" s="65"/>
      <c r="F384" s="68"/>
      <c r="G384" s="65"/>
      <c r="H384" s="65"/>
      <c r="I384" s="68"/>
      <c r="J384" s="65"/>
      <c r="K384" s="65"/>
      <c r="L384" s="65"/>
      <c r="M384" s="68"/>
      <c r="P384" s="67"/>
      <c r="Q384" s="68"/>
      <c r="S384" s="67"/>
      <c r="V384" s="67"/>
      <c r="W384" s="67"/>
      <c r="X384" s="68"/>
      <c r="AD384" s="65"/>
      <c r="AG384" s="65"/>
      <c r="AJ384" s="65"/>
      <c r="AK384" s="65"/>
      <c r="AL384" s="68"/>
      <c r="AO384" s="65"/>
      <c r="AR384" s="65"/>
      <c r="AU384" s="65"/>
      <c r="AV384" s="65"/>
      <c r="AW384" s="68"/>
    </row>
    <row r="385" ht="15.75" customHeight="1">
      <c r="A385" s="64"/>
      <c r="B385" s="64"/>
      <c r="E385" s="65"/>
      <c r="F385" s="68"/>
      <c r="G385" s="65"/>
      <c r="H385" s="65"/>
      <c r="I385" s="68"/>
      <c r="J385" s="65"/>
      <c r="K385" s="65"/>
      <c r="L385" s="65"/>
      <c r="M385" s="68"/>
      <c r="P385" s="67"/>
      <c r="Q385" s="68"/>
      <c r="S385" s="67"/>
      <c r="V385" s="67"/>
      <c r="W385" s="67"/>
      <c r="X385" s="68"/>
      <c r="AD385" s="65"/>
      <c r="AG385" s="65"/>
      <c r="AJ385" s="65"/>
      <c r="AK385" s="65"/>
      <c r="AL385" s="68"/>
      <c r="AO385" s="65"/>
      <c r="AR385" s="65"/>
      <c r="AU385" s="65"/>
      <c r="AV385" s="65"/>
      <c r="AW385" s="68"/>
    </row>
    <row r="386" ht="15.75" customHeight="1">
      <c r="A386" s="64"/>
      <c r="B386" s="64"/>
      <c r="E386" s="65"/>
      <c r="F386" s="68"/>
      <c r="G386" s="65"/>
      <c r="H386" s="65"/>
      <c r="I386" s="68"/>
      <c r="J386" s="65"/>
      <c r="K386" s="65"/>
      <c r="L386" s="65"/>
      <c r="M386" s="68"/>
      <c r="P386" s="67"/>
      <c r="Q386" s="68"/>
      <c r="S386" s="67"/>
      <c r="V386" s="67"/>
      <c r="W386" s="67"/>
      <c r="X386" s="68"/>
      <c r="AD386" s="65"/>
      <c r="AG386" s="65"/>
      <c r="AJ386" s="65"/>
      <c r="AK386" s="65"/>
      <c r="AL386" s="68"/>
      <c r="AO386" s="65"/>
      <c r="AR386" s="65"/>
      <c r="AU386" s="65"/>
      <c r="AV386" s="65"/>
      <c r="AW386" s="68"/>
    </row>
    <row r="387" ht="15.75" customHeight="1">
      <c r="A387" s="64"/>
      <c r="B387" s="64"/>
      <c r="E387" s="65"/>
      <c r="F387" s="68"/>
      <c r="G387" s="65"/>
      <c r="H387" s="65"/>
      <c r="I387" s="68"/>
      <c r="J387" s="65"/>
      <c r="K387" s="65"/>
      <c r="L387" s="65"/>
      <c r="M387" s="68"/>
      <c r="P387" s="67"/>
      <c r="Q387" s="68"/>
      <c r="S387" s="67"/>
      <c r="V387" s="67"/>
      <c r="W387" s="67"/>
      <c r="X387" s="68"/>
      <c r="AD387" s="65"/>
      <c r="AG387" s="65"/>
      <c r="AJ387" s="65"/>
      <c r="AK387" s="65"/>
      <c r="AL387" s="68"/>
      <c r="AO387" s="65"/>
      <c r="AR387" s="65"/>
      <c r="AU387" s="65"/>
      <c r="AV387" s="65"/>
      <c r="AW387" s="68"/>
    </row>
    <row r="388" ht="15.75" customHeight="1">
      <c r="A388" s="64"/>
      <c r="B388" s="64"/>
      <c r="E388" s="65"/>
      <c r="F388" s="68"/>
      <c r="G388" s="65"/>
      <c r="H388" s="65"/>
      <c r="I388" s="68"/>
      <c r="J388" s="65"/>
      <c r="K388" s="65"/>
      <c r="L388" s="65"/>
      <c r="M388" s="68"/>
      <c r="P388" s="67"/>
      <c r="Q388" s="68"/>
      <c r="S388" s="67"/>
      <c r="V388" s="67"/>
      <c r="W388" s="67"/>
      <c r="X388" s="68"/>
      <c r="AD388" s="65"/>
      <c r="AG388" s="65"/>
      <c r="AJ388" s="65"/>
      <c r="AK388" s="65"/>
      <c r="AL388" s="68"/>
      <c r="AO388" s="65"/>
      <c r="AR388" s="65"/>
      <c r="AU388" s="65"/>
      <c r="AV388" s="65"/>
      <c r="AW388" s="68"/>
    </row>
    <row r="389" ht="15.75" customHeight="1">
      <c r="A389" s="64"/>
      <c r="B389" s="64"/>
      <c r="E389" s="65"/>
      <c r="F389" s="68"/>
      <c r="G389" s="65"/>
      <c r="H389" s="65"/>
      <c r="I389" s="68"/>
      <c r="J389" s="65"/>
      <c r="K389" s="65"/>
      <c r="L389" s="65"/>
      <c r="M389" s="68"/>
      <c r="P389" s="67"/>
      <c r="Q389" s="68"/>
      <c r="S389" s="67"/>
      <c r="V389" s="67"/>
      <c r="W389" s="67"/>
      <c r="X389" s="68"/>
      <c r="AD389" s="65"/>
      <c r="AG389" s="65"/>
      <c r="AJ389" s="65"/>
      <c r="AK389" s="65"/>
      <c r="AL389" s="68"/>
      <c r="AO389" s="65"/>
      <c r="AR389" s="65"/>
      <c r="AU389" s="65"/>
      <c r="AV389" s="65"/>
      <c r="AW389" s="68"/>
    </row>
    <row r="390" ht="15.75" customHeight="1">
      <c r="A390" s="64"/>
      <c r="B390" s="64"/>
      <c r="E390" s="65"/>
      <c r="F390" s="68"/>
      <c r="G390" s="65"/>
      <c r="H390" s="65"/>
      <c r="I390" s="68"/>
      <c r="J390" s="65"/>
      <c r="K390" s="65"/>
      <c r="L390" s="65"/>
      <c r="M390" s="68"/>
      <c r="P390" s="67"/>
      <c r="Q390" s="68"/>
      <c r="S390" s="67"/>
      <c r="V390" s="67"/>
      <c r="W390" s="67"/>
      <c r="X390" s="68"/>
      <c r="AD390" s="65"/>
      <c r="AG390" s="65"/>
      <c r="AJ390" s="65"/>
      <c r="AK390" s="65"/>
      <c r="AL390" s="68"/>
      <c r="AO390" s="65"/>
      <c r="AR390" s="65"/>
      <c r="AU390" s="65"/>
      <c r="AV390" s="65"/>
      <c r="AW390" s="68"/>
    </row>
    <row r="391" ht="15.75" customHeight="1">
      <c r="A391" s="64"/>
      <c r="B391" s="64"/>
      <c r="E391" s="65"/>
      <c r="F391" s="68"/>
      <c r="G391" s="65"/>
      <c r="H391" s="65"/>
      <c r="I391" s="68"/>
      <c r="J391" s="65"/>
      <c r="K391" s="65"/>
      <c r="L391" s="65"/>
      <c r="M391" s="68"/>
      <c r="P391" s="67"/>
      <c r="Q391" s="68"/>
      <c r="S391" s="67"/>
      <c r="V391" s="67"/>
      <c r="W391" s="67"/>
      <c r="X391" s="68"/>
      <c r="AD391" s="65"/>
      <c r="AG391" s="65"/>
      <c r="AJ391" s="65"/>
      <c r="AK391" s="65"/>
      <c r="AL391" s="68"/>
      <c r="AO391" s="65"/>
      <c r="AR391" s="65"/>
      <c r="AU391" s="65"/>
      <c r="AV391" s="65"/>
      <c r="AW391" s="68"/>
    </row>
    <row r="392" ht="15.75" customHeight="1">
      <c r="A392" s="64"/>
      <c r="B392" s="64"/>
      <c r="E392" s="65"/>
      <c r="F392" s="68"/>
      <c r="G392" s="65"/>
      <c r="H392" s="65"/>
      <c r="I392" s="68"/>
      <c r="J392" s="65"/>
      <c r="K392" s="65"/>
      <c r="L392" s="65"/>
      <c r="M392" s="68"/>
      <c r="P392" s="67"/>
      <c r="Q392" s="68"/>
      <c r="S392" s="67"/>
      <c r="V392" s="67"/>
      <c r="W392" s="67"/>
      <c r="X392" s="68"/>
      <c r="AD392" s="65"/>
      <c r="AG392" s="65"/>
      <c r="AJ392" s="65"/>
      <c r="AK392" s="65"/>
      <c r="AL392" s="68"/>
      <c r="AO392" s="65"/>
      <c r="AR392" s="65"/>
      <c r="AU392" s="65"/>
      <c r="AV392" s="65"/>
      <c r="AW392" s="68"/>
    </row>
    <row r="393" ht="15.75" customHeight="1">
      <c r="A393" s="64"/>
      <c r="B393" s="64"/>
      <c r="E393" s="65"/>
      <c r="F393" s="68"/>
      <c r="G393" s="65"/>
      <c r="H393" s="65"/>
      <c r="I393" s="68"/>
      <c r="J393" s="65"/>
      <c r="K393" s="65"/>
      <c r="L393" s="65"/>
      <c r="M393" s="68"/>
      <c r="P393" s="67"/>
      <c r="S393" s="67"/>
      <c r="V393" s="67"/>
      <c r="W393" s="67"/>
      <c r="X393" s="68"/>
      <c r="AD393" s="65"/>
      <c r="AG393" s="65"/>
      <c r="AJ393" s="65"/>
      <c r="AK393" s="65"/>
      <c r="AL393" s="68"/>
      <c r="AO393" s="65"/>
      <c r="AR393" s="65"/>
      <c r="AU393" s="65"/>
      <c r="AV393" s="65"/>
      <c r="AW393" s="68"/>
    </row>
    <row r="394" ht="15.75" customHeight="1">
      <c r="A394" s="64"/>
      <c r="B394" s="64"/>
      <c r="E394" s="65"/>
      <c r="F394" s="68"/>
      <c r="G394" s="65"/>
      <c r="H394" s="65"/>
      <c r="I394" s="68"/>
      <c r="J394" s="65"/>
      <c r="K394" s="65"/>
      <c r="L394" s="65"/>
      <c r="M394" s="68"/>
      <c r="P394" s="67"/>
      <c r="S394" s="67"/>
      <c r="V394" s="67"/>
      <c r="W394" s="67"/>
      <c r="X394" s="68"/>
      <c r="AD394" s="65"/>
      <c r="AG394" s="65"/>
      <c r="AJ394" s="65"/>
      <c r="AK394" s="65"/>
      <c r="AL394" s="68"/>
      <c r="AO394" s="65"/>
      <c r="AR394" s="65"/>
      <c r="AU394" s="65"/>
      <c r="AV394" s="65"/>
      <c r="AW394" s="68"/>
    </row>
    <row r="395" ht="15.75" customHeight="1">
      <c r="A395" s="64"/>
      <c r="B395" s="64"/>
      <c r="E395" s="65"/>
      <c r="F395" s="68"/>
      <c r="G395" s="65"/>
      <c r="H395" s="65"/>
      <c r="I395" s="68"/>
      <c r="J395" s="65"/>
      <c r="K395" s="65"/>
      <c r="L395" s="65"/>
      <c r="M395" s="68"/>
      <c r="P395" s="67"/>
      <c r="S395" s="67"/>
      <c r="V395" s="67"/>
      <c r="W395" s="67"/>
      <c r="X395" s="68"/>
      <c r="AD395" s="65"/>
      <c r="AG395" s="65"/>
      <c r="AJ395" s="65"/>
      <c r="AK395" s="65"/>
      <c r="AL395" s="68"/>
      <c r="AO395" s="65"/>
      <c r="AR395" s="65"/>
      <c r="AU395" s="65"/>
      <c r="AV395" s="65"/>
      <c r="AW395" s="68"/>
    </row>
    <row r="396" ht="15.75" customHeight="1">
      <c r="A396" s="64"/>
      <c r="B396" s="64"/>
      <c r="E396" s="65"/>
      <c r="F396" s="68"/>
      <c r="G396" s="65"/>
      <c r="H396" s="65"/>
      <c r="I396" s="68"/>
      <c r="J396" s="65"/>
      <c r="K396" s="65"/>
      <c r="L396" s="65"/>
      <c r="M396" s="68"/>
      <c r="P396" s="67"/>
      <c r="S396" s="67"/>
      <c r="V396" s="67"/>
      <c r="W396" s="67"/>
      <c r="X396" s="68"/>
      <c r="AD396" s="65"/>
      <c r="AG396" s="65"/>
      <c r="AJ396" s="65"/>
      <c r="AK396" s="65"/>
      <c r="AL396" s="68"/>
      <c r="AO396" s="65"/>
      <c r="AR396" s="65"/>
      <c r="AU396" s="65"/>
      <c r="AV396" s="65"/>
      <c r="AW396" s="68"/>
    </row>
    <row r="397" ht="15.75" customHeight="1">
      <c r="A397" s="64"/>
      <c r="B397" s="64"/>
      <c r="E397" s="65"/>
      <c r="F397" s="68"/>
      <c r="G397" s="65"/>
      <c r="H397" s="65"/>
      <c r="I397" s="68"/>
      <c r="J397" s="65"/>
      <c r="K397" s="65"/>
      <c r="L397" s="65"/>
      <c r="M397" s="68"/>
      <c r="P397" s="67"/>
      <c r="S397" s="67"/>
      <c r="V397" s="67"/>
      <c r="W397" s="67"/>
      <c r="X397" s="68"/>
      <c r="AD397" s="65"/>
      <c r="AG397" s="65"/>
      <c r="AJ397" s="65"/>
      <c r="AK397" s="65"/>
      <c r="AL397" s="68"/>
      <c r="AO397" s="65"/>
      <c r="AR397" s="65"/>
      <c r="AU397" s="65"/>
      <c r="AV397" s="65"/>
      <c r="AW397" s="68"/>
    </row>
    <row r="398" ht="15.75" customHeight="1">
      <c r="A398" s="64"/>
      <c r="B398" s="64"/>
      <c r="E398" s="65"/>
      <c r="F398" s="68"/>
      <c r="G398" s="65"/>
      <c r="H398" s="65"/>
      <c r="I398" s="68"/>
      <c r="J398" s="65"/>
      <c r="K398" s="65"/>
      <c r="L398" s="65"/>
      <c r="M398" s="68"/>
      <c r="P398" s="67"/>
      <c r="S398" s="67"/>
      <c r="V398" s="67"/>
      <c r="W398" s="67"/>
      <c r="X398" s="68"/>
      <c r="AD398" s="65"/>
      <c r="AG398" s="65"/>
      <c r="AJ398" s="65"/>
      <c r="AK398" s="65"/>
      <c r="AL398" s="68"/>
      <c r="AO398" s="65"/>
      <c r="AR398" s="65"/>
      <c r="AU398" s="65"/>
      <c r="AV398" s="65"/>
      <c r="AW398" s="68"/>
    </row>
    <row r="399" ht="15.75" customHeight="1">
      <c r="A399" s="64"/>
      <c r="B399" s="64"/>
      <c r="E399" s="65"/>
      <c r="F399" s="68"/>
      <c r="G399" s="65"/>
      <c r="H399" s="65"/>
      <c r="I399" s="68"/>
      <c r="J399" s="65"/>
      <c r="K399" s="65"/>
      <c r="L399" s="65"/>
      <c r="M399" s="68"/>
      <c r="P399" s="67"/>
      <c r="S399" s="67"/>
      <c r="V399" s="67"/>
      <c r="W399" s="67"/>
      <c r="X399" s="68"/>
      <c r="AD399" s="65"/>
      <c r="AG399" s="65"/>
      <c r="AJ399" s="65"/>
      <c r="AK399" s="65"/>
      <c r="AL399" s="68"/>
      <c r="AO399" s="65"/>
      <c r="AR399" s="65"/>
      <c r="AU399" s="65"/>
      <c r="AV399" s="65"/>
      <c r="AW399" s="68"/>
    </row>
    <row r="400" ht="15.75" customHeight="1">
      <c r="A400" s="64"/>
      <c r="B400" s="64"/>
      <c r="E400" s="65"/>
      <c r="F400" s="68"/>
      <c r="G400" s="65"/>
      <c r="H400" s="65"/>
      <c r="I400" s="68"/>
      <c r="J400" s="65"/>
      <c r="K400" s="65"/>
      <c r="L400" s="65"/>
      <c r="M400" s="68"/>
      <c r="P400" s="67"/>
      <c r="S400" s="67"/>
      <c r="V400" s="67"/>
      <c r="W400" s="67"/>
      <c r="X400" s="68"/>
      <c r="AD400" s="65"/>
      <c r="AG400" s="65"/>
      <c r="AJ400" s="65"/>
      <c r="AK400" s="65"/>
      <c r="AL400" s="68"/>
      <c r="AO400" s="65"/>
      <c r="AR400" s="65"/>
      <c r="AU400" s="65"/>
      <c r="AV400" s="65"/>
      <c r="AW400" s="68"/>
    </row>
    <row r="401" ht="15.75" customHeight="1">
      <c r="A401" s="64"/>
      <c r="B401" s="64"/>
      <c r="E401" s="65"/>
      <c r="F401" s="68"/>
      <c r="G401" s="65"/>
      <c r="H401" s="65"/>
      <c r="I401" s="68"/>
      <c r="J401" s="65"/>
      <c r="K401" s="65"/>
      <c r="L401" s="65"/>
      <c r="M401" s="68"/>
      <c r="P401" s="67"/>
      <c r="S401" s="67"/>
      <c r="V401" s="67"/>
      <c r="W401" s="67"/>
      <c r="X401" s="68"/>
      <c r="AD401" s="65"/>
      <c r="AG401" s="65"/>
      <c r="AJ401" s="65"/>
      <c r="AK401" s="65"/>
      <c r="AL401" s="68"/>
      <c r="AO401" s="65"/>
      <c r="AR401" s="65"/>
      <c r="AU401" s="65"/>
      <c r="AV401" s="65"/>
      <c r="AW401" s="68"/>
    </row>
    <row r="402" ht="15.75" customHeight="1">
      <c r="A402" s="64"/>
      <c r="B402" s="64"/>
      <c r="E402" s="65"/>
      <c r="F402" s="68"/>
      <c r="G402" s="65"/>
      <c r="H402" s="65"/>
      <c r="I402" s="68"/>
      <c r="J402" s="65"/>
      <c r="K402" s="65"/>
      <c r="L402" s="65"/>
      <c r="M402" s="68"/>
      <c r="P402" s="67"/>
      <c r="S402" s="67"/>
      <c r="V402" s="67"/>
      <c r="W402" s="67"/>
      <c r="X402" s="68"/>
      <c r="AD402" s="65"/>
      <c r="AG402" s="65"/>
      <c r="AJ402" s="65"/>
      <c r="AK402" s="65"/>
      <c r="AL402" s="68"/>
      <c r="AO402" s="65"/>
      <c r="AR402" s="65"/>
      <c r="AU402" s="65"/>
      <c r="AV402" s="65"/>
      <c r="AW402" s="68"/>
    </row>
    <row r="403" ht="15.75" customHeight="1">
      <c r="A403" s="64"/>
      <c r="B403" s="64"/>
      <c r="E403" s="65"/>
      <c r="F403" s="68"/>
      <c r="G403" s="65"/>
      <c r="H403" s="65"/>
      <c r="I403" s="68"/>
      <c r="J403" s="65"/>
      <c r="K403" s="65"/>
      <c r="L403" s="65"/>
      <c r="M403" s="68"/>
      <c r="P403" s="67"/>
      <c r="S403" s="67"/>
      <c r="V403" s="67"/>
      <c r="W403" s="67"/>
      <c r="X403" s="68"/>
      <c r="AD403" s="65"/>
      <c r="AG403" s="65"/>
      <c r="AJ403" s="65"/>
      <c r="AK403" s="65"/>
      <c r="AL403" s="68"/>
      <c r="AO403" s="65"/>
      <c r="AR403" s="65"/>
      <c r="AU403" s="65"/>
      <c r="AV403" s="65"/>
      <c r="AW403" s="68"/>
    </row>
    <row r="404" ht="15.75" customHeight="1">
      <c r="A404" s="64"/>
      <c r="B404" s="64"/>
      <c r="E404" s="65"/>
      <c r="F404" s="68"/>
      <c r="G404" s="65"/>
      <c r="H404" s="65"/>
      <c r="I404" s="68"/>
      <c r="J404" s="65"/>
      <c r="K404" s="65"/>
      <c r="L404" s="65"/>
      <c r="M404" s="68"/>
      <c r="P404" s="67"/>
      <c r="S404" s="67"/>
      <c r="V404" s="67"/>
      <c r="W404" s="67"/>
      <c r="X404" s="68"/>
      <c r="AD404" s="65"/>
      <c r="AG404" s="65"/>
      <c r="AJ404" s="65"/>
      <c r="AK404" s="65"/>
      <c r="AL404" s="68"/>
      <c r="AO404" s="65"/>
      <c r="AR404" s="65"/>
      <c r="AU404" s="65"/>
      <c r="AV404" s="65"/>
      <c r="AW404" s="68"/>
    </row>
    <row r="405" ht="15.75" customHeight="1">
      <c r="A405" s="64"/>
      <c r="B405" s="64"/>
      <c r="E405" s="65"/>
      <c r="F405" s="68"/>
      <c r="G405" s="65"/>
      <c r="H405" s="65"/>
      <c r="I405" s="68"/>
      <c r="J405" s="65"/>
      <c r="K405" s="65"/>
      <c r="L405" s="65"/>
      <c r="M405" s="68"/>
      <c r="P405" s="67"/>
      <c r="S405" s="67"/>
      <c r="V405" s="67"/>
      <c r="W405" s="67"/>
      <c r="X405" s="68"/>
      <c r="AD405" s="65"/>
      <c r="AG405" s="65"/>
      <c r="AJ405" s="65"/>
      <c r="AK405" s="65"/>
      <c r="AL405" s="68"/>
      <c r="AO405" s="65"/>
      <c r="AR405" s="65"/>
      <c r="AU405" s="65"/>
      <c r="AV405" s="65"/>
      <c r="AW405" s="68"/>
    </row>
    <row r="406" ht="15.75" customHeight="1">
      <c r="A406" s="64"/>
      <c r="B406" s="64"/>
      <c r="E406" s="65"/>
      <c r="F406" s="68"/>
      <c r="G406" s="65"/>
      <c r="H406" s="65"/>
      <c r="I406" s="68"/>
      <c r="J406" s="65"/>
      <c r="K406" s="65"/>
      <c r="L406" s="65"/>
      <c r="M406" s="68"/>
      <c r="P406" s="67"/>
      <c r="S406" s="67"/>
      <c r="V406" s="67"/>
      <c r="W406" s="67"/>
      <c r="X406" s="68"/>
      <c r="AD406" s="65"/>
      <c r="AG406" s="65"/>
      <c r="AJ406" s="65"/>
      <c r="AK406" s="65"/>
      <c r="AL406" s="68"/>
      <c r="AO406" s="65"/>
      <c r="AR406" s="65"/>
      <c r="AU406" s="65"/>
      <c r="AV406" s="65"/>
      <c r="AW406" s="68"/>
    </row>
    <row r="407" ht="15.75" customHeight="1">
      <c r="A407" s="64"/>
      <c r="B407" s="64"/>
      <c r="E407" s="65"/>
      <c r="F407" s="68"/>
      <c r="G407" s="65"/>
      <c r="H407" s="65"/>
      <c r="I407" s="68"/>
      <c r="J407" s="65"/>
      <c r="K407" s="65"/>
      <c r="L407" s="65"/>
      <c r="M407" s="68"/>
      <c r="P407" s="67"/>
      <c r="S407" s="67"/>
      <c r="V407" s="67"/>
      <c r="W407" s="67"/>
      <c r="X407" s="68"/>
      <c r="AD407" s="65"/>
      <c r="AG407" s="65"/>
      <c r="AJ407" s="65"/>
      <c r="AK407" s="65"/>
      <c r="AL407" s="68"/>
      <c r="AO407" s="65"/>
      <c r="AR407" s="65"/>
      <c r="AU407" s="65"/>
      <c r="AV407" s="65"/>
      <c r="AW407" s="68"/>
    </row>
    <row r="408" ht="15.75" customHeight="1">
      <c r="A408" s="64"/>
      <c r="B408" s="64"/>
      <c r="E408" s="65"/>
      <c r="F408" s="68"/>
      <c r="G408" s="65"/>
      <c r="H408" s="65"/>
      <c r="I408" s="68"/>
      <c r="J408" s="65"/>
      <c r="K408" s="65"/>
      <c r="L408" s="65"/>
      <c r="M408" s="68"/>
      <c r="P408" s="67"/>
      <c r="S408" s="67"/>
      <c r="V408" s="67"/>
      <c r="W408" s="67"/>
      <c r="X408" s="68"/>
      <c r="AD408" s="65"/>
      <c r="AG408" s="65"/>
      <c r="AJ408" s="65"/>
      <c r="AK408" s="65"/>
      <c r="AL408" s="68"/>
      <c r="AO408" s="65"/>
      <c r="AR408" s="65"/>
      <c r="AU408" s="65"/>
      <c r="AV408" s="65"/>
      <c r="AW408" s="68"/>
    </row>
    <row r="409" ht="15.75" customHeight="1">
      <c r="A409" s="64"/>
      <c r="B409" s="64"/>
      <c r="E409" s="65"/>
      <c r="F409" s="68"/>
      <c r="G409" s="65"/>
      <c r="H409" s="65"/>
      <c r="I409" s="68"/>
      <c r="J409" s="65"/>
      <c r="K409" s="65"/>
      <c r="L409" s="65"/>
      <c r="M409" s="68"/>
      <c r="P409" s="67"/>
      <c r="S409" s="67"/>
      <c r="V409" s="67"/>
      <c r="W409" s="67"/>
      <c r="X409" s="68"/>
      <c r="AD409" s="65"/>
      <c r="AG409" s="65"/>
      <c r="AJ409" s="65"/>
      <c r="AK409" s="65"/>
      <c r="AL409" s="68"/>
      <c r="AO409" s="65"/>
      <c r="AR409" s="65"/>
      <c r="AU409" s="65"/>
      <c r="AV409" s="65"/>
      <c r="AW409" s="68"/>
    </row>
    <row r="410" ht="15.75" customHeight="1">
      <c r="A410" s="64"/>
      <c r="B410" s="64"/>
      <c r="E410" s="65"/>
      <c r="F410" s="68"/>
      <c r="G410" s="65"/>
      <c r="H410" s="65"/>
      <c r="I410" s="68"/>
      <c r="J410" s="65"/>
      <c r="K410" s="65"/>
      <c r="L410" s="65"/>
      <c r="M410" s="68"/>
      <c r="P410" s="67"/>
      <c r="S410" s="67"/>
      <c r="V410" s="67"/>
      <c r="W410" s="67"/>
      <c r="X410" s="68"/>
      <c r="AD410" s="65"/>
      <c r="AG410" s="65"/>
      <c r="AJ410" s="65"/>
      <c r="AK410" s="65"/>
      <c r="AL410" s="68"/>
      <c r="AO410" s="65"/>
      <c r="AR410" s="65"/>
      <c r="AU410" s="65"/>
      <c r="AV410" s="65"/>
      <c r="AW410" s="68"/>
    </row>
    <row r="411" ht="15.75" customHeight="1">
      <c r="A411" s="64"/>
      <c r="B411" s="64"/>
      <c r="E411" s="65"/>
      <c r="F411" s="68"/>
      <c r="G411" s="65"/>
      <c r="H411" s="65"/>
      <c r="I411" s="68"/>
      <c r="J411" s="65"/>
      <c r="K411" s="65"/>
      <c r="L411" s="65"/>
      <c r="M411" s="68"/>
      <c r="P411" s="67"/>
      <c r="S411" s="67"/>
      <c r="V411" s="67"/>
      <c r="W411" s="67"/>
      <c r="X411" s="68"/>
      <c r="AD411" s="65"/>
      <c r="AG411" s="65"/>
      <c r="AJ411" s="65"/>
      <c r="AK411" s="65"/>
      <c r="AL411" s="68"/>
      <c r="AO411" s="65"/>
      <c r="AR411" s="65"/>
      <c r="AU411" s="65"/>
      <c r="AV411" s="65"/>
      <c r="AW411" s="68"/>
    </row>
    <row r="412" ht="15.75" customHeight="1">
      <c r="A412" s="64"/>
      <c r="B412" s="64"/>
      <c r="E412" s="65"/>
      <c r="F412" s="68"/>
      <c r="G412" s="65"/>
      <c r="H412" s="65"/>
      <c r="I412" s="68"/>
      <c r="J412" s="65"/>
      <c r="K412" s="65"/>
      <c r="L412" s="65"/>
      <c r="M412" s="68"/>
      <c r="P412" s="67"/>
      <c r="S412" s="67"/>
      <c r="V412" s="67"/>
      <c r="W412" s="67"/>
      <c r="X412" s="68"/>
      <c r="AD412" s="65"/>
      <c r="AG412" s="65"/>
      <c r="AJ412" s="65"/>
      <c r="AK412" s="65"/>
      <c r="AL412" s="68"/>
      <c r="AO412" s="65"/>
      <c r="AR412" s="65"/>
      <c r="AU412" s="65"/>
      <c r="AV412" s="65"/>
      <c r="AW412" s="68"/>
    </row>
    <row r="413" ht="15.75" customHeight="1">
      <c r="A413" s="64"/>
      <c r="B413" s="64"/>
      <c r="E413" s="65"/>
      <c r="F413" s="68"/>
      <c r="G413" s="65"/>
      <c r="H413" s="65"/>
      <c r="I413" s="68"/>
      <c r="J413" s="65"/>
      <c r="K413" s="65"/>
      <c r="L413" s="65"/>
      <c r="M413" s="68"/>
      <c r="P413" s="67"/>
      <c r="S413" s="67"/>
      <c r="V413" s="67"/>
      <c r="W413" s="67"/>
      <c r="X413" s="68"/>
      <c r="AD413" s="65"/>
      <c r="AG413" s="65"/>
      <c r="AJ413" s="65"/>
      <c r="AK413" s="65"/>
      <c r="AL413" s="68"/>
      <c r="AO413" s="65"/>
      <c r="AR413" s="65"/>
      <c r="AU413" s="65"/>
      <c r="AV413" s="65"/>
      <c r="AW413" s="68"/>
    </row>
    <row r="414" ht="15.75" customHeight="1">
      <c r="A414" s="64"/>
      <c r="B414" s="64"/>
      <c r="E414" s="65"/>
      <c r="F414" s="68"/>
      <c r="G414" s="65"/>
      <c r="H414" s="65"/>
      <c r="I414" s="68"/>
      <c r="J414" s="65"/>
      <c r="K414" s="65"/>
      <c r="L414" s="65"/>
      <c r="M414" s="68"/>
      <c r="P414" s="67"/>
      <c r="S414" s="67"/>
      <c r="V414" s="67"/>
      <c r="W414" s="67"/>
      <c r="X414" s="68"/>
      <c r="AD414" s="65"/>
      <c r="AG414" s="65"/>
      <c r="AJ414" s="65"/>
      <c r="AK414" s="65"/>
      <c r="AL414" s="68"/>
      <c r="AO414" s="65"/>
      <c r="AR414" s="65"/>
      <c r="AU414" s="65"/>
      <c r="AV414" s="65"/>
      <c r="AW414" s="68"/>
    </row>
    <row r="415" ht="15.75" customHeight="1">
      <c r="A415" s="64"/>
      <c r="B415" s="64"/>
      <c r="E415" s="65"/>
      <c r="F415" s="68"/>
      <c r="G415" s="65"/>
      <c r="H415" s="65"/>
      <c r="I415" s="68"/>
      <c r="J415" s="65"/>
      <c r="K415" s="65"/>
      <c r="L415" s="65"/>
      <c r="M415" s="68"/>
      <c r="P415" s="67"/>
      <c r="S415" s="67"/>
      <c r="V415" s="67"/>
      <c r="W415" s="67"/>
      <c r="X415" s="68"/>
      <c r="AD415" s="65"/>
      <c r="AG415" s="65"/>
      <c r="AJ415" s="65"/>
      <c r="AK415" s="65"/>
      <c r="AL415" s="68"/>
      <c r="AO415" s="65"/>
      <c r="AR415" s="65"/>
      <c r="AU415" s="65"/>
      <c r="AV415" s="65"/>
      <c r="AW415" s="68"/>
    </row>
    <row r="416" ht="15.75" customHeight="1">
      <c r="A416" s="64"/>
      <c r="B416" s="64"/>
      <c r="E416" s="65"/>
      <c r="F416" s="68"/>
      <c r="G416" s="65"/>
      <c r="H416" s="65"/>
      <c r="I416" s="68"/>
      <c r="J416" s="65"/>
      <c r="K416" s="65"/>
      <c r="L416" s="65"/>
      <c r="M416" s="68"/>
      <c r="P416" s="67"/>
      <c r="S416" s="67"/>
      <c r="V416" s="67"/>
      <c r="W416" s="67"/>
      <c r="X416" s="68"/>
      <c r="AD416" s="65"/>
      <c r="AG416" s="65"/>
      <c r="AJ416" s="65"/>
      <c r="AK416" s="65"/>
      <c r="AL416" s="68"/>
      <c r="AO416" s="65"/>
      <c r="AR416" s="65"/>
      <c r="AU416" s="65"/>
      <c r="AV416" s="65"/>
      <c r="AW416" s="68"/>
    </row>
    <row r="417" ht="15.75" customHeight="1">
      <c r="A417" s="64"/>
      <c r="B417" s="64"/>
      <c r="E417" s="65"/>
      <c r="F417" s="68"/>
      <c r="G417" s="65"/>
      <c r="H417" s="65"/>
      <c r="I417" s="68"/>
      <c r="J417" s="65"/>
      <c r="K417" s="65"/>
      <c r="L417" s="65"/>
      <c r="M417" s="68"/>
      <c r="P417" s="67"/>
      <c r="S417" s="67"/>
      <c r="V417" s="67"/>
      <c r="W417" s="67"/>
      <c r="X417" s="68"/>
      <c r="AD417" s="65"/>
      <c r="AG417" s="65"/>
      <c r="AJ417" s="65"/>
      <c r="AK417" s="65"/>
      <c r="AL417" s="68"/>
      <c r="AO417" s="65"/>
      <c r="AR417" s="65"/>
      <c r="AU417" s="65"/>
      <c r="AV417" s="65"/>
      <c r="AW417" s="68"/>
    </row>
    <row r="418" ht="15.75" customHeight="1">
      <c r="A418" s="64"/>
      <c r="B418" s="64"/>
      <c r="E418" s="65"/>
      <c r="F418" s="68"/>
      <c r="G418" s="65"/>
      <c r="H418" s="65"/>
      <c r="I418" s="68"/>
      <c r="J418" s="65"/>
      <c r="K418" s="65"/>
      <c r="L418" s="65"/>
      <c r="M418" s="68"/>
      <c r="P418" s="67"/>
      <c r="S418" s="67"/>
      <c r="V418" s="67"/>
      <c r="W418" s="67"/>
      <c r="X418" s="68"/>
      <c r="AD418" s="65"/>
      <c r="AG418" s="65"/>
      <c r="AJ418" s="65"/>
      <c r="AK418" s="65"/>
      <c r="AL418" s="68"/>
      <c r="AO418" s="65"/>
      <c r="AR418" s="65"/>
      <c r="AU418" s="65"/>
      <c r="AV418" s="65"/>
      <c r="AW418" s="68"/>
    </row>
    <row r="419" ht="15.75" customHeight="1">
      <c r="A419" s="64"/>
      <c r="B419" s="64"/>
      <c r="E419" s="65"/>
      <c r="F419" s="68"/>
      <c r="G419" s="65"/>
      <c r="H419" s="65"/>
      <c r="I419" s="68"/>
      <c r="J419" s="65"/>
      <c r="K419" s="65"/>
      <c r="L419" s="65"/>
      <c r="M419" s="68"/>
      <c r="P419" s="67"/>
      <c r="S419" s="67"/>
      <c r="V419" s="67"/>
      <c r="W419" s="67"/>
      <c r="X419" s="68"/>
      <c r="AD419" s="65"/>
      <c r="AG419" s="65"/>
      <c r="AJ419" s="65"/>
      <c r="AK419" s="65"/>
      <c r="AL419" s="68"/>
      <c r="AO419" s="65"/>
      <c r="AR419" s="65"/>
      <c r="AU419" s="65"/>
      <c r="AV419" s="65"/>
      <c r="AW419" s="68"/>
    </row>
    <row r="420" ht="15.75" customHeight="1">
      <c r="A420" s="64"/>
      <c r="B420" s="64"/>
      <c r="E420" s="65"/>
      <c r="F420" s="68"/>
      <c r="G420" s="65"/>
      <c r="H420" s="65"/>
      <c r="I420" s="68"/>
      <c r="J420" s="65"/>
      <c r="K420" s="65"/>
      <c r="L420" s="65"/>
      <c r="M420" s="68"/>
      <c r="P420" s="67"/>
      <c r="S420" s="67"/>
      <c r="V420" s="67"/>
      <c r="W420" s="67"/>
      <c r="X420" s="68"/>
      <c r="AD420" s="65"/>
      <c r="AG420" s="65"/>
      <c r="AJ420" s="65"/>
      <c r="AK420" s="65"/>
      <c r="AL420" s="68"/>
      <c r="AO420" s="65"/>
      <c r="AR420" s="65"/>
      <c r="AU420" s="65"/>
      <c r="AV420" s="65"/>
      <c r="AW420" s="68"/>
    </row>
    <row r="421" ht="15.75" customHeight="1">
      <c r="A421" s="64"/>
      <c r="B421" s="64"/>
      <c r="E421" s="65"/>
      <c r="F421" s="68"/>
      <c r="G421" s="65"/>
      <c r="H421" s="65"/>
      <c r="I421" s="68"/>
      <c r="J421" s="65"/>
      <c r="K421" s="65"/>
      <c r="L421" s="65"/>
      <c r="M421" s="68"/>
      <c r="P421" s="67"/>
      <c r="S421" s="67"/>
      <c r="V421" s="67"/>
      <c r="W421" s="67"/>
      <c r="X421" s="68"/>
      <c r="AD421" s="65"/>
      <c r="AG421" s="65"/>
      <c r="AJ421" s="65"/>
      <c r="AK421" s="65"/>
      <c r="AL421" s="68"/>
      <c r="AO421" s="65"/>
      <c r="AR421" s="65"/>
      <c r="AU421" s="65"/>
      <c r="AV421" s="65"/>
      <c r="AW421" s="68"/>
    </row>
    <row r="422" ht="15.75" customHeight="1">
      <c r="A422" s="64"/>
      <c r="B422" s="64"/>
      <c r="E422" s="65"/>
      <c r="F422" s="68"/>
      <c r="G422" s="65"/>
      <c r="H422" s="65"/>
      <c r="I422" s="68"/>
      <c r="J422" s="65"/>
      <c r="K422" s="65"/>
      <c r="L422" s="65"/>
      <c r="M422" s="68"/>
      <c r="P422" s="67"/>
      <c r="S422" s="67"/>
      <c r="V422" s="67"/>
      <c r="W422" s="67"/>
      <c r="X422" s="68"/>
      <c r="AD422" s="65"/>
      <c r="AG422" s="65"/>
      <c r="AJ422" s="65"/>
      <c r="AK422" s="65"/>
      <c r="AL422" s="68"/>
      <c r="AO422" s="65"/>
      <c r="AR422" s="65"/>
      <c r="AU422" s="65"/>
      <c r="AV422" s="65"/>
      <c r="AW422" s="68"/>
    </row>
    <row r="423" ht="15.75" customHeight="1">
      <c r="A423" s="64"/>
      <c r="B423" s="64"/>
      <c r="E423" s="65"/>
      <c r="F423" s="68"/>
      <c r="G423" s="65"/>
      <c r="H423" s="65"/>
      <c r="I423" s="68"/>
      <c r="J423" s="65"/>
      <c r="K423" s="65"/>
      <c r="L423" s="65"/>
      <c r="M423" s="68"/>
      <c r="P423" s="67"/>
      <c r="S423" s="67"/>
      <c r="V423" s="67"/>
      <c r="W423" s="67"/>
      <c r="X423" s="68"/>
      <c r="AD423" s="65"/>
      <c r="AG423" s="65"/>
      <c r="AJ423" s="65"/>
      <c r="AK423" s="65"/>
      <c r="AL423" s="68"/>
      <c r="AO423" s="65"/>
      <c r="AR423" s="65"/>
      <c r="AU423" s="65"/>
      <c r="AV423" s="65"/>
      <c r="AW423" s="68"/>
    </row>
    <row r="424" ht="15.75" customHeight="1">
      <c r="A424" s="64"/>
      <c r="B424" s="64"/>
      <c r="E424" s="65"/>
      <c r="F424" s="68"/>
      <c r="G424" s="65"/>
      <c r="H424" s="65"/>
      <c r="I424" s="68"/>
      <c r="J424" s="65"/>
      <c r="K424" s="65"/>
      <c r="L424" s="65"/>
      <c r="M424" s="68"/>
      <c r="P424" s="67"/>
      <c r="S424" s="67"/>
      <c r="V424" s="67"/>
      <c r="W424" s="67"/>
      <c r="X424" s="68"/>
      <c r="AD424" s="65"/>
      <c r="AG424" s="65"/>
      <c r="AJ424" s="65"/>
      <c r="AK424" s="65"/>
      <c r="AL424" s="68"/>
      <c r="AO424" s="65"/>
      <c r="AR424" s="65"/>
      <c r="AU424" s="65"/>
      <c r="AV424" s="65"/>
      <c r="AW424" s="68"/>
    </row>
    <row r="425" ht="15.75" customHeight="1">
      <c r="A425" s="64"/>
      <c r="B425" s="64"/>
      <c r="E425" s="65"/>
      <c r="F425" s="68"/>
      <c r="G425" s="65"/>
      <c r="H425" s="65"/>
      <c r="I425" s="68"/>
      <c r="J425" s="65"/>
      <c r="K425" s="65"/>
      <c r="L425" s="65"/>
      <c r="M425" s="68"/>
      <c r="P425" s="67"/>
      <c r="S425" s="67"/>
      <c r="V425" s="67"/>
      <c r="W425" s="67"/>
      <c r="X425" s="68"/>
      <c r="AD425" s="65"/>
      <c r="AG425" s="65"/>
      <c r="AJ425" s="65"/>
      <c r="AK425" s="65"/>
      <c r="AL425" s="68"/>
      <c r="AO425" s="65"/>
      <c r="AR425" s="65"/>
      <c r="AU425" s="65"/>
      <c r="AV425" s="65"/>
      <c r="AW425" s="68"/>
    </row>
    <row r="426" ht="15.75" customHeight="1">
      <c r="A426" s="64"/>
      <c r="B426" s="64"/>
      <c r="E426" s="65"/>
      <c r="F426" s="68"/>
      <c r="G426" s="65"/>
      <c r="H426" s="65"/>
      <c r="I426" s="68"/>
      <c r="J426" s="65"/>
      <c r="K426" s="65"/>
      <c r="L426" s="65"/>
      <c r="M426" s="68"/>
      <c r="P426" s="67"/>
      <c r="S426" s="67"/>
      <c r="V426" s="67"/>
      <c r="W426" s="67"/>
      <c r="X426" s="68"/>
      <c r="AD426" s="65"/>
      <c r="AG426" s="65"/>
      <c r="AJ426" s="65"/>
      <c r="AK426" s="65"/>
      <c r="AL426" s="68"/>
      <c r="AO426" s="65"/>
      <c r="AR426" s="65"/>
      <c r="AU426" s="65"/>
      <c r="AV426" s="65"/>
      <c r="AW426" s="68"/>
    </row>
    <row r="427" ht="15.75" customHeight="1">
      <c r="A427" s="64"/>
      <c r="B427" s="64"/>
      <c r="E427" s="65"/>
      <c r="F427" s="68"/>
      <c r="G427" s="65"/>
      <c r="H427" s="65"/>
      <c r="I427" s="68"/>
      <c r="J427" s="65"/>
      <c r="K427" s="65"/>
      <c r="L427" s="65"/>
      <c r="M427" s="68"/>
      <c r="P427" s="67"/>
      <c r="S427" s="67"/>
      <c r="V427" s="67"/>
      <c r="W427" s="67"/>
      <c r="X427" s="68"/>
      <c r="AD427" s="65"/>
      <c r="AG427" s="65"/>
      <c r="AJ427" s="65"/>
      <c r="AK427" s="65"/>
      <c r="AL427" s="68"/>
      <c r="AO427" s="65"/>
      <c r="AR427" s="65"/>
      <c r="AU427" s="65"/>
      <c r="AV427" s="65"/>
      <c r="AW427" s="68"/>
    </row>
    <row r="428" ht="15.75" customHeight="1">
      <c r="A428" s="64"/>
      <c r="B428" s="64"/>
      <c r="E428" s="65"/>
      <c r="F428" s="68"/>
      <c r="G428" s="65"/>
      <c r="H428" s="65"/>
      <c r="I428" s="68"/>
      <c r="J428" s="65"/>
      <c r="K428" s="65"/>
      <c r="L428" s="65"/>
      <c r="M428" s="68"/>
      <c r="P428" s="67"/>
      <c r="S428" s="67"/>
      <c r="V428" s="67"/>
      <c r="W428" s="67"/>
      <c r="X428" s="68"/>
      <c r="AD428" s="65"/>
      <c r="AG428" s="65"/>
      <c r="AJ428" s="65"/>
      <c r="AK428" s="65"/>
      <c r="AL428" s="68"/>
      <c r="AO428" s="65"/>
      <c r="AR428" s="65"/>
      <c r="AU428" s="65"/>
      <c r="AV428" s="65"/>
      <c r="AW428" s="68"/>
    </row>
    <row r="429" ht="15.75" customHeight="1">
      <c r="A429" s="64"/>
      <c r="B429" s="64"/>
      <c r="E429" s="65"/>
      <c r="F429" s="68"/>
      <c r="G429" s="65"/>
      <c r="H429" s="65"/>
      <c r="I429" s="68"/>
      <c r="J429" s="65"/>
      <c r="K429" s="65"/>
      <c r="L429" s="65"/>
      <c r="M429" s="68"/>
      <c r="P429" s="67"/>
      <c r="S429" s="67"/>
      <c r="V429" s="67"/>
      <c r="W429" s="67"/>
      <c r="X429" s="68"/>
      <c r="AD429" s="65"/>
      <c r="AG429" s="65"/>
      <c r="AJ429" s="65"/>
      <c r="AK429" s="65"/>
      <c r="AL429" s="68"/>
      <c r="AO429" s="65"/>
      <c r="AR429" s="65"/>
      <c r="AU429" s="65"/>
      <c r="AV429" s="65"/>
      <c r="AW429" s="68"/>
    </row>
    <row r="430" ht="15.75" customHeight="1">
      <c r="A430" s="64"/>
      <c r="B430" s="64"/>
      <c r="E430" s="65"/>
      <c r="F430" s="68"/>
      <c r="G430" s="65"/>
      <c r="H430" s="65"/>
      <c r="I430" s="68"/>
      <c r="J430" s="65"/>
      <c r="K430" s="65"/>
      <c r="L430" s="65"/>
      <c r="M430" s="68"/>
      <c r="P430" s="67"/>
      <c r="S430" s="67"/>
      <c r="V430" s="67"/>
      <c r="W430" s="67"/>
      <c r="X430" s="68"/>
      <c r="AD430" s="65"/>
      <c r="AG430" s="65"/>
      <c r="AJ430" s="65"/>
      <c r="AK430" s="65"/>
      <c r="AL430" s="68"/>
      <c r="AO430" s="65"/>
      <c r="AR430" s="65"/>
      <c r="AU430" s="65"/>
      <c r="AV430" s="65"/>
      <c r="AW430" s="68"/>
    </row>
    <row r="431" ht="15.75" customHeight="1">
      <c r="A431" s="64"/>
      <c r="B431" s="64"/>
      <c r="E431" s="65"/>
      <c r="F431" s="68"/>
      <c r="G431" s="65"/>
      <c r="H431" s="65"/>
      <c r="I431" s="68"/>
      <c r="J431" s="65"/>
      <c r="K431" s="65"/>
      <c r="L431" s="65"/>
      <c r="M431" s="68"/>
      <c r="P431" s="67"/>
      <c r="S431" s="67"/>
      <c r="V431" s="67"/>
      <c r="W431" s="67"/>
      <c r="X431" s="68"/>
      <c r="AD431" s="65"/>
      <c r="AG431" s="65"/>
      <c r="AJ431" s="65"/>
      <c r="AK431" s="65"/>
      <c r="AL431" s="68"/>
      <c r="AO431" s="65"/>
      <c r="AR431" s="65"/>
      <c r="AU431" s="65"/>
      <c r="AV431" s="65"/>
      <c r="AW431" s="68"/>
    </row>
    <row r="432" ht="15.75" customHeight="1">
      <c r="A432" s="64"/>
      <c r="B432" s="64"/>
      <c r="E432" s="65"/>
      <c r="F432" s="68"/>
      <c r="G432" s="65"/>
      <c r="H432" s="65"/>
      <c r="I432" s="68"/>
      <c r="J432" s="65"/>
      <c r="K432" s="65"/>
      <c r="L432" s="65"/>
      <c r="M432" s="68"/>
      <c r="P432" s="67"/>
      <c r="S432" s="67"/>
      <c r="V432" s="67"/>
      <c r="W432" s="67"/>
      <c r="X432" s="68"/>
      <c r="AD432" s="65"/>
      <c r="AG432" s="65"/>
      <c r="AJ432" s="65"/>
      <c r="AK432" s="65"/>
      <c r="AL432" s="68"/>
      <c r="AO432" s="65"/>
      <c r="AR432" s="65"/>
      <c r="AU432" s="65"/>
      <c r="AV432" s="65"/>
      <c r="AW432" s="68"/>
    </row>
    <row r="433" ht="15.75" customHeight="1">
      <c r="A433" s="64"/>
      <c r="B433" s="64"/>
      <c r="E433" s="65"/>
      <c r="F433" s="68"/>
      <c r="G433" s="65"/>
      <c r="H433" s="65"/>
      <c r="I433" s="68"/>
      <c r="J433" s="65"/>
      <c r="K433" s="65"/>
      <c r="L433" s="65"/>
      <c r="M433" s="68"/>
      <c r="P433" s="67"/>
      <c r="S433" s="67"/>
      <c r="V433" s="67"/>
      <c r="W433" s="67"/>
      <c r="X433" s="68"/>
      <c r="AD433" s="65"/>
      <c r="AG433" s="65"/>
      <c r="AJ433" s="65"/>
      <c r="AK433" s="65"/>
      <c r="AL433" s="68"/>
      <c r="AO433" s="65"/>
      <c r="AR433" s="65"/>
      <c r="AU433" s="65"/>
      <c r="AV433" s="65"/>
      <c r="AW433" s="68"/>
    </row>
    <row r="434" ht="15.75" customHeight="1">
      <c r="A434" s="64"/>
      <c r="B434" s="64"/>
      <c r="E434" s="65"/>
      <c r="F434" s="68"/>
      <c r="G434" s="65"/>
      <c r="H434" s="65"/>
      <c r="I434" s="68"/>
      <c r="J434" s="65"/>
      <c r="K434" s="65"/>
      <c r="L434" s="65"/>
      <c r="M434" s="68"/>
      <c r="P434" s="67"/>
      <c r="S434" s="67"/>
      <c r="V434" s="67"/>
      <c r="W434" s="67"/>
      <c r="X434" s="68"/>
      <c r="AD434" s="65"/>
      <c r="AG434" s="65"/>
      <c r="AJ434" s="65"/>
      <c r="AK434" s="65"/>
      <c r="AL434" s="68"/>
      <c r="AO434" s="65"/>
      <c r="AR434" s="65"/>
      <c r="AU434" s="65"/>
      <c r="AV434" s="65"/>
      <c r="AW434" s="68"/>
    </row>
    <row r="435" ht="15.75" customHeight="1">
      <c r="A435" s="64"/>
      <c r="B435" s="64"/>
      <c r="E435" s="65"/>
      <c r="F435" s="68"/>
      <c r="G435" s="65"/>
      <c r="H435" s="65"/>
      <c r="I435" s="68"/>
      <c r="J435" s="65"/>
      <c r="K435" s="65"/>
      <c r="L435" s="65"/>
      <c r="M435" s="68"/>
      <c r="P435" s="67"/>
      <c r="S435" s="67"/>
      <c r="V435" s="67"/>
      <c r="W435" s="67"/>
      <c r="X435" s="68"/>
      <c r="AD435" s="65"/>
      <c r="AG435" s="65"/>
      <c r="AJ435" s="65"/>
      <c r="AK435" s="65"/>
      <c r="AL435" s="68"/>
      <c r="AO435" s="65"/>
      <c r="AR435" s="65"/>
      <c r="AU435" s="65"/>
      <c r="AV435" s="65"/>
      <c r="AW435" s="68"/>
    </row>
    <row r="436" ht="15.75" customHeight="1">
      <c r="A436" s="64"/>
      <c r="B436" s="64"/>
      <c r="E436" s="65"/>
      <c r="F436" s="68"/>
      <c r="G436" s="65"/>
      <c r="H436" s="65"/>
      <c r="I436" s="68"/>
      <c r="J436" s="65"/>
      <c r="K436" s="65"/>
      <c r="L436" s="65"/>
      <c r="M436" s="68"/>
      <c r="P436" s="67"/>
      <c r="S436" s="67"/>
      <c r="V436" s="67"/>
      <c r="W436" s="67"/>
      <c r="X436" s="68"/>
      <c r="AD436" s="65"/>
      <c r="AG436" s="65"/>
      <c r="AJ436" s="65"/>
      <c r="AK436" s="65"/>
      <c r="AL436" s="68"/>
      <c r="AO436" s="65"/>
      <c r="AR436" s="65"/>
      <c r="AU436" s="65"/>
      <c r="AV436" s="65"/>
      <c r="AW436" s="68"/>
    </row>
    <row r="437" ht="15.75" customHeight="1">
      <c r="A437" s="64"/>
      <c r="B437" s="64"/>
      <c r="E437" s="65"/>
      <c r="F437" s="68"/>
      <c r="G437" s="65"/>
      <c r="H437" s="65"/>
      <c r="I437" s="68"/>
      <c r="J437" s="65"/>
      <c r="K437" s="65"/>
      <c r="L437" s="65"/>
      <c r="M437" s="68"/>
      <c r="P437" s="67"/>
      <c r="S437" s="67"/>
      <c r="V437" s="67"/>
      <c r="W437" s="67"/>
      <c r="X437" s="68"/>
      <c r="AD437" s="65"/>
      <c r="AG437" s="65"/>
      <c r="AJ437" s="65"/>
      <c r="AK437" s="65"/>
      <c r="AL437" s="68"/>
      <c r="AO437" s="65"/>
      <c r="AR437" s="65"/>
      <c r="AU437" s="65"/>
      <c r="AV437" s="65"/>
      <c r="AW437" s="68"/>
    </row>
    <row r="438" ht="15.75" customHeight="1">
      <c r="A438" s="64"/>
      <c r="B438" s="64"/>
      <c r="E438" s="65"/>
      <c r="F438" s="68"/>
      <c r="G438" s="65"/>
      <c r="H438" s="65"/>
      <c r="I438" s="68"/>
      <c r="J438" s="65"/>
      <c r="K438" s="65"/>
      <c r="L438" s="65"/>
      <c r="M438" s="68"/>
      <c r="P438" s="67"/>
      <c r="S438" s="67"/>
      <c r="V438" s="67"/>
      <c r="W438" s="67"/>
      <c r="X438" s="68"/>
      <c r="AD438" s="65"/>
      <c r="AG438" s="65"/>
      <c r="AJ438" s="65"/>
      <c r="AK438" s="65"/>
      <c r="AL438" s="68"/>
      <c r="AO438" s="65"/>
      <c r="AR438" s="65"/>
      <c r="AU438" s="65"/>
      <c r="AV438" s="65"/>
      <c r="AW438" s="68"/>
    </row>
    <row r="439" ht="15.75" customHeight="1">
      <c r="A439" s="64"/>
      <c r="B439" s="64"/>
      <c r="E439" s="65"/>
      <c r="F439" s="68"/>
      <c r="G439" s="65"/>
      <c r="H439" s="65"/>
      <c r="I439" s="68"/>
      <c r="J439" s="65"/>
      <c r="K439" s="65"/>
      <c r="L439" s="65"/>
      <c r="M439" s="68"/>
      <c r="P439" s="67"/>
      <c r="S439" s="67"/>
      <c r="V439" s="67"/>
      <c r="W439" s="67"/>
      <c r="X439" s="68"/>
      <c r="AD439" s="65"/>
      <c r="AG439" s="65"/>
      <c r="AJ439" s="65"/>
      <c r="AK439" s="65"/>
      <c r="AL439" s="68"/>
      <c r="AO439" s="65"/>
      <c r="AR439" s="65"/>
      <c r="AU439" s="65"/>
      <c r="AV439" s="65"/>
      <c r="AW439" s="68"/>
    </row>
    <row r="440" ht="15.75" customHeight="1">
      <c r="A440" s="64"/>
      <c r="B440" s="64"/>
      <c r="E440" s="65"/>
      <c r="F440" s="68"/>
      <c r="G440" s="65"/>
      <c r="H440" s="65"/>
      <c r="I440" s="68"/>
      <c r="J440" s="65"/>
      <c r="K440" s="65"/>
      <c r="L440" s="65"/>
      <c r="M440" s="68"/>
      <c r="P440" s="67"/>
      <c r="S440" s="67"/>
      <c r="V440" s="67"/>
      <c r="W440" s="67"/>
      <c r="X440" s="68"/>
      <c r="AD440" s="65"/>
      <c r="AG440" s="65"/>
      <c r="AJ440" s="65"/>
      <c r="AK440" s="65"/>
      <c r="AL440" s="68"/>
      <c r="AO440" s="65"/>
      <c r="AR440" s="65"/>
      <c r="AU440" s="65"/>
      <c r="AV440" s="65"/>
      <c r="AW440" s="68"/>
    </row>
    <row r="441" ht="15.75" customHeight="1">
      <c r="A441" s="64"/>
      <c r="B441" s="64"/>
      <c r="E441" s="65"/>
      <c r="F441" s="68"/>
      <c r="G441" s="65"/>
      <c r="H441" s="65"/>
      <c r="I441" s="68"/>
      <c r="J441" s="65"/>
      <c r="K441" s="65"/>
      <c r="L441" s="65"/>
      <c r="M441" s="68"/>
      <c r="P441" s="67"/>
      <c r="S441" s="67"/>
      <c r="V441" s="67"/>
      <c r="W441" s="67"/>
      <c r="X441" s="68"/>
      <c r="AD441" s="65"/>
      <c r="AG441" s="65"/>
      <c r="AJ441" s="65"/>
      <c r="AK441" s="65"/>
      <c r="AL441" s="68"/>
      <c r="AO441" s="65"/>
      <c r="AR441" s="65"/>
      <c r="AU441" s="65"/>
      <c r="AV441" s="65"/>
      <c r="AW441" s="68"/>
    </row>
    <row r="442" ht="15.75" customHeight="1">
      <c r="A442" s="64"/>
      <c r="B442" s="64"/>
      <c r="E442" s="65"/>
      <c r="F442" s="68"/>
      <c r="G442" s="65"/>
      <c r="H442" s="65"/>
      <c r="I442" s="68"/>
      <c r="J442" s="65"/>
      <c r="K442" s="65"/>
      <c r="L442" s="65"/>
      <c r="M442" s="68"/>
      <c r="P442" s="67"/>
      <c r="S442" s="67"/>
      <c r="V442" s="67"/>
      <c r="W442" s="67"/>
      <c r="X442" s="68"/>
      <c r="AD442" s="65"/>
      <c r="AG442" s="65"/>
      <c r="AJ442" s="65"/>
      <c r="AK442" s="65"/>
      <c r="AL442" s="68"/>
      <c r="AO442" s="65"/>
      <c r="AR442" s="65"/>
      <c r="AU442" s="65"/>
      <c r="AV442" s="65"/>
      <c r="AW442" s="68"/>
    </row>
    <row r="443" ht="15.75" customHeight="1">
      <c r="A443" s="64"/>
      <c r="B443" s="64"/>
      <c r="E443" s="65"/>
      <c r="F443" s="68"/>
      <c r="G443" s="65"/>
      <c r="H443" s="65"/>
      <c r="I443" s="68"/>
      <c r="J443" s="65"/>
      <c r="K443" s="65"/>
      <c r="L443" s="65"/>
      <c r="M443" s="68"/>
      <c r="P443" s="67"/>
      <c r="S443" s="67"/>
      <c r="V443" s="67"/>
      <c r="W443" s="67"/>
      <c r="X443" s="68"/>
      <c r="AD443" s="65"/>
      <c r="AG443" s="65"/>
      <c r="AJ443" s="65"/>
      <c r="AK443" s="65"/>
      <c r="AL443" s="68"/>
      <c r="AO443" s="65"/>
      <c r="AR443" s="65"/>
      <c r="AU443" s="65"/>
      <c r="AV443" s="65"/>
      <c r="AW443" s="68"/>
    </row>
    <row r="444" ht="15.75" customHeight="1">
      <c r="A444" s="64"/>
      <c r="B444" s="64"/>
      <c r="E444" s="65"/>
      <c r="F444" s="68"/>
      <c r="G444" s="65"/>
      <c r="H444" s="65"/>
      <c r="I444" s="68"/>
      <c r="J444" s="65"/>
      <c r="K444" s="65"/>
      <c r="L444" s="65"/>
      <c r="M444" s="68"/>
      <c r="P444" s="67"/>
      <c r="S444" s="67"/>
      <c r="V444" s="67"/>
      <c r="W444" s="67"/>
      <c r="X444" s="68"/>
      <c r="AD444" s="65"/>
      <c r="AG444" s="65"/>
      <c r="AJ444" s="65"/>
      <c r="AK444" s="65"/>
      <c r="AL444" s="68"/>
      <c r="AO444" s="65"/>
      <c r="AR444" s="65"/>
      <c r="AU444" s="65"/>
      <c r="AV444" s="65"/>
      <c r="AW444" s="68"/>
    </row>
    <row r="445" ht="15.75" customHeight="1">
      <c r="A445" s="64"/>
      <c r="B445" s="64"/>
      <c r="E445" s="65"/>
      <c r="F445" s="68"/>
      <c r="G445" s="65"/>
      <c r="H445" s="65"/>
      <c r="I445" s="68"/>
      <c r="J445" s="65"/>
      <c r="K445" s="65"/>
      <c r="L445" s="65"/>
      <c r="M445" s="68"/>
      <c r="P445" s="67"/>
      <c r="S445" s="67"/>
      <c r="V445" s="67"/>
      <c r="W445" s="67"/>
      <c r="X445" s="68"/>
      <c r="AD445" s="65"/>
      <c r="AG445" s="65"/>
      <c r="AJ445" s="65"/>
      <c r="AK445" s="65"/>
      <c r="AL445" s="68"/>
      <c r="AO445" s="65"/>
      <c r="AR445" s="65"/>
      <c r="AU445" s="65"/>
      <c r="AV445" s="65"/>
      <c r="AW445" s="68"/>
    </row>
    <row r="446" ht="15.75" customHeight="1">
      <c r="A446" s="64"/>
      <c r="B446" s="64"/>
      <c r="E446" s="65"/>
      <c r="F446" s="68"/>
      <c r="G446" s="65"/>
      <c r="H446" s="65"/>
      <c r="I446" s="68"/>
      <c r="J446" s="65"/>
      <c r="K446" s="65"/>
      <c r="L446" s="65"/>
      <c r="M446" s="68"/>
      <c r="P446" s="67"/>
      <c r="S446" s="67"/>
      <c r="V446" s="67"/>
      <c r="W446" s="67"/>
      <c r="X446" s="68"/>
      <c r="AD446" s="65"/>
      <c r="AG446" s="65"/>
      <c r="AJ446" s="65"/>
      <c r="AK446" s="65"/>
      <c r="AL446" s="68"/>
      <c r="AO446" s="65"/>
      <c r="AR446" s="65"/>
      <c r="AU446" s="65"/>
      <c r="AV446" s="65"/>
      <c r="AW446" s="68"/>
    </row>
    <row r="447" ht="15.75" customHeight="1">
      <c r="A447" s="64"/>
      <c r="B447" s="64"/>
      <c r="E447" s="65"/>
      <c r="F447" s="68"/>
      <c r="G447" s="65"/>
      <c r="H447" s="65"/>
      <c r="I447" s="68"/>
      <c r="J447" s="65"/>
      <c r="K447" s="65"/>
      <c r="L447" s="65"/>
      <c r="M447" s="68"/>
      <c r="P447" s="67"/>
      <c r="S447" s="67"/>
      <c r="V447" s="67"/>
      <c r="W447" s="67"/>
      <c r="X447" s="68"/>
      <c r="AD447" s="65"/>
      <c r="AG447" s="65"/>
      <c r="AJ447" s="65"/>
      <c r="AK447" s="65"/>
      <c r="AL447" s="68"/>
      <c r="AO447" s="65"/>
      <c r="AR447" s="65"/>
      <c r="AU447" s="65"/>
      <c r="AV447" s="65"/>
      <c r="AW447" s="68"/>
    </row>
    <row r="448" ht="15.75" customHeight="1">
      <c r="A448" s="64"/>
      <c r="B448" s="64"/>
      <c r="E448" s="65"/>
      <c r="F448" s="68"/>
      <c r="G448" s="65"/>
      <c r="H448" s="65"/>
      <c r="I448" s="68"/>
      <c r="J448" s="65"/>
      <c r="K448" s="65"/>
      <c r="L448" s="65"/>
      <c r="M448" s="68"/>
      <c r="P448" s="67"/>
      <c r="S448" s="67"/>
      <c r="V448" s="67"/>
      <c r="W448" s="67"/>
      <c r="X448" s="68"/>
      <c r="AD448" s="65"/>
      <c r="AG448" s="65"/>
      <c r="AJ448" s="65"/>
      <c r="AK448" s="65"/>
      <c r="AL448" s="68"/>
      <c r="AO448" s="65"/>
      <c r="AR448" s="65"/>
      <c r="AU448" s="65"/>
      <c r="AV448" s="65"/>
      <c r="AW448" s="68"/>
    </row>
    <row r="449" ht="15.75" customHeight="1">
      <c r="A449" s="64"/>
      <c r="B449" s="64"/>
      <c r="E449" s="65"/>
      <c r="F449" s="68"/>
      <c r="G449" s="65"/>
      <c r="H449" s="65"/>
      <c r="I449" s="68"/>
      <c r="J449" s="65"/>
      <c r="K449" s="65"/>
      <c r="L449" s="65"/>
      <c r="M449" s="68"/>
      <c r="P449" s="67"/>
      <c r="S449" s="67"/>
      <c r="V449" s="67"/>
      <c r="W449" s="67"/>
      <c r="X449" s="68"/>
      <c r="AD449" s="65"/>
      <c r="AG449" s="65"/>
      <c r="AJ449" s="65"/>
      <c r="AK449" s="65"/>
      <c r="AL449" s="68"/>
      <c r="AO449" s="65"/>
      <c r="AR449" s="65"/>
      <c r="AU449" s="65"/>
      <c r="AV449" s="65"/>
      <c r="AW449" s="68"/>
    </row>
    <row r="450" ht="15.75" customHeight="1">
      <c r="A450" s="64"/>
      <c r="B450" s="64"/>
      <c r="E450" s="65"/>
      <c r="F450" s="68"/>
      <c r="G450" s="65"/>
      <c r="H450" s="65"/>
      <c r="I450" s="68"/>
      <c r="J450" s="65"/>
      <c r="K450" s="65"/>
      <c r="L450" s="65"/>
      <c r="M450" s="68"/>
      <c r="P450" s="67"/>
      <c r="S450" s="67"/>
      <c r="V450" s="67"/>
      <c r="W450" s="67"/>
      <c r="X450" s="68"/>
      <c r="AD450" s="65"/>
      <c r="AG450" s="65"/>
      <c r="AJ450" s="65"/>
      <c r="AK450" s="65"/>
      <c r="AL450" s="68"/>
      <c r="AO450" s="65"/>
      <c r="AR450" s="65"/>
      <c r="AU450" s="65"/>
      <c r="AV450" s="65"/>
      <c r="AW450" s="68"/>
    </row>
    <row r="451" ht="15.75" customHeight="1">
      <c r="A451" s="64"/>
      <c r="B451" s="64"/>
      <c r="E451" s="65"/>
      <c r="F451" s="68"/>
      <c r="G451" s="65"/>
      <c r="H451" s="65"/>
      <c r="I451" s="68"/>
      <c r="J451" s="65"/>
      <c r="K451" s="65"/>
      <c r="L451" s="65"/>
      <c r="M451" s="68"/>
      <c r="P451" s="67"/>
      <c r="S451" s="67"/>
      <c r="V451" s="67"/>
      <c r="W451" s="67"/>
      <c r="X451" s="68"/>
      <c r="AD451" s="65"/>
      <c r="AG451" s="65"/>
      <c r="AJ451" s="65"/>
      <c r="AK451" s="65"/>
      <c r="AL451" s="68"/>
      <c r="AO451" s="65"/>
      <c r="AR451" s="65"/>
      <c r="AU451" s="65"/>
      <c r="AV451" s="65"/>
      <c r="AW451" s="68"/>
    </row>
    <row r="452" ht="15.75" customHeight="1">
      <c r="A452" s="64"/>
      <c r="B452" s="64"/>
      <c r="E452" s="65"/>
      <c r="F452" s="68"/>
      <c r="G452" s="65"/>
      <c r="H452" s="65"/>
      <c r="I452" s="68"/>
      <c r="J452" s="65"/>
      <c r="K452" s="65"/>
      <c r="L452" s="65"/>
      <c r="M452" s="68"/>
      <c r="P452" s="67"/>
      <c r="S452" s="67"/>
      <c r="V452" s="67"/>
      <c r="W452" s="67"/>
      <c r="X452" s="68"/>
      <c r="AD452" s="65"/>
      <c r="AG452" s="65"/>
      <c r="AJ452" s="65"/>
      <c r="AK452" s="65"/>
      <c r="AL452" s="68"/>
      <c r="AO452" s="65"/>
      <c r="AR452" s="65"/>
      <c r="AU452" s="65"/>
      <c r="AV452" s="65"/>
      <c r="AW452" s="68"/>
    </row>
    <row r="453" ht="15.75" customHeight="1">
      <c r="A453" s="64"/>
      <c r="B453" s="64"/>
      <c r="E453" s="65"/>
      <c r="F453" s="68"/>
      <c r="G453" s="65"/>
      <c r="H453" s="65"/>
      <c r="I453" s="68"/>
      <c r="J453" s="65"/>
      <c r="K453" s="65"/>
      <c r="L453" s="65"/>
      <c r="M453" s="68"/>
      <c r="P453" s="67"/>
      <c r="S453" s="67"/>
      <c r="V453" s="67"/>
      <c r="W453" s="67"/>
      <c r="X453" s="68"/>
      <c r="AD453" s="65"/>
      <c r="AG453" s="65"/>
      <c r="AJ453" s="65"/>
      <c r="AK453" s="65"/>
      <c r="AL453" s="68"/>
      <c r="AO453" s="65"/>
      <c r="AR453" s="65"/>
      <c r="AU453" s="65"/>
      <c r="AV453" s="65"/>
      <c r="AW453" s="68"/>
    </row>
    <row r="454" ht="15.75" customHeight="1">
      <c r="A454" s="64"/>
      <c r="B454" s="64"/>
      <c r="E454" s="65"/>
      <c r="F454" s="68"/>
      <c r="G454" s="65"/>
      <c r="H454" s="65"/>
      <c r="I454" s="68"/>
      <c r="J454" s="65"/>
      <c r="K454" s="65"/>
      <c r="L454" s="65"/>
      <c r="M454" s="68"/>
      <c r="P454" s="67"/>
      <c r="S454" s="67"/>
      <c r="V454" s="67"/>
      <c r="W454" s="67"/>
      <c r="X454" s="68"/>
      <c r="AD454" s="65"/>
      <c r="AG454" s="65"/>
      <c r="AJ454" s="65"/>
      <c r="AK454" s="65"/>
      <c r="AL454" s="68"/>
      <c r="AO454" s="65"/>
      <c r="AR454" s="65"/>
      <c r="AU454" s="65"/>
      <c r="AV454" s="65"/>
      <c r="AW454" s="68"/>
    </row>
    <row r="455" ht="15.75" customHeight="1">
      <c r="A455" s="64"/>
      <c r="B455" s="64"/>
      <c r="E455" s="65"/>
      <c r="F455" s="68"/>
      <c r="G455" s="65"/>
      <c r="H455" s="65"/>
      <c r="I455" s="68"/>
      <c r="J455" s="65"/>
      <c r="K455" s="65"/>
      <c r="L455" s="65"/>
      <c r="M455" s="68"/>
      <c r="P455" s="67"/>
      <c r="S455" s="67"/>
      <c r="V455" s="67"/>
      <c r="W455" s="67"/>
      <c r="X455" s="68"/>
      <c r="AD455" s="65"/>
      <c r="AG455" s="65"/>
      <c r="AJ455" s="65"/>
      <c r="AK455" s="65"/>
      <c r="AL455" s="68"/>
      <c r="AO455" s="65"/>
      <c r="AR455" s="65"/>
      <c r="AU455" s="65"/>
      <c r="AV455" s="65"/>
      <c r="AW455" s="68"/>
    </row>
    <row r="456" ht="15.75" customHeight="1">
      <c r="A456" s="64"/>
      <c r="B456" s="64"/>
      <c r="E456" s="65"/>
      <c r="F456" s="68"/>
      <c r="G456" s="65"/>
      <c r="H456" s="65"/>
      <c r="I456" s="68"/>
      <c r="J456" s="65"/>
      <c r="K456" s="65"/>
      <c r="L456" s="65"/>
      <c r="M456" s="68"/>
      <c r="P456" s="67"/>
      <c r="S456" s="67"/>
      <c r="V456" s="67"/>
      <c r="W456" s="67"/>
      <c r="X456" s="68"/>
      <c r="AD456" s="65"/>
      <c r="AG456" s="65"/>
      <c r="AJ456" s="65"/>
      <c r="AK456" s="65"/>
      <c r="AL456" s="68"/>
      <c r="AO456" s="65"/>
      <c r="AR456" s="65"/>
      <c r="AU456" s="65"/>
      <c r="AV456" s="65"/>
      <c r="AW456" s="68"/>
    </row>
    <row r="457" ht="15.75" customHeight="1">
      <c r="A457" s="64"/>
      <c r="B457" s="64"/>
      <c r="E457" s="65"/>
      <c r="F457" s="68"/>
      <c r="G457" s="65"/>
      <c r="H457" s="65"/>
      <c r="I457" s="68"/>
      <c r="J457" s="65"/>
      <c r="K457" s="65"/>
      <c r="L457" s="65"/>
      <c r="M457" s="68"/>
      <c r="P457" s="67"/>
      <c r="S457" s="67"/>
      <c r="V457" s="67"/>
      <c r="W457" s="67"/>
      <c r="X457" s="68"/>
      <c r="AD457" s="65"/>
      <c r="AG457" s="65"/>
      <c r="AJ457" s="65"/>
      <c r="AK457" s="65"/>
      <c r="AL457" s="68"/>
      <c r="AO457" s="65"/>
      <c r="AR457" s="65"/>
      <c r="AU457" s="65"/>
      <c r="AV457" s="65"/>
      <c r="AW457" s="68"/>
    </row>
    <row r="458" ht="15.75" customHeight="1">
      <c r="A458" s="64"/>
      <c r="B458" s="64"/>
      <c r="E458" s="65"/>
      <c r="F458" s="68"/>
      <c r="G458" s="65"/>
      <c r="H458" s="65"/>
      <c r="I458" s="68"/>
      <c r="J458" s="65"/>
      <c r="K458" s="65"/>
      <c r="L458" s="65"/>
      <c r="M458" s="68"/>
      <c r="P458" s="67"/>
      <c r="S458" s="67"/>
      <c r="V458" s="67"/>
      <c r="W458" s="67"/>
      <c r="X458" s="68"/>
      <c r="AD458" s="65"/>
      <c r="AG458" s="65"/>
      <c r="AJ458" s="65"/>
      <c r="AK458" s="65"/>
      <c r="AL458" s="68"/>
      <c r="AO458" s="65"/>
      <c r="AR458" s="65"/>
      <c r="AU458" s="65"/>
      <c r="AV458" s="65"/>
      <c r="AW458" s="68"/>
    </row>
    <row r="459" ht="15.75" customHeight="1">
      <c r="A459" s="64"/>
      <c r="B459" s="64"/>
      <c r="E459" s="65"/>
      <c r="F459" s="68"/>
      <c r="G459" s="65"/>
      <c r="H459" s="65"/>
      <c r="I459" s="68"/>
      <c r="J459" s="65"/>
      <c r="K459" s="65"/>
      <c r="L459" s="65"/>
      <c r="M459" s="68"/>
      <c r="P459" s="67"/>
      <c r="S459" s="67"/>
      <c r="V459" s="67"/>
      <c r="W459" s="67"/>
      <c r="X459" s="68"/>
      <c r="AD459" s="65"/>
      <c r="AG459" s="65"/>
      <c r="AJ459" s="65"/>
      <c r="AK459" s="65"/>
      <c r="AL459" s="68"/>
      <c r="AO459" s="65"/>
      <c r="AR459" s="65"/>
      <c r="AU459" s="65"/>
      <c r="AV459" s="65"/>
      <c r="AW459" s="68"/>
    </row>
    <row r="460" ht="15.75" customHeight="1">
      <c r="A460" s="64"/>
      <c r="B460" s="64"/>
      <c r="E460" s="65"/>
      <c r="F460" s="68"/>
      <c r="G460" s="65"/>
      <c r="H460" s="65"/>
      <c r="I460" s="68"/>
      <c r="J460" s="65"/>
      <c r="K460" s="65"/>
      <c r="L460" s="65"/>
      <c r="M460" s="68"/>
      <c r="P460" s="67"/>
      <c r="S460" s="67"/>
      <c r="V460" s="67"/>
      <c r="W460" s="67"/>
      <c r="X460" s="68"/>
      <c r="AD460" s="65"/>
      <c r="AG460" s="65"/>
      <c r="AJ460" s="65"/>
      <c r="AK460" s="65"/>
      <c r="AL460" s="68"/>
      <c r="AO460" s="65"/>
      <c r="AR460" s="65"/>
      <c r="AU460" s="65"/>
      <c r="AV460" s="65"/>
      <c r="AW460" s="68"/>
    </row>
    <row r="461" ht="15.75" customHeight="1">
      <c r="A461" s="64"/>
      <c r="B461" s="64"/>
      <c r="E461" s="65"/>
      <c r="F461" s="68"/>
      <c r="G461" s="65"/>
      <c r="H461" s="65"/>
      <c r="I461" s="68"/>
      <c r="J461" s="65"/>
      <c r="K461" s="65"/>
      <c r="L461" s="65"/>
      <c r="M461" s="68"/>
      <c r="P461" s="67"/>
      <c r="S461" s="67"/>
      <c r="V461" s="67"/>
      <c r="W461" s="67"/>
      <c r="X461" s="68"/>
      <c r="AD461" s="65"/>
      <c r="AG461" s="65"/>
      <c r="AJ461" s="65"/>
      <c r="AK461" s="65"/>
      <c r="AL461" s="68"/>
      <c r="AO461" s="65"/>
      <c r="AR461" s="65"/>
      <c r="AU461" s="65"/>
      <c r="AV461" s="65"/>
      <c r="AW461" s="68"/>
    </row>
    <row r="462" ht="15.75" customHeight="1">
      <c r="A462" s="64"/>
      <c r="B462" s="64"/>
      <c r="E462" s="65"/>
      <c r="F462" s="68"/>
      <c r="G462" s="65"/>
      <c r="H462" s="65"/>
      <c r="I462" s="68"/>
      <c r="J462" s="65"/>
      <c r="K462" s="65"/>
      <c r="L462" s="65"/>
      <c r="M462" s="68"/>
      <c r="P462" s="67"/>
      <c r="S462" s="67"/>
      <c r="V462" s="67"/>
      <c r="W462" s="67"/>
      <c r="X462" s="68"/>
      <c r="AD462" s="65"/>
      <c r="AG462" s="65"/>
      <c r="AJ462" s="65"/>
      <c r="AK462" s="65"/>
      <c r="AL462" s="68"/>
      <c r="AO462" s="65"/>
      <c r="AR462" s="65"/>
      <c r="AU462" s="65"/>
      <c r="AV462" s="65"/>
      <c r="AW462" s="68"/>
    </row>
    <row r="463" ht="15.75" customHeight="1">
      <c r="A463" s="64"/>
      <c r="B463" s="64"/>
      <c r="E463" s="65"/>
      <c r="F463" s="68"/>
      <c r="G463" s="65"/>
      <c r="H463" s="65"/>
      <c r="I463" s="68"/>
      <c r="J463" s="65"/>
      <c r="K463" s="65"/>
      <c r="L463" s="65"/>
      <c r="M463" s="68"/>
      <c r="P463" s="67"/>
      <c r="S463" s="67"/>
      <c r="V463" s="67"/>
      <c r="W463" s="67"/>
      <c r="X463" s="68"/>
      <c r="AD463" s="65"/>
      <c r="AG463" s="65"/>
      <c r="AJ463" s="65"/>
      <c r="AK463" s="65"/>
      <c r="AL463" s="68"/>
      <c r="AO463" s="65"/>
      <c r="AR463" s="65"/>
      <c r="AU463" s="65"/>
      <c r="AV463" s="65"/>
      <c r="AW463" s="68"/>
    </row>
    <row r="464" ht="15.75" customHeight="1">
      <c r="A464" s="64"/>
      <c r="B464" s="64"/>
      <c r="E464" s="65"/>
      <c r="F464" s="68"/>
      <c r="G464" s="65"/>
      <c r="H464" s="65"/>
      <c r="I464" s="68"/>
      <c r="J464" s="65"/>
      <c r="K464" s="65"/>
      <c r="L464" s="65"/>
      <c r="M464" s="68"/>
      <c r="P464" s="67"/>
      <c r="S464" s="67"/>
      <c r="V464" s="67"/>
      <c r="W464" s="67"/>
      <c r="X464" s="68"/>
      <c r="AD464" s="65"/>
      <c r="AG464" s="65"/>
      <c r="AJ464" s="65"/>
      <c r="AK464" s="65"/>
      <c r="AL464" s="68"/>
      <c r="AO464" s="65"/>
      <c r="AR464" s="65"/>
      <c r="AU464" s="65"/>
      <c r="AV464" s="65"/>
      <c r="AW464" s="68"/>
    </row>
    <row r="465" ht="15.75" customHeight="1">
      <c r="A465" s="64"/>
      <c r="B465" s="64"/>
      <c r="E465" s="65"/>
      <c r="F465" s="68"/>
      <c r="G465" s="65"/>
      <c r="H465" s="65"/>
      <c r="I465" s="68"/>
      <c r="J465" s="65"/>
      <c r="K465" s="65"/>
      <c r="L465" s="65"/>
      <c r="M465" s="68"/>
      <c r="P465" s="67"/>
      <c r="S465" s="67"/>
      <c r="V465" s="67"/>
      <c r="W465" s="67"/>
      <c r="X465" s="68"/>
      <c r="AD465" s="65"/>
      <c r="AG465" s="65"/>
      <c r="AJ465" s="65"/>
      <c r="AK465" s="65"/>
      <c r="AL465" s="68"/>
      <c r="AO465" s="65"/>
      <c r="AR465" s="65"/>
      <c r="AU465" s="65"/>
      <c r="AV465" s="65"/>
      <c r="AW465" s="68"/>
    </row>
    <row r="466" ht="15.75" customHeight="1">
      <c r="A466" s="64"/>
      <c r="B466" s="64"/>
      <c r="E466" s="65"/>
      <c r="F466" s="68"/>
      <c r="G466" s="65"/>
      <c r="H466" s="65"/>
      <c r="I466" s="68"/>
      <c r="J466" s="65"/>
      <c r="K466" s="65"/>
      <c r="L466" s="65"/>
      <c r="M466" s="68"/>
      <c r="P466" s="67"/>
      <c r="S466" s="67"/>
      <c r="V466" s="67"/>
      <c r="W466" s="67"/>
      <c r="X466" s="68"/>
      <c r="AD466" s="65"/>
      <c r="AG466" s="65"/>
      <c r="AJ466" s="65"/>
      <c r="AK466" s="65"/>
      <c r="AL466" s="68"/>
      <c r="AO466" s="65"/>
      <c r="AR466" s="65"/>
      <c r="AU466" s="65"/>
      <c r="AV466" s="65"/>
      <c r="AW466" s="68"/>
    </row>
    <row r="467" ht="15.75" customHeight="1">
      <c r="A467" s="64"/>
      <c r="B467" s="64"/>
      <c r="E467" s="65"/>
      <c r="F467" s="68"/>
      <c r="G467" s="65"/>
      <c r="H467" s="65"/>
      <c r="I467" s="68"/>
      <c r="J467" s="65"/>
      <c r="K467" s="65"/>
      <c r="L467" s="65"/>
      <c r="M467" s="68"/>
      <c r="P467" s="67"/>
      <c r="S467" s="67"/>
      <c r="V467" s="67"/>
      <c r="W467" s="67"/>
      <c r="X467" s="68"/>
      <c r="AD467" s="65"/>
      <c r="AG467" s="65"/>
      <c r="AJ467" s="65"/>
      <c r="AK467" s="65"/>
      <c r="AL467" s="68"/>
      <c r="AO467" s="65"/>
      <c r="AR467" s="65"/>
      <c r="AU467" s="65"/>
      <c r="AV467" s="65"/>
      <c r="AW467" s="68"/>
    </row>
    <row r="468" ht="15.75" customHeight="1">
      <c r="A468" s="64"/>
      <c r="B468" s="64"/>
      <c r="E468" s="65"/>
      <c r="F468" s="68"/>
      <c r="G468" s="65"/>
      <c r="H468" s="65"/>
      <c r="I468" s="68"/>
      <c r="J468" s="65"/>
      <c r="K468" s="65"/>
      <c r="L468" s="65"/>
      <c r="M468" s="68"/>
      <c r="P468" s="67"/>
      <c r="S468" s="67"/>
      <c r="V468" s="67"/>
      <c r="W468" s="67"/>
      <c r="X468" s="68"/>
      <c r="AD468" s="65"/>
      <c r="AG468" s="65"/>
      <c r="AJ468" s="65"/>
      <c r="AK468" s="65"/>
      <c r="AL468" s="68"/>
      <c r="AO468" s="65"/>
      <c r="AR468" s="65"/>
      <c r="AU468" s="65"/>
      <c r="AV468" s="65"/>
      <c r="AW468" s="68"/>
    </row>
    <row r="469" ht="15.75" customHeight="1">
      <c r="A469" s="64"/>
      <c r="B469" s="64"/>
      <c r="E469" s="65"/>
      <c r="F469" s="68"/>
      <c r="G469" s="65"/>
      <c r="H469" s="65"/>
      <c r="I469" s="68"/>
      <c r="J469" s="65"/>
      <c r="K469" s="65"/>
      <c r="L469" s="65"/>
      <c r="M469" s="68"/>
      <c r="P469" s="67"/>
      <c r="S469" s="67"/>
      <c r="V469" s="67"/>
      <c r="W469" s="67"/>
      <c r="X469" s="68"/>
      <c r="AD469" s="65"/>
      <c r="AG469" s="65"/>
      <c r="AJ469" s="65"/>
      <c r="AK469" s="65"/>
      <c r="AL469" s="68"/>
      <c r="AO469" s="65"/>
      <c r="AR469" s="65"/>
      <c r="AU469" s="65"/>
      <c r="AV469" s="65"/>
      <c r="AW469" s="68"/>
    </row>
    <row r="470" ht="15.75" customHeight="1">
      <c r="A470" s="64"/>
      <c r="B470" s="64"/>
      <c r="E470" s="65"/>
      <c r="F470" s="68"/>
      <c r="G470" s="65"/>
      <c r="H470" s="65"/>
      <c r="I470" s="68"/>
      <c r="J470" s="65"/>
      <c r="K470" s="65"/>
      <c r="L470" s="65"/>
      <c r="M470" s="68"/>
      <c r="P470" s="67"/>
      <c r="S470" s="67"/>
      <c r="V470" s="67"/>
      <c r="W470" s="67"/>
      <c r="X470" s="68"/>
      <c r="AD470" s="65"/>
      <c r="AG470" s="65"/>
      <c r="AJ470" s="65"/>
      <c r="AK470" s="65"/>
      <c r="AL470" s="68"/>
      <c r="AO470" s="65"/>
      <c r="AR470" s="65"/>
      <c r="AU470" s="65"/>
      <c r="AV470" s="65"/>
      <c r="AW470" s="68"/>
    </row>
    <row r="471" ht="15.75" customHeight="1">
      <c r="A471" s="64"/>
      <c r="B471" s="64"/>
      <c r="E471" s="65"/>
      <c r="F471" s="68"/>
      <c r="G471" s="65"/>
      <c r="H471" s="65"/>
      <c r="I471" s="68"/>
      <c r="J471" s="65"/>
      <c r="K471" s="65"/>
      <c r="L471" s="65"/>
      <c r="M471" s="68"/>
      <c r="P471" s="67"/>
      <c r="S471" s="67"/>
      <c r="V471" s="67"/>
      <c r="W471" s="67"/>
      <c r="X471" s="68"/>
      <c r="AD471" s="65"/>
      <c r="AG471" s="65"/>
      <c r="AJ471" s="65"/>
      <c r="AK471" s="65"/>
      <c r="AL471" s="68"/>
      <c r="AO471" s="65"/>
      <c r="AR471" s="65"/>
      <c r="AU471" s="65"/>
      <c r="AV471" s="65"/>
      <c r="AW471" s="68"/>
    </row>
    <row r="472" ht="15.75" customHeight="1">
      <c r="A472" s="64"/>
      <c r="B472" s="64"/>
      <c r="E472" s="65"/>
      <c r="F472" s="68"/>
      <c r="G472" s="65"/>
      <c r="H472" s="65"/>
      <c r="I472" s="68"/>
      <c r="J472" s="65"/>
      <c r="K472" s="65"/>
      <c r="L472" s="65"/>
      <c r="M472" s="68"/>
      <c r="P472" s="67"/>
      <c r="S472" s="67"/>
      <c r="V472" s="67"/>
      <c r="W472" s="67"/>
      <c r="X472" s="68"/>
      <c r="AD472" s="65"/>
      <c r="AG472" s="65"/>
      <c r="AJ472" s="65"/>
      <c r="AK472" s="65"/>
      <c r="AL472" s="68"/>
      <c r="AO472" s="65"/>
      <c r="AR472" s="65"/>
      <c r="AU472" s="65"/>
      <c r="AV472" s="65"/>
      <c r="AW472" s="68"/>
    </row>
    <row r="473" ht="15.75" customHeight="1">
      <c r="A473" s="64"/>
      <c r="B473" s="64"/>
      <c r="E473" s="65"/>
      <c r="F473" s="68"/>
      <c r="G473" s="65"/>
      <c r="H473" s="65"/>
      <c r="I473" s="68"/>
      <c r="J473" s="65"/>
      <c r="K473" s="65"/>
      <c r="L473" s="65"/>
      <c r="M473" s="68"/>
      <c r="P473" s="67"/>
      <c r="S473" s="67"/>
      <c r="V473" s="67"/>
      <c r="W473" s="67"/>
      <c r="X473" s="68"/>
      <c r="AD473" s="65"/>
      <c r="AG473" s="65"/>
      <c r="AJ473" s="65"/>
      <c r="AK473" s="65"/>
      <c r="AL473" s="68"/>
      <c r="AO473" s="65"/>
      <c r="AR473" s="65"/>
      <c r="AU473" s="65"/>
      <c r="AV473" s="65"/>
      <c r="AW473" s="68"/>
    </row>
    <row r="474" ht="15.75" customHeight="1">
      <c r="A474" s="64"/>
      <c r="B474" s="64"/>
      <c r="E474" s="65"/>
      <c r="F474" s="68"/>
      <c r="G474" s="65"/>
      <c r="H474" s="65"/>
      <c r="I474" s="68"/>
      <c r="J474" s="65"/>
      <c r="K474" s="65"/>
      <c r="L474" s="65"/>
      <c r="M474" s="68"/>
      <c r="P474" s="67"/>
      <c r="S474" s="67"/>
      <c r="V474" s="67"/>
      <c r="W474" s="67"/>
      <c r="X474" s="68"/>
      <c r="AD474" s="65"/>
      <c r="AG474" s="65"/>
      <c r="AJ474" s="65"/>
      <c r="AK474" s="65"/>
      <c r="AL474" s="68"/>
      <c r="AO474" s="65"/>
      <c r="AR474" s="65"/>
      <c r="AU474" s="65"/>
      <c r="AV474" s="65"/>
      <c r="AW474" s="68"/>
    </row>
    <row r="475" ht="15.75" customHeight="1">
      <c r="A475" s="64"/>
      <c r="B475" s="64"/>
      <c r="E475" s="65"/>
      <c r="F475" s="68"/>
      <c r="G475" s="65"/>
      <c r="H475" s="65"/>
      <c r="I475" s="68"/>
      <c r="J475" s="65"/>
      <c r="K475" s="65"/>
      <c r="L475" s="65"/>
      <c r="M475" s="68"/>
      <c r="P475" s="67"/>
      <c r="S475" s="67"/>
      <c r="V475" s="67"/>
      <c r="W475" s="67"/>
      <c r="X475" s="68"/>
      <c r="AD475" s="65"/>
      <c r="AG475" s="65"/>
      <c r="AJ475" s="65"/>
      <c r="AK475" s="65"/>
      <c r="AL475" s="68"/>
      <c r="AO475" s="65"/>
      <c r="AR475" s="65"/>
      <c r="AU475" s="65"/>
      <c r="AV475" s="65"/>
      <c r="AW475" s="68"/>
    </row>
    <row r="476" ht="15.75" customHeight="1">
      <c r="A476" s="64"/>
      <c r="B476" s="64"/>
      <c r="E476" s="65"/>
      <c r="F476" s="68"/>
      <c r="G476" s="65"/>
      <c r="H476" s="65"/>
      <c r="I476" s="68"/>
      <c r="J476" s="65"/>
      <c r="K476" s="65"/>
      <c r="L476" s="65"/>
      <c r="M476" s="68"/>
      <c r="P476" s="67"/>
      <c r="S476" s="67"/>
      <c r="V476" s="67"/>
      <c r="W476" s="67"/>
      <c r="X476" s="68"/>
      <c r="AD476" s="65"/>
      <c r="AG476" s="65"/>
      <c r="AJ476" s="65"/>
      <c r="AK476" s="65"/>
      <c r="AL476" s="68"/>
      <c r="AO476" s="65"/>
      <c r="AR476" s="65"/>
      <c r="AU476" s="65"/>
      <c r="AV476" s="65"/>
      <c r="AW476" s="68"/>
    </row>
    <row r="477" ht="15.75" customHeight="1">
      <c r="A477" s="64"/>
      <c r="B477" s="64"/>
      <c r="E477" s="65"/>
      <c r="F477" s="68"/>
      <c r="G477" s="65"/>
      <c r="H477" s="65"/>
      <c r="I477" s="68"/>
      <c r="J477" s="65"/>
      <c r="K477" s="65"/>
      <c r="L477" s="65"/>
      <c r="M477" s="68"/>
      <c r="P477" s="67"/>
      <c r="S477" s="67"/>
      <c r="V477" s="67"/>
      <c r="W477" s="67"/>
      <c r="X477" s="68"/>
      <c r="AD477" s="65"/>
      <c r="AG477" s="65"/>
      <c r="AJ477" s="65"/>
      <c r="AK477" s="65"/>
      <c r="AL477" s="68"/>
      <c r="AO477" s="65"/>
      <c r="AR477" s="65"/>
      <c r="AU477" s="65"/>
      <c r="AV477" s="65"/>
      <c r="AW477" s="68"/>
    </row>
    <row r="478" ht="15.75" customHeight="1">
      <c r="A478" s="64"/>
      <c r="B478" s="64"/>
      <c r="E478" s="65"/>
      <c r="F478" s="68"/>
      <c r="G478" s="65"/>
      <c r="H478" s="65"/>
      <c r="I478" s="68"/>
      <c r="J478" s="65"/>
      <c r="K478" s="65"/>
      <c r="L478" s="65"/>
      <c r="M478" s="68"/>
      <c r="P478" s="67"/>
      <c r="S478" s="67"/>
      <c r="V478" s="67"/>
      <c r="W478" s="67"/>
      <c r="X478" s="68"/>
      <c r="AD478" s="65"/>
      <c r="AG478" s="65"/>
      <c r="AJ478" s="65"/>
      <c r="AK478" s="65"/>
      <c r="AL478" s="68"/>
      <c r="AO478" s="65"/>
      <c r="AR478" s="65"/>
      <c r="AU478" s="65"/>
      <c r="AV478" s="65"/>
      <c r="AW478" s="68"/>
    </row>
    <row r="479" ht="15.75" customHeight="1">
      <c r="A479" s="64"/>
      <c r="B479" s="64"/>
      <c r="E479" s="65"/>
      <c r="F479" s="68"/>
      <c r="G479" s="65"/>
      <c r="H479" s="65"/>
      <c r="I479" s="68"/>
      <c r="J479" s="65"/>
      <c r="K479" s="65"/>
      <c r="L479" s="65"/>
      <c r="M479" s="68"/>
      <c r="P479" s="67"/>
      <c r="S479" s="67"/>
      <c r="V479" s="67"/>
      <c r="W479" s="67"/>
      <c r="X479" s="68"/>
      <c r="AD479" s="65"/>
      <c r="AG479" s="65"/>
      <c r="AJ479" s="65"/>
      <c r="AK479" s="65"/>
      <c r="AL479" s="68"/>
      <c r="AO479" s="65"/>
      <c r="AR479" s="65"/>
      <c r="AU479" s="65"/>
      <c r="AV479" s="65"/>
      <c r="AW479" s="68"/>
    </row>
    <row r="480" ht="15.75" customHeight="1">
      <c r="A480" s="64"/>
      <c r="B480" s="64"/>
      <c r="E480" s="65"/>
      <c r="F480" s="68"/>
      <c r="G480" s="65"/>
      <c r="H480" s="65"/>
      <c r="I480" s="68"/>
      <c r="J480" s="65"/>
      <c r="K480" s="65"/>
      <c r="L480" s="65"/>
      <c r="M480" s="68"/>
      <c r="P480" s="67"/>
      <c r="S480" s="67"/>
      <c r="V480" s="67"/>
      <c r="W480" s="67"/>
      <c r="X480" s="68"/>
      <c r="AD480" s="65"/>
      <c r="AG480" s="65"/>
      <c r="AJ480" s="65"/>
      <c r="AK480" s="65"/>
      <c r="AL480" s="68"/>
      <c r="AO480" s="65"/>
      <c r="AR480" s="65"/>
      <c r="AU480" s="65"/>
      <c r="AV480" s="65"/>
      <c r="AW480" s="68"/>
    </row>
    <row r="481" ht="15.75" customHeight="1">
      <c r="A481" s="64"/>
      <c r="B481" s="64"/>
      <c r="E481" s="65"/>
      <c r="F481" s="68"/>
      <c r="G481" s="65"/>
      <c r="H481" s="65"/>
      <c r="I481" s="68"/>
      <c r="J481" s="65"/>
      <c r="K481" s="65"/>
      <c r="L481" s="65"/>
      <c r="M481" s="68"/>
      <c r="P481" s="67"/>
      <c r="S481" s="67"/>
      <c r="V481" s="67"/>
      <c r="W481" s="67"/>
      <c r="X481" s="68"/>
      <c r="AD481" s="65"/>
      <c r="AG481" s="65"/>
      <c r="AJ481" s="65"/>
      <c r="AK481" s="65"/>
      <c r="AL481" s="68"/>
      <c r="AO481" s="65"/>
      <c r="AR481" s="65"/>
      <c r="AU481" s="65"/>
      <c r="AV481" s="65"/>
      <c r="AW481" s="68"/>
    </row>
    <row r="482" ht="15.75" customHeight="1">
      <c r="A482" s="64"/>
      <c r="B482" s="64"/>
      <c r="E482" s="65"/>
      <c r="F482" s="68"/>
      <c r="G482" s="65"/>
      <c r="H482" s="65"/>
      <c r="I482" s="68"/>
      <c r="J482" s="65"/>
      <c r="K482" s="65"/>
      <c r="L482" s="65"/>
      <c r="M482" s="68"/>
      <c r="P482" s="67"/>
      <c r="S482" s="67"/>
      <c r="V482" s="67"/>
      <c r="W482" s="67"/>
      <c r="X482" s="68"/>
      <c r="AD482" s="65"/>
      <c r="AG482" s="65"/>
      <c r="AJ482" s="65"/>
      <c r="AK482" s="65"/>
      <c r="AL482" s="68"/>
      <c r="AO482" s="65"/>
      <c r="AR482" s="65"/>
      <c r="AU482" s="65"/>
      <c r="AV482" s="65"/>
      <c r="AW482" s="68"/>
    </row>
    <row r="483" ht="15.75" customHeight="1">
      <c r="A483" s="64"/>
      <c r="B483" s="64"/>
      <c r="E483" s="65"/>
      <c r="F483" s="68"/>
      <c r="G483" s="65"/>
      <c r="H483" s="65"/>
      <c r="I483" s="68"/>
      <c r="J483" s="65"/>
      <c r="K483" s="65"/>
      <c r="L483" s="65"/>
      <c r="M483" s="68"/>
      <c r="P483" s="67"/>
      <c r="S483" s="67"/>
      <c r="V483" s="67"/>
      <c r="W483" s="67"/>
      <c r="X483" s="68"/>
      <c r="AD483" s="65"/>
      <c r="AG483" s="65"/>
      <c r="AJ483" s="65"/>
      <c r="AK483" s="65"/>
      <c r="AL483" s="68"/>
      <c r="AO483" s="65"/>
      <c r="AR483" s="65"/>
      <c r="AU483" s="65"/>
      <c r="AV483" s="65"/>
      <c r="AW483" s="68"/>
    </row>
    <row r="484" ht="15.75" customHeight="1">
      <c r="A484" s="64"/>
      <c r="B484" s="64"/>
      <c r="E484" s="65"/>
      <c r="F484" s="68"/>
      <c r="G484" s="65"/>
      <c r="H484" s="65"/>
      <c r="I484" s="68"/>
      <c r="J484" s="65"/>
      <c r="K484" s="65"/>
      <c r="L484" s="65"/>
      <c r="M484" s="68"/>
      <c r="P484" s="67"/>
      <c r="S484" s="67"/>
      <c r="V484" s="67"/>
      <c r="W484" s="67"/>
      <c r="X484" s="68"/>
      <c r="AD484" s="65"/>
      <c r="AG484" s="65"/>
      <c r="AJ484" s="65"/>
      <c r="AK484" s="65"/>
      <c r="AL484" s="68"/>
      <c r="AO484" s="65"/>
      <c r="AR484" s="65"/>
      <c r="AU484" s="65"/>
      <c r="AV484" s="65"/>
      <c r="AW484" s="68"/>
    </row>
    <row r="485" ht="15.75" customHeight="1">
      <c r="A485" s="64"/>
      <c r="B485" s="64"/>
      <c r="E485" s="65"/>
      <c r="F485" s="68"/>
      <c r="G485" s="65"/>
      <c r="H485" s="65"/>
      <c r="I485" s="68"/>
      <c r="J485" s="65"/>
      <c r="K485" s="65"/>
      <c r="L485" s="65"/>
      <c r="M485" s="68"/>
      <c r="P485" s="67"/>
      <c r="S485" s="67"/>
      <c r="V485" s="67"/>
      <c r="W485" s="67"/>
      <c r="X485" s="68"/>
      <c r="AD485" s="65"/>
      <c r="AG485" s="65"/>
      <c r="AJ485" s="65"/>
      <c r="AK485" s="65"/>
      <c r="AL485" s="68"/>
      <c r="AO485" s="65"/>
      <c r="AR485" s="65"/>
      <c r="AU485" s="65"/>
      <c r="AV485" s="65"/>
      <c r="AW485" s="68"/>
    </row>
    <row r="486" ht="15.75" customHeight="1">
      <c r="A486" s="64"/>
      <c r="B486" s="64"/>
      <c r="E486" s="65"/>
      <c r="F486" s="68"/>
      <c r="G486" s="65"/>
      <c r="H486" s="65"/>
      <c r="I486" s="68"/>
      <c r="J486" s="65"/>
      <c r="K486" s="65"/>
      <c r="L486" s="65"/>
      <c r="M486" s="68"/>
      <c r="P486" s="67"/>
      <c r="S486" s="67"/>
      <c r="V486" s="67"/>
      <c r="W486" s="67"/>
      <c r="X486" s="68"/>
      <c r="AD486" s="65"/>
      <c r="AG486" s="65"/>
      <c r="AJ486" s="65"/>
      <c r="AK486" s="65"/>
      <c r="AL486" s="68"/>
      <c r="AO486" s="65"/>
      <c r="AR486" s="65"/>
      <c r="AU486" s="65"/>
      <c r="AV486" s="65"/>
      <c r="AW486" s="68"/>
    </row>
    <row r="487" ht="15.75" customHeight="1">
      <c r="A487" s="64"/>
      <c r="B487" s="64"/>
      <c r="E487" s="65"/>
      <c r="F487" s="68"/>
      <c r="G487" s="65"/>
      <c r="H487" s="65"/>
      <c r="I487" s="68"/>
      <c r="J487" s="65"/>
      <c r="K487" s="65"/>
      <c r="L487" s="65"/>
      <c r="M487" s="68"/>
      <c r="P487" s="67"/>
      <c r="S487" s="67"/>
      <c r="V487" s="67"/>
      <c r="W487" s="67"/>
      <c r="X487" s="68"/>
      <c r="AD487" s="65"/>
      <c r="AG487" s="65"/>
      <c r="AJ487" s="65"/>
      <c r="AK487" s="65"/>
      <c r="AL487" s="68"/>
      <c r="AO487" s="65"/>
      <c r="AR487" s="65"/>
      <c r="AU487" s="65"/>
      <c r="AV487" s="65"/>
      <c r="AW487" s="68"/>
    </row>
    <row r="488" ht="15.75" customHeight="1">
      <c r="A488" s="64"/>
      <c r="B488" s="64"/>
      <c r="E488" s="65"/>
      <c r="F488" s="68"/>
      <c r="G488" s="65"/>
      <c r="H488" s="65"/>
      <c r="I488" s="68"/>
      <c r="J488" s="65"/>
      <c r="K488" s="65"/>
      <c r="L488" s="65"/>
      <c r="M488" s="68"/>
      <c r="P488" s="67"/>
      <c r="S488" s="67"/>
      <c r="V488" s="67"/>
      <c r="W488" s="67"/>
      <c r="X488" s="68"/>
      <c r="AD488" s="65"/>
      <c r="AG488" s="65"/>
      <c r="AJ488" s="65"/>
      <c r="AK488" s="65"/>
      <c r="AL488" s="68"/>
      <c r="AO488" s="65"/>
      <c r="AR488" s="65"/>
      <c r="AU488" s="65"/>
      <c r="AV488" s="65"/>
      <c r="AW488" s="68"/>
    </row>
    <row r="489" ht="15.75" customHeight="1">
      <c r="A489" s="64"/>
      <c r="B489" s="64"/>
      <c r="E489" s="65"/>
      <c r="F489" s="68"/>
      <c r="G489" s="65"/>
      <c r="H489" s="65"/>
      <c r="I489" s="68"/>
      <c r="J489" s="65"/>
      <c r="K489" s="65"/>
      <c r="L489" s="65"/>
      <c r="M489" s="68"/>
      <c r="P489" s="67"/>
      <c r="S489" s="67"/>
      <c r="V489" s="67"/>
      <c r="W489" s="67"/>
      <c r="X489" s="68"/>
      <c r="AD489" s="65"/>
      <c r="AG489" s="65"/>
      <c r="AJ489" s="65"/>
      <c r="AK489" s="65"/>
      <c r="AL489" s="68"/>
      <c r="AO489" s="65"/>
      <c r="AR489" s="65"/>
      <c r="AU489" s="65"/>
      <c r="AV489" s="65"/>
      <c r="AW489" s="68"/>
    </row>
    <row r="490" ht="15.75" customHeight="1">
      <c r="A490" s="64"/>
      <c r="B490" s="64"/>
      <c r="E490" s="65"/>
      <c r="F490" s="68"/>
      <c r="G490" s="65"/>
      <c r="H490" s="65"/>
      <c r="I490" s="68"/>
      <c r="J490" s="65"/>
      <c r="K490" s="65"/>
      <c r="L490" s="65"/>
      <c r="M490" s="68"/>
      <c r="P490" s="67"/>
      <c r="S490" s="67"/>
      <c r="V490" s="67"/>
      <c r="W490" s="67"/>
      <c r="X490" s="68"/>
      <c r="AD490" s="65"/>
      <c r="AG490" s="65"/>
      <c r="AJ490" s="65"/>
      <c r="AK490" s="65"/>
      <c r="AL490" s="68"/>
      <c r="AO490" s="65"/>
      <c r="AR490" s="65"/>
      <c r="AU490" s="65"/>
      <c r="AV490" s="65"/>
      <c r="AW490" s="68"/>
    </row>
    <row r="491" ht="15.75" customHeight="1">
      <c r="A491" s="64"/>
      <c r="B491" s="64"/>
      <c r="E491" s="65"/>
      <c r="F491" s="68"/>
      <c r="G491" s="65"/>
      <c r="H491" s="65"/>
      <c r="I491" s="68"/>
      <c r="J491" s="65"/>
      <c r="K491" s="65"/>
      <c r="L491" s="65"/>
      <c r="M491" s="68"/>
      <c r="P491" s="67"/>
      <c r="S491" s="67"/>
      <c r="V491" s="67"/>
      <c r="W491" s="67"/>
      <c r="X491" s="68"/>
      <c r="AD491" s="65"/>
      <c r="AG491" s="65"/>
      <c r="AJ491" s="65"/>
      <c r="AK491" s="65"/>
      <c r="AL491" s="68"/>
      <c r="AO491" s="65"/>
      <c r="AR491" s="65"/>
      <c r="AU491" s="65"/>
      <c r="AV491" s="65"/>
      <c r="AW491" s="68"/>
    </row>
    <row r="492" ht="15.75" customHeight="1">
      <c r="A492" s="64"/>
      <c r="B492" s="64"/>
      <c r="E492" s="65"/>
      <c r="F492" s="68"/>
      <c r="G492" s="65"/>
      <c r="H492" s="65"/>
      <c r="I492" s="68"/>
      <c r="J492" s="65"/>
      <c r="K492" s="65"/>
      <c r="L492" s="65"/>
      <c r="M492" s="68"/>
      <c r="P492" s="67"/>
      <c r="S492" s="67"/>
      <c r="V492" s="67"/>
      <c r="W492" s="67"/>
      <c r="X492" s="68"/>
      <c r="AD492" s="65"/>
      <c r="AG492" s="65"/>
      <c r="AJ492" s="65"/>
      <c r="AK492" s="65"/>
      <c r="AL492" s="68"/>
      <c r="AO492" s="65"/>
      <c r="AR492" s="65"/>
      <c r="AU492" s="65"/>
      <c r="AV492" s="65"/>
      <c r="AW492" s="68"/>
    </row>
    <row r="493" ht="15.75" customHeight="1">
      <c r="A493" s="64"/>
      <c r="B493" s="64"/>
      <c r="E493" s="65"/>
      <c r="F493" s="68"/>
      <c r="G493" s="65"/>
      <c r="H493" s="65"/>
      <c r="I493" s="68"/>
      <c r="J493" s="65"/>
      <c r="K493" s="65"/>
      <c r="L493" s="65"/>
      <c r="M493" s="68"/>
      <c r="P493" s="67"/>
      <c r="S493" s="67"/>
      <c r="V493" s="67"/>
      <c r="W493" s="67"/>
      <c r="X493" s="68"/>
      <c r="AD493" s="65"/>
      <c r="AG493" s="65"/>
      <c r="AJ493" s="65"/>
      <c r="AK493" s="65"/>
      <c r="AL493" s="68"/>
      <c r="AO493" s="65"/>
      <c r="AR493" s="65"/>
      <c r="AU493" s="65"/>
      <c r="AV493" s="65"/>
      <c r="AW493" s="68"/>
    </row>
    <row r="494" ht="15.75" customHeight="1">
      <c r="A494" s="64"/>
      <c r="B494" s="64"/>
      <c r="E494" s="65"/>
      <c r="F494" s="68"/>
      <c r="G494" s="65"/>
      <c r="H494" s="65"/>
      <c r="I494" s="68"/>
      <c r="J494" s="65"/>
      <c r="K494" s="65"/>
      <c r="L494" s="65"/>
      <c r="M494" s="68"/>
      <c r="P494" s="67"/>
      <c r="S494" s="67"/>
      <c r="V494" s="67"/>
      <c r="W494" s="67"/>
      <c r="X494" s="68"/>
      <c r="AD494" s="65"/>
      <c r="AG494" s="65"/>
      <c r="AJ494" s="65"/>
      <c r="AK494" s="65"/>
      <c r="AL494" s="68"/>
      <c r="AO494" s="65"/>
      <c r="AR494" s="65"/>
      <c r="AU494" s="65"/>
      <c r="AV494" s="65"/>
      <c r="AW494" s="68"/>
    </row>
    <row r="495" ht="15.75" customHeight="1">
      <c r="A495" s="64"/>
      <c r="B495" s="64"/>
      <c r="E495" s="65"/>
      <c r="F495" s="68"/>
      <c r="G495" s="65"/>
      <c r="H495" s="65"/>
      <c r="I495" s="68"/>
      <c r="J495" s="65"/>
      <c r="K495" s="65"/>
      <c r="L495" s="65"/>
      <c r="M495" s="68"/>
      <c r="P495" s="67"/>
      <c r="S495" s="67"/>
      <c r="V495" s="67"/>
      <c r="W495" s="67"/>
      <c r="X495" s="68"/>
      <c r="AD495" s="65"/>
      <c r="AG495" s="65"/>
      <c r="AJ495" s="65"/>
      <c r="AK495" s="65"/>
      <c r="AL495" s="68"/>
      <c r="AO495" s="65"/>
      <c r="AR495" s="65"/>
      <c r="AU495" s="65"/>
      <c r="AV495" s="65"/>
      <c r="AW495" s="68"/>
    </row>
    <row r="496" ht="15.75" customHeight="1">
      <c r="A496" s="64"/>
      <c r="B496" s="64"/>
      <c r="E496" s="65"/>
      <c r="F496" s="68"/>
      <c r="G496" s="65"/>
      <c r="H496" s="65"/>
      <c r="I496" s="68"/>
      <c r="J496" s="65"/>
      <c r="K496" s="65"/>
      <c r="L496" s="65"/>
      <c r="M496" s="68"/>
      <c r="P496" s="67"/>
      <c r="S496" s="67"/>
      <c r="V496" s="67"/>
      <c r="W496" s="67"/>
      <c r="X496" s="68"/>
      <c r="AD496" s="65"/>
      <c r="AG496" s="65"/>
      <c r="AJ496" s="65"/>
      <c r="AK496" s="65"/>
      <c r="AL496" s="68"/>
      <c r="AO496" s="65"/>
      <c r="AR496" s="65"/>
      <c r="AU496" s="65"/>
      <c r="AV496" s="65"/>
      <c r="AW496" s="68"/>
    </row>
    <row r="497" ht="15.75" customHeight="1">
      <c r="A497" s="64"/>
      <c r="B497" s="64"/>
      <c r="E497" s="65"/>
      <c r="F497" s="68"/>
      <c r="G497" s="65"/>
      <c r="H497" s="65"/>
      <c r="I497" s="68"/>
      <c r="J497" s="65"/>
      <c r="K497" s="65"/>
      <c r="L497" s="65"/>
      <c r="M497" s="68"/>
      <c r="P497" s="67"/>
      <c r="S497" s="67"/>
      <c r="V497" s="67"/>
      <c r="W497" s="67"/>
      <c r="X497" s="68"/>
      <c r="AD497" s="65"/>
      <c r="AG497" s="65"/>
      <c r="AJ497" s="65"/>
      <c r="AK497" s="65"/>
      <c r="AL497" s="68"/>
      <c r="AO497" s="65"/>
      <c r="AR497" s="65"/>
      <c r="AU497" s="65"/>
      <c r="AV497" s="65"/>
      <c r="AW497" s="68"/>
    </row>
    <row r="498" ht="15.75" customHeight="1">
      <c r="A498" s="64"/>
      <c r="B498" s="64"/>
      <c r="E498" s="65"/>
      <c r="F498" s="68"/>
      <c r="G498" s="65"/>
      <c r="H498" s="65"/>
      <c r="I498" s="68"/>
      <c r="J498" s="65"/>
      <c r="K498" s="65"/>
      <c r="L498" s="65"/>
      <c r="M498" s="68"/>
      <c r="P498" s="67"/>
      <c r="S498" s="67"/>
      <c r="V498" s="67"/>
      <c r="W498" s="67"/>
      <c r="X498" s="68"/>
      <c r="AD498" s="65"/>
      <c r="AG498" s="65"/>
      <c r="AJ498" s="65"/>
      <c r="AK498" s="65"/>
      <c r="AL498" s="68"/>
      <c r="AO498" s="65"/>
      <c r="AR498" s="65"/>
      <c r="AU498" s="65"/>
      <c r="AV498" s="65"/>
      <c r="AW498" s="68"/>
    </row>
    <row r="499" ht="15.75" customHeight="1">
      <c r="A499" s="64"/>
      <c r="B499" s="64"/>
      <c r="E499" s="65"/>
      <c r="F499" s="68"/>
      <c r="G499" s="65"/>
      <c r="H499" s="65"/>
      <c r="I499" s="68"/>
      <c r="J499" s="65"/>
      <c r="K499" s="65"/>
      <c r="L499" s="65"/>
      <c r="M499" s="68"/>
      <c r="P499" s="67"/>
      <c r="S499" s="67"/>
      <c r="V499" s="67"/>
      <c r="W499" s="67"/>
      <c r="X499" s="68"/>
      <c r="AD499" s="65"/>
      <c r="AG499" s="65"/>
      <c r="AJ499" s="65"/>
      <c r="AK499" s="65"/>
      <c r="AL499" s="68"/>
      <c r="AO499" s="65"/>
      <c r="AR499" s="65"/>
      <c r="AU499" s="65"/>
      <c r="AV499" s="65"/>
      <c r="AW499" s="68"/>
    </row>
    <row r="500" ht="15.75" customHeight="1">
      <c r="A500" s="64"/>
      <c r="B500" s="64"/>
      <c r="E500" s="65"/>
      <c r="F500" s="68"/>
      <c r="G500" s="65"/>
      <c r="H500" s="65"/>
      <c r="I500" s="68"/>
      <c r="J500" s="65"/>
      <c r="K500" s="65"/>
      <c r="L500" s="65"/>
      <c r="M500" s="68"/>
      <c r="P500" s="67"/>
      <c r="S500" s="67"/>
      <c r="V500" s="67"/>
      <c r="W500" s="67"/>
      <c r="X500" s="68"/>
      <c r="AD500" s="65"/>
      <c r="AG500" s="65"/>
      <c r="AJ500" s="65"/>
      <c r="AK500" s="65"/>
      <c r="AL500" s="68"/>
      <c r="AO500" s="65"/>
      <c r="AR500" s="65"/>
      <c r="AU500" s="65"/>
      <c r="AV500" s="65"/>
      <c r="AW500" s="68"/>
    </row>
    <row r="501" ht="15.75" customHeight="1">
      <c r="A501" s="64"/>
      <c r="B501" s="64"/>
      <c r="E501" s="65"/>
      <c r="F501" s="68"/>
      <c r="G501" s="65"/>
      <c r="H501" s="65"/>
      <c r="I501" s="68"/>
      <c r="J501" s="65"/>
      <c r="K501" s="65"/>
      <c r="L501" s="65"/>
      <c r="M501" s="68"/>
      <c r="P501" s="67"/>
      <c r="S501" s="67"/>
      <c r="V501" s="67"/>
      <c r="W501" s="67"/>
      <c r="X501" s="68"/>
      <c r="AD501" s="65"/>
      <c r="AG501" s="65"/>
      <c r="AJ501" s="65"/>
      <c r="AK501" s="65"/>
      <c r="AL501" s="68"/>
      <c r="AO501" s="65"/>
      <c r="AR501" s="65"/>
      <c r="AU501" s="65"/>
      <c r="AV501" s="65"/>
      <c r="AW501" s="68"/>
    </row>
    <row r="502" ht="15.75" customHeight="1">
      <c r="A502" s="64"/>
      <c r="B502" s="64"/>
      <c r="E502" s="65"/>
      <c r="F502" s="68"/>
      <c r="G502" s="65"/>
      <c r="H502" s="65"/>
      <c r="I502" s="68"/>
      <c r="J502" s="65"/>
      <c r="K502" s="65"/>
      <c r="L502" s="65"/>
      <c r="M502" s="68"/>
      <c r="P502" s="67"/>
      <c r="S502" s="67"/>
      <c r="V502" s="67"/>
      <c r="W502" s="67"/>
      <c r="X502" s="68"/>
      <c r="AD502" s="65"/>
      <c r="AG502" s="65"/>
      <c r="AJ502" s="65"/>
      <c r="AK502" s="65"/>
      <c r="AL502" s="68"/>
      <c r="AO502" s="65"/>
      <c r="AR502" s="65"/>
      <c r="AU502" s="65"/>
      <c r="AV502" s="65"/>
      <c r="AW502" s="68"/>
    </row>
    <row r="503" ht="15.75" customHeight="1">
      <c r="A503" s="64"/>
      <c r="B503" s="64"/>
      <c r="E503" s="65"/>
      <c r="F503" s="68"/>
      <c r="G503" s="65"/>
      <c r="H503" s="65"/>
      <c r="I503" s="68"/>
      <c r="J503" s="65"/>
      <c r="K503" s="65"/>
      <c r="L503" s="65"/>
      <c r="M503" s="68"/>
      <c r="P503" s="67"/>
      <c r="S503" s="67"/>
      <c r="V503" s="67"/>
      <c r="W503" s="67"/>
      <c r="X503" s="68"/>
      <c r="AD503" s="65"/>
      <c r="AG503" s="65"/>
      <c r="AJ503" s="65"/>
      <c r="AK503" s="65"/>
      <c r="AL503" s="68"/>
      <c r="AO503" s="65"/>
      <c r="AR503" s="65"/>
      <c r="AU503" s="65"/>
      <c r="AV503" s="65"/>
      <c r="AW503" s="68"/>
    </row>
    <row r="504" ht="15.75" customHeight="1">
      <c r="A504" s="64"/>
      <c r="B504" s="64"/>
      <c r="E504" s="65"/>
      <c r="F504" s="68"/>
      <c r="G504" s="65"/>
      <c r="H504" s="65"/>
      <c r="I504" s="68"/>
      <c r="J504" s="65"/>
      <c r="K504" s="65"/>
      <c r="L504" s="65"/>
      <c r="M504" s="68"/>
      <c r="P504" s="67"/>
      <c r="S504" s="67"/>
      <c r="V504" s="67"/>
      <c r="W504" s="67"/>
      <c r="X504" s="68"/>
      <c r="AD504" s="65"/>
      <c r="AG504" s="65"/>
      <c r="AJ504" s="65"/>
      <c r="AK504" s="65"/>
      <c r="AL504" s="68"/>
      <c r="AO504" s="65"/>
      <c r="AR504" s="65"/>
      <c r="AU504" s="65"/>
      <c r="AV504" s="65"/>
      <c r="AW504" s="68"/>
    </row>
    <row r="505" ht="15.75" customHeight="1">
      <c r="A505" s="64"/>
      <c r="B505" s="64"/>
      <c r="E505" s="65"/>
      <c r="F505" s="68"/>
      <c r="G505" s="65"/>
      <c r="H505" s="65"/>
      <c r="I505" s="68"/>
      <c r="J505" s="65"/>
      <c r="K505" s="65"/>
      <c r="L505" s="65"/>
      <c r="M505" s="68"/>
      <c r="P505" s="67"/>
      <c r="S505" s="67"/>
      <c r="V505" s="67"/>
      <c r="W505" s="67"/>
      <c r="X505" s="68"/>
      <c r="AD505" s="65"/>
      <c r="AG505" s="65"/>
      <c r="AJ505" s="65"/>
      <c r="AK505" s="65"/>
      <c r="AL505" s="68"/>
      <c r="AO505" s="65"/>
      <c r="AR505" s="65"/>
      <c r="AU505" s="65"/>
      <c r="AV505" s="65"/>
      <c r="AW505" s="68"/>
    </row>
    <row r="506" ht="15.75" customHeight="1">
      <c r="A506" s="64"/>
      <c r="B506" s="64"/>
      <c r="E506" s="65"/>
      <c r="F506" s="68"/>
      <c r="G506" s="65"/>
      <c r="H506" s="65"/>
      <c r="I506" s="68"/>
      <c r="J506" s="65"/>
      <c r="K506" s="65"/>
      <c r="L506" s="65"/>
      <c r="M506" s="68"/>
      <c r="P506" s="67"/>
      <c r="S506" s="67"/>
      <c r="V506" s="67"/>
      <c r="W506" s="67"/>
      <c r="X506" s="68"/>
      <c r="AD506" s="65"/>
      <c r="AG506" s="65"/>
      <c r="AJ506" s="65"/>
      <c r="AK506" s="65"/>
      <c r="AL506" s="68"/>
      <c r="AO506" s="65"/>
      <c r="AR506" s="65"/>
      <c r="AU506" s="65"/>
      <c r="AV506" s="65"/>
      <c r="AW506" s="68"/>
    </row>
    <row r="507" ht="15.75" customHeight="1">
      <c r="A507" s="64"/>
      <c r="B507" s="64"/>
      <c r="E507" s="65"/>
      <c r="F507" s="68"/>
      <c r="G507" s="65"/>
      <c r="H507" s="65"/>
      <c r="I507" s="68"/>
      <c r="J507" s="65"/>
      <c r="K507" s="65"/>
      <c r="L507" s="65"/>
      <c r="M507" s="68"/>
      <c r="P507" s="67"/>
      <c r="S507" s="67"/>
      <c r="V507" s="67"/>
      <c r="W507" s="67"/>
      <c r="X507" s="68"/>
      <c r="AD507" s="65"/>
      <c r="AG507" s="65"/>
      <c r="AJ507" s="65"/>
      <c r="AK507" s="65"/>
      <c r="AL507" s="68"/>
      <c r="AO507" s="65"/>
      <c r="AR507" s="65"/>
      <c r="AU507" s="65"/>
      <c r="AV507" s="65"/>
      <c r="AW507" s="68"/>
    </row>
    <row r="508" ht="15.75" customHeight="1">
      <c r="A508" s="64"/>
      <c r="B508" s="64"/>
      <c r="E508" s="65"/>
      <c r="F508" s="68"/>
      <c r="G508" s="65"/>
      <c r="H508" s="65"/>
      <c r="I508" s="68"/>
      <c r="J508" s="65"/>
      <c r="K508" s="65"/>
      <c r="L508" s="65"/>
      <c r="M508" s="68"/>
      <c r="P508" s="67"/>
      <c r="S508" s="67"/>
      <c r="V508" s="67"/>
      <c r="W508" s="67"/>
      <c r="X508" s="68"/>
      <c r="AD508" s="65"/>
      <c r="AG508" s="65"/>
      <c r="AJ508" s="65"/>
      <c r="AK508" s="65"/>
      <c r="AL508" s="68"/>
      <c r="AO508" s="65"/>
      <c r="AR508" s="65"/>
      <c r="AU508" s="65"/>
      <c r="AV508" s="65"/>
      <c r="AW508" s="68"/>
    </row>
    <row r="509" ht="15.75" customHeight="1">
      <c r="A509" s="64"/>
      <c r="B509" s="64"/>
      <c r="E509" s="65"/>
      <c r="F509" s="68"/>
      <c r="G509" s="65"/>
      <c r="H509" s="65"/>
      <c r="I509" s="68"/>
      <c r="J509" s="65"/>
      <c r="K509" s="65"/>
      <c r="L509" s="65"/>
      <c r="M509" s="68"/>
      <c r="P509" s="67"/>
      <c r="S509" s="67"/>
      <c r="V509" s="67"/>
      <c r="W509" s="67"/>
      <c r="X509" s="68"/>
      <c r="AD509" s="65"/>
      <c r="AG509" s="65"/>
      <c r="AJ509" s="65"/>
      <c r="AK509" s="65"/>
      <c r="AL509" s="68"/>
      <c r="AO509" s="65"/>
      <c r="AR509" s="65"/>
      <c r="AU509" s="65"/>
      <c r="AV509" s="65"/>
      <c r="AW509" s="68"/>
    </row>
    <row r="510" ht="15.75" customHeight="1">
      <c r="A510" s="64"/>
      <c r="B510" s="64"/>
      <c r="E510" s="65"/>
      <c r="F510" s="68"/>
      <c r="G510" s="65"/>
      <c r="H510" s="65"/>
      <c r="I510" s="68"/>
      <c r="J510" s="65"/>
      <c r="K510" s="65"/>
      <c r="L510" s="65"/>
      <c r="M510" s="68"/>
      <c r="P510" s="67"/>
      <c r="S510" s="67"/>
      <c r="V510" s="67"/>
      <c r="W510" s="67"/>
      <c r="X510" s="68"/>
      <c r="AD510" s="65"/>
      <c r="AG510" s="65"/>
      <c r="AJ510" s="65"/>
      <c r="AK510" s="65"/>
      <c r="AL510" s="68"/>
      <c r="AO510" s="65"/>
      <c r="AR510" s="65"/>
      <c r="AU510" s="65"/>
      <c r="AV510" s="65"/>
      <c r="AW510" s="68"/>
    </row>
    <row r="511" ht="15.75" customHeight="1">
      <c r="A511" s="64"/>
      <c r="B511" s="64"/>
      <c r="E511" s="65"/>
      <c r="F511" s="68"/>
      <c r="G511" s="65"/>
      <c r="H511" s="65"/>
      <c r="I511" s="68"/>
      <c r="J511" s="65"/>
      <c r="K511" s="65"/>
      <c r="L511" s="65"/>
      <c r="M511" s="68"/>
      <c r="P511" s="67"/>
      <c r="S511" s="67"/>
      <c r="V511" s="67"/>
      <c r="W511" s="67"/>
      <c r="X511" s="68"/>
      <c r="AD511" s="65"/>
      <c r="AG511" s="65"/>
      <c r="AJ511" s="65"/>
      <c r="AK511" s="65"/>
      <c r="AL511" s="68"/>
      <c r="AO511" s="65"/>
      <c r="AR511" s="65"/>
      <c r="AU511" s="65"/>
      <c r="AV511" s="65"/>
      <c r="AW511" s="68"/>
    </row>
    <row r="512" ht="15.75" customHeight="1">
      <c r="A512" s="64"/>
      <c r="B512" s="64"/>
      <c r="E512" s="65"/>
      <c r="F512" s="68"/>
      <c r="G512" s="65"/>
      <c r="H512" s="65"/>
      <c r="I512" s="68"/>
      <c r="J512" s="65"/>
      <c r="K512" s="65"/>
      <c r="L512" s="65"/>
      <c r="M512" s="68"/>
      <c r="P512" s="67"/>
      <c r="S512" s="67"/>
      <c r="V512" s="67"/>
      <c r="W512" s="67"/>
      <c r="X512" s="68"/>
      <c r="AD512" s="65"/>
      <c r="AG512" s="65"/>
      <c r="AJ512" s="65"/>
      <c r="AK512" s="65"/>
      <c r="AL512" s="68"/>
      <c r="AO512" s="65"/>
      <c r="AR512" s="65"/>
      <c r="AU512" s="65"/>
      <c r="AV512" s="65"/>
      <c r="AW512" s="68"/>
    </row>
    <row r="513" ht="15.75" customHeight="1">
      <c r="A513" s="64"/>
      <c r="B513" s="64"/>
      <c r="E513" s="65"/>
      <c r="F513" s="68"/>
      <c r="G513" s="65"/>
      <c r="H513" s="65"/>
      <c r="I513" s="68"/>
      <c r="J513" s="65"/>
      <c r="K513" s="65"/>
      <c r="L513" s="65"/>
      <c r="M513" s="68"/>
      <c r="P513" s="67"/>
      <c r="S513" s="67"/>
      <c r="V513" s="67"/>
      <c r="W513" s="67"/>
      <c r="X513" s="68"/>
      <c r="AD513" s="65"/>
      <c r="AG513" s="65"/>
      <c r="AJ513" s="65"/>
      <c r="AK513" s="65"/>
      <c r="AL513" s="68"/>
      <c r="AO513" s="65"/>
      <c r="AR513" s="65"/>
      <c r="AU513" s="65"/>
      <c r="AV513" s="65"/>
      <c r="AW513" s="68"/>
    </row>
    <row r="514" ht="15.75" customHeight="1">
      <c r="A514" s="64"/>
      <c r="B514" s="64"/>
      <c r="E514" s="65"/>
      <c r="F514" s="68"/>
      <c r="G514" s="65"/>
      <c r="H514" s="65"/>
      <c r="I514" s="68"/>
      <c r="J514" s="65"/>
      <c r="K514" s="65"/>
      <c r="L514" s="65"/>
      <c r="M514" s="68"/>
      <c r="P514" s="67"/>
      <c r="S514" s="67"/>
      <c r="V514" s="67"/>
      <c r="W514" s="67"/>
      <c r="X514" s="68"/>
      <c r="AD514" s="65"/>
      <c r="AG514" s="65"/>
      <c r="AJ514" s="65"/>
      <c r="AK514" s="65"/>
      <c r="AL514" s="68"/>
      <c r="AO514" s="65"/>
      <c r="AR514" s="65"/>
      <c r="AU514" s="65"/>
      <c r="AV514" s="65"/>
      <c r="AW514" s="68"/>
    </row>
    <row r="515" ht="15.75" customHeight="1">
      <c r="A515" s="64"/>
      <c r="B515" s="64"/>
      <c r="E515" s="65"/>
      <c r="F515" s="68"/>
      <c r="G515" s="65"/>
      <c r="H515" s="65"/>
      <c r="I515" s="68"/>
      <c r="J515" s="65"/>
      <c r="K515" s="65"/>
      <c r="L515" s="65"/>
      <c r="M515" s="68"/>
      <c r="P515" s="67"/>
      <c r="S515" s="67"/>
      <c r="V515" s="67"/>
      <c r="W515" s="67"/>
      <c r="X515" s="68"/>
      <c r="AD515" s="65"/>
      <c r="AG515" s="65"/>
      <c r="AJ515" s="65"/>
      <c r="AK515" s="65"/>
      <c r="AL515" s="68"/>
      <c r="AO515" s="65"/>
      <c r="AR515" s="65"/>
      <c r="AU515" s="65"/>
      <c r="AV515" s="65"/>
      <c r="AW515" s="68"/>
    </row>
    <row r="516" ht="15.75" customHeight="1">
      <c r="A516" s="64"/>
      <c r="B516" s="64"/>
      <c r="E516" s="65"/>
      <c r="F516" s="68"/>
      <c r="G516" s="65"/>
      <c r="H516" s="65"/>
      <c r="I516" s="68"/>
      <c r="J516" s="65"/>
      <c r="K516" s="65"/>
      <c r="L516" s="65"/>
      <c r="M516" s="68"/>
      <c r="P516" s="67"/>
      <c r="S516" s="67"/>
      <c r="V516" s="67"/>
      <c r="W516" s="67"/>
      <c r="X516" s="68"/>
      <c r="AD516" s="65"/>
      <c r="AG516" s="65"/>
      <c r="AJ516" s="65"/>
      <c r="AK516" s="65"/>
      <c r="AL516" s="68"/>
      <c r="AO516" s="65"/>
      <c r="AR516" s="65"/>
      <c r="AU516" s="65"/>
      <c r="AV516" s="65"/>
      <c r="AW516" s="68"/>
    </row>
    <row r="517" ht="15.75" customHeight="1">
      <c r="A517" s="64"/>
      <c r="B517" s="64"/>
      <c r="E517" s="65"/>
      <c r="F517" s="68"/>
      <c r="G517" s="65"/>
      <c r="H517" s="65"/>
      <c r="I517" s="68"/>
      <c r="J517" s="65"/>
      <c r="K517" s="65"/>
      <c r="L517" s="65"/>
      <c r="M517" s="68"/>
      <c r="P517" s="67"/>
      <c r="S517" s="67"/>
      <c r="V517" s="67"/>
      <c r="W517" s="67"/>
      <c r="X517" s="68"/>
      <c r="AD517" s="65"/>
      <c r="AG517" s="65"/>
      <c r="AJ517" s="65"/>
      <c r="AK517" s="65"/>
      <c r="AL517" s="68"/>
      <c r="AO517" s="65"/>
      <c r="AR517" s="65"/>
      <c r="AU517" s="65"/>
      <c r="AV517" s="65"/>
      <c r="AW517" s="68"/>
    </row>
    <row r="518" ht="15.75" customHeight="1">
      <c r="A518" s="64"/>
      <c r="B518" s="64"/>
      <c r="E518" s="65"/>
      <c r="F518" s="68"/>
      <c r="G518" s="65"/>
      <c r="H518" s="65"/>
      <c r="I518" s="68"/>
      <c r="J518" s="65"/>
      <c r="K518" s="65"/>
      <c r="L518" s="65"/>
      <c r="M518" s="68"/>
      <c r="P518" s="67"/>
      <c r="S518" s="67"/>
      <c r="V518" s="67"/>
      <c r="W518" s="67"/>
      <c r="X518" s="68"/>
      <c r="AD518" s="65"/>
      <c r="AG518" s="65"/>
      <c r="AJ518" s="65"/>
      <c r="AK518" s="65"/>
      <c r="AL518" s="68"/>
      <c r="AO518" s="65"/>
      <c r="AR518" s="65"/>
      <c r="AU518" s="65"/>
      <c r="AV518" s="65"/>
      <c r="AW518" s="68"/>
    </row>
    <row r="519" ht="15.75" customHeight="1">
      <c r="A519" s="64"/>
      <c r="B519" s="64"/>
      <c r="E519" s="65"/>
      <c r="F519" s="68"/>
      <c r="G519" s="65"/>
      <c r="H519" s="65"/>
      <c r="I519" s="68"/>
      <c r="J519" s="65"/>
      <c r="K519" s="65"/>
      <c r="L519" s="65"/>
      <c r="M519" s="68"/>
      <c r="P519" s="67"/>
      <c r="S519" s="67"/>
      <c r="V519" s="67"/>
      <c r="W519" s="67"/>
      <c r="X519" s="68"/>
      <c r="AD519" s="65"/>
      <c r="AG519" s="65"/>
      <c r="AJ519" s="65"/>
      <c r="AK519" s="65"/>
      <c r="AL519" s="68"/>
      <c r="AO519" s="65"/>
      <c r="AR519" s="65"/>
      <c r="AU519" s="65"/>
      <c r="AV519" s="65"/>
      <c r="AW519" s="68"/>
    </row>
    <row r="520" ht="15.75" customHeight="1">
      <c r="A520" s="64"/>
      <c r="B520" s="64"/>
      <c r="E520" s="65"/>
      <c r="F520" s="68"/>
      <c r="G520" s="65"/>
      <c r="H520" s="65"/>
      <c r="I520" s="68"/>
      <c r="J520" s="65"/>
      <c r="K520" s="65"/>
      <c r="L520" s="65"/>
      <c r="M520" s="68"/>
      <c r="P520" s="67"/>
      <c r="S520" s="67"/>
      <c r="V520" s="67"/>
      <c r="W520" s="67"/>
      <c r="X520" s="68"/>
      <c r="AD520" s="65"/>
      <c r="AG520" s="65"/>
      <c r="AJ520" s="65"/>
      <c r="AK520" s="65"/>
      <c r="AL520" s="68"/>
      <c r="AO520" s="65"/>
      <c r="AR520" s="65"/>
      <c r="AU520" s="65"/>
      <c r="AV520" s="65"/>
      <c r="AW520" s="68"/>
    </row>
    <row r="521" ht="15.75" customHeight="1">
      <c r="A521" s="64"/>
      <c r="B521" s="64"/>
      <c r="E521" s="65"/>
      <c r="F521" s="68"/>
      <c r="G521" s="65"/>
      <c r="H521" s="65"/>
      <c r="I521" s="68"/>
      <c r="J521" s="65"/>
      <c r="K521" s="65"/>
      <c r="L521" s="65"/>
      <c r="M521" s="68"/>
      <c r="P521" s="67"/>
      <c r="S521" s="67"/>
      <c r="V521" s="67"/>
      <c r="W521" s="67"/>
      <c r="X521" s="68"/>
      <c r="AD521" s="65"/>
      <c r="AG521" s="65"/>
      <c r="AJ521" s="65"/>
      <c r="AK521" s="65"/>
      <c r="AL521" s="68"/>
      <c r="AO521" s="65"/>
      <c r="AR521" s="65"/>
      <c r="AU521" s="65"/>
      <c r="AV521" s="65"/>
      <c r="AW521" s="68"/>
    </row>
    <row r="522" ht="15.75" customHeight="1">
      <c r="A522" s="64"/>
      <c r="B522" s="64"/>
      <c r="E522" s="65"/>
      <c r="F522" s="68"/>
      <c r="G522" s="65"/>
      <c r="H522" s="65"/>
      <c r="I522" s="68"/>
      <c r="J522" s="65"/>
      <c r="K522" s="65"/>
      <c r="L522" s="65"/>
      <c r="M522" s="68"/>
      <c r="P522" s="67"/>
      <c r="S522" s="67"/>
      <c r="V522" s="67"/>
      <c r="W522" s="67"/>
      <c r="X522" s="68"/>
      <c r="AD522" s="65"/>
      <c r="AG522" s="65"/>
      <c r="AJ522" s="65"/>
      <c r="AK522" s="65"/>
      <c r="AL522" s="68"/>
      <c r="AO522" s="65"/>
      <c r="AR522" s="65"/>
      <c r="AU522" s="65"/>
      <c r="AV522" s="65"/>
      <c r="AW522" s="68"/>
    </row>
    <row r="523" ht="15.75" customHeight="1">
      <c r="A523" s="64"/>
      <c r="B523" s="64"/>
      <c r="E523" s="65"/>
      <c r="F523" s="68"/>
      <c r="G523" s="65"/>
      <c r="H523" s="65"/>
      <c r="I523" s="68"/>
      <c r="J523" s="65"/>
      <c r="K523" s="65"/>
      <c r="L523" s="65"/>
      <c r="M523" s="68"/>
      <c r="P523" s="67"/>
      <c r="S523" s="67"/>
      <c r="V523" s="67"/>
      <c r="W523" s="67"/>
      <c r="X523" s="68"/>
      <c r="AD523" s="65"/>
      <c r="AG523" s="65"/>
      <c r="AJ523" s="65"/>
      <c r="AK523" s="65"/>
      <c r="AL523" s="68"/>
      <c r="AO523" s="65"/>
      <c r="AR523" s="65"/>
      <c r="AU523" s="65"/>
      <c r="AV523" s="65"/>
      <c r="AW523" s="68"/>
    </row>
    <row r="524" ht="15.75" customHeight="1">
      <c r="A524" s="64"/>
      <c r="B524" s="64"/>
      <c r="E524" s="65"/>
      <c r="F524" s="68"/>
      <c r="G524" s="65"/>
      <c r="H524" s="65"/>
      <c r="I524" s="68"/>
      <c r="J524" s="65"/>
      <c r="K524" s="65"/>
      <c r="L524" s="65"/>
      <c r="M524" s="68"/>
      <c r="P524" s="67"/>
      <c r="S524" s="67"/>
      <c r="V524" s="67"/>
      <c r="W524" s="67"/>
      <c r="X524" s="68"/>
      <c r="AD524" s="65"/>
      <c r="AG524" s="65"/>
      <c r="AJ524" s="65"/>
      <c r="AK524" s="65"/>
      <c r="AL524" s="68"/>
      <c r="AO524" s="65"/>
      <c r="AR524" s="65"/>
      <c r="AU524" s="65"/>
      <c r="AV524" s="65"/>
      <c r="AW524" s="68"/>
    </row>
    <row r="525" ht="15.75" customHeight="1">
      <c r="A525" s="64"/>
      <c r="B525" s="64"/>
      <c r="E525" s="65"/>
      <c r="F525" s="68"/>
      <c r="G525" s="65"/>
      <c r="H525" s="65"/>
      <c r="I525" s="68"/>
      <c r="J525" s="65"/>
      <c r="K525" s="65"/>
      <c r="L525" s="65"/>
      <c r="M525" s="68"/>
      <c r="P525" s="67"/>
      <c r="S525" s="67"/>
      <c r="V525" s="67"/>
      <c r="W525" s="67"/>
      <c r="X525" s="68"/>
      <c r="AD525" s="65"/>
      <c r="AG525" s="65"/>
      <c r="AJ525" s="65"/>
      <c r="AK525" s="65"/>
      <c r="AL525" s="68"/>
      <c r="AO525" s="65"/>
      <c r="AR525" s="65"/>
      <c r="AU525" s="65"/>
      <c r="AV525" s="65"/>
      <c r="AW525" s="68"/>
    </row>
    <row r="526" ht="15.75" customHeight="1">
      <c r="A526" s="64"/>
      <c r="B526" s="64"/>
      <c r="E526" s="65"/>
      <c r="F526" s="68"/>
      <c r="G526" s="65"/>
      <c r="H526" s="65"/>
      <c r="I526" s="68"/>
      <c r="J526" s="65"/>
      <c r="K526" s="65"/>
      <c r="L526" s="65"/>
      <c r="M526" s="68"/>
      <c r="P526" s="67"/>
      <c r="S526" s="67"/>
      <c r="V526" s="67"/>
      <c r="W526" s="67"/>
      <c r="X526" s="68"/>
      <c r="AD526" s="65"/>
      <c r="AG526" s="65"/>
      <c r="AJ526" s="65"/>
      <c r="AK526" s="65"/>
      <c r="AL526" s="68"/>
      <c r="AO526" s="65"/>
      <c r="AR526" s="65"/>
      <c r="AU526" s="65"/>
      <c r="AV526" s="65"/>
      <c r="AW526" s="68"/>
    </row>
    <row r="527" ht="15.75" customHeight="1">
      <c r="A527" s="64"/>
      <c r="B527" s="64"/>
      <c r="E527" s="65"/>
      <c r="F527" s="68"/>
      <c r="G527" s="65"/>
      <c r="H527" s="65"/>
      <c r="I527" s="68"/>
      <c r="J527" s="65"/>
      <c r="K527" s="65"/>
      <c r="L527" s="65"/>
      <c r="M527" s="68"/>
      <c r="P527" s="67"/>
      <c r="S527" s="67"/>
      <c r="V527" s="67"/>
      <c r="W527" s="67"/>
      <c r="X527" s="68"/>
      <c r="AD527" s="65"/>
      <c r="AG527" s="65"/>
      <c r="AJ527" s="65"/>
      <c r="AK527" s="65"/>
      <c r="AL527" s="68"/>
      <c r="AO527" s="65"/>
      <c r="AR527" s="65"/>
      <c r="AU527" s="65"/>
      <c r="AV527" s="65"/>
      <c r="AW527" s="68"/>
    </row>
    <row r="528" ht="15.75" customHeight="1">
      <c r="A528" s="64"/>
      <c r="B528" s="64"/>
      <c r="E528" s="65"/>
      <c r="F528" s="68"/>
      <c r="G528" s="65"/>
      <c r="H528" s="65"/>
      <c r="I528" s="68"/>
      <c r="J528" s="65"/>
      <c r="K528" s="65"/>
      <c r="L528" s="65"/>
      <c r="M528" s="68"/>
      <c r="P528" s="67"/>
      <c r="S528" s="67"/>
      <c r="V528" s="67"/>
      <c r="W528" s="67"/>
      <c r="X528" s="68"/>
      <c r="AD528" s="65"/>
      <c r="AG528" s="65"/>
      <c r="AJ528" s="65"/>
      <c r="AK528" s="65"/>
      <c r="AL528" s="68"/>
      <c r="AO528" s="65"/>
      <c r="AR528" s="65"/>
      <c r="AU528" s="65"/>
      <c r="AV528" s="65"/>
      <c r="AW528" s="68"/>
    </row>
    <row r="529" ht="15.75" customHeight="1">
      <c r="A529" s="64"/>
      <c r="B529" s="64"/>
      <c r="E529" s="65"/>
      <c r="F529" s="68"/>
      <c r="G529" s="65"/>
      <c r="H529" s="65"/>
      <c r="I529" s="68"/>
      <c r="J529" s="65"/>
      <c r="K529" s="65"/>
      <c r="L529" s="65"/>
      <c r="M529" s="68"/>
      <c r="P529" s="67"/>
      <c r="S529" s="67"/>
      <c r="V529" s="67"/>
      <c r="W529" s="67"/>
      <c r="X529" s="68"/>
      <c r="AD529" s="65"/>
      <c r="AG529" s="65"/>
      <c r="AJ529" s="65"/>
      <c r="AK529" s="65"/>
      <c r="AL529" s="68"/>
      <c r="AO529" s="65"/>
      <c r="AR529" s="65"/>
      <c r="AU529" s="65"/>
      <c r="AV529" s="65"/>
      <c r="AW529" s="68"/>
    </row>
    <row r="530" ht="15.75" customHeight="1">
      <c r="A530" s="64"/>
      <c r="B530" s="64"/>
      <c r="E530" s="65"/>
      <c r="F530" s="68"/>
      <c r="G530" s="65"/>
      <c r="H530" s="65"/>
      <c r="I530" s="68"/>
      <c r="J530" s="65"/>
      <c r="K530" s="65"/>
      <c r="L530" s="65"/>
      <c r="M530" s="68"/>
      <c r="P530" s="67"/>
      <c r="S530" s="67"/>
      <c r="V530" s="67"/>
      <c r="W530" s="67"/>
      <c r="X530" s="68"/>
      <c r="AD530" s="65"/>
      <c r="AG530" s="65"/>
      <c r="AJ530" s="65"/>
      <c r="AK530" s="65"/>
      <c r="AL530" s="68"/>
      <c r="AO530" s="65"/>
      <c r="AR530" s="65"/>
      <c r="AU530" s="65"/>
      <c r="AV530" s="65"/>
      <c r="AW530" s="68"/>
    </row>
    <row r="531" ht="15.75" customHeight="1">
      <c r="A531" s="64"/>
      <c r="B531" s="64"/>
      <c r="E531" s="65"/>
      <c r="F531" s="68"/>
      <c r="G531" s="65"/>
      <c r="H531" s="65"/>
      <c r="I531" s="68"/>
      <c r="J531" s="65"/>
      <c r="K531" s="65"/>
      <c r="L531" s="65"/>
      <c r="M531" s="68"/>
      <c r="P531" s="67"/>
      <c r="S531" s="67"/>
      <c r="V531" s="67"/>
      <c r="W531" s="67"/>
      <c r="X531" s="68"/>
      <c r="AD531" s="65"/>
      <c r="AG531" s="65"/>
      <c r="AJ531" s="65"/>
      <c r="AK531" s="65"/>
      <c r="AL531" s="68"/>
      <c r="AO531" s="65"/>
      <c r="AR531" s="65"/>
      <c r="AU531" s="65"/>
      <c r="AV531" s="65"/>
      <c r="AW531" s="68"/>
    </row>
    <row r="532" ht="15.75" customHeight="1">
      <c r="A532" s="64"/>
      <c r="B532" s="64"/>
      <c r="E532" s="65"/>
      <c r="F532" s="68"/>
      <c r="G532" s="65"/>
      <c r="H532" s="65"/>
      <c r="I532" s="68"/>
      <c r="J532" s="65"/>
      <c r="K532" s="65"/>
      <c r="L532" s="65"/>
      <c r="M532" s="68"/>
      <c r="P532" s="67"/>
      <c r="S532" s="67"/>
      <c r="V532" s="67"/>
      <c r="W532" s="67"/>
      <c r="X532" s="68"/>
      <c r="AD532" s="65"/>
      <c r="AG532" s="65"/>
      <c r="AJ532" s="65"/>
      <c r="AK532" s="65"/>
      <c r="AL532" s="68"/>
      <c r="AO532" s="65"/>
      <c r="AR532" s="65"/>
      <c r="AU532" s="65"/>
      <c r="AV532" s="65"/>
      <c r="AW532" s="68"/>
    </row>
    <row r="533" ht="15.75" customHeight="1">
      <c r="A533" s="64"/>
      <c r="B533" s="64"/>
      <c r="E533" s="65"/>
      <c r="F533" s="68"/>
      <c r="G533" s="65"/>
      <c r="H533" s="65"/>
      <c r="I533" s="68"/>
      <c r="J533" s="65"/>
      <c r="K533" s="65"/>
      <c r="L533" s="65"/>
      <c r="M533" s="68"/>
      <c r="P533" s="67"/>
      <c r="S533" s="67"/>
      <c r="V533" s="67"/>
      <c r="W533" s="67"/>
      <c r="X533" s="68"/>
      <c r="AD533" s="65"/>
      <c r="AG533" s="65"/>
      <c r="AJ533" s="65"/>
      <c r="AK533" s="65"/>
      <c r="AL533" s="68"/>
      <c r="AO533" s="65"/>
      <c r="AR533" s="65"/>
      <c r="AU533" s="65"/>
      <c r="AV533" s="65"/>
      <c r="AW533" s="68"/>
    </row>
    <row r="534" ht="15.75" customHeight="1">
      <c r="A534" s="64"/>
      <c r="B534" s="64"/>
      <c r="E534" s="65"/>
      <c r="F534" s="68"/>
      <c r="G534" s="65"/>
      <c r="H534" s="65"/>
      <c r="I534" s="68"/>
      <c r="J534" s="65"/>
      <c r="K534" s="65"/>
      <c r="L534" s="65"/>
      <c r="M534" s="68"/>
      <c r="P534" s="67"/>
      <c r="S534" s="67"/>
      <c r="V534" s="67"/>
      <c r="W534" s="67"/>
      <c r="X534" s="68"/>
      <c r="AD534" s="65"/>
      <c r="AG534" s="65"/>
      <c r="AJ534" s="65"/>
      <c r="AK534" s="65"/>
      <c r="AL534" s="68"/>
      <c r="AO534" s="65"/>
      <c r="AR534" s="65"/>
      <c r="AU534" s="65"/>
      <c r="AV534" s="65"/>
      <c r="AW534" s="68"/>
    </row>
    <row r="535" ht="15.75" customHeight="1">
      <c r="A535" s="64"/>
      <c r="B535" s="64"/>
      <c r="E535" s="65"/>
      <c r="F535" s="68"/>
      <c r="G535" s="65"/>
      <c r="H535" s="65"/>
      <c r="I535" s="68"/>
      <c r="J535" s="65"/>
      <c r="K535" s="65"/>
      <c r="L535" s="65"/>
      <c r="M535" s="68"/>
      <c r="P535" s="67"/>
      <c r="S535" s="67"/>
      <c r="V535" s="67"/>
      <c r="W535" s="67"/>
      <c r="X535" s="68"/>
      <c r="AD535" s="65"/>
      <c r="AG535" s="65"/>
      <c r="AJ535" s="65"/>
      <c r="AK535" s="65"/>
      <c r="AL535" s="68"/>
      <c r="AO535" s="65"/>
      <c r="AR535" s="65"/>
      <c r="AU535" s="65"/>
      <c r="AV535" s="65"/>
      <c r="AW535" s="68"/>
    </row>
    <row r="536" ht="15.75" customHeight="1">
      <c r="A536" s="64"/>
      <c r="B536" s="64"/>
      <c r="E536" s="65"/>
      <c r="F536" s="68"/>
      <c r="G536" s="65"/>
      <c r="H536" s="65"/>
      <c r="I536" s="68"/>
      <c r="J536" s="65"/>
      <c r="K536" s="65"/>
      <c r="L536" s="65"/>
      <c r="M536" s="68"/>
      <c r="P536" s="67"/>
      <c r="S536" s="67"/>
      <c r="V536" s="67"/>
      <c r="W536" s="67"/>
      <c r="X536" s="68"/>
      <c r="AD536" s="65"/>
      <c r="AG536" s="65"/>
      <c r="AJ536" s="65"/>
      <c r="AK536" s="65"/>
      <c r="AL536" s="68"/>
      <c r="AO536" s="65"/>
      <c r="AR536" s="65"/>
      <c r="AU536" s="65"/>
      <c r="AV536" s="65"/>
      <c r="AW536" s="68"/>
    </row>
    <row r="537" ht="15.75" customHeight="1">
      <c r="A537" s="64"/>
      <c r="B537" s="64"/>
      <c r="E537" s="65"/>
      <c r="F537" s="68"/>
      <c r="G537" s="65"/>
      <c r="H537" s="65"/>
      <c r="I537" s="68"/>
      <c r="J537" s="65"/>
      <c r="K537" s="65"/>
      <c r="L537" s="65"/>
      <c r="M537" s="68"/>
      <c r="P537" s="67"/>
      <c r="S537" s="67"/>
      <c r="V537" s="67"/>
      <c r="W537" s="67"/>
      <c r="X537" s="68"/>
      <c r="AD537" s="65"/>
      <c r="AG537" s="65"/>
      <c r="AJ537" s="65"/>
      <c r="AK537" s="65"/>
      <c r="AL537" s="68"/>
      <c r="AO537" s="65"/>
      <c r="AR537" s="65"/>
      <c r="AU537" s="65"/>
      <c r="AV537" s="65"/>
      <c r="AW537" s="68"/>
    </row>
    <row r="538" ht="15.75" customHeight="1">
      <c r="A538" s="64"/>
      <c r="B538" s="64"/>
      <c r="E538" s="65"/>
      <c r="F538" s="68"/>
      <c r="G538" s="65"/>
      <c r="H538" s="65"/>
      <c r="I538" s="68"/>
      <c r="J538" s="65"/>
      <c r="K538" s="65"/>
      <c r="L538" s="65"/>
      <c r="M538" s="68"/>
      <c r="P538" s="67"/>
      <c r="S538" s="67"/>
      <c r="V538" s="67"/>
      <c r="W538" s="67"/>
      <c r="X538" s="68"/>
      <c r="AD538" s="65"/>
      <c r="AG538" s="65"/>
      <c r="AJ538" s="65"/>
      <c r="AK538" s="65"/>
      <c r="AL538" s="68"/>
      <c r="AO538" s="65"/>
      <c r="AR538" s="65"/>
      <c r="AU538" s="65"/>
      <c r="AV538" s="65"/>
      <c r="AW538" s="68"/>
    </row>
    <row r="539" ht="15.75" customHeight="1">
      <c r="A539" s="64"/>
      <c r="B539" s="64"/>
      <c r="E539" s="65"/>
      <c r="F539" s="68"/>
      <c r="G539" s="65"/>
      <c r="H539" s="65"/>
      <c r="I539" s="68"/>
      <c r="J539" s="65"/>
      <c r="K539" s="65"/>
      <c r="L539" s="65"/>
      <c r="M539" s="68"/>
      <c r="P539" s="67"/>
      <c r="S539" s="67"/>
      <c r="V539" s="67"/>
      <c r="W539" s="67"/>
      <c r="X539" s="68"/>
      <c r="AD539" s="65"/>
      <c r="AG539" s="65"/>
      <c r="AJ539" s="65"/>
      <c r="AK539" s="65"/>
      <c r="AL539" s="68"/>
      <c r="AO539" s="65"/>
      <c r="AR539" s="65"/>
      <c r="AU539" s="65"/>
      <c r="AV539" s="65"/>
      <c r="AW539" s="68"/>
    </row>
    <row r="540" ht="15.75" customHeight="1">
      <c r="A540" s="64"/>
      <c r="B540" s="64"/>
      <c r="E540" s="65"/>
      <c r="F540" s="68"/>
      <c r="G540" s="65"/>
      <c r="H540" s="65"/>
      <c r="I540" s="68"/>
      <c r="J540" s="65"/>
      <c r="K540" s="65"/>
      <c r="L540" s="65"/>
      <c r="M540" s="68"/>
      <c r="P540" s="67"/>
      <c r="S540" s="67"/>
      <c r="V540" s="67"/>
      <c r="W540" s="67"/>
      <c r="X540" s="68"/>
      <c r="AD540" s="65"/>
      <c r="AG540" s="65"/>
      <c r="AJ540" s="65"/>
      <c r="AK540" s="65"/>
      <c r="AL540" s="68"/>
      <c r="AO540" s="65"/>
      <c r="AR540" s="65"/>
      <c r="AU540" s="65"/>
      <c r="AV540" s="65"/>
      <c r="AW540" s="68"/>
    </row>
    <row r="541" ht="15.75" customHeight="1">
      <c r="A541" s="64"/>
      <c r="B541" s="64"/>
      <c r="E541" s="65"/>
      <c r="F541" s="68"/>
      <c r="G541" s="65"/>
      <c r="H541" s="65"/>
      <c r="I541" s="68"/>
      <c r="J541" s="65"/>
      <c r="K541" s="65"/>
      <c r="L541" s="65"/>
      <c r="M541" s="68"/>
      <c r="P541" s="67"/>
      <c r="S541" s="67"/>
      <c r="V541" s="67"/>
      <c r="W541" s="67"/>
      <c r="X541" s="68"/>
      <c r="AD541" s="65"/>
      <c r="AG541" s="65"/>
      <c r="AJ541" s="65"/>
      <c r="AK541" s="65"/>
      <c r="AL541" s="68"/>
      <c r="AO541" s="65"/>
      <c r="AR541" s="65"/>
      <c r="AU541" s="65"/>
      <c r="AV541" s="65"/>
      <c r="AW541" s="68"/>
    </row>
    <row r="542" ht="15.75" customHeight="1">
      <c r="A542" s="64"/>
      <c r="B542" s="64"/>
      <c r="E542" s="65"/>
      <c r="F542" s="68"/>
      <c r="G542" s="65"/>
      <c r="H542" s="65"/>
      <c r="I542" s="68"/>
      <c r="J542" s="65"/>
      <c r="K542" s="65"/>
      <c r="L542" s="65"/>
      <c r="M542" s="68"/>
      <c r="P542" s="67"/>
      <c r="S542" s="67"/>
      <c r="V542" s="67"/>
      <c r="W542" s="67"/>
      <c r="X542" s="68"/>
      <c r="AD542" s="65"/>
      <c r="AG542" s="65"/>
      <c r="AJ542" s="65"/>
      <c r="AK542" s="65"/>
      <c r="AL542" s="68"/>
      <c r="AO542" s="65"/>
      <c r="AR542" s="65"/>
      <c r="AU542" s="65"/>
      <c r="AV542" s="65"/>
      <c r="AW542" s="68"/>
    </row>
    <row r="543" ht="15.75" customHeight="1">
      <c r="A543" s="64"/>
      <c r="B543" s="64"/>
      <c r="E543" s="65"/>
      <c r="F543" s="68"/>
      <c r="G543" s="65"/>
      <c r="H543" s="65"/>
      <c r="I543" s="68"/>
      <c r="J543" s="65"/>
      <c r="K543" s="65"/>
      <c r="L543" s="65"/>
      <c r="M543" s="68"/>
      <c r="P543" s="67"/>
      <c r="S543" s="67"/>
      <c r="V543" s="67"/>
      <c r="W543" s="67"/>
      <c r="X543" s="68"/>
      <c r="AD543" s="65"/>
      <c r="AG543" s="65"/>
      <c r="AJ543" s="65"/>
      <c r="AK543" s="65"/>
      <c r="AL543" s="68"/>
      <c r="AO543" s="65"/>
      <c r="AR543" s="65"/>
      <c r="AU543" s="65"/>
      <c r="AV543" s="65"/>
      <c r="AW543" s="68"/>
    </row>
    <row r="544" ht="15.75" customHeight="1">
      <c r="A544" s="64"/>
      <c r="B544" s="64"/>
      <c r="E544" s="65"/>
      <c r="F544" s="68"/>
      <c r="G544" s="65"/>
      <c r="H544" s="65"/>
      <c r="I544" s="68"/>
      <c r="J544" s="65"/>
      <c r="K544" s="65"/>
      <c r="L544" s="65"/>
      <c r="M544" s="68"/>
      <c r="P544" s="67"/>
      <c r="S544" s="67"/>
      <c r="V544" s="67"/>
      <c r="W544" s="67"/>
      <c r="X544" s="68"/>
      <c r="AD544" s="65"/>
      <c r="AG544" s="65"/>
      <c r="AJ544" s="65"/>
      <c r="AK544" s="65"/>
      <c r="AL544" s="68"/>
      <c r="AO544" s="65"/>
      <c r="AR544" s="65"/>
      <c r="AU544" s="65"/>
      <c r="AV544" s="65"/>
      <c r="AW544" s="68"/>
    </row>
    <row r="545" ht="15.75" customHeight="1">
      <c r="A545" s="64"/>
      <c r="B545" s="64"/>
      <c r="E545" s="65"/>
      <c r="F545" s="68"/>
      <c r="G545" s="65"/>
      <c r="H545" s="65"/>
      <c r="I545" s="68"/>
      <c r="J545" s="65"/>
      <c r="K545" s="65"/>
      <c r="L545" s="65"/>
      <c r="M545" s="68"/>
      <c r="P545" s="67"/>
      <c r="S545" s="67"/>
      <c r="V545" s="67"/>
      <c r="W545" s="67"/>
      <c r="X545" s="68"/>
      <c r="AD545" s="65"/>
      <c r="AG545" s="65"/>
      <c r="AJ545" s="65"/>
      <c r="AK545" s="65"/>
      <c r="AL545" s="68"/>
      <c r="AO545" s="65"/>
      <c r="AR545" s="65"/>
      <c r="AU545" s="65"/>
      <c r="AV545" s="65"/>
      <c r="AW545" s="68"/>
    </row>
    <row r="546" ht="15.75" customHeight="1">
      <c r="A546" s="64"/>
      <c r="B546" s="64"/>
      <c r="E546" s="65"/>
      <c r="F546" s="68"/>
      <c r="G546" s="65"/>
      <c r="H546" s="65"/>
      <c r="I546" s="68"/>
      <c r="J546" s="65"/>
      <c r="K546" s="65"/>
      <c r="L546" s="65"/>
      <c r="M546" s="68"/>
      <c r="P546" s="67"/>
      <c r="S546" s="67"/>
      <c r="V546" s="67"/>
      <c r="W546" s="67"/>
      <c r="X546" s="68"/>
      <c r="AD546" s="65"/>
      <c r="AG546" s="65"/>
      <c r="AJ546" s="65"/>
      <c r="AK546" s="65"/>
      <c r="AL546" s="68"/>
      <c r="AO546" s="65"/>
      <c r="AR546" s="65"/>
      <c r="AU546" s="65"/>
      <c r="AV546" s="65"/>
      <c r="AW546" s="68"/>
    </row>
    <row r="547" ht="15.75" customHeight="1">
      <c r="A547" s="64"/>
      <c r="B547" s="64"/>
      <c r="E547" s="65"/>
      <c r="F547" s="68"/>
      <c r="G547" s="65"/>
      <c r="H547" s="65"/>
      <c r="I547" s="68"/>
      <c r="J547" s="65"/>
      <c r="K547" s="65"/>
      <c r="L547" s="65"/>
      <c r="M547" s="68"/>
      <c r="P547" s="67"/>
      <c r="S547" s="67"/>
      <c r="V547" s="67"/>
      <c r="W547" s="67"/>
      <c r="X547" s="68"/>
      <c r="AD547" s="65"/>
      <c r="AG547" s="65"/>
      <c r="AJ547" s="65"/>
      <c r="AK547" s="65"/>
      <c r="AL547" s="68"/>
      <c r="AO547" s="65"/>
      <c r="AR547" s="65"/>
      <c r="AU547" s="65"/>
      <c r="AV547" s="65"/>
      <c r="AW547" s="68"/>
    </row>
    <row r="548" ht="15.75" customHeight="1">
      <c r="A548" s="64"/>
      <c r="B548" s="64"/>
      <c r="E548" s="65"/>
      <c r="F548" s="68"/>
      <c r="G548" s="65"/>
      <c r="H548" s="65"/>
      <c r="I548" s="68"/>
      <c r="J548" s="65"/>
      <c r="K548" s="65"/>
      <c r="L548" s="65"/>
      <c r="M548" s="68"/>
      <c r="P548" s="67"/>
      <c r="S548" s="67"/>
      <c r="V548" s="67"/>
      <c r="W548" s="67"/>
      <c r="X548" s="68"/>
      <c r="AD548" s="65"/>
      <c r="AG548" s="65"/>
      <c r="AJ548" s="65"/>
      <c r="AK548" s="65"/>
      <c r="AL548" s="68"/>
      <c r="AO548" s="65"/>
      <c r="AR548" s="65"/>
      <c r="AU548" s="65"/>
      <c r="AV548" s="65"/>
      <c r="AW548" s="68"/>
    </row>
    <row r="549" ht="15.75" customHeight="1">
      <c r="A549" s="64"/>
      <c r="B549" s="64"/>
      <c r="E549" s="65"/>
      <c r="F549" s="68"/>
      <c r="G549" s="65"/>
      <c r="H549" s="65"/>
      <c r="I549" s="68"/>
      <c r="J549" s="65"/>
      <c r="K549" s="65"/>
      <c r="L549" s="65"/>
      <c r="M549" s="68"/>
      <c r="P549" s="67"/>
      <c r="S549" s="67"/>
      <c r="V549" s="67"/>
      <c r="W549" s="67"/>
      <c r="X549" s="68"/>
      <c r="AD549" s="65"/>
      <c r="AG549" s="65"/>
      <c r="AJ549" s="65"/>
      <c r="AK549" s="65"/>
      <c r="AL549" s="68"/>
      <c r="AO549" s="65"/>
      <c r="AR549" s="65"/>
      <c r="AU549" s="65"/>
      <c r="AV549" s="65"/>
      <c r="AW549" s="68"/>
    </row>
    <row r="550" ht="15.75" customHeight="1">
      <c r="A550" s="64"/>
      <c r="B550" s="64"/>
      <c r="E550" s="65"/>
      <c r="F550" s="68"/>
      <c r="G550" s="65"/>
      <c r="H550" s="65"/>
      <c r="I550" s="68"/>
      <c r="J550" s="65"/>
      <c r="K550" s="65"/>
      <c r="L550" s="65"/>
      <c r="M550" s="68"/>
      <c r="P550" s="67"/>
      <c r="S550" s="67"/>
      <c r="V550" s="67"/>
      <c r="W550" s="67"/>
      <c r="X550" s="68"/>
      <c r="AD550" s="65"/>
      <c r="AG550" s="65"/>
      <c r="AJ550" s="65"/>
      <c r="AK550" s="65"/>
      <c r="AL550" s="68"/>
      <c r="AO550" s="65"/>
      <c r="AR550" s="65"/>
      <c r="AU550" s="65"/>
      <c r="AV550" s="65"/>
      <c r="AW550" s="68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2.25"/>
    <col customWidth="1" min="3" max="6" width="12.63"/>
  </cols>
  <sheetData>
    <row r="1" ht="15.75" customHeight="1">
      <c r="A1" s="70" t="s">
        <v>0</v>
      </c>
      <c r="B1" s="70" t="s">
        <v>1</v>
      </c>
      <c r="C1" s="91" t="s">
        <v>376</v>
      </c>
      <c r="D1" s="91" t="s">
        <v>377</v>
      </c>
    </row>
    <row r="2" ht="15.75" customHeight="1">
      <c r="A2" s="29">
        <v>10101.0</v>
      </c>
      <c r="B2" s="76" t="s">
        <v>8</v>
      </c>
      <c r="C2" s="78">
        <v>7.236581305033236</v>
      </c>
      <c r="D2" s="81">
        <v>1.9533774934267436</v>
      </c>
    </row>
    <row r="3" ht="15.75" customHeight="1">
      <c r="A3" s="29">
        <v>10102.0</v>
      </c>
      <c r="B3" s="76" t="s">
        <v>9</v>
      </c>
      <c r="C3" s="78">
        <v>7.720485884367193</v>
      </c>
      <c r="D3" s="81">
        <v>5.2125608597958974</v>
      </c>
    </row>
    <row r="4" ht="15.75" customHeight="1">
      <c r="A4" s="29">
        <v>10103.0</v>
      </c>
      <c r="B4" s="76" t="s">
        <v>10</v>
      </c>
      <c r="C4" s="78">
        <v>1.3885018759273002</v>
      </c>
      <c r="D4" s="81">
        <v>1.2242123950310184</v>
      </c>
    </row>
    <row r="5" ht="15.75" customHeight="1">
      <c r="A5" s="29">
        <v>10201.0</v>
      </c>
      <c r="B5" s="76" t="s">
        <v>11</v>
      </c>
      <c r="C5" s="78">
        <v>5.734942135329486</v>
      </c>
      <c r="D5" s="81">
        <v>1.0194578889225283</v>
      </c>
    </row>
    <row r="6" ht="15.75" customHeight="1">
      <c r="A6" s="29">
        <v>10202.0</v>
      </c>
      <c r="B6" s="76" t="s">
        <v>12</v>
      </c>
      <c r="C6" s="78">
        <v>0.0</v>
      </c>
      <c r="D6" s="81">
        <v>0.0</v>
      </c>
    </row>
    <row r="7" ht="15.75" customHeight="1">
      <c r="A7" s="29">
        <v>10301.0</v>
      </c>
      <c r="B7" s="76" t="s">
        <v>13</v>
      </c>
      <c r="C7" s="78">
        <v>5.649383613420245</v>
      </c>
      <c r="D7" s="81">
        <v>6.023189379192256</v>
      </c>
    </row>
    <row r="8" ht="15.75" customHeight="1">
      <c r="A8" s="29">
        <v>10302.0</v>
      </c>
      <c r="B8" s="76" t="s">
        <v>14</v>
      </c>
      <c r="C8" s="78">
        <v>0.0</v>
      </c>
      <c r="D8" s="81">
        <v>0.0</v>
      </c>
    </row>
    <row r="9" ht="15.75" customHeight="1">
      <c r="A9" s="29">
        <v>10303.0</v>
      </c>
      <c r="B9" s="76" t="s">
        <v>15</v>
      </c>
      <c r="C9" s="78">
        <v>6.9491232952264275</v>
      </c>
      <c r="D9" s="81">
        <v>4.45819184950967</v>
      </c>
    </row>
    <row r="10" ht="15.75" customHeight="1">
      <c r="A10" s="29">
        <v>10304.0</v>
      </c>
      <c r="B10" s="76" t="s">
        <v>16</v>
      </c>
      <c r="C10" s="78">
        <v>4.600592353090624</v>
      </c>
      <c r="D10" s="81">
        <v>2.3785308984263978</v>
      </c>
    </row>
    <row r="11" ht="15.75" customHeight="1">
      <c r="A11" s="29">
        <v>10401.0</v>
      </c>
      <c r="B11" s="76" t="s">
        <v>17</v>
      </c>
      <c r="C11" s="78">
        <v>10.177195514215354</v>
      </c>
      <c r="D11" s="81">
        <v>5.597430496231296</v>
      </c>
    </row>
    <row r="12" ht="15.75" customHeight="1">
      <c r="A12" s="29">
        <v>10402.0</v>
      </c>
      <c r="B12" s="76" t="s">
        <v>18</v>
      </c>
      <c r="C12" s="78">
        <v>7.315748549750587</v>
      </c>
      <c r="D12" s="81">
        <v>2.4187610365802574</v>
      </c>
    </row>
    <row r="13" ht="15.75" customHeight="1">
      <c r="A13" s="29">
        <v>10403.0</v>
      </c>
      <c r="B13" s="76" t="s">
        <v>19</v>
      </c>
      <c r="C13" s="78">
        <v>0.0</v>
      </c>
      <c r="D13" s="81">
        <v>0.0</v>
      </c>
    </row>
    <row r="14" ht="15.75" customHeight="1">
      <c r="A14" s="29">
        <v>10404.0</v>
      </c>
      <c r="B14" s="76" t="s">
        <v>20</v>
      </c>
      <c r="C14" s="78">
        <v>2.704804992450885</v>
      </c>
      <c r="D14" s="81">
        <v>21.111987592111458</v>
      </c>
    </row>
    <row r="15" ht="15.75" customHeight="1">
      <c r="A15" s="29">
        <v>10405.0</v>
      </c>
      <c r="B15" s="76" t="s">
        <v>21</v>
      </c>
      <c r="C15" s="78">
        <v>6.789574166291434</v>
      </c>
      <c r="D15" s="81">
        <v>2.9398976826256393</v>
      </c>
    </row>
    <row r="16" ht="15.75" customHeight="1">
      <c r="A16" s="29">
        <v>10501.0</v>
      </c>
      <c r="B16" s="76" t="s">
        <v>22</v>
      </c>
      <c r="C16" s="78">
        <v>14.387820147888034</v>
      </c>
      <c r="D16" s="81">
        <v>19.194411679856987</v>
      </c>
    </row>
    <row r="17" ht="15.75" customHeight="1">
      <c r="A17" s="29">
        <v>10502.0</v>
      </c>
      <c r="B17" s="76" t="s">
        <v>23</v>
      </c>
      <c r="C17" s="78">
        <v>9.964576112724982</v>
      </c>
      <c r="D17" s="81">
        <v>14.135478453514201</v>
      </c>
    </row>
    <row r="18" ht="15.75" customHeight="1">
      <c r="A18" s="29">
        <v>10601.0</v>
      </c>
      <c r="B18" s="76" t="s">
        <v>24</v>
      </c>
      <c r="C18" s="78">
        <v>3.1827478348453133</v>
      </c>
      <c r="D18" s="81">
        <v>8.870176345575588</v>
      </c>
    </row>
    <row r="19" ht="15.75" customHeight="1">
      <c r="A19" s="29">
        <v>10602.0</v>
      </c>
      <c r="B19" s="76" t="s">
        <v>25</v>
      </c>
      <c r="C19" s="78">
        <v>0.615726281958851</v>
      </c>
      <c r="D19" s="81">
        <v>0.6965011258758921</v>
      </c>
    </row>
    <row r="20" ht="15.75" customHeight="1">
      <c r="A20" s="29">
        <v>10701.0</v>
      </c>
      <c r="B20" s="76" t="s">
        <v>26</v>
      </c>
      <c r="C20" s="78">
        <v>11.2230387982372</v>
      </c>
      <c r="D20" s="81">
        <v>17.626961211705492</v>
      </c>
    </row>
    <row r="21" ht="15.75" customHeight="1">
      <c r="A21" s="29">
        <v>10702.0</v>
      </c>
      <c r="B21" s="76" t="s">
        <v>27</v>
      </c>
      <c r="C21" s="78">
        <v>0.6822635906217448</v>
      </c>
      <c r="D21" s="81">
        <v>2.574190610345783</v>
      </c>
    </row>
    <row r="22" ht="15.75" customHeight="1">
      <c r="A22" s="29">
        <v>10703.0</v>
      </c>
      <c r="B22" s="76" t="s">
        <v>28</v>
      </c>
      <c r="C22" s="78">
        <v>4.388877687848198</v>
      </c>
      <c r="D22" s="81">
        <v>4.741997134631939</v>
      </c>
    </row>
    <row r="23" ht="15.75" customHeight="1">
      <c r="A23" s="29">
        <v>10704.0</v>
      </c>
      <c r="B23" s="76" t="s">
        <v>29</v>
      </c>
      <c r="C23" s="78">
        <v>6.718645555981257</v>
      </c>
      <c r="D23" s="81">
        <v>16.558920937414886</v>
      </c>
    </row>
    <row r="24" ht="15.75" customHeight="1">
      <c r="A24" s="29">
        <v>10801.0</v>
      </c>
      <c r="B24" s="76" t="s">
        <v>30</v>
      </c>
      <c r="C24" s="78">
        <v>14.009362646845817</v>
      </c>
      <c r="D24" s="81">
        <v>7.9231227125555534</v>
      </c>
    </row>
    <row r="25" ht="15.75" customHeight="1">
      <c r="A25" s="29">
        <v>10901.0</v>
      </c>
      <c r="B25" s="76" t="s">
        <v>31</v>
      </c>
      <c r="C25" s="78">
        <v>6.5189090622554255</v>
      </c>
      <c r="D25" s="81">
        <v>10.67720609666389</v>
      </c>
    </row>
    <row r="26" ht="15.75" customHeight="1">
      <c r="A26" s="29">
        <v>10902.0</v>
      </c>
      <c r="B26" s="76" t="s">
        <v>32</v>
      </c>
      <c r="C26" s="78">
        <v>9.110439522980414</v>
      </c>
      <c r="D26" s="81">
        <v>16.349767955497708</v>
      </c>
    </row>
    <row r="27" ht="15.75" customHeight="1">
      <c r="A27" s="29">
        <v>10903.0</v>
      </c>
      <c r="B27" s="76" t="s">
        <v>33</v>
      </c>
      <c r="C27" s="78">
        <v>2.378888208400164</v>
      </c>
      <c r="D27" s="81">
        <v>3.4793675081885755</v>
      </c>
    </row>
    <row r="28" ht="15.75" customHeight="1">
      <c r="A28" s="29">
        <v>11001.0</v>
      </c>
      <c r="B28" s="76" t="s">
        <v>34</v>
      </c>
      <c r="C28" s="78">
        <v>2.89682291359649</v>
      </c>
      <c r="D28" s="81">
        <v>7.276575363743277</v>
      </c>
    </row>
    <row r="29" ht="15.75" customHeight="1">
      <c r="A29" s="29">
        <v>11002.0</v>
      </c>
      <c r="B29" s="76" t="s">
        <v>35</v>
      </c>
      <c r="C29" s="78">
        <v>8.498918181130302</v>
      </c>
      <c r="D29" s="81">
        <v>5.8904380072747315</v>
      </c>
    </row>
    <row r="30" ht="15.75" customHeight="1">
      <c r="A30" s="29">
        <v>11003.0</v>
      </c>
      <c r="B30" s="76" t="s">
        <v>36</v>
      </c>
      <c r="C30" s="78">
        <v>9.817313328650842</v>
      </c>
      <c r="D30" s="81">
        <v>9.965957571009836</v>
      </c>
    </row>
    <row r="31" ht="15.75" customHeight="1">
      <c r="A31" s="29">
        <v>20101.0</v>
      </c>
      <c r="B31" s="76" t="s">
        <v>37</v>
      </c>
      <c r="C31" s="78">
        <v>84.31049902162395</v>
      </c>
      <c r="D31" s="81">
        <v>287.6535453704856</v>
      </c>
    </row>
    <row r="32" ht="15.75" customHeight="1">
      <c r="A32" s="29">
        <v>20102.0</v>
      </c>
      <c r="B32" s="76" t="s">
        <v>38</v>
      </c>
      <c r="C32" s="78">
        <v>0.38629983837592125</v>
      </c>
      <c r="D32" s="81">
        <v>1.9804504342879046</v>
      </c>
    </row>
    <row r="33" ht="15.75" customHeight="1">
      <c r="A33" s="29">
        <v>20103.0</v>
      </c>
      <c r="B33" s="76" t="s">
        <v>39</v>
      </c>
      <c r="C33" s="78">
        <v>4.087940477561506</v>
      </c>
      <c r="D33" s="81">
        <v>13.691146263007923</v>
      </c>
    </row>
    <row r="34" ht="15.75" customHeight="1">
      <c r="A34" s="29">
        <v>20104.0</v>
      </c>
      <c r="B34" s="76" t="s">
        <v>40</v>
      </c>
      <c r="C34" s="78">
        <v>12.99662025168197</v>
      </c>
      <c r="D34" s="81">
        <v>28.386495034626325</v>
      </c>
    </row>
    <row r="35" ht="15.75" customHeight="1">
      <c r="A35" s="29">
        <v>20105.0</v>
      </c>
      <c r="B35" s="76" t="s">
        <v>41</v>
      </c>
      <c r="C35" s="78">
        <v>30.971494297919055</v>
      </c>
      <c r="D35" s="81">
        <v>183.77925437902118</v>
      </c>
    </row>
    <row r="36" ht="15.75" customHeight="1">
      <c r="A36" s="29">
        <v>20201.0</v>
      </c>
      <c r="B36" s="76" t="s">
        <v>42</v>
      </c>
      <c r="C36" s="78">
        <v>11.88577988256506</v>
      </c>
      <c r="D36" s="81">
        <v>17.21860307483493</v>
      </c>
    </row>
    <row r="37" ht="15.75" customHeight="1">
      <c r="A37" s="29">
        <v>20202.0</v>
      </c>
      <c r="B37" s="76" t="s">
        <v>43</v>
      </c>
      <c r="C37" s="78">
        <v>0.6166681028968094</v>
      </c>
      <c r="D37" s="81">
        <v>1.6393802125574097</v>
      </c>
    </row>
    <row r="38" ht="15.75" customHeight="1">
      <c r="A38" s="29">
        <v>20203.0</v>
      </c>
      <c r="B38" s="76" t="s">
        <v>44</v>
      </c>
      <c r="C38" s="78">
        <v>4.342297075152756</v>
      </c>
      <c r="D38" s="81">
        <v>5.216470939818708</v>
      </c>
    </row>
    <row r="39" ht="15.75" customHeight="1">
      <c r="A39" s="29">
        <v>20204.0</v>
      </c>
      <c r="B39" s="76" t="s">
        <v>45</v>
      </c>
      <c r="C39" s="78">
        <v>3.9930423224356733</v>
      </c>
      <c r="D39" s="81">
        <v>6.962336787660629</v>
      </c>
    </row>
    <row r="40" ht="15.75" customHeight="1">
      <c r="A40" s="29">
        <v>20205.0</v>
      </c>
      <c r="B40" s="76" t="s">
        <v>46</v>
      </c>
      <c r="C40" s="78">
        <v>1.919496324164539</v>
      </c>
      <c r="D40" s="81">
        <v>11.445517252257972</v>
      </c>
    </row>
    <row r="41" ht="15.75" customHeight="1">
      <c r="A41" s="29">
        <v>20206.0</v>
      </c>
      <c r="B41" s="76" t="s">
        <v>47</v>
      </c>
      <c r="C41" s="78">
        <v>0.7643517957419302</v>
      </c>
      <c r="D41" s="81">
        <v>2.312255796096274</v>
      </c>
    </row>
    <row r="42" ht="15.75" customHeight="1">
      <c r="A42" s="29">
        <v>20301.0</v>
      </c>
      <c r="B42" s="76" t="s">
        <v>48</v>
      </c>
      <c r="C42" s="78">
        <v>0.7722562241236698</v>
      </c>
      <c r="D42" s="81">
        <v>3.6563899740760655</v>
      </c>
    </row>
    <row r="43" ht="15.75" customHeight="1">
      <c r="A43" s="29">
        <v>20302.0</v>
      </c>
      <c r="B43" s="76" t="s">
        <v>49</v>
      </c>
      <c r="C43" s="78">
        <v>0.0</v>
      </c>
      <c r="D43" s="81">
        <v>1.6148301468676085</v>
      </c>
    </row>
    <row r="44" ht="15.75" customHeight="1">
      <c r="A44" s="29">
        <v>20303.0</v>
      </c>
      <c r="B44" s="76" t="s">
        <v>50</v>
      </c>
      <c r="C44" s="78">
        <v>0.0</v>
      </c>
      <c r="D44" s="81">
        <v>0.14089666638487333</v>
      </c>
    </row>
    <row r="45" ht="15.75" customHeight="1">
      <c r="A45" s="29">
        <v>20304.0</v>
      </c>
      <c r="B45" s="76" t="s">
        <v>51</v>
      </c>
      <c r="C45" s="78">
        <v>0.0</v>
      </c>
      <c r="D45" s="81">
        <v>1.6337299918862322</v>
      </c>
    </row>
    <row r="46" ht="15.75" customHeight="1">
      <c r="A46" s="29">
        <v>20305.0</v>
      </c>
      <c r="B46" s="76" t="s">
        <v>52</v>
      </c>
      <c r="C46" s="78">
        <v>1.0143666226599837</v>
      </c>
      <c r="D46" s="81">
        <v>0.724867617268328</v>
      </c>
    </row>
    <row r="47" ht="15.75" customHeight="1">
      <c r="A47" s="29">
        <v>20306.0</v>
      </c>
      <c r="B47" s="76" t="s">
        <v>53</v>
      </c>
      <c r="C47" s="78">
        <v>0.38874897084161447</v>
      </c>
      <c r="D47" s="81">
        <v>4.946938486450964</v>
      </c>
    </row>
    <row r="48" ht="15.75" customHeight="1">
      <c r="A48" s="29">
        <v>20307.0</v>
      </c>
      <c r="B48" s="76" t="s">
        <v>54</v>
      </c>
      <c r="C48" s="78">
        <v>0.0</v>
      </c>
      <c r="D48" s="81">
        <v>0.17204181457228476</v>
      </c>
    </row>
    <row r="49" ht="15.75" customHeight="1">
      <c r="A49" s="29">
        <v>20308.0</v>
      </c>
      <c r="B49" s="76" t="s">
        <v>55</v>
      </c>
      <c r="C49" s="78">
        <v>0.0</v>
      </c>
      <c r="D49" s="81">
        <v>1.2540219864016489</v>
      </c>
    </row>
    <row r="50" ht="15.75" customHeight="1">
      <c r="A50" s="29">
        <v>20401.0</v>
      </c>
      <c r="B50" s="76" t="s">
        <v>56</v>
      </c>
      <c r="C50" s="78">
        <v>1.1577256479645734</v>
      </c>
      <c r="D50" s="81">
        <v>12.543600544395739</v>
      </c>
    </row>
    <row r="51" ht="15.75" customHeight="1">
      <c r="A51" s="29">
        <v>20402.0</v>
      </c>
      <c r="B51" s="76" t="s">
        <v>57</v>
      </c>
      <c r="C51" s="78">
        <v>0.42557718906266623</v>
      </c>
      <c r="D51" s="81">
        <v>5.278326192813971</v>
      </c>
    </row>
    <row r="52" ht="15.75" customHeight="1">
      <c r="A52" s="29">
        <v>20403.0</v>
      </c>
      <c r="B52" s="76" t="s">
        <v>58</v>
      </c>
      <c r="C52" s="78">
        <v>2.042224835660742</v>
      </c>
      <c r="D52" s="81">
        <v>4.588738079876696</v>
      </c>
    </row>
    <row r="53" ht="15.75" customHeight="1">
      <c r="A53" s="29">
        <v>20404.0</v>
      </c>
      <c r="B53" s="76" t="s">
        <v>59</v>
      </c>
      <c r="C53" s="78">
        <v>0.0</v>
      </c>
      <c r="D53" s="81">
        <v>4.785618183512326</v>
      </c>
    </row>
    <row r="54" ht="15.75" customHeight="1">
      <c r="A54" s="29">
        <v>20405.0</v>
      </c>
      <c r="B54" s="76" t="s">
        <v>60</v>
      </c>
      <c r="C54" s="78">
        <v>2.29318163893141</v>
      </c>
      <c r="D54" s="81">
        <v>1.1375712861279463</v>
      </c>
    </row>
    <row r="55" ht="15.75" customHeight="1">
      <c r="A55" s="29">
        <v>20501.0</v>
      </c>
      <c r="B55" s="76" t="s">
        <v>61</v>
      </c>
      <c r="C55" s="78">
        <v>0.997645609010538</v>
      </c>
      <c r="D55" s="81">
        <v>1.388131174758836</v>
      </c>
    </row>
    <row r="56" ht="15.75" customHeight="1">
      <c r="A56" s="29">
        <v>20502.0</v>
      </c>
      <c r="B56" s="76" t="s">
        <v>62</v>
      </c>
      <c r="C56" s="78">
        <v>0.0</v>
      </c>
      <c r="D56" s="81">
        <v>6.677195906925093</v>
      </c>
    </row>
    <row r="57" ht="15.75" customHeight="1">
      <c r="A57" s="29">
        <v>20503.0</v>
      </c>
      <c r="B57" s="76" t="s">
        <v>63</v>
      </c>
      <c r="C57" s="78">
        <v>0.0</v>
      </c>
      <c r="D57" s="81">
        <v>0.9995713691003995</v>
      </c>
    </row>
    <row r="58" ht="15.75" customHeight="1">
      <c r="A58" s="29">
        <v>20601.0</v>
      </c>
      <c r="B58" s="76" t="s">
        <v>64</v>
      </c>
      <c r="C58" s="78">
        <v>2.3085778960443224</v>
      </c>
      <c r="D58" s="81">
        <v>16.865783062590776</v>
      </c>
    </row>
    <row r="59" ht="15.75" customHeight="1">
      <c r="A59" s="29">
        <v>20602.0</v>
      </c>
      <c r="B59" s="76" t="s">
        <v>65</v>
      </c>
      <c r="C59" s="78">
        <v>4.4880428231459595</v>
      </c>
      <c r="D59" s="81">
        <v>8.822721745556686</v>
      </c>
    </row>
    <row r="60" ht="15.75" customHeight="1">
      <c r="A60" s="29">
        <v>20603.0</v>
      </c>
      <c r="B60" s="76" t="s">
        <v>66</v>
      </c>
      <c r="C60" s="78">
        <v>0.0</v>
      </c>
      <c r="D60" s="81">
        <v>0.0</v>
      </c>
    </row>
    <row r="61" ht="15.75" customHeight="1">
      <c r="A61" s="29">
        <v>20604.0</v>
      </c>
      <c r="B61" s="76" t="s">
        <v>67</v>
      </c>
      <c r="C61" s="78">
        <v>2.370510845087116</v>
      </c>
      <c r="D61" s="81">
        <v>7.073164969031843</v>
      </c>
    </row>
    <row r="62" ht="15.75" customHeight="1">
      <c r="A62" s="29">
        <v>20605.0</v>
      </c>
      <c r="B62" s="76" t="s">
        <v>68</v>
      </c>
      <c r="C62" s="78">
        <v>0.0</v>
      </c>
      <c r="D62" s="81">
        <v>0.5640507780577869</v>
      </c>
    </row>
    <row r="63" ht="15.75" customHeight="1">
      <c r="A63" s="29">
        <v>20606.0</v>
      </c>
      <c r="B63" s="76" t="s">
        <v>69</v>
      </c>
      <c r="C63" s="78">
        <v>3.0367255221090494</v>
      </c>
      <c r="D63" s="81">
        <v>48.431915790844734</v>
      </c>
    </row>
    <row r="64" ht="15.75" customHeight="1">
      <c r="A64" s="29">
        <v>20607.0</v>
      </c>
      <c r="B64" s="76" t="s">
        <v>70</v>
      </c>
      <c r="C64" s="78">
        <v>2.1050408821402815</v>
      </c>
      <c r="D64" s="81">
        <v>32.95654246200804</v>
      </c>
    </row>
    <row r="65" ht="15.75" customHeight="1">
      <c r="A65" s="29">
        <v>20608.0</v>
      </c>
      <c r="B65" s="76" t="s">
        <v>71</v>
      </c>
      <c r="C65" s="78">
        <v>2.296607534571948</v>
      </c>
      <c r="D65" s="81">
        <v>3.8351202824515327</v>
      </c>
    </row>
    <row r="66" ht="15.75" customHeight="1">
      <c r="A66" s="29">
        <v>20701.0</v>
      </c>
      <c r="B66" s="76" t="s">
        <v>72</v>
      </c>
      <c r="C66" s="78">
        <v>1.6123035811209399</v>
      </c>
      <c r="D66" s="81">
        <v>27.303541561240735</v>
      </c>
    </row>
    <row r="67" ht="15.75" customHeight="1">
      <c r="A67" s="29">
        <v>20702.0</v>
      </c>
      <c r="B67" s="76" t="s">
        <v>73</v>
      </c>
      <c r="C67" s="78">
        <v>0.0</v>
      </c>
      <c r="D67" s="81">
        <v>0.0</v>
      </c>
    </row>
    <row r="68" ht="15.75" customHeight="1">
      <c r="A68" s="29">
        <v>20801.0</v>
      </c>
      <c r="B68" s="76" t="s">
        <v>74</v>
      </c>
      <c r="C68" s="78">
        <v>19.01792189538371</v>
      </c>
      <c r="D68" s="81">
        <v>31.902277356005982</v>
      </c>
    </row>
    <row r="69" ht="15.75" customHeight="1">
      <c r="A69" s="29">
        <v>20802.0</v>
      </c>
      <c r="B69" s="76" t="s">
        <v>75</v>
      </c>
      <c r="C69" s="78">
        <v>4.088068299383116</v>
      </c>
      <c r="D69" s="81">
        <v>6.550145237756593</v>
      </c>
    </row>
    <row r="70" ht="15.75" customHeight="1">
      <c r="A70" s="29">
        <v>20803.0</v>
      </c>
      <c r="B70" s="76" t="s">
        <v>76</v>
      </c>
      <c r="C70" s="78">
        <v>17.94049968499103</v>
      </c>
      <c r="D70" s="81">
        <v>12.052504045339447</v>
      </c>
    </row>
    <row r="71" ht="15.75" customHeight="1">
      <c r="A71" s="29">
        <v>20804.0</v>
      </c>
      <c r="B71" s="76" t="s">
        <v>77</v>
      </c>
      <c r="C71" s="78">
        <v>11.860321343074313</v>
      </c>
      <c r="D71" s="81">
        <v>36.60265417293019</v>
      </c>
    </row>
    <row r="72" ht="15.75" customHeight="1">
      <c r="A72" s="29">
        <v>20805.0</v>
      </c>
      <c r="B72" s="76" t="s">
        <v>78</v>
      </c>
      <c r="C72" s="78">
        <v>0.0</v>
      </c>
      <c r="D72" s="81">
        <v>1.7209904714601665</v>
      </c>
    </row>
    <row r="73" ht="15.75" customHeight="1">
      <c r="A73" s="29">
        <v>20806.0</v>
      </c>
      <c r="B73" s="76" t="s">
        <v>79</v>
      </c>
      <c r="C73" s="78">
        <v>0.22044504927199512</v>
      </c>
      <c r="D73" s="81">
        <v>1.3428728155037468</v>
      </c>
    </row>
    <row r="74" ht="15.75" customHeight="1">
      <c r="A74" s="29">
        <v>20807.0</v>
      </c>
      <c r="B74" s="76" t="s">
        <v>80</v>
      </c>
      <c r="C74" s="78">
        <v>0.0</v>
      </c>
      <c r="D74" s="81">
        <v>7.929249001345089</v>
      </c>
    </row>
    <row r="75" ht="15.75" customHeight="1">
      <c r="A75" s="29">
        <v>20901.0</v>
      </c>
      <c r="B75" s="76" t="s">
        <v>81</v>
      </c>
      <c r="C75" s="78">
        <v>18.649709785663934</v>
      </c>
      <c r="D75" s="81">
        <v>2.481005089017016</v>
      </c>
    </row>
    <row r="76" ht="15.75" customHeight="1">
      <c r="A76" s="29">
        <v>20902.0</v>
      </c>
      <c r="B76" s="76" t="s">
        <v>82</v>
      </c>
      <c r="C76" s="78">
        <v>1.7555683936909396</v>
      </c>
      <c r="D76" s="81">
        <v>0.8124084769019326</v>
      </c>
    </row>
    <row r="77" ht="15.75" customHeight="1">
      <c r="A77" s="29">
        <v>20903.0</v>
      </c>
      <c r="B77" s="76" t="s">
        <v>83</v>
      </c>
      <c r="C77" s="78">
        <v>0.0</v>
      </c>
      <c r="D77" s="81">
        <v>1.6549585058299232</v>
      </c>
    </row>
    <row r="78" ht="15.75" customHeight="1">
      <c r="A78" s="29">
        <v>20904.0</v>
      </c>
      <c r="B78" s="76" t="s">
        <v>84</v>
      </c>
      <c r="C78" s="78">
        <v>0.0</v>
      </c>
      <c r="D78" s="81">
        <v>0.0</v>
      </c>
    </row>
    <row r="79" ht="15.75" customHeight="1">
      <c r="A79" s="29">
        <v>20905.0</v>
      </c>
      <c r="B79" s="76" t="s">
        <v>85</v>
      </c>
      <c r="C79" s="78">
        <v>1.0131854439486956</v>
      </c>
      <c r="D79" s="81">
        <v>9.421781088557143</v>
      </c>
    </row>
    <row r="80" ht="15.75" customHeight="1">
      <c r="A80" s="29">
        <v>21001.0</v>
      </c>
      <c r="B80" s="76" t="s">
        <v>86</v>
      </c>
      <c r="C80" s="78">
        <v>1.5655888968780733</v>
      </c>
      <c r="D80" s="81">
        <v>3.8157801827779956</v>
      </c>
    </row>
    <row r="81" ht="15.75" customHeight="1">
      <c r="A81" s="29">
        <v>21002.0</v>
      </c>
      <c r="B81" s="76" t="s">
        <v>87</v>
      </c>
      <c r="C81" s="78">
        <v>5.572948253471442</v>
      </c>
      <c r="D81" s="81">
        <v>14.950303093725779</v>
      </c>
    </row>
    <row r="82" ht="15.75" customHeight="1">
      <c r="A82" s="29">
        <v>21003.0</v>
      </c>
      <c r="B82" s="76" t="s">
        <v>88</v>
      </c>
      <c r="C82" s="78">
        <v>4.677757316273987</v>
      </c>
      <c r="D82" s="81">
        <v>5.505468991769834</v>
      </c>
    </row>
    <row r="83" ht="15.75" customHeight="1">
      <c r="A83" s="29">
        <v>21004.0</v>
      </c>
      <c r="B83" s="76" t="s">
        <v>89</v>
      </c>
      <c r="C83" s="78">
        <v>0.016713673874438523</v>
      </c>
      <c r="D83" s="81">
        <v>15.10037295377839</v>
      </c>
    </row>
    <row r="84" ht="15.75" customHeight="1">
      <c r="A84" s="29">
        <v>21005.0</v>
      </c>
      <c r="B84" s="76" t="s">
        <v>90</v>
      </c>
      <c r="C84" s="78">
        <v>0.7163931880532118</v>
      </c>
      <c r="D84" s="81">
        <v>1.0622369188786587</v>
      </c>
    </row>
    <row r="85" ht="15.75" customHeight="1">
      <c r="A85" s="29">
        <v>21006.0</v>
      </c>
      <c r="B85" s="76" t="s">
        <v>91</v>
      </c>
      <c r="C85" s="78">
        <v>4.491606728202517</v>
      </c>
      <c r="D85" s="81">
        <v>9.646001757368692</v>
      </c>
    </row>
    <row r="86" ht="15.75" customHeight="1">
      <c r="A86" s="29">
        <v>21101.0</v>
      </c>
      <c r="B86" s="76" t="s">
        <v>92</v>
      </c>
      <c r="C86" s="78">
        <v>2.803269870840198</v>
      </c>
      <c r="D86" s="81">
        <v>27.272063216575702</v>
      </c>
    </row>
    <row r="87" ht="15.75" customHeight="1">
      <c r="A87" s="29">
        <v>21102.0</v>
      </c>
      <c r="B87" s="76" t="s">
        <v>93</v>
      </c>
      <c r="C87" s="78">
        <v>7.98429123366994</v>
      </c>
      <c r="D87" s="81">
        <v>20.631879618334324</v>
      </c>
    </row>
    <row r="88" ht="15.75" customHeight="1">
      <c r="A88" s="29">
        <v>21103.0</v>
      </c>
      <c r="B88" s="76" t="s">
        <v>94</v>
      </c>
      <c r="C88" s="78">
        <v>3.316546189984232</v>
      </c>
      <c r="D88" s="81">
        <v>0.0</v>
      </c>
    </row>
    <row r="89" ht="15.75" customHeight="1">
      <c r="A89" s="29">
        <v>21104.0</v>
      </c>
      <c r="B89" s="76" t="s">
        <v>95</v>
      </c>
      <c r="C89" s="78">
        <v>3.3511632366936888</v>
      </c>
      <c r="D89" s="81">
        <v>21.483467749510666</v>
      </c>
    </row>
    <row r="90" ht="15.75" customHeight="1">
      <c r="A90" s="29">
        <v>21105.0</v>
      </c>
      <c r="B90" s="76" t="s">
        <v>96</v>
      </c>
      <c r="C90" s="78">
        <v>1.3984247858058827</v>
      </c>
      <c r="D90" s="81">
        <v>9.513117035951105</v>
      </c>
    </row>
    <row r="91" ht="15.75" customHeight="1">
      <c r="A91" s="29">
        <v>21201.0</v>
      </c>
      <c r="B91" s="76" t="s">
        <v>97</v>
      </c>
      <c r="C91" s="78">
        <v>0.6135489264459225</v>
      </c>
      <c r="D91" s="81">
        <v>2.850707414300528</v>
      </c>
    </row>
    <row r="92" ht="15.75" customHeight="1">
      <c r="A92" s="29">
        <v>21202.0</v>
      </c>
      <c r="B92" s="76" t="s">
        <v>98</v>
      </c>
      <c r="C92" s="78">
        <v>0.4119058604230448</v>
      </c>
      <c r="D92" s="81">
        <v>8.814247580731033</v>
      </c>
    </row>
    <row r="93" ht="15.75" customHeight="1">
      <c r="A93" s="29">
        <v>21203.0</v>
      </c>
      <c r="B93" s="76" t="s">
        <v>99</v>
      </c>
      <c r="C93" s="78">
        <v>3.217451299702495</v>
      </c>
      <c r="D93" s="81">
        <v>8.086571148023106</v>
      </c>
    </row>
    <row r="94" ht="15.75" customHeight="1">
      <c r="A94" s="29">
        <v>21204.0</v>
      </c>
      <c r="B94" s="76" t="s">
        <v>100</v>
      </c>
      <c r="C94" s="78">
        <v>0.0</v>
      </c>
      <c r="D94" s="81">
        <v>0.8502156236596652</v>
      </c>
    </row>
    <row r="95" ht="15.75" customHeight="1">
      <c r="A95" s="29">
        <v>21301.0</v>
      </c>
      <c r="B95" s="76" t="s">
        <v>101</v>
      </c>
      <c r="C95" s="78">
        <v>3.641127133639427</v>
      </c>
      <c r="D95" s="81">
        <v>8.503998569853321</v>
      </c>
    </row>
    <row r="96" ht="15.75" customHeight="1">
      <c r="A96" s="29">
        <v>21302.0</v>
      </c>
      <c r="B96" s="76" t="s">
        <v>102</v>
      </c>
      <c r="C96" s="78">
        <v>0.0</v>
      </c>
      <c r="D96" s="81">
        <v>0.0</v>
      </c>
    </row>
    <row r="97" ht="15.75" customHeight="1">
      <c r="A97" s="29">
        <v>21303.0</v>
      </c>
      <c r="B97" s="76" t="s">
        <v>103</v>
      </c>
      <c r="C97" s="78">
        <v>0.0</v>
      </c>
      <c r="D97" s="81">
        <v>1.3680373375067536</v>
      </c>
    </row>
    <row r="98" ht="15.75" customHeight="1">
      <c r="A98" s="29">
        <v>21304.0</v>
      </c>
      <c r="B98" s="76" t="s">
        <v>104</v>
      </c>
      <c r="C98" s="78">
        <v>0.0</v>
      </c>
      <c r="D98" s="81">
        <v>0.999901038370822</v>
      </c>
    </row>
    <row r="99" ht="15.75" customHeight="1">
      <c r="A99" s="29">
        <v>21305.0</v>
      </c>
      <c r="B99" s="76" t="s">
        <v>105</v>
      </c>
      <c r="C99" s="78">
        <v>5.993564388653077</v>
      </c>
      <c r="D99" s="81">
        <v>33.47607991749373</v>
      </c>
    </row>
    <row r="100" ht="15.75" customHeight="1">
      <c r="A100" s="29">
        <v>21306.0</v>
      </c>
      <c r="B100" s="76" t="s">
        <v>106</v>
      </c>
      <c r="C100" s="78">
        <v>2.4942635989258632</v>
      </c>
      <c r="D100" s="81">
        <v>1.7634525742497607</v>
      </c>
    </row>
    <row r="101" ht="15.75" customHeight="1">
      <c r="A101" s="29">
        <v>21307.0</v>
      </c>
      <c r="B101" s="76" t="s">
        <v>107</v>
      </c>
      <c r="C101" s="78">
        <v>1.0961893553411093</v>
      </c>
      <c r="D101" s="81">
        <v>13.569364300628225</v>
      </c>
    </row>
    <row r="102" ht="15.75" customHeight="1">
      <c r="A102" s="29">
        <v>21401.0</v>
      </c>
      <c r="B102" s="76" t="s">
        <v>108</v>
      </c>
      <c r="C102" s="78">
        <v>7.057596085693324</v>
      </c>
      <c r="D102" s="81">
        <v>15.30589871109693</v>
      </c>
    </row>
    <row r="103" ht="15.75" customHeight="1">
      <c r="A103" s="29">
        <v>21402.0</v>
      </c>
      <c r="B103" s="76" t="s">
        <v>109</v>
      </c>
      <c r="C103" s="78">
        <v>3.48205447747106</v>
      </c>
      <c r="D103" s="81">
        <v>9.570252943824343</v>
      </c>
    </row>
    <row r="104" ht="15.75" customHeight="1">
      <c r="A104" s="29">
        <v>21501.0</v>
      </c>
      <c r="B104" s="76" t="s">
        <v>110</v>
      </c>
      <c r="C104" s="78">
        <v>2.5956721493030623</v>
      </c>
      <c r="D104" s="81">
        <v>20.241922771990165</v>
      </c>
    </row>
    <row r="105" ht="15.75" customHeight="1">
      <c r="A105" s="29">
        <v>21502.0</v>
      </c>
      <c r="B105" s="76" t="s">
        <v>111</v>
      </c>
      <c r="C105" s="78">
        <v>5.892932307810049</v>
      </c>
      <c r="D105" s="81">
        <v>19.127908201771074</v>
      </c>
    </row>
    <row r="106" ht="15.75" customHeight="1">
      <c r="A106" s="29">
        <v>21601.0</v>
      </c>
      <c r="B106" s="76" t="s">
        <v>112</v>
      </c>
      <c r="C106" s="78">
        <v>1.3565742660421307</v>
      </c>
      <c r="D106" s="81">
        <v>3.68518466840103</v>
      </c>
    </row>
    <row r="107" ht="15.75" customHeight="1">
      <c r="A107" s="29">
        <v>21602.0</v>
      </c>
      <c r="B107" s="76" t="s">
        <v>113</v>
      </c>
      <c r="C107" s="78">
        <v>0.0</v>
      </c>
      <c r="D107" s="81">
        <v>1.042526141809213</v>
      </c>
    </row>
    <row r="108" ht="15.75" customHeight="1">
      <c r="A108" s="29">
        <v>21701.0</v>
      </c>
      <c r="B108" s="76" t="s">
        <v>114</v>
      </c>
      <c r="C108" s="78">
        <v>13.92125490974287</v>
      </c>
      <c r="D108" s="81">
        <v>18.51266661026424</v>
      </c>
    </row>
    <row r="109" ht="15.75" customHeight="1">
      <c r="A109" s="29">
        <v>21702.0</v>
      </c>
      <c r="B109" s="76" t="s">
        <v>115</v>
      </c>
      <c r="C109" s="78">
        <v>132.6970021370237</v>
      </c>
      <c r="D109" s="81">
        <v>7.796093798241941</v>
      </c>
    </row>
    <row r="110" ht="15.75" customHeight="1">
      <c r="A110" s="29">
        <v>21703.0</v>
      </c>
      <c r="B110" s="76" t="s">
        <v>116</v>
      </c>
      <c r="C110" s="78">
        <v>1.3221820961148485</v>
      </c>
      <c r="D110" s="81">
        <v>7.806790492556914</v>
      </c>
    </row>
    <row r="111" ht="15.75" customHeight="1">
      <c r="A111" s="29">
        <v>21801.0</v>
      </c>
      <c r="B111" s="76" t="s">
        <v>117</v>
      </c>
      <c r="C111" s="78">
        <v>0.7146458944833296</v>
      </c>
      <c r="D111" s="81">
        <v>0.72565649235793</v>
      </c>
    </row>
    <row r="112" ht="15.75" customHeight="1">
      <c r="A112" s="29">
        <v>21802.0</v>
      </c>
      <c r="B112" s="76" t="s">
        <v>118</v>
      </c>
      <c r="C112" s="78">
        <v>0.0</v>
      </c>
      <c r="D112" s="81">
        <v>15.921376085974288</v>
      </c>
    </row>
    <row r="113" ht="15.75" customHeight="1">
      <c r="A113" s="29">
        <v>21803.0</v>
      </c>
      <c r="B113" s="76" t="s">
        <v>119</v>
      </c>
      <c r="C113" s="78">
        <v>0.0</v>
      </c>
      <c r="D113" s="81">
        <v>6.737121748971458</v>
      </c>
    </row>
    <row r="114" ht="15.75" customHeight="1">
      <c r="A114" s="29">
        <v>21901.0</v>
      </c>
      <c r="B114" s="76" t="s">
        <v>120</v>
      </c>
      <c r="C114" s="78">
        <v>0.0</v>
      </c>
      <c r="D114" s="81">
        <v>5.023445162334563</v>
      </c>
    </row>
    <row r="115" ht="15.75" customHeight="1">
      <c r="A115" s="29">
        <v>21902.0</v>
      </c>
      <c r="B115" s="76" t="s">
        <v>121</v>
      </c>
      <c r="C115" s="78">
        <v>0.0</v>
      </c>
      <c r="D115" s="81">
        <v>0.0</v>
      </c>
    </row>
    <row r="116" ht="15.75" customHeight="1">
      <c r="A116" s="29">
        <v>22001.0</v>
      </c>
      <c r="B116" s="76" t="s">
        <v>122</v>
      </c>
      <c r="C116" s="78">
        <v>8.940170086822176</v>
      </c>
      <c r="D116" s="81">
        <v>37.30793171492379</v>
      </c>
    </row>
    <row r="117" ht="15.75" customHeight="1">
      <c r="A117" s="29">
        <v>22002.0</v>
      </c>
      <c r="B117" s="76" t="s">
        <v>123</v>
      </c>
      <c r="C117" s="78">
        <v>1.488892859269847</v>
      </c>
      <c r="D117" s="81">
        <v>6.813088818961408</v>
      </c>
    </row>
    <row r="118" ht="15.75" customHeight="1">
      <c r="A118" s="29">
        <v>30101.0</v>
      </c>
      <c r="B118" s="76" t="s">
        <v>124</v>
      </c>
      <c r="C118" s="78">
        <v>43.18260365181738</v>
      </c>
      <c r="D118" s="81">
        <v>237.41688617431865</v>
      </c>
    </row>
    <row r="119" ht="15.75" customHeight="1">
      <c r="A119" s="29">
        <v>30201.0</v>
      </c>
      <c r="B119" s="76" t="s">
        <v>125</v>
      </c>
      <c r="C119" s="78">
        <v>4.299041599820845</v>
      </c>
      <c r="D119" s="81">
        <v>7.636712468890824</v>
      </c>
    </row>
    <row r="120" ht="15.75" customHeight="1">
      <c r="A120" s="29">
        <v>30202.0</v>
      </c>
      <c r="B120" s="76" t="s">
        <v>126</v>
      </c>
      <c r="C120" s="78">
        <v>2.681965688059277</v>
      </c>
      <c r="D120" s="81">
        <v>7.167474339274702</v>
      </c>
    </row>
    <row r="121" ht="15.75" customHeight="1">
      <c r="A121" s="29">
        <v>30203.0</v>
      </c>
      <c r="B121" s="76" t="s">
        <v>127</v>
      </c>
      <c r="C121" s="78">
        <v>4.559360954835413</v>
      </c>
      <c r="D121" s="81">
        <v>10.058603417103262</v>
      </c>
    </row>
    <row r="122" ht="15.75" customHeight="1">
      <c r="A122" s="29">
        <v>30301.0</v>
      </c>
      <c r="B122" s="76" t="s">
        <v>128</v>
      </c>
      <c r="C122" s="78">
        <v>2.544425859659972</v>
      </c>
      <c r="D122" s="81">
        <v>6.845889433542374</v>
      </c>
    </row>
    <row r="123" ht="15.75" customHeight="1">
      <c r="A123" s="29">
        <v>30302.0</v>
      </c>
      <c r="B123" s="76" t="s">
        <v>129</v>
      </c>
      <c r="C123" s="78">
        <v>2.3298027739717337</v>
      </c>
      <c r="D123" s="81">
        <v>3.6581113680857005</v>
      </c>
    </row>
    <row r="124" ht="15.75" customHeight="1">
      <c r="A124" s="29">
        <v>30303.0</v>
      </c>
      <c r="B124" s="76" t="s">
        <v>130</v>
      </c>
      <c r="C124" s="78">
        <v>1.1947629052753048</v>
      </c>
      <c r="D124" s="81">
        <v>0.0</v>
      </c>
    </row>
    <row r="125" ht="15.75" customHeight="1">
      <c r="A125" s="29">
        <v>30401.0</v>
      </c>
      <c r="B125" s="76" t="s">
        <v>131</v>
      </c>
      <c r="C125" s="78">
        <v>3.9841975353548804</v>
      </c>
      <c r="D125" s="81">
        <v>12.752144069800861</v>
      </c>
    </row>
    <row r="126" ht="15.75" customHeight="1">
      <c r="A126" s="29">
        <v>30402.0</v>
      </c>
      <c r="B126" s="76" t="s">
        <v>132</v>
      </c>
      <c r="C126" s="78">
        <v>3.8898412828761373</v>
      </c>
      <c r="D126" s="81">
        <v>2.9583159537691053</v>
      </c>
    </row>
    <row r="127" ht="15.75" customHeight="1">
      <c r="A127" s="29">
        <v>30403.0</v>
      </c>
      <c r="B127" s="76" t="s">
        <v>133</v>
      </c>
      <c r="C127" s="78">
        <v>0.5423238577303746</v>
      </c>
      <c r="D127" s="81">
        <v>7.193248189707153</v>
      </c>
    </row>
    <row r="128" ht="15.75" customHeight="1">
      <c r="A128" s="29">
        <v>30404.0</v>
      </c>
      <c r="B128" s="76" t="s">
        <v>134</v>
      </c>
      <c r="C128" s="78">
        <v>0.0</v>
      </c>
      <c r="D128" s="81">
        <v>3.0601738079883383</v>
      </c>
    </row>
    <row r="129" ht="15.75" customHeight="1">
      <c r="A129" s="29">
        <v>30501.0</v>
      </c>
      <c r="B129" s="76" t="s">
        <v>135</v>
      </c>
      <c r="C129" s="78">
        <v>2.437296931649301</v>
      </c>
      <c r="D129" s="81">
        <v>3.9168109133299835</v>
      </c>
    </row>
    <row r="130" ht="15.75" customHeight="1">
      <c r="A130" s="29">
        <v>30502.0</v>
      </c>
      <c r="B130" s="76" t="s">
        <v>136</v>
      </c>
      <c r="C130" s="78">
        <v>5.445738894116608</v>
      </c>
      <c r="D130" s="81">
        <v>0.47319942903313145</v>
      </c>
    </row>
    <row r="131" ht="15.75" customHeight="1">
      <c r="A131" s="29">
        <v>30601.0</v>
      </c>
      <c r="B131" s="76" t="s">
        <v>137</v>
      </c>
      <c r="C131" s="78">
        <v>2.830557139762972</v>
      </c>
      <c r="D131" s="81">
        <v>2.979118262905877</v>
      </c>
    </row>
    <row r="132" ht="15.75" customHeight="1">
      <c r="A132" s="29">
        <v>30602.0</v>
      </c>
      <c r="B132" s="76" t="s">
        <v>138</v>
      </c>
      <c r="C132" s="78">
        <v>0.0</v>
      </c>
      <c r="D132" s="81">
        <v>0.436152856928641</v>
      </c>
    </row>
    <row r="133" ht="15.75" customHeight="1">
      <c r="A133" s="29">
        <v>30701.0</v>
      </c>
      <c r="B133" s="76" t="s">
        <v>139</v>
      </c>
      <c r="C133" s="78">
        <v>0.8558932529934867</v>
      </c>
      <c r="D133" s="81">
        <v>11.064533284411292</v>
      </c>
    </row>
    <row r="134" ht="15.75" customHeight="1">
      <c r="A134" s="29">
        <v>30702.0</v>
      </c>
      <c r="B134" s="76" t="s">
        <v>140</v>
      </c>
      <c r="C134" s="78">
        <v>3.037044956352689</v>
      </c>
      <c r="D134" s="81">
        <v>3.0369767911476444</v>
      </c>
    </row>
    <row r="135" ht="15.75" customHeight="1">
      <c r="A135" s="29">
        <v>30703.0</v>
      </c>
      <c r="B135" s="76" t="s">
        <v>141</v>
      </c>
      <c r="C135" s="78">
        <v>0.0</v>
      </c>
      <c r="D135" s="81">
        <v>0.5050590936875149</v>
      </c>
    </row>
    <row r="136" ht="15.75" customHeight="1">
      <c r="A136" s="29">
        <v>30801.0</v>
      </c>
      <c r="B136" s="76" t="s">
        <v>142</v>
      </c>
      <c r="C136" s="78">
        <v>5.518226612118043</v>
      </c>
      <c r="D136" s="81">
        <v>24.244517338895363</v>
      </c>
    </row>
    <row r="137" ht="15.75" customHeight="1">
      <c r="A137" s="29">
        <v>30802.0</v>
      </c>
      <c r="B137" s="76" t="s">
        <v>143</v>
      </c>
      <c r="C137" s="78">
        <v>0.9428826580651196</v>
      </c>
      <c r="D137" s="81">
        <v>1.812027193887114</v>
      </c>
    </row>
    <row r="138" ht="15.75" customHeight="1">
      <c r="A138" s="29">
        <v>30803.0</v>
      </c>
      <c r="B138" s="76" t="s">
        <v>144</v>
      </c>
      <c r="C138" s="78">
        <v>2.3515517966351935</v>
      </c>
      <c r="D138" s="81">
        <v>1.6080134579561387</v>
      </c>
    </row>
    <row r="139" ht="15.75" customHeight="1">
      <c r="A139" s="29">
        <v>30901.0</v>
      </c>
      <c r="B139" s="76" t="s">
        <v>145</v>
      </c>
      <c r="C139" s="78">
        <v>0.0</v>
      </c>
      <c r="D139" s="81">
        <v>101.416222397266</v>
      </c>
    </row>
    <row r="140" ht="15.75" customHeight="1">
      <c r="A140" s="29">
        <v>30902.0</v>
      </c>
      <c r="B140" s="76" t="s">
        <v>146</v>
      </c>
      <c r="C140" s="78">
        <v>2.750440860587562</v>
      </c>
      <c r="D140" s="81">
        <v>8.47861229265699</v>
      </c>
    </row>
    <row r="141" ht="15.75" customHeight="1">
      <c r="A141" s="29">
        <v>30903.0</v>
      </c>
      <c r="B141" s="76" t="s">
        <v>147</v>
      </c>
      <c r="C141" s="78">
        <v>13.436027564753163</v>
      </c>
      <c r="D141" s="81">
        <v>25.60799528676632</v>
      </c>
    </row>
    <row r="142" ht="15.75" customHeight="1">
      <c r="A142" s="29">
        <v>30904.0</v>
      </c>
      <c r="B142" s="76" t="s">
        <v>148</v>
      </c>
      <c r="C142" s="78">
        <v>4.177093441197427</v>
      </c>
      <c r="D142" s="81">
        <v>13.339472982498522</v>
      </c>
    </row>
    <row r="143" ht="15.75" customHeight="1">
      <c r="A143" s="29">
        <v>30905.0</v>
      </c>
      <c r="B143" s="76" t="s">
        <v>149</v>
      </c>
      <c r="C143" s="78">
        <v>8.001188653645995</v>
      </c>
      <c r="D143" s="81">
        <v>53.014046949009696</v>
      </c>
    </row>
    <row r="144" ht="15.75" customHeight="1">
      <c r="A144" s="29">
        <v>31001.0</v>
      </c>
      <c r="B144" s="76" t="s">
        <v>150</v>
      </c>
      <c r="C144" s="78">
        <v>3.9174207538072587</v>
      </c>
      <c r="D144" s="81">
        <v>14.399559050641358</v>
      </c>
    </row>
    <row r="145" ht="15.75" customHeight="1">
      <c r="A145" s="29">
        <v>31002.0</v>
      </c>
      <c r="B145" s="76" t="s">
        <v>151</v>
      </c>
      <c r="C145" s="78">
        <v>5.156999395467778</v>
      </c>
      <c r="D145" s="81">
        <v>5.818205067720446</v>
      </c>
    </row>
    <row r="146" ht="15.75" customHeight="1">
      <c r="A146" s="29">
        <v>31003.0</v>
      </c>
      <c r="B146" s="76" t="s">
        <v>152</v>
      </c>
      <c r="C146" s="78">
        <v>2.305027902331807</v>
      </c>
      <c r="D146" s="81">
        <v>17.659503057742324</v>
      </c>
    </row>
    <row r="147" ht="15.75" customHeight="1">
      <c r="A147" s="29">
        <v>31101.0</v>
      </c>
      <c r="B147" s="76" t="s">
        <v>153</v>
      </c>
      <c r="C147" s="78">
        <v>0.0</v>
      </c>
      <c r="D147" s="81">
        <v>0.2702962967170615</v>
      </c>
    </row>
    <row r="148" ht="15.75" customHeight="1">
      <c r="A148" s="29">
        <v>31201.0</v>
      </c>
      <c r="B148" s="76" t="s">
        <v>154</v>
      </c>
      <c r="C148" s="78">
        <v>5.793194147268125</v>
      </c>
      <c r="D148" s="81">
        <v>13.743047646339589</v>
      </c>
    </row>
    <row r="149" ht="15.75" customHeight="1">
      <c r="A149" s="29">
        <v>31202.0</v>
      </c>
      <c r="B149" s="76" t="s">
        <v>155</v>
      </c>
      <c r="C149" s="78">
        <v>0.9778313378020259</v>
      </c>
      <c r="D149" s="81">
        <v>2.1917699488983327</v>
      </c>
    </row>
    <row r="150" ht="15.75" customHeight="1">
      <c r="A150" s="29">
        <v>31203.0</v>
      </c>
      <c r="B150" s="76" t="s">
        <v>156</v>
      </c>
      <c r="C150" s="78">
        <v>0.0</v>
      </c>
      <c r="D150" s="81">
        <v>0.971682398667407</v>
      </c>
    </row>
    <row r="151" ht="15.75" customHeight="1">
      <c r="A151" s="29">
        <v>31204.0</v>
      </c>
      <c r="B151" s="76" t="s">
        <v>157</v>
      </c>
      <c r="C151" s="78">
        <v>6.204385231821198</v>
      </c>
      <c r="D151" s="81">
        <v>13.339108851404378</v>
      </c>
    </row>
    <row r="152" ht="15.75" customHeight="1">
      <c r="A152" s="29">
        <v>31205.0</v>
      </c>
      <c r="B152" s="76" t="s">
        <v>158</v>
      </c>
      <c r="C152" s="78">
        <v>2.0503346260507285</v>
      </c>
      <c r="D152" s="81">
        <v>24.984490015300935</v>
      </c>
    </row>
    <row r="153" ht="15.75" customHeight="1">
      <c r="A153" s="29">
        <v>31206.0</v>
      </c>
      <c r="B153" s="76" t="s">
        <v>159</v>
      </c>
      <c r="C153" s="78">
        <v>5.590414196662174</v>
      </c>
      <c r="D153" s="81">
        <v>15.52084426819225</v>
      </c>
    </row>
    <row r="154" ht="15.75" customHeight="1">
      <c r="A154" s="29">
        <v>31301.0</v>
      </c>
      <c r="B154" s="76" t="s">
        <v>160</v>
      </c>
      <c r="C154" s="78">
        <v>4.865997057395209</v>
      </c>
      <c r="D154" s="81">
        <v>5.707976689385599</v>
      </c>
    </row>
    <row r="155" ht="15.75" customHeight="1">
      <c r="A155" s="29">
        <v>31302.0</v>
      </c>
      <c r="B155" s="76" t="s">
        <v>161</v>
      </c>
      <c r="C155" s="78">
        <v>2.141164864330314</v>
      </c>
      <c r="D155" s="81">
        <v>1.2669801484920076</v>
      </c>
    </row>
    <row r="156" ht="15.75" customHeight="1">
      <c r="A156" s="29">
        <v>31303.0</v>
      </c>
      <c r="B156" s="76" t="s">
        <v>162</v>
      </c>
      <c r="C156" s="78">
        <v>0.0</v>
      </c>
      <c r="D156" s="81">
        <v>0.0</v>
      </c>
    </row>
    <row r="157" ht="15.75" customHeight="1">
      <c r="A157" s="29">
        <v>31304.0</v>
      </c>
      <c r="B157" s="76" t="s">
        <v>163</v>
      </c>
      <c r="C157" s="78">
        <v>0.0</v>
      </c>
      <c r="D157" s="81">
        <v>0.0</v>
      </c>
    </row>
    <row r="158" ht="15.75" customHeight="1">
      <c r="A158" s="29">
        <v>31401.0</v>
      </c>
      <c r="B158" s="76" t="s">
        <v>164</v>
      </c>
      <c r="C158" s="78">
        <v>10.270931951668489</v>
      </c>
      <c r="D158" s="81">
        <v>13.039016560943919</v>
      </c>
    </row>
    <row r="159" ht="15.75" customHeight="1">
      <c r="A159" s="29">
        <v>31402.0</v>
      </c>
      <c r="B159" s="76" t="s">
        <v>165</v>
      </c>
      <c r="C159" s="78">
        <v>2.042945332049886</v>
      </c>
      <c r="D159" s="81">
        <v>8.957915618597296</v>
      </c>
    </row>
    <row r="160" ht="15.75" customHeight="1">
      <c r="A160" s="29">
        <v>31403.0</v>
      </c>
      <c r="B160" s="76" t="s">
        <v>166</v>
      </c>
      <c r="C160" s="78">
        <v>2.954804769787678</v>
      </c>
      <c r="D160" s="81">
        <v>8.62436015497063</v>
      </c>
    </row>
    <row r="161" ht="15.75" customHeight="1">
      <c r="A161" s="29">
        <v>31404.0</v>
      </c>
      <c r="B161" s="76" t="s">
        <v>167</v>
      </c>
      <c r="C161" s="78">
        <v>0.0</v>
      </c>
      <c r="D161" s="81">
        <v>0.0</v>
      </c>
    </row>
    <row r="162" ht="15.75" customHeight="1">
      <c r="A162" s="29">
        <v>31405.0</v>
      </c>
      <c r="B162" s="76" t="s">
        <v>168</v>
      </c>
      <c r="C162" s="78">
        <v>0.0</v>
      </c>
      <c r="D162" s="81">
        <v>1.2055822976078703</v>
      </c>
    </row>
    <row r="163" ht="15.75" customHeight="1">
      <c r="A163" s="29">
        <v>31501.0</v>
      </c>
      <c r="B163" s="76" t="s">
        <v>169</v>
      </c>
      <c r="C163" s="78">
        <v>3.866482468993374</v>
      </c>
      <c r="D163" s="81">
        <v>4.961072726187012</v>
      </c>
    </row>
    <row r="164" ht="15.75" customHeight="1">
      <c r="A164" s="29">
        <v>31601.0</v>
      </c>
      <c r="B164" s="76" t="s">
        <v>170</v>
      </c>
      <c r="C164" s="78">
        <v>1.1635400771826003</v>
      </c>
      <c r="D164" s="81">
        <v>10.62051459690641</v>
      </c>
    </row>
    <row r="165" ht="15.75" customHeight="1">
      <c r="A165" s="29">
        <v>31602.0</v>
      </c>
      <c r="B165" s="76" t="s">
        <v>171</v>
      </c>
      <c r="C165" s="78">
        <v>4.755208427160315</v>
      </c>
      <c r="D165" s="81">
        <v>16.009042850102773</v>
      </c>
    </row>
    <row r="166" ht="15.75" customHeight="1">
      <c r="A166" s="29">
        <v>40101.0</v>
      </c>
      <c r="B166" s="76" t="s">
        <v>172</v>
      </c>
      <c r="C166" s="78">
        <v>0.0</v>
      </c>
      <c r="D166" s="81">
        <v>5.206839102980212</v>
      </c>
    </row>
    <row r="167" ht="15.75" customHeight="1">
      <c r="A167" s="29">
        <v>40102.0</v>
      </c>
      <c r="B167" s="76" t="s">
        <v>173</v>
      </c>
      <c r="C167" s="78">
        <v>5.165186884511246</v>
      </c>
      <c r="D167" s="81">
        <v>22.588711902050928</v>
      </c>
    </row>
    <row r="168" ht="15.75" customHeight="1">
      <c r="A168" s="29">
        <v>40103.0</v>
      </c>
      <c r="B168" s="76" t="s">
        <v>174</v>
      </c>
      <c r="C168" s="78">
        <v>0.0</v>
      </c>
      <c r="D168" s="81">
        <v>2.000600180054016</v>
      </c>
    </row>
    <row r="169" ht="15.75" customHeight="1">
      <c r="A169" s="29">
        <v>40104.0</v>
      </c>
      <c r="B169" s="76" t="s">
        <v>175</v>
      </c>
      <c r="C169" s="78">
        <v>0.0</v>
      </c>
      <c r="D169" s="81">
        <v>0.0</v>
      </c>
    </row>
    <row r="170" ht="15.75" customHeight="1">
      <c r="A170" s="29">
        <v>40201.0</v>
      </c>
      <c r="B170" s="76" t="s">
        <v>176</v>
      </c>
      <c r="C170" s="78">
        <v>7.517540749903166</v>
      </c>
      <c r="D170" s="81">
        <v>25.675507359085632</v>
      </c>
    </row>
    <row r="171" ht="15.75" customHeight="1">
      <c r="A171" s="29">
        <v>40202.0</v>
      </c>
      <c r="B171" s="76" t="s">
        <v>177</v>
      </c>
      <c r="C171" s="78">
        <v>0.0</v>
      </c>
      <c r="D171" s="81">
        <v>0.0</v>
      </c>
    </row>
    <row r="172" ht="15.75" customHeight="1">
      <c r="A172" s="29">
        <v>40301.0</v>
      </c>
      <c r="B172" s="76" t="s">
        <v>178</v>
      </c>
      <c r="C172" s="78">
        <v>0.8421918449495965</v>
      </c>
      <c r="D172" s="81">
        <v>1.933793694268397</v>
      </c>
    </row>
    <row r="173" ht="15.75" customHeight="1">
      <c r="A173" s="29">
        <v>40302.0</v>
      </c>
      <c r="B173" s="76" t="s">
        <v>179</v>
      </c>
      <c r="C173" s="78">
        <v>3.500481316180975</v>
      </c>
      <c r="D173" s="81">
        <v>12.72904191772549</v>
      </c>
    </row>
    <row r="174" ht="15.75" customHeight="1">
      <c r="A174" s="29">
        <v>40401.0</v>
      </c>
      <c r="B174" s="76" t="s">
        <v>180</v>
      </c>
      <c r="C174" s="78">
        <v>8.536903806138348</v>
      </c>
      <c r="D174" s="81">
        <v>10.818691986316287</v>
      </c>
    </row>
    <row r="175" ht="15.75" customHeight="1">
      <c r="A175" s="29">
        <v>40402.0</v>
      </c>
      <c r="B175" s="76" t="s">
        <v>181</v>
      </c>
      <c r="C175" s="78">
        <v>5.091068690883534</v>
      </c>
      <c r="D175" s="81">
        <v>11.290835242253427</v>
      </c>
    </row>
    <row r="176" ht="15.75" customHeight="1">
      <c r="A176" s="29">
        <v>40501.0</v>
      </c>
      <c r="B176" s="76" t="s">
        <v>182</v>
      </c>
      <c r="C176" s="78">
        <v>0.0</v>
      </c>
      <c r="D176" s="81">
        <v>0.0</v>
      </c>
    </row>
    <row r="177" ht="15.75" customHeight="1">
      <c r="A177" s="29">
        <v>40502.0</v>
      </c>
      <c r="B177" s="76" t="s">
        <v>183</v>
      </c>
      <c r="C177" s="78">
        <v>0.0</v>
      </c>
      <c r="D177" s="81">
        <v>0.0</v>
      </c>
    </row>
    <row r="178" ht="15.75" customHeight="1">
      <c r="A178" s="29">
        <v>40503.0</v>
      </c>
      <c r="B178" s="76" t="s">
        <v>184</v>
      </c>
      <c r="C178" s="78">
        <v>0.0</v>
      </c>
      <c r="D178" s="81">
        <v>0.0</v>
      </c>
    </row>
    <row r="179" ht="15.75" customHeight="1">
      <c r="A179" s="29">
        <v>40504.0</v>
      </c>
      <c r="B179" s="76" t="s">
        <v>185</v>
      </c>
      <c r="C179" s="78">
        <v>0.0</v>
      </c>
      <c r="D179" s="81">
        <v>0.0</v>
      </c>
    </row>
    <row r="180" ht="15.75" customHeight="1">
      <c r="A180" s="29">
        <v>40505.0</v>
      </c>
      <c r="B180" s="76" t="s">
        <v>186</v>
      </c>
      <c r="C180" s="78">
        <v>0.0</v>
      </c>
      <c r="D180" s="81">
        <v>0.0</v>
      </c>
    </row>
    <row r="181" ht="15.75" customHeight="1">
      <c r="A181" s="29">
        <v>40601.0</v>
      </c>
      <c r="B181" s="76" t="s">
        <v>187</v>
      </c>
      <c r="C181" s="78">
        <v>2.173948913241931</v>
      </c>
      <c r="D181" s="81">
        <v>13.946473425031762</v>
      </c>
    </row>
    <row r="182" ht="15.75" customHeight="1">
      <c r="A182" s="29">
        <v>40602.0</v>
      </c>
      <c r="B182" s="76" t="s">
        <v>188</v>
      </c>
      <c r="C182" s="78">
        <v>0.5665905418956103</v>
      </c>
      <c r="D182" s="81">
        <v>7.311254587986109</v>
      </c>
    </row>
    <row r="183" ht="15.75" customHeight="1">
      <c r="A183" s="29">
        <v>40603.0</v>
      </c>
      <c r="B183" s="76" t="s">
        <v>189</v>
      </c>
      <c r="C183" s="78">
        <v>3.0377879607744034</v>
      </c>
      <c r="D183" s="81">
        <v>20.1555114438607</v>
      </c>
    </row>
    <row r="184" ht="15.75" customHeight="1">
      <c r="A184" s="29">
        <v>40701.0</v>
      </c>
      <c r="B184" s="76" t="s">
        <v>190</v>
      </c>
      <c r="C184" s="78">
        <v>5.445384521384028</v>
      </c>
      <c r="D184" s="81">
        <v>64.6057216467312</v>
      </c>
    </row>
    <row r="185" ht="15.75" customHeight="1">
      <c r="A185" s="29">
        <v>40702.0</v>
      </c>
      <c r="B185" s="76" t="s">
        <v>191</v>
      </c>
      <c r="C185" s="78">
        <v>0.0</v>
      </c>
      <c r="D185" s="81">
        <v>15.861156361000033</v>
      </c>
    </row>
    <row r="186" ht="15.75" customHeight="1">
      <c r="A186" s="29">
        <v>40801.0</v>
      </c>
      <c r="B186" s="76" t="s">
        <v>192</v>
      </c>
      <c r="C186" s="78">
        <v>0.0</v>
      </c>
      <c r="D186" s="81">
        <v>1.1551132219670912</v>
      </c>
    </row>
    <row r="187" ht="15.75" customHeight="1">
      <c r="A187" s="29">
        <v>40802.0</v>
      </c>
      <c r="B187" s="76" t="s">
        <v>193</v>
      </c>
      <c r="C187" s="78">
        <v>6.145623205569407</v>
      </c>
      <c r="D187" s="81">
        <v>16.908615405500722</v>
      </c>
    </row>
    <row r="188" ht="15.75" customHeight="1">
      <c r="A188" s="29">
        <v>40901.0</v>
      </c>
      <c r="B188" s="76" t="s">
        <v>194</v>
      </c>
      <c r="C188" s="78">
        <v>1.1571618676592543</v>
      </c>
      <c r="D188" s="81">
        <v>5.812591112555739</v>
      </c>
    </row>
    <row r="189" ht="15.75" customHeight="1">
      <c r="A189" s="29">
        <v>40902.0</v>
      </c>
      <c r="B189" s="76" t="s">
        <v>195</v>
      </c>
      <c r="C189" s="78">
        <v>0.0</v>
      </c>
      <c r="D189" s="81">
        <v>6.987345330198312</v>
      </c>
    </row>
    <row r="190" ht="15.75" customHeight="1">
      <c r="A190" s="29">
        <v>40903.0</v>
      </c>
      <c r="B190" s="76" t="s">
        <v>196</v>
      </c>
      <c r="C190" s="78">
        <v>0.0</v>
      </c>
      <c r="D190" s="81">
        <v>1.7092253680351608</v>
      </c>
    </row>
    <row r="191" ht="15.75" customHeight="1">
      <c r="A191" s="29">
        <v>41001.0</v>
      </c>
      <c r="B191" s="76" t="s">
        <v>197</v>
      </c>
      <c r="C191" s="78">
        <v>0.9771515870956075</v>
      </c>
      <c r="D191" s="81">
        <v>4.156519683434108</v>
      </c>
    </row>
    <row r="192" ht="15.75" customHeight="1">
      <c r="A192" s="29">
        <v>41101.0</v>
      </c>
      <c r="B192" s="76" t="s">
        <v>198</v>
      </c>
      <c r="C192" s="78">
        <v>1.896573523833607</v>
      </c>
      <c r="D192" s="81">
        <v>19.98205706768076</v>
      </c>
    </row>
    <row r="193" ht="15.75" customHeight="1">
      <c r="A193" s="29">
        <v>41201.0</v>
      </c>
      <c r="B193" s="76" t="s">
        <v>199</v>
      </c>
      <c r="C193" s="78">
        <v>0.0</v>
      </c>
      <c r="D193" s="81">
        <v>15.974488509634819</v>
      </c>
    </row>
    <row r="194" ht="15.75" customHeight="1">
      <c r="A194" s="29">
        <v>41202.0</v>
      </c>
      <c r="B194" s="76" t="s">
        <v>200</v>
      </c>
      <c r="C194" s="78">
        <v>3.306878306878307</v>
      </c>
      <c r="D194" s="81">
        <v>0.0</v>
      </c>
    </row>
    <row r="195" ht="15.75" customHeight="1">
      <c r="A195" s="29">
        <v>41301.0</v>
      </c>
      <c r="B195" s="76" t="s">
        <v>154</v>
      </c>
      <c r="C195" s="78">
        <v>0.0</v>
      </c>
      <c r="D195" s="81">
        <v>0.25111747275375423</v>
      </c>
    </row>
    <row r="196" ht="15.75" customHeight="1">
      <c r="A196" s="29">
        <v>41401.0</v>
      </c>
      <c r="B196" s="76" t="s">
        <v>201</v>
      </c>
      <c r="C196" s="78">
        <v>2.5077516982873855</v>
      </c>
      <c r="D196" s="81">
        <v>15.326942294927326</v>
      </c>
    </row>
    <row r="197" ht="15.75" customHeight="1">
      <c r="A197" s="29">
        <v>41501.0</v>
      </c>
      <c r="B197" s="76" t="s">
        <v>202</v>
      </c>
      <c r="C197" s="78">
        <v>0.0</v>
      </c>
      <c r="D197" s="81">
        <v>0.0</v>
      </c>
    </row>
    <row r="198" ht="15.75" customHeight="1">
      <c r="A198" s="29">
        <v>41502.0</v>
      </c>
      <c r="B198" s="76" t="s">
        <v>203</v>
      </c>
      <c r="C198" s="78">
        <v>0.0</v>
      </c>
      <c r="D198" s="81">
        <v>5.984487738781138</v>
      </c>
    </row>
    <row r="199" ht="15.75" customHeight="1">
      <c r="A199" s="29">
        <v>41503.0</v>
      </c>
      <c r="B199" s="76" t="s">
        <v>204</v>
      </c>
      <c r="C199" s="78">
        <v>0.0</v>
      </c>
      <c r="D199" s="81">
        <v>5.0776827093432235</v>
      </c>
    </row>
    <row r="200" ht="15.75" customHeight="1">
      <c r="A200" s="29">
        <v>41601.0</v>
      </c>
      <c r="B200" s="76" t="s">
        <v>205</v>
      </c>
      <c r="C200" s="78">
        <v>0.0</v>
      </c>
      <c r="D200" s="81">
        <v>2.2410793618480334</v>
      </c>
    </row>
    <row r="201" ht="15.75" customHeight="1">
      <c r="A201" s="29">
        <v>50101.0</v>
      </c>
      <c r="B201" s="76" t="s">
        <v>206</v>
      </c>
      <c r="C201" s="78">
        <v>0.0</v>
      </c>
      <c r="D201" s="81">
        <v>29.821159509303374</v>
      </c>
    </row>
    <row r="202" ht="15.75" customHeight="1">
      <c r="A202" s="29">
        <v>50102.0</v>
      </c>
      <c r="B202" s="76" t="s">
        <v>207</v>
      </c>
      <c r="C202" s="78">
        <v>1.5872820960700775</v>
      </c>
      <c r="D202" s="81">
        <v>0.6250793185226158</v>
      </c>
    </row>
    <row r="203" ht="15.75" customHeight="1">
      <c r="A203" s="29">
        <v>50103.0</v>
      </c>
      <c r="B203" s="76" t="s">
        <v>208</v>
      </c>
      <c r="C203" s="78">
        <v>1.0808668552178846</v>
      </c>
      <c r="D203" s="81">
        <v>0.5440844419053837</v>
      </c>
    </row>
    <row r="204" ht="15.75" customHeight="1">
      <c r="A204" s="29">
        <v>50104.0</v>
      </c>
      <c r="B204" s="76" t="s">
        <v>209</v>
      </c>
      <c r="C204" s="78">
        <v>0.0</v>
      </c>
      <c r="D204" s="81">
        <v>1.1324526150034704</v>
      </c>
    </row>
    <row r="205" ht="15.75" customHeight="1">
      <c r="A205" s="29">
        <v>50201.0</v>
      </c>
      <c r="B205" s="76" t="s">
        <v>210</v>
      </c>
      <c r="C205" s="78">
        <v>0.25395095367847415</v>
      </c>
      <c r="D205" s="81">
        <v>8.994888588729752</v>
      </c>
    </row>
    <row r="206" ht="15.75" customHeight="1">
      <c r="A206" s="29">
        <v>50202.0</v>
      </c>
      <c r="B206" s="76" t="s">
        <v>211</v>
      </c>
      <c r="C206" s="78">
        <v>0.10333354000041334</v>
      </c>
      <c r="D206" s="81">
        <v>2.28761185625117</v>
      </c>
    </row>
    <row r="207" ht="15.75" customHeight="1">
      <c r="A207" s="29">
        <v>50203.0</v>
      </c>
      <c r="B207" s="76" t="s">
        <v>212</v>
      </c>
      <c r="C207" s="78">
        <v>0.0</v>
      </c>
      <c r="D207" s="81">
        <v>24.37080479556543</v>
      </c>
    </row>
    <row r="208" ht="15.75" customHeight="1">
      <c r="A208" s="29">
        <v>50204.0</v>
      </c>
      <c r="B208" s="76" t="s">
        <v>213</v>
      </c>
      <c r="C208" s="78">
        <v>1.3904899103488892</v>
      </c>
      <c r="D208" s="81">
        <v>1.3817359171937857</v>
      </c>
    </row>
    <row r="209" ht="15.75" customHeight="1">
      <c r="A209" s="29">
        <v>50301.0</v>
      </c>
      <c r="B209" s="76" t="s">
        <v>214</v>
      </c>
      <c r="C209" s="78">
        <v>0.6541026215615017</v>
      </c>
      <c r="D209" s="81">
        <v>22.758151492256786</v>
      </c>
    </row>
    <row r="210" ht="15.75" customHeight="1">
      <c r="A210" s="29">
        <v>50302.0</v>
      </c>
      <c r="B210" s="76" t="s">
        <v>215</v>
      </c>
      <c r="C210" s="78">
        <v>0.6744646490633462</v>
      </c>
      <c r="D210" s="81">
        <v>0.8929146125410928</v>
      </c>
    </row>
    <row r="211" ht="15.75" customHeight="1">
      <c r="A211" s="29">
        <v>50303.0</v>
      </c>
      <c r="B211" s="76" t="s">
        <v>216</v>
      </c>
      <c r="C211" s="78">
        <v>1.1118073022257615</v>
      </c>
      <c r="D211" s="81">
        <v>4.472294165077661</v>
      </c>
    </row>
    <row r="212" ht="15.75" customHeight="1">
      <c r="A212" s="29">
        <v>50401.0</v>
      </c>
      <c r="B212" s="76" t="s">
        <v>217</v>
      </c>
      <c r="C212" s="78">
        <v>1.7370252357197529</v>
      </c>
      <c r="D212" s="81">
        <v>7.700083585966543</v>
      </c>
    </row>
    <row r="213" ht="15.75" customHeight="1">
      <c r="A213" s="29">
        <v>50402.0</v>
      </c>
      <c r="B213" s="76" t="s">
        <v>218</v>
      </c>
      <c r="C213" s="78">
        <v>0.0</v>
      </c>
      <c r="D213" s="81">
        <v>2.896418393850398</v>
      </c>
    </row>
    <row r="214" ht="15.75" customHeight="1">
      <c r="A214" s="29">
        <v>50403.0</v>
      </c>
      <c r="B214" s="76" t="s">
        <v>219</v>
      </c>
      <c r="C214" s="78">
        <v>0.0</v>
      </c>
      <c r="D214" s="81">
        <v>2.5867514700564893</v>
      </c>
    </row>
    <row r="215" ht="15.75" customHeight="1">
      <c r="A215" s="29">
        <v>50404.0</v>
      </c>
      <c r="B215" s="76" t="s">
        <v>220</v>
      </c>
      <c r="C215" s="78">
        <v>0.4170359172183704</v>
      </c>
      <c r="D215" s="81">
        <v>6.93339816204056</v>
      </c>
    </row>
    <row r="216" ht="15.75" customHeight="1">
      <c r="A216" s="29">
        <v>50405.0</v>
      </c>
      <c r="B216" s="76" t="s">
        <v>221</v>
      </c>
      <c r="C216" s="78">
        <v>1.3314471165848383</v>
      </c>
      <c r="D216" s="81">
        <v>0.7171624234303776</v>
      </c>
    </row>
    <row r="217" ht="15.75" customHeight="1">
      <c r="A217" s="29">
        <v>50501.0</v>
      </c>
      <c r="B217" s="76" t="s">
        <v>222</v>
      </c>
      <c r="C217" s="78">
        <v>3.3394163782103656</v>
      </c>
      <c r="D217" s="81">
        <v>2.4902463651399676</v>
      </c>
    </row>
    <row r="218" ht="15.75" customHeight="1">
      <c r="A218" s="29">
        <v>50502.0</v>
      </c>
      <c r="B218" s="76" t="s">
        <v>223</v>
      </c>
      <c r="C218" s="78">
        <v>2.3324460776749922</v>
      </c>
      <c r="D218" s="81">
        <v>9.851220000055184</v>
      </c>
    </row>
    <row r="219" ht="15.75" customHeight="1">
      <c r="A219" s="29">
        <v>50601.0</v>
      </c>
      <c r="B219" s="76" t="s">
        <v>224</v>
      </c>
      <c r="C219" s="78">
        <v>0.0</v>
      </c>
      <c r="D219" s="81">
        <v>0.0</v>
      </c>
    </row>
    <row r="220" ht="15.75" customHeight="1">
      <c r="A220" s="29">
        <v>50602.0</v>
      </c>
      <c r="B220" s="76" t="s">
        <v>225</v>
      </c>
      <c r="C220" s="78">
        <v>0.0</v>
      </c>
      <c r="D220" s="81">
        <v>2.67901780308277</v>
      </c>
    </row>
    <row r="221" ht="15.75" customHeight="1">
      <c r="A221" s="29">
        <v>50701.0</v>
      </c>
      <c r="B221" s="76" t="s">
        <v>226</v>
      </c>
      <c r="C221" s="78">
        <v>0.31603011915081675</v>
      </c>
      <c r="D221" s="81">
        <v>2.6831539351400413</v>
      </c>
    </row>
    <row r="222" ht="15.75" customHeight="1">
      <c r="A222" s="29">
        <v>50702.0</v>
      </c>
      <c r="B222" s="76" t="s">
        <v>227</v>
      </c>
      <c r="C222" s="78">
        <v>1.4112149548579005</v>
      </c>
      <c r="D222" s="81">
        <v>3.465628037511968</v>
      </c>
    </row>
    <row r="223" ht="15.75" customHeight="1">
      <c r="A223" s="29">
        <v>50801.0</v>
      </c>
      <c r="B223" s="76" t="s">
        <v>228</v>
      </c>
      <c r="C223" s="78">
        <v>10.695031265317075</v>
      </c>
      <c r="D223" s="81">
        <v>45.47335452945055</v>
      </c>
    </row>
    <row r="224" ht="15.75" customHeight="1">
      <c r="A224" s="29">
        <v>50802.0</v>
      </c>
      <c r="B224" s="76" t="s">
        <v>229</v>
      </c>
      <c r="C224" s="78">
        <v>11.488967504741147</v>
      </c>
      <c r="D224" s="81">
        <v>38.388493281659834</v>
      </c>
    </row>
    <row r="225" ht="15.75" customHeight="1">
      <c r="A225" s="29">
        <v>50901.0</v>
      </c>
      <c r="B225" s="76" t="s">
        <v>230</v>
      </c>
      <c r="C225" s="78">
        <v>4.6452294031890835</v>
      </c>
      <c r="D225" s="81">
        <v>192.47189468966587</v>
      </c>
    </row>
    <row r="226" ht="15.75" customHeight="1">
      <c r="A226" s="29">
        <v>50902.0</v>
      </c>
      <c r="B226" s="76" t="s">
        <v>231</v>
      </c>
      <c r="C226" s="78">
        <v>0.0</v>
      </c>
      <c r="D226" s="81">
        <v>0.0</v>
      </c>
    </row>
    <row r="227" ht="15.75" customHeight="1">
      <c r="A227" s="29">
        <v>51001.0</v>
      </c>
      <c r="B227" s="76" t="s">
        <v>232</v>
      </c>
      <c r="C227" s="78">
        <v>0.0</v>
      </c>
      <c r="D227" s="81">
        <v>3.0461314672529043</v>
      </c>
    </row>
    <row r="228" ht="15.75" customHeight="1">
      <c r="A228" s="29">
        <v>51002.0</v>
      </c>
      <c r="B228" s="76" t="s">
        <v>233</v>
      </c>
      <c r="C228" s="78">
        <v>0.0</v>
      </c>
      <c r="D228" s="81">
        <v>1.762560532902686</v>
      </c>
    </row>
    <row r="229" ht="15.75" customHeight="1">
      <c r="A229" s="29">
        <v>51003.0</v>
      </c>
      <c r="B229" s="76" t="s">
        <v>234</v>
      </c>
      <c r="C229" s="78">
        <v>0.0</v>
      </c>
      <c r="D229" s="81">
        <v>0.0</v>
      </c>
    </row>
    <row r="230" ht="15.75" customHeight="1">
      <c r="A230" s="29">
        <v>51101.0</v>
      </c>
      <c r="B230" s="76" t="s">
        <v>235</v>
      </c>
      <c r="C230" s="78">
        <v>0.3074432270610194</v>
      </c>
      <c r="D230" s="81">
        <v>1.7089664317187705</v>
      </c>
    </row>
    <row r="231" ht="15.75" customHeight="1">
      <c r="A231" s="29">
        <v>51102.0</v>
      </c>
      <c r="B231" s="76" t="s">
        <v>236</v>
      </c>
      <c r="C231" s="78">
        <v>1.0188030766968499</v>
      </c>
      <c r="D231" s="81">
        <v>2.647534789350221</v>
      </c>
    </row>
    <row r="232" ht="15.75" customHeight="1">
      <c r="A232" s="29">
        <v>51103.0</v>
      </c>
      <c r="B232" s="76" t="s">
        <v>237</v>
      </c>
      <c r="C232" s="78">
        <v>1.1338140109513353</v>
      </c>
      <c r="D232" s="81">
        <v>0.0</v>
      </c>
    </row>
    <row r="233" ht="15.75" customHeight="1">
      <c r="A233" s="29">
        <v>51201.0</v>
      </c>
      <c r="B233" s="76" t="s">
        <v>238</v>
      </c>
      <c r="C233" s="78">
        <v>6.233137496684047</v>
      </c>
      <c r="D233" s="81">
        <v>35.65185241619336</v>
      </c>
    </row>
    <row r="234" ht="15.75" customHeight="1">
      <c r="A234" s="29">
        <v>51202.0</v>
      </c>
      <c r="B234" s="76" t="s">
        <v>239</v>
      </c>
      <c r="C234" s="78">
        <v>1.400908418353257</v>
      </c>
      <c r="D234" s="81">
        <v>5.758091969597509</v>
      </c>
    </row>
    <row r="235" ht="15.75" customHeight="1">
      <c r="A235" s="29">
        <v>51203.0</v>
      </c>
      <c r="B235" s="76" t="s">
        <v>240</v>
      </c>
      <c r="C235" s="78">
        <v>4.305665832199291</v>
      </c>
      <c r="D235" s="81">
        <v>6.751794440098384</v>
      </c>
    </row>
    <row r="236" ht="15.75" customHeight="1">
      <c r="A236" s="29">
        <v>51204.0</v>
      </c>
      <c r="B236" s="76" t="s">
        <v>241</v>
      </c>
      <c r="C236" s="78">
        <v>0.0</v>
      </c>
      <c r="D236" s="81">
        <v>0.45788887675251205</v>
      </c>
    </row>
    <row r="237" ht="15.75" customHeight="1">
      <c r="A237" s="29">
        <v>51301.0</v>
      </c>
      <c r="B237" s="76" t="s">
        <v>242</v>
      </c>
      <c r="C237" s="78">
        <v>2.7332784934842826</v>
      </c>
      <c r="D237" s="81">
        <v>2.2526578824864303</v>
      </c>
    </row>
    <row r="238" ht="15.75" customHeight="1">
      <c r="A238" s="29">
        <v>51302.0</v>
      </c>
      <c r="B238" s="76" t="s">
        <v>243</v>
      </c>
      <c r="C238" s="78">
        <v>4.926295066761059</v>
      </c>
      <c r="D238" s="81">
        <v>13.020611329339074</v>
      </c>
    </row>
    <row r="239" ht="15.75" customHeight="1">
      <c r="A239" s="29">
        <v>51401.0</v>
      </c>
      <c r="B239" s="76" t="s">
        <v>244</v>
      </c>
      <c r="C239" s="78">
        <v>5.500514810813372</v>
      </c>
      <c r="D239" s="81">
        <v>23.252142676853385</v>
      </c>
    </row>
    <row r="240" ht="15.75" customHeight="1">
      <c r="A240" s="29">
        <v>51402.0</v>
      </c>
      <c r="B240" s="76" t="s">
        <v>245</v>
      </c>
      <c r="C240" s="78">
        <v>0.5927096710461325</v>
      </c>
      <c r="D240" s="81">
        <v>0.0</v>
      </c>
    </row>
    <row r="241" ht="15.75" customHeight="1">
      <c r="A241" s="29">
        <v>51501.0</v>
      </c>
      <c r="B241" s="76" t="s">
        <v>246</v>
      </c>
      <c r="C241" s="78">
        <v>12.55837269884443</v>
      </c>
      <c r="D241" s="81">
        <v>59.754208123647665</v>
      </c>
    </row>
    <row r="242" ht="15.75" customHeight="1">
      <c r="A242" s="29">
        <v>51601.0</v>
      </c>
      <c r="B242" s="76" t="s">
        <v>247</v>
      </c>
      <c r="C242" s="78">
        <v>0.0</v>
      </c>
      <c r="D242" s="81">
        <v>0.0</v>
      </c>
    </row>
    <row r="243" ht="15.75" customHeight="1">
      <c r="A243" s="29">
        <v>60101.0</v>
      </c>
      <c r="B243" s="76" t="s">
        <v>248</v>
      </c>
      <c r="C243" s="78">
        <v>40.80856878693742</v>
      </c>
      <c r="D243" s="81">
        <v>100.43638407034246</v>
      </c>
    </row>
    <row r="244" ht="15.75" customHeight="1">
      <c r="A244" s="29">
        <v>60201.0</v>
      </c>
      <c r="B244" s="76" t="s">
        <v>249</v>
      </c>
      <c r="C244" s="78">
        <v>8.099980137485055</v>
      </c>
      <c r="D244" s="81">
        <v>8.346082219650173</v>
      </c>
    </row>
    <row r="245" ht="15.75" customHeight="1">
      <c r="A245" s="29">
        <v>60202.0</v>
      </c>
      <c r="B245" s="76" t="s">
        <v>250</v>
      </c>
      <c r="C245" s="78">
        <v>16.512959357347995</v>
      </c>
      <c r="D245" s="81">
        <v>46.00490544062267</v>
      </c>
    </row>
    <row r="246" ht="15.75" customHeight="1">
      <c r="A246" s="29">
        <v>60301.0</v>
      </c>
      <c r="B246" s="76" t="s">
        <v>251</v>
      </c>
      <c r="C246" s="78">
        <v>34.54310185697874</v>
      </c>
      <c r="D246" s="81">
        <v>74.32264730186385</v>
      </c>
    </row>
    <row r="247" ht="15.75" customHeight="1">
      <c r="A247" s="29">
        <v>60302.0</v>
      </c>
      <c r="B247" s="76" t="s">
        <v>252</v>
      </c>
      <c r="C247" s="78">
        <v>44.41476532103395</v>
      </c>
      <c r="D247" s="81">
        <v>61.71140481052822</v>
      </c>
    </row>
    <row r="248" ht="15.75" customHeight="1">
      <c r="A248" s="29">
        <v>60303.0</v>
      </c>
      <c r="B248" s="76" t="s">
        <v>253</v>
      </c>
      <c r="C248" s="78">
        <v>12.410743112886799</v>
      </c>
      <c r="D248" s="81">
        <v>68.9404647067344</v>
      </c>
    </row>
    <row r="249" ht="15.75" customHeight="1">
      <c r="A249" s="29">
        <v>60401.0</v>
      </c>
      <c r="B249" s="76" t="s">
        <v>254</v>
      </c>
      <c r="C249" s="78">
        <v>6.923492657273173</v>
      </c>
      <c r="D249" s="81">
        <v>14.285607190377064</v>
      </c>
    </row>
    <row r="250" ht="15.75" customHeight="1">
      <c r="A250" s="29">
        <v>60402.0</v>
      </c>
      <c r="B250" s="76" t="s">
        <v>255</v>
      </c>
      <c r="C250" s="78">
        <v>6.014008403670247</v>
      </c>
      <c r="D250" s="81">
        <v>2.890320324016122</v>
      </c>
    </row>
    <row r="251" ht="15.75" customHeight="1">
      <c r="A251" s="29">
        <v>60501.0</v>
      </c>
      <c r="B251" s="76" t="s">
        <v>256</v>
      </c>
      <c r="C251" s="78">
        <v>12.832817905928016</v>
      </c>
      <c r="D251" s="81">
        <v>10.168684024574889</v>
      </c>
    </row>
    <row r="252" ht="15.75" customHeight="1">
      <c r="A252" s="29">
        <v>60502.0</v>
      </c>
      <c r="B252" s="76" t="s">
        <v>257</v>
      </c>
      <c r="C252" s="78">
        <v>3.0448929574836483</v>
      </c>
      <c r="D252" s="81">
        <v>7.893939089368548</v>
      </c>
    </row>
    <row r="253" ht="15.75" customHeight="1">
      <c r="A253" s="29">
        <v>60601.0</v>
      </c>
      <c r="B253" s="76" t="s">
        <v>159</v>
      </c>
      <c r="C253" s="78">
        <v>9.58072652331541</v>
      </c>
      <c r="D253" s="81">
        <v>13.441624298867552</v>
      </c>
    </row>
    <row r="254" ht="15.75" customHeight="1">
      <c r="A254" s="29">
        <v>70101.0</v>
      </c>
      <c r="B254" s="76" t="s">
        <v>258</v>
      </c>
      <c r="C254" s="78">
        <v>71.44943256734345</v>
      </c>
      <c r="D254" s="81">
        <v>193.17228886522605</v>
      </c>
    </row>
    <row r="255" ht="15.75" customHeight="1">
      <c r="A255" s="29">
        <v>70102.0</v>
      </c>
      <c r="B255" s="76" t="s">
        <v>259</v>
      </c>
      <c r="C255" s="78">
        <v>27.21825562867536</v>
      </c>
      <c r="D255" s="81">
        <v>41.12741362436033</v>
      </c>
    </row>
    <row r="256" ht="15.75" customHeight="1">
      <c r="A256" s="29">
        <v>70103.0</v>
      </c>
      <c r="B256" s="76" t="s">
        <v>260</v>
      </c>
      <c r="C256" s="78">
        <v>11.49397872983698</v>
      </c>
      <c r="D256" s="81">
        <v>110.43548695696484</v>
      </c>
    </row>
    <row r="257" ht="15.75" customHeight="1">
      <c r="A257" s="29">
        <v>70104.0</v>
      </c>
      <c r="B257" s="76" t="s">
        <v>261</v>
      </c>
      <c r="C257" s="78">
        <v>26.330943311686656</v>
      </c>
      <c r="D257" s="81">
        <v>37.07299361835544</v>
      </c>
    </row>
    <row r="258" ht="15.75" customHeight="1">
      <c r="A258" s="29">
        <v>70105.0</v>
      </c>
      <c r="B258" s="76" t="s">
        <v>262</v>
      </c>
      <c r="C258" s="78">
        <v>12.44868480072474</v>
      </c>
      <c r="D258" s="81">
        <v>26.484128510645874</v>
      </c>
    </row>
    <row r="259" ht="15.75" customHeight="1">
      <c r="A259" s="29">
        <v>70201.0</v>
      </c>
      <c r="B259" s="76" t="s">
        <v>263</v>
      </c>
      <c r="C259" s="78">
        <v>17.376743131455765</v>
      </c>
      <c r="D259" s="81">
        <v>94.71898723995383</v>
      </c>
    </row>
    <row r="260" ht="15.75" customHeight="1">
      <c r="A260" s="29">
        <v>70202.0</v>
      </c>
      <c r="B260" s="76" t="s">
        <v>264</v>
      </c>
      <c r="C260" s="78">
        <v>7.665867109894699</v>
      </c>
      <c r="D260" s="81">
        <v>50.65487863968042</v>
      </c>
    </row>
    <row r="261" ht="15.75" customHeight="1">
      <c r="A261" s="29">
        <v>70301.0</v>
      </c>
      <c r="B261" s="76" t="s">
        <v>265</v>
      </c>
      <c r="C261" s="78">
        <v>12.578661142664968</v>
      </c>
      <c r="D261" s="81">
        <v>36.326208864428544</v>
      </c>
    </row>
    <row r="262" ht="15.75" customHeight="1">
      <c r="A262" s="29">
        <v>70302.0</v>
      </c>
      <c r="B262" s="76" t="s">
        <v>266</v>
      </c>
      <c r="C262" s="78">
        <v>4.440770661707656</v>
      </c>
      <c r="D262" s="81">
        <v>8.465746149324582</v>
      </c>
    </row>
    <row r="263" ht="15.75" customHeight="1">
      <c r="A263" s="29">
        <v>70303.0</v>
      </c>
      <c r="B263" s="76" t="s">
        <v>267</v>
      </c>
      <c r="C263" s="78">
        <v>1.0475180369511987</v>
      </c>
      <c r="D263" s="81">
        <v>4.887752508371643</v>
      </c>
    </row>
    <row r="264" ht="15.75" customHeight="1">
      <c r="A264" s="29">
        <v>70401.0</v>
      </c>
      <c r="B264" s="76" t="s">
        <v>268</v>
      </c>
      <c r="C264" s="78">
        <v>9.647162751946942</v>
      </c>
      <c r="D264" s="81">
        <v>12.75460896260667</v>
      </c>
    </row>
    <row r="265" ht="15.75" customHeight="1">
      <c r="A265" s="29">
        <v>70402.0</v>
      </c>
      <c r="B265" s="76" t="s">
        <v>269</v>
      </c>
      <c r="C265" s="78">
        <v>3.2339525202142547</v>
      </c>
      <c r="D265" s="81">
        <v>21.01105788383633</v>
      </c>
    </row>
    <row r="266" ht="15.75" customHeight="1">
      <c r="A266" s="29">
        <v>70403.0</v>
      </c>
      <c r="B266" s="76" t="s">
        <v>270</v>
      </c>
      <c r="C266" s="78">
        <v>6.520085653145126</v>
      </c>
      <c r="D266" s="81">
        <v>63.75264478909605</v>
      </c>
    </row>
    <row r="267" ht="15.75" customHeight="1">
      <c r="A267" s="29">
        <v>70404.0</v>
      </c>
      <c r="B267" s="76" t="s">
        <v>271</v>
      </c>
      <c r="C267" s="78">
        <v>6.49524713651596</v>
      </c>
      <c r="D267" s="81">
        <v>39.42398037379254</v>
      </c>
    </row>
    <row r="268" ht="15.75" customHeight="1">
      <c r="A268" s="29">
        <v>70501.0</v>
      </c>
      <c r="B268" s="76" t="s">
        <v>272</v>
      </c>
      <c r="C268" s="78">
        <v>14.47189987617898</v>
      </c>
      <c r="D268" s="81">
        <v>13.746832450154495</v>
      </c>
    </row>
    <row r="269" ht="15.75" customHeight="1">
      <c r="A269" s="29">
        <v>70502.0</v>
      </c>
      <c r="B269" s="76" t="s">
        <v>273</v>
      </c>
      <c r="C269" s="78">
        <v>4.602633849187486</v>
      </c>
      <c r="D269" s="81">
        <v>16.945736351855206</v>
      </c>
    </row>
    <row r="270" ht="15.75" customHeight="1">
      <c r="A270" s="29">
        <v>70503.0</v>
      </c>
      <c r="B270" s="76" t="s">
        <v>274</v>
      </c>
      <c r="C270" s="78">
        <v>19.335492820342658</v>
      </c>
      <c r="D270" s="81">
        <v>14.683432666147356</v>
      </c>
    </row>
    <row r="271" ht="15.75" customHeight="1">
      <c r="A271" s="29">
        <v>70601.0</v>
      </c>
      <c r="B271" s="76" t="s">
        <v>275</v>
      </c>
      <c r="C271" s="78">
        <v>20.303380778961824</v>
      </c>
      <c r="D271" s="81">
        <v>47.5047047503387</v>
      </c>
    </row>
    <row r="272" ht="15.75" customHeight="1">
      <c r="A272" s="29">
        <v>70602.0</v>
      </c>
      <c r="B272" s="76" t="s">
        <v>276</v>
      </c>
      <c r="C272" s="78">
        <v>3.745559973749135</v>
      </c>
      <c r="D272" s="81">
        <v>3.878200716898785</v>
      </c>
    </row>
    <row r="273" ht="15.75" customHeight="1">
      <c r="A273" s="29">
        <v>70603.0</v>
      </c>
      <c r="B273" s="76" t="s">
        <v>277</v>
      </c>
      <c r="C273" s="78">
        <v>19.780570542566597</v>
      </c>
      <c r="D273" s="81">
        <v>110.42118706562285</v>
      </c>
    </row>
    <row r="274" ht="15.75" customHeight="1">
      <c r="A274" s="29">
        <v>70701.0</v>
      </c>
      <c r="B274" s="76" t="s">
        <v>278</v>
      </c>
      <c r="C274" s="78">
        <v>4.952925352776945</v>
      </c>
      <c r="D274" s="81">
        <v>5.086985252821168</v>
      </c>
    </row>
    <row r="275" ht="15.75" customHeight="1">
      <c r="A275" s="29">
        <v>70702.0</v>
      </c>
      <c r="B275" s="76" t="s">
        <v>279</v>
      </c>
      <c r="C275" s="78">
        <v>0.0</v>
      </c>
      <c r="D275" s="81">
        <v>2.147329748624524</v>
      </c>
    </row>
    <row r="276" ht="15.75" customHeight="1">
      <c r="A276" s="29">
        <v>70703.0</v>
      </c>
      <c r="B276" s="76" t="s">
        <v>280</v>
      </c>
      <c r="C276" s="78">
        <v>2.4940383507663975</v>
      </c>
      <c r="D276" s="81">
        <v>3.7902432298249984</v>
      </c>
    </row>
    <row r="277" ht="15.75" customHeight="1">
      <c r="A277" s="29">
        <v>70704.0</v>
      </c>
      <c r="B277" s="76" t="s">
        <v>281</v>
      </c>
      <c r="C277" s="78">
        <v>3.5144238027956582</v>
      </c>
      <c r="D277" s="81">
        <v>7.842061739283828</v>
      </c>
    </row>
    <row r="278" ht="15.75" customHeight="1">
      <c r="A278" s="29">
        <v>70705.0</v>
      </c>
      <c r="B278" s="76" t="s">
        <v>282</v>
      </c>
      <c r="C278" s="78">
        <v>0.26967542866485067</v>
      </c>
      <c r="D278" s="81">
        <v>0.35179886486232936</v>
      </c>
    </row>
    <row r="279" ht="15.75" customHeight="1">
      <c r="A279" s="29">
        <v>70706.0</v>
      </c>
      <c r="B279" s="76" t="s">
        <v>283</v>
      </c>
      <c r="C279" s="78">
        <v>47.39379701329948</v>
      </c>
      <c r="D279" s="81">
        <v>90.38056346927316</v>
      </c>
    </row>
    <row r="280" ht="15.75" customHeight="1">
      <c r="A280" s="29">
        <v>70707.0</v>
      </c>
      <c r="B280" s="76" t="s">
        <v>284</v>
      </c>
      <c r="C280" s="78">
        <v>8.795791123646044</v>
      </c>
      <c r="D280" s="81">
        <v>8.972777326124406</v>
      </c>
    </row>
    <row r="281" ht="15.75" customHeight="1">
      <c r="A281" s="29">
        <v>70801.0</v>
      </c>
      <c r="B281" s="76" t="s">
        <v>285</v>
      </c>
      <c r="C281" s="78">
        <v>24.169511918400783</v>
      </c>
      <c r="D281" s="81">
        <v>43.48939697364694</v>
      </c>
    </row>
    <row r="282" ht="15.75" customHeight="1">
      <c r="A282" s="29">
        <v>70802.0</v>
      </c>
      <c r="B282" s="76" t="s">
        <v>286</v>
      </c>
      <c r="C282" s="78">
        <v>0.9327084829278318</v>
      </c>
      <c r="D282" s="81">
        <v>6.403980040694816</v>
      </c>
    </row>
    <row r="283" ht="15.75" customHeight="1">
      <c r="A283" s="29">
        <v>70803.0</v>
      </c>
      <c r="B283" s="76" t="s">
        <v>287</v>
      </c>
      <c r="C283" s="78">
        <v>8.03187749751008</v>
      </c>
      <c r="D283" s="81">
        <v>8.329161153210991</v>
      </c>
    </row>
    <row r="284" ht="15.75" customHeight="1">
      <c r="A284" s="29">
        <v>70804.0</v>
      </c>
      <c r="B284" s="76" t="s">
        <v>288</v>
      </c>
      <c r="C284" s="78">
        <v>5.23286567989249</v>
      </c>
      <c r="D284" s="81">
        <v>5.253940455341506</v>
      </c>
    </row>
    <row r="285" ht="15.75" customHeight="1">
      <c r="A285" s="29">
        <v>70805.0</v>
      </c>
      <c r="B285" s="76" t="s">
        <v>289</v>
      </c>
      <c r="C285" s="78">
        <v>4.82483824531911</v>
      </c>
      <c r="D285" s="81">
        <v>22.272250446616315</v>
      </c>
    </row>
    <row r="286" ht="15.75" customHeight="1">
      <c r="A286" s="29">
        <v>70901.0</v>
      </c>
      <c r="B286" s="76" t="s">
        <v>290</v>
      </c>
      <c r="C286" s="78">
        <v>4.7505901103450645</v>
      </c>
      <c r="D286" s="81">
        <v>54.13271763020554</v>
      </c>
    </row>
    <row r="287" ht="15.75" customHeight="1">
      <c r="A287" s="29">
        <v>70902.0</v>
      </c>
      <c r="B287" s="76" t="s">
        <v>291</v>
      </c>
      <c r="C287" s="78">
        <v>2.567371587734817</v>
      </c>
      <c r="D287" s="81">
        <v>11.879604269901558</v>
      </c>
    </row>
    <row r="288" ht="15.75" customHeight="1">
      <c r="A288" s="29">
        <v>70903.0</v>
      </c>
      <c r="B288" s="76" t="s">
        <v>292</v>
      </c>
      <c r="C288" s="78">
        <v>7.773505449693308</v>
      </c>
      <c r="D288" s="81">
        <v>21.82584634990292</v>
      </c>
    </row>
    <row r="289" ht="15.75" customHeight="1">
      <c r="A289" s="29">
        <v>70904.0</v>
      </c>
      <c r="B289" s="76" t="s">
        <v>293</v>
      </c>
      <c r="C289" s="78">
        <v>4.223930277561799</v>
      </c>
      <c r="D289" s="81">
        <v>16.58382415016546</v>
      </c>
    </row>
    <row r="290" ht="15.75" customHeight="1">
      <c r="A290" s="29">
        <v>71001.0</v>
      </c>
      <c r="B290" s="76" t="s">
        <v>294</v>
      </c>
      <c r="C290" s="78">
        <v>39.47759842008583</v>
      </c>
      <c r="D290" s="81">
        <v>84.38270871267432</v>
      </c>
    </row>
    <row r="291" ht="15.75" customHeight="1">
      <c r="A291" s="29">
        <v>71002.0</v>
      </c>
      <c r="B291" s="76" t="s">
        <v>295</v>
      </c>
      <c r="C291" s="78">
        <v>6.402687937888565</v>
      </c>
      <c r="D291" s="81">
        <v>14.827296661352483</v>
      </c>
    </row>
    <row r="292" ht="15.75" customHeight="1">
      <c r="A292" s="29">
        <v>71003.0</v>
      </c>
      <c r="B292" s="76" t="s">
        <v>296</v>
      </c>
      <c r="C292" s="78">
        <v>7.3790430807163645</v>
      </c>
      <c r="D292" s="81">
        <v>47.351411721638335</v>
      </c>
    </row>
    <row r="293" ht="15.75" customHeight="1">
      <c r="A293" s="29">
        <v>71004.0</v>
      </c>
      <c r="B293" s="76" t="s">
        <v>297</v>
      </c>
      <c r="C293" s="78">
        <v>4.375205258184123</v>
      </c>
      <c r="D293" s="81">
        <v>23.771790010484875</v>
      </c>
    </row>
    <row r="294" ht="15.75" customHeight="1">
      <c r="A294" s="29">
        <v>71005.0</v>
      </c>
      <c r="B294" s="76" t="s">
        <v>222</v>
      </c>
      <c r="C294" s="78">
        <v>0.6858964756293715</v>
      </c>
      <c r="D294" s="81">
        <v>4.227066178562324</v>
      </c>
    </row>
    <row r="295" ht="15.75" customHeight="1">
      <c r="A295" s="29">
        <v>71101.0</v>
      </c>
      <c r="B295" s="76" t="s">
        <v>298</v>
      </c>
      <c r="C295" s="78">
        <v>10.384010954444003</v>
      </c>
      <c r="D295" s="81">
        <v>32.69205271796386</v>
      </c>
    </row>
    <row r="296" ht="15.75" customHeight="1">
      <c r="A296" s="29">
        <v>71102.0</v>
      </c>
      <c r="B296" s="76" t="s">
        <v>299</v>
      </c>
      <c r="C296" s="78">
        <v>7.801474410383901</v>
      </c>
      <c r="D296" s="81">
        <v>35.96112724777549</v>
      </c>
    </row>
    <row r="297" ht="15.75" customHeight="1">
      <c r="A297" s="29">
        <v>71103.0</v>
      </c>
      <c r="B297" s="76" t="s">
        <v>300</v>
      </c>
      <c r="C297" s="78">
        <v>11.762765173593165</v>
      </c>
      <c r="D297" s="81">
        <v>20.731776855098474</v>
      </c>
    </row>
    <row r="298" ht="15.75" customHeight="1">
      <c r="A298" s="29">
        <v>71104.0</v>
      </c>
      <c r="B298" s="76" t="s">
        <v>301</v>
      </c>
      <c r="C298" s="78">
        <v>4.584217025312718</v>
      </c>
      <c r="D298" s="81">
        <v>11.420383442202677</v>
      </c>
    </row>
    <row r="299" ht="15.75" customHeight="1">
      <c r="A299" s="29">
        <v>71105.0</v>
      </c>
      <c r="B299" s="76" t="s">
        <v>302</v>
      </c>
      <c r="C299" s="78">
        <v>1.1835649494794724</v>
      </c>
      <c r="D299" s="81">
        <v>7.583597875591834</v>
      </c>
    </row>
    <row r="300" ht="15.75" customHeight="1">
      <c r="A300" s="29">
        <v>71106.0</v>
      </c>
      <c r="B300" s="76" t="s">
        <v>303</v>
      </c>
      <c r="C300" s="78">
        <v>2.329074344751898</v>
      </c>
      <c r="D300" s="81">
        <v>9.73246720221517</v>
      </c>
    </row>
    <row r="301" ht="15.75" customHeight="1">
      <c r="A301" s="29">
        <v>71201.0</v>
      </c>
      <c r="B301" s="76" t="s">
        <v>304</v>
      </c>
      <c r="C301" s="78">
        <v>2.291633247015148</v>
      </c>
      <c r="D301" s="81">
        <v>14.797840469801956</v>
      </c>
    </row>
    <row r="302" ht="15.75" customHeight="1">
      <c r="A302" s="29">
        <v>71301.0</v>
      </c>
      <c r="B302" s="76" t="s">
        <v>305</v>
      </c>
      <c r="C302" s="78">
        <v>6.552125800815375</v>
      </c>
      <c r="D302" s="81">
        <v>27.896180855439265</v>
      </c>
    </row>
    <row r="303" ht="15.75" customHeight="1">
      <c r="A303" s="29">
        <v>71302.0</v>
      </c>
      <c r="B303" s="76" t="s">
        <v>306</v>
      </c>
      <c r="C303" s="78">
        <v>3.0913812577834032</v>
      </c>
      <c r="D303" s="81">
        <v>10.55455309107622</v>
      </c>
    </row>
    <row r="304" ht="15.75" customHeight="1">
      <c r="A304" s="29">
        <v>71401.0</v>
      </c>
      <c r="B304" s="76" t="s">
        <v>307</v>
      </c>
      <c r="C304" s="78">
        <v>12.39516676856192</v>
      </c>
      <c r="D304" s="81">
        <v>50.12702651393314</v>
      </c>
    </row>
    <row r="305" ht="15.75" customHeight="1">
      <c r="A305" s="29">
        <v>71402.0</v>
      </c>
      <c r="B305" s="76" t="s">
        <v>308</v>
      </c>
      <c r="C305" s="78">
        <v>18.698812811441858</v>
      </c>
      <c r="D305" s="81">
        <v>37.89378852632995</v>
      </c>
    </row>
    <row r="306" ht="15.75" customHeight="1">
      <c r="A306" s="29">
        <v>71403.0</v>
      </c>
      <c r="B306" s="76" t="s">
        <v>309</v>
      </c>
      <c r="C306" s="78">
        <v>14.230504240093564</v>
      </c>
      <c r="D306" s="81">
        <v>1.3602330288092646</v>
      </c>
    </row>
    <row r="307" ht="15.75" customHeight="1">
      <c r="A307" s="29">
        <v>71501.0</v>
      </c>
      <c r="B307" s="76" t="s">
        <v>310</v>
      </c>
      <c r="C307" s="78">
        <v>4.201430989187835</v>
      </c>
      <c r="D307" s="81">
        <v>19.992807242525398</v>
      </c>
    </row>
    <row r="308" ht="15.75" customHeight="1">
      <c r="A308" s="29">
        <v>71502.0</v>
      </c>
      <c r="B308" s="76" t="s">
        <v>311</v>
      </c>
      <c r="C308" s="78">
        <v>20.640886617106045</v>
      </c>
      <c r="D308" s="81">
        <v>48.0087440302163</v>
      </c>
    </row>
    <row r="309" ht="15.75" customHeight="1">
      <c r="A309" s="29">
        <v>71503.0</v>
      </c>
      <c r="B309" s="76" t="s">
        <v>257</v>
      </c>
      <c r="C309" s="78">
        <v>2.1443690488066474</v>
      </c>
      <c r="D309" s="81">
        <v>9.700604445887526</v>
      </c>
    </row>
    <row r="310" ht="15.75" customHeight="1">
      <c r="A310" s="29">
        <v>80101.0</v>
      </c>
      <c r="B310" s="76" t="s">
        <v>312</v>
      </c>
      <c r="C310" s="78">
        <v>48.82319867598911</v>
      </c>
      <c r="D310" s="81">
        <v>76.11804483297176</v>
      </c>
    </row>
    <row r="311" ht="15.75" customHeight="1">
      <c r="A311" s="29">
        <v>80102.0</v>
      </c>
      <c r="B311" s="76" t="s">
        <v>299</v>
      </c>
      <c r="C311" s="78">
        <v>2.109819075568469</v>
      </c>
      <c r="D311" s="81">
        <v>5.202841988704653</v>
      </c>
    </row>
    <row r="312" ht="15.75" customHeight="1">
      <c r="A312" s="29">
        <v>80201.0</v>
      </c>
      <c r="B312" s="76" t="s">
        <v>313</v>
      </c>
      <c r="C312" s="78">
        <v>21.634576960635645</v>
      </c>
      <c r="D312" s="81">
        <v>46.96882962766978</v>
      </c>
    </row>
    <row r="313" ht="15.75" customHeight="1">
      <c r="A313" s="29">
        <v>80202.0</v>
      </c>
      <c r="B313" s="76" t="s">
        <v>314</v>
      </c>
      <c r="C313" s="78">
        <v>29.00433578147887</v>
      </c>
      <c r="D313" s="81">
        <v>36.49603372883209</v>
      </c>
    </row>
    <row r="314" ht="15.75" customHeight="1">
      <c r="A314" s="29">
        <v>80301.0</v>
      </c>
      <c r="B314" s="76" t="s">
        <v>315</v>
      </c>
      <c r="C314" s="78">
        <v>5.061271237025973</v>
      </c>
      <c r="D314" s="81">
        <v>12.629056005436324</v>
      </c>
    </row>
    <row r="315" ht="15.75" customHeight="1">
      <c r="A315" s="29">
        <v>80302.0</v>
      </c>
      <c r="B315" s="76" t="s">
        <v>316</v>
      </c>
      <c r="C315" s="78">
        <v>9.867368603542978</v>
      </c>
      <c r="D315" s="81">
        <v>48.93728978610218</v>
      </c>
    </row>
    <row r="316" ht="15.75" customHeight="1">
      <c r="A316" s="29">
        <v>80303.0</v>
      </c>
      <c r="B316" s="76" t="s">
        <v>276</v>
      </c>
      <c r="C316" s="78">
        <v>21.614679693046906</v>
      </c>
      <c r="D316" s="81">
        <v>23.510154974130646</v>
      </c>
    </row>
    <row r="317" ht="15.75" customHeight="1">
      <c r="A317" s="29">
        <v>80304.0</v>
      </c>
      <c r="B317" s="76" t="s">
        <v>317</v>
      </c>
      <c r="C317" s="78">
        <v>12.102456923270717</v>
      </c>
      <c r="D317" s="81">
        <v>44.44437598565562</v>
      </c>
    </row>
    <row r="318" ht="15.75" customHeight="1">
      <c r="A318" s="29">
        <v>80401.0</v>
      </c>
      <c r="B318" s="76" t="s">
        <v>318</v>
      </c>
      <c r="C318" s="78">
        <v>24.314053184037665</v>
      </c>
      <c r="D318" s="81">
        <v>25.1549504694302</v>
      </c>
    </row>
    <row r="319" ht="15.75" customHeight="1">
      <c r="A319" s="29">
        <v>80402.0</v>
      </c>
      <c r="B319" s="76" t="s">
        <v>319</v>
      </c>
      <c r="C319" s="78">
        <v>5.256814626766162</v>
      </c>
      <c r="D319" s="81">
        <v>8.51880636784722</v>
      </c>
    </row>
    <row r="320" ht="15.75" customHeight="1">
      <c r="A320" s="29">
        <v>80501.0</v>
      </c>
      <c r="B320" s="76" t="s">
        <v>265</v>
      </c>
      <c r="C320" s="78">
        <v>4.519152394920774</v>
      </c>
      <c r="D320" s="81">
        <v>14.882448481709346</v>
      </c>
    </row>
    <row r="321" ht="15.75" customHeight="1">
      <c r="A321" s="29">
        <v>80601.0</v>
      </c>
      <c r="B321" s="76" t="s">
        <v>320</v>
      </c>
      <c r="C321" s="78">
        <v>0.0</v>
      </c>
      <c r="D321" s="81">
        <v>0.0</v>
      </c>
    </row>
    <row r="322" ht="15.75" customHeight="1">
      <c r="A322" s="29">
        <v>80602.0</v>
      </c>
      <c r="B322" s="76" t="s">
        <v>321</v>
      </c>
      <c r="C322" s="78">
        <v>0.0</v>
      </c>
      <c r="D322" s="81">
        <v>0.0</v>
      </c>
    </row>
    <row r="323" ht="15.75" customHeight="1">
      <c r="A323" s="29">
        <v>80701.0</v>
      </c>
      <c r="B323" s="76" t="s">
        <v>322</v>
      </c>
      <c r="C323" s="78">
        <v>44.36372764721036</v>
      </c>
      <c r="D323" s="81">
        <v>64.69191778325474</v>
      </c>
    </row>
    <row r="324" ht="15.75" customHeight="1">
      <c r="A324" s="29">
        <v>80702.0</v>
      </c>
      <c r="B324" s="76" t="s">
        <v>300</v>
      </c>
      <c r="C324" s="78">
        <v>11.735755129498822</v>
      </c>
      <c r="D324" s="81">
        <v>113.49920641462352</v>
      </c>
    </row>
    <row r="325" ht="15.75" customHeight="1">
      <c r="A325" s="29">
        <v>80703.0</v>
      </c>
      <c r="B325" s="76" t="s">
        <v>323</v>
      </c>
      <c r="C325" s="78">
        <v>0.0</v>
      </c>
      <c r="D325" s="81">
        <v>4.582951420714941</v>
      </c>
    </row>
    <row r="326" ht="15.75" customHeight="1">
      <c r="A326" s="29">
        <v>80801.0</v>
      </c>
      <c r="B326" s="76" t="s">
        <v>324</v>
      </c>
      <c r="C326" s="78">
        <v>0.0</v>
      </c>
      <c r="D326" s="81">
        <v>9.823232328951873</v>
      </c>
    </row>
    <row r="327" ht="15.75" customHeight="1">
      <c r="A327" s="29">
        <v>80802.0</v>
      </c>
      <c r="B327" s="76" t="s">
        <v>325</v>
      </c>
      <c r="C327" s="78">
        <v>3.143335554093497</v>
      </c>
      <c r="D327" s="81">
        <v>17.205849259023765</v>
      </c>
    </row>
    <row r="328" ht="15.75" customHeight="1">
      <c r="A328" s="29">
        <v>80803.0</v>
      </c>
      <c r="B328" s="76" t="s">
        <v>326</v>
      </c>
      <c r="C328" s="78">
        <v>0.0</v>
      </c>
      <c r="D328" s="81">
        <v>51.95751385279495</v>
      </c>
    </row>
    <row r="329" ht="15.75" customHeight="1">
      <c r="A329" s="29">
        <v>80901.0</v>
      </c>
      <c r="B329" s="76" t="s">
        <v>327</v>
      </c>
      <c r="C329" s="78">
        <v>0.0</v>
      </c>
      <c r="D329" s="81">
        <v>0.0</v>
      </c>
    </row>
    <row r="330" ht="15.75" customHeight="1">
      <c r="A330" s="29">
        <v>90101.0</v>
      </c>
      <c r="B330" s="76" t="s">
        <v>328</v>
      </c>
      <c r="C330" s="78">
        <v>29.311605061493964</v>
      </c>
      <c r="D330" s="81">
        <v>83.64816588249538</v>
      </c>
    </row>
    <row r="331" ht="15.75" customHeight="1">
      <c r="A331" s="29">
        <v>90102.0</v>
      </c>
      <c r="B331" s="76" t="s">
        <v>329</v>
      </c>
      <c r="C331" s="78">
        <v>46.71626945317081</v>
      </c>
      <c r="D331" s="81">
        <v>36.50019494746166</v>
      </c>
    </row>
    <row r="332" ht="15.75" customHeight="1">
      <c r="A332" s="29">
        <v>90103.0</v>
      </c>
      <c r="B332" s="76" t="s">
        <v>330</v>
      </c>
      <c r="C332" s="78">
        <v>0.0</v>
      </c>
      <c r="D332" s="81">
        <v>0.0</v>
      </c>
    </row>
    <row r="333" ht="15.75" customHeight="1">
      <c r="A333" s="29">
        <v>90104.0</v>
      </c>
      <c r="B333" s="76" t="s">
        <v>331</v>
      </c>
      <c r="C333" s="78">
        <v>0.0</v>
      </c>
      <c r="D333" s="81">
        <v>27.38732013213639</v>
      </c>
    </row>
    <row r="334" ht="15.75" customHeight="1">
      <c r="A334" s="29">
        <v>90201.0</v>
      </c>
      <c r="B334" s="76" t="s">
        <v>332</v>
      </c>
      <c r="C334" s="78">
        <v>0.0</v>
      </c>
      <c r="D334" s="81">
        <v>0.0</v>
      </c>
    </row>
    <row r="335" ht="15.75" customHeight="1">
      <c r="A335" s="29">
        <v>90202.0</v>
      </c>
      <c r="B335" s="76" t="s">
        <v>222</v>
      </c>
      <c r="C335" s="78">
        <v>0.0</v>
      </c>
      <c r="D335" s="81">
        <v>0.0</v>
      </c>
    </row>
    <row r="336" ht="15.75" customHeight="1">
      <c r="A336" s="29">
        <v>90203.0</v>
      </c>
      <c r="B336" s="76" t="s">
        <v>333</v>
      </c>
      <c r="C336" s="78">
        <v>13.130545508907579</v>
      </c>
      <c r="D336" s="81">
        <v>3.5822321470143934</v>
      </c>
    </row>
    <row r="337" ht="15.75" customHeight="1">
      <c r="A337" s="29">
        <v>90301.0</v>
      </c>
      <c r="B337" s="76" t="s">
        <v>334</v>
      </c>
      <c r="C337" s="78">
        <v>5.399624265832345</v>
      </c>
      <c r="D337" s="81">
        <v>2.637061399180063</v>
      </c>
    </row>
    <row r="338" ht="15.75" customHeight="1">
      <c r="A338" s="29">
        <v>90302.0</v>
      </c>
      <c r="B338" s="76" t="s">
        <v>256</v>
      </c>
      <c r="C338" s="78">
        <v>7.030211480362538</v>
      </c>
      <c r="D338" s="81">
        <v>20.234203688583733</v>
      </c>
    </row>
    <row r="339" ht="15.75" customHeight="1">
      <c r="A339" s="29">
        <v>90303.0</v>
      </c>
      <c r="B339" s="76" t="s">
        <v>335</v>
      </c>
      <c r="C339" s="78">
        <v>12.468094061237025</v>
      </c>
      <c r="D339" s="81">
        <v>34.95776884515178</v>
      </c>
    </row>
    <row r="340" ht="15.75" customHeight="1">
      <c r="A340" s="29">
        <v>90401.0</v>
      </c>
      <c r="B340" s="76" t="s">
        <v>276</v>
      </c>
      <c r="C340" s="78">
        <v>6.366736256089074</v>
      </c>
      <c r="D340" s="81">
        <v>32.849406175771975</v>
      </c>
    </row>
    <row r="341" ht="15.75" customHeight="1">
      <c r="A341" s="29">
        <v>90402.0</v>
      </c>
      <c r="B341" s="76" t="s">
        <v>336</v>
      </c>
      <c r="C341" s="78">
        <v>0.0</v>
      </c>
      <c r="D341" s="81">
        <v>0.0</v>
      </c>
    </row>
    <row r="342" ht="15.75" customHeight="1">
      <c r="A342" s="29">
        <v>90501.0</v>
      </c>
      <c r="B342" s="76" t="s">
        <v>337</v>
      </c>
      <c r="C342" s="78">
        <v>0.0</v>
      </c>
      <c r="D342" s="81">
        <v>0.0</v>
      </c>
    </row>
    <row r="343" ht="15.75" customHeight="1">
      <c r="A343" s="29">
        <v>90502.0</v>
      </c>
      <c r="B343" s="76" t="s">
        <v>338</v>
      </c>
      <c r="C343" s="78">
        <v>7.115077948351779</v>
      </c>
      <c r="D343" s="81">
        <v>0.0</v>
      </c>
    </row>
    <row r="344" ht="15.75" customHeight="1">
      <c r="A344" s="29">
        <v>90503.0</v>
      </c>
      <c r="B344" s="76" t="s">
        <v>339</v>
      </c>
      <c r="C344" s="78">
        <v>5.587575113056158</v>
      </c>
      <c r="D344" s="81">
        <v>0.0</v>
      </c>
    </row>
    <row r="345" ht="15.75" customHeight="1">
      <c r="A345" s="64"/>
      <c r="B345" s="64"/>
      <c r="C345" s="67"/>
      <c r="D345" s="67"/>
    </row>
    <row r="346" ht="15.75" customHeight="1">
      <c r="A346" s="64"/>
      <c r="B346" s="64"/>
      <c r="C346" s="67"/>
      <c r="D346" s="67"/>
    </row>
    <row r="347" ht="15.75" customHeight="1">
      <c r="A347" s="64"/>
      <c r="B347" s="64"/>
      <c r="C347" s="67"/>
      <c r="D347" s="67"/>
    </row>
    <row r="348" ht="15.75" customHeight="1">
      <c r="A348" s="64"/>
      <c r="B348" s="64"/>
      <c r="C348" s="67"/>
      <c r="D348" s="67"/>
    </row>
    <row r="349" ht="15.75" customHeight="1">
      <c r="A349" s="64"/>
      <c r="B349" s="64"/>
      <c r="C349" s="67"/>
      <c r="D349" s="67"/>
    </row>
    <row r="350" ht="15.75" customHeight="1">
      <c r="A350" s="64"/>
      <c r="B350" s="64"/>
      <c r="C350" s="67"/>
      <c r="D350" s="67"/>
    </row>
    <row r="351" ht="15.75" customHeight="1">
      <c r="A351" s="64"/>
      <c r="B351" s="64"/>
      <c r="C351" s="67"/>
      <c r="D351" s="67"/>
    </row>
    <row r="352" ht="15.75" customHeight="1">
      <c r="A352" s="64"/>
      <c r="B352" s="64"/>
      <c r="C352" s="67"/>
      <c r="D352" s="67"/>
    </row>
    <row r="353" ht="15.75" customHeight="1">
      <c r="A353" s="64"/>
      <c r="B353" s="64"/>
      <c r="C353" s="67"/>
      <c r="D353" s="67"/>
    </row>
    <row r="354" ht="15.75" customHeight="1">
      <c r="A354" s="64"/>
      <c r="B354" s="64"/>
      <c r="C354" s="67"/>
      <c r="D354" s="67"/>
    </row>
    <row r="355" ht="15.75" customHeight="1">
      <c r="A355" s="64"/>
      <c r="B355" s="64"/>
      <c r="C355" s="67"/>
      <c r="D355" s="67"/>
    </row>
    <row r="356" ht="15.75" customHeight="1">
      <c r="A356" s="64"/>
      <c r="B356" s="64"/>
      <c r="C356" s="67"/>
      <c r="D356" s="67"/>
    </row>
    <row r="357" ht="15.75" customHeight="1">
      <c r="A357" s="64"/>
      <c r="B357" s="64"/>
      <c r="C357" s="67"/>
      <c r="D357" s="67"/>
    </row>
    <row r="358" ht="15.75" customHeight="1">
      <c r="A358" s="64"/>
      <c r="B358" s="64"/>
      <c r="C358" s="67"/>
      <c r="D358" s="67"/>
    </row>
    <row r="359" ht="15.75" customHeight="1">
      <c r="A359" s="64"/>
      <c r="B359" s="64"/>
      <c r="C359" s="67"/>
      <c r="D359" s="67"/>
    </row>
    <row r="360" ht="15.75" customHeight="1">
      <c r="A360" s="64"/>
      <c r="B360" s="64"/>
      <c r="C360" s="67"/>
      <c r="D360" s="67"/>
    </row>
    <row r="361" ht="15.75" customHeight="1">
      <c r="A361" s="64"/>
      <c r="B361" s="64"/>
      <c r="C361" s="67"/>
      <c r="D361" s="67"/>
    </row>
    <row r="362" ht="15.75" customHeight="1">
      <c r="A362" s="64"/>
      <c r="B362" s="64"/>
      <c r="C362" s="67"/>
      <c r="D362" s="67"/>
    </row>
    <row r="363" ht="15.75" customHeight="1">
      <c r="A363" s="64"/>
      <c r="B363" s="64"/>
      <c r="C363" s="67"/>
      <c r="D363" s="67"/>
    </row>
    <row r="364" ht="15.75" customHeight="1">
      <c r="A364" s="64"/>
      <c r="B364" s="64"/>
      <c r="C364" s="67"/>
      <c r="D364" s="67"/>
    </row>
    <row r="365" ht="15.75" customHeight="1">
      <c r="A365" s="64"/>
      <c r="B365" s="64"/>
      <c r="C365" s="67"/>
      <c r="D365" s="67"/>
    </row>
    <row r="366" ht="15.75" customHeight="1">
      <c r="A366" s="64"/>
      <c r="B366" s="64"/>
      <c r="C366" s="67"/>
      <c r="D366" s="67"/>
    </row>
    <row r="367" ht="15.75" customHeight="1">
      <c r="A367" s="64"/>
      <c r="B367" s="64"/>
      <c r="C367" s="67"/>
      <c r="D367" s="67"/>
    </row>
    <row r="368" ht="15.75" customHeight="1">
      <c r="A368" s="64"/>
      <c r="B368" s="64"/>
      <c r="C368" s="67"/>
      <c r="D368" s="67"/>
    </row>
    <row r="369" ht="15.75" customHeight="1">
      <c r="A369" s="64"/>
      <c r="B369" s="64"/>
      <c r="C369" s="67"/>
      <c r="D369" s="67"/>
    </row>
    <row r="370" ht="15.75" customHeight="1">
      <c r="A370" s="64"/>
      <c r="B370" s="64"/>
      <c r="C370" s="67"/>
      <c r="D370" s="67"/>
    </row>
    <row r="371" ht="15.75" customHeight="1">
      <c r="A371" s="64"/>
      <c r="B371" s="64"/>
      <c r="C371" s="67"/>
      <c r="D371" s="67"/>
    </row>
    <row r="372" ht="15.75" customHeight="1">
      <c r="A372" s="64"/>
      <c r="B372" s="64"/>
      <c r="C372" s="67"/>
      <c r="D372" s="67"/>
    </row>
    <row r="373" ht="15.75" customHeight="1">
      <c r="A373" s="64"/>
      <c r="B373" s="64"/>
      <c r="C373" s="67"/>
      <c r="D373" s="67"/>
    </row>
    <row r="374" ht="15.75" customHeight="1">
      <c r="A374" s="64"/>
      <c r="B374" s="64"/>
      <c r="C374" s="67"/>
      <c r="D374" s="67"/>
    </row>
    <row r="375" ht="15.75" customHeight="1">
      <c r="A375" s="64"/>
      <c r="B375" s="64"/>
      <c r="C375" s="67"/>
      <c r="D375" s="67"/>
    </row>
    <row r="376" ht="15.75" customHeight="1">
      <c r="A376" s="64"/>
      <c r="B376" s="64"/>
      <c r="C376" s="67"/>
      <c r="D376" s="67"/>
    </row>
    <row r="377" ht="15.75" customHeight="1">
      <c r="A377" s="64"/>
      <c r="B377" s="64"/>
      <c r="C377" s="67"/>
      <c r="D377" s="67"/>
    </row>
    <row r="378" ht="15.75" customHeight="1">
      <c r="A378" s="64"/>
      <c r="B378" s="64"/>
      <c r="C378" s="67"/>
      <c r="D378" s="67"/>
    </row>
    <row r="379" ht="15.75" customHeight="1">
      <c r="A379" s="64"/>
      <c r="B379" s="64"/>
      <c r="C379" s="67"/>
      <c r="D379" s="67"/>
    </row>
    <row r="380" ht="15.75" customHeight="1">
      <c r="A380" s="64"/>
      <c r="B380" s="64"/>
      <c r="C380" s="67"/>
      <c r="D380" s="67"/>
    </row>
    <row r="381" ht="15.75" customHeight="1">
      <c r="A381" s="64"/>
      <c r="B381" s="64"/>
      <c r="C381" s="67"/>
      <c r="D381" s="67"/>
    </row>
    <row r="382" ht="15.75" customHeight="1">
      <c r="A382" s="64"/>
      <c r="B382" s="64"/>
      <c r="C382" s="67"/>
      <c r="D382" s="67"/>
    </row>
    <row r="383" ht="15.75" customHeight="1">
      <c r="A383" s="64"/>
      <c r="B383" s="64"/>
      <c r="C383" s="67"/>
      <c r="D383" s="67"/>
    </row>
    <row r="384" ht="15.75" customHeight="1">
      <c r="A384" s="64"/>
      <c r="B384" s="64"/>
      <c r="C384" s="67"/>
      <c r="D384" s="67"/>
    </row>
    <row r="385" ht="15.75" customHeight="1">
      <c r="A385" s="64"/>
      <c r="B385" s="64"/>
      <c r="C385" s="67"/>
      <c r="D385" s="67"/>
    </row>
    <row r="386" ht="15.75" customHeight="1">
      <c r="A386" s="64"/>
      <c r="B386" s="64"/>
      <c r="C386" s="67"/>
      <c r="D386" s="67"/>
    </row>
    <row r="387" ht="15.75" customHeight="1">
      <c r="A387" s="64"/>
      <c r="B387" s="64"/>
      <c r="C387" s="67"/>
      <c r="D387" s="67"/>
    </row>
    <row r="388" ht="15.75" customHeight="1">
      <c r="A388" s="64"/>
      <c r="B388" s="64"/>
      <c r="C388" s="67"/>
      <c r="D388" s="67"/>
    </row>
    <row r="389" ht="15.75" customHeight="1">
      <c r="A389" s="64"/>
      <c r="B389" s="64"/>
      <c r="C389" s="67"/>
      <c r="D389" s="67"/>
    </row>
    <row r="390" ht="15.75" customHeight="1">
      <c r="A390" s="64"/>
      <c r="B390" s="64"/>
      <c r="C390" s="67"/>
      <c r="D390" s="67"/>
    </row>
    <row r="391" ht="15.75" customHeight="1">
      <c r="A391" s="64"/>
      <c r="B391" s="64"/>
      <c r="C391" s="67"/>
      <c r="D391" s="67"/>
    </row>
    <row r="392" ht="15.75" customHeight="1">
      <c r="A392" s="64"/>
      <c r="B392" s="64"/>
      <c r="C392" s="67"/>
      <c r="D392" s="67"/>
    </row>
    <row r="393" ht="15.75" customHeight="1">
      <c r="A393" s="64"/>
      <c r="B393" s="64"/>
      <c r="C393" s="67"/>
      <c r="D393" s="67"/>
    </row>
    <row r="394" ht="15.75" customHeight="1">
      <c r="A394" s="64"/>
      <c r="B394" s="64"/>
      <c r="C394" s="67"/>
      <c r="D394" s="67"/>
    </row>
    <row r="395" ht="15.75" customHeight="1">
      <c r="A395" s="64"/>
      <c r="B395" s="64"/>
      <c r="C395" s="67"/>
      <c r="D395" s="67"/>
    </row>
    <row r="396" ht="15.75" customHeight="1">
      <c r="A396" s="64"/>
      <c r="B396" s="64"/>
      <c r="C396" s="67"/>
      <c r="D396" s="67"/>
    </row>
    <row r="397" ht="15.75" customHeight="1">
      <c r="A397" s="64"/>
      <c r="B397" s="64"/>
      <c r="C397" s="67"/>
      <c r="D397" s="67"/>
    </row>
    <row r="398" ht="15.75" customHeight="1">
      <c r="A398" s="64"/>
      <c r="B398" s="64"/>
      <c r="C398" s="67"/>
      <c r="D398" s="67"/>
    </row>
    <row r="399" ht="15.75" customHeight="1">
      <c r="A399" s="64"/>
      <c r="B399" s="64"/>
      <c r="C399" s="67"/>
      <c r="D399" s="67"/>
    </row>
    <row r="400" ht="15.75" customHeight="1">
      <c r="A400" s="64"/>
      <c r="B400" s="64"/>
      <c r="C400" s="67"/>
      <c r="D400" s="67"/>
    </row>
    <row r="401" ht="15.75" customHeight="1">
      <c r="A401" s="64"/>
      <c r="B401" s="64"/>
      <c r="C401" s="67"/>
      <c r="D401" s="67"/>
    </row>
    <row r="402" ht="15.75" customHeight="1">
      <c r="A402" s="64"/>
      <c r="B402" s="64"/>
      <c r="C402" s="67"/>
      <c r="D402" s="67"/>
    </row>
    <row r="403" ht="15.75" customHeight="1">
      <c r="A403" s="64"/>
      <c r="B403" s="64"/>
      <c r="C403" s="67"/>
      <c r="D403" s="67"/>
    </row>
    <row r="404" ht="15.75" customHeight="1">
      <c r="A404" s="64"/>
      <c r="B404" s="64"/>
      <c r="C404" s="67"/>
      <c r="D404" s="67"/>
    </row>
    <row r="405" ht="15.75" customHeight="1">
      <c r="A405" s="64"/>
      <c r="B405" s="64"/>
      <c r="C405" s="67"/>
      <c r="D405" s="67"/>
    </row>
    <row r="406" ht="15.75" customHeight="1">
      <c r="A406" s="64"/>
      <c r="B406" s="64"/>
      <c r="C406" s="67"/>
      <c r="D406" s="67"/>
    </row>
    <row r="407" ht="15.75" customHeight="1">
      <c r="A407" s="64"/>
      <c r="B407" s="64"/>
      <c r="C407" s="67"/>
      <c r="D407" s="67"/>
    </row>
    <row r="408" ht="15.75" customHeight="1">
      <c r="A408" s="64"/>
      <c r="B408" s="64"/>
      <c r="C408" s="67"/>
      <c r="D408" s="67"/>
    </row>
    <row r="409" ht="15.75" customHeight="1">
      <c r="A409" s="64"/>
      <c r="B409" s="64"/>
      <c r="C409" s="67"/>
      <c r="D409" s="67"/>
    </row>
    <row r="410" ht="15.75" customHeight="1">
      <c r="A410" s="64"/>
      <c r="B410" s="64"/>
      <c r="C410" s="67"/>
      <c r="D410" s="67"/>
    </row>
    <row r="411" ht="15.75" customHeight="1">
      <c r="A411" s="64"/>
      <c r="B411" s="64"/>
      <c r="C411" s="67"/>
      <c r="D411" s="67"/>
    </row>
    <row r="412" ht="15.75" customHeight="1">
      <c r="A412" s="64"/>
      <c r="B412" s="64"/>
      <c r="C412" s="67"/>
      <c r="D412" s="67"/>
    </row>
    <row r="413" ht="15.75" customHeight="1">
      <c r="A413" s="64"/>
      <c r="B413" s="64"/>
      <c r="C413" s="67"/>
      <c r="D413" s="67"/>
    </row>
    <row r="414" ht="15.75" customHeight="1">
      <c r="A414" s="64"/>
      <c r="B414" s="64"/>
      <c r="C414" s="67"/>
      <c r="D414" s="67"/>
    </row>
    <row r="415" ht="15.75" customHeight="1">
      <c r="A415" s="64"/>
      <c r="B415" s="64"/>
      <c r="C415" s="67"/>
      <c r="D415" s="67"/>
    </row>
    <row r="416" ht="15.75" customHeight="1">
      <c r="A416" s="64"/>
      <c r="B416" s="64"/>
      <c r="C416" s="67"/>
      <c r="D416" s="67"/>
    </row>
    <row r="417" ht="15.75" customHeight="1">
      <c r="A417" s="64"/>
      <c r="B417" s="64"/>
      <c r="C417" s="67"/>
      <c r="D417" s="67"/>
    </row>
    <row r="418" ht="15.75" customHeight="1">
      <c r="A418" s="64"/>
      <c r="B418" s="64"/>
      <c r="C418" s="67"/>
      <c r="D418" s="67"/>
    </row>
    <row r="419" ht="15.75" customHeight="1">
      <c r="A419" s="64"/>
      <c r="B419" s="64"/>
      <c r="C419" s="67"/>
      <c r="D419" s="67"/>
    </row>
    <row r="420" ht="15.75" customHeight="1">
      <c r="A420" s="64"/>
      <c r="B420" s="64"/>
      <c r="C420" s="67"/>
      <c r="D420" s="67"/>
    </row>
    <row r="421" ht="15.75" customHeight="1">
      <c r="A421" s="64"/>
      <c r="B421" s="64"/>
      <c r="C421" s="67"/>
      <c r="D421" s="67"/>
    </row>
    <row r="422" ht="15.75" customHeight="1">
      <c r="A422" s="64"/>
      <c r="B422" s="64"/>
      <c r="C422" s="67"/>
      <c r="D422" s="67"/>
    </row>
    <row r="423" ht="15.75" customHeight="1">
      <c r="A423" s="64"/>
      <c r="B423" s="64"/>
      <c r="C423" s="67"/>
      <c r="D423" s="67"/>
    </row>
    <row r="424" ht="15.75" customHeight="1">
      <c r="A424" s="64"/>
      <c r="B424" s="64"/>
      <c r="C424" s="67"/>
      <c r="D424" s="67"/>
    </row>
    <row r="425" ht="15.75" customHeight="1">
      <c r="A425" s="64"/>
      <c r="B425" s="64"/>
      <c r="C425" s="67"/>
      <c r="D425" s="67"/>
    </row>
    <row r="426" ht="15.75" customHeight="1">
      <c r="A426" s="64"/>
      <c r="B426" s="64"/>
      <c r="C426" s="67"/>
      <c r="D426" s="67"/>
    </row>
    <row r="427" ht="15.75" customHeight="1">
      <c r="A427" s="64"/>
      <c r="B427" s="64"/>
      <c r="C427" s="67"/>
      <c r="D427" s="67"/>
    </row>
    <row r="428" ht="15.75" customHeight="1">
      <c r="A428" s="64"/>
      <c r="B428" s="64"/>
      <c r="C428" s="67"/>
      <c r="D428" s="67"/>
    </row>
    <row r="429" ht="15.75" customHeight="1">
      <c r="A429" s="64"/>
      <c r="B429" s="64"/>
      <c r="C429" s="67"/>
      <c r="D429" s="67"/>
    </row>
    <row r="430" ht="15.75" customHeight="1">
      <c r="A430" s="64"/>
      <c r="B430" s="64"/>
      <c r="C430" s="67"/>
      <c r="D430" s="67"/>
    </row>
    <row r="431" ht="15.75" customHeight="1">
      <c r="A431" s="64"/>
      <c r="B431" s="64"/>
      <c r="C431" s="67"/>
      <c r="D431" s="67"/>
    </row>
    <row r="432" ht="15.75" customHeight="1">
      <c r="A432" s="64"/>
      <c r="B432" s="64"/>
      <c r="C432" s="67"/>
      <c r="D432" s="67"/>
    </row>
    <row r="433" ht="15.75" customHeight="1">
      <c r="A433" s="64"/>
      <c r="B433" s="64"/>
      <c r="C433" s="67"/>
      <c r="D433" s="67"/>
    </row>
    <row r="434" ht="15.75" customHeight="1">
      <c r="A434" s="64"/>
      <c r="B434" s="64"/>
      <c r="C434" s="67"/>
      <c r="D434" s="67"/>
    </row>
    <row r="435" ht="15.75" customHeight="1">
      <c r="A435" s="64"/>
      <c r="B435" s="64"/>
      <c r="C435" s="67"/>
      <c r="D435" s="67"/>
    </row>
    <row r="436" ht="15.75" customHeight="1">
      <c r="A436" s="64"/>
      <c r="B436" s="64"/>
      <c r="C436" s="67"/>
      <c r="D436" s="67"/>
    </row>
    <row r="437" ht="15.75" customHeight="1">
      <c r="A437" s="64"/>
      <c r="B437" s="64"/>
      <c r="C437" s="67"/>
      <c r="D437" s="67"/>
    </row>
    <row r="438" ht="15.75" customHeight="1">
      <c r="A438" s="64"/>
      <c r="B438" s="64"/>
      <c r="C438" s="67"/>
      <c r="D438" s="67"/>
    </row>
    <row r="439" ht="15.75" customHeight="1">
      <c r="A439" s="64"/>
      <c r="B439" s="64"/>
      <c r="C439" s="67"/>
      <c r="D439" s="67"/>
    </row>
    <row r="440" ht="15.75" customHeight="1">
      <c r="A440" s="64"/>
      <c r="B440" s="64"/>
      <c r="C440" s="67"/>
      <c r="D440" s="67"/>
    </row>
    <row r="441" ht="15.75" customHeight="1">
      <c r="A441" s="64"/>
      <c r="B441" s="64"/>
      <c r="C441" s="67"/>
      <c r="D441" s="67"/>
    </row>
    <row r="442" ht="15.75" customHeight="1">
      <c r="A442" s="64"/>
      <c r="B442" s="64"/>
      <c r="C442" s="67"/>
      <c r="D442" s="67"/>
    </row>
    <row r="443" ht="15.75" customHeight="1">
      <c r="A443" s="64"/>
      <c r="B443" s="64"/>
      <c r="C443" s="67"/>
      <c r="D443" s="67"/>
    </row>
    <row r="444" ht="15.75" customHeight="1">
      <c r="A444" s="64"/>
      <c r="B444" s="64"/>
      <c r="C444" s="67"/>
      <c r="D444" s="67"/>
    </row>
    <row r="445" ht="15.75" customHeight="1">
      <c r="A445" s="64"/>
      <c r="B445" s="64"/>
      <c r="C445" s="67"/>
      <c r="D445" s="67"/>
    </row>
    <row r="446" ht="15.75" customHeight="1">
      <c r="A446" s="64"/>
      <c r="B446" s="64"/>
      <c r="C446" s="67"/>
      <c r="D446" s="67"/>
    </row>
    <row r="447" ht="15.75" customHeight="1">
      <c r="A447" s="64"/>
      <c r="B447" s="64"/>
      <c r="C447" s="67"/>
      <c r="D447" s="67"/>
    </row>
    <row r="448" ht="15.75" customHeight="1">
      <c r="A448" s="64"/>
      <c r="B448" s="64"/>
      <c r="C448" s="67"/>
      <c r="D448" s="67"/>
    </row>
    <row r="449" ht="15.75" customHeight="1">
      <c r="A449" s="64"/>
      <c r="B449" s="64"/>
      <c r="C449" s="67"/>
      <c r="D449" s="67"/>
    </row>
    <row r="450" ht="15.75" customHeight="1">
      <c r="A450" s="64"/>
      <c r="B450" s="64"/>
      <c r="C450" s="67"/>
      <c r="D450" s="67"/>
    </row>
    <row r="451" ht="15.75" customHeight="1">
      <c r="A451" s="64"/>
      <c r="B451" s="64"/>
      <c r="C451" s="67"/>
      <c r="D451" s="67"/>
    </row>
    <row r="452" ht="15.75" customHeight="1">
      <c r="A452" s="64"/>
      <c r="B452" s="64"/>
      <c r="C452" s="67"/>
      <c r="D452" s="67"/>
    </row>
    <row r="453" ht="15.75" customHeight="1">
      <c r="A453" s="64"/>
      <c r="B453" s="64"/>
      <c r="C453" s="67"/>
      <c r="D453" s="67"/>
    </row>
    <row r="454" ht="15.75" customHeight="1">
      <c r="A454" s="64"/>
      <c r="B454" s="64"/>
      <c r="C454" s="67"/>
      <c r="D454" s="67"/>
    </row>
    <row r="455" ht="15.75" customHeight="1">
      <c r="A455" s="64"/>
      <c r="B455" s="64"/>
      <c r="C455" s="67"/>
      <c r="D455" s="67"/>
    </row>
    <row r="456" ht="15.75" customHeight="1">
      <c r="A456" s="64"/>
      <c r="B456" s="64"/>
      <c r="C456" s="67"/>
      <c r="D456" s="67"/>
    </row>
    <row r="457" ht="15.75" customHeight="1">
      <c r="A457" s="64"/>
      <c r="B457" s="64"/>
      <c r="C457" s="67"/>
      <c r="D457" s="67"/>
    </row>
    <row r="458" ht="15.75" customHeight="1">
      <c r="A458" s="64"/>
      <c r="B458" s="64"/>
      <c r="C458" s="67"/>
      <c r="D458" s="67"/>
    </row>
    <row r="459" ht="15.75" customHeight="1">
      <c r="A459" s="64"/>
      <c r="B459" s="64"/>
      <c r="C459" s="67"/>
      <c r="D459" s="67"/>
    </row>
    <row r="460" ht="15.75" customHeight="1">
      <c r="A460" s="64"/>
      <c r="B460" s="64"/>
      <c r="C460" s="67"/>
      <c r="D460" s="67"/>
    </row>
    <row r="461" ht="15.75" customHeight="1">
      <c r="A461" s="64"/>
      <c r="B461" s="64"/>
      <c r="C461" s="67"/>
      <c r="D461" s="67"/>
    </row>
    <row r="462" ht="15.75" customHeight="1">
      <c r="A462" s="64"/>
      <c r="B462" s="64"/>
      <c r="C462" s="67"/>
      <c r="D462" s="67"/>
    </row>
    <row r="463" ht="15.75" customHeight="1">
      <c r="A463" s="64"/>
      <c r="B463" s="64"/>
      <c r="C463" s="67"/>
      <c r="D463" s="67"/>
    </row>
    <row r="464" ht="15.75" customHeight="1">
      <c r="A464" s="64"/>
      <c r="B464" s="64"/>
      <c r="C464" s="67"/>
      <c r="D464" s="67"/>
    </row>
    <row r="465" ht="15.75" customHeight="1">
      <c r="A465" s="64"/>
      <c r="B465" s="64"/>
      <c r="C465" s="67"/>
      <c r="D465" s="67"/>
    </row>
    <row r="466" ht="15.75" customHeight="1">
      <c r="A466" s="64"/>
      <c r="B466" s="64"/>
      <c r="C466" s="67"/>
      <c r="D466" s="67"/>
    </row>
    <row r="467" ht="15.75" customHeight="1">
      <c r="A467" s="64"/>
      <c r="B467" s="64"/>
      <c r="C467" s="67"/>
      <c r="D467" s="67"/>
    </row>
    <row r="468" ht="15.75" customHeight="1">
      <c r="A468" s="64"/>
      <c r="B468" s="64"/>
      <c r="C468" s="67"/>
      <c r="D468" s="67"/>
    </row>
    <row r="469" ht="15.75" customHeight="1">
      <c r="A469" s="64"/>
      <c r="B469" s="64"/>
      <c r="C469" s="67"/>
      <c r="D469" s="67"/>
    </row>
    <row r="470" ht="15.75" customHeight="1">
      <c r="A470" s="64"/>
      <c r="B470" s="64"/>
      <c r="C470" s="67"/>
      <c r="D470" s="67"/>
    </row>
    <row r="471" ht="15.75" customHeight="1">
      <c r="A471" s="64"/>
      <c r="B471" s="64"/>
      <c r="C471" s="67"/>
      <c r="D471" s="67"/>
    </row>
    <row r="472" ht="15.75" customHeight="1">
      <c r="A472" s="64"/>
      <c r="B472" s="64"/>
      <c r="C472" s="67"/>
      <c r="D472" s="67"/>
    </row>
    <row r="473" ht="15.75" customHeight="1">
      <c r="A473" s="64"/>
      <c r="B473" s="64"/>
      <c r="C473" s="67"/>
      <c r="D473" s="67"/>
    </row>
    <row r="474" ht="15.75" customHeight="1">
      <c r="A474" s="64"/>
      <c r="B474" s="64"/>
      <c r="C474" s="67"/>
      <c r="D474" s="67"/>
    </row>
    <row r="475" ht="15.75" customHeight="1">
      <c r="A475" s="64"/>
      <c r="B475" s="64"/>
      <c r="C475" s="67"/>
      <c r="D475" s="67"/>
    </row>
    <row r="476" ht="15.75" customHeight="1">
      <c r="A476" s="64"/>
      <c r="B476" s="64"/>
      <c r="C476" s="67"/>
      <c r="D476" s="67"/>
    </row>
    <row r="477" ht="15.75" customHeight="1">
      <c r="A477" s="64"/>
      <c r="B477" s="64"/>
      <c r="C477" s="67"/>
      <c r="D477" s="67"/>
    </row>
    <row r="478" ht="15.75" customHeight="1">
      <c r="A478" s="64"/>
      <c r="B478" s="64"/>
      <c r="C478" s="67"/>
      <c r="D478" s="67"/>
    </row>
    <row r="479" ht="15.75" customHeight="1">
      <c r="A479" s="64"/>
      <c r="B479" s="64"/>
      <c r="C479" s="67"/>
      <c r="D479" s="67"/>
    </row>
    <row r="480" ht="15.75" customHeight="1">
      <c r="A480" s="64"/>
      <c r="B480" s="64"/>
      <c r="C480" s="67"/>
      <c r="D480" s="67"/>
    </row>
    <row r="481" ht="15.75" customHeight="1">
      <c r="A481" s="64"/>
      <c r="B481" s="64"/>
      <c r="C481" s="67"/>
      <c r="D481" s="67"/>
    </row>
    <row r="482" ht="15.75" customHeight="1">
      <c r="A482" s="64"/>
      <c r="B482" s="64"/>
      <c r="C482" s="67"/>
      <c r="D482" s="67"/>
    </row>
    <row r="483" ht="15.75" customHeight="1">
      <c r="A483" s="64"/>
      <c r="B483" s="64"/>
      <c r="C483" s="67"/>
      <c r="D483" s="67"/>
    </row>
    <row r="484" ht="15.75" customHeight="1">
      <c r="A484" s="64"/>
      <c r="B484" s="64"/>
      <c r="C484" s="67"/>
      <c r="D484" s="67"/>
    </row>
    <row r="485" ht="15.75" customHeight="1">
      <c r="A485" s="64"/>
      <c r="B485" s="64"/>
      <c r="C485" s="67"/>
      <c r="D485" s="67"/>
    </row>
    <row r="486" ht="15.75" customHeight="1">
      <c r="A486" s="64"/>
      <c r="B486" s="64"/>
      <c r="C486" s="67"/>
      <c r="D486" s="67"/>
    </row>
    <row r="487" ht="15.75" customHeight="1">
      <c r="A487" s="64"/>
      <c r="B487" s="64"/>
      <c r="C487" s="67"/>
      <c r="D487" s="67"/>
    </row>
    <row r="488" ht="15.75" customHeight="1">
      <c r="A488" s="64"/>
      <c r="B488" s="64"/>
      <c r="C488" s="67"/>
      <c r="D488" s="67"/>
    </row>
    <row r="489" ht="15.75" customHeight="1">
      <c r="A489" s="64"/>
      <c r="B489" s="64"/>
      <c r="C489" s="67"/>
      <c r="D489" s="67"/>
    </row>
    <row r="490" ht="15.75" customHeight="1">
      <c r="A490" s="64"/>
      <c r="B490" s="64"/>
      <c r="C490" s="67"/>
      <c r="D490" s="67"/>
    </row>
    <row r="491" ht="15.75" customHeight="1">
      <c r="A491" s="64"/>
      <c r="B491" s="64"/>
      <c r="C491" s="67"/>
      <c r="D491" s="67"/>
    </row>
    <row r="492" ht="15.75" customHeight="1">
      <c r="A492" s="64"/>
      <c r="B492" s="64"/>
      <c r="C492" s="67"/>
      <c r="D492" s="67"/>
    </row>
    <row r="493" ht="15.75" customHeight="1">
      <c r="A493" s="64"/>
      <c r="B493" s="64"/>
      <c r="C493" s="67"/>
      <c r="D493" s="67"/>
    </row>
    <row r="494" ht="15.75" customHeight="1">
      <c r="A494" s="64"/>
      <c r="B494" s="64"/>
      <c r="C494" s="67"/>
      <c r="D494" s="67"/>
    </row>
    <row r="495" ht="15.75" customHeight="1">
      <c r="A495" s="64"/>
      <c r="B495" s="64"/>
      <c r="C495" s="67"/>
      <c r="D495" s="67"/>
    </row>
    <row r="496" ht="15.75" customHeight="1">
      <c r="A496" s="64"/>
      <c r="B496" s="64"/>
      <c r="C496" s="67"/>
      <c r="D496" s="67"/>
    </row>
    <row r="497" ht="15.75" customHeight="1">
      <c r="A497" s="64"/>
      <c r="B497" s="64"/>
      <c r="C497" s="67"/>
      <c r="D497" s="67"/>
    </row>
    <row r="498" ht="15.75" customHeight="1">
      <c r="A498" s="64"/>
      <c r="B498" s="64"/>
      <c r="C498" s="67"/>
      <c r="D498" s="67"/>
    </row>
    <row r="499" ht="15.75" customHeight="1">
      <c r="A499" s="64"/>
      <c r="B499" s="64"/>
      <c r="C499" s="67"/>
      <c r="D499" s="67"/>
    </row>
    <row r="500" ht="15.75" customHeight="1">
      <c r="A500" s="64"/>
      <c r="B500" s="64"/>
      <c r="C500" s="67"/>
      <c r="D500" s="67"/>
    </row>
    <row r="501" ht="15.75" customHeight="1">
      <c r="A501" s="64"/>
      <c r="B501" s="64"/>
      <c r="C501" s="67"/>
      <c r="D501" s="67"/>
    </row>
    <row r="502" ht="15.75" customHeight="1">
      <c r="A502" s="64"/>
      <c r="B502" s="64"/>
      <c r="C502" s="67"/>
      <c r="D502" s="67"/>
    </row>
    <row r="503" ht="15.75" customHeight="1">
      <c r="A503" s="64"/>
      <c r="B503" s="64"/>
      <c r="C503" s="67"/>
      <c r="D503" s="67"/>
    </row>
    <row r="504" ht="15.75" customHeight="1">
      <c r="A504" s="64"/>
      <c r="B504" s="64"/>
      <c r="C504" s="67"/>
      <c r="D504" s="67"/>
    </row>
    <row r="505" ht="15.75" customHeight="1">
      <c r="A505" s="64"/>
      <c r="B505" s="64"/>
      <c r="C505" s="67"/>
      <c r="D505" s="67"/>
    </row>
    <row r="506" ht="15.75" customHeight="1">
      <c r="A506" s="64"/>
      <c r="B506" s="64"/>
      <c r="C506" s="67"/>
      <c r="D506" s="67"/>
    </row>
    <row r="507" ht="15.75" customHeight="1">
      <c r="A507" s="64"/>
      <c r="B507" s="64"/>
      <c r="C507" s="67"/>
      <c r="D507" s="67"/>
    </row>
    <row r="508" ht="15.75" customHeight="1">
      <c r="A508" s="64"/>
      <c r="B508" s="64"/>
      <c r="C508" s="67"/>
      <c r="D508" s="67"/>
    </row>
    <row r="509" ht="15.75" customHeight="1">
      <c r="A509" s="64"/>
      <c r="B509" s="64"/>
      <c r="C509" s="67"/>
      <c r="D509" s="67"/>
    </row>
    <row r="510" ht="15.75" customHeight="1">
      <c r="A510" s="64"/>
      <c r="B510" s="64"/>
      <c r="C510" s="67"/>
      <c r="D510" s="67"/>
    </row>
    <row r="511" ht="15.75" customHeight="1">
      <c r="A511" s="64"/>
      <c r="B511" s="64"/>
      <c r="C511" s="67"/>
      <c r="D511" s="67"/>
    </row>
    <row r="512" ht="15.75" customHeight="1">
      <c r="A512" s="64"/>
      <c r="B512" s="64"/>
      <c r="C512" s="67"/>
      <c r="D512" s="67"/>
    </row>
    <row r="513" ht="15.75" customHeight="1">
      <c r="A513" s="64"/>
      <c r="B513" s="64"/>
      <c r="C513" s="67"/>
      <c r="D513" s="67"/>
    </row>
    <row r="514" ht="15.75" customHeight="1">
      <c r="A514" s="64"/>
      <c r="B514" s="64"/>
      <c r="C514" s="67"/>
      <c r="D514" s="67"/>
    </row>
    <row r="515" ht="15.75" customHeight="1">
      <c r="A515" s="64"/>
      <c r="B515" s="64"/>
      <c r="C515" s="67"/>
      <c r="D515" s="67"/>
    </row>
    <row r="516" ht="15.75" customHeight="1">
      <c r="A516" s="64"/>
      <c r="B516" s="64"/>
      <c r="C516" s="67"/>
      <c r="D516" s="67"/>
    </row>
    <row r="517" ht="15.75" customHeight="1">
      <c r="A517" s="64"/>
      <c r="B517" s="64"/>
      <c r="C517" s="67"/>
      <c r="D517" s="67"/>
    </row>
    <row r="518" ht="15.75" customHeight="1">
      <c r="A518" s="64"/>
      <c r="B518" s="64"/>
      <c r="C518" s="67"/>
      <c r="D518" s="67"/>
    </row>
    <row r="519" ht="15.75" customHeight="1">
      <c r="A519" s="64"/>
      <c r="B519" s="64"/>
      <c r="C519" s="67"/>
      <c r="D519" s="67"/>
    </row>
    <row r="520" ht="15.75" customHeight="1">
      <c r="A520" s="64"/>
      <c r="B520" s="64"/>
      <c r="C520" s="67"/>
      <c r="D520" s="67"/>
    </row>
    <row r="521" ht="15.75" customHeight="1">
      <c r="A521" s="64"/>
      <c r="B521" s="64"/>
      <c r="C521" s="67"/>
      <c r="D521" s="67"/>
    </row>
    <row r="522" ht="15.75" customHeight="1">
      <c r="A522" s="64"/>
      <c r="B522" s="64"/>
      <c r="C522" s="67"/>
      <c r="D522" s="67"/>
    </row>
    <row r="523" ht="15.75" customHeight="1">
      <c r="A523" s="64"/>
      <c r="B523" s="64"/>
      <c r="C523" s="67"/>
      <c r="D523" s="67"/>
    </row>
    <row r="524" ht="15.75" customHeight="1">
      <c r="A524" s="64"/>
      <c r="B524" s="64"/>
      <c r="C524" s="67"/>
      <c r="D524" s="67"/>
    </row>
    <row r="525" ht="15.75" customHeight="1">
      <c r="A525" s="64"/>
      <c r="B525" s="64"/>
      <c r="C525" s="67"/>
      <c r="D525" s="67"/>
    </row>
    <row r="526" ht="15.75" customHeight="1">
      <c r="A526" s="64"/>
      <c r="B526" s="64"/>
      <c r="C526" s="67"/>
      <c r="D526" s="67"/>
    </row>
    <row r="527" ht="15.75" customHeight="1">
      <c r="A527" s="64"/>
      <c r="B527" s="64"/>
      <c r="C527" s="67"/>
      <c r="D527" s="67"/>
    </row>
    <row r="528" ht="15.75" customHeight="1">
      <c r="A528" s="64"/>
      <c r="B528" s="64"/>
      <c r="C528" s="67"/>
      <c r="D528" s="67"/>
    </row>
    <row r="529" ht="15.75" customHeight="1">
      <c r="A529" s="64"/>
      <c r="B529" s="64"/>
      <c r="C529" s="67"/>
      <c r="D529" s="67"/>
    </row>
    <row r="530" ht="15.75" customHeight="1">
      <c r="A530" s="64"/>
      <c r="B530" s="64"/>
      <c r="C530" s="67"/>
      <c r="D530" s="67"/>
    </row>
    <row r="531" ht="15.75" customHeight="1">
      <c r="A531" s="64"/>
      <c r="B531" s="64"/>
      <c r="C531" s="67"/>
      <c r="D531" s="67"/>
    </row>
    <row r="532" ht="15.75" customHeight="1">
      <c r="A532" s="64"/>
      <c r="B532" s="64"/>
      <c r="C532" s="67"/>
      <c r="D532" s="67"/>
    </row>
    <row r="533" ht="15.75" customHeight="1">
      <c r="A533" s="64"/>
      <c r="B533" s="64"/>
      <c r="C533" s="67"/>
      <c r="D533" s="67"/>
    </row>
    <row r="534" ht="15.75" customHeight="1">
      <c r="A534" s="64"/>
      <c r="B534" s="64"/>
      <c r="C534" s="67"/>
      <c r="D534" s="67"/>
    </row>
    <row r="535" ht="15.75" customHeight="1">
      <c r="A535" s="64"/>
      <c r="B535" s="64"/>
      <c r="C535" s="67"/>
      <c r="D535" s="67"/>
    </row>
    <row r="536" ht="15.75" customHeight="1">
      <c r="A536" s="64"/>
      <c r="B536" s="64"/>
      <c r="C536" s="67"/>
      <c r="D536" s="67"/>
    </row>
    <row r="537" ht="15.75" customHeight="1">
      <c r="A537" s="64"/>
      <c r="B537" s="64"/>
      <c r="C537" s="67"/>
      <c r="D537" s="67"/>
    </row>
    <row r="538" ht="15.75" customHeight="1">
      <c r="A538" s="64"/>
      <c r="B538" s="64"/>
      <c r="C538" s="67"/>
      <c r="D538" s="67"/>
    </row>
    <row r="539" ht="15.75" customHeight="1">
      <c r="A539" s="64"/>
      <c r="B539" s="64"/>
      <c r="C539" s="67"/>
      <c r="D539" s="67"/>
    </row>
    <row r="540" ht="15.75" customHeight="1">
      <c r="A540" s="64"/>
      <c r="B540" s="64"/>
      <c r="C540" s="67"/>
      <c r="D540" s="67"/>
    </row>
    <row r="541" ht="15.75" customHeight="1">
      <c r="A541" s="64"/>
      <c r="B541" s="64"/>
      <c r="C541" s="67"/>
      <c r="D541" s="67"/>
    </row>
    <row r="542" ht="15.75" customHeight="1">
      <c r="A542" s="64"/>
      <c r="B542" s="64"/>
      <c r="C542" s="67"/>
      <c r="D542" s="67"/>
    </row>
    <row r="543" ht="15.75" customHeight="1">
      <c r="A543" s="64"/>
      <c r="B543" s="64"/>
      <c r="C543" s="67"/>
      <c r="D543" s="67"/>
    </row>
    <row r="544" ht="15.75" customHeight="1">
      <c r="A544" s="64"/>
      <c r="B544" s="64"/>
      <c r="C544" s="67"/>
      <c r="D544" s="67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344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2.25"/>
    <col customWidth="1" min="3" max="6" width="12.63"/>
  </cols>
  <sheetData>
    <row r="1" ht="15.75" customHeight="1">
      <c r="A1" s="70" t="s">
        <v>378</v>
      </c>
      <c r="B1" s="70" t="s">
        <v>379</v>
      </c>
      <c r="C1" s="92" t="s">
        <v>380</v>
      </c>
      <c r="D1" s="92" t="s">
        <v>381</v>
      </c>
    </row>
    <row r="2" ht="15.75" customHeight="1">
      <c r="A2" s="29">
        <v>10101.0</v>
      </c>
      <c r="B2" s="76" t="s">
        <v>8</v>
      </c>
      <c r="C2" s="77">
        <v>1916666.6666666667</v>
      </c>
      <c r="D2" s="77">
        <v>574676.0</v>
      </c>
    </row>
    <row r="3" ht="15.75" customHeight="1">
      <c r="A3" s="29">
        <v>10102.0</v>
      </c>
      <c r="B3" s="76" t="s">
        <v>9</v>
      </c>
      <c r="C3" s="77">
        <v>72902.0</v>
      </c>
      <c r="D3" s="77">
        <v>48333.333333333336</v>
      </c>
    </row>
    <row r="4" ht="15.75" customHeight="1">
      <c r="A4" s="29">
        <v>10103.0</v>
      </c>
      <c r="B4" s="76" t="s">
        <v>10</v>
      </c>
      <c r="C4" s="77">
        <v>22666.666666666668</v>
      </c>
      <c r="D4" s="77">
        <v>17000.0</v>
      </c>
    </row>
    <row r="5" ht="15.75" customHeight="1">
      <c r="A5" s="29">
        <v>10201.0</v>
      </c>
      <c r="B5" s="76" t="s">
        <v>11</v>
      </c>
      <c r="C5" s="77">
        <v>59733.333333333336</v>
      </c>
      <c r="D5" s="77">
        <v>8333.333333333334</v>
      </c>
    </row>
    <row r="6" ht="15.75" customHeight="1">
      <c r="A6" s="29">
        <v>10202.0</v>
      </c>
      <c r="B6" s="76" t="s">
        <v>12</v>
      </c>
      <c r="C6" s="77">
        <v>0.0</v>
      </c>
      <c r="D6" s="77">
        <v>0.0</v>
      </c>
    </row>
    <row r="7" ht="15.75" customHeight="1">
      <c r="A7" s="29">
        <v>10301.0</v>
      </c>
      <c r="B7" s="76" t="s">
        <v>13</v>
      </c>
      <c r="C7" s="77">
        <v>65655.33333333333</v>
      </c>
      <c r="D7" s="77">
        <v>81283.33333333333</v>
      </c>
    </row>
    <row r="8" ht="15.75" customHeight="1">
      <c r="A8" s="29">
        <v>10302.0</v>
      </c>
      <c r="B8" s="76" t="s">
        <v>14</v>
      </c>
      <c r="C8" s="77">
        <v>0.0</v>
      </c>
      <c r="D8" s="77">
        <v>0.0</v>
      </c>
    </row>
    <row r="9" ht="15.75" customHeight="1">
      <c r="A9" s="29">
        <v>10303.0</v>
      </c>
      <c r="B9" s="76" t="s">
        <v>15</v>
      </c>
      <c r="C9" s="77">
        <v>56667.0</v>
      </c>
      <c r="D9" s="77">
        <v>40000.0</v>
      </c>
    </row>
    <row r="10" ht="15.75" customHeight="1">
      <c r="A10" s="29">
        <v>10304.0</v>
      </c>
      <c r="B10" s="76" t="s">
        <v>16</v>
      </c>
      <c r="C10" s="77">
        <v>36333.333333333336</v>
      </c>
      <c r="D10" s="77">
        <v>21288.0</v>
      </c>
    </row>
    <row r="11" ht="15.75" customHeight="1">
      <c r="A11" s="29">
        <v>10401.0</v>
      </c>
      <c r="B11" s="76" t="s">
        <v>17</v>
      </c>
      <c r="C11" s="77">
        <v>104533.33333333333</v>
      </c>
      <c r="D11" s="77">
        <v>52040.0</v>
      </c>
    </row>
    <row r="12" ht="15.75" customHeight="1">
      <c r="A12" s="29">
        <v>10402.0</v>
      </c>
      <c r="B12" s="76" t="s">
        <v>18</v>
      </c>
      <c r="C12" s="77">
        <v>62148.333333333336</v>
      </c>
      <c r="D12" s="77">
        <v>20578.666666666668</v>
      </c>
    </row>
    <row r="13" ht="15.75" customHeight="1">
      <c r="A13" s="29">
        <v>10403.0</v>
      </c>
      <c r="B13" s="76" t="s">
        <v>19</v>
      </c>
      <c r="C13" s="77">
        <v>0.0</v>
      </c>
      <c r="D13" s="77">
        <v>0.0</v>
      </c>
    </row>
    <row r="14" ht="15.75" customHeight="1">
      <c r="A14" s="29">
        <v>10404.0</v>
      </c>
      <c r="B14" s="76" t="s">
        <v>20</v>
      </c>
      <c r="C14" s="77">
        <v>13000.0</v>
      </c>
      <c r="D14" s="77">
        <v>81700.0</v>
      </c>
    </row>
    <row r="15" ht="15.75" customHeight="1">
      <c r="A15" s="29">
        <v>10405.0</v>
      </c>
      <c r="B15" s="76" t="s">
        <v>21</v>
      </c>
      <c r="C15" s="77">
        <v>31000.0</v>
      </c>
      <c r="D15" s="77">
        <v>16333.333333333334</v>
      </c>
    </row>
    <row r="16" ht="15.75" customHeight="1">
      <c r="A16" s="29">
        <v>10501.0</v>
      </c>
      <c r="B16" s="76" t="s">
        <v>22</v>
      </c>
      <c r="C16" s="77">
        <v>350000.0</v>
      </c>
      <c r="D16" s="77">
        <v>470759.0</v>
      </c>
    </row>
    <row r="17" ht="15.75" customHeight="1">
      <c r="A17" s="29">
        <v>10502.0</v>
      </c>
      <c r="B17" s="76" t="s">
        <v>23</v>
      </c>
      <c r="C17" s="77">
        <v>82000.0</v>
      </c>
      <c r="D17" s="77">
        <v>103333.33333333333</v>
      </c>
    </row>
    <row r="18" ht="15.75" customHeight="1">
      <c r="A18" s="29">
        <v>10601.0</v>
      </c>
      <c r="B18" s="76" t="s">
        <v>24</v>
      </c>
      <c r="C18" s="77">
        <v>52973.666666666664</v>
      </c>
      <c r="D18" s="77">
        <v>121333.33333333333</v>
      </c>
    </row>
    <row r="19" ht="15.75" customHeight="1">
      <c r="A19" s="29">
        <v>10602.0</v>
      </c>
      <c r="B19" s="76" t="s">
        <v>25</v>
      </c>
      <c r="C19" s="77">
        <v>6120.0</v>
      </c>
      <c r="D19" s="77">
        <v>6000.0</v>
      </c>
    </row>
    <row r="20" ht="15.75" customHeight="1">
      <c r="A20" s="29">
        <v>10701.0</v>
      </c>
      <c r="B20" s="76" t="s">
        <v>26</v>
      </c>
      <c r="C20" s="77">
        <v>174600.0</v>
      </c>
      <c r="D20" s="77">
        <v>260715.66666666666</v>
      </c>
    </row>
    <row r="21" ht="15.75" customHeight="1">
      <c r="A21" s="29">
        <v>10702.0</v>
      </c>
      <c r="B21" s="76" t="s">
        <v>27</v>
      </c>
      <c r="C21" s="77">
        <v>21833.333333333332</v>
      </c>
      <c r="D21" s="77">
        <v>70000.0</v>
      </c>
    </row>
    <row r="22" ht="15.75" customHeight="1">
      <c r="A22" s="29">
        <v>10703.0</v>
      </c>
      <c r="B22" s="76" t="s">
        <v>28</v>
      </c>
      <c r="C22" s="77">
        <v>58663.333333333336</v>
      </c>
      <c r="D22" s="77">
        <v>76920.0</v>
      </c>
    </row>
    <row r="23" ht="15.75" customHeight="1">
      <c r="A23" s="29">
        <v>10704.0</v>
      </c>
      <c r="B23" s="76" t="s">
        <v>29</v>
      </c>
      <c r="C23" s="77">
        <v>107308.0</v>
      </c>
      <c r="D23" s="77">
        <v>238933.33333333334</v>
      </c>
    </row>
    <row r="24" ht="15.75" customHeight="1">
      <c r="A24" s="29">
        <v>10801.0</v>
      </c>
      <c r="B24" s="76" t="s">
        <v>30</v>
      </c>
      <c r="C24" s="77">
        <v>153969.0</v>
      </c>
      <c r="D24" s="77">
        <v>73431.66666666667</v>
      </c>
    </row>
    <row r="25" ht="15.75" customHeight="1">
      <c r="A25" s="29">
        <v>10901.0</v>
      </c>
      <c r="B25" s="76" t="s">
        <v>31</v>
      </c>
      <c r="C25" s="77">
        <v>24233.333333333332</v>
      </c>
      <c r="D25" s="77">
        <v>55733.333333333336</v>
      </c>
    </row>
    <row r="26" ht="15.75" customHeight="1">
      <c r="A26" s="29">
        <v>10902.0</v>
      </c>
      <c r="B26" s="76" t="s">
        <v>32</v>
      </c>
      <c r="C26" s="77">
        <v>158997.33333333334</v>
      </c>
      <c r="D26" s="77">
        <v>245802.66666666666</v>
      </c>
    </row>
    <row r="27" ht="15.75" customHeight="1">
      <c r="A27" s="29">
        <v>10903.0</v>
      </c>
      <c r="B27" s="76" t="s">
        <v>33</v>
      </c>
      <c r="C27" s="77">
        <v>10000.0</v>
      </c>
      <c r="D27" s="77">
        <v>17215.0</v>
      </c>
    </row>
    <row r="28" ht="15.75" customHeight="1">
      <c r="A28" s="29">
        <v>11001.0</v>
      </c>
      <c r="B28" s="76" t="s">
        <v>34</v>
      </c>
      <c r="C28" s="77">
        <v>29000.0</v>
      </c>
      <c r="D28" s="77">
        <v>94500.0</v>
      </c>
    </row>
    <row r="29" ht="15.75" customHeight="1">
      <c r="A29" s="29">
        <v>11002.0</v>
      </c>
      <c r="B29" s="76" t="s">
        <v>35</v>
      </c>
      <c r="C29" s="77">
        <v>21600.0</v>
      </c>
      <c r="D29" s="77">
        <v>15000.0</v>
      </c>
    </row>
    <row r="30" ht="15.75" customHeight="1">
      <c r="A30" s="29">
        <v>11003.0</v>
      </c>
      <c r="B30" s="76" t="s">
        <v>36</v>
      </c>
      <c r="C30" s="77">
        <v>72666.66666666667</v>
      </c>
      <c r="D30" s="77">
        <v>72248.33333333333</v>
      </c>
    </row>
    <row r="31" ht="15.75" customHeight="1">
      <c r="A31" s="29">
        <v>20101.0</v>
      </c>
      <c r="B31" s="76" t="s">
        <v>37</v>
      </c>
      <c r="C31" s="77">
        <v>6.4560996333333336E7</v>
      </c>
      <c r="D31" s="77">
        <v>2.1811158466666666E8</v>
      </c>
    </row>
    <row r="32" ht="15.75" customHeight="1">
      <c r="A32" s="29">
        <v>20102.0</v>
      </c>
      <c r="B32" s="76" t="s">
        <v>38</v>
      </c>
      <c r="C32" s="77">
        <v>6666.666666666667</v>
      </c>
      <c r="D32" s="77">
        <v>42333.333333333336</v>
      </c>
    </row>
    <row r="33" ht="15.75" customHeight="1">
      <c r="A33" s="29">
        <v>20103.0</v>
      </c>
      <c r="B33" s="76" t="s">
        <v>39</v>
      </c>
      <c r="C33" s="77">
        <v>66666.66666666667</v>
      </c>
      <c r="D33" s="77">
        <v>274600.0</v>
      </c>
    </row>
    <row r="34" ht="15.75" customHeight="1">
      <c r="A34" s="29">
        <v>20104.0</v>
      </c>
      <c r="B34" s="76" t="s">
        <v>40</v>
      </c>
      <c r="C34" s="77">
        <v>322480.0</v>
      </c>
      <c r="D34" s="77">
        <v>1257116.6666666667</v>
      </c>
    </row>
    <row r="35" ht="15.75" customHeight="1">
      <c r="A35" s="29">
        <v>20105.0</v>
      </c>
      <c r="B35" s="76" t="s">
        <v>41</v>
      </c>
      <c r="C35" s="77">
        <v>2.6426992333333332E7</v>
      </c>
      <c r="D35" s="77">
        <v>1.6217861033333334E8</v>
      </c>
    </row>
    <row r="36" ht="15.75" customHeight="1">
      <c r="A36" s="29">
        <v>20201.0</v>
      </c>
      <c r="B36" s="76" t="s">
        <v>42</v>
      </c>
      <c r="C36" s="77">
        <v>549459.3333333334</v>
      </c>
      <c r="D36" s="77">
        <v>812014.0</v>
      </c>
    </row>
    <row r="37" ht="15.75" customHeight="1">
      <c r="A37" s="29">
        <v>20202.0</v>
      </c>
      <c r="B37" s="76" t="s">
        <v>43</v>
      </c>
      <c r="C37" s="77">
        <v>8333.333333333334</v>
      </c>
      <c r="D37" s="77">
        <v>27500.0</v>
      </c>
    </row>
    <row r="38" ht="15.75" customHeight="1">
      <c r="A38" s="29">
        <v>20203.0</v>
      </c>
      <c r="B38" s="76" t="s">
        <v>44</v>
      </c>
      <c r="C38" s="77">
        <v>23333.333333333332</v>
      </c>
      <c r="D38" s="77">
        <v>36666.666666666664</v>
      </c>
    </row>
    <row r="39" ht="15.75" customHeight="1">
      <c r="A39" s="29">
        <v>20204.0</v>
      </c>
      <c r="B39" s="76" t="s">
        <v>45</v>
      </c>
      <c r="C39" s="77">
        <v>31959.333333333332</v>
      </c>
      <c r="D39" s="77">
        <v>60000.0</v>
      </c>
    </row>
    <row r="40" ht="15.75" customHeight="1">
      <c r="A40" s="29">
        <v>20205.0</v>
      </c>
      <c r="B40" s="76" t="s">
        <v>46</v>
      </c>
      <c r="C40" s="77">
        <v>16666.666666666668</v>
      </c>
      <c r="D40" s="77">
        <v>105600.0</v>
      </c>
    </row>
    <row r="41" ht="15.75" customHeight="1">
      <c r="A41" s="29">
        <v>20206.0</v>
      </c>
      <c r="B41" s="76" t="s">
        <v>47</v>
      </c>
      <c r="C41" s="77">
        <v>3153.3333333333335</v>
      </c>
      <c r="D41" s="77">
        <v>11666.666666666666</v>
      </c>
    </row>
    <row r="42" ht="15.75" customHeight="1">
      <c r="A42" s="29">
        <v>20301.0</v>
      </c>
      <c r="B42" s="76" t="s">
        <v>48</v>
      </c>
      <c r="C42" s="77">
        <v>8333.333333333334</v>
      </c>
      <c r="D42" s="77">
        <v>49000.0</v>
      </c>
    </row>
    <row r="43" ht="15.75" customHeight="1">
      <c r="A43" s="29">
        <v>20302.0</v>
      </c>
      <c r="B43" s="76" t="s">
        <v>49</v>
      </c>
      <c r="C43" s="77">
        <v>0.0</v>
      </c>
      <c r="D43" s="77">
        <v>25000.0</v>
      </c>
    </row>
    <row r="44" ht="15.75" customHeight="1">
      <c r="A44" s="29">
        <v>20303.0</v>
      </c>
      <c r="B44" s="76" t="s">
        <v>50</v>
      </c>
      <c r="C44" s="77">
        <v>0.0</v>
      </c>
      <c r="D44" s="77">
        <v>1666.6666666666667</v>
      </c>
    </row>
    <row r="45" ht="15.75" customHeight="1">
      <c r="A45" s="29">
        <v>20304.0</v>
      </c>
      <c r="B45" s="76" t="s">
        <v>51</v>
      </c>
      <c r="C45" s="77">
        <v>0.0</v>
      </c>
      <c r="D45" s="77">
        <v>8333.333333333334</v>
      </c>
    </row>
    <row r="46" ht="15.75" customHeight="1">
      <c r="A46" s="29">
        <v>20305.0</v>
      </c>
      <c r="B46" s="76" t="s">
        <v>52</v>
      </c>
      <c r="C46" s="77">
        <v>3333.3333333333335</v>
      </c>
      <c r="D46" s="77">
        <v>3000.0</v>
      </c>
    </row>
    <row r="47" ht="15.75" customHeight="1">
      <c r="A47" s="29">
        <v>20306.0</v>
      </c>
      <c r="B47" s="76" t="s">
        <v>53</v>
      </c>
      <c r="C47" s="77">
        <v>2000.0</v>
      </c>
      <c r="D47" s="77">
        <v>31301.333333333332</v>
      </c>
    </row>
    <row r="48" ht="15.75" customHeight="1">
      <c r="A48" s="29">
        <v>20307.0</v>
      </c>
      <c r="B48" s="76" t="s">
        <v>54</v>
      </c>
      <c r="C48" s="77">
        <v>0.0</v>
      </c>
      <c r="D48" s="77">
        <v>666.6666666666666</v>
      </c>
    </row>
    <row r="49" ht="15.75" customHeight="1">
      <c r="A49" s="29">
        <v>20308.0</v>
      </c>
      <c r="B49" s="76" t="s">
        <v>55</v>
      </c>
      <c r="C49" s="77">
        <v>0.0</v>
      </c>
      <c r="D49" s="77">
        <v>10000.0</v>
      </c>
    </row>
    <row r="50" ht="15.75" customHeight="1">
      <c r="A50" s="29">
        <v>20401.0</v>
      </c>
      <c r="B50" s="76" t="s">
        <v>56</v>
      </c>
      <c r="C50" s="77">
        <v>13333.333333333334</v>
      </c>
      <c r="D50" s="77">
        <v>174623.66666666666</v>
      </c>
    </row>
    <row r="51" ht="15.75" customHeight="1">
      <c r="A51" s="29">
        <v>20402.0</v>
      </c>
      <c r="B51" s="76" t="s">
        <v>57</v>
      </c>
      <c r="C51" s="77">
        <v>6666.666666666667</v>
      </c>
      <c r="D51" s="77">
        <v>93333.33333333333</v>
      </c>
    </row>
    <row r="52" ht="15.75" customHeight="1">
      <c r="A52" s="29">
        <v>20403.0</v>
      </c>
      <c r="B52" s="76" t="s">
        <v>58</v>
      </c>
      <c r="C52" s="77">
        <v>30000.0</v>
      </c>
      <c r="D52" s="77">
        <v>78333.33333333333</v>
      </c>
    </row>
    <row r="53" ht="15.75" customHeight="1">
      <c r="A53" s="29">
        <v>20404.0</v>
      </c>
      <c r="B53" s="76" t="s">
        <v>59</v>
      </c>
      <c r="C53" s="77">
        <v>0.0</v>
      </c>
      <c r="D53" s="77">
        <v>26948.0</v>
      </c>
    </row>
    <row r="54" ht="15.75" customHeight="1">
      <c r="A54" s="29">
        <v>20405.0</v>
      </c>
      <c r="B54" s="76" t="s">
        <v>60</v>
      </c>
      <c r="C54" s="77">
        <v>16666.666666666668</v>
      </c>
      <c r="D54" s="77">
        <v>10000.0</v>
      </c>
    </row>
    <row r="55" ht="15.75" customHeight="1">
      <c r="A55" s="29">
        <v>20501.0</v>
      </c>
      <c r="B55" s="76" t="s">
        <v>61</v>
      </c>
      <c r="C55" s="77">
        <v>11666.666666666666</v>
      </c>
      <c r="D55" s="77">
        <v>24000.0</v>
      </c>
    </row>
    <row r="56" ht="15.75" customHeight="1">
      <c r="A56" s="29">
        <v>20502.0</v>
      </c>
      <c r="B56" s="76" t="s">
        <v>62</v>
      </c>
      <c r="C56" s="77">
        <v>0.0</v>
      </c>
      <c r="D56" s="77">
        <v>60000.0</v>
      </c>
    </row>
    <row r="57" ht="15.75" customHeight="1">
      <c r="A57" s="29">
        <v>20503.0</v>
      </c>
      <c r="B57" s="76" t="s">
        <v>63</v>
      </c>
      <c r="C57" s="77">
        <v>0.0</v>
      </c>
      <c r="D57" s="77">
        <v>6666.666666666667</v>
      </c>
    </row>
    <row r="58" ht="15.75" customHeight="1">
      <c r="A58" s="29">
        <v>20601.0</v>
      </c>
      <c r="B58" s="76" t="s">
        <v>64</v>
      </c>
      <c r="C58" s="77">
        <v>55000.0</v>
      </c>
      <c r="D58" s="77">
        <v>498548.3333333333</v>
      </c>
    </row>
    <row r="59" ht="15.75" customHeight="1">
      <c r="A59" s="29">
        <v>20602.0</v>
      </c>
      <c r="B59" s="76" t="s">
        <v>65</v>
      </c>
      <c r="C59" s="77">
        <v>66666.66666666667</v>
      </c>
      <c r="D59" s="77">
        <v>143333.33333333334</v>
      </c>
    </row>
    <row r="60" ht="15.75" customHeight="1">
      <c r="A60" s="29">
        <v>20603.0</v>
      </c>
      <c r="B60" s="76" t="s">
        <v>66</v>
      </c>
      <c r="C60" s="77">
        <v>0.0</v>
      </c>
      <c r="D60" s="77">
        <v>0.0</v>
      </c>
    </row>
    <row r="61" ht="15.75" customHeight="1">
      <c r="A61" s="29">
        <v>20604.0</v>
      </c>
      <c r="B61" s="76" t="s">
        <v>67</v>
      </c>
      <c r="C61" s="77">
        <v>6666.666666666667</v>
      </c>
      <c r="D61" s="77">
        <v>29685.666666666668</v>
      </c>
    </row>
    <row r="62" ht="15.75" customHeight="1">
      <c r="A62" s="29">
        <v>20605.0</v>
      </c>
      <c r="B62" s="76" t="s">
        <v>68</v>
      </c>
      <c r="C62" s="77">
        <v>0.0</v>
      </c>
      <c r="D62" s="77">
        <v>2000.0</v>
      </c>
    </row>
    <row r="63" ht="15.75" customHeight="1">
      <c r="A63" s="29">
        <v>20606.0</v>
      </c>
      <c r="B63" s="76" t="s">
        <v>69</v>
      </c>
      <c r="C63" s="77">
        <v>30000.0</v>
      </c>
      <c r="D63" s="77">
        <v>380924.3333333333</v>
      </c>
    </row>
    <row r="64" ht="15.75" customHeight="1">
      <c r="A64" s="29">
        <v>20607.0</v>
      </c>
      <c r="B64" s="76" t="s">
        <v>70</v>
      </c>
      <c r="C64" s="77">
        <v>30000.0</v>
      </c>
      <c r="D64" s="77">
        <v>698933.3333333334</v>
      </c>
    </row>
    <row r="65" ht="15.75" customHeight="1">
      <c r="A65" s="29">
        <v>20608.0</v>
      </c>
      <c r="B65" s="76" t="s">
        <v>71</v>
      </c>
      <c r="C65" s="77">
        <v>21933.333333333332</v>
      </c>
      <c r="D65" s="77">
        <v>50000.0</v>
      </c>
    </row>
    <row r="66" ht="15.75" customHeight="1">
      <c r="A66" s="29">
        <v>20701.0</v>
      </c>
      <c r="B66" s="76" t="s">
        <v>72</v>
      </c>
      <c r="C66" s="77">
        <v>32666.666666666668</v>
      </c>
      <c r="D66" s="77">
        <v>525000.0</v>
      </c>
    </row>
    <row r="67" ht="15.75" customHeight="1">
      <c r="A67" s="29">
        <v>20702.0</v>
      </c>
      <c r="B67" s="76" t="s">
        <v>73</v>
      </c>
      <c r="C67" s="77">
        <v>0.0</v>
      </c>
      <c r="D67" s="77">
        <v>0.0</v>
      </c>
    </row>
    <row r="68" ht="15.75" customHeight="1">
      <c r="A68" s="29">
        <v>20801.0</v>
      </c>
      <c r="B68" s="76" t="s">
        <v>74</v>
      </c>
      <c r="C68" s="77">
        <v>1562508.6666666667</v>
      </c>
      <c r="D68" s="77">
        <v>3554151.0</v>
      </c>
    </row>
    <row r="69" ht="15.75" customHeight="1">
      <c r="A69" s="29">
        <v>20802.0</v>
      </c>
      <c r="B69" s="76" t="s">
        <v>75</v>
      </c>
      <c r="C69" s="77">
        <v>30000.0</v>
      </c>
      <c r="D69" s="77">
        <v>55562.666666666664</v>
      </c>
    </row>
    <row r="70" ht="15.75" customHeight="1">
      <c r="A70" s="29">
        <v>20803.0</v>
      </c>
      <c r="B70" s="76" t="s">
        <v>76</v>
      </c>
      <c r="C70" s="77">
        <v>221205.33333333334</v>
      </c>
      <c r="D70" s="77">
        <v>163333.33333333334</v>
      </c>
    </row>
    <row r="71" ht="15.75" customHeight="1">
      <c r="A71" s="29">
        <v>20804.0</v>
      </c>
      <c r="B71" s="76" t="s">
        <v>77</v>
      </c>
      <c r="C71" s="77">
        <v>83333.33333333333</v>
      </c>
      <c r="D71" s="77">
        <v>286160.0</v>
      </c>
    </row>
    <row r="72" ht="15.75" customHeight="1">
      <c r="A72" s="29">
        <v>20805.0</v>
      </c>
      <c r="B72" s="76" t="s">
        <v>78</v>
      </c>
      <c r="C72" s="77">
        <v>0.0</v>
      </c>
      <c r="D72" s="77">
        <v>13333.333333333334</v>
      </c>
    </row>
    <row r="73" ht="15.75" customHeight="1">
      <c r="A73" s="29">
        <v>20806.0</v>
      </c>
      <c r="B73" s="76" t="s">
        <v>79</v>
      </c>
      <c r="C73" s="77">
        <v>3333.3333333333335</v>
      </c>
      <c r="D73" s="77">
        <v>22666.666666666668</v>
      </c>
    </row>
    <row r="74" ht="15.75" customHeight="1">
      <c r="A74" s="29">
        <v>20807.0</v>
      </c>
      <c r="B74" s="76" t="s">
        <v>80</v>
      </c>
      <c r="C74" s="77">
        <v>0.0</v>
      </c>
      <c r="D74" s="77">
        <v>59285.333333333336</v>
      </c>
    </row>
    <row r="75" ht="15.75" customHeight="1">
      <c r="A75" s="29">
        <v>20901.0</v>
      </c>
      <c r="B75" s="76" t="s">
        <v>81</v>
      </c>
      <c r="C75" s="77">
        <v>206666.66666666666</v>
      </c>
      <c r="D75" s="77">
        <v>26666.666666666668</v>
      </c>
    </row>
    <row r="76" ht="15.75" customHeight="1">
      <c r="A76" s="29">
        <v>20902.0</v>
      </c>
      <c r="B76" s="76" t="s">
        <v>82</v>
      </c>
      <c r="C76" s="77">
        <v>22378.0</v>
      </c>
      <c r="D76" s="77">
        <v>13333.333333333334</v>
      </c>
    </row>
    <row r="77" ht="15.75" customHeight="1">
      <c r="A77" s="29">
        <v>20903.0</v>
      </c>
      <c r="B77" s="76" t="s">
        <v>83</v>
      </c>
      <c r="C77" s="77">
        <v>0.0</v>
      </c>
      <c r="D77" s="77">
        <v>20000.0</v>
      </c>
    </row>
    <row r="78" ht="15.75" customHeight="1">
      <c r="A78" s="29">
        <v>20904.0</v>
      </c>
      <c r="B78" s="76" t="s">
        <v>84</v>
      </c>
      <c r="C78" s="77">
        <v>0.0</v>
      </c>
      <c r="D78" s="77">
        <v>0.0</v>
      </c>
    </row>
    <row r="79" ht="15.75" customHeight="1">
      <c r="A79" s="29">
        <v>20905.0</v>
      </c>
      <c r="B79" s="76" t="s">
        <v>85</v>
      </c>
      <c r="C79" s="77">
        <v>11666.666666666666</v>
      </c>
      <c r="D79" s="77">
        <v>126666.66666666667</v>
      </c>
    </row>
    <row r="80" ht="15.75" customHeight="1">
      <c r="A80" s="29">
        <v>21001.0</v>
      </c>
      <c r="B80" s="76" t="s">
        <v>86</v>
      </c>
      <c r="C80" s="77">
        <v>23333.333333333332</v>
      </c>
      <c r="D80" s="77">
        <v>70000.0</v>
      </c>
    </row>
    <row r="81" ht="15.75" customHeight="1">
      <c r="A81" s="29">
        <v>21002.0</v>
      </c>
      <c r="B81" s="76" t="s">
        <v>87</v>
      </c>
      <c r="C81" s="77">
        <v>46666.666666666664</v>
      </c>
      <c r="D81" s="77">
        <v>160000.0</v>
      </c>
    </row>
    <row r="82" ht="15.75" customHeight="1">
      <c r="A82" s="29">
        <v>21003.0</v>
      </c>
      <c r="B82" s="76" t="s">
        <v>88</v>
      </c>
      <c r="C82" s="77">
        <v>49733.333333333336</v>
      </c>
      <c r="D82" s="77">
        <v>83154.33333333333</v>
      </c>
    </row>
    <row r="83" ht="15.75" customHeight="1">
      <c r="A83" s="29">
        <v>21004.0</v>
      </c>
      <c r="B83" s="76" t="s">
        <v>89</v>
      </c>
      <c r="C83" s="77">
        <v>333.3333333333333</v>
      </c>
      <c r="D83" s="77">
        <v>350000.0</v>
      </c>
    </row>
    <row r="84" ht="15.75" customHeight="1">
      <c r="A84" s="29">
        <v>21005.0</v>
      </c>
      <c r="B84" s="76" t="s">
        <v>90</v>
      </c>
      <c r="C84" s="77">
        <v>5766.666666666667</v>
      </c>
      <c r="D84" s="77">
        <v>10000.0</v>
      </c>
    </row>
    <row r="85" ht="15.75" customHeight="1">
      <c r="A85" s="29">
        <v>21006.0</v>
      </c>
      <c r="B85" s="76" t="s">
        <v>91</v>
      </c>
      <c r="C85" s="77">
        <v>25000.0</v>
      </c>
      <c r="D85" s="77">
        <v>74266.66666666667</v>
      </c>
    </row>
    <row r="86" ht="15.75" customHeight="1">
      <c r="A86" s="29">
        <v>21101.0</v>
      </c>
      <c r="B86" s="76" t="s">
        <v>92</v>
      </c>
      <c r="C86" s="77">
        <v>50000.0</v>
      </c>
      <c r="D86" s="77">
        <v>498766.3333333333</v>
      </c>
    </row>
    <row r="87" ht="15.75" customHeight="1">
      <c r="A87" s="29">
        <v>21102.0</v>
      </c>
      <c r="B87" s="76" t="s">
        <v>93</v>
      </c>
      <c r="C87" s="77">
        <v>140000.33333333334</v>
      </c>
      <c r="D87" s="77">
        <v>468953.0</v>
      </c>
    </row>
    <row r="88" ht="15.75" customHeight="1">
      <c r="A88" s="29">
        <v>21103.0</v>
      </c>
      <c r="B88" s="76" t="s">
        <v>94</v>
      </c>
      <c r="C88" s="77">
        <v>21467.333333333332</v>
      </c>
      <c r="D88" s="77">
        <v>0.0</v>
      </c>
    </row>
    <row r="89" ht="15.75" customHeight="1">
      <c r="A89" s="29">
        <v>21104.0</v>
      </c>
      <c r="B89" s="76" t="s">
        <v>95</v>
      </c>
      <c r="C89" s="77">
        <v>83333.33333333333</v>
      </c>
      <c r="D89" s="77">
        <v>577696.0</v>
      </c>
    </row>
    <row r="90" ht="15.75" customHeight="1">
      <c r="A90" s="29">
        <v>21105.0</v>
      </c>
      <c r="B90" s="76" t="s">
        <v>96</v>
      </c>
      <c r="C90" s="77">
        <v>56666.666666666664</v>
      </c>
      <c r="D90" s="77">
        <v>429262.0</v>
      </c>
    </row>
    <row r="91" ht="15.75" customHeight="1">
      <c r="A91" s="29">
        <v>21201.0</v>
      </c>
      <c r="B91" s="76" t="s">
        <v>97</v>
      </c>
      <c r="C91" s="77">
        <v>19000.0</v>
      </c>
      <c r="D91" s="77">
        <v>138333.33333333334</v>
      </c>
    </row>
    <row r="92" ht="15.75" customHeight="1">
      <c r="A92" s="29">
        <v>21202.0</v>
      </c>
      <c r="B92" s="76" t="s">
        <v>98</v>
      </c>
      <c r="C92" s="77">
        <v>10333.333333333334</v>
      </c>
      <c r="D92" s="77">
        <v>327533.3333333333</v>
      </c>
    </row>
    <row r="93" ht="15.75" customHeight="1">
      <c r="A93" s="29">
        <v>21203.0</v>
      </c>
      <c r="B93" s="76" t="s">
        <v>99</v>
      </c>
      <c r="C93" s="77">
        <v>56666.666666666664</v>
      </c>
      <c r="D93" s="77">
        <v>165466.0</v>
      </c>
    </row>
    <row r="94" ht="15.75" customHeight="1">
      <c r="A94" s="29">
        <v>21204.0</v>
      </c>
      <c r="B94" s="76" t="s">
        <v>100</v>
      </c>
      <c r="C94" s="77">
        <v>0.0</v>
      </c>
      <c r="D94" s="77">
        <v>6666.666666666667</v>
      </c>
    </row>
    <row r="95" ht="15.75" customHeight="1">
      <c r="A95" s="29">
        <v>21301.0</v>
      </c>
      <c r="B95" s="76" t="s">
        <v>101</v>
      </c>
      <c r="C95" s="77">
        <v>114400.0</v>
      </c>
      <c r="D95" s="77">
        <v>286666.6666666667</v>
      </c>
    </row>
    <row r="96" ht="15.75" customHeight="1">
      <c r="A96" s="29">
        <v>21302.0</v>
      </c>
      <c r="B96" s="76" t="s">
        <v>102</v>
      </c>
      <c r="C96" s="77">
        <v>0.0</v>
      </c>
      <c r="D96" s="77">
        <v>0.0</v>
      </c>
    </row>
    <row r="97" ht="15.75" customHeight="1">
      <c r="A97" s="29">
        <v>21303.0</v>
      </c>
      <c r="B97" s="76" t="s">
        <v>103</v>
      </c>
      <c r="C97" s="77">
        <v>0.0</v>
      </c>
      <c r="D97" s="77">
        <v>15000.0</v>
      </c>
    </row>
    <row r="98" ht="15.75" customHeight="1">
      <c r="A98" s="29">
        <v>21304.0</v>
      </c>
      <c r="B98" s="76" t="s">
        <v>104</v>
      </c>
      <c r="C98" s="77">
        <v>0.0</v>
      </c>
      <c r="D98" s="77">
        <v>15000.0</v>
      </c>
    </row>
    <row r="99" ht="15.75" customHeight="1">
      <c r="A99" s="29">
        <v>21305.0</v>
      </c>
      <c r="B99" s="76" t="s">
        <v>105</v>
      </c>
      <c r="C99" s="77">
        <v>138144.66666666666</v>
      </c>
      <c r="D99" s="77">
        <v>835956.6666666666</v>
      </c>
    </row>
    <row r="100" ht="15.75" customHeight="1">
      <c r="A100" s="29">
        <v>21306.0</v>
      </c>
      <c r="B100" s="76" t="s">
        <v>106</v>
      </c>
      <c r="C100" s="77">
        <v>25000.0</v>
      </c>
      <c r="D100" s="77">
        <v>21666.666666666668</v>
      </c>
    </row>
    <row r="101" ht="15.75" customHeight="1">
      <c r="A101" s="29">
        <v>21307.0</v>
      </c>
      <c r="B101" s="76" t="s">
        <v>107</v>
      </c>
      <c r="C101" s="77">
        <v>5566.666666666667</v>
      </c>
      <c r="D101" s="77">
        <v>74393.33333333333</v>
      </c>
    </row>
    <row r="102" ht="15.75" customHeight="1">
      <c r="A102" s="29">
        <v>21401.0</v>
      </c>
      <c r="B102" s="76" t="s">
        <v>108</v>
      </c>
      <c r="C102" s="77">
        <v>140000.0</v>
      </c>
      <c r="D102" s="77">
        <v>408712.3333333333</v>
      </c>
    </row>
    <row r="103" ht="15.75" customHeight="1">
      <c r="A103" s="29">
        <v>21402.0</v>
      </c>
      <c r="B103" s="76" t="s">
        <v>109</v>
      </c>
      <c r="C103" s="77">
        <v>60000.0</v>
      </c>
      <c r="D103" s="77">
        <v>220000.0</v>
      </c>
    </row>
    <row r="104" ht="15.75" customHeight="1">
      <c r="A104" s="29">
        <v>21501.0</v>
      </c>
      <c r="B104" s="76" t="s">
        <v>110</v>
      </c>
      <c r="C104" s="77">
        <v>25000.0</v>
      </c>
      <c r="D104" s="77">
        <v>250392.0</v>
      </c>
    </row>
    <row r="105" ht="15.75" customHeight="1">
      <c r="A105" s="29">
        <v>21502.0</v>
      </c>
      <c r="B105" s="76" t="s">
        <v>111</v>
      </c>
      <c r="C105" s="77">
        <v>51333.333333333336</v>
      </c>
      <c r="D105" s="77">
        <v>190833.33333333334</v>
      </c>
    </row>
    <row r="106" ht="15.75" customHeight="1">
      <c r="A106" s="29">
        <v>21601.0</v>
      </c>
      <c r="B106" s="76" t="s">
        <v>112</v>
      </c>
      <c r="C106" s="77">
        <v>17666.666666666668</v>
      </c>
      <c r="D106" s="77">
        <v>57218.666666666664</v>
      </c>
    </row>
    <row r="107" ht="15.75" customHeight="1">
      <c r="A107" s="29">
        <v>21602.0</v>
      </c>
      <c r="B107" s="76" t="s">
        <v>113</v>
      </c>
      <c r="C107" s="77">
        <v>0.0</v>
      </c>
      <c r="D107" s="77">
        <v>6666.666666666667</v>
      </c>
    </row>
    <row r="108" ht="15.75" customHeight="1">
      <c r="A108" s="29">
        <v>21701.0</v>
      </c>
      <c r="B108" s="76" t="s">
        <v>114</v>
      </c>
      <c r="C108" s="77">
        <v>210068.33333333334</v>
      </c>
      <c r="D108" s="77">
        <v>320000.0</v>
      </c>
    </row>
    <row r="109" ht="15.75" customHeight="1">
      <c r="A109" s="29">
        <v>21702.0</v>
      </c>
      <c r="B109" s="76" t="s">
        <v>115</v>
      </c>
      <c r="C109" s="77">
        <v>836082.0</v>
      </c>
      <c r="D109" s="77">
        <v>69400.0</v>
      </c>
    </row>
    <row r="110" ht="15.75" customHeight="1">
      <c r="A110" s="29">
        <v>21703.0</v>
      </c>
      <c r="B110" s="76" t="s">
        <v>116</v>
      </c>
      <c r="C110" s="77">
        <v>8333.333333333334</v>
      </c>
      <c r="D110" s="77">
        <v>57916.0</v>
      </c>
    </row>
    <row r="111" ht="15.75" customHeight="1">
      <c r="A111" s="29">
        <v>21801.0</v>
      </c>
      <c r="B111" s="76" t="s">
        <v>117</v>
      </c>
      <c r="C111" s="77">
        <v>6330.333333333333</v>
      </c>
      <c r="D111" s="77">
        <v>6666.666666666667</v>
      </c>
    </row>
    <row r="112" ht="15.75" customHeight="1">
      <c r="A112" s="29">
        <v>21802.0</v>
      </c>
      <c r="B112" s="76" t="s">
        <v>118</v>
      </c>
      <c r="C112" s="77">
        <v>0.0</v>
      </c>
      <c r="D112" s="77">
        <v>106320.0</v>
      </c>
    </row>
    <row r="113" ht="15.75" customHeight="1">
      <c r="A113" s="29">
        <v>21803.0</v>
      </c>
      <c r="B113" s="76" t="s">
        <v>119</v>
      </c>
      <c r="C113" s="77">
        <v>0.0</v>
      </c>
      <c r="D113" s="77">
        <v>13800.0</v>
      </c>
    </row>
    <row r="114" ht="15.75" customHeight="1">
      <c r="A114" s="29">
        <v>21901.0</v>
      </c>
      <c r="B114" s="76" t="s">
        <v>120</v>
      </c>
      <c r="C114" s="77">
        <v>0.0</v>
      </c>
      <c r="D114" s="77">
        <v>33333.333333333336</v>
      </c>
    </row>
    <row r="115" ht="15.75" customHeight="1">
      <c r="A115" s="29">
        <v>21902.0</v>
      </c>
      <c r="B115" s="76" t="s">
        <v>121</v>
      </c>
      <c r="C115" s="77">
        <v>0.0</v>
      </c>
      <c r="D115" s="77">
        <v>0.0</v>
      </c>
    </row>
    <row r="116" ht="15.75" customHeight="1">
      <c r="A116" s="29">
        <v>22001.0</v>
      </c>
      <c r="B116" s="76" t="s">
        <v>122</v>
      </c>
      <c r="C116" s="77">
        <v>453463.6666666667</v>
      </c>
      <c r="D116" s="77">
        <v>2203840.0</v>
      </c>
    </row>
    <row r="117" ht="15.75" customHeight="1">
      <c r="A117" s="29">
        <v>22002.0</v>
      </c>
      <c r="B117" s="76" t="s">
        <v>123</v>
      </c>
      <c r="C117" s="77">
        <v>16666.666666666668</v>
      </c>
      <c r="D117" s="77">
        <v>72525.33333333333</v>
      </c>
    </row>
    <row r="118" ht="15.75" customHeight="1">
      <c r="A118" s="29">
        <v>30101.0</v>
      </c>
      <c r="B118" s="76" t="s">
        <v>124</v>
      </c>
      <c r="C118" s="77">
        <v>2.7361433333333332E7</v>
      </c>
      <c r="D118" s="77">
        <v>1.57346545E8</v>
      </c>
    </row>
    <row r="119" ht="15.75" customHeight="1">
      <c r="A119" s="29">
        <v>30201.0</v>
      </c>
      <c r="B119" s="76" t="s">
        <v>125</v>
      </c>
      <c r="C119" s="77">
        <v>100000.0</v>
      </c>
      <c r="D119" s="77">
        <v>176666.66666666666</v>
      </c>
    </row>
    <row r="120" ht="15.75" customHeight="1">
      <c r="A120" s="29">
        <v>30202.0</v>
      </c>
      <c r="B120" s="76" t="s">
        <v>126</v>
      </c>
      <c r="C120" s="77">
        <v>18333.333333333332</v>
      </c>
      <c r="D120" s="77">
        <v>46666.666666666664</v>
      </c>
    </row>
    <row r="121" ht="15.75" customHeight="1">
      <c r="A121" s="29">
        <v>30203.0</v>
      </c>
      <c r="B121" s="76" t="s">
        <v>127</v>
      </c>
      <c r="C121" s="77">
        <v>26000.0</v>
      </c>
      <c r="D121" s="77">
        <v>66520.0</v>
      </c>
    </row>
    <row r="122" ht="15.75" customHeight="1">
      <c r="A122" s="29">
        <v>30301.0</v>
      </c>
      <c r="B122" s="76" t="s">
        <v>128</v>
      </c>
      <c r="C122" s="77">
        <v>60000.0</v>
      </c>
      <c r="D122" s="77">
        <v>150386.66666666666</v>
      </c>
    </row>
    <row r="123" ht="15.75" customHeight="1">
      <c r="A123" s="29">
        <v>30302.0</v>
      </c>
      <c r="B123" s="76" t="s">
        <v>129</v>
      </c>
      <c r="C123" s="77">
        <v>30000.0</v>
      </c>
      <c r="D123" s="77">
        <v>53166.666666666664</v>
      </c>
    </row>
    <row r="124" ht="15.75" customHeight="1">
      <c r="A124" s="29">
        <v>30303.0</v>
      </c>
      <c r="B124" s="76" t="s">
        <v>130</v>
      </c>
      <c r="C124" s="77">
        <v>21666.666666666668</v>
      </c>
      <c r="D124" s="77">
        <v>0.0</v>
      </c>
    </row>
    <row r="125" ht="15.75" customHeight="1">
      <c r="A125" s="29">
        <v>30401.0</v>
      </c>
      <c r="B125" s="76" t="s">
        <v>131</v>
      </c>
      <c r="C125" s="77">
        <v>33333.333333333336</v>
      </c>
      <c r="D125" s="77">
        <v>140496.0</v>
      </c>
    </row>
    <row r="126" ht="15.75" customHeight="1">
      <c r="A126" s="29">
        <v>30402.0</v>
      </c>
      <c r="B126" s="76" t="s">
        <v>132</v>
      </c>
      <c r="C126" s="77">
        <v>28000.0</v>
      </c>
      <c r="D126" s="77">
        <v>21666.666666666668</v>
      </c>
    </row>
    <row r="127" ht="15.75" customHeight="1">
      <c r="A127" s="29">
        <v>30403.0</v>
      </c>
      <c r="B127" s="76" t="s">
        <v>133</v>
      </c>
      <c r="C127" s="77">
        <v>10000.0</v>
      </c>
      <c r="D127" s="77">
        <v>203333.33333333334</v>
      </c>
    </row>
    <row r="128" ht="15.75" customHeight="1">
      <c r="A128" s="29">
        <v>30404.0</v>
      </c>
      <c r="B128" s="76" t="s">
        <v>134</v>
      </c>
      <c r="C128" s="77">
        <v>0.0</v>
      </c>
      <c r="D128" s="77">
        <v>15066.666666666666</v>
      </c>
    </row>
    <row r="129" ht="15.75" customHeight="1">
      <c r="A129" s="29">
        <v>30501.0</v>
      </c>
      <c r="B129" s="76" t="s">
        <v>135</v>
      </c>
      <c r="C129" s="77">
        <v>23333.333333333332</v>
      </c>
      <c r="D129" s="77">
        <v>43333.333333333336</v>
      </c>
    </row>
    <row r="130" ht="15.75" customHeight="1">
      <c r="A130" s="29">
        <v>30502.0</v>
      </c>
      <c r="B130" s="76" t="s">
        <v>136</v>
      </c>
      <c r="C130" s="77">
        <v>48666.666666666664</v>
      </c>
      <c r="D130" s="77">
        <v>4000.0</v>
      </c>
    </row>
    <row r="131" ht="15.75" customHeight="1">
      <c r="A131" s="29">
        <v>30601.0</v>
      </c>
      <c r="B131" s="76" t="s">
        <v>137</v>
      </c>
      <c r="C131" s="77">
        <v>30000.0</v>
      </c>
      <c r="D131" s="77">
        <v>31666.666666666668</v>
      </c>
    </row>
    <row r="132" ht="15.75" customHeight="1">
      <c r="A132" s="29">
        <v>30602.0</v>
      </c>
      <c r="B132" s="76" t="s">
        <v>138</v>
      </c>
      <c r="C132" s="77">
        <v>0.0</v>
      </c>
      <c r="D132" s="77">
        <v>4666.666666666667</v>
      </c>
    </row>
    <row r="133" ht="15.75" customHeight="1">
      <c r="A133" s="29">
        <v>30701.0</v>
      </c>
      <c r="B133" s="76" t="s">
        <v>139</v>
      </c>
      <c r="C133" s="77">
        <v>16666.666666666668</v>
      </c>
      <c r="D133" s="77">
        <v>215000.0</v>
      </c>
    </row>
    <row r="134" ht="15.75" customHeight="1">
      <c r="A134" s="29">
        <v>30702.0</v>
      </c>
      <c r="B134" s="76" t="s">
        <v>140</v>
      </c>
      <c r="C134" s="77">
        <v>20000.0</v>
      </c>
      <c r="D134" s="77">
        <v>23666.666666666668</v>
      </c>
    </row>
    <row r="135" ht="15.75" customHeight="1">
      <c r="A135" s="29">
        <v>30703.0</v>
      </c>
      <c r="B135" s="76" t="s">
        <v>141</v>
      </c>
      <c r="C135" s="77">
        <v>0.0</v>
      </c>
      <c r="D135" s="77">
        <v>2000.0</v>
      </c>
    </row>
    <row r="136" ht="15.75" customHeight="1">
      <c r="A136" s="29">
        <v>30801.0</v>
      </c>
      <c r="B136" s="76" t="s">
        <v>142</v>
      </c>
      <c r="C136" s="77">
        <v>120666.66666666667</v>
      </c>
      <c r="D136" s="77">
        <v>514233.3333333333</v>
      </c>
    </row>
    <row r="137" ht="15.75" customHeight="1">
      <c r="A137" s="29">
        <v>30802.0</v>
      </c>
      <c r="B137" s="76" t="s">
        <v>143</v>
      </c>
      <c r="C137" s="77">
        <v>6666.666666666667</v>
      </c>
      <c r="D137" s="77">
        <v>13333.333333333334</v>
      </c>
    </row>
    <row r="138" ht="15.75" customHeight="1">
      <c r="A138" s="29">
        <v>30803.0</v>
      </c>
      <c r="B138" s="76" t="s">
        <v>144</v>
      </c>
      <c r="C138" s="77">
        <v>13333.333333333334</v>
      </c>
      <c r="D138" s="77">
        <v>13333.333333333334</v>
      </c>
    </row>
    <row r="139" ht="15.75" customHeight="1">
      <c r="A139" s="29">
        <v>30901.0</v>
      </c>
      <c r="B139" s="76" t="s">
        <v>145</v>
      </c>
      <c r="C139" s="77">
        <v>0.0</v>
      </c>
      <c r="D139" s="77">
        <v>1.6619983E7</v>
      </c>
    </row>
    <row r="140" ht="15.75" customHeight="1">
      <c r="A140" s="29">
        <v>30902.0</v>
      </c>
      <c r="B140" s="76" t="s">
        <v>146</v>
      </c>
      <c r="C140" s="77">
        <v>116666.66666666667</v>
      </c>
      <c r="D140" s="77">
        <v>465100.0</v>
      </c>
    </row>
    <row r="141" ht="15.75" customHeight="1">
      <c r="A141" s="29">
        <v>30903.0</v>
      </c>
      <c r="B141" s="76" t="s">
        <v>147</v>
      </c>
      <c r="C141" s="77">
        <v>729169.6666666666</v>
      </c>
      <c r="D141" s="77">
        <v>1567028.3333333333</v>
      </c>
    </row>
    <row r="142" ht="15.75" customHeight="1">
      <c r="A142" s="29">
        <v>30904.0</v>
      </c>
      <c r="B142" s="76" t="s">
        <v>148</v>
      </c>
      <c r="C142" s="77">
        <v>217735.33333333334</v>
      </c>
      <c r="D142" s="77">
        <v>743333.3333333334</v>
      </c>
    </row>
    <row r="143" ht="15.75" customHeight="1">
      <c r="A143" s="29">
        <v>30905.0</v>
      </c>
      <c r="B143" s="76" t="s">
        <v>149</v>
      </c>
      <c r="C143" s="77">
        <v>423333.3333333333</v>
      </c>
      <c r="D143" s="77">
        <v>3460000.0</v>
      </c>
    </row>
    <row r="144" ht="15.75" customHeight="1">
      <c r="A144" s="29">
        <v>31001.0</v>
      </c>
      <c r="B144" s="76" t="s">
        <v>150</v>
      </c>
      <c r="C144" s="77">
        <v>683333.3333333334</v>
      </c>
      <c r="D144" s="77">
        <v>3100000.0</v>
      </c>
    </row>
    <row r="145" ht="15.75" customHeight="1">
      <c r="A145" s="29">
        <v>31002.0</v>
      </c>
      <c r="B145" s="76" t="s">
        <v>151</v>
      </c>
      <c r="C145" s="77">
        <v>100000.0</v>
      </c>
      <c r="D145" s="77">
        <v>125833.33333333333</v>
      </c>
    </row>
    <row r="146" ht="15.75" customHeight="1">
      <c r="A146" s="29">
        <v>31003.0</v>
      </c>
      <c r="B146" s="76" t="s">
        <v>152</v>
      </c>
      <c r="C146" s="77">
        <v>166666.66666666666</v>
      </c>
      <c r="D146" s="77">
        <v>1623333.3333333333</v>
      </c>
    </row>
    <row r="147" ht="15.75" customHeight="1">
      <c r="A147" s="29">
        <v>31101.0</v>
      </c>
      <c r="B147" s="76" t="s">
        <v>153</v>
      </c>
      <c r="C147" s="77">
        <v>0.0</v>
      </c>
      <c r="D147" s="77">
        <v>6666.666666666667</v>
      </c>
    </row>
    <row r="148" ht="15.75" customHeight="1">
      <c r="A148" s="29">
        <v>31201.0</v>
      </c>
      <c r="B148" s="76" t="s">
        <v>154</v>
      </c>
      <c r="C148" s="77">
        <v>85000.0</v>
      </c>
      <c r="D148" s="77">
        <v>203466.66666666666</v>
      </c>
    </row>
    <row r="149" ht="15.75" customHeight="1">
      <c r="A149" s="29">
        <v>31202.0</v>
      </c>
      <c r="B149" s="76" t="s">
        <v>155</v>
      </c>
      <c r="C149" s="77">
        <v>10000.0</v>
      </c>
      <c r="D149" s="77">
        <v>25866.666666666668</v>
      </c>
    </row>
    <row r="150" ht="15.75" customHeight="1">
      <c r="A150" s="29">
        <v>31203.0</v>
      </c>
      <c r="B150" s="76" t="s">
        <v>156</v>
      </c>
      <c r="C150" s="77">
        <v>0.0</v>
      </c>
      <c r="D150" s="77">
        <v>11666.666666666666</v>
      </c>
    </row>
    <row r="151" ht="15.75" customHeight="1">
      <c r="A151" s="29">
        <v>31204.0</v>
      </c>
      <c r="B151" s="76" t="s">
        <v>157</v>
      </c>
      <c r="C151" s="77">
        <v>136666.66666666666</v>
      </c>
      <c r="D151" s="77">
        <v>360000.0</v>
      </c>
    </row>
    <row r="152" ht="15.75" customHeight="1">
      <c r="A152" s="29">
        <v>31205.0</v>
      </c>
      <c r="B152" s="76" t="s">
        <v>158</v>
      </c>
      <c r="C152" s="77">
        <v>96980.33333333333</v>
      </c>
      <c r="D152" s="77">
        <v>1577833.3333333333</v>
      </c>
    </row>
    <row r="153" ht="15.75" customHeight="1">
      <c r="A153" s="29">
        <v>31206.0</v>
      </c>
      <c r="B153" s="76" t="s">
        <v>159</v>
      </c>
      <c r="C153" s="77">
        <v>180000.0</v>
      </c>
      <c r="D153" s="77">
        <v>693333.3333333334</v>
      </c>
    </row>
    <row r="154" ht="15.75" customHeight="1">
      <c r="A154" s="29">
        <v>31301.0</v>
      </c>
      <c r="B154" s="76" t="s">
        <v>160</v>
      </c>
      <c r="C154" s="77">
        <v>96666.66666666667</v>
      </c>
      <c r="D154" s="77">
        <v>113553.33333333333</v>
      </c>
    </row>
    <row r="155" ht="15.75" customHeight="1">
      <c r="A155" s="29">
        <v>31302.0</v>
      </c>
      <c r="B155" s="76" t="s">
        <v>161</v>
      </c>
      <c r="C155" s="77">
        <v>11666.666666666666</v>
      </c>
      <c r="D155" s="77">
        <v>6666.666666666667</v>
      </c>
    </row>
    <row r="156" ht="15.75" customHeight="1">
      <c r="A156" s="29">
        <v>31303.0</v>
      </c>
      <c r="B156" s="76" t="s">
        <v>162</v>
      </c>
      <c r="C156" s="77">
        <v>0.0</v>
      </c>
      <c r="D156" s="77">
        <v>0.0</v>
      </c>
    </row>
    <row r="157" ht="15.75" customHeight="1">
      <c r="A157" s="29">
        <v>31304.0</v>
      </c>
      <c r="B157" s="76" t="s">
        <v>163</v>
      </c>
      <c r="C157" s="77">
        <v>0.0</v>
      </c>
      <c r="D157" s="77">
        <v>0.0</v>
      </c>
    </row>
    <row r="158" ht="15.75" customHeight="1">
      <c r="A158" s="29">
        <v>31401.0</v>
      </c>
      <c r="B158" s="76" t="s">
        <v>164</v>
      </c>
      <c r="C158" s="77">
        <v>300000.0</v>
      </c>
      <c r="D158" s="77">
        <v>453333.3333333333</v>
      </c>
    </row>
    <row r="159" ht="15.75" customHeight="1">
      <c r="A159" s="29">
        <v>31402.0</v>
      </c>
      <c r="B159" s="76" t="s">
        <v>165</v>
      </c>
      <c r="C159" s="77">
        <v>16666.666666666668</v>
      </c>
      <c r="D159" s="77">
        <v>76666.66666666667</v>
      </c>
    </row>
    <row r="160" ht="15.75" customHeight="1">
      <c r="A160" s="29">
        <v>31403.0</v>
      </c>
      <c r="B160" s="76" t="s">
        <v>166</v>
      </c>
      <c r="C160" s="77">
        <v>40000.0</v>
      </c>
      <c r="D160" s="77">
        <v>112933.33333333333</v>
      </c>
    </row>
    <row r="161" ht="15.75" customHeight="1">
      <c r="A161" s="29">
        <v>31404.0</v>
      </c>
      <c r="B161" s="76" t="s">
        <v>167</v>
      </c>
      <c r="C161" s="77">
        <v>0.0</v>
      </c>
      <c r="D161" s="77">
        <v>0.0</v>
      </c>
    </row>
    <row r="162" ht="15.75" customHeight="1">
      <c r="A162" s="29">
        <v>31405.0</v>
      </c>
      <c r="B162" s="76" t="s">
        <v>168</v>
      </c>
      <c r="C162" s="77">
        <v>0.0</v>
      </c>
      <c r="D162" s="77">
        <v>4500.0</v>
      </c>
    </row>
    <row r="163" ht="15.75" customHeight="1">
      <c r="A163" s="29">
        <v>31501.0</v>
      </c>
      <c r="B163" s="76" t="s">
        <v>169</v>
      </c>
      <c r="C163" s="77">
        <v>28333.333333333332</v>
      </c>
      <c r="D163" s="77">
        <v>40666.666666666664</v>
      </c>
    </row>
    <row r="164" ht="15.75" customHeight="1">
      <c r="A164" s="29">
        <v>31601.0</v>
      </c>
      <c r="B164" s="76" t="s">
        <v>170</v>
      </c>
      <c r="C164" s="77">
        <v>24666.666666666668</v>
      </c>
      <c r="D164" s="77">
        <v>198836.66666666666</v>
      </c>
    </row>
    <row r="165" ht="15.75" customHeight="1">
      <c r="A165" s="29">
        <v>31602.0</v>
      </c>
      <c r="B165" s="76" t="s">
        <v>171</v>
      </c>
      <c r="C165" s="77">
        <v>100346.33333333333</v>
      </c>
      <c r="D165" s="77">
        <v>426657.3333333333</v>
      </c>
    </row>
    <row r="166" ht="15.75" customHeight="1">
      <c r="A166" s="29">
        <v>40101.0</v>
      </c>
      <c r="B166" s="76" t="s">
        <v>172</v>
      </c>
      <c r="C166" s="77">
        <v>0.0</v>
      </c>
      <c r="D166" s="77">
        <v>1540614.6666666667</v>
      </c>
    </row>
    <row r="167" ht="15.75" customHeight="1">
      <c r="A167" s="29">
        <v>40102.0</v>
      </c>
      <c r="B167" s="76" t="s">
        <v>173</v>
      </c>
      <c r="C167" s="77">
        <v>119297.66666666667</v>
      </c>
      <c r="D167" s="77">
        <v>516666.6666666667</v>
      </c>
    </row>
    <row r="168" ht="15.75" customHeight="1">
      <c r="A168" s="29">
        <v>40103.0</v>
      </c>
      <c r="B168" s="76" t="s">
        <v>174</v>
      </c>
      <c r="C168" s="77">
        <v>0.0</v>
      </c>
      <c r="D168" s="77">
        <v>20000.0</v>
      </c>
    </row>
    <row r="169" ht="15.75" customHeight="1">
      <c r="A169" s="29">
        <v>40104.0</v>
      </c>
      <c r="B169" s="76" t="s">
        <v>175</v>
      </c>
      <c r="C169" s="77">
        <v>0.0</v>
      </c>
      <c r="D169" s="77">
        <v>0.0</v>
      </c>
    </row>
    <row r="170" ht="15.75" customHeight="1">
      <c r="A170" s="29">
        <v>40201.0</v>
      </c>
      <c r="B170" s="76" t="s">
        <v>176</v>
      </c>
      <c r="C170" s="77">
        <v>220154.0</v>
      </c>
      <c r="D170" s="77">
        <v>895535.0</v>
      </c>
    </row>
    <row r="171" ht="15.75" customHeight="1">
      <c r="A171" s="29">
        <v>40202.0</v>
      </c>
      <c r="B171" s="76" t="s">
        <v>177</v>
      </c>
      <c r="C171" s="77">
        <v>0.0</v>
      </c>
      <c r="D171" s="77">
        <v>0.0</v>
      </c>
    </row>
    <row r="172" ht="15.75" customHeight="1">
      <c r="A172" s="29">
        <v>40301.0</v>
      </c>
      <c r="B172" s="76" t="s">
        <v>178</v>
      </c>
      <c r="C172" s="77">
        <v>8000.0</v>
      </c>
      <c r="D172" s="77">
        <v>30000.0</v>
      </c>
    </row>
    <row r="173" ht="15.75" customHeight="1">
      <c r="A173" s="29">
        <v>40302.0</v>
      </c>
      <c r="B173" s="76" t="s">
        <v>179</v>
      </c>
      <c r="C173" s="77">
        <v>6666.666666666667</v>
      </c>
      <c r="D173" s="77">
        <v>30966.666666666668</v>
      </c>
    </row>
    <row r="174" ht="15.75" customHeight="1">
      <c r="A174" s="29">
        <v>40401.0</v>
      </c>
      <c r="B174" s="76" t="s">
        <v>180</v>
      </c>
      <c r="C174" s="77">
        <v>36666.666666666664</v>
      </c>
      <c r="D174" s="77">
        <v>70000.0</v>
      </c>
    </row>
    <row r="175" ht="15.75" customHeight="1">
      <c r="A175" s="29">
        <v>40402.0</v>
      </c>
      <c r="B175" s="76" t="s">
        <v>181</v>
      </c>
      <c r="C175" s="77">
        <v>26666.666666666668</v>
      </c>
      <c r="D175" s="77">
        <v>65000.0</v>
      </c>
    </row>
    <row r="176" ht="15.75" customHeight="1">
      <c r="A176" s="29">
        <v>40501.0</v>
      </c>
      <c r="B176" s="76" t="s">
        <v>182</v>
      </c>
      <c r="C176" s="77">
        <v>0.0</v>
      </c>
      <c r="D176" s="77">
        <v>0.0</v>
      </c>
    </row>
    <row r="177" ht="15.75" customHeight="1">
      <c r="A177" s="29">
        <v>40502.0</v>
      </c>
      <c r="B177" s="76" t="s">
        <v>183</v>
      </c>
      <c r="C177" s="77">
        <v>0.0</v>
      </c>
      <c r="D177" s="77">
        <v>0.0</v>
      </c>
    </row>
    <row r="178" ht="15.75" customHeight="1">
      <c r="A178" s="29">
        <v>40503.0</v>
      </c>
      <c r="B178" s="76" t="s">
        <v>184</v>
      </c>
      <c r="C178" s="77">
        <v>0.0</v>
      </c>
      <c r="D178" s="77">
        <v>0.0</v>
      </c>
    </row>
    <row r="179" ht="15.75" customHeight="1">
      <c r="A179" s="29">
        <v>40504.0</v>
      </c>
      <c r="B179" s="76" t="s">
        <v>185</v>
      </c>
      <c r="C179" s="77">
        <v>0.0</v>
      </c>
      <c r="D179" s="77">
        <v>0.0</v>
      </c>
    </row>
    <row r="180" ht="15.75" customHeight="1">
      <c r="A180" s="29">
        <v>40505.0</v>
      </c>
      <c r="B180" s="76" t="s">
        <v>186</v>
      </c>
      <c r="C180" s="77">
        <v>0.0</v>
      </c>
      <c r="D180" s="77">
        <v>0.0</v>
      </c>
    </row>
    <row r="181" ht="15.75" customHeight="1">
      <c r="A181" s="29">
        <v>40601.0</v>
      </c>
      <c r="B181" s="76" t="s">
        <v>187</v>
      </c>
      <c r="C181" s="77">
        <v>16666.666666666668</v>
      </c>
      <c r="D181" s="77">
        <v>126666.66666666667</v>
      </c>
    </row>
    <row r="182" ht="15.75" customHeight="1">
      <c r="A182" s="29">
        <v>40602.0</v>
      </c>
      <c r="B182" s="76" t="s">
        <v>188</v>
      </c>
      <c r="C182" s="77">
        <v>3333.3333333333335</v>
      </c>
      <c r="D182" s="77">
        <v>32000.0</v>
      </c>
    </row>
    <row r="183" ht="15.75" customHeight="1">
      <c r="A183" s="29">
        <v>40603.0</v>
      </c>
      <c r="B183" s="76" t="s">
        <v>189</v>
      </c>
      <c r="C183" s="77">
        <v>10000.0</v>
      </c>
      <c r="D183" s="77">
        <v>73333.33333333333</v>
      </c>
    </row>
    <row r="184" ht="15.75" customHeight="1">
      <c r="A184" s="29">
        <v>40701.0</v>
      </c>
      <c r="B184" s="76" t="s">
        <v>190</v>
      </c>
      <c r="C184" s="77">
        <v>133333.33333333334</v>
      </c>
      <c r="D184" s="77">
        <v>1323556.3333333333</v>
      </c>
    </row>
    <row r="185" ht="15.75" customHeight="1">
      <c r="A185" s="29">
        <v>40702.0</v>
      </c>
      <c r="B185" s="76" t="s">
        <v>191</v>
      </c>
      <c r="C185" s="77">
        <v>0.0</v>
      </c>
      <c r="D185" s="77">
        <v>95617.66666666667</v>
      </c>
    </row>
    <row r="186" ht="15.75" customHeight="1">
      <c r="A186" s="29">
        <v>40801.0</v>
      </c>
      <c r="B186" s="76" t="s">
        <v>192</v>
      </c>
      <c r="C186" s="77">
        <v>0.0</v>
      </c>
      <c r="D186" s="77">
        <v>18333.333333333332</v>
      </c>
    </row>
    <row r="187" ht="15.75" customHeight="1">
      <c r="A187" s="29">
        <v>40802.0</v>
      </c>
      <c r="B187" s="76" t="s">
        <v>193</v>
      </c>
      <c r="C187" s="77">
        <v>18333.333333333332</v>
      </c>
      <c r="D187" s="77">
        <v>53780.0</v>
      </c>
    </row>
    <row r="188" ht="15.75" customHeight="1">
      <c r="A188" s="29">
        <v>40901.0</v>
      </c>
      <c r="B188" s="76" t="s">
        <v>194</v>
      </c>
      <c r="C188" s="77">
        <v>10000.0</v>
      </c>
      <c r="D188" s="77">
        <v>86666.66666666667</v>
      </c>
    </row>
    <row r="189" ht="15.75" customHeight="1">
      <c r="A189" s="29">
        <v>40902.0</v>
      </c>
      <c r="B189" s="76" t="s">
        <v>195</v>
      </c>
      <c r="C189" s="77">
        <v>0.0</v>
      </c>
      <c r="D189" s="77">
        <v>9666.666666666666</v>
      </c>
    </row>
    <row r="190" ht="15.75" customHeight="1">
      <c r="A190" s="29">
        <v>40903.0</v>
      </c>
      <c r="B190" s="76" t="s">
        <v>196</v>
      </c>
      <c r="C190" s="77">
        <v>0.0</v>
      </c>
      <c r="D190" s="77">
        <v>4000.0</v>
      </c>
    </row>
    <row r="191" ht="15.75" customHeight="1">
      <c r="A191" s="29">
        <v>41001.0</v>
      </c>
      <c r="B191" s="76" t="s">
        <v>197</v>
      </c>
      <c r="C191" s="77">
        <v>10000.0</v>
      </c>
      <c r="D191" s="77">
        <v>50000.0</v>
      </c>
    </row>
    <row r="192" ht="15.75" customHeight="1">
      <c r="A192" s="29">
        <v>41101.0</v>
      </c>
      <c r="B192" s="76" t="s">
        <v>198</v>
      </c>
      <c r="C192" s="77">
        <v>10000.0</v>
      </c>
      <c r="D192" s="77">
        <v>106500.0</v>
      </c>
    </row>
    <row r="193" ht="15.75" customHeight="1">
      <c r="A193" s="29">
        <v>41201.0</v>
      </c>
      <c r="B193" s="76" t="s">
        <v>199</v>
      </c>
      <c r="C193" s="77">
        <v>0.0</v>
      </c>
      <c r="D193" s="77">
        <v>99333.33333333333</v>
      </c>
    </row>
    <row r="194" ht="15.75" customHeight="1">
      <c r="A194" s="29">
        <v>41202.0</v>
      </c>
      <c r="B194" s="76" t="s">
        <v>200</v>
      </c>
      <c r="C194" s="77">
        <v>6666.666666666667</v>
      </c>
      <c r="D194" s="77">
        <v>0.0</v>
      </c>
    </row>
    <row r="195" ht="15.75" customHeight="1">
      <c r="A195" s="29">
        <v>41301.0</v>
      </c>
      <c r="B195" s="76" t="s">
        <v>154</v>
      </c>
      <c r="C195" s="77">
        <v>0.0</v>
      </c>
      <c r="D195" s="77">
        <v>1666.6666666666667</v>
      </c>
    </row>
    <row r="196" ht="15.75" customHeight="1">
      <c r="A196" s="29">
        <v>41401.0</v>
      </c>
      <c r="B196" s="76" t="s">
        <v>201</v>
      </c>
      <c r="C196" s="77">
        <v>33333.333333333336</v>
      </c>
      <c r="D196" s="77">
        <v>206666.66666666666</v>
      </c>
    </row>
    <row r="197" ht="15.75" customHeight="1">
      <c r="A197" s="29">
        <v>41501.0</v>
      </c>
      <c r="B197" s="76" t="s">
        <v>202</v>
      </c>
      <c r="C197" s="77">
        <v>0.0</v>
      </c>
      <c r="D197" s="77">
        <v>0.0</v>
      </c>
    </row>
    <row r="198" ht="15.75" customHeight="1">
      <c r="A198" s="29">
        <v>41502.0</v>
      </c>
      <c r="B198" s="76" t="s">
        <v>203</v>
      </c>
      <c r="C198" s="77">
        <v>0.0</v>
      </c>
      <c r="D198" s="77">
        <v>6666.666666666667</v>
      </c>
    </row>
    <row r="199" ht="15.75" customHeight="1">
      <c r="A199" s="29">
        <v>41503.0</v>
      </c>
      <c r="B199" s="76" t="s">
        <v>204</v>
      </c>
      <c r="C199" s="77">
        <v>0.0</v>
      </c>
      <c r="D199" s="77">
        <v>5666.666666666667</v>
      </c>
    </row>
    <row r="200" ht="15.75" customHeight="1">
      <c r="A200" s="29">
        <v>41601.0</v>
      </c>
      <c r="B200" s="76" t="s">
        <v>205</v>
      </c>
      <c r="C200" s="77">
        <v>0.0</v>
      </c>
      <c r="D200" s="77">
        <v>13333.333333333334</v>
      </c>
    </row>
    <row r="201" ht="15.75" customHeight="1">
      <c r="A201" s="29">
        <v>50101.0</v>
      </c>
      <c r="B201" s="76" t="s">
        <v>206</v>
      </c>
      <c r="C201" s="77">
        <v>0.0</v>
      </c>
      <c r="D201" s="77">
        <v>6454178.666666667</v>
      </c>
    </row>
    <row r="202" ht="15.75" customHeight="1">
      <c r="A202" s="29">
        <v>50102.0</v>
      </c>
      <c r="B202" s="76" t="s">
        <v>207</v>
      </c>
      <c r="C202" s="77">
        <v>43333.333333333336</v>
      </c>
      <c r="D202" s="77">
        <v>18000.0</v>
      </c>
    </row>
    <row r="203" ht="15.75" customHeight="1">
      <c r="A203" s="29">
        <v>50103.0</v>
      </c>
      <c r="B203" s="76" t="s">
        <v>208</v>
      </c>
      <c r="C203" s="77">
        <v>10000.0</v>
      </c>
      <c r="D203" s="77">
        <v>6666.666666666667</v>
      </c>
    </row>
    <row r="204" ht="15.75" customHeight="1">
      <c r="A204" s="29">
        <v>50104.0</v>
      </c>
      <c r="B204" s="76" t="s">
        <v>209</v>
      </c>
      <c r="C204" s="77">
        <v>0.0</v>
      </c>
      <c r="D204" s="77">
        <v>3500.0</v>
      </c>
    </row>
    <row r="205" ht="15.75" customHeight="1">
      <c r="A205" s="29">
        <v>50201.0</v>
      </c>
      <c r="B205" s="76" t="s">
        <v>210</v>
      </c>
      <c r="C205" s="77">
        <v>5592.0</v>
      </c>
      <c r="D205" s="77">
        <v>204248.66666666666</v>
      </c>
    </row>
    <row r="206" ht="15.75" customHeight="1">
      <c r="A206" s="29">
        <v>50202.0</v>
      </c>
      <c r="B206" s="76" t="s">
        <v>211</v>
      </c>
      <c r="C206" s="77">
        <v>1666.6666666666667</v>
      </c>
      <c r="D206" s="77">
        <v>36666.666666666664</v>
      </c>
    </row>
    <row r="207" ht="15.75" customHeight="1">
      <c r="A207" s="29">
        <v>50203.0</v>
      </c>
      <c r="B207" s="76" t="s">
        <v>212</v>
      </c>
      <c r="C207" s="77">
        <v>0.0</v>
      </c>
      <c r="D207" s="77">
        <v>1014732.3333333334</v>
      </c>
    </row>
    <row r="208" ht="15.75" customHeight="1">
      <c r="A208" s="29">
        <v>50204.0</v>
      </c>
      <c r="B208" s="76" t="s">
        <v>213</v>
      </c>
      <c r="C208" s="77">
        <v>11166.666666666666</v>
      </c>
      <c r="D208" s="77">
        <v>11333.333333333334</v>
      </c>
    </row>
    <row r="209" ht="15.75" customHeight="1">
      <c r="A209" s="29">
        <v>50301.0</v>
      </c>
      <c r="B209" s="76" t="s">
        <v>214</v>
      </c>
      <c r="C209" s="77">
        <v>22133.333333333332</v>
      </c>
      <c r="D209" s="77">
        <v>731625.6666666666</v>
      </c>
    </row>
    <row r="210" ht="15.75" customHeight="1">
      <c r="A210" s="29">
        <v>50302.0</v>
      </c>
      <c r="B210" s="76" t="s">
        <v>215</v>
      </c>
      <c r="C210" s="77">
        <v>6666.333333333333</v>
      </c>
      <c r="D210" s="77">
        <v>8333.333333333334</v>
      </c>
    </row>
    <row r="211" ht="15.75" customHeight="1">
      <c r="A211" s="29">
        <v>50303.0</v>
      </c>
      <c r="B211" s="76" t="s">
        <v>216</v>
      </c>
      <c r="C211" s="77">
        <v>13333.333333333334</v>
      </c>
      <c r="D211" s="77">
        <v>63133.333333333336</v>
      </c>
    </row>
    <row r="212" ht="15.75" customHeight="1">
      <c r="A212" s="29">
        <v>50401.0</v>
      </c>
      <c r="B212" s="76" t="s">
        <v>217</v>
      </c>
      <c r="C212" s="77">
        <v>26666.666666666668</v>
      </c>
      <c r="D212" s="77">
        <v>125266.66666666667</v>
      </c>
    </row>
    <row r="213" ht="15.75" customHeight="1">
      <c r="A213" s="29">
        <v>50402.0</v>
      </c>
      <c r="B213" s="76" t="s">
        <v>218</v>
      </c>
      <c r="C213" s="77">
        <v>0.0</v>
      </c>
      <c r="D213" s="77">
        <v>50000.0</v>
      </c>
    </row>
    <row r="214" ht="15.75" customHeight="1">
      <c r="A214" s="29">
        <v>50403.0</v>
      </c>
      <c r="B214" s="76" t="s">
        <v>219</v>
      </c>
      <c r="C214" s="77">
        <v>0.0</v>
      </c>
      <c r="D214" s="77">
        <v>83333.33333333333</v>
      </c>
    </row>
    <row r="215" ht="15.75" customHeight="1">
      <c r="A215" s="29">
        <v>50404.0</v>
      </c>
      <c r="B215" s="76" t="s">
        <v>220</v>
      </c>
      <c r="C215" s="77">
        <v>6666.666666666667</v>
      </c>
      <c r="D215" s="77">
        <v>101667.0</v>
      </c>
    </row>
    <row r="216" ht="15.75" customHeight="1">
      <c r="A216" s="51">
        <v>50405.0</v>
      </c>
      <c r="B216" s="85" t="s">
        <v>221</v>
      </c>
      <c r="C216" s="77">
        <v>26666.666666666668</v>
      </c>
      <c r="D216" s="77">
        <v>15045.333333333334</v>
      </c>
    </row>
    <row r="217" ht="15.75" customHeight="1">
      <c r="A217" s="29">
        <v>50501.0</v>
      </c>
      <c r="B217" s="76" t="s">
        <v>222</v>
      </c>
      <c r="C217" s="77">
        <v>100000.0</v>
      </c>
      <c r="D217" s="77">
        <v>71145.0</v>
      </c>
    </row>
    <row r="218" ht="15.75" customHeight="1">
      <c r="A218" s="29">
        <v>50502.0</v>
      </c>
      <c r="B218" s="76" t="s">
        <v>223</v>
      </c>
      <c r="C218" s="77">
        <v>25333.333333333332</v>
      </c>
      <c r="D218" s="77">
        <v>105666.66666666667</v>
      </c>
    </row>
    <row r="219" ht="15.75" customHeight="1">
      <c r="A219" s="29">
        <v>50601.0</v>
      </c>
      <c r="B219" s="76" t="s">
        <v>224</v>
      </c>
      <c r="C219" s="77">
        <v>0.0</v>
      </c>
      <c r="D219" s="77">
        <v>0.0</v>
      </c>
    </row>
    <row r="220" ht="15.75" customHeight="1">
      <c r="A220" s="29">
        <v>50602.0</v>
      </c>
      <c r="B220" s="76" t="s">
        <v>225</v>
      </c>
      <c r="C220" s="77">
        <v>0.0</v>
      </c>
      <c r="D220" s="77">
        <v>27333.333333333332</v>
      </c>
    </row>
    <row r="221" ht="15.75" customHeight="1">
      <c r="A221" s="29">
        <v>50701.0</v>
      </c>
      <c r="B221" s="76" t="s">
        <v>226</v>
      </c>
      <c r="C221" s="77">
        <v>6197.666666666667</v>
      </c>
      <c r="D221" s="77">
        <v>46666.666666666664</v>
      </c>
    </row>
    <row r="222" ht="15.75" customHeight="1">
      <c r="A222" s="29">
        <v>50702.0</v>
      </c>
      <c r="B222" s="76" t="s">
        <v>227</v>
      </c>
      <c r="C222" s="77">
        <v>12270.0</v>
      </c>
      <c r="D222" s="77">
        <v>29383.333333333332</v>
      </c>
    </row>
    <row r="223" ht="15.75" customHeight="1">
      <c r="A223" s="29">
        <v>50801.0</v>
      </c>
      <c r="B223" s="76" t="s">
        <v>228</v>
      </c>
      <c r="C223" s="77">
        <v>479833.0</v>
      </c>
      <c r="D223" s="77">
        <v>2070870.0</v>
      </c>
    </row>
    <row r="224" ht="15.75" customHeight="1">
      <c r="A224" s="29">
        <v>50802.0</v>
      </c>
      <c r="B224" s="76" t="s">
        <v>229</v>
      </c>
      <c r="C224" s="77">
        <v>128356.33333333333</v>
      </c>
      <c r="D224" s="77">
        <v>373894.6666666667</v>
      </c>
    </row>
    <row r="225" ht="15.75" customHeight="1">
      <c r="A225" s="29">
        <v>50901.0</v>
      </c>
      <c r="B225" s="76" t="s">
        <v>230</v>
      </c>
      <c r="C225" s="77">
        <v>60333.333333333336</v>
      </c>
      <c r="D225" s="77">
        <v>2455390.6666666665</v>
      </c>
    </row>
    <row r="226" ht="15.75" customHeight="1">
      <c r="A226" s="29">
        <v>50902.0</v>
      </c>
      <c r="B226" s="76" t="s">
        <v>231</v>
      </c>
      <c r="C226" s="77">
        <v>0.0</v>
      </c>
      <c r="D226" s="77">
        <v>0.0</v>
      </c>
    </row>
    <row r="227" ht="15.75" customHeight="1">
      <c r="A227" s="29">
        <v>51001.0</v>
      </c>
      <c r="B227" s="76" t="s">
        <v>232</v>
      </c>
      <c r="C227" s="77">
        <v>0.0</v>
      </c>
      <c r="D227" s="77">
        <v>9666.666666666666</v>
      </c>
    </row>
    <row r="228" ht="15.75" customHeight="1">
      <c r="A228" s="29">
        <v>51002.0</v>
      </c>
      <c r="B228" s="76" t="s">
        <v>233</v>
      </c>
      <c r="C228" s="77">
        <v>0.0</v>
      </c>
      <c r="D228" s="77">
        <v>1833.3333333333333</v>
      </c>
    </row>
    <row r="229" ht="15.75" customHeight="1">
      <c r="A229" s="29">
        <v>51003.0</v>
      </c>
      <c r="B229" s="76" t="s">
        <v>234</v>
      </c>
      <c r="C229" s="77">
        <v>0.0</v>
      </c>
      <c r="D229" s="77">
        <v>0.0</v>
      </c>
    </row>
    <row r="230" ht="15.75" customHeight="1">
      <c r="A230" s="29">
        <v>51101.0</v>
      </c>
      <c r="B230" s="76" t="s">
        <v>235</v>
      </c>
      <c r="C230" s="77">
        <v>6666.666666666667</v>
      </c>
      <c r="D230" s="77">
        <v>28780.666666666668</v>
      </c>
    </row>
    <row r="231" ht="15.75" customHeight="1">
      <c r="A231" s="29">
        <v>51102.0</v>
      </c>
      <c r="B231" s="76" t="s">
        <v>236</v>
      </c>
      <c r="C231" s="77">
        <v>12333.333333333334</v>
      </c>
      <c r="D231" s="77">
        <v>34166.666666666664</v>
      </c>
    </row>
    <row r="232" ht="15.75" customHeight="1">
      <c r="A232" s="29">
        <v>51103.0</v>
      </c>
      <c r="B232" s="76" t="s">
        <v>237</v>
      </c>
      <c r="C232" s="77">
        <v>17853.333333333332</v>
      </c>
      <c r="D232" s="77">
        <v>0.0</v>
      </c>
    </row>
    <row r="233" ht="15.75" customHeight="1">
      <c r="A233" s="29">
        <v>51201.0</v>
      </c>
      <c r="B233" s="76" t="s">
        <v>238</v>
      </c>
      <c r="C233" s="77">
        <v>186666.66666666666</v>
      </c>
      <c r="D233" s="77">
        <v>1243710.3333333333</v>
      </c>
    </row>
    <row r="234" ht="15.75" customHeight="1">
      <c r="A234" s="29">
        <v>51202.0</v>
      </c>
      <c r="B234" s="76" t="s">
        <v>239</v>
      </c>
      <c r="C234" s="77">
        <v>12333.333333333334</v>
      </c>
      <c r="D234" s="77">
        <v>45653.333333333336</v>
      </c>
    </row>
    <row r="235" ht="15.75" customHeight="1">
      <c r="A235" s="29">
        <v>51203.0</v>
      </c>
      <c r="B235" s="76" t="s">
        <v>240</v>
      </c>
      <c r="C235" s="77">
        <v>47466.666666666664</v>
      </c>
      <c r="D235" s="77">
        <v>97000.0</v>
      </c>
    </row>
    <row r="236" ht="15.75" customHeight="1">
      <c r="A236" s="29">
        <v>51204.0</v>
      </c>
      <c r="B236" s="76" t="s">
        <v>241</v>
      </c>
      <c r="C236" s="77">
        <v>0.0</v>
      </c>
      <c r="D236" s="77">
        <v>2666.6666666666665</v>
      </c>
    </row>
    <row r="237" ht="15.75" customHeight="1">
      <c r="A237" s="29">
        <v>51301.0</v>
      </c>
      <c r="B237" s="76" t="s">
        <v>242</v>
      </c>
      <c r="C237" s="77">
        <v>11333.333333333334</v>
      </c>
      <c r="D237" s="77">
        <v>8333.333333333334</v>
      </c>
    </row>
    <row r="238" ht="15.75" customHeight="1">
      <c r="A238" s="29">
        <v>51302.0</v>
      </c>
      <c r="B238" s="76" t="s">
        <v>243</v>
      </c>
      <c r="C238" s="77">
        <v>30000.0</v>
      </c>
      <c r="D238" s="77">
        <v>60042.666666666664</v>
      </c>
    </row>
    <row r="239" ht="15.75" customHeight="1">
      <c r="A239" s="29">
        <v>51401.0</v>
      </c>
      <c r="B239" s="76" t="s">
        <v>244</v>
      </c>
      <c r="C239" s="77">
        <v>22836.666666666668</v>
      </c>
      <c r="D239" s="77">
        <v>97264.66666666667</v>
      </c>
    </row>
    <row r="240" ht="15.75" customHeight="1">
      <c r="A240" s="29">
        <v>51402.0</v>
      </c>
      <c r="B240" s="76" t="s">
        <v>245</v>
      </c>
      <c r="C240" s="77">
        <v>1000.0</v>
      </c>
      <c r="D240" s="77">
        <v>0.0</v>
      </c>
    </row>
    <row r="241" ht="15.75" customHeight="1">
      <c r="A241" s="29">
        <v>51501.0</v>
      </c>
      <c r="B241" s="76" t="s">
        <v>246</v>
      </c>
      <c r="C241" s="77">
        <v>566666.6666666666</v>
      </c>
      <c r="D241" s="77">
        <v>2928160.6666666665</v>
      </c>
    </row>
    <row r="242" ht="15.75" customHeight="1">
      <c r="A242" s="29">
        <v>51601.0</v>
      </c>
      <c r="B242" s="76" t="s">
        <v>247</v>
      </c>
      <c r="C242" s="77">
        <v>0.0</v>
      </c>
      <c r="D242" s="77">
        <v>0.0</v>
      </c>
    </row>
    <row r="243" ht="15.75" customHeight="1">
      <c r="A243" s="29">
        <v>60101.0</v>
      </c>
      <c r="B243" s="76" t="s">
        <v>248</v>
      </c>
      <c r="C243" s="77">
        <v>8442597.666666666</v>
      </c>
      <c r="D243" s="77">
        <v>2.3710012333333332E7</v>
      </c>
    </row>
    <row r="244" ht="15.75" customHeight="1">
      <c r="A244" s="29">
        <v>60201.0</v>
      </c>
      <c r="B244" s="76" t="s">
        <v>249</v>
      </c>
      <c r="C244" s="77">
        <v>150933.33333333334</v>
      </c>
      <c r="D244" s="77">
        <v>149210.66666666666</v>
      </c>
    </row>
    <row r="245" ht="15.75" customHeight="1">
      <c r="A245" s="29">
        <v>60202.0</v>
      </c>
      <c r="B245" s="76" t="s">
        <v>250</v>
      </c>
      <c r="C245" s="77">
        <v>571752.3333333334</v>
      </c>
      <c r="D245" s="77">
        <v>1691073.0</v>
      </c>
    </row>
    <row r="246" ht="15.75" customHeight="1">
      <c r="A246" s="29">
        <v>60301.0</v>
      </c>
      <c r="B246" s="76" t="s">
        <v>251</v>
      </c>
      <c r="C246" s="77">
        <v>3194833.3333333335</v>
      </c>
      <c r="D246" s="77">
        <v>7221000.333333333</v>
      </c>
    </row>
    <row r="247" ht="15.75" customHeight="1">
      <c r="A247" s="29">
        <v>60302.0</v>
      </c>
      <c r="B247" s="76" t="s">
        <v>252</v>
      </c>
      <c r="C247" s="77">
        <v>682933.3333333334</v>
      </c>
      <c r="D247" s="77">
        <v>959236.6666666666</v>
      </c>
    </row>
    <row r="248" ht="15.75" customHeight="1">
      <c r="A248" s="29">
        <v>60303.0</v>
      </c>
      <c r="B248" s="76" t="s">
        <v>253</v>
      </c>
      <c r="C248" s="77">
        <v>498666.6666666667</v>
      </c>
      <c r="D248" s="77">
        <v>3139450.0</v>
      </c>
    </row>
    <row r="249" ht="15.75" customHeight="1">
      <c r="A249" s="29">
        <v>60401.0</v>
      </c>
      <c r="B249" s="76" t="s">
        <v>254</v>
      </c>
      <c r="C249" s="77">
        <v>102785.0</v>
      </c>
      <c r="D249" s="77">
        <v>226280.33333333334</v>
      </c>
    </row>
    <row r="250" ht="15.75" customHeight="1">
      <c r="A250" s="29">
        <v>60402.0</v>
      </c>
      <c r="B250" s="76" t="s">
        <v>255</v>
      </c>
      <c r="C250" s="77">
        <v>32666.666666666668</v>
      </c>
      <c r="D250" s="77">
        <v>13938.666666666666</v>
      </c>
    </row>
    <row r="251" ht="15.75" customHeight="1">
      <c r="A251" s="29">
        <v>60501.0</v>
      </c>
      <c r="B251" s="76" t="s">
        <v>256</v>
      </c>
      <c r="C251" s="77">
        <v>310917.6666666667</v>
      </c>
      <c r="D251" s="77">
        <v>302097.0</v>
      </c>
    </row>
    <row r="252" ht="15.75" customHeight="1">
      <c r="A252" s="29">
        <v>60502.0</v>
      </c>
      <c r="B252" s="76" t="s">
        <v>257</v>
      </c>
      <c r="C252" s="77">
        <v>34333.333333333336</v>
      </c>
      <c r="D252" s="77">
        <v>76334.66666666667</v>
      </c>
    </row>
    <row r="253" ht="15.75" customHeight="1">
      <c r="A253" s="29">
        <v>60601.0</v>
      </c>
      <c r="B253" s="76" t="s">
        <v>159</v>
      </c>
      <c r="C253" s="77">
        <v>210228.0</v>
      </c>
      <c r="D253" s="77">
        <v>281639.3333333333</v>
      </c>
    </row>
    <row r="254" ht="15.75" customHeight="1">
      <c r="A254" s="29">
        <v>70101.0</v>
      </c>
      <c r="B254" s="76" t="s">
        <v>258</v>
      </c>
      <c r="C254" s="77">
        <v>1.0390630966666667E8</v>
      </c>
      <c r="D254" s="77">
        <v>3.08774217E8</v>
      </c>
    </row>
    <row r="255" ht="15.75" customHeight="1">
      <c r="A255" s="29">
        <v>70102.0</v>
      </c>
      <c r="B255" s="76" t="s">
        <v>259</v>
      </c>
      <c r="C255" s="77">
        <v>1593441.6666666667</v>
      </c>
      <c r="D255" s="77">
        <v>4214966.666666667</v>
      </c>
    </row>
    <row r="256" ht="15.75" customHeight="1">
      <c r="A256" s="29">
        <v>70103.0</v>
      </c>
      <c r="B256" s="76" t="s">
        <v>260</v>
      </c>
      <c r="C256" s="77">
        <v>179715.33333333334</v>
      </c>
      <c r="D256" s="77">
        <v>2496602.6666666665</v>
      </c>
    </row>
    <row r="257" ht="15.75" customHeight="1">
      <c r="A257" s="29">
        <v>70104.0</v>
      </c>
      <c r="B257" s="76" t="s">
        <v>261</v>
      </c>
      <c r="C257" s="77">
        <v>2458666.6666666665</v>
      </c>
      <c r="D257" s="77">
        <v>5292925.333333333</v>
      </c>
    </row>
    <row r="258" ht="15.75" customHeight="1">
      <c r="A258" s="29">
        <v>70105.0</v>
      </c>
      <c r="B258" s="76" t="s">
        <v>262</v>
      </c>
      <c r="C258" s="77">
        <v>622344.0</v>
      </c>
      <c r="D258" s="77">
        <v>1464130.6666666667</v>
      </c>
    </row>
    <row r="259" ht="15.75" customHeight="1">
      <c r="A259" s="29">
        <v>70201.0</v>
      </c>
      <c r="B259" s="76" t="s">
        <v>263</v>
      </c>
      <c r="C259" s="77">
        <v>1716333.3333333333</v>
      </c>
      <c r="D259" s="77">
        <v>1.39082E7</v>
      </c>
    </row>
    <row r="260" ht="15.75" customHeight="1">
      <c r="A260" s="29">
        <v>70202.0</v>
      </c>
      <c r="B260" s="76" t="s">
        <v>264</v>
      </c>
      <c r="C260" s="77">
        <v>95333.33333333333</v>
      </c>
      <c r="D260" s="77">
        <v>552864.6666666666</v>
      </c>
    </row>
    <row r="261" ht="15.75" customHeight="1">
      <c r="A261" s="29">
        <v>70301.0</v>
      </c>
      <c r="B261" s="76" t="s">
        <v>265</v>
      </c>
      <c r="C261" s="77">
        <v>666666.6666666666</v>
      </c>
      <c r="D261" s="77">
        <v>2395037.0</v>
      </c>
    </row>
    <row r="262" ht="15.75" customHeight="1">
      <c r="A262" s="29">
        <v>70302.0</v>
      </c>
      <c r="B262" s="76" t="s">
        <v>266</v>
      </c>
      <c r="C262" s="77">
        <v>51000.0</v>
      </c>
      <c r="D262" s="77">
        <v>126223.33333333333</v>
      </c>
    </row>
    <row r="263" ht="15.75" customHeight="1">
      <c r="A263" s="29">
        <v>70303.0</v>
      </c>
      <c r="B263" s="76" t="s">
        <v>267</v>
      </c>
      <c r="C263" s="77">
        <v>6666.666666666667</v>
      </c>
      <c r="D263" s="77">
        <v>41940.666666666664</v>
      </c>
    </row>
    <row r="264" ht="15.75" customHeight="1">
      <c r="A264" s="29">
        <v>70401.0</v>
      </c>
      <c r="B264" s="76" t="s">
        <v>268</v>
      </c>
      <c r="C264" s="77">
        <v>124633.33333333333</v>
      </c>
      <c r="D264" s="77">
        <v>173033.33333333334</v>
      </c>
    </row>
    <row r="265" ht="15.75" customHeight="1">
      <c r="A265" s="29">
        <v>70402.0</v>
      </c>
      <c r="B265" s="76" t="s">
        <v>269</v>
      </c>
      <c r="C265" s="77">
        <v>64805.666666666664</v>
      </c>
      <c r="D265" s="77">
        <v>400000.0</v>
      </c>
    </row>
    <row r="266" ht="15.75" customHeight="1">
      <c r="A266" s="29">
        <v>70403.0</v>
      </c>
      <c r="B266" s="76" t="s">
        <v>270</v>
      </c>
      <c r="C266" s="77">
        <v>331214.0</v>
      </c>
      <c r="D266" s="77">
        <v>3647379.0</v>
      </c>
    </row>
    <row r="267" ht="15.75" customHeight="1">
      <c r="A267" s="29">
        <v>70404.0</v>
      </c>
      <c r="B267" s="76" t="s">
        <v>271</v>
      </c>
      <c r="C267" s="77">
        <v>60000.0</v>
      </c>
      <c r="D267" s="77">
        <v>397354.0</v>
      </c>
    </row>
    <row r="268" ht="15.75" customHeight="1">
      <c r="A268" s="29">
        <v>70501.0</v>
      </c>
      <c r="B268" s="76" t="s">
        <v>272</v>
      </c>
      <c r="C268" s="77">
        <v>426666.6666666667</v>
      </c>
      <c r="D268" s="77">
        <v>548426.3333333334</v>
      </c>
    </row>
    <row r="269" ht="15.75" customHeight="1">
      <c r="A269" s="29">
        <v>70502.0</v>
      </c>
      <c r="B269" s="76" t="s">
        <v>273</v>
      </c>
      <c r="C269" s="77">
        <v>174283.33333333334</v>
      </c>
      <c r="D269" s="77">
        <v>899458.3333333334</v>
      </c>
    </row>
    <row r="270" ht="15.75" customHeight="1">
      <c r="A270" s="29">
        <v>70503.0</v>
      </c>
      <c r="B270" s="76" t="s">
        <v>274</v>
      </c>
      <c r="C270" s="77">
        <v>305333.3333333333</v>
      </c>
      <c r="D270" s="77">
        <v>271833.3333333333</v>
      </c>
    </row>
    <row r="271" ht="15.75" customHeight="1">
      <c r="A271" s="29">
        <v>70601.0</v>
      </c>
      <c r="B271" s="76" t="s">
        <v>275</v>
      </c>
      <c r="C271" s="77">
        <v>365666.6666666667</v>
      </c>
      <c r="D271" s="77">
        <v>973333.6666666666</v>
      </c>
    </row>
    <row r="272" ht="15.75" customHeight="1">
      <c r="A272" s="29">
        <v>70602.0</v>
      </c>
      <c r="B272" s="76" t="s">
        <v>276</v>
      </c>
      <c r="C272" s="77">
        <v>71806.0</v>
      </c>
      <c r="D272" s="77">
        <v>70000.0</v>
      </c>
    </row>
    <row r="273" ht="15.75" customHeight="1">
      <c r="A273" s="29">
        <v>70603.0</v>
      </c>
      <c r="B273" s="76" t="s">
        <v>277</v>
      </c>
      <c r="C273" s="77">
        <v>120000.0</v>
      </c>
      <c r="D273" s="77">
        <v>664333.3333333334</v>
      </c>
    </row>
    <row r="274" ht="15.75" customHeight="1">
      <c r="A274" s="29">
        <v>70701.0</v>
      </c>
      <c r="B274" s="76" t="s">
        <v>278</v>
      </c>
      <c r="C274" s="77">
        <v>26666.666666666668</v>
      </c>
      <c r="D274" s="77">
        <v>30000.0</v>
      </c>
    </row>
    <row r="275" ht="15.75" customHeight="1">
      <c r="A275" s="29">
        <v>70702.0</v>
      </c>
      <c r="B275" s="76" t="s">
        <v>279</v>
      </c>
      <c r="C275" s="77">
        <v>0.0</v>
      </c>
      <c r="D275" s="77">
        <v>80269.33333333333</v>
      </c>
    </row>
    <row r="276" ht="15.75" customHeight="1">
      <c r="A276" s="29">
        <v>70703.0</v>
      </c>
      <c r="B276" s="76" t="s">
        <v>280</v>
      </c>
      <c r="C276" s="77">
        <v>66666.66666666667</v>
      </c>
      <c r="D276" s="77">
        <v>122886.0</v>
      </c>
    </row>
    <row r="277" ht="15.75" customHeight="1">
      <c r="A277" s="29">
        <v>70704.0</v>
      </c>
      <c r="B277" s="76" t="s">
        <v>281</v>
      </c>
      <c r="C277" s="77">
        <v>17801.333333333332</v>
      </c>
      <c r="D277" s="77">
        <v>41666.666666666664</v>
      </c>
    </row>
    <row r="278" ht="15.75" customHeight="1">
      <c r="A278" s="29">
        <v>70705.0</v>
      </c>
      <c r="B278" s="76" t="s">
        <v>282</v>
      </c>
      <c r="C278" s="77">
        <v>3333.3333333333335</v>
      </c>
      <c r="D278" s="77">
        <v>5000.0</v>
      </c>
    </row>
    <row r="279" ht="15.75" customHeight="1">
      <c r="A279" s="29">
        <v>70706.0</v>
      </c>
      <c r="B279" s="76" t="s">
        <v>283</v>
      </c>
      <c r="C279" s="77">
        <v>1600000.0</v>
      </c>
      <c r="D279" s="77">
        <v>2929683.3333333335</v>
      </c>
    </row>
    <row r="280" ht="15.75" customHeight="1">
      <c r="A280" s="29">
        <v>70707.0</v>
      </c>
      <c r="B280" s="76" t="s">
        <v>284</v>
      </c>
      <c r="C280" s="77">
        <v>45000.0</v>
      </c>
      <c r="D280" s="77">
        <v>50000.0</v>
      </c>
    </row>
    <row r="281" ht="15.75" customHeight="1">
      <c r="A281" s="29">
        <v>70801.0</v>
      </c>
      <c r="B281" s="76" t="s">
        <v>285</v>
      </c>
      <c r="C281" s="77">
        <v>416000.0</v>
      </c>
      <c r="D281" s="77">
        <v>750000.0</v>
      </c>
    </row>
    <row r="282" ht="15.75" customHeight="1">
      <c r="A282" s="29">
        <v>70802.0</v>
      </c>
      <c r="B282" s="76" t="s">
        <v>286</v>
      </c>
      <c r="C282" s="77">
        <v>2000.0</v>
      </c>
      <c r="D282" s="77">
        <v>15000.0</v>
      </c>
    </row>
    <row r="283" ht="15.75" customHeight="1">
      <c r="A283" s="29">
        <v>70803.0</v>
      </c>
      <c r="B283" s="76" t="s">
        <v>287</v>
      </c>
      <c r="C283" s="77">
        <v>22233.333333333332</v>
      </c>
      <c r="D283" s="77">
        <v>23247.0</v>
      </c>
    </row>
    <row r="284" ht="15.75" customHeight="1">
      <c r="A284" s="29">
        <v>70804.0</v>
      </c>
      <c r="B284" s="76" t="s">
        <v>288</v>
      </c>
      <c r="C284" s="77">
        <v>12333.333333333334</v>
      </c>
      <c r="D284" s="77">
        <v>10000.0</v>
      </c>
    </row>
    <row r="285" ht="15.75" customHeight="1">
      <c r="A285" s="29">
        <v>70805.0</v>
      </c>
      <c r="B285" s="76" t="s">
        <v>289</v>
      </c>
      <c r="C285" s="77">
        <v>10000.0</v>
      </c>
      <c r="D285" s="77">
        <v>45000.0</v>
      </c>
    </row>
    <row r="286" ht="15.75" customHeight="1">
      <c r="A286" s="29">
        <v>70901.0</v>
      </c>
      <c r="B286" s="76" t="s">
        <v>290</v>
      </c>
      <c r="C286" s="77">
        <v>50000.0</v>
      </c>
      <c r="D286" s="77">
        <v>634302.6666666666</v>
      </c>
    </row>
    <row r="287" ht="15.75" customHeight="1">
      <c r="A287" s="29">
        <v>70902.0</v>
      </c>
      <c r="B287" s="76" t="s">
        <v>291</v>
      </c>
      <c r="C287" s="77">
        <v>23666.666666666668</v>
      </c>
      <c r="D287" s="77">
        <v>114400.0</v>
      </c>
    </row>
    <row r="288" ht="15.75" customHeight="1">
      <c r="A288" s="29">
        <v>70903.0</v>
      </c>
      <c r="B288" s="76" t="s">
        <v>292</v>
      </c>
      <c r="C288" s="77">
        <v>80000.0</v>
      </c>
      <c r="D288" s="77">
        <v>273458.0</v>
      </c>
    </row>
    <row r="289" ht="15.75" customHeight="1">
      <c r="A289" s="29">
        <v>70904.0</v>
      </c>
      <c r="B289" s="76" t="s">
        <v>293</v>
      </c>
      <c r="C289" s="77">
        <v>12666.666666666666</v>
      </c>
      <c r="D289" s="77">
        <v>51066.666666666664</v>
      </c>
    </row>
    <row r="290" ht="15.75" customHeight="1">
      <c r="A290" s="29">
        <v>71001.0</v>
      </c>
      <c r="B290" s="76" t="s">
        <v>294</v>
      </c>
      <c r="C290" s="77">
        <v>4354306.666666667</v>
      </c>
      <c r="D290" s="77">
        <v>1.0589406333333334E7</v>
      </c>
    </row>
    <row r="291" ht="15.75" customHeight="1">
      <c r="A291" s="29">
        <v>71002.0</v>
      </c>
      <c r="B291" s="76" t="s">
        <v>295</v>
      </c>
      <c r="C291" s="77">
        <v>91666.66666666667</v>
      </c>
      <c r="D291" s="77">
        <v>243347.66666666666</v>
      </c>
    </row>
    <row r="292" ht="15.75" customHeight="1">
      <c r="A292" s="29">
        <v>71003.0</v>
      </c>
      <c r="B292" s="76" t="s">
        <v>296</v>
      </c>
      <c r="C292" s="77">
        <v>171543.33333333334</v>
      </c>
      <c r="D292" s="77">
        <v>1094856.3333333333</v>
      </c>
    </row>
    <row r="293" ht="15.75" customHeight="1">
      <c r="A293" s="29">
        <v>71004.0</v>
      </c>
      <c r="B293" s="76" t="s">
        <v>297</v>
      </c>
      <c r="C293" s="77">
        <v>66046.66666666667</v>
      </c>
      <c r="D293" s="77">
        <v>348600.0</v>
      </c>
    </row>
    <row r="294" ht="15.75" customHeight="1">
      <c r="A294" s="29">
        <v>71005.0</v>
      </c>
      <c r="B294" s="76" t="s">
        <v>222</v>
      </c>
      <c r="C294" s="77">
        <v>13000.0</v>
      </c>
      <c r="D294" s="77">
        <v>65783.33333333333</v>
      </c>
    </row>
    <row r="295" ht="15.75" customHeight="1">
      <c r="A295" s="29">
        <v>71101.0</v>
      </c>
      <c r="B295" s="76" t="s">
        <v>298</v>
      </c>
      <c r="C295" s="77">
        <v>200538.0</v>
      </c>
      <c r="D295" s="77">
        <v>953824.0</v>
      </c>
    </row>
    <row r="296" ht="15.75" customHeight="1">
      <c r="A296" s="29">
        <v>71102.0</v>
      </c>
      <c r="B296" s="76" t="s">
        <v>299</v>
      </c>
      <c r="C296" s="77">
        <v>106666.66666666667</v>
      </c>
      <c r="D296" s="77">
        <v>531500.0</v>
      </c>
    </row>
    <row r="297" ht="15.75" customHeight="1">
      <c r="A297" s="29">
        <v>71103.0</v>
      </c>
      <c r="B297" s="76" t="s">
        <v>300</v>
      </c>
      <c r="C297" s="77">
        <v>89133.33333333333</v>
      </c>
      <c r="D297" s="77">
        <v>175298.66666666666</v>
      </c>
    </row>
    <row r="298" ht="15.75" customHeight="1">
      <c r="A298" s="29">
        <v>71104.0</v>
      </c>
      <c r="B298" s="76" t="s">
        <v>301</v>
      </c>
      <c r="C298" s="77">
        <v>216943.33333333334</v>
      </c>
      <c r="D298" s="77">
        <v>514801.6666666667</v>
      </c>
    </row>
    <row r="299" ht="15.75" customHeight="1">
      <c r="A299" s="29">
        <v>71105.0</v>
      </c>
      <c r="B299" s="76" t="s">
        <v>302</v>
      </c>
      <c r="C299" s="77">
        <v>7666.666666666667</v>
      </c>
      <c r="D299" s="77">
        <v>48333.333333333336</v>
      </c>
    </row>
    <row r="300" ht="15.75" customHeight="1">
      <c r="A300" s="29">
        <v>71106.0</v>
      </c>
      <c r="B300" s="76" t="s">
        <v>303</v>
      </c>
      <c r="C300" s="77">
        <v>53500.0</v>
      </c>
      <c r="D300" s="77">
        <v>243606.66666666666</v>
      </c>
    </row>
    <row r="301" ht="15.75" customHeight="1">
      <c r="A301" s="29">
        <v>71201.0</v>
      </c>
      <c r="B301" s="76" t="s">
        <v>304</v>
      </c>
      <c r="C301" s="77">
        <v>33333.333333333336</v>
      </c>
      <c r="D301" s="77">
        <v>226416.0</v>
      </c>
    </row>
    <row r="302" ht="15.75" customHeight="1">
      <c r="A302" s="29">
        <v>71301.0</v>
      </c>
      <c r="B302" s="76" t="s">
        <v>305</v>
      </c>
      <c r="C302" s="77">
        <v>105000.0</v>
      </c>
      <c r="D302" s="77">
        <v>476786.6666666667</v>
      </c>
    </row>
    <row r="303" ht="15.75" customHeight="1">
      <c r="A303" s="29">
        <v>71302.0</v>
      </c>
      <c r="B303" s="76" t="s">
        <v>306</v>
      </c>
      <c r="C303" s="77">
        <v>22646.333333333332</v>
      </c>
      <c r="D303" s="77">
        <v>65000.0</v>
      </c>
    </row>
    <row r="304" ht="15.75" customHeight="1">
      <c r="A304" s="29">
        <v>71401.0</v>
      </c>
      <c r="B304" s="76" t="s">
        <v>307</v>
      </c>
      <c r="C304" s="77">
        <v>243292.33333333334</v>
      </c>
      <c r="D304" s="77">
        <v>879333.6666666666</v>
      </c>
    </row>
    <row r="305" ht="15.75" customHeight="1">
      <c r="A305" s="29">
        <v>71402.0</v>
      </c>
      <c r="B305" s="76" t="s">
        <v>308</v>
      </c>
      <c r="C305" s="77">
        <v>313333.3333333333</v>
      </c>
      <c r="D305" s="77">
        <v>676666.6666666666</v>
      </c>
    </row>
    <row r="306" ht="15.75" customHeight="1">
      <c r="A306" s="29">
        <v>71403.0</v>
      </c>
      <c r="B306" s="76" t="s">
        <v>309</v>
      </c>
      <c r="C306" s="77">
        <v>91666.66666666667</v>
      </c>
      <c r="D306" s="77">
        <v>11666.666666666666</v>
      </c>
    </row>
    <row r="307" ht="15.75" customHeight="1">
      <c r="A307" s="29">
        <v>71501.0</v>
      </c>
      <c r="B307" s="76" t="s">
        <v>310</v>
      </c>
      <c r="C307" s="77">
        <v>115000.0</v>
      </c>
      <c r="D307" s="77">
        <v>672933.3333333334</v>
      </c>
    </row>
    <row r="308" ht="15.75" customHeight="1">
      <c r="A308" s="29">
        <v>71502.0</v>
      </c>
      <c r="B308" s="76" t="s">
        <v>311</v>
      </c>
      <c r="C308" s="77">
        <v>144564.66666666666</v>
      </c>
      <c r="D308" s="77">
        <v>316310.6666666667</v>
      </c>
    </row>
    <row r="309" ht="15.75" customHeight="1">
      <c r="A309" s="29">
        <v>71503.0</v>
      </c>
      <c r="B309" s="76" t="s">
        <v>257</v>
      </c>
      <c r="C309" s="77">
        <v>30733.333333333332</v>
      </c>
      <c r="D309" s="77">
        <v>165166.66666666666</v>
      </c>
    </row>
    <row r="310" ht="15.75" customHeight="1">
      <c r="A310" s="29">
        <v>80101.0</v>
      </c>
      <c r="B310" s="76" t="s">
        <v>312</v>
      </c>
      <c r="C310" s="77">
        <v>5246642.666666667</v>
      </c>
      <c r="D310" s="77">
        <v>9665134.666666666</v>
      </c>
    </row>
    <row r="311" ht="15.75" customHeight="1">
      <c r="A311" s="29">
        <v>80102.0</v>
      </c>
      <c r="B311" s="76" t="s">
        <v>299</v>
      </c>
      <c r="C311" s="77">
        <v>11333.333333333334</v>
      </c>
      <c r="D311" s="77">
        <v>40000.0</v>
      </c>
    </row>
    <row r="312" ht="15.75" customHeight="1">
      <c r="A312" s="29">
        <v>80201.0</v>
      </c>
      <c r="B312" s="76" t="s">
        <v>313</v>
      </c>
      <c r="C312" s="77">
        <v>1947982.6666666667</v>
      </c>
      <c r="D312" s="77">
        <v>5138772.666666667</v>
      </c>
    </row>
    <row r="313" ht="15.75" customHeight="1">
      <c r="A313" s="29">
        <v>80202.0</v>
      </c>
      <c r="B313" s="76" t="s">
        <v>314</v>
      </c>
      <c r="C313" s="77">
        <v>1213046.6666666667</v>
      </c>
      <c r="D313" s="77">
        <v>1533333.3333333333</v>
      </c>
    </row>
    <row r="314" ht="15.75" customHeight="1">
      <c r="A314" s="29">
        <v>80301.0</v>
      </c>
      <c r="B314" s="76" t="s">
        <v>315</v>
      </c>
      <c r="C314" s="77">
        <v>66666.66666666667</v>
      </c>
      <c r="D314" s="77">
        <v>148677.66666666666</v>
      </c>
    </row>
    <row r="315" ht="15.75" customHeight="1">
      <c r="A315" s="29">
        <v>80302.0</v>
      </c>
      <c r="B315" s="76" t="s">
        <v>316</v>
      </c>
      <c r="C315" s="77">
        <v>405853.3333333333</v>
      </c>
      <c r="D315" s="77">
        <v>2221563.0</v>
      </c>
    </row>
    <row r="316" ht="15.75" customHeight="1">
      <c r="A316" s="29">
        <v>80303.0</v>
      </c>
      <c r="B316" s="76" t="s">
        <v>276</v>
      </c>
      <c r="C316" s="77">
        <v>206528.33333333334</v>
      </c>
      <c r="D316" s="77">
        <v>258066.66666666666</v>
      </c>
    </row>
    <row r="317" ht="15.75" customHeight="1">
      <c r="A317" s="29">
        <v>80304.0</v>
      </c>
      <c r="B317" s="76" t="s">
        <v>317</v>
      </c>
      <c r="C317" s="77">
        <v>233333.33333333334</v>
      </c>
      <c r="D317" s="77">
        <v>938299.0</v>
      </c>
    </row>
    <row r="318" ht="15.75" customHeight="1">
      <c r="A318" s="29">
        <v>80401.0</v>
      </c>
      <c r="B318" s="76" t="s">
        <v>318</v>
      </c>
      <c r="C318" s="77">
        <v>416666.6666666667</v>
      </c>
      <c r="D318" s="77">
        <v>453359.3333333333</v>
      </c>
    </row>
    <row r="319" ht="15.75" customHeight="1">
      <c r="A319" s="29">
        <v>80402.0</v>
      </c>
      <c r="B319" s="76" t="s">
        <v>319</v>
      </c>
      <c r="C319" s="77">
        <v>34166.666666666664</v>
      </c>
      <c r="D319" s="77">
        <v>66666.66666666667</v>
      </c>
    </row>
    <row r="320" ht="15.75" customHeight="1">
      <c r="A320" s="29">
        <v>80501.0</v>
      </c>
      <c r="B320" s="76" t="s">
        <v>265</v>
      </c>
      <c r="C320" s="77">
        <v>87269.66666666667</v>
      </c>
      <c r="D320" s="77">
        <v>319770.0</v>
      </c>
    </row>
    <row r="321" ht="15.75" customHeight="1">
      <c r="A321" s="29">
        <v>80601.0</v>
      </c>
      <c r="B321" s="76" t="s">
        <v>320</v>
      </c>
      <c r="C321" s="77">
        <v>0.0</v>
      </c>
      <c r="D321" s="77">
        <v>0.0</v>
      </c>
    </row>
    <row r="322" ht="15.75" customHeight="1">
      <c r="A322" s="29">
        <v>80602.0</v>
      </c>
      <c r="B322" s="76" t="s">
        <v>321</v>
      </c>
      <c r="C322" s="77">
        <v>0.0</v>
      </c>
      <c r="D322" s="77">
        <v>0.0</v>
      </c>
    </row>
    <row r="323" ht="15.75" customHeight="1">
      <c r="A323" s="29">
        <v>80701.0</v>
      </c>
      <c r="B323" s="76" t="s">
        <v>322</v>
      </c>
      <c r="C323" s="77">
        <v>306666.6666666667</v>
      </c>
      <c r="D323" s="77">
        <v>440976.6666666667</v>
      </c>
    </row>
    <row r="324" ht="15.75" customHeight="1">
      <c r="A324" s="29">
        <v>80702.0</v>
      </c>
      <c r="B324" s="76" t="s">
        <v>300</v>
      </c>
      <c r="C324" s="77">
        <v>58150.666666666664</v>
      </c>
      <c r="D324" s="77">
        <v>621333.3333333334</v>
      </c>
    </row>
    <row r="325" ht="15.75" customHeight="1">
      <c r="A325" s="29">
        <v>80703.0</v>
      </c>
      <c r="B325" s="76" t="s">
        <v>323</v>
      </c>
      <c r="C325" s="77">
        <v>0.0</v>
      </c>
      <c r="D325" s="77">
        <v>5000.0</v>
      </c>
    </row>
    <row r="326" ht="15.75" customHeight="1">
      <c r="A326" s="29">
        <v>80801.0</v>
      </c>
      <c r="B326" s="76" t="s">
        <v>324</v>
      </c>
      <c r="C326" s="77">
        <v>0.0</v>
      </c>
      <c r="D326" s="77">
        <v>124500.0</v>
      </c>
    </row>
    <row r="327" ht="15.75" customHeight="1">
      <c r="A327" s="29">
        <v>80802.0</v>
      </c>
      <c r="B327" s="76" t="s">
        <v>325</v>
      </c>
      <c r="C327" s="77">
        <v>19000.0</v>
      </c>
      <c r="D327" s="77">
        <v>126673.33333333333</v>
      </c>
    </row>
    <row r="328" ht="15.75" customHeight="1">
      <c r="A328" s="29">
        <v>80803.0</v>
      </c>
      <c r="B328" s="76" t="s">
        <v>326</v>
      </c>
      <c r="C328" s="77">
        <v>0.0</v>
      </c>
      <c r="D328" s="77">
        <v>238333.33333333334</v>
      </c>
    </row>
    <row r="329" ht="15.75" customHeight="1">
      <c r="A329" s="29">
        <v>80901.0</v>
      </c>
      <c r="B329" s="76" t="s">
        <v>327</v>
      </c>
      <c r="C329" s="77">
        <v>0.0</v>
      </c>
      <c r="D329" s="77">
        <v>0.0</v>
      </c>
    </row>
    <row r="330" ht="15.75" customHeight="1">
      <c r="A330" s="29">
        <v>90101.0</v>
      </c>
      <c r="B330" s="76" t="s">
        <v>328</v>
      </c>
      <c r="C330" s="77">
        <v>1370555.0</v>
      </c>
      <c r="D330" s="77">
        <v>4550001.0</v>
      </c>
    </row>
    <row r="331" ht="15.75" customHeight="1">
      <c r="A331" s="29">
        <v>90102.0</v>
      </c>
      <c r="B331" s="76" t="s">
        <v>329</v>
      </c>
      <c r="C331" s="77">
        <v>373333.3333333333</v>
      </c>
      <c r="D331" s="77">
        <v>337548.0</v>
      </c>
    </row>
    <row r="332" ht="15.75" customHeight="1">
      <c r="A332" s="29">
        <v>90103.0</v>
      </c>
      <c r="B332" s="76" t="s">
        <v>330</v>
      </c>
      <c r="C332" s="77">
        <v>0.0</v>
      </c>
      <c r="D332" s="77">
        <v>0.0</v>
      </c>
    </row>
    <row r="333" ht="15.75" customHeight="1">
      <c r="A333" s="29">
        <v>90104.0</v>
      </c>
      <c r="B333" s="76" t="s">
        <v>331</v>
      </c>
      <c r="C333" s="77">
        <v>0.0</v>
      </c>
      <c r="D333" s="77">
        <v>99733.33333333333</v>
      </c>
    </row>
    <row r="334" ht="15.75" customHeight="1">
      <c r="A334" s="29">
        <v>90201.0</v>
      </c>
      <c r="B334" s="76" t="s">
        <v>332</v>
      </c>
      <c r="C334" s="77">
        <v>0.0</v>
      </c>
      <c r="D334" s="77">
        <v>0.0</v>
      </c>
    </row>
    <row r="335" ht="15.75" customHeight="1">
      <c r="A335" s="29">
        <v>90202.0</v>
      </c>
      <c r="B335" s="76" t="s">
        <v>222</v>
      </c>
      <c r="C335" s="77">
        <v>0.0</v>
      </c>
      <c r="D335" s="77">
        <v>0.0</v>
      </c>
    </row>
    <row r="336" ht="15.75" customHeight="1">
      <c r="A336" s="29">
        <v>90203.0</v>
      </c>
      <c r="B336" s="76" t="s">
        <v>333</v>
      </c>
      <c r="C336" s="77">
        <v>76811.33333333333</v>
      </c>
      <c r="D336" s="77">
        <v>28333.333333333332</v>
      </c>
    </row>
    <row r="337" ht="15.75" customHeight="1">
      <c r="A337" s="29">
        <v>90301.0</v>
      </c>
      <c r="B337" s="76" t="s">
        <v>334</v>
      </c>
      <c r="C337" s="77">
        <v>45001.333333333336</v>
      </c>
      <c r="D337" s="77">
        <v>32305.333333333332</v>
      </c>
    </row>
    <row r="338" ht="15.75" customHeight="1">
      <c r="A338" s="29">
        <v>90302.0</v>
      </c>
      <c r="B338" s="76" t="s">
        <v>256</v>
      </c>
      <c r="C338" s="77">
        <v>55072.333333333336</v>
      </c>
      <c r="D338" s="77">
        <v>196551.0</v>
      </c>
    </row>
    <row r="339" ht="15.75" customHeight="1">
      <c r="A339" s="29">
        <v>90303.0</v>
      </c>
      <c r="B339" s="76" t="s">
        <v>335</v>
      </c>
      <c r="C339" s="77">
        <v>103981.33333333333</v>
      </c>
      <c r="D339" s="77">
        <v>361860.3333333333</v>
      </c>
    </row>
    <row r="340" ht="15.75" customHeight="1">
      <c r="A340" s="29">
        <v>90401.0</v>
      </c>
      <c r="B340" s="76" t="s">
        <v>276</v>
      </c>
      <c r="C340" s="77">
        <v>15248.333333333334</v>
      </c>
      <c r="D340" s="77">
        <v>92197.33333333333</v>
      </c>
    </row>
    <row r="341" ht="15.75" customHeight="1">
      <c r="A341" s="29">
        <v>90402.0</v>
      </c>
      <c r="B341" s="76" t="s">
        <v>336</v>
      </c>
      <c r="C341" s="77">
        <v>0.0</v>
      </c>
      <c r="D341" s="77">
        <v>0.0</v>
      </c>
    </row>
    <row r="342" ht="15.75" customHeight="1">
      <c r="A342" s="29">
        <v>90501.0</v>
      </c>
      <c r="B342" s="76" t="s">
        <v>337</v>
      </c>
      <c r="C342" s="77">
        <v>0.0</v>
      </c>
      <c r="D342" s="77">
        <v>0.0</v>
      </c>
    </row>
    <row r="343" ht="15.75" customHeight="1">
      <c r="A343" s="29">
        <v>90502.0</v>
      </c>
      <c r="B343" s="76" t="s">
        <v>338</v>
      </c>
      <c r="C343" s="77">
        <v>19929.333333333332</v>
      </c>
      <c r="D343" s="77">
        <v>0.0</v>
      </c>
    </row>
    <row r="344" ht="15.75" customHeight="1">
      <c r="A344" s="29">
        <v>90503.0</v>
      </c>
      <c r="B344" s="76" t="s">
        <v>339</v>
      </c>
      <c r="C344" s="77">
        <v>12166.666666666666</v>
      </c>
      <c r="D344" s="77">
        <v>0.0</v>
      </c>
    </row>
    <row r="345" ht="15.75" customHeight="1">
      <c r="A345" s="64"/>
      <c r="B345" s="64"/>
      <c r="C345" s="69"/>
      <c r="D345" s="69"/>
    </row>
    <row r="346" ht="15.75" customHeight="1">
      <c r="A346" s="64"/>
      <c r="B346" s="64"/>
      <c r="C346" s="69"/>
      <c r="D346" s="69"/>
    </row>
    <row r="347" ht="15.75" customHeight="1">
      <c r="A347" s="64"/>
      <c r="B347" s="64"/>
      <c r="C347" s="69"/>
      <c r="D347" s="69"/>
    </row>
    <row r="348" ht="15.75" customHeight="1">
      <c r="A348" s="64"/>
      <c r="B348" s="64"/>
      <c r="C348" s="69"/>
      <c r="D348" s="69"/>
    </row>
    <row r="349" ht="15.75" customHeight="1">
      <c r="A349" s="64"/>
      <c r="B349" s="64"/>
      <c r="C349" s="69"/>
      <c r="D349" s="69"/>
    </row>
    <row r="350" ht="15.75" customHeight="1">
      <c r="A350" s="64"/>
      <c r="B350" s="64"/>
      <c r="C350" s="69"/>
      <c r="D350" s="69"/>
    </row>
    <row r="351" ht="15.75" customHeight="1">
      <c r="A351" s="64"/>
      <c r="B351" s="64"/>
      <c r="C351" s="69"/>
      <c r="D351" s="69"/>
    </row>
    <row r="352" ht="15.75" customHeight="1">
      <c r="A352" s="64"/>
      <c r="B352" s="64"/>
      <c r="C352" s="69"/>
      <c r="D352" s="69"/>
    </row>
    <row r="353" ht="15.75" customHeight="1">
      <c r="A353" s="64"/>
      <c r="B353" s="64"/>
      <c r="C353" s="69"/>
      <c r="D353" s="69"/>
    </row>
    <row r="354" ht="15.75" customHeight="1">
      <c r="A354" s="64"/>
      <c r="B354" s="64"/>
      <c r="C354" s="69"/>
      <c r="D354" s="69"/>
    </row>
    <row r="355" ht="15.75" customHeight="1">
      <c r="A355" s="64"/>
      <c r="B355" s="64"/>
      <c r="C355" s="69"/>
      <c r="D355" s="69"/>
    </row>
    <row r="356" ht="15.75" customHeight="1">
      <c r="A356" s="64"/>
      <c r="B356" s="64"/>
      <c r="C356" s="69"/>
      <c r="D356" s="69"/>
    </row>
    <row r="357" ht="15.75" customHeight="1">
      <c r="A357" s="64"/>
      <c r="B357" s="64"/>
      <c r="C357" s="69"/>
      <c r="D357" s="69"/>
    </row>
    <row r="358" ht="15.75" customHeight="1">
      <c r="A358" s="64"/>
      <c r="B358" s="64"/>
      <c r="C358" s="69"/>
      <c r="D358" s="69"/>
    </row>
    <row r="359" ht="15.75" customHeight="1">
      <c r="A359" s="64"/>
      <c r="B359" s="64"/>
      <c r="C359" s="69"/>
      <c r="D359" s="69"/>
    </row>
    <row r="360" ht="15.75" customHeight="1">
      <c r="A360" s="64"/>
      <c r="B360" s="64"/>
      <c r="C360" s="69"/>
      <c r="D360" s="69"/>
    </row>
    <row r="361" ht="15.75" customHeight="1">
      <c r="A361" s="64"/>
      <c r="B361" s="64"/>
      <c r="C361" s="69"/>
      <c r="D361" s="69"/>
    </row>
    <row r="362" ht="15.75" customHeight="1">
      <c r="A362" s="64"/>
      <c r="B362" s="64"/>
      <c r="C362" s="69"/>
      <c r="D362" s="69"/>
    </row>
    <row r="363" ht="15.75" customHeight="1">
      <c r="A363" s="64"/>
      <c r="B363" s="64"/>
      <c r="C363" s="69"/>
      <c r="D363" s="69"/>
    </row>
    <row r="364" ht="15.75" customHeight="1">
      <c r="A364" s="64"/>
      <c r="B364" s="64"/>
      <c r="C364" s="69"/>
      <c r="D364" s="69"/>
    </row>
    <row r="365" ht="15.75" customHeight="1">
      <c r="A365" s="64"/>
      <c r="B365" s="64"/>
      <c r="C365" s="69"/>
      <c r="D365" s="69"/>
    </row>
    <row r="366" ht="15.75" customHeight="1">
      <c r="A366" s="64"/>
      <c r="B366" s="64"/>
      <c r="C366" s="69"/>
      <c r="D366" s="69"/>
    </row>
    <row r="367" ht="15.75" customHeight="1">
      <c r="A367" s="64"/>
      <c r="B367" s="64"/>
      <c r="C367" s="69"/>
      <c r="D367" s="69"/>
    </row>
    <row r="368" ht="15.75" customHeight="1">
      <c r="A368" s="64"/>
      <c r="B368" s="64"/>
      <c r="C368" s="69"/>
      <c r="D368" s="69"/>
    </row>
    <row r="369" ht="15.75" customHeight="1">
      <c r="A369" s="64"/>
      <c r="B369" s="64"/>
      <c r="C369" s="69"/>
      <c r="D369" s="69"/>
    </row>
    <row r="370" ht="15.75" customHeight="1">
      <c r="A370" s="64"/>
      <c r="B370" s="64"/>
      <c r="C370" s="69"/>
      <c r="D370" s="69"/>
    </row>
    <row r="371" ht="15.75" customHeight="1">
      <c r="A371" s="64"/>
      <c r="B371" s="64"/>
      <c r="C371" s="69"/>
      <c r="D371" s="69"/>
    </row>
    <row r="372" ht="15.75" customHeight="1">
      <c r="A372" s="64"/>
      <c r="B372" s="64"/>
      <c r="C372" s="69"/>
      <c r="D372" s="69"/>
    </row>
    <row r="373" ht="15.75" customHeight="1">
      <c r="A373" s="64"/>
      <c r="B373" s="64"/>
      <c r="C373" s="69"/>
      <c r="D373" s="69"/>
    </row>
    <row r="374" ht="15.75" customHeight="1">
      <c r="A374" s="64"/>
      <c r="B374" s="64"/>
      <c r="C374" s="69"/>
      <c r="D374" s="69"/>
    </row>
    <row r="375" ht="15.75" customHeight="1">
      <c r="A375" s="64"/>
      <c r="B375" s="64"/>
      <c r="C375" s="69"/>
      <c r="D375" s="69"/>
    </row>
    <row r="376" ht="15.75" customHeight="1">
      <c r="A376" s="64"/>
      <c r="B376" s="64"/>
      <c r="C376" s="69"/>
      <c r="D376" s="69"/>
    </row>
    <row r="377" ht="15.75" customHeight="1">
      <c r="A377" s="64"/>
      <c r="B377" s="64"/>
      <c r="C377" s="69"/>
      <c r="D377" s="69"/>
    </row>
    <row r="378" ht="15.75" customHeight="1">
      <c r="A378" s="64"/>
      <c r="B378" s="64"/>
      <c r="C378" s="69"/>
      <c r="D378" s="69"/>
    </row>
    <row r="379" ht="15.75" customHeight="1">
      <c r="A379" s="64"/>
      <c r="B379" s="64"/>
      <c r="C379" s="69"/>
      <c r="D379" s="69"/>
    </row>
    <row r="380" ht="15.75" customHeight="1">
      <c r="A380" s="64"/>
      <c r="B380" s="64"/>
      <c r="C380" s="69"/>
      <c r="D380" s="69"/>
    </row>
    <row r="381" ht="15.75" customHeight="1">
      <c r="A381" s="64"/>
      <c r="B381" s="64"/>
      <c r="C381" s="69"/>
      <c r="D381" s="69"/>
    </row>
    <row r="382" ht="15.75" customHeight="1">
      <c r="A382" s="64"/>
      <c r="B382" s="64"/>
      <c r="C382" s="69"/>
      <c r="D382" s="69"/>
    </row>
    <row r="383" ht="15.75" customHeight="1">
      <c r="A383" s="64"/>
      <c r="B383" s="64"/>
      <c r="C383" s="69"/>
      <c r="D383" s="69"/>
    </row>
    <row r="384" ht="15.75" customHeight="1">
      <c r="A384" s="64"/>
      <c r="B384" s="64"/>
      <c r="C384" s="69"/>
      <c r="D384" s="69"/>
    </row>
    <row r="385" ht="15.75" customHeight="1">
      <c r="A385" s="64"/>
      <c r="B385" s="64"/>
      <c r="C385" s="69"/>
      <c r="D385" s="69"/>
    </row>
    <row r="386" ht="15.75" customHeight="1">
      <c r="A386" s="64"/>
      <c r="B386" s="64"/>
      <c r="C386" s="69"/>
      <c r="D386" s="69"/>
    </row>
    <row r="387" ht="15.75" customHeight="1">
      <c r="A387" s="64"/>
      <c r="B387" s="64"/>
      <c r="C387" s="69"/>
      <c r="D387" s="69"/>
    </row>
    <row r="388" ht="15.75" customHeight="1">
      <c r="A388" s="64"/>
      <c r="B388" s="64"/>
      <c r="C388" s="69"/>
      <c r="D388" s="69"/>
    </row>
    <row r="389" ht="15.75" customHeight="1">
      <c r="A389" s="64"/>
      <c r="B389" s="64"/>
      <c r="C389" s="69"/>
      <c r="D389" s="69"/>
    </row>
    <row r="390" ht="15.75" customHeight="1">
      <c r="A390" s="64"/>
      <c r="B390" s="64"/>
      <c r="C390" s="69"/>
      <c r="D390" s="69"/>
    </row>
    <row r="391" ht="15.75" customHeight="1">
      <c r="A391" s="64"/>
      <c r="B391" s="64"/>
      <c r="C391" s="69"/>
      <c r="D391" s="69"/>
    </row>
    <row r="392" ht="15.75" customHeight="1">
      <c r="A392" s="64"/>
      <c r="B392" s="64"/>
      <c r="C392" s="69"/>
      <c r="D392" s="69"/>
    </row>
    <row r="393" ht="15.75" customHeight="1">
      <c r="A393" s="64"/>
      <c r="B393" s="64"/>
      <c r="C393" s="69"/>
      <c r="D393" s="69"/>
    </row>
    <row r="394" ht="15.75" customHeight="1">
      <c r="A394" s="64"/>
      <c r="B394" s="64"/>
      <c r="C394" s="69"/>
      <c r="D394" s="69"/>
    </row>
    <row r="395" ht="15.75" customHeight="1">
      <c r="A395" s="64"/>
      <c r="B395" s="64"/>
      <c r="C395" s="69"/>
      <c r="D395" s="69"/>
    </row>
    <row r="396" ht="15.75" customHeight="1">
      <c r="A396" s="64"/>
      <c r="B396" s="64"/>
      <c r="C396" s="69"/>
      <c r="D396" s="69"/>
    </row>
    <row r="397" ht="15.75" customHeight="1">
      <c r="A397" s="64"/>
      <c r="B397" s="64"/>
      <c r="C397" s="69"/>
      <c r="D397" s="69"/>
    </row>
    <row r="398" ht="15.75" customHeight="1">
      <c r="A398" s="64"/>
      <c r="B398" s="64"/>
      <c r="C398" s="69"/>
      <c r="D398" s="69"/>
    </row>
    <row r="399" ht="15.75" customHeight="1">
      <c r="A399" s="64"/>
      <c r="B399" s="64"/>
      <c r="C399" s="69"/>
      <c r="D399" s="69"/>
    </row>
    <row r="400" ht="15.75" customHeight="1">
      <c r="A400" s="64"/>
      <c r="B400" s="64"/>
      <c r="C400" s="69"/>
      <c r="D400" s="69"/>
    </row>
    <row r="401" ht="15.75" customHeight="1">
      <c r="A401" s="64"/>
      <c r="B401" s="64"/>
      <c r="C401" s="69"/>
      <c r="D401" s="69"/>
    </row>
    <row r="402" ht="15.75" customHeight="1">
      <c r="A402" s="64"/>
      <c r="B402" s="64"/>
      <c r="C402" s="69"/>
      <c r="D402" s="69"/>
    </row>
    <row r="403" ht="15.75" customHeight="1">
      <c r="A403" s="64"/>
      <c r="B403" s="64"/>
      <c r="C403" s="69"/>
      <c r="D403" s="69"/>
    </row>
    <row r="404" ht="15.75" customHeight="1">
      <c r="A404" s="64"/>
      <c r="B404" s="64"/>
      <c r="C404" s="69"/>
      <c r="D404" s="69"/>
    </row>
    <row r="405" ht="15.75" customHeight="1">
      <c r="A405" s="64"/>
      <c r="B405" s="64"/>
      <c r="C405" s="69"/>
      <c r="D405" s="69"/>
    </row>
    <row r="406" ht="15.75" customHeight="1">
      <c r="A406" s="64"/>
      <c r="B406" s="64"/>
      <c r="C406" s="69"/>
      <c r="D406" s="69"/>
    </row>
    <row r="407" ht="15.75" customHeight="1">
      <c r="A407" s="64"/>
      <c r="B407" s="64"/>
      <c r="C407" s="69"/>
      <c r="D407" s="69"/>
    </row>
    <row r="408" ht="15.75" customHeight="1">
      <c r="A408" s="64"/>
      <c r="B408" s="64"/>
      <c r="C408" s="69"/>
      <c r="D408" s="69"/>
    </row>
    <row r="409" ht="15.75" customHeight="1">
      <c r="A409" s="64"/>
      <c r="B409" s="64"/>
      <c r="C409" s="69"/>
      <c r="D409" s="69"/>
    </row>
    <row r="410" ht="15.75" customHeight="1">
      <c r="A410" s="64"/>
      <c r="B410" s="64"/>
      <c r="C410" s="69"/>
      <c r="D410" s="69"/>
    </row>
    <row r="411" ht="15.75" customHeight="1">
      <c r="A411" s="64"/>
      <c r="B411" s="64"/>
      <c r="C411" s="69"/>
      <c r="D411" s="69"/>
    </row>
    <row r="412" ht="15.75" customHeight="1">
      <c r="A412" s="64"/>
      <c r="B412" s="64"/>
      <c r="C412" s="69"/>
      <c r="D412" s="69"/>
    </row>
    <row r="413" ht="15.75" customHeight="1">
      <c r="A413" s="64"/>
      <c r="B413" s="64"/>
      <c r="C413" s="69"/>
      <c r="D413" s="69"/>
    </row>
    <row r="414" ht="15.75" customHeight="1">
      <c r="A414" s="64"/>
      <c r="B414" s="64"/>
      <c r="C414" s="69"/>
      <c r="D414" s="69"/>
    </row>
    <row r="415" ht="15.75" customHeight="1">
      <c r="A415" s="64"/>
      <c r="B415" s="64"/>
      <c r="C415" s="69"/>
      <c r="D415" s="69"/>
    </row>
    <row r="416" ht="15.75" customHeight="1">
      <c r="A416" s="64"/>
      <c r="B416" s="64"/>
      <c r="C416" s="69"/>
      <c r="D416" s="69"/>
    </row>
    <row r="417" ht="15.75" customHeight="1">
      <c r="A417" s="64"/>
      <c r="B417" s="64"/>
      <c r="C417" s="69"/>
      <c r="D417" s="69"/>
    </row>
    <row r="418" ht="15.75" customHeight="1">
      <c r="A418" s="64"/>
      <c r="B418" s="64"/>
      <c r="C418" s="69"/>
      <c r="D418" s="69"/>
    </row>
    <row r="419" ht="15.75" customHeight="1">
      <c r="A419" s="64"/>
      <c r="B419" s="64"/>
      <c r="C419" s="69"/>
      <c r="D419" s="69"/>
    </row>
    <row r="420" ht="15.75" customHeight="1">
      <c r="A420" s="64"/>
      <c r="B420" s="64"/>
      <c r="C420" s="69"/>
      <c r="D420" s="69"/>
    </row>
    <row r="421" ht="15.75" customHeight="1">
      <c r="A421" s="64"/>
      <c r="B421" s="64"/>
      <c r="C421" s="69"/>
      <c r="D421" s="69"/>
    </row>
    <row r="422" ht="15.75" customHeight="1">
      <c r="A422" s="64"/>
      <c r="B422" s="64"/>
      <c r="C422" s="69"/>
      <c r="D422" s="69"/>
    </row>
    <row r="423" ht="15.75" customHeight="1">
      <c r="A423" s="64"/>
      <c r="B423" s="64"/>
      <c r="C423" s="69"/>
      <c r="D423" s="69"/>
    </row>
    <row r="424" ht="15.75" customHeight="1">
      <c r="A424" s="64"/>
      <c r="B424" s="64"/>
      <c r="C424" s="69"/>
      <c r="D424" s="69"/>
    </row>
    <row r="425" ht="15.75" customHeight="1">
      <c r="A425" s="64"/>
      <c r="B425" s="64"/>
      <c r="C425" s="69"/>
      <c r="D425" s="69"/>
    </row>
    <row r="426" ht="15.75" customHeight="1">
      <c r="A426" s="64"/>
      <c r="B426" s="64"/>
      <c r="C426" s="69"/>
      <c r="D426" s="69"/>
    </row>
    <row r="427" ht="15.75" customHeight="1">
      <c r="A427" s="64"/>
      <c r="B427" s="64"/>
      <c r="C427" s="69"/>
      <c r="D427" s="69"/>
    </row>
    <row r="428" ht="15.75" customHeight="1">
      <c r="A428" s="64"/>
      <c r="B428" s="64"/>
      <c r="C428" s="69"/>
      <c r="D428" s="69"/>
    </row>
    <row r="429" ht="15.75" customHeight="1">
      <c r="A429" s="64"/>
      <c r="B429" s="64"/>
      <c r="C429" s="69"/>
      <c r="D429" s="69"/>
    </row>
    <row r="430" ht="15.75" customHeight="1">
      <c r="A430" s="64"/>
      <c r="B430" s="64"/>
      <c r="C430" s="69"/>
      <c r="D430" s="69"/>
    </row>
    <row r="431" ht="15.75" customHeight="1">
      <c r="A431" s="64"/>
      <c r="B431" s="64"/>
      <c r="C431" s="69"/>
      <c r="D431" s="69"/>
    </row>
    <row r="432" ht="15.75" customHeight="1">
      <c r="A432" s="64"/>
      <c r="B432" s="64"/>
      <c r="C432" s="69"/>
      <c r="D432" s="69"/>
    </row>
    <row r="433" ht="15.75" customHeight="1">
      <c r="A433" s="64"/>
      <c r="B433" s="64"/>
      <c r="C433" s="69"/>
      <c r="D433" s="69"/>
    </row>
    <row r="434" ht="15.75" customHeight="1">
      <c r="A434" s="64"/>
      <c r="B434" s="64"/>
      <c r="C434" s="69"/>
      <c r="D434" s="69"/>
    </row>
    <row r="435" ht="15.75" customHeight="1">
      <c r="A435" s="64"/>
      <c r="B435" s="64"/>
      <c r="C435" s="69"/>
      <c r="D435" s="69"/>
    </row>
    <row r="436" ht="15.75" customHeight="1">
      <c r="A436" s="64"/>
      <c r="B436" s="64"/>
      <c r="C436" s="69"/>
      <c r="D436" s="69"/>
    </row>
    <row r="437" ht="15.75" customHeight="1">
      <c r="A437" s="64"/>
      <c r="B437" s="64"/>
      <c r="C437" s="69"/>
      <c r="D437" s="69"/>
    </row>
    <row r="438" ht="15.75" customHeight="1">
      <c r="A438" s="64"/>
      <c r="B438" s="64"/>
      <c r="C438" s="69"/>
      <c r="D438" s="69"/>
    </row>
    <row r="439" ht="15.75" customHeight="1">
      <c r="A439" s="64"/>
      <c r="B439" s="64"/>
      <c r="C439" s="69"/>
      <c r="D439" s="69"/>
    </row>
    <row r="440" ht="15.75" customHeight="1">
      <c r="A440" s="64"/>
      <c r="B440" s="64"/>
      <c r="C440" s="69"/>
      <c r="D440" s="69"/>
    </row>
    <row r="441" ht="15.75" customHeight="1">
      <c r="A441" s="64"/>
      <c r="B441" s="64"/>
      <c r="C441" s="69"/>
      <c r="D441" s="69"/>
    </row>
    <row r="442" ht="15.75" customHeight="1">
      <c r="A442" s="64"/>
      <c r="B442" s="64"/>
      <c r="C442" s="69"/>
      <c r="D442" s="69"/>
    </row>
    <row r="443" ht="15.75" customHeight="1">
      <c r="A443" s="64"/>
      <c r="B443" s="64"/>
      <c r="C443" s="69"/>
      <c r="D443" s="69"/>
    </row>
    <row r="444" ht="15.75" customHeight="1">
      <c r="A444" s="64"/>
      <c r="B444" s="64"/>
      <c r="C444" s="69"/>
      <c r="D444" s="69"/>
    </row>
    <row r="445" ht="15.75" customHeight="1">
      <c r="A445" s="64"/>
      <c r="B445" s="64"/>
      <c r="C445" s="69"/>
      <c r="D445" s="69"/>
    </row>
    <row r="446" ht="15.75" customHeight="1">
      <c r="A446" s="64"/>
      <c r="B446" s="64"/>
      <c r="C446" s="69"/>
      <c r="D446" s="69"/>
    </row>
    <row r="447" ht="15.75" customHeight="1">
      <c r="A447" s="64"/>
      <c r="B447" s="64"/>
      <c r="C447" s="69"/>
      <c r="D447" s="69"/>
    </row>
    <row r="448" ht="15.75" customHeight="1">
      <c r="A448" s="64"/>
      <c r="B448" s="64"/>
      <c r="C448" s="69"/>
      <c r="D448" s="69"/>
    </row>
    <row r="449" ht="15.75" customHeight="1">
      <c r="A449" s="64"/>
      <c r="B449" s="64"/>
      <c r="C449" s="69"/>
      <c r="D449" s="69"/>
    </row>
    <row r="450" ht="15.75" customHeight="1">
      <c r="A450" s="64"/>
      <c r="B450" s="64"/>
      <c r="C450" s="69"/>
      <c r="D450" s="69"/>
    </row>
    <row r="451" ht="15.75" customHeight="1">
      <c r="A451" s="64"/>
      <c r="B451" s="64"/>
      <c r="C451" s="69"/>
      <c r="D451" s="69"/>
    </row>
    <row r="452" ht="15.75" customHeight="1">
      <c r="A452" s="64"/>
      <c r="B452" s="64"/>
      <c r="C452" s="69"/>
      <c r="D452" s="69"/>
    </row>
    <row r="453" ht="15.75" customHeight="1">
      <c r="A453" s="64"/>
      <c r="B453" s="64"/>
      <c r="C453" s="69"/>
      <c r="D453" s="69"/>
    </row>
    <row r="454" ht="15.75" customHeight="1">
      <c r="A454" s="64"/>
      <c r="B454" s="64"/>
      <c r="C454" s="69"/>
      <c r="D454" s="69"/>
    </row>
    <row r="455" ht="15.75" customHeight="1">
      <c r="A455" s="64"/>
      <c r="B455" s="64"/>
      <c r="C455" s="69"/>
      <c r="D455" s="69"/>
    </row>
    <row r="456" ht="15.75" customHeight="1">
      <c r="A456" s="64"/>
      <c r="B456" s="64"/>
      <c r="C456" s="69"/>
      <c r="D456" s="69"/>
    </row>
    <row r="457" ht="15.75" customHeight="1">
      <c r="A457" s="64"/>
      <c r="B457" s="64"/>
      <c r="C457" s="69"/>
      <c r="D457" s="69"/>
    </row>
    <row r="458" ht="15.75" customHeight="1">
      <c r="A458" s="64"/>
      <c r="B458" s="64"/>
      <c r="C458" s="69"/>
      <c r="D458" s="69"/>
    </row>
    <row r="459" ht="15.75" customHeight="1">
      <c r="A459" s="64"/>
      <c r="B459" s="64"/>
      <c r="C459" s="69"/>
      <c r="D459" s="69"/>
    </row>
    <row r="460" ht="15.75" customHeight="1">
      <c r="A460" s="64"/>
      <c r="B460" s="64"/>
      <c r="C460" s="69"/>
      <c r="D460" s="69"/>
    </row>
    <row r="461" ht="15.75" customHeight="1">
      <c r="A461" s="64"/>
      <c r="B461" s="64"/>
      <c r="C461" s="69"/>
      <c r="D461" s="69"/>
    </row>
    <row r="462" ht="15.75" customHeight="1">
      <c r="A462" s="64"/>
      <c r="B462" s="64"/>
      <c r="C462" s="69"/>
      <c r="D462" s="69"/>
    </row>
    <row r="463" ht="15.75" customHeight="1">
      <c r="A463" s="64"/>
      <c r="B463" s="64"/>
      <c r="C463" s="69"/>
      <c r="D463" s="69"/>
    </row>
    <row r="464" ht="15.75" customHeight="1">
      <c r="A464" s="64"/>
      <c r="B464" s="64"/>
      <c r="C464" s="69"/>
      <c r="D464" s="69"/>
    </row>
    <row r="465" ht="15.75" customHeight="1">
      <c r="A465" s="64"/>
      <c r="B465" s="64"/>
      <c r="C465" s="69"/>
      <c r="D465" s="69"/>
    </row>
    <row r="466" ht="15.75" customHeight="1">
      <c r="A466" s="64"/>
      <c r="B466" s="64"/>
      <c r="C466" s="69"/>
      <c r="D466" s="69"/>
    </row>
    <row r="467" ht="15.75" customHeight="1">
      <c r="A467" s="64"/>
      <c r="B467" s="64"/>
      <c r="C467" s="69"/>
      <c r="D467" s="69"/>
    </row>
    <row r="468" ht="15.75" customHeight="1">
      <c r="A468" s="64"/>
      <c r="B468" s="64"/>
      <c r="C468" s="69"/>
      <c r="D468" s="69"/>
    </row>
    <row r="469" ht="15.75" customHeight="1">
      <c r="A469" s="64"/>
      <c r="B469" s="64"/>
      <c r="C469" s="69"/>
      <c r="D469" s="69"/>
    </row>
    <row r="470" ht="15.75" customHeight="1">
      <c r="A470" s="64"/>
      <c r="B470" s="64"/>
      <c r="C470" s="69"/>
      <c r="D470" s="69"/>
    </row>
    <row r="471" ht="15.75" customHeight="1">
      <c r="A471" s="64"/>
      <c r="B471" s="64"/>
      <c r="C471" s="69"/>
      <c r="D471" s="69"/>
    </row>
    <row r="472" ht="15.75" customHeight="1">
      <c r="A472" s="64"/>
      <c r="B472" s="64"/>
      <c r="C472" s="69"/>
      <c r="D472" s="69"/>
    </row>
    <row r="473" ht="15.75" customHeight="1">
      <c r="A473" s="64"/>
      <c r="B473" s="64"/>
      <c r="C473" s="69"/>
      <c r="D473" s="69"/>
    </row>
    <row r="474" ht="15.75" customHeight="1">
      <c r="A474" s="64"/>
      <c r="B474" s="64"/>
      <c r="C474" s="69"/>
      <c r="D474" s="69"/>
    </row>
    <row r="475" ht="15.75" customHeight="1">
      <c r="A475" s="64"/>
      <c r="B475" s="64"/>
      <c r="C475" s="69"/>
      <c r="D475" s="69"/>
    </row>
    <row r="476" ht="15.75" customHeight="1">
      <c r="A476" s="64"/>
      <c r="B476" s="64"/>
      <c r="C476" s="69"/>
      <c r="D476" s="69"/>
    </row>
    <row r="477" ht="15.75" customHeight="1">
      <c r="A477" s="64"/>
      <c r="B477" s="64"/>
      <c r="C477" s="69"/>
      <c r="D477" s="69"/>
    </row>
    <row r="478" ht="15.75" customHeight="1">
      <c r="A478" s="64"/>
      <c r="B478" s="64"/>
      <c r="C478" s="69"/>
      <c r="D478" s="69"/>
    </row>
    <row r="479" ht="15.75" customHeight="1">
      <c r="A479" s="64"/>
      <c r="B479" s="64"/>
      <c r="C479" s="69"/>
      <c r="D479" s="69"/>
    </row>
    <row r="480" ht="15.75" customHeight="1">
      <c r="A480" s="64"/>
      <c r="B480" s="64"/>
      <c r="C480" s="69"/>
      <c r="D480" s="69"/>
    </row>
    <row r="481" ht="15.75" customHeight="1">
      <c r="A481" s="64"/>
      <c r="B481" s="64"/>
      <c r="C481" s="69"/>
      <c r="D481" s="69"/>
    </row>
    <row r="482" ht="15.75" customHeight="1">
      <c r="A482" s="64"/>
      <c r="B482" s="64"/>
      <c r="C482" s="69"/>
      <c r="D482" s="69"/>
    </row>
    <row r="483" ht="15.75" customHeight="1">
      <c r="A483" s="64"/>
      <c r="B483" s="64"/>
      <c r="C483" s="69"/>
      <c r="D483" s="69"/>
    </row>
    <row r="484" ht="15.75" customHeight="1">
      <c r="A484" s="64"/>
      <c r="B484" s="64"/>
      <c r="C484" s="69"/>
      <c r="D484" s="69"/>
    </row>
    <row r="485" ht="15.75" customHeight="1">
      <c r="A485" s="64"/>
      <c r="B485" s="64"/>
      <c r="C485" s="69"/>
      <c r="D485" s="69"/>
    </row>
    <row r="486" ht="15.75" customHeight="1">
      <c r="A486" s="64"/>
      <c r="B486" s="64"/>
      <c r="C486" s="69"/>
      <c r="D486" s="69"/>
    </row>
    <row r="487" ht="15.75" customHeight="1">
      <c r="A487" s="64"/>
      <c r="B487" s="64"/>
      <c r="C487" s="69"/>
      <c r="D487" s="69"/>
    </row>
    <row r="488" ht="15.75" customHeight="1">
      <c r="A488" s="64"/>
      <c r="B488" s="64"/>
      <c r="C488" s="69"/>
      <c r="D488" s="69"/>
    </row>
    <row r="489" ht="15.75" customHeight="1">
      <c r="A489" s="64"/>
      <c r="B489" s="64"/>
      <c r="C489" s="69"/>
      <c r="D489" s="69"/>
    </row>
    <row r="490" ht="15.75" customHeight="1">
      <c r="A490" s="64"/>
      <c r="B490" s="64"/>
      <c r="C490" s="69"/>
      <c r="D490" s="69"/>
    </row>
    <row r="491" ht="15.75" customHeight="1">
      <c r="A491" s="64"/>
      <c r="B491" s="64"/>
      <c r="C491" s="69"/>
      <c r="D491" s="69"/>
    </row>
    <row r="492" ht="15.75" customHeight="1">
      <c r="A492" s="64"/>
      <c r="B492" s="64"/>
      <c r="C492" s="69"/>
      <c r="D492" s="69"/>
    </row>
    <row r="493" ht="15.75" customHeight="1">
      <c r="A493" s="64"/>
      <c r="B493" s="64"/>
      <c r="C493" s="69"/>
      <c r="D493" s="69"/>
    </row>
    <row r="494" ht="15.75" customHeight="1">
      <c r="A494" s="64"/>
      <c r="B494" s="64"/>
      <c r="C494" s="69"/>
      <c r="D494" s="69"/>
    </row>
    <row r="495" ht="15.75" customHeight="1">
      <c r="A495" s="64"/>
      <c r="B495" s="64"/>
      <c r="C495" s="69"/>
      <c r="D495" s="69"/>
    </row>
    <row r="496" ht="15.75" customHeight="1">
      <c r="A496" s="64"/>
      <c r="B496" s="64"/>
      <c r="C496" s="69"/>
      <c r="D496" s="69"/>
    </row>
    <row r="497" ht="15.75" customHeight="1">
      <c r="A497" s="64"/>
      <c r="B497" s="64"/>
      <c r="C497" s="69"/>
      <c r="D497" s="69"/>
    </row>
    <row r="498" ht="15.75" customHeight="1">
      <c r="A498" s="64"/>
      <c r="B498" s="64"/>
      <c r="C498" s="69"/>
      <c r="D498" s="69"/>
    </row>
    <row r="499" ht="15.75" customHeight="1">
      <c r="A499" s="64"/>
      <c r="B499" s="64"/>
      <c r="C499" s="69"/>
      <c r="D499" s="69"/>
    </row>
    <row r="500" ht="15.75" customHeight="1">
      <c r="A500" s="64"/>
      <c r="B500" s="64"/>
      <c r="C500" s="69"/>
      <c r="D500" s="69"/>
    </row>
    <row r="501" ht="15.75" customHeight="1">
      <c r="A501" s="64"/>
      <c r="B501" s="64"/>
      <c r="C501" s="69"/>
      <c r="D501" s="69"/>
    </row>
    <row r="502" ht="15.75" customHeight="1">
      <c r="A502" s="64"/>
      <c r="B502" s="64"/>
      <c r="C502" s="69"/>
      <c r="D502" s="69"/>
    </row>
    <row r="503" ht="15.75" customHeight="1">
      <c r="A503" s="64"/>
      <c r="B503" s="64"/>
      <c r="C503" s="69"/>
      <c r="D503" s="69"/>
    </row>
    <row r="504" ht="15.75" customHeight="1">
      <c r="A504" s="64"/>
      <c r="B504" s="64"/>
      <c r="C504" s="69"/>
      <c r="D504" s="69"/>
    </row>
    <row r="505" ht="15.75" customHeight="1">
      <c r="A505" s="64"/>
      <c r="B505" s="64"/>
      <c r="C505" s="69"/>
      <c r="D505" s="69"/>
    </row>
    <row r="506" ht="15.75" customHeight="1">
      <c r="A506" s="64"/>
      <c r="B506" s="64"/>
      <c r="C506" s="69"/>
      <c r="D506" s="69"/>
    </row>
    <row r="507" ht="15.75" customHeight="1">
      <c r="A507" s="64"/>
      <c r="B507" s="64"/>
      <c r="C507" s="69"/>
      <c r="D507" s="69"/>
    </row>
    <row r="508" ht="15.75" customHeight="1">
      <c r="A508" s="64"/>
      <c r="B508" s="64"/>
      <c r="C508" s="69"/>
      <c r="D508" s="69"/>
    </row>
    <row r="509" ht="15.75" customHeight="1">
      <c r="A509" s="64"/>
      <c r="B509" s="64"/>
      <c r="C509" s="69"/>
      <c r="D509" s="69"/>
    </row>
    <row r="510" ht="15.75" customHeight="1">
      <c r="A510" s="64"/>
      <c r="B510" s="64"/>
      <c r="C510" s="69"/>
      <c r="D510" s="69"/>
    </row>
    <row r="511" ht="15.75" customHeight="1">
      <c r="A511" s="64"/>
      <c r="B511" s="64"/>
      <c r="C511" s="69"/>
      <c r="D511" s="69"/>
    </row>
    <row r="512" ht="15.75" customHeight="1">
      <c r="A512" s="64"/>
      <c r="B512" s="64"/>
      <c r="C512" s="69"/>
      <c r="D512" s="69"/>
    </row>
    <row r="513" ht="15.75" customHeight="1">
      <c r="A513" s="64"/>
      <c r="B513" s="64"/>
      <c r="C513" s="69"/>
      <c r="D513" s="69"/>
    </row>
    <row r="514" ht="15.75" customHeight="1">
      <c r="A514" s="64"/>
      <c r="B514" s="64"/>
      <c r="C514" s="69"/>
      <c r="D514" s="69"/>
    </row>
    <row r="515" ht="15.75" customHeight="1">
      <c r="A515" s="64"/>
      <c r="B515" s="64"/>
      <c r="C515" s="69"/>
      <c r="D515" s="69"/>
    </row>
    <row r="516" ht="15.75" customHeight="1">
      <c r="A516" s="64"/>
      <c r="B516" s="64"/>
      <c r="C516" s="69"/>
      <c r="D516" s="69"/>
    </row>
    <row r="517" ht="15.75" customHeight="1">
      <c r="A517" s="64"/>
      <c r="B517" s="64"/>
      <c r="C517" s="69"/>
      <c r="D517" s="69"/>
    </row>
    <row r="518" ht="15.75" customHeight="1">
      <c r="A518" s="64"/>
      <c r="B518" s="64"/>
      <c r="C518" s="69"/>
      <c r="D518" s="69"/>
    </row>
    <row r="519" ht="15.75" customHeight="1">
      <c r="A519" s="64"/>
      <c r="B519" s="64"/>
      <c r="C519" s="69"/>
      <c r="D519" s="69"/>
    </row>
    <row r="520" ht="15.75" customHeight="1">
      <c r="A520" s="64"/>
      <c r="B520" s="64"/>
      <c r="C520" s="69"/>
      <c r="D520" s="69"/>
    </row>
    <row r="521" ht="15.75" customHeight="1">
      <c r="A521" s="64"/>
      <c r="B521" s="64"/>
      <c r="C521" s="69"/>
      <c r="D521" s="69"/>
    </row>
    <row r="522" ht="15.75" customHeight="1">
      <c r="A522" s="64"/>
      <c r="B522" s="64"/>
      <c r="C522" s="69"/>
      <c r="D522" s="69"/>
    </row>
    <row r="523" ht="15.75" customHeight="1">
      <c r="A523" s="64"/>
      <c r="B523" s="64"/>
      <c r="C523" s="69"/>
      <c r="D523" s="69"/>
    </row>
    <row r="524" ht="15.75" customHeight="1">
      <c r="A524" s="64"/>
      <c r="B524" s="64"/>
      <c r="C524" s="69"/>
      <c r="D524" s="69"/>
    </row>
    <row r="525" ht="15.75" customHeight="1">
      <c r="A525" s="64"/>
      <c r="B525" s="64"/>
      <c r="C525" s="69"/>
      <c r="D525" s="69"/>
    </row>
    <row r="526" ht="15.75" customHeight="1">
      <c r="A526" s="64"/>
      <c r="B526" s="64"/>
      <c r="C526" s="69"/>
      <c r="D526" s="69"/>
    </row>
    <row r="527" ht="15.75" customHeight="1">
      <c r="A527" s="64"/>
      <c r="B527" s="64"/>
      <c r="C527" s="69"/>
      <c r="D527" s="69"/>
    </row>
    <row r="528" ht="15.75" customHeight="1">
      <c r="A528" s="64"/>
      <c r="B528" s="64"/>
      <c r="C528" s="69"/>
      <c r="D528" s="69"/>
    </row>
    <row r="529" ht="15.75" customHeight="1">
      <c r="A529" s="64"/>
      <c r="B529" s="64"/>
      <c r="C529" s="69"/>
      <c r="D529" s="69"/>
    </row>
    <row r="530" ht="15.75" customHeight="1">
      <c r="A530" s="64"/>
      <c r="B530" s="64"/>
      <c r="C530" s="69"/>
      <c r="D530" s="69"/>
    </row>
    <row r="531" ht="15.75" customHeight="1">
      <c r="A531" s="64"/>
      <c r="B531" s="64"/>
      <c r="C531" s="69"/>
      <c r="D531" s="69"/>
    </row>
    <row r="532" ht="15.75" customHeight="1">
      <c r="A532" s="64"/>
      <c r="B532" s="64"/>
      <c r="C532" s="69"/>
      <c r="D532" s="69"/>
    </row>
    <row r="533" ht="15.75" customHeight="1">
      <c r="A533" s="64"/>
      <c r="B533" s="64"/>
      <c r="C533" s="69"/>
      <c r="D533" s="69"/>
    </row>
    <row r="534" ht="15.75" customHeight="1">
      <c r="A534" s="64"/>
      <c r="B534" s="64"/>
      <c r="C534" s="69"/>
      <c r="D534" s="69"/>
    </row>
    <row r="535" ht="15.75" customHeight="1">
      <c r="A535" s="64"/>
      <c r="B535" s="64"/>
      <c r="C535" s="69"/>
      <c r="D535" s="69"/>
    </row>
    <row r="536" ht="15.75" customHeight="1">
      <c r="A536" s="64"/>
      <c r="B536" s="64"/>
      <c r="C536" s="69"/>
      <c r="D536" s="69"/>
    </row>
    <row r="537" ht="15.75" customHeight="1">
      <c r="A537" s="64"/>
      <c r="B537" s="64"/>
      <c r="C537" s="69"/>
      <c r="D537" s="69"/>
    </row>
    <row r="538" ht="15.75" customHeight="1">
      <c r="A538" s="64"/>
      <c r="B538" s="64"/>
      <c r="C538" s="69"/>
      <c r="D538" s="69"/>
    </row>
    <row r="539" ht="15.75" customHeight="1">
      <c r="A539" s="64"/>
      <c r="B539" s="64"/>
      <c r="C539" s="69"/>
      <c r="D539" s="69"/>
    </row>
    <row r="540" ht="15.75" customHeight="1">
      <c r="A540" s="64"/>
      <c r="B540" s="64"/>
      <c r="C540" s="69"/>
      <c r="D540" s="69"/>
    </row>
    <row r="541" ht="15.75" customHeight="1">
      <c r="A541" s="64"/>
      <c r="B541" s="64"/>
      <c r="C541" s="69"/>
      <c r="D541" s="69"/>
    </row>
    <row r="542" ht="15.75" customHeight="1">
      <c r="A542" s="64"/>
      <c r="B542" s="64"/>
      <c r="C542" s="69"/>
      <c r="D542" s="69"/>
    </row>
    <row r="543" ht="15.75" customHeight="1">
      <c r="A543" s="64"/>
      <c r="B543" s="64"/>
      <c r="C543" s="69"/>
      <c r="D543" s="69"/>
    </row>
    <row r="544" ht="15.75" customHeight="1">
      <c r="A544" s="64"/>
      <c r="B544" s="64"/>
      <c r="C544" s="69"/>
      <c r="D544" s="69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0" t="s">
        <v>362</v>
      </c>
      <c r="B1" s="70" t="s">
        <v>363</v>
      </c>
      <c r="C1" s="91" t="s">
        <v>376</v>
      </c>
      <c r="D1" s="91" t="s">
        <v>377</v>
      </c>
    </row>
    <row r="2" ht="15.75" customHeight="1">
      <c r="A2" s="76">
        <v>1.0</v>
      </c>
      <c r="B2" s="76" t="s">
        <v>364</v>
      </c>
      <c r="C2" s="78">
        <v>6.45581450740718</v>
      </c>
      <c r="D2" s="78">
        <v>4.773997793953755</v>
      </c>
    </row>
    <row r="3" ht="15.75" customHeight="1">
      <c r="A3" s="76">
        <v>2.0</v>
      </c>
      <c r="B3" s="76" t="s">
        <v>365</v>
      </c>
      <c r="C3" s="78">
        <v>35.36932810448343</v>
      </c>
      <c r="D3" s="78">
        <v>132.80616989308052</v>
      </c>
    </row>
    <row r="4" ht="15.75" customHeight="1">
      <c r="A4" s="76">
        <v>3.0</v>
      </c>
      <c r="B4" s="76" t="s">
        <v>124</v>
      </c>
      <c r="C4" s="78">
        <v>17.765955699950737</v>
      </c>
      <c r="D4" s="78">
        <v>95.78754035123158</v>
      </c>
    </row>
    <row r="5" ht="15.75" customHeight="1">
      <c r="A5" s="76">
        <v>4.0</v>
      </c>
      <c r="B5" s="76" t="s">
        <v>172</v>
      </c>
      <c r="C5" s="78">
        <v>1.3416179093280143</v>
      </c>
      <c r="D5" s="78">
        <v>9.696494717932294</v>
      </c>
    </row>
    <row r="6" ht="15.75" customHeight="1">
      <c r="A6" s="76">
        <v>5.0</v>
      </c>
      <c r="B6" s="76" t="s">
        <v>206</v>
      </c>
      <c r="C6" s="78">
        <v>2.290168539250707</v>
      </c>
      <c r="D6" s="78">
        <v>21.736277493935532</v>
      </c>
    </row>
    <row r="7" ht="15.75" customHeight="1">
      <c r="A7" s="76">
        <v>6.0</v>
      </c>
      <c r="B7" s="76" t="s">
        <v>248</v>
      </c>
      <c r="C7" s="78">
        <v>29.29318429879031</v>
      </c>
      <c r="D7" s="78">
        <v>71.26058842631707</v>
      </c>
    </row>
    <row r="8" ht="15.75" customHeight="1">
      <c r="A8" s="76">
        <v>7.0</v>
      </c>
      <c r="B8" s="76" t="s">
        <v>366</v>
      </c>
      <c r="C8" s="78">
        <v>45.51746138473134</v>
      </c>
      <c r="D8" s="78">
        <v>120.11171973481328</v>
      </c>
      <c r="F8" s="64"/>
    </row>
    <row r="9" ht="15.75" customHeight="1">
      <c r="A9" s="76">
        <v>8.0</v>
      </c>
      <c r="B9" s="76" t="s">
        <v>367</v>
      </c>
      <c r="C9" s="78">
        <v>24.13362158667181</v>
      </c>
      <c r="D9" s="78">
        <v>46.170402341252604</v>
      </c>
    </row>
    <row r="10" ht="15.75" customHeight="1">
      <c r="A10" s="76">
        <v>9.0</v>
      </c>
      <c r="B10" s="76" t="s">
        <v>368</v>
      </c>
      <c r="C10" s="78">
        <v>18.566836052092366</v>
      </c>
      <c r="D10" s="78">
        <v>43.07551015938929</v>
      </c>
    </row>
    <row r="11" ht="15.75" customHeight="1">
      <c r="A11" s="76">
        <v>10.0</v>
      </c>
      <c r="B11" s="76" t="s">
        <v>370</v>
      </c>
      <c r="C11" s="78">
        <v>29.56415825300348</v>
      </c>
      <c r="D11" s="78">
        <v>71.53466309428502</v>
      </c>
    </row>
    <row r="12" ht="15.75" customHeight="1">
      <c r="A12" s="76">
        <v>11.0</v>
      </c>
      <c r="B12" s="76" t="s">
        <v>369</v>
      </c>
      <c r="C12" s="78">
        <v>27.967838571166535</v>
      </c>
      <c r="D12" s="78">
        <v>93.58922878352261</v>
      </c>
    </row>
    <row r="13" ht="15.75" customHeight="1"/>
    <row r="14" ht="15.75" customHeight="1">
      <c r="C14" s="67"/>
      <c r="D14" s="67"/>
    </row>
    <row r="15" ht="15.75" customHeight="1">
      <c r="C15" s="67"/>
      <c r="D15" s="67"/>
    </row>
    <row r="16" ht="15.75" customHeight="1">
      <c r="C16" s="67"/>
      <c r="D16" s="67"/>
    </row>
    <row r="17" ht="15.75" customHeight="1">
      <c r="C17" s="67"/>
      <c r="D17" s="67"/>
    </row>
    <row r="18" ht="15.75" customHeight="1">
      <c r="C18" s="67"/>
      <c r="D18" s="67"/>
    </row>
    <row r="19" ht="15.75" customHeight="1">
      <c r="C19" s="67"/>
      <c r="D19" s="67"/>
    </row>
    <row r="20" ht="15.75" customHeight="1">
      <c r="C20" s="67"/>
      <c r="D20" s="67"/>
    </row>
    <row r="21" ht="15.75" customHeight="1">
      <c r="C21" s="67"/>
      <c r="D21" s="67"/>
    </row>
    <row r="22" ht="15.75" customHeight="1">
      <c r="C22" s="67"/>
      <c r="D22" s="67"/>
    </row>
    <row r="23" ht="15.75" customHeight="1">
      <c r="C23" s="67"/>
      <c r="D23" s="67"/>
    </row>
    <row r="24" ht="15.75" customHeight="1">
      <c r="C24" s="67"/>
      <c r="D24" s="67"/>
    </row>
    <row r="25" ht="15.75" customHeight="1">
      <c r="C25" s="67"/>
      <c r="D25" s="67"/>
    </row>
    <row r="26" ht="15.75" customHeight="1">
      <c r="C26" s="67"/>
      <c r="D26" s="67"/>
    </row>
    <row r="27" ht="15.75" customHeight="1">
      <c r="C27" s="67"/>
      <c r="D27" s="67"/>
    </row>
    <row r="28" ht="15.75" customHeight="1">
      <c r="C28" s="67"/>
      <c r="D28" s="67"/>
    </row>
    <row r="29" ht="15.75" customHeight="1">
      <c r="C29" s="67"/>
      <c r="D29" s="67"/>
    </row>
    <row r="30" ht="15.75" customHeight="1">
      <c r="C30" s="67"/>
      <c r="D30" s="67"/>
    </row>
    <row r="31" ht="15.75" customHeight="1">
      <c r="C31" s="67"/>
      <c r="D31" s="67"/>
    </row>
    <row r="32" ht="15.75" customHeight="1">
      <c r="C32" s="67"/>
      <c r="D32" s="67"/>
    </row>
    <row r="33" ht="15.75" customHeight="1">
      <c r="C33" s="67"/>
      <c r="D33" s="67"/>
    </row>
    <row r="34" ht="15.75" customHeight="1">
      <c r="C34" s="67"/>
      <c r="D34" s="67"/>
    </row>
    <row r="35" ht="15.75" customHeight="1">
      <c r="C35" s="67"/>
      <c r="D35" s="67"/>
    </row>
    <row r="36" ht="15.75" customHeight="1">
      <c r="C36" s="67"/>
      <c r="D36" s="67"/>
    </row>
    <row r="37" ht="15.75" customHeight="1">
      <c r="C37" s="67"/>
      <c r="D37" s="67"/>
    </row>
    <row r="38" ht="15.75" customHeight="1">
      <c r="C38" s="67"/>
      <c r="D38" s="67"/>
    </row>
    <row r="39" ht="15.75" customHeight="1">
      <c r="C39" s="67"/>
      <c r="D39" s="67"/>
    </row>
    <row r="40" ht="15.75" customHeight="1">
      <c r="C40" s="67"/>
      <c r="D40" s="67"/>
    </row>
    <row r="41" ht="15.75" customHeight="1">
      <c r="C41" s="67"/>
      <c r="D41" s="67"/>
    </row>
    <row r="42" ht="15.75" customHeight="1">
      <c r="C42" s="67"/>
      <c r="D42" s="67"/>
    </row>
    <row r="43" ht="15.75" customHeight="1">
      <c r="C43" s="67"/>
      <c r="D43" s="67"/>
    </row>
    <row r="44" ht="15.75" customHeight="1">
      <c r="C44" s="67"/>
      <c r="D44" s="67"/>
    </row>
    <row r="45" ht="15.75" customHeight="1">
      <c r="C45" s="67"/>
      <c r="D45" s="67"/>
    </row>
    <row r="46" ht="15.75" customHeight="1">
      <c r="C46" s="67"/>
      <c r="D46" s="67"/>
    </row>
    <row r="47" ht="15.75" customHeight="1">
      <c r="C47" s="67"/>
      <c r="D47" s="67"/>
    </row>
    <row r="48" ht="15.75" customHeight="1">
      <c r="C48" s="67"/>
      <c r="D48" s="67"/>
    </row>
    <row r="49" ht="15.75" customHeight="1">
      <c r="C49" s="67"/>
      <c r="D49" s="67"/>
    </row>
    <row r="50" ht="15.75" customHeight="1">
      <c r="C50" s="67"/>
      <c r="D50" s="67"/>
    </row>
    <row r="51" ht="15.75" customHeight="1">
      <c r="C51" s="67"/>
      <c r="D51" s="67"/>
    </row>
    <row r="52" ht="15.75" customHeight="1">
      <c r="C52" s="67"/>
      <c r="D52" s="67"/>
    </row>
    <row r="53" ht="15.75" customHeight="1">
      <c r="C53" s="67"/>
      <c r="D53" s="67"/>
    </row>
    <row r="54" ht="15.75" customHeight="1">
      <c r="C54" s="67"/>
      <c r="D54" s="67"/>
    </row>
    <row r="55" ht="15.75" customHeight="1">
      <c r="C55" s="67"/>
      <c r="D55" s="67"/>
    </row>
    <row r="56" ht="15.75" customHeight="1">
      <c r="C56" s="67"/>
      <c r="D56" s="67"/>
    </row>
    <row r="57" ht="15.75" customHeight="1">
      <c r="C57" s="67"/>
      <c r="D57" s="67"/>
    </row>
    <row r="58" ht="15.75" customHeight="1">
      <c r="C58" s="67"/>
      <c r="D58" s="67"/>
    </row>
    <row r="59" ht="15.75" customHeight="1">
      <c r="C59" s="67"/>
      <c r="D59" s="67"/>
    </row>
    <row r="60" ht="15.75" customHeight="1">
      <c r="C60" s="67"/>
      <c r="D60" s="67"/>
    </row>
    <row r="61" ht="15.75" customHeight="1">
      <c r="C61" s="67"/>
      <c r="D61" s="67"/>
    </row>
    <row r="62" ht="15.75" customHeight="1">
      <c r="C62" s="67"/>
      <c r="D62" s="67"/>
    </row>
    <row r="63" ht="15.75" customHeight="1">
      <c r="C63" s="67"/>
      <c r="D63" s="67"/>
    </row>
    <row r="64" ht="15.75" customHeight="1">
      <c r="C64" s="67"/>
      <c r="D64" s="67"/>
    </row>
    <row r="65" ht="15.75" customHeight="1">
      <c r="C65" s="67"/>
      <c r="D65" s="67"/>
    </row>
    <row r="66" ht="15.75" customHeight="1">
      <c r="C66" s="67"/>
      <c r="D66" s="67"/>
    </row>
    <row r="67" ht="15.75" customHeight="1">
      <c r="C67" s="67"/>
      <c r="D67" s="67"/>
    </row>
    <row r="68" ht="15.75" customHeight="1">
      <c r="C68" s="67"/>
      <c r="D68" s="67"/>
    </row>
    <row r="69" ht="15.75" customHeight="1">
      <c r="C69" s="67"/>
      <c r="D69" s="67"/>
    </row>
    <row r="70" ht="15.75" customHeight="1">
      <c r="C70" s="67"/>
      <c r="D70" s="67"/>
    </row>
    <row r="71" ht="15.75" customHeight="1">
      <c r="C71" s="67"/>
      <c r="D71" s="67"/>
    </row>
    <row r="72" ht="15.75" customHeight="1">
      <c r="C72" s="67"/>
      <c r="D72" s="67"/>
    </row>
    <row r="73" ht="15.75" customHeight="1">
      <c r="C73" s="67"/>
      <c r="D73" s="67"/>
    </row>
    <row r="74" ht="15.75" customHeight="1">
      <c r="C74" s="67"/>
      <c r="D74" s="67"/>
    </row>
    <row r="75" ht="15.75" customHeight="1">
      <c r="C75" s="67"/>
      <c r="D75" s="67"/>
    </row>
    <row r="76" ht="15.75" customHeight="1">
      <c r="C76" s="67"/>
      <c r="D76" s="67"/>
    </row>
    <row r="77" ht="15.75" customHeight="1">
      <c r="C77" s="67"/>
      <c r="D77" s="67"/>
    </row>
    <row r="78" ht="15.75" customHeight="1">
      <c r="C78" s="67"/>
      <c r="D78" s="67"/>
    </row>
    <row r="79" ht="15.75" customHeight="1">
      <c r="C79" s="67"/>
      <c r="D79" s="67"/>
    </row>
    <row r="80" ht="15.75" customHeight="1">
      <c r="C80" s="67"/>
      <c r="D80" s="67"/>
    </row>
    <row r="81" ht="15.75" customHeight="1">
      <c r="C81" s="67"/>
      <c r="D81" s="67"/>
    </row>
    <row r="82" ht="15.75" customHeight="1">
      <c r="C82" s="67"/>
      <c r="D82" s="67"/>
    </row>
    <row r="83" ht="15.75" customHeight="1">
      <c r="C83" s="67"/>
      <c r="D83" s="67"/>
    </row>
    <row r="84" ht="15.75" customHeight="1">
      <c r="C84" s="67"/>
      <c r="D84" s="67"/>
    </row>
    <row r="85" ht="15.75" customHeight="1">
      <c r="C85" s="67"/>
      <c r="D85" s="67"/>
    </row>
    <row r="86" ht="15.75" customHeight="1">
      <c r="C86" s="67"/>
      <c r="D86" s="67"/>
    </row>
    <row r="87" ht="15.75" customHeight="1">
      <c r="C87" s="67"/>
      <c r="D87" s="67"/>
    </row>
    <row r="88" ht="15.75" customHeight="1">
      <c r="C88" s="67"/>
      <c r="D88" s="67"/>
    </row>
    <row r="89" ht="15.75" customHeight="1">
      <c r="C89" s="67"/>
      <c r="D89" s="67"/>
    </row>
    <row r="90" ht="15.75" customHeight="1">
      <c r="C90" s="67"/>
      <c r="D90" s="67"/>
    </row>
    <row r="91" ht="15.75" customHeight="1">
      <c r="C91" s="67"/>
      <c r="D91" s="67"/>
    </row>
    <row r="92" ht="15.75" customHeight="1">
      <c r="C92" s="67"/>
      <c r="D92" s="67"/>
    </row>
    <row r="93" ht="15.75" customHeight="1">
      <c r="C93" s="67"/>
      <c r="D93" s="67"/>
    </row>
    <row r="94" ht="15.75" customHeight="1">
      <c r="C94" s="67"/>
      <c r="D94" s="67"/>
    </row>
    <row r="95" ht="15.75" customHeight="1">
      <c r="C95" s="67"/>
      <c r="D95" s="67"/>
    </row>
    <row r="96" ht="15.75" customHeight="1">
      <c r="C96" s="67"/>
      <c r="D96" s="67"/>
    </row>
    <row r="97" ht="15.75" customHeight="1">
      <c r="C97" s="67"/>
      <c r="D97" s="67"/>
    </row>
    <row r="98" ht="15.75" customHeight="1">
      <c r="C98" s="67"/>
      <c r="D98" s="67"/>
    </row>
    <row r="99" ht="15.75" customHeight="1">
      <c r="C99" s="67"/>
      <c r="D99" s="67"/>
    </row>
    <row r="100" ht="15.75" customHeight="1">
      <c r="C100" s="67"/>
      <c r="D100" s="67"/>
    </row>
    <row r="101" ht="15.75" customHeight="1">
      <c r="C101" s="67"/>
      <c r="D101" s="67"/>
    </row>
    <row r="102" ht="15.75" customHeight="1">
      <c r="C102" s="67"/>
      <c r="D102" s="67"/>
    </row>
    <row r="103" ht="15.75" customHeight="1">
      <c r="C103" s="67"/>
      <c r="D103" s="67"/>
    </row>
    <row r="104" ht="15.75" customHeight="1">
      <c r="C104" s="67"/>
      <c r="D104" s="67"/>
    </row>
    <row r="105" ht="15.75" customHeight="1">
      <c r="C105" s="67"/>
      <c r="D105" s="67"/>
    </row>
    <row r="106" ht="15.75" customHeight="1">
      <c r="C106" s="67"/>
      <c r="D106" s="67"/>
    </row>
    <row r="107" ht="15.75" customHeight="1">
      <c r="C107" s="67"/>
      <c r="D107" s="67"/>
    </row>
    <row r="108" ht="15.75" customHeight="1">
      <c r="C108" s="67"/>
      <c r="D108" s="67"/>
    </row>
    <row r="109" ht="15.75" customHeight="1">
      <c r="C109" s="67"/>
      <c r="D109" s="67"/>
    </row>
    <row r="110" ht="15.75" customHeight="1">
      <c r="C110" s="67"/>
      <c r="D110" s="67"/>
    </row>
    <row r="111" ht="15.75" customHeight="1">
      <c r="C111" s="67"/>
      <c r="D111" s="67"/>
    </row>
    <row r="112" ht="15.75" customHeight="1">
      <c r="C112" s="67"/>
      <c r="D112" s="67"/>
    </row>
    <row r="113" ht="15.75" customHeight="1">
      <c r="C113" s="67"/>
      <c r="D113" s="67"/>
    </row>
    <row r="114" ht="15.75" customHeight="1">
      <c r="C114" s="67"/>
      <c r="D114" s="67"/>
    </row>
    <row r="115" ht="15.75" customHeight="1">
      <c r="C115" s="67"/>
      <c r="D115" s="67"/>
    </row>
    <row r="116" ht="15.75" customHeight="1">
      <c r="C116" s="67"/>
      <c r="D116" s="67"/>
    </row>
    <row r="117" ht="15.75" customHeight="1">
      <c r="C117" s="67"/>
      <c r="D117" s="67"/>
    </row>
    <row r="118" ht="15.75" customHeight="1">
      <c r="C118" s="67"/>
      <c r="D118" s="67"/>
    </row>
    <row r="119" ht="15.75" customHeight="1">
      <c r="C119" s="67"/>
      <c r="D119" s="67"/>
    </row>
    <row r="120" ht="15.75" customHeight="1">
      <c r="C120" s="67"/>
      <c r="D120" s="67"/>
    </row>
    <row r="121" ht="15.75" customHeight="1">
      <c r="C121" s="67"/>
      <c r="D121" s="67"/>
    </row>
    <row r="122" ht="15.75" customHeight="1">
      <c r="C122" s="67"/>
      <c r="D122" s="67"/>
    </row>
    <row r="123" ht="15.75" customHeight="1">
      <c r="C123" s="67"/>
      <c r="D123" s="67"/>
    </row>
    <row r="124" ht="15.75" customHeight="1">
      <c r="C124" s="67"/>
      <c r="D124" s="67"/>
    </row>
    <row r="125" ht="15.75" customHeight="1">
      <c r="C125" s="67"/>
      <c r="D125" s="67"/>
    </row>
    <row r="126" ht="15.75" customHeight="1">
      <c r="C126" s="67"/>
      <c r="D126" s="67"/>
    </row>
    <row r="127" ht="15.75" customHeight="1">
      <c r="C127" s="67"/>
      <c r="D127" s="67"/>
    </row>
    <row r="128" ht="15.75" customHeight="1">
      <c r="C128" s="67"/>
      <c r="D128" s="67"/>
    </row>
    <row r="129" ht="15.75" customHeight="1">
      <c r="C129" s="67"/>
      <c r="D129" s="67"/>
    </row>
    <row r="130" ht="15.75" customHeight="1">
      <c r="C130" s="67"/>
      <c r="D130" s="67"/>
    </row>
    <row r="131" ht="15.75" customHeight="1">
      <c r="C131" s="67"/>
      <c r="D131" s="67"/>
    </row>
    <row r="132" ht="15.75" customHeight="1">
      <c r="C132" s="67"/>
      <c r="D132" s="67"/>
    </row>
    <row r="133" ht="15.75" customHeight="1">
      <c r="C133" s="67"/>
      <c r="D133" s="67"/>
    </row>
    <row r="134" ht="15.75" customHeight="1">
      <c r="C134" s="67"/>
      <c r="D134" s="67"/>
    </row>
    <row r="135" ht="15.75" customHeight="1">
      <c r="C135" s="67"/>
      <c r="D135" s="67"/>
    </row>
    <row r="136" ht="15.75" customHeight="1">
      <c r="C136" s="67"/>
      <c r="D136" s="67"/>
    </row>
    <row r="137" ht="15.75" customHeight="1">
      <c r="C137" s="67"/>
      <c r="D137" s="67"/>
    </row>
    <row r="138" ht="15.75" customHeight="1">
      <c r="C138" s="67"/>
      <c r="D138" s="67"/>
    </row>
    <row r="139" ht="15.75" customHeight="1">
      <c r="C139" s="67"/>
      <c r="D139" s="67"/>
    </row>
    <row r="140" ht="15.75" customHeight="1">
      <c r="C140" s="67"/>
      <c r="D140" s="67"/>
    </row>
    <row r="141" ht="15.75" customHeight="1">
      <c r="C141" s="67"/>
      <c r="D141" s="67"/>
    </row>
    <row r="142" ht="15.75" customHeight="1">
      <c r="C142" s="67"/>
      <c r="D142" s="67"/>
    </row>
    <row r="143" ht="15.75" customHeight="1">
      <c r="C143" s="67"/>
      <c r="D143" s="67"/>
    </row>
    <row r="144" ht="15.75" customHeight="1">
      <c r="C144" s="67"/>
      <c r="D144" s="67"/>
    </row>
    <row r="145" ht="15.75" customHeight="1">
      <c r="C145" s="67"/>
      <c r="D145" s="67"/>
    </row>
    <row r="146" ht="15.75" customHeight="1">
      <c r="C146" s="67"/>
      <c r="D146" s="67"/>
    </row>
    <row r="147" ht="15.75" customHeight="1">
      <c r="C147" s="67"/>
      <c r="D147" s="67"/>
    </row>
    <row r="148" ht="15.75" customHeight="1">
      <c r="C148" s="67"/>
      <c r="D148" s="67"/>
    </row>
    <row r="149" ht="15.75" customHeight="1">
      <c r="C149" s="67"/>
      <c r="D149" s="67"/>
    </row>
    <row r="150" ht="15.75" customHeight="1">
      <c r="C150" s="67"/>
      <c r="D150" s="67"/>
    </row>
    <row r="151" ht="15.75" customHeight="1">
      <c r="C151" s="67"/>
      <c r="D151" s="67"/>
    </row>
    <row r="152" ht="15.75" customHeight="1">
      <c r="C152" s="67"/>
      <c r="D152" s="67"/>
    </row>
    <row r="153" ht="15.75" customHeight="1">
      <c r="C153" s="67"/>
      <c r="D153" s="67"/>
    </row>
    <row r="154" ht="15.75" customHeight="1">
      <c r="C154" s="67"/>
      <c r="D154" s="67"/>
    </row>
    <row r="155" ht="15.75" customHeight="1">
      <c r="C155" s="67"/>
      <c r="D155" s="67"/>
    </row>
    <row r="156" ht="15.75" customHeight="1">
      <c r="C156" s="67"/>
      <c r="D156" s="67"/>
    </row>
    <row r="157" ht="15.75" customHeight="1">
      <c r="C157" s="67"/>
      <c r="D157" s="67"/>
    </row>
    <row r="158" ht="15.75" customHeight="1">
      <c r="C158" s="67"/>
      <c r="D158" s="67"/>
    </row>
    <row r="159" ht="15.75" customHeight="1">
      <c r="C159" s="67"/>
      <c r="D159" s="67"/>
    </row>
    <row r="160" ht="15.75" customHeight="1">
      <c r="C160" s="67"/>
      <c r="D160" s="67"/>
    </row>
    <row r="161" ht="15.75" customHeight="1">
      <c r="C161" s="67"/>
      <c r="D161" s="67"/>
    </row>
    <row r="162" ht="15.75" customHeight="1">
      <c r="C162" s="67"/>
      <c r="D162" s="67"/>
    </row>
    <row r="163" ht="15.75" customHeight="1">
      <c r="C163" s="67"/>
      <c r="D163" s="67"/>
    </row>
    <row r="164" ht="15.75" customHeight="1">
      <c r="C164" s="67"/>
      <c r="D164" s="67"/>
    </row>
    <row r="165" ht="15.75" customHeight="1">
      <c r="C165" s="67"/>
      <c r="D165" s="67"/>
    </row>
    <row r="166" ht="15.75" customHeight="1">
      <c r="C166" s="67"/>
      <c r="D166" s="67"/>
    </row>
    <row r="167" ht="15.75" customHeight="1">
      <c r="C167" s="67"/>
      <c r="D167" s="67"/>
    </row>
    <row r="168" ht="15.75" customHeight="1">
      <c r="C168" s="67"/>
      <c r="D168" s="67"/>
    </row>
    <row r="169" ht="15.75" customHeight="1">
      <c r="C169" s="67"/>
      <c r="D169" s="67"/>
    </row>
    <row r="170" ht="15.75" customHeight="1">
      <c r="C170" s="67"/>
      <c r="D170" s="67"/>
    </row>
    <row r="171" ht="15.75" customHeight="1">
      <c r="C171" s="67"/>
      <c r="D171" s="67"/>
    </row>
    <row r="172" ht="15.75" customHeight="1">
      <c r="C172" s="67"/>
      <c r="D172" s="67"/>
    </row>
    <row r="173" ht="15.75" customHeight="1">
      <c r="C173" s="67"/>
      <c r="D173" s="67"/>
    </row>
    <row r="174" ht="15.75" customHeight="1">
      <c r="C174" s="67"/>
      <c r="D174" s="67"/>
    </row>
    <row r="175" ht="15.75" customHeight="1">
      <c r="C175" s="67"/>
      <c r="D175" s="67"/>
    </row>
    <row r="176" ht="15.75" customHeight="1">
      <c r="C176" s="67"/>
      <c r="D176" s="67"/>
    </row>
    <row r="177" ht="15.75" customHeight="1">
      <c r="C177" s="67"/>
      <c r="D177" s="67"/>
    </row>
    <row r="178" ht="15.75" customHeight="1">
      <c r="C178" s="67"/>
      <c r="D178" s="67"/>
    </row>
    <row r="179" ht="15.75" customHeight="1">
      <c r="C179" s="67"/>
      <c r="D179" s="67"/>
    </row>
    <row r="180" ht="15.75" customHeight="1">
      <c r="C180" s="67"/>
      <c r="D180" s="67"/>
    </row>
    <row r="181" ht="15.75" customHeight="1">
      <c r="C181" s="67"/>
      <c r="D181" s="67"/>
    </row>
    <row r="182" ht="15.75" customHeight="1">
      <c r="C182" s="67"/>
      <c r="D182" s="67"/>
    </row>
    <row r="183" ht="15.75" customHeight="1">
      <c r="C183" s="67"/>
      <c r="D183" s="67"/>
    </row>
    <row r="184" ht="15.75" customHeight="1">
      <c r="C184" s="67"/>
      <c r="D184" s="67"/>
    </row>
    <row r="185" ht="15.75" customHeight="1">
      <c r="C185" s="67"/>
      <c r="D185" s="67"/>
    </row>
    <row r="186" ht="15.75" customHeight="1">
      <c r="C186" s="67"/>
      <c r="D186" s="67"/>
    </row>
    <row r="187" ht="15.75" customHeight="1">
      <c r="C187" s="67"/>
      <c r="D187" s="67"/>
    </row>
    <row r="188" ht="15.75" customHeight="1">
      <c r="C188" s="67"/>
      <c r="D188" s="67"/>
    </row>
    <row r="189" ht="15.75" customHeight="1">
      <c r="C189" s="67"/>
      <c r="D189" s="67"/>
    </row>
    <row r="190" ht="15.75" customHeight="1">
      <c r="C190" s="67"/>
      <c r="D190" s="67"/>
    </row>
    <row r="191" ht="15.75" customHeight="1">
      <c r="C191" s="67"/>
      <c r="D191" s="67"/>
    </row>
    <row r="192" ht="15.75" customHeight="1">
      <c r="C192" s="67"/>
      <c r="D192" s="67"/>
    </row>
    <row r="193" ht="15.75" customHeight="1">
      <c r="C193" s="67"/>
      <c r="D193" s="67"/>
    </row>
    <row r="194" ht="15.75" customHeight="1">
      <c r="C194" s="67"/>
      <c r="D194" s="67"/>
    </row>
    <row r="195" ht="15.75" customHeight="1">
      <c r="C195" s="67"/>
      <c r="D195" s="67"/>
    </row>
    <row r="196" ht="15.75" customHeight="1">
      <c r="C196" s="67"/>
      <c r="D196" s="67"/>
    </row>
    <row r="197" ht="15.75" customHeight="1">
      <c r="C197" s="67"/>
      <c r="D197" s="67"/>
    </row>
    <row r="198" ht="15.75" customHeight="1">
      <c r="C198" s="67"/>
      <c r="D198" s="67"/>
    </row>
    <row r="199" ht="15.75" customHeight="1">
      <c r="C199" s="67"/>
      <c r="D199" s="67"/>
    </row>
    <row r="200" ht="15.75" customHeight="1">
      <c r="C200" s="67"/>
      <c r="D200" s="67"/>
    </row>
    <row r="201" ht="15.75" customHeight="1">
      <c r="C201" s="67"/>
      <c r="D201" s="67"/>
    </row>
    <row r="202" ht="15.75" customHeight="1">
      <c r="C202" s="67"/>
      <c r="D202" s="67"/>
    </row>
    <row r="203" ht="15.75" customHeight="1">
      <c r="C203" s="67"/>
      <c r="D203" s="67"/>
    </row>
    <row r="204" ht="15.75" customHeight="1">
      <c r="C204" s="67"/>
      <c r="D204" s="67"/>
    </row>
    <row r="205" ht="15.75" customHeight="1">
      <c r="C205" s="67"/>
      <c r="D205" s="67"/>
    </row>
    <row r="206" ht="15.75" customHeight="1">
      <c r="C206" s="67"/>
      <c r="D206" s="67"/>
    </row>
    <row r="207" ht="15.75" customHeight="1">
      <c r="C207" s="67"/>
      <c r="D207" s="67"/>
    </row>
    <row r="208" ht="15.75" customHeight="1">
      <c r="C208" s="67"/>
      <c r="D208" s="67"/>
    </row>
    <row r="209" ht="15.75" customHeight="1">
      <c r="C209" s="67"/>
      <c r="D209" s="67"/>
    </row>
    <row r="210" ht="15.75" customHeight="1">
      <c r="C210" s="67"/>
      <c r="D210" s="67"/>
    </row>
    <row r="211" ht="15.75" customHeight="1">
      <c r="C211" s="67"/>
      <c r="D211" s="67"/>
    </row>
    <row r="212" ht="15.75" customHeight="1">
      <c r="C212" s="67"/>
      <c r="D212" s="67"/>
    </row>
    <row r="213" ht="15.75" customHeight="1">
      <c r="C213" s="67"/>
      <c r="D213" s="67"/>
    </row>
    <row r="214" ht="15.75" customHeight="1">
      <c r="C214" s="67"/>
      <c r="D214" s="67"/>
    </row>
    <row r="215" ht="15.75" customHeight="1">
      <c r="C215" s="67"/>
      <c r="D215" s="67"/>
    </row>
    <row r="216" ht="15.75" customHeight="1">
      <c r="C216" s="67"/>
      <c r="D216" s="67"/>
    </row>
    <row r="217" ht="15.75" customHeight="1">
      <c r="C217" s="67"/>
      <c r="D217" s="67"/>
    </row>
    <row r="218" ht="15.75" customHeight="1">
      <c r="C218" s="67"/>
      <c r="D218" s="67"/>
    </row>
    <row r="219" ht="15.75" customHeight="1">
      <c r="C219" s="67"/>
      <c r="D219" s="67"/>
    </row>
    <row r="220" ht="15.75" customHeight="1">
      <c r="C220" s="67"/>
      <c r="D220" s="6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2.63"/>
    <col customWidth="1" hidden="1" min="6" max="6" width="12.63"/>
  </cols>
  <sheetData>
    <row r="1" ht="15.75" customHeight="1">
      <c r="A1" s="70" t="s">
        <v>362</v>
      </c>
      <c r="B1" s="70" t="s">
        <v>363</v>
      </c>
      <c r="C1" s="92" t="s">
        <v>380</v>
      </c>
      <c r="D1" s="92" t="s">
        <v>381</v>
      </c>
    </row>
    <row r="2" ht="15.75" customHeight="1">
      <c r="A2" s="76">
        <v>1.0</v>
      </c>
      <c r="B2" s="76" t="s">
        <v>364</v>
      </c>
      <c r="C2" s="77">
        <v>3765270.6666666665</v>
      </c>
      <c r="D2" s="77">
        <v>2883491.6666666665</v>
      </c>
    </row>
    <row r="3" ht="15.75" customHeight="1">
      <c r="A3" s="76">
        <v>2.0</v>
      </c>
      <c r="B3" s="76" t="s">
        <v>365</v>
      </c>
      <c r="C3" s="77">
        <v>9.718908933333333E7</v>
      </c>
      <c r="D3" s="77">
        <v>3.988165546666667E8</v>
      </c>
    </row>
    <row r="4" ht="15.75" customHeight="1">
      <c r="A4" s="76">
        <v>3.0</v>
      </c>
      <c r="B4" s="76" t="s">
        <v>124</v>
      </c>
      <c r="C4" s="77">
        <v>3.1531998333333332E7</v>
      </c>
      <c r="D4" s="77">
        <v>1.9110300633333334E8</v>
      </c>
    </row>
    <row r="5" ht="15.75" customHeight="1">
      <c r="A5" s="76">
        <v>4.0</v>
      </c>
      <c r="B5" s="76" t="s">
        <v>172</v>
      </c>
      <c r="C5" s="77">
        <v>669118.3333333334</v>
      </c>
      <c r="D5" s="77">
        <v>5482237.0</v>
      </c>
    </row>
    <row r="6" ht="15.75" customHeight="1">
      <c r="A6" s="76">
        <v>5.0</v>
      </c>
      <c r="B6" s="76" t="s">
        <v>206</v>
      </c>
      <c r="C6" s="77">
        <v>1901372.0</v>
      </c>
      <c r="D6" s="77">
        <v>1.8665360333333332E7</v>
      </c>
    </row>
    <row r="7" ht="15.75" customHeight="1">
      <c r="A7" s="76">
        <v>6.0</v>
      </c>
      <c r="B7" s="76" t="s">
        <v>248</v>
      </c>
      <c r="C7" s="77">
        <v>1.4232647333333334E7</v>
      </c>
      <c r="D7" s="77">
        <v>3.7770273E7</v>
      </c>
    </row>
    <row r="8" ht="15.75" customHeight="1">
      <c r="A8" s="76">
        <v>7.0</v>
      </c>
      <c r="B8" s="76" t="s">
        <v>366</v>
      </c>
      <c r="C8" s="77">
        <v>1.2219983566666667E8</v>
      </c>
      <c r="D8" s="77">
        <v>3.707878773333333E8</v>
      </c>
    </row>
    <row r="9" ht="15.75" customHeight="1">
      <c r="A9" s="76">
        <v>8.0</v>
      </c>
      <c r="B9" s="76" t="s">
        <v>367</v>
      </c>
      <c r="C9" s="77">
        <v>1.0253307333333334E7</v>
      </c>
      <c r="D9" s="77">
        <v>2.2340459666666668E7</v>
      </c>
    </row>
    <row r="10" ht="15.75" customHeight="1">
      <c r="A10" s="76">
        <v>9.0</v>
      </c>
      <c r="B10" s="76" t="s">
        <v>368</v>
      </c>
      <c r="C10" s="77">
        <v>2072099.0</v>
      </c>
      <c r="D10" s="77">
        <v>5698529.666666667</v>
      </c>
    </row>
    <row r="11" ht="15.75" customHeight="1">
      <c r="A11" s="76">
        <v>10.0</v>
      </c>
      <c r="B11" s="76" t="s">
        <v>370</v>
      </c>
      <c r="C11" s="77">
        <v>4376433.333333333</v>
      </c>
      <c r="D11" s="77">
        <v>1.1319687E7</v>
      </c>
    </row>
    <row r="12" ht="15.75" customHeight="1">
      <c r="A12" s="76">
        <v>11.0</v>
      </c>
      <c r="B12" s="76" t="s">
        <v>369</v>
      </c>
      <c r="C12" s="77">
        <v>2.83814738E8</v>
      </c>
      <c r="D12" s="77">
        <v>1.0535477896666666E9</v>
      </c>
    </row>
    <row r="13" ht="15.75" customHeight="1"/>
    <row r="14" ht="15.75" customHeight="1">
      <c r="C14" s="69"/>
      <c r="D14" s="69"/>
    </row>
    <row r="15" ht="15.75" customHeight="1">
      <c r="C15" s="69"/>
      <c r="D15" s="69"/>
    </row>
    <row r="16" ht="15.75" customHeight="1">
      <c r="C16" s="69"/>
      <c r="D16" s="69"/>
    </row>
    <row r="17" ht="15.75" customHeight="1">
      <c r="C17" s="69"/>
      <c r="D17" s="69"/>
    </row>
    <row r="18" ht="15.75" customHeight="1">
      <c r="C18" s="69"/>
      <c r="D18" s="69"/>
    </row>
    <row r="19" ht="15.75" customHeight="1">
      <c r="C19" s="69"/>
      <c r="D19" s="69"/>
    </row>
    <row r="20" ht="15.75" customHeight="1">
      <c r="C20" s="69"/>
      <c r="D20" s="69"/>
    </row>
    <row r="21" ht="15.75" customHeight="1">
      <c r="C21" s="69"/>
      <c r="D21" s="69"/>
    </row>
    <row r="22" ht="15.75" customHeight="1">
      <c r="C22" s="69"/>
      <c r="D22" s="69"/>
    </row>
    <row r="23" ht="15.75" customHeight="1">
      <c r="C23" s="69"/>
      <c r="D23" s="69"/>
    </row>
    <row r="24" ht="15.75" customHeight="1">
      <c r="C24" s="69"/>
      <c r="D24" s="69"/>
    </row>
    <row r="25" ht="15.75" customHeight="1">
      <c r="C25" s="69"/>
      <c r="D25" s="69"/>
    </row>
    <row r="26" ht="15.75" customHeight="1">
      <c r="C26" s="69"/>
      <c r="D26" s="69"/>
    </row>
    <row r="27" ht="15.75" customHeight="1">
      <c r="C27" s="69"/>
      <c r="D27" s="69"/>
    </row>
    <row r="28" ht="15.75" customHeight="1">
      <c r="C28" s="69"/>
      <c r="D28" s="69"/>
    </row>
    <row r="29" ht="15.75" customHeight="1">
      <c r="C29" s="69"/>
      <c r="D29" s="69"/>
    </row>
    <row r="30" ht="15.75" customHeight="1">
      <c r="C30" s="69"/>
      <c r="D30" s="69"/>
    </row>
    <row r="31" ht="15.75" customHeight="1">
      <c r="C31" s="69"/>
      <c r="D31" s="69"/>
    </row>
    <row r="32" ht="15.75" customHeight="1">
      <c r="C32" s="69"/>
      <c r="D32" s="69"/>
    </row>
    <row r="33" ht="15.75" customHeight="1">
      <c r="C33" s="69"/>
      <c r="D33" s="69"/>
    </row>
    <row r="34" ht="15.75" customHeight="1">
      <c r="C34" s="69"/>
      <c r="D34" s="69"/>
    </row>
    <row r="35" ht="15.75" customHeight="1">
      <c r="C35" s="69"/>
      <c r="D35" s="69"/>
    </row>
    <row r="36" ht="15.75" customHeight="1">
      <c r="C36" s="69"/>
      <c r="D36" s="69"/>
    </row>
    <row r="37" ht="15.75" customHeight="1">
      <c r="C37" s="69"/>
      <c r="D37" s="69"/>
    </row>
    <row r="38" ht="15.75" customHeight="1">
      <c r="C38" s="69"/>
      <c r="D38" s="69"/>
    </row>
    <row r="39" ht="15.75" customHeight="1">
      <c r="C39" s="69"/>
      <c r="D39" s="69"/>
    </row>
    <row r="40" ht="15.75" customHeight="1">
      <c r="C40" s="69"/>
      <c r="D40" s="69"/>
    </row>
    <row r="41" ht="15.75" customHeight="1">
      <c r="C41" s="69"/>
      <c r="D41" s="69"/>
    </row>
    <row r="42" ht="15.75" customHeight="1">
      <c r="C42" s="69"/>
      <c r="D42" s="69"/>
    </row>
    <row r="43" ht="15.75" customHeight="1">
      <c r="C43" s="69"/>
      <c r="D43" s="69"/>
    </row>
    <row r="44" ht="15.75" customHeight="1">
      <c r="C44" s="69"/>
      <c r="D44" s="69"/>
    </row>
    <row r="45" ht="15.75" customHeight="1">
      <c r="C45" s="69"/>
      <c r="D45" s="69"/>
    </row>
    <row r="46" ht="15.75" customHeight="1">
      <c r="C46" s="69"/>
      <c r="D46" s="69"/>
    </row>
    <row r="47" ht="15.75" customHeight="1">
      <c r="C47" s="69"/>
      <c r="D47" s="69"/>
    </row>
    <row r="48" ht="15.75" customHeight="1">
      <c r="C48" s="69"/>
      <c r="D48" s="69"/>
    </row>
    <row r="49" ht="15.75" customHeight="1">
      <c r="C49" s="69"/>
      <c r="D49" s="69"/>
    </row>
    <row r="50" ht="15.75" customHeight="1">
      <c r="C50" s="69"/>
      <c r="D50" s="69"/>
    </row>
    <row r="51" ht="15.75" customHeight="1">
      <c r="C51" s="69"/>
      <c r="D51" s="69"/>
    </row>
    <row r="52" ht="15.75" customHeight="1">
      <c r="C52" s="69"/>
      <c r="D52" s="69"/>
    </row>
    <row r="53" ht="15.75" customHeight="1">
      <c r="C53" s="69"/>
      <c r="D53" s="69"/>
    </row>
    <row r="54" ht="15.75" customHeight="1">
      <c r="C54" s="69"/>
      <c r="D54" s="69"/>
    </row>
    <row r="55" ht="15.75" customHeight="1">
      <c r="C55" s="69"/>
      <c r="D55" s="69"/>
    </row>
    <row r="56" ht="15.75" customHeight="1">
      <c r="C56" s="69"/>
      <c r="D56" s="69"/>
    </row>
    <row r="57" ht="15.75" customHeight="1">
      <c r="C57" s="69"/>
      <c r="D57" s="69"/>
    </row>
    <row r="58" ht="15.75" customHeight="1">
      <c r="C58" s="69"/>
      <c r="D58" s="69"/>
    </row>
    <row r="59" ht="15.75" customHeight="1">
      <c r="C59" s="69"/>
      <c r="D59" s="69"/>
    </row>
    <row r="60" ht="15.75" customHeight="1">
      <c r="C60" s="69"/>
      <c r="D60" s="69"/>
    </row>
    <row r="61" ht="15.75" customHeight="1">
      <c r="C61" s="69"/>
      <c r="D61" s="69"/>
    </row>
    <row r="62" ht="15.75" customHeight="1">
      <c r="C62" s="69"/>
      <c r="D62" s="69"/>
    </row>
    <row r="63" ht="15.75" customHeight="1">
      <c r="C63" s="69"/>
      <c r="D63" s="69"/>
    </row>
    <row r="64" ht="15.75" customHeight="1">
      <c r="C64" s="69"/>
      <c r="D64" s="69"/>
    </row>
    <row r="65" ht="15.75" customHeight="1">
      <c r="C65" s="69"/>
      <c r="D65" s="69"/>
    </row>
    <row r="66" ht="15.75" customHeight="1">
      <c r="C66" s="69"/>
      <c r="D66" s="69"/>
    </row>
    <row r="67" ht="15.75" customHeight="1">
      <c r="C67" s="69"/>
      <c r="D67" s="69"/>
    </row>
    <row r="68" ht="15.75" customHeight="1">
      <c r="C68" s="69"/>
      <c r="D68" s="69"/>
    </row>
    <row r="69" ht="15.75" customHeight="1">
      <c r="C69" s="69"/>
      <c r="D69" s="69"/>
    </row>
    <row r="70" ht="15.75" customHeight="1">
      <c r="C70" s="69"/>
      <c r="D70" s="69"/>
    </row>
    <row r="71" ht="15.75" customHeight="1">
      <c r="C71" s="69"/>
      <c r="D71" s="69"/>
    </row>
    <row r="72" ht="15.75" customHeight="1">
      <c r="C72" s="69"/>
      <c r="D72" s="69"/>
    </row>
    <row r="73" ht="15.75" customHeight="1">
      <c r="C73" s="69"/>
      <c r="D73" s="69"/>
    </row>
    <row r="74" ht="15.75" customHeight="1">
      <c r="C74" s="69"/>
      <c r="D74" s="69"/>
    </row>
    <row r="75" ht="15.75" customHeight="1">
      <c r="C75" s="69"/>
      <c r="D75" s="69"/>
    </row>
    <row r="76" ht="15.75" customHeight="1">
      <c r="C76" s="69"/>
      <c r="D76" s="69"/>
    </row>
    <row r="77" ht="15.75" customHeight="1">
      <c r="C77" s="69"/>
      <c r="D77" s="69"/>
    </row>
    <row r="78" ht="15.75" customHeight="1">
      <c r="C78" s="69"/>
      <c r="D78" s="69"/>
    </row>
    <row r="79" ht="15.75" customHeight="1">
      <c r="C79" s="69"/>
      <c r="D79" s="69"/>
    </row>
    <row r="80" ht="15.75" customHeight="1">
      <c r="C80" s="69"/>
      <c r="D80" s="69"/>
    </row>
    <row r="81" ht="15.75" customHeight="1">
      <c r="C81" s="69"/>
      <c r="D81" s="69"/>
    </row>
    <row r="82" ht="15.75" customHeight="1">
      <c r="C82" s="69"/>
      <c r="D82" s="69"/>
    </row>
    <row r="83" ht="15.75" customHeight="1">
      <c r="C83" s="69"/>
      <c r="D83" s="69"/>
    </row>
    <row r="84" ht="15.75" customHeight="1">
      <c r="C84" s="69"/>
      <c r="D84" s="69"/>
    </row>
    <row r="85" ht="15.75" customHeight="1">
      <c r="C85" s="69"/>
      <c r="D85" s="69"/>
    </row>
    <row r="86" ht="15.75" customHeight="1">
      <c r="C86" s="69"/>
      <c r="D86" s="69"/>
    </row>
    <row r="87" ht="15.75" customHeight="1">
      <c r="C87" s="69"/>
      <c r="D87" s="69"/>
    </row>
    <row r="88" ht="15.75" customHeight="1">
      <c r="C88" s="69"/>
      <c r="D88" s="69"/>
    </row>
    <row r="89" ht="15.75" customHeight="1">
      <c r="C89" s="69"/>
      <c r="D89" s="69"/>
    </row>
    <row r="90" ht="15.75" customHeight="1">
      <c r="C90" s="69"/>
      <c r="D90" s="69"/>
    </row>
    <row r="91" ht="15.75" customHeight="1">
      <c r="C91" s="69"/>
      <c r="D91" s="69"/>
    </row>
    <row r="92" ht="15.75" customHeight="1">
      <c r="C92" s="69"/>
      <c r="D92" s="69"/>
    </row>
    <row r="93" ht="15.75" customHeight="1">
      <c r="C93" s="69"/>
      <c r="D93" s="69"/>
    </row>
    <row r="94" ht="15.75" customHeight="1">
      <c r="C94" s="69"/>
      <c r="D94" s="69"/>
    </row>
    <row r="95" ht="15.75" customHeight="1">
      <c r="C95" s="69"/>
      <c r="D95" s="69"/>
    </row>
    <row r="96" ht="15.75" customHeight="1">
      <c r="C96" s="69"/>
      <c r="D96" s="69"/>
    </row>
    <row r="97" ht="15.75" customHeight="1">
      <c r="C97" s="69"/>
      <c r="D97" s="69"/>
    </row>
    <row r="98" ht="15.75" customHeight="1">
      <c r="C98" s="69"/>
      <c r="D98" s="69"/>
    </row>
    <row r="99" ht="15.75" customHeight="1">
      <c r="C99" s="69"/>
      <c r="D99" s="69"/>
    </row>
    <row r="100" ht="15.75" customHeight="1">
      <c r="C100" s="69"/>
      <c r="D100" s="69"/>
    </row>
    <row r="101" ht="15.75" customHeight="1">
      <c r="C101" s="69"/>
      <c r="D101" s="69"/>
    </row>
    <row r="102" ht="15.75" customHeight="1">
      <c r="C102" s="69"/>
      <c r="D102" s="69"/>
    </row>
    <row r="103" ht="15.75" customHeight="1">
      <c r="C103" s="69"/>
      <c r="D103" s="69"/>
    </row>
    <row r="104" ht="15.75" customHeight="1">
      <c r="C104" s="69"/>
      <c r="D104" s="69"/>
    </row>
    <row r="105" ht="15.75" customHeight="1">
      <c r="C105" s="69"/>
      <c r="D105" s="69"/>
    </row>
    <row r="106" ht="15.75" customHeight="1">
      <c r="C106" s="69"/>
      <c r="D106" s="69"/>
    </row>
    <row r="107" ht="15.75" customHeight="1">
      <c r="C107" s="69"/>
      <c r="D107" s="69"/>
    </row>
    <row r="108" ht="15.75" customHeight="1">
      <c r="C108" s="69"/>
      <c r="D108" s="69"/>
    </row>
    <row r="109" ht="15.75" customHeight="1">
      <c r="C109" s="69"/>
      <c r="D109" s="69"/>
    </row>
    <row r="110" ht="15.75" customHeight="1">
      <c r="C110" s="69"/>
      <c r="D110" s="69"/>
    </row>
    <row r="111" ht="15.75" customHeight="1">
      <c r="C111" s="69"/>
      <c r="D111" s="69"/>
    </row>
    <row r="112" ht="15.75" customHeight="1">
      <c r="C112" s="69"/>
      <c r="D112" s="69"/>
    </row>
    <row r="113" ht="15.75" customHeight="1">
      <c r="C113" s="69"/>
      <c r="D113" s="69"/>
    </row>
    <row r="114" ht="15.75" customHeight="1">
      <c r="C114" s="69"/>
      <c r="D114" s="69"/>
    </row>
    <row r="115" ht="15.75" customHeight="1">
      <c r="C115" s="69"/>
      <c r="D115" s="69"/>
    </row>
    <row r="116" ht="15.75" customHeight="1">
      <c r="C116" s="69"/>
      <c r="D116" s="69"/>
    </row>
    <row r="117" ht="15.75" customHeight="1">
      <c r="C117" s="69"/>
      <c r="D117" s="69"/>
    </row>
    <row r="118" ht="15.75" customHeight="1">
      <c r="C118" s="69"/>
      <c r="D118" s="69"/>
    </row>
    <row r="119" ht="15.75" customHeight="1">
      <c r="C119" s="69"/>
      <c r="D119" s="69"/>
    </row>
    <row r="120" ht="15.75" customHeight="1">
      <c r="C120" s="69"/>
      <c r="D120" s="69"/>
    </row>
    <row r="121" ht="15.75" customHeight="1">
      <c r="C121" s="69"/>
      <c r="D121" s="69"/>
    </row>
    <row r="122" ht="15.75" customHeight="1">
      <c r="C122" s="69"/>
      <c r="D122" s="69"/>
    </row>
    <row r="123" ht="15.75" customHeight="1">
      <c r="C123" s="69"/>
      <c r="D123" s="69"/>
    </row>
    <row r="124" ht="15.75" customHeight="1">
      <c r="C124" s="69"/>
      <c r="D124" s="69"/>
    </row>
    <row r="125" ht="15.75" customHeight="1">
      <c r="C125" s="69"/>
      <c r="D125" s="69"/>
    </row>
    <row r="126" ht="15.75" customHeight="1">
      <c r="C126" s="69"/>
      <c r="D126" s="69"/>
    </row>
    <row r="127" ht="15.75" customHeight="1">
      <c r="C127" s="69"/>
      <c r="D127" s="69"/>
    </row>
    <row r="128" ht="15.75" customHeight="1">
      <c r="C128" s="69"/>
      <c r="D128" s="69"/>
    </row>
    <row r="129" ht="15.75" customHeight="1">
      <c r="C129" s="69"/>
      <c r="D129" s="69"/>
    </row>
    <row r="130" ht="15.75" customHeight="1">
      <c r="C130" s="69"/>
      <c r="D130" s="69"/>
    </row>
    <row r="131" ht="15.75" customHeight="1">
      <c r="C131" s="69"/>
      <c r="D131" s="69"/>
    </row>
    <row r="132" ht="15.75" customHeight="1">
      <c r="C132" s="69"/>
      <c r="D132" s="69"/>
    </row>
    <row r="133" ht="15.75" customHeight="1">
      <c r="C133" s="69"/>
      <c r="D133" s="69"/>
    </row>
    <row r="134" ht="15.75" customHeight="1">
      <c r="C134" s="69"/>
      <c r="D134" s="69"/>
    </row>
    <row r="135" ht="15.75" customHeight="1">
      <c r="C135" s="69"/>
      <c r="D135" s="69"/>
    </row>
    <row r="136" ht="15.75" customHeight="1">
      <c r="C136" s="69"/>
      <c r="D136" s="69"/>
    </row>
    <row r="137" ht="15.75" customHeight="1">
      <c r="C137" s="69"/>
      <c r="D137" s="69"/>
    </row>
    <row r="138" ht="15.75" customHeight="1">
      <c r="C138" s="69"/>
      <c r="D138" s="69"/>
    </row>
    <row r="139" ht="15.75" customHeight="1">
      <c r="C139" s="69"/>
      <c r="D139" s="69"/>
    </row>
    <row r="140" ht="15.75" customHeight="1">
      <c r="C140" s="69"/>
      <c r="D140" s="69"/>
    </row>
    <row r="141" ht="15.75" customHeight="1">
      <c r="C141" s="69"/>
      <c r="D141" s="69"/>
    </row>
    <row r="142" ht="15.75" customHeight="1">
      <c r="C142" s="69"/>
      <c r="D142" s="69"/>
    </row>
    <row r="143" ht="15.75" customHeight="1">
      <c r="C143" s="69"/>
      <c r="D143" s="69"/>
    </row>
    <row r="144" ht="15.75" customHeight="1">
      <c r="C144" s="69"/>
      <c r="D144" s="69"/>
    </row>
    <row r="145" ht="15.75" customHeight="1">
      <c r="C145" s="69"/>
      <c r="D145" s="69"/>
    </row>
    <row r="146" ht="15.75" customHeight="1">
      <c r="C146" s="69"/>
      <c r="D146" s="69"/>
    </row>
    <row r="147" ht="15.75" customHeight="1">
      <c r="C147" s="69"/>
      <c r="D147" s="69"/>
    </row>
    <row r="148" ht="15.75" customHeight="1">
      <c r="C148" s="69"/>
      <c r="D148" s="69"/>
    </row>
    <row r="149" ht="15.75" customHeight="1">
      <c r="C149" s="69"/>
      <c r="D149" s="69"/>
    </row>
    <row r="150" ht="15.75" customHeight="1">
      <c r="C150" s="69"/>
      <c r="D150" s="69"/>
    </row>
    <row r="151" ht="15.75" customHeight="1">
      <c r="C151" s="69"/>
      <c r="D151" s="69"/>
    </row>
    <row r="152" ht="15.75" customHeight="1">
      <c r="C152" s="69"/>
      <c r="D152" s="69"/>
    </row>
    <row r="153" ht="15.75" customHeight="1">
      <c r="C153" s="69"/>
      <c r="D153" s="69"/>
    </row>
    <row r="154" ht="15.75" customHeight="1">
      <c r="C154" s="69"/>
      <c r="D154" s="69"/>
    </row>
    <row r="155" ht="15.75" customHeight="1">
      <c r="C155" s="69"/>
      <c r="D155" s="69"/>
    </row>
    <row r="156" ht="15.75" customHeight="1">
      <c r="C156" s="69"/>
      <c r="D156" s="69"/>
    </row>
    <row r="157" ht="15.75" customHeight="1">
      <c r="C157" s="69"/>
      <c r="D157" s="69"/>
    </row>
    <row r="158" ht="15.75" customHeight="1">
      <c r="C158" s="69"/>
      <c r="D158" s="69"/>
    </row>
    <row r="159" ht="15.75" customHeight="1">
      <c r="C159" s="69"/>
      <c r="D159" s="69"/>
    </row>
    <row r="160" ht="15.75" customHeight="1">
      <c r="C160" s="69"/>
      <c r="D160" s="69"/>
    </row>
    <row r="161" ht="15.75" customHeight="1">
      <c r="C161" s="69"/>
      <c r="D161" s="69"/>
    </row>
    <row r="162" ht="15.75" customHeight="1">
      <c r="C162" s="69"/>
      <c r="D162" s="69"/>
    </row>
    <row r="163" ht="15.75" customHeight="1">
      <c r="C163" s="69"/>
      <c r="D163" s="69"/>
    </row>
    <row r="164" ht="15.75" customHeight="1">
      <c r="C164" s="69"/>
      <c r="D164" s="69"/>
    </row>
    <row r="165" ht="15.75" customHeight="1">
      <c r="C165" s="69"/>
      <c r="D165" s="69"/>
    </row>
    <row r="166" ht="15.75" customHeight="1">
      <c r="C166" s="69"/>
      <c r="D166" s="69"/>
    </row>
    <row r="167" ht="15.75" customHeight="1">
      <c r="C167" s="69"/>
      <c r="D167" s="69"/>
    </row>
    <row r="168" ht="15.75" customHeight="1">
      <c r="C168" s="69"/>
      <c r="D168" s="69"/>
    </row>
    <row r="169" ht="15.75" customHeight="1">
      <c r="C169" s="69"/>
      <c r="D169" s="69"/>
    </row>
    <row r="170" ht="15.75" customHeight="1">
      <c r="C170" s="69"/>
      <c r="D170" s="69"/>
    </row>
    <row r="171" ht="15.75" customHeight="1">
      <c r="C171" s="69"/>
      <c r="D171" s="69"/>
    </row>
    <row r="172" ht="15.75" customHeight="1">
      <c r="C172" s="69"/>
      <c r="D172" s="69"/>
    </row>
    <row r="173" ht="15.75" customHeight="1">
      <c r="C173" s="69"/>
      <c r="D173" s="69"/>
    </row>
    <row r="174" ht="15.75" customHeight="1">
      <c r="C174" s="69"/>
      <c r="D174" s="69"/>
    </row>
    <row r="175" ht="15.75" customHeight="1">
      <c r="C175" s="69"/>
      <c r="D175" s="69"/>
    </row>
    <row r="176" ht="15.75" customHeight="1">
      <c r="C176" s="69"/>
      <c r="D176" s="69"/>
    </row>
    <row r="177" ht="15.75" customHeight="1">
      <c r="C177" s="69"/>
      <c r="D177" s="69"/>
    </row>
    <row r="178" ht="15.75" customHeight="1">
      <c r="C178" s="69"/>
      <c r="D178" s="69"/>
    </row>
    <row r="179" ht="15.75" customHeight="1">
      <c r="C179" s="69"/>
      <c r="D179" s="69"/>
    </row>
    <row r="180" ht="15.75" customHeight="1">
      <c r="C180" s="69"/>
      <c r="D180" s="69"/>
    </row>
    <row r="181" ht="15.75" customHeight="1">
      <c r="C181" s="69"/>
      <c r="D181" s="69"/>
    </row>
    <row r="182" ht="15.75" customHeight="1">
      <c r="C182" s="69"/>
      <c r="D182" s="69"/>
    </row>
    <row r="183" ht="15.75" customHeight="1">
      <c r="C183" s="69"/>
      <c r="D183" s="69"/>
    </row>
    <row r="184" ht="15.75" customHeight="1">
      <c r="C184" s="69"/>
      <c r="D184" s="69"/>
    </row>
    <row r="185" ht="15.75" customHeight="1">
      <c r="C185" s="69"/>
      <c r="D185" s="69"/>
    </row>
    <row r="186" ht="15.75" customHeight="1">
      <c r="C186" s="69"/>
      <c r="D186" s="69"/>
    </row>
    <row r="187" ht="15.75" customHeight="1">
      <c r="C187" s="69"/>
      <c r="D187" s="69"/>
    </row>
    <row r="188" ht="15.75" customHeight="1">
      <c r="C188" s="69"/>
      <c r="D188" s="69"/>
    </row>
    <row r="189" ht="15.75" customHeight="1">
      <c r="C189" s="69"/>
      <c r="D189" s="69"/>
    </row>
    <row r="190" ht="15.75" customHeight="1">
      <c r="C190" s="69"/>
      <c r="D190" s="69"/>
    </row>
    <row r="191" ht="15.75" customHeight="1">
      <c r="C191" s="69"/>
      <c r="D191" s="69"/>
    </row>
    <row r="192" ht="15.75" customHeight="1">
      <c r="C192" s="69"/>
      <c r="D192" s="69"/>
    </row>
    <row r="193" ht="15.75" customHeight="1">
      <c r="C193" s="69"/>
      <c r="D193" s="69"/>
    </row>
    <row r="194" ht="15.75" customHeight="1">
      <c r="C194" s="69"/>
      <c r="D194" s="69"/>
    </row>
    <row r="195" ht="15.75" customHeight="1">
      <c r="C195" s="69"/>
      <c r="D195" s="69"/>
    </row>
    <row r="196" ht="15.75" customHeight="1">
      <c r="C196" s="69"/>
      <c r="D196" s="69"/>
    </row>
    <row r="197" ht="15.75" customHeight="1">
      <c r="C197" s="69"/>
      <c r="D197" s="69"/>
    </row>
    <row r="198" ht="15.75" customHeight="1">
      <c r="C198" s="69"/>
      <c r="D198" s="69"/>
    </row>
    <row r="199" ht="15.75" customHeight="1">
      <c r="C199" s="69"/>
      <c r="D199" s="69"/>
    </row>
    <row r="200" ht="15.75" customHeight="1">
      <c r="C200" s="69"/>
      <c r="D200" s="69"/>
    </row>
    <row r="201" ht="15.75" customHeight="1">
      <c r="C201" s="69"/>
      <c r="D201" s="69"/>
    </row>
    <row r="202" ht="15.75" customHeight="1">
      <c r="C202" s="69"/>
      <c r="D202" s="69"/>
    </row>
    <row r="203" ht="15.75" customHeight="1">
      <c r="C203" s="69"/>
      <c r="D203" s="69"/>
    </row>
    <row r="204" ht="15.75" customHeight="1">
      <c r="C204" s="69"/>
      <c r="D204" s="69"/>
    </row>
    <row r="205" ht="15.75" customHeight="1">
      <c r="C205" s="69"/>
      <c r="D205" s="69"/>
    </row>
    <row r="206" ht="15.75" customHeight="1">
      <c r="C206" s="69"/>
      <c r="D206" s="69"/>
    </row>
    <row r="207" ht="15.75" customHeight="1">
      <c r="C207" s="69"/>
      <c r="D207" s="69"/>
    </row>
    <row r="208" ht="15.75" customHeight="1">
      <c r="C208" s="69"/>
      <c r="D208" s="69"/>
    </row>
    <row r="209" ht="15.75" customHeight="1">
      <c r="C209" s="69"/>
      <c r="D209" s="69"/>
    </row>
    <row r="210" ht="15.75" customHeight="1">
      <c r="C210" s="69"/>
      <c r="D210" s="69"/>
    </row>
    <row r="211" ht="15.75" customHeight="1">
      <c r="C211" s="69"/>
      <c r="D211" s="69"/>
    </row>
    <row r="212" ht="15.75" customHeight="1">
      <c r="C212" s="69"/>
      <c r="D212" s="69"/>
    </row>
    <row r="213" ht="15.75" customHeight="1">
      <c r="C213" s="69"/>
      <c r="D213" s="69"/>
    </row>
    <row r="214" ht="15.75" customHeight="1">
      <c r="C214" s="69"/>
      <c r="D214" s="69"/>
    </row>
    <row r="215" ht="15.75" customHeight="1">
      <c r="C215" s="69"/>
      <c r="D215" s="69"/>
    </row>
    <row r="216" ht="15.75" customHeight="1">
      <c r="C216" s="69"/>
      <c r="D216" s="69"/>
    </row>
    <row r="217" ht="15.75" customHeight="1">
      <c r="C217" s="69"/>
      <c r="D217" s="69"/>
    </row>
    <row r="218" ht="15.75" customHeight="1">
      <c r="C218" s="69"/>
      <c r="D218" s="69"/>
    </row>
    <row r="219" ht="15.75" customHeight="1">
      <c r="C219" s="69"/>
      <c r="D219" s="69"/>
    </row>
    <row r="220" ht="15.75" customHeight="1">
      <c r="C220" s="69"/>
      <c r="D220" s="6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93" t="s">
        <v>382</v>
      </c>
      <c r="B1" s="93" t="s">
        <v>383</v>
      </c>
      <c r="C1" s="94" t="s">
        <v>384</v>
      </c>
      <c r="D1" s="94" t="s">
        <v>385</v>
      </c>
      <c r="E1" s="95" t="s">
        <v>386</v>
      </c>
      <c r="F1" s="95" t="s">
        <v>387</v>
      </c>
      <c r="G1" s="96" t="s">
        <v>388</v>
      </c>
      <c r="H1" s="96" t="s">
        <v>389</v>
      </c>
      <c r="I1" s="97" t="s">
        <v>390</v>
      </c>
      <c r="J1" s="97" t="s">
        <v>391</v>
      </c>
    </row>
    <row r="2" ht="15.75" customHeight="1">
      <c r="A2" s="76">
        <v>12.0</v>
      </c>
      <c r="B2" s="98" t="s">
        <v>392</v>
      </c>
      <c r="C2" s="76">
        <v>999.0</v>
      </c>
      <c r="D2" s="99">
        <v>100.0</v>
      </c>
      <c r="E2" s="99">
        <v>100.0</v>
      </c>
      <c r="F2" s="99">
        <v>50.0</v>
      </c>
      <c r="G2" s="99">
        <v>50.0</v>
      </c>
      <c r="H2" s="99">
        <v>25.0</v>
      </c>
      <c r="I2" s="99">
        <v>25.0</v>
      </c>
      <c r="J2" s="76">
        <v>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