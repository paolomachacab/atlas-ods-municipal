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85DC838F-CF34-4D85-A538-B17510790A2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os_originales" sheetId="1" r:id="rId1"/>
    <sheet name="Datos_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definedNames>
    <definedName name="_xlnm._FilterDatabase" localSheetId="1" hidden="1">Datos_procesados!$A$1:$N$1</definedName>
  </definedNames>
  <calcPr calcId="191029"/>
  <extLst>
    <ext uri="GoogleSheetsCustomDataVersion2">
      <go:sheetsCustomData xmlns:go="http://customooxmlschemas.google.com/" r:id="rId12" roundtripDataChecksum="V7d+NvnSXX7TqJmD6Zxcw/93JrSbVoD/fJkn4MMpXP4="/>
    </ext>
  </extLst>
</workbook>
</file>

<file path=xl/calcChain.xml><?xml version="1.0" encoding="utf-8"?>
<calcChain xmlns="http://schemas.openxmlformats.org/spreadsheetml/2006/main">
  <c r="T2" i="2" l="1"/>
  <c r="R2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C2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D130" i="1"/>
  <c r="D252" i="1"/>
  <c r="D237" i="1"/>
  <c r="D133" i="1"/>
  <c r="D156" i="1"/>
  <c r="D19" i="1"/>
  <c r="D238" i="1"/>
  <c r="D76" i="1"/>
  <c r="D147" i="1"/>
  <c r="D61" i="1"/>
  <c r="D236" i="1"/>
  <c r="D202" i="1"/>
  <c r="D170" i="1"/>
  <c r="D204" i="1"/>
  <c r="D196" i="1"/>
  <c r="D20" i="1"/>
  <c r="D223" i="1"/>
  <c r="D234" i="1"/>
  <c r="D25" i="1"/>
  <c r="D231" i="1"/>
  <c r="D27" i="1"/>
  <c r="D250" i="1"/>
  <c r="D220" i="1"/>
  <c r="D219" i="1"/>
  <c r="D241" i="1"/>
  <c r="D232" i="1"/>
  <c r="D210" i="1"/>
  <c r="D201" i="1"/>
  <c r="D211" i="1"/>
  <c r="D230" i="1"/>
  <c r="D33" i="1"/>
  <c r="D52" i="1"/>
  <c r="D215" i="1"/>
  <c r="D83" i="1"/>
  <c r="D75" i="1"/>
  <c r="D78" i="1"/>
  <c r="D98" i="1"/>
  <c r="D214" i="1"/>
  <c r="D129" i="1"/>
  <c r="D62" i="1"/>
  <c r="D127" i="1"/>
  <c r="D143" i="1"/>
  <c r="D128" i="1"/>
  <c r="D135" i="1"/>
  <c r="D125" i="1"/>
  <c r="D35" i="1"/>
  <c r="D38" i="1"/>
  <c r="D39" i="1"/>
  <c r="D40" i="1"/>
  <c r="D41" i="1"/>
  <c r="D42" i="1"/>
  <c r="D43" i="1"/>
  <c r="D45" i="1"/>
  <c r="D46" i="1"/>
  <c r="D47" i="1"/>
  <c r="D48" i="1"/>
  <c r="D49" i="1"/>
  <c r="D50" i="1"/>
  <c r="D53" i="1"/>
  <c r="D54" i="1"/>
  <c r="D68" i="1"/>
  <c r="D69" i="1"/>
  <c r="D70" i="1"/>
  <c r="D71" i="1"/>
  <c r="D72" i="1"/>
  <c r="D73" i="1"/>
  <c r="D74" i="1"/>
  <c r="D92" i="1"/>
  <c r="D94" i="1"/>
  <c r="D96" i="1"/>
  <c r="D99" i="1"/>
  <c r="D100" i="1"/>
  <c r="D101" i="1"/>
  <c r="D108" i="1"/>
  <c r="D109" i="1"/>
  <c r="D110" i="1"/>
  <c r="D111" i="1"/>
  <c r="D112" i="1"/>
  <c r="D113" i="1"/>
  <c r="D114" i="1"/>
  <c r="D115" i="1"/>
  <c r="D136" i="1"/>
  <c r="D166" i="1"/>
  <c r="D167" i="1"/>
  <c r="D168" i="1"/>
  <c r="D169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7" i="1"/>
  <c r="D198" i="1"/>
  <c r="D199" i="1"/>
  <c r="D200" i="1"/>
  <c r="D203" i="1"/>
  <c r="D208" i="1"/>
  <c r="D216" i="1"/>
  <c r="D225" i="1"/>
  <c r="D226" i="1"/>
  <c r="D227" i="1"/>
  <c r="D228" i="1"/>
  <c r="D229" i="1"/>
  <c r="D233" i="1"/>
  <c r="D235" i="1"/>
  <c r="D239" i="1"/>
  <c r="D240" i="1"/>
  <c r="D242" i="1"/>
  <c r="D224" i="1"/>
  <c r="D36" i="1"/>
  <c r="D205" i="1"/>
  <c r="D91" i="1"/>
  <c r="D222" i="1"/>
  <c r="D159" i="1"/>
  <c r="D37" i="1"/>
  <c r="D95" i="1"/>
  <c r="D161" i="1"/>
  <c r="D97" i="1"/>
  <c r="D93" i="1"/>
  <c r="D77" i="1"/>
  <c r="D137" i="1"/>
  <c r="D44" i="1"/>
  <c r="D34" i="1"/>
  <c r="D163" i="1"/>
  <c r="D206" i="1"/>
  <c r="D207" i="1"/>
  <c r="D158" i="1"/>
  <c r="D221" i="1"/>
  <c r="D132" i="1"/>
  <c r="D162" i="1"/>
  <c r="D138" i="1"/>
  <c r="D131" i="1"/>
  <c r="D160" i="1"/>
  <c r="D275" i="1"/>
  <c r="D261" i="1"/>
  <c r="D104" i="1"/>
  <c r="D295" i="1"/>
  <c r="D301" i="1"/>
  <c r="D268" i="1"/>
  <c r="D308" i="1"/>
  <c r="D66" i="1"/>
  <c r="D327" i="1"/>
  <c r="D336" i="1"/>
  <c r="D320" i="1"/>
  <c r="D312" i="1"/>
  <c r="D248" i="1"/>
  <c r="D304" i="1"/>
  <c r="D306" i="1"/>
  <c r="D263" i="1"/>
  <c r="D262" i="1"/>
  <c r="D146" i="1"/>
  <c r="D30" i="1"/>
  <c r="D326" i="1"/>
  <c r="D339" i="1"/>
  <c r="D269" i="1"/>
  <c r="D307" i="1"/>
  <c r="D266" i="1"/>
  <c r="D270" i="1"/>
  <c r="D344" i="1"/>
  <c r="D314" i="1"/>
  <c r="D315" i="1"/>
  <c r="D319" i="1"/>
  <c r="D253" i="1"/>
  <c r="D341" i="1"/>
  <c r="D329" i="1"/>
  <c r="D124" i="1"/>
  <c r="D309" i="1"/>
  <c r="D334" i="1"/>
  <c r="D313" i="1"/>
  <c r="D322" i="1"/>
  <c r="D333" i="1"/>
  <c r="D318" i="1"/>
  <c r="D340" i="1"/>
  <c r="D342" i="1"/>
  <c r="D89" i="1"/>
  <c r="D28" i="1"/>
  <c r="D311" i="1"/>
  <c r="D244" i="1"/>
  <c r="D246" i="1"/>
  <c r="D276" i="1"/>
  <c r="D16" i="1"/>
  <c r="D338" i="1"/>
  <c r="D17" i="1"/>
  <c r="D247" i="1"/>
  <c r="D343" i="1"/>
  <c r="D281" i="1"/>
  <c r="D321" i="1"/>
  <c r="D59" i="1"/>
  <c r="D323" i="1"/>
  <c r="D105" i="1"/>
  <c r="D90" i="1"/>
  <c r="D302" i="1"/>
  <c r="D278" i="1"/>
  <c r="D335" i="1"/>
  <c r="D26" i="1"/>
  <c r="D332" i="1"/>
  <c r="D264" i="1"/>
  <c r="D151" i="1"/>
  <c r="D317" i="1"/>
  <c r="D316" i="1"/>
  <c r="D272" i="1"/>
  <c r="D80" i="1"/>
  <c r="D153" i="1"/>
  <c r="D299" i="1"/>
  <c r="D286" i="1"/>
  <c r="D149" i="1"/>
  <c r="D280" i="1"/>
  <c r="D296" i="1"/>
  <c r="D116" i="1"/>
  <c r="D106" i="1"/>
  <c r="D64" i="1"/>
  <c r="D300" i="1"/>
  <c r="D152" i="1"/>
  <c r="D65" i="1"/>
  <c r="D29" i="1"/>
  <c r="D298" i="1"/>
  <c r="D11" i="1"/>
  <c r="D328" i="1"/>
  <c r="D148" i="1"/>
  <c r="D337" i="1"/>
  <c r="D164" i="1"/>
  <c r="D305" i="1"/>
  <c r="D284" i="1"/>
  <c r="D24" i="1"/>
  <c r="D102" i="1"/>
  <c r="D274" i="1"/>
  <c r="D117" i="1"/>
  <c r="D5" i="1"/>
  <c r="D31" i="1"/>
  <c r="D279" i="1"/>
  <c r="D325" i="1"/>
  <c r="D324" i="1"/>
  <c r="D331" i="1"/>
  <c r="D287" i="1"/>
  <c r="D258" i="1"/>
  <c r="D87" i="1"/>
  <c r="D120" i="1"/>
  <c r="D277" i="1"/>
  <c r="D267" i="1"/>
  <c r="D243" i="1"/>
  <c r="D119" i="1"/>
  <c r="D288" i="1"/>
  <c r="D310" i="1"/>
  <c r="D103" i="1"/>
  <c r="D251" i="1"/>
  <c r="D256" i="1"/>
  <c r="D58" i="1"/>
  <c r="D67" i="1"/>
  <c r="D165" i="1"/>
  <c r="D22" i="1"/>
  <c r="D60" i="1"/>
  <c r="D15" i="1"/>
  <c r="D294" i="1"/>
  <c r="D82" i="1"/>
  <c r="D285" i="1"/>
  <c r="D257" i="1"/>
  <c r="D265" i="1"/>
  <c r="D21" i="1"/>
  <c r="D283" i="1"/>
  <c r="D6" i="1"/>
  <c r="D271" i="1"/>
  <c r="D56" i="1"/>
  <c r="D297" i="1"/>
  <c r="D8" i="1"/>
  <c r="D9" i="1"/>
  <c r="D4" i="1"/>
  <c r="D245" i="1"/>
  <c r="D282" i="1"/>
  <c r="D13" i="1"/>
  <c r="D81" i="1"/>
  <c r="D254" i="1"/>
  <c r="D330" i="1"/>
  <c r="D289" i="1"/>
  <c r="D12" i="1"/>
  <c r="D122" i="1"/>
  <c r="D88" i="1"/>
  <c r="D63" i="1"/>
  <c r="D303" i="1"/>
  <c r="D86" i="1"/>
  <c r="D154" i="1"/>
  <c r="D259" i="1"/>
  <c r="D218" i="1"/>
  <c r="D2" i="1"/>
  <c r="D145" i="1"/>
  <c r="D85" i="1"/>
  <c r="D121" i="1"/>
  <c r="D249" i="1"/>
  <c r="D217" i="1"/>
  <c r="D260" i="1"/>
  <c r="D23" i="1"/>
  <c r="D255" i="1"/>
  <c r="D157" i="1"/>
  <c r="D150" i="1"/>
  <c r="D7" i="1"/>
  <c r="D107" i="1"/>
  <c r="D14" i="1"/>
  <c r="D273" i="1"/>
  <c r="D123" i="1"/>
  <c r="D213" i="1"/>
  <c r="D55" i="1"/>
  <c r="D57" i="1"/>
  <c r="D293" i="1"/>
  <c r="D155" i="1"/>
  <c r="D18" i="1"/>
  <c r="D79" i="1"/>
  <c r="D291" i="1"/>
  <c r="D290" i="1"/>
  <c r="D292" i="1"/>
  <c r="D51" i="1"/>
  <c r="D10" i="1"/>
  <c r="D126" i="1"/>
  <c r="D32" i="1"/>
  <c r="D84" i="1"/>
  <c r="D209" i="1"/>
  <c r="D142" i="1"/>
  <c r="D144" i="1"/>
  <c r="D118" i="1"/>
  <c r="D139" i="1"/>
  <c r="D212" i="1"/>
  <c r="D134" i="1"/>
  <c r="D3" i="1"/>
  <c r="D140" i="1"/>
  <c r="D141" i="1"/>
  <c r="H3" i="2"/>
  <c r="L344" i="2"/>
  <c r="H344" i="2"/>
  <c r="L343" i="2"/>
  <c r="H343" i="2"/>
  <c r="L342" i="2"/>
  <c r="H342" i="2"/>
  <c r="L341" i="2"/>
  <c r="H341" i="2"/>
  <c r="L340" i="2"/>
  <c r="H340" i="2"/>
  <c r="L339" i="2"/>
  <c r="H339" i="2"/>
  <c r="L338" i="2"/>
  <c r="H338" i="2"/>
  <c r="L337" i="2"/>
  <c r="H337" i="2"/>
  <c r="L336" i="2"/>
  <c r="H336" i="2"/>
  <c r="L335" i="2"/>
  <c r="H335" i="2"/>
  <c r="L334" i="2"/>
  <c r="H334" i="2"/>
  <c r="L333" i="2"/>
  <c r="H333" i="2"/>
  <c r="L332" i="2"/>
  <c r="H332" i="2"/>
  <c r="L331" i="2"/>
  <c r="H331" i="2"/>
  <c r="L330" i="2"/>
  <c r="H330" i="2"/>
  <c r="L329" i="2"/>
  <c r="H329" i="2"/>
  <c r="L328" i="2"/>
  <c r="H328" i="2"/>
  <c r="L327" i="2"/>
  <c r="H327" i="2"/>
  <c r="L326" i="2"/>
  <c r="H326" i="2"/>
  <c r="L325" i="2"/>
  <c r="H325" i="2"/>
  <c r="L324" i="2"/>
  <c r="H324" i="2"/>
  <c r="L323" i="2"/>
  <c r="H323" i="2"/>
  <c r="L322" i="2"/>
  <c r="H322" i="2"/>
  <c r="L321" i="2"/>
  <c r="H321" i="2"/>
  <c r="L320" i="2"/>
  <c r="H320" i="2"/>
  <c r="L319" i="2"/>
  <c r="H319" i="2"/>
  <c r="L318" i="2"/>
  <c r="H318" i="2"/>
  <c r="L317" i="2"/>
  <c r="H317" i="2"/>
  <c r="L316" i="2"/>
  <c r="H316" i="2"/>
  <c r="L315" i="2"/>
  <c r="H315" i="2"/>
  <c r="L314" i="2"/>
  <c r="H314" i="2"/>
  <c r="L313" i="2"/>
  <c r="H313" i="2"/>
  <c r="L312" i="2"/>
  <c r="H312" i="2"/>
  <c r="L311" i="2"/>
  <c r="H311" i="2"/>
  <c r="L310" i="2"/>
  <c r="H310" i="2"/>
  <c r="L309" i="2"/>
  <c r="H309" i="2"/>
  <c r="L308" i="2"/>
  <c r="H308" i="2"/>
  <c r="L307" i="2"/>
  <c r="H307" i="2"/>
  <c r="L306" i="2"/>
  <c r="H306" i="2"/>
  <c r="L305" i="2"/>
  <c r="H305" i="2"/>
  <c r="L304" i="2"/>
  <c r="H304" i="2"/>
  <c r="L303" i="2"/>
  <c r="H303" i="2"/>
  <c r="L302" i="2"/>
  <c r="H302" i="2"/>
  <c r="L301" i="2"/>
  <c r="H301" i="2"/>
  <c r="L300" i="2"/>
  <c r="H300" i="2"/>
  <c r="L299" i="2"/>
  <c r="H299" i="2"/>
  <c r="L298" i="2"/>
  <c r="H298" i="2"/>
  <c r="L297" i="2"/>
  <c r="H297" i="2"/>
  <c r="L296" i="2"/>
  <c r="H296" i="2"/>
  <c r="L295" i="2"/>
  <c r="H295" i="2"/>
  <c r="L294" i="2"/>
  <c r="H294" i="2"/>
  <c r="L293" i="2"/>
  <c r="H293" i="2"/>
  <c r="L292" i="2"/>
  <c r="H292" i="2"/>
  <c r="L291" i="2"/>
  <c r="H291" i="2"/>
  <c r="L290" i="2"/>
  <c r="H290" i="2"/>
  <c r="L289" i="2"/>
  <c r="H289" i="2"/>
  <c r="L288" i="2"/>
  <c r="H288" i="2"/>
  <c r="L287" i="2"/>
  <c r="H287" i="2"/>
  <c r="L286" i="2"/>
  <c r="H286" i="2"/>
  <c r="L285" i="2"/>
  <c r="H285" i="2"/>
  <c r="L284" i="2"/>
  <c r="H284" i="2"/>
  <c r="L283" i="2"/>
  <c r="H283" i="2"/>
  <c r="L282" i="2"/>
  <c r="H282" i="2"/>
  <c r="L281" i="2"/>
  <c r="H281" i="2"/>
  <c r="L280" i="2"/>
  <c r="H280" i="2"/>
  <c r="L279" i="2"/>
  <c r="H279" i="2"/>
  <c r="L278" i="2"/>
  <c r="H278" i="2"/>
  <c r="L277" i="2"/>
  <c r="H277" i="2"/>
  <c r="L276" i="2"/>
  <c r="H276" i="2"/>
  <c r="L275" i="2"/>
  <c r="H275" i="2"/>
  <c r="L274" i="2"/>
  <c r="H274" i="2"/>
  <c r="L273" i="2"/>
  <c r="H273" i="2"/>
  <c r="L272" i="2"/>
  <c r="H272" i="2"/>
  <c r="L271" i="2"/>
  <c r="H271" i="2"/>
  <c r="L270" i="2"/>
  <c r="H270" i="2"/>
  <c r="L269" i="2"/>
  <c r="H269" i="2"/>
  <c r="L268" i="2"/>
  <c r="H268" i="2"/>
  <c r="L267" i="2"/>
  <c r="H267" i="2"/>
  <c r="L266" i="2"/>
  <c r="H266" i="2"/>
  <c r="L265" i="2"/>
  <c r="H265" i="2"/>
  <c r="L264" i="2"/>
  <c r="H264" i="2"/>
  <c r="L263" i="2"/>
  <c r="H263" i="2"/>
  <c r="L262" i="2"/>
  <c r="H262" i="2"/>
  <c r="L261" i="2"/>
  <c r="H261" i="2"/>
  <c r="L260" i="2"/>
  <c r="H260" i="2"/>
  <c r="L259" i="2"/>
  <c r="H259" i="2"/>
  <c r="L258" i="2"/>
  <c r="H258" i="2"/>
  <c r="L257" i="2"/>
  <c r="H257" i="2"/>
  <c r="L256" i="2"/>
  <c r="H256" i="2"/>
  <c r="L255" i="2"/>
  <c r="H255" i="2"/>
  <c r="L254" i="2"/>
  <c r="H254" i="2"/>
  <c r="L253" i="2"/>
  <c r="H253" i="2"/>
  <c r="L252" i="2"/>
  <c r="H252" i="2"/>
  <c r="L251" i="2"/>
  <c r="H251" i="2"/>
  <c r="L250" i="2"/>
  <c r="H250" i="2"/>
  <c r="L249" i="2"/>
  <c r="H249" i="2"/>
  <c r="L248" i="2"/>
  <c r="H248" i="2"/>
  <c r="L247" i="2"/>
  <c r="H247" i="2"/>
  <c r="L246" i="2"/>
  <c r="H246" i="2"/>
  <c r="L245" i="2"/>
  <c r="H245" i="2"/>
  <c r="L244" i="2"/>
  <c r="H244" i="2"/>
  <c r="L243" i="2"/>
  <c r="H243" i="2"/>
  <c r="L242" i="2"/>
  <c r="H242" i="2"/>
  <c r="L241" i="2"/>
  <c r="H241" i="2"/>
  <c r="L240" i="2"/>
  <c r="H240" i="2"/>
  <c r="L239" i="2"/>
  <c r="H239" i="2"/>
  <c r="L238" i="2"/>
  <c r="H238" i="2"/>
  <c r="L237" i="2"/>
  <c r="H237" i="2"/>
  <c r="L236" i="2"/>
  <c r="H236" i="2"/>
  <c r="L235" i="2"/>
  <c r="H235" i="2"/>
  <c r="L234" i="2"/>
  <c r="H234" i="2"/>
  <c r="L233" i="2"/>
  <c r="H233" i="2"/>
  <c r="L232" i="2"/>
  <c r="H232" i="2"/>
  <c r="L231" i="2"/>
  <c r="H231" i="2"/>
  <c r="L230" i="2"/>
  <c r="H230" i="2"/>
  <c r="L229" i="2"/>
  <c r="H229" i="2"/>
  <c r="L228" i="2"/>
  <c r="H228" i="2"/>
  <c r="L227" i="2"/>
  <c r="H227" i="2"/>
  <c r="L226" i="2"/>
  <c r="H226" i="2"/>
  <c r="L225" i="2"/>
  <c r="H225" i="2"/>
  <c r="L224" i="2"/>
  <c r="H224" i="2"/>
  <c r="L223" i="2"/>
  <c r="H223" i="2"/>
  <c r="L222" i="2"/>
  <c r="H222" i="2"/>
  <c r="L221" i="2"/>
  <c r="H221" i="2"/>
  <c r="L220" i="2"/>
  <c r="H220" i="2"/>
  <c r="L219" i="2"/>
  <c r="H219" i="2"/>
  <c r="L218" i="2"/>
  <c r="H218" i="2"/>
  <c r="L217" i="2"/>
  <c r="H217" i="2"/>
  <c r="L216" i="2"/>
  <c r="H216" i="2"/>
  <c r="L215" i="2"/>
  <c r="H215" i="2"/>
  <c r="L214" i="2"/>
  <c r="H214" i="2"/>
  <c r="L213" i="2"/>
  <c r="H213" i="2"/>
  <c r="L212" i="2"/>
  <c r="H212" i="2"/>
  <c r="L211" i="2"/>
  <c r="H211" i="2"/>
  <c r="L210" i="2"/>
  <c r="H210" i="2"/>
  <c r="L209" i="2"/>
  <c r="H209" i="2"/>
  <c r="L208" i="2"/>
  <c r="H208" i="2"/>
  <c r="L207" i="2"/>
  <c r="H207" i="2"/>
  <c r="L206" i="2"/>
  <c r="H206" i="2"/>
  <c r="L205" i="2"/>
  <c r="H205" i="2"/>
  <c r="L204" i="2"/>
  <c r="H204" i="2"/>
  <c r="L203" i="2"/>
  <c r="H203" i="2"/>
  <c r="L202" i="2"/>
  <c r="H202" i="2"/>
  <c r="L201" i="2"/>
  <c r="H201" i="2"/>
  <c r="L200" i="2"/>
  <c r="H200" i="2"/>
  <c r="L199" i="2"/>
  <c r="H199" i="2"/>
  <c r="L198" i="2"/>
  <c r="H198" i="2"/>
  <c r="L197" i="2"/>
  <c r="H197" i="2"/>
  <c r="L196" i="2"/>
  <c r="H196" i="2"/>
  <c r="L195" i="2"/>
  <c r="H195" i="2"/>
  <c r="L194" i="2"/>
  <c r="H194" i="2"/>
  <c r="L193" i="2"/>
  <c r="H193" i="2"/>
  <c r="L192" i="2"/>
  <c r="H192" i="2"/>
  <c r="L191" i="2"/>
  <c r="H191" i="2"/>
  <c r="L190" i="2"/>
  <c r="H190" i="2"/>
  <c r="L189" i="2"/>
  <c r="H189" i="2"/>
  <c r="L188" i="2"/>
  <c r="H188" i="2"/>
  <c r="L187" i="2"/>
  <c r="H187" i="2"/>
  <c r="L186" i="2"/>
  <c r="H186" i="2"/>
  <c r="L185" i="2"/>
  <c r="H185" i="2"/>
  <c r="L184" i="2"/>
  <c r="H184" i="2"/>
  <c r="L183" i="2"/>
  <c r="H183" i="2"/>
  <c r="L182" i="2"/>
  <c r="H182" i="2"/>
  <c r="L181" i="2"/>
  <c r="H181" i="2"/>
  <c r="L180" i="2"/>
  <c r="H180" i="2"/>
  <c r="L179" i="2"/>
  <c r="H179" i="2"/>
  <c r="L178" i="2"/>
  <c r="H178" i="2"/>
  <c r="L177" i="2"/>
  <c r="H177" i="2"/>
  <c r="L176" i="2"/>
  <c r="H176" i="2"/>
  <c r="L175" i="2"/>
  <c r="H175" i="2"/>
  <c r="L174" i="2"/>
  <c r="H174" i="2"/>
  <c r="L173" i="2"/>
  <c r="H173" i="2"/>
  <c r="L172" i="2"/>
  <c r="H172" i="2"/>
  <c r="L171" i="2"/>
  <c r="H171" i="2"/>
  <c r="L170" i="2"/>
  <c r="H170" i="2"/>
  <c r="L169" i="2"/>
  <c r="H169" i="2"/>
  <c r="L168" i="2"/>
  <c r="H168" i="2"/>
  <c r="L167" i="2"/>
  <c r="H167" i="2"/>
  <c r="R5" i="2" s="1"/>
  <c r="L166" i="2"/>
  <c r="H166" i="2"/>
  <c r="L165" i="2"/>
  <c r="H165" i="2"/>
  <c r="L164" i="2"/>
  <c r="H164" i="2"/>
  <c r="L163" i="2"/>
  <c r="H163" i="2"/>
  <c r="L162" i="2"/>
  <c r="H162" i="2"/>
  <c r="L161" i="2"/>
  <c r="H161" i="2"/>
  <c r="L160" i="2"/>
  <c r="H160" i="2"/>
  <c r="L159" i="2"/>
  <c r="H159" i="2"/>
  <c r="L158" i="2"/>
  <c r="H158" i="2"/>
  <c r="L157" i="2"/>
  <c r="H157" i="2"/>
  <c r="L156" i="2"/>
  <c r="H156" i="2"/>
  <c r="L155" i="2"/>
  <c r="H155" i="2"/>
  <c r="L154" i="2"/>
  <c r="H154" i="2"/>
  <c r="L153" i="2"/>
  <c r="H153" i="2"/>
  <c r="L152" i="2"/>
  <c r="H152" i="2"/>
  <c r="L151" i="2"/>
  <c r="H151" i="2"/>
  <c r="L150" i="2"/>
  <c r="H150" i="2"/>
  <c r="L149" i="2"/>
  <c r="H149" i="2"/>
  <c r="L148" i="2"/>
  <c r="H148" i="2"/>
  <c r="L147" i="2"/>
  <c r="H147" i="2"/>
  <c r="L146" i="2"/>
  <c r="H146" i="2"/>
  <c r="L145" i="2"/>
  <c r="H145" i="2"/>
  <c r="L144" i="2"/>
  <c r="H144" i="2"/>
  <c r="L143" i="2"/>
  <c r="H143" i="2"/>
  <c r="L142" i="2"/>
  <c r="H142" i="2"/>
  <c r="L141" i="2"/>
  <c r="H141" i="2"/>
  <c r="L140" i="2"/>
  <c r="H140" i="2"/>
  <c r="L139" i="2"/>
  <c r="H139" i="2"/>
  <c r="L138" i="2"/>
  <c r="H138" i="2"/>
  <c r="L137" i="2"/>
  <c r="H137" i="2"/>
  <c r="L136" i="2"/>
  <c r="H136" i="2"/>
  <c r="L135" i="2"/>
  <c r="H135" i="2"/>
  <c r="L134" i="2"/>
  <c r="H134" i="2"/>
  <c r="L133" i="2"/>
  <c r="H133" i="2"/>
  <c r="L132" i="2"/>
  <c r="H132" i="2"/>
  <c r="L131" i="2"/>
  <c r="H131" i="2"/>
  <c r="L130" i="2"/>
  <c r="H130" i="2"/>
  <c r="L129" i="2"/>
  <c r="H129" i="2"/>
  <c r="L128" i="2"/>
  <c r="H128" i="2"/>
  <c r="L127" i="2"/>
  <c r="H127" i="2"/>
  <c r="L126" i="2"/>
  <c r="H126" i="2"/>
  <c r="L125" i="2"/>
  <c r="H125" i="2"/>
  <c r="L124" i="2"/>
  <c r="H124" i="2"/>
  <c r="L123" i="2"/>
  <c r="H123" i="2"/>
  <c r="L122" i="2"/>
  <c r="H122" i="2"/>
  <c r="L121" i="2"/>
  <c r="H121" i="2"/>
  <c r="L120" i="2"/>
  <c r="H120" i="2"/>
  <c r="L119" i="2"/>
  <c r="H119" i="2"/>
  <c r="L118" i="2"/>
  <c r="H118" i="2"/>
  <c r="L117" i="2"/>
  <c r="H117" i="2"/>
  <c r="L116" i="2"/>
  <c r="H116" i="2"/>
  <c r="L115" i="2"/>
  <c r="H115" i="2"/>
  <c r="L114" i="2"/>
  <c r="H114" i="2"/>
  <c r="L113" i="2"/>
  <c r="H113" i="2"/>
  <c r="L112" i="2"/>
  <c r="H112" i="2"/>
  <c r="L111" i="2"/>
  <c r="H111" i="2"/>
  <c r="L110" i="2"/>
  <c r="H110" i="2"/>
  <c r="L109" i="2"/>
  <c r="H109" i="2"/>
  <c r="L108" i="2"/>
  <c r="H108" i="2"/>
  <c r="L107" i="2"/>
  <c r="H107" i="2"/>
  <c r="L106" i="2"/>
  <c r="H106" i="2"/>
  <c r="L105" i="2"/>
  <c r="H105" i="2"/>
  <c r="L104" i="2"/>
  <c r="H104" i="2"/>
  <c r="L103" i="2"/>
  <c r="H103" i="2"/>
  <c r="L102" i="2"/>
  <c r="H102" i="2"/>
  <c r="L101" i="2"/>
  <c r="H101" i="2"/>
  <c r="L100" i="2"/>
  <c r="H100" i="2"/>
  <c r="L99" i="2"/>
  <c r="H99" i="2"/>
  <c r="L98" i="2"/>
  <c r="H98" i="2"/>
  <c r="L97" i="2"/>
  <c r="H97" i="2"/>
  <c r="L96" i="2"/>
  <c r="H96" i="2"/>
  <c r="L95" i="2"/>
  <c r="H95" i="2"/>
  <c r="L94" i="2"/>
  <c r="H94" i="2"/>
  <c r="L93" i="2"/>
  <c r="H93" i="2"/>
  <c r="L92" i="2"/>
  <c r="H92" i="2"/>
  <c r="L91" i="2"/>
  <c r="H91" i="2"/>
  <c r="L90" i="2"/>
  <c r="H90" i="2"/>
  <c r="L89" i="2"/>
  <c r="H89" i="2"/>
  <c r="L88" i="2"/>
  <c r="H88" i="2"/>
  <c r="L87" i="2"/>
  <c r="H87" i="2"/>
  <c r="L86" i="2"/>
  <c r="H86" i="2"/>
  <c r="L85" i="2"/>
  <c r="H85" i="2"/>
  <c r="L84" i="2"/>
  <c r="H84" i="2"/>
  <c r="L83" i="2"/>
  <c r="H83" i="2"/>
  <c r="L82" i="2"/>
  <c r="H82" i="2"/>
  <c r="L81" i="2"/>
  <c r="H81" i="2"/>
  <c r="L80" i="2"/>
  <c r="H80" i="2"/>
  <c r="L79" i="2"/>
  <c r="H79" i="2"/>
  <c r="L78" i="2"/>
  <c r="H78" i="2"/>
  <c r="L77" i="2"/>
  <c r="H77" i="2"/>
  <c r="L76" i="2"/>
  <c r="H76" i="2"/>
  <c r="L75" i="2"/>
  <c r="H75" i="2"/>
  <c r="L74" i="2"/>
  <c r="H74" i="2"/>
  <c r="L73" i="2"/>
  <c r="H73" i="2"/>
  <c r="L72" i="2"/>
  <c r="H72" i="2"/>
  <c r="L71" i="2"/>
  <c r="H71" i="2"/>
  <c r="L70" i="2"/>
  <c r="H70" i="2"/>
  <c r="L69" i="2"/>
  <c r="H69" i="2"/>
  <c r="L68" i="2"/>
  <c r="H68" i="2"/>
  <c r="L67" i="2"/>
  <c r="H67" i="2"/>
  <c r="L66" i="2"/>
  <c r="H66" i="2"/>
  <c r="L65" i="2"/>
  <c r="H65" i="2"/>
  <c r="L64" i="2"/>
  <c r="H64" i="2"/>
  <c r="L63" i="2"/>
  <c r="H63" i="2"/>
  <c r="L62" i="2"/>
  <c r="H62" i="2"/>
  <c r="L61" i="2"/>
  <c r="H61" i="2"/>
  <c r="L60" i="2"/>
  <c r="H60" i="2"/>
  <c r="L59" i="2"/>
  <c r="H59" i="2"/>
  <c r="L58" i="2"/>
  <c r="H58" i="2"/>
  <c r="L57" i="2"/>
  <c r="H57" i="2"/>
  <c r="L56" i="2"/>
  <c r="H56" i="2"/>
  <c r="L55" i="2"/>
  <c r="H55" i="2"/>
  <c r="L54" i="2"/>
  <c r="H54" i="2"/>
  <c r="L53" i="2"/>
  <c r="H53" i="2"/>
  <c r="L52" i="2"/>
  <c r="H52" i="2"/>
  <c r="L51" i="2"/>
  <c r="H51" i="2"/>
  <c r="L50" i="2"/>
  <c r="H50" i="2"/>
  <c r="L49" i="2"/>
  <c r="H49" i="2"/>
  <c r="L48" i="2"/>
  <c r="H48" i="2"/>
  <c r="L47" i="2"/>
  <c r="H47" i="2"/>
  <c r="L46" i="2"/>
  <c r="H46" i="2"/>
  <c r="L45" i="2"/>
  <c r="H45" i="2"/>
  <c r="L44" i="2"/>
  <c r="H44" i="2"/>
  <c r="L43" i="2"/>
  <c r="H43" i="2"/>
  <c r="L42" i="2"/>
  <c r="H42" i="2"/>
  <c r="L41" i="2"/>
  <c r="H41" i="2"/>
  <c r="L40" i="2"/>
  <c r="H40" i="2"/>
  <c r="L39" i="2"/>
  <c r="H39" i="2"/>
  <c r="L38" i="2"/>
  <c r="H38" i="2"/>
  <c r="L37" i="2"/>
  <c r="H37" i="2"/>
  <c r="L36" i="2"/>
  <c r="H36" i="2"/>
  <c r="L35" i="2"/>
  <c r="H35" i="2"/>
  <c r="L34" i="2"/>
  <c r="H34" i="2"/>
  <c r="L33" i="2"/>
  <c r="H33" i="2"/>
  <c r="R3" i="2" s="1"/>
  <c r="L32" i="2"/>
  <c r="H32" i="2"/>
  <c r="L31" i="2"/>
  <c r="H31" i="2"/>
  <c r="L30" i="2"/>
  <c r="H30" i="2"/>
  <c r="L29" i="2"/>
  <c r="H29" i="2"/>
  <c r="L28" i="2"/>
  <c r="H28" i="2"/>
  <c r="L27" i="2"/>
  <c r="H27" i="2"/>
  <c r="L26" i="2"/>
  <c r="H26" i="2"/>
  <c r="L25" i="2"/>
  <c r="H25" i="2"/>
  <c r="L24" i="2"/>
  <c r="H24" i="2"/>
  <c r="L23" i="2"/>
  <c r="H23" i="2"/>
  <c r="L22" i="2"/>
  <c r="H22" i="2"/>
  <c r="L21" i="2"/>
  <c r="H21" i="2"/>
  <c r="L20" i="2"/>
  <c r="H20" i="2"/>
  <c r="L19" i="2"/>
  <c r="H19" i="2"/>
  <c r="L18" i="2"/>
  <c r="H18" i="2"/>
  <c r="L17" i="2"/>
  <c r="H17" i="2"/>
  <c r="L16" i="2"/>
  <c r="H16" i="2"/>
  <c r="L15" i="2"/>
  <c r="H15" i="2"/>
  <c r="L14" i="2"/>
  <c r="H14" i="2"/>
  <c r="L13" i="2"/>
  <c r="H13" i="2"/>
  <c r="S12" i="2"/>
  <c r="Q12" i="2"/>
  <c r="L12" i="2"/>
  <c r="H12" i="2"/>
  <c r="L11" i="2"/>
  <c r="H11" i="2"/>
  <c r="S10" i="2"/>
  <c r="U10" i="2" s="1"/>
  <c r="Q10" i="2"/>
  <c r="L10" i="2"/>
  <c r="H10" i="2"/>
  <c r="Q9" i="2"/>
  <c r="L9" i="2"/>
  <c r="H9" i="2"/>
  <c r="Q8" i="2"/>
  <c r="L8" i="2"/>
  <c r="H8" i="2"/>
  <c r="Q7" i="2"/>
  <c r="L7" i="2"/>
  <c r="H7" i="2"/>
  <c r="Q6" i="2"/>
  <c r="L6" i="2"/>
  <c r="H6" i="2"/>
  <c r="S5" i="2"/>
  <c r="Q5" i="2"/>
  <c r="U5" i="2" s="1"/>
  <c r="L5" i="2"/>
  <c r="H5" i="2"/>
  <c r="Q4" i="2"/>
  <c r="L4" i="2"/>
  <c r="H4" i="2"/>
  <c r="Q3" i="2"/>
  <c r="L3" i="2"/>
  <c r="Q2" i="2"/>
  <c r="L2" i="2"/>
  <c r="S2" i="2" s="1"/>
  <c r="U2" i="2" s="1"/>
  <c r="H2" i="2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G212" i="1"/>
  <c r="F212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G238" i="1"/>
  <c r="F238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G237" i="1"/>
  <c r="F237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G160" i="1"/>
  <c r="F160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G131" i="1"/>
  <c r="F131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G138" i="1"/>
  <c r="F138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G162" i="1"/>
  <c r="F16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G132" i="1"/>
  <c r="F132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G221" i="1"/>
  <c r="F221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G158" i="1"/>
  <c r="F158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G207" i="1"/>
  <c r="F207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G206" i="1"/>
  <c r="F206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G163" i="1"/>
  <c r="F163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G34" i="1"/>
  <c r="F3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G44" i="1"/>
  <c r="F44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G137" i="1"/>
  <c r="F13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G77" i="1"/>
  <c r="F77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G93" i="1"/>
  <c r="F93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G97" i="1"/>
  <c r="F97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G161" i="1"/>
  <c r="F161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G95" i="1"/>
  <c r="F95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G37" i="1"/>
  <c r="F37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G159" i="1"/>
  <c r="F159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G222" i="1"/>
  <c r="F222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G91" i="1"/>
  <c r="F91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G205" i="1"/>
  <c r="F205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G36" i="1"/>
  <c r="F36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G224" i="1"/>
  <c r="F224" i="1"/>
  <c r="G242" i="1"/>
  <c r="F242" i="1"/>
  <c r="G240" i="1"/>
  <c r="F240" i="1"/>
  <c r="G239" i="1"/>
  <c r="F239" i="1"/>
  <c r="G235" i="1"/>
  <c r="F235" i="1"/>
  <c r="G233" i="1"/>
  <c r="F233" i="1"/>
  <c r="G229" i="1"/>
  <c r="F229" i="1"/>
  <c r="G228" i="1"/>
  <c r="F228" i="1"/>
  <c r="G227" i="1"/>
  <c r="F227" i="1"/>
  <c r="G226" i="1"/>
  <c r="F226" i="1"/>
  <c r="G225" i="1"/>
  <c r="F225" i="1"/>
  <c r="G216" i="1"/>
  <c r="F216" i="1"/>
  <c r="G208" i="1"/>
  <c r="F208" i="1"/>
  <c r="G203" i="1"/>
  <c r="F203" i="1"/>
  <c r="G200" i="1"/>
  <c r="F200" i="1"/>
  <c r="G199" i="1"/>
  <c r="F199" i="1"/>
  <c r="G198" i="1"/>
  <c r="F198" i="1"/>
  <c r="G197" i="1"/>
  <c r="F197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69" i="1"/>
  <c r="F169" i="1"/>
  <c r="G168" i="1"/>
  <c r="F168" i="1"/>
  <c r="G167" i="1"/>
  <c r="F167" i="1"/>
  <c r="G166" i="1"/>
  <c r="F166" i="1"/>
  <c r="G136" i="1"/>
  <c r="F13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1" i="1"/>
  <c r="F101" i="1"/>
  <c r="G100" i="1"/>
  <c r="F100" i="1"/>
  <c r="G99" i="1"/>
  <c r="F99" i="1"/>
  <c r="G96" i="1"/>
  <c r="F96" i="1"/>
  <c r="G94" i="1"/>
  <c r="F94" i="1"/>
  <c r="G92" i="1"/>
  <c r="F92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54" i="1"/>
  <c r="F54" i="1"/>
  <c r="G53" i="1"/>
  <c r="F53" i="1"/>
  <c r="G50" i="1"/>
  <c r="F50" i="1"/>
  <c r="G49" i="1"/>
  <c r="F49" i="1"/>
  <c r="G48" i="1"/>
  <c r="F48" i="1"/>
  <c r="G47" i="1"/>
  <c r="F47" i="1"/>
  <c r="G46" i="1"/>
  <c r="F46" i="1"/>
  <c r="G45" i="1"/>
  <c r="F45" i="1"/>
  <c r="G43" i="1"/>
  <c r="F43" i="1"/>
  <c r="G42" i="1"/>
  <c r="F42" i="1"/>
  <c r="G41" i="1"/>
  <c r="F41" i="1"/>
  <c r="G40" i="1"/>
  <c r="F40" i="1"/>
  <c r="G39" i="1"/>
  <c r="F39" i="1"/>
  <c r="G38" i="1"/>
  <c r="F38" i="1"/>
  <c r="G35" i="1"/>
  <c r="F35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G217" i="1"/>
  <c r="F217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G155" i="1"/>
  <c r="F155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G8" i="1"/>
  <c r="F8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G19" i="1"/>
  <c r="F19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G4" i="1"/>
  <c r="F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G134" i="1"/>
  <c r="F134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G125" i="1"/>
  <c r="F125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G126" i="1"/>
  <c r="F126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G344" i="1"/>
  <c r="F344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G119" i="1"/>
  <c r="F119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G218" i="1"/>
  <c r="F218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G156" i="1"/>
  <c r="F156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G7" i="1"/>
  <c r="F7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G154" i="1"/>
  <c r="F154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G341" i="1"/>
  <c r="F341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G343" i="1"/>
  <c r="F343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G18" i="1"/>
  <c r="F18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G10" i="1"/>
  <c r="F10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G342" i="1"/>
  <c r="F342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G149" i="1"/>
  <c r="F149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G12" i="1"/>
  <c r="F12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G340" i="1"/>
  <c r="F340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G135" i="1"/>
  <c r="F135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G339" i="1"/>
  <c r="F339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G164" i="1"/>
  <c r="F164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G6" i="1"/>
  <c r="F6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G277" i="1"/>
  <c r="F277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G9" i="1"/>
  <c r="F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G139" i="1"/>
  <c r="F139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G334" i="1"/>
  <c r="F334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G128" i="1"/>
  <c r="F128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G121" i="1"/>
  <c r="F121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G148" i="1"/>
  <c r="F148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G157" i="1"/>
  <c r="F157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G130" i="1"/>
  <c r="F130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G14" i="1"/>
  <c r="F14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G143" i="1"/>
  <c r="F143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G67" i="1"/>
  <c r="F67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G150" i="1"/>
  <c r="F150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G107" i="1"/>
  <c r="F107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G15" i="1"/>
  <c r="F15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G338" i="1"/>
  <c r="F338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G120" i="1"/>
  <c r="F120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G282" i="1"/>
  <c r="F28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G312" i="1"/>
  <c r="F312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G29" i="1"/>
  <c r="F29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G142" i="1"/>
  <c r="F142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G336" i="1"/>
  <c r="F336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G11" i="1"/>
  <c r="F11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G302" i="1"/>
  <c r="F302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G283" i="1"/>
  <c r="F283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G335" i="1"/>
  <c r="F33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G305" i="1"/>
  <c r="F305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G103" i="1"/>
  <c r="F10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G133" i="1"/>
  <c r="F133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G5" i="1"/>
  <c r="F5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G286" i="1"/>
  <c r="F286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G140" i="1"/>
  <c r="F140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G274" i="1"/>
  <c r="F27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G144" i="1"/>
  <c r="F144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G289" i="1"/>
  <c r="F289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G28" i="1"/>
  <c r="F28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G23" i="1"/>
  <c r="F2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G13" i="1"/>
  <c r="F13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G141" i="1"/>
  <c r="F14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G301" i="1"/>
  <c r="F301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G30" i="1"/>
  <c r="F30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G127" i="1"/>
  <c r="F127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G244" i="1"/>
  <c r="F244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G102" i="1"/>
  <c r="F102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G313" i="1"/>
  <c r="F313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G145" i="1"/>
  <c r="F145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G66" i="1"/>
  <c r="F66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G24" i="1"/>
  <c r="F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G124" i="1"/>
  <c r="F124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G281" i="1"/>
  <c r="F281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G280" i="1"/>
  <c r="F280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G26" i="1"/>
  <c r="F26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G62" i="1"/>
  <c r="F62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G285" i="1"/>
  <c r="F285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G129" i="1"/>
  <c r="F129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G253" i="1"/>
  <c r="F253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G105" i="1"/>
  <c r="F105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G118" i="1"/>
  <c r="F118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G279" i="1"/>
  <c r="F279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G248" i="1"/>
  <c r="F248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G214" i="1"/>
  <c r="F214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G278" i="1"/>
  <c r="F278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G333" i="1"/>
  <c r="F333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G304" i="1"/>
  <c r="F304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G337" i="1"/>
  <c r="F33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G147" i="1"/>
  <c r="F147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G116" i="1"/>
  <c r="F116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G264" i="1"/>
  <c r="F264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G31" i="1"/>
  <c r="F31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G247" i="1"/>
  <c r="F247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G332" i="1"/>
  <c r="F332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G287" i="1"/>
  <c r="F287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G104" i="1"/>
  <c r="F104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G63" i="1"/>
  <c r="F63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G329" i="1"/>
  <c r="F329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G284" i="1"/>
  <c r="F284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G106" i="1"/>
  <c r="F106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G299" i="1"/>
  <c r="F299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G303" i="1"/>
  <c r="F30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G3" i="1"/>
  <c r="F3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G288" i="1"/>
  <c r="F28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G308" i="1"/>
  <c r="F308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G251" i="1"/>
  <c r="F251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G213" i="1"/>
  <c r="F213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G59" i="1"/>
  <c r="F59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G16" i="1"/>
  <c r="F16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G22" i="1"/>
  <c r="F22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G295" i="1"/>
  <c r="F295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G258" i="1"/>
  <c r="F258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G331" i="1"/>
  <c r="F331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G90" i="1"/>
  <c r="F90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G98" i="1"/>
  <c r="F98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G17" i="1"/>
  <c r="F17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G319" i="1"/>
  <c r="F319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G320" i="1"/>
  <c r="F320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G317" i="1"/>
  <c r="F317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G146" i="1"/>
  <c r="F146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G261" i="1"/>
  <c r="F261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G315" i="1"/>
  <c r="F315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G86" i="1"/>
  <c r="F86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G89" i="1"/>
  <c r="F89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G256" i="1"/>
  <c r="F256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G65" i="1"/>
  <c r="F65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G243" i="1"/>
  <c r="F24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G153" i="1"/>
  <c r="F153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G60" i="1"/>
  <c r="F60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G266" i="1"/>
  <c r="F266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G88" i="1"/>
  <c r="F88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G51" i="1"/>
  <c r="F51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G262" i="1"/>
  <c r="F262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G263" i="1"/>
  <c r="F263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G56" i="1"/>
  <c r="F56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G64" i="1"/>
  <c r="F64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G306" i="1"/>
  <c r="F306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G318" i="1"/>
  <c r="F31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G58" i="1"/>
  <c r="F58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G246" i="1"/>
  <c r="F246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G245" i="1"/>
  <c r="F245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G78" i="1"/>
  <c r="F78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G327" i="1"/>
  <c r="F327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G325" i="1"/>
  <c r="F325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G76" i="1"/>
  <c r="F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G276" i="1"/>
  <c r="F276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G152" i="1"/>
  <c r="F152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G257" i="1"/>
  <c r="F257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G296" i="1"/>
  <c r="F296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G85" i="1"/>
  <c r="F85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G123" i="1"/>
  <c r="F123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G275" i="1"/>
  <c r="F275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G316" i="1"/>
  <c r="F316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G297" i="1"/>
  <c r="F297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G21" i="1"/>
  <c r="F21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G122" i="1"/>
  <c r="F122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G75" i="1"/>
  <c r="F75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G326" i="1"/>
  <c r="F326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G300" i="1"/>
  <c r="F300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G165" i="1"/>
  <c r="F165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G151" i="1"/>
  <c r="F151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G269" i="1"/>
  <c r="F269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G330" i="1"/>
  <c r="F330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G314" i="1"/>
  <c r="F314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G80" i="1"/>
  <c r="F80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G117" i="1"/>
  <c r="F117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G81" i="1"/>
  <c r="F81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G55" i="1"/>
  <c r="F5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G265" i="1"/>
  <c r="F265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G82" i="1"/>
  <c r="F82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G323" i="1"/>
  <c r="F323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G87" i="1"/>
  <c r="F87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G2" i="1"/>
  <c r="F2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G271" i="1"/>
  <c r="F271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G298" i="1"/>
  <c r="F29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G268" i="1"/>
  <c r="F268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G83" i="1"/>
  <c r="F83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G57" i="1"/>
  <c r="F57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G293" i="1"/>
  <c r="F293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G259" i="1"/>
  <c r="F25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G249" i="1"/>
  <c r="F249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G321" i="1"/>
  <c r="F321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G79" i="1"/>
  <c r="F79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G215" i="1"/>
  <c r="F215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G309" i="1"/>
  <c r="F309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G290" i="1"/>
  <c r="F290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G311" i="1"/>
  <c r="F311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G307" i="1"/>
  <c r="F307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G254" i="1"/>
  <c r="F254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G310" i="1"/>
  <c r="F310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G294" i="1"/>
  <c r="F294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G328" i="1"/>
  <c r="F328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G322" i="1"/>
  <c r="F322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G260" i="1"/>
  <c r="F260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G267" i="1"/>
  <c r="F267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G270" i="1"/>
  <c r="F270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G272" i="1"/>
  <c r="F272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G273" i="1"/>
  <c r="F273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G61" i="1"/>
  <c r="F61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G255" i="1"/>
  <c r="F255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G32" i="1"/>
  <c r="F32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G291" i="1"/>
  <c r="F291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G52" i="1"/>
  <c r="F52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G33" i="1"/>
  <c r="F33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G324" i="1"/>
  <c r="F32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G84" i="1"/>
  <c r="F84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G292" i="1"/>
  <c r="F292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G230" i="1"/>
  <c r="F230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G209" i="1"/>
  <c r="F209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G252" i="1"/>
  <c r="F252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G211" i="1"/>
  <c r="F21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G201" i="1"/>
  <c r="F201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G210" i="1"/>
  <c r="F210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G232" i="1"/>
  <c r="F232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G241" i="1"/>
  <c r="F241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G219" i="1"/>
  <c r="F219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G220" i="1"/>
  <c r="F22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G250" i="1"/>
  <c r="F250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G27" i="1"/>
  <c r="F27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G231" i="1"/>
  <c r="F231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G25" i="1"/>
  <c r="F25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G234" i="1"/>
  <c r="F234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G223" i="1"/>
  <c r="F223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G20" i="1"/>
  <c r="F20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G196" i="1"/>
  <c r="F196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G204" i="1"/>
  <c r="F204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G170" i="1"/>
  <c r="F170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G202" i="1"/>
  <c r="F202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G236" i="1"/>
  <c r="F236" i="1"/>
  <c r="S6" i="2" l="1"/>
  <c r="U6" i="2" s="1"/>
  <c r="R6" i="2"/>
  <c r="T6" i="2" s="1"/>
  <c r="Q11" i="2"/>
  <c r="S3" i="2"/>
  <c r="U3" i="2" s="1"/>
  <c r="R10" i="2"/>
  <c r="T10" i="2" s="1"/>
  <c r="U12" i="2"/>
  <c r="S9" i="2"/>
  <c r="U9" i="2" s="1"/>
  <c r="R4" i="2"/>
  <c r="R11" i="2" s="1"/>
  <c r="R12" i="2"/>
  <c r="T12" i="2" s="1"/>
  <c r="T3" i="2"/>
  <c r="S4" i="2"/>
  <c r="M349" i="2"/>
  <c r="M348" i="2"/>
  <c r="M347" i="2"/>
  <c r="M346" i="2"/>
  <c r="T5" i="2"/>
  <c r="R7" i="2"/>
  <c r="T7" i="2" s="1"/>
  <c r="S7" i="2"/>
  <c r="U7" i="2" s="1"/>
  <c r="R8" i="2"/>
  <c r="T8" i="2" s="1"/>
  <c r="S8" i="2"/>
  <c r="U8" i="2" s="1"/>
  <c r="R9" i="2"/>
  <c r="T9" i="2" s="1"/>
  <c r="T11" i="2" l="1"/>
  <c r="S11" i="2"/>
  <c r="U11" i="2" s="1"/>
  <c r="T4" i="2"/>
  <c r="U4" i="2"/>
  <c r="O347" i="2"/>
  <c r="O346" i="2"/>
</calcChain>
</file>

<file path=xl/sharedStrings.xml><?xml version="1.0" encoding="utf-8"?>
<sst xmlns="http://schemas.openxmlformats.org/spreadsheetml/2006/main" count="1859" uniqueCount="423">
  <si>
    <t>Etiquetas de fila</t>
  </si>
  <si>
    <t>Departamento</t>
  </si>
  <si>
    <t>Municipio</t>
  </si>
  <si>
    <t>Forest cover 2011</t>
  </si>
  <si>
    <t>Deforestación promedio 2012-2014</t>
  </si>
  <si>
    <t>Deforestación promedio 2022-2024</t>
  </si>
  <si>
    <t>Deforestation 2012</t>
  </si>
  <si>
    <t>Deforestation 2013</t>
  </si>
  <si>
    <t>Deforestation 2014</t>
  </si>
  <si>
    <t>Deforestation 2015</t>
  </si>
  <si>
    <t>Deforestation 2016</t>
  </si>
  <si>
    <t>Deforestation 2017</t>
  </si>
  <si>
    <t>Deforestation 2018</t>
  </si>
  <si>
    <t>Deforestation 2019</t>
  </si>
  <si>
    <t>Deforestation 2020</t>
  </si>
  <si>
    <t>Deforestation 2021</t>
  </si>
  <si>
    <t>Deforestation 2022</t>
  </si>
  <si>
    <t>Deforestation 2023</t>
  </si>
  <si>
    <t>Deforestation 2024</t>
  </si>
  <si>
    <t>Forest Loss 2012</t>
  </si>
  <si>
    <t>Forest Loss 2013</t>
  </si>
  <si>
    <t>Forest Loss 2014</t>
  </si>
  <si>
    <t>Forest Loss 2015</t>
  </si>
  <si>
    <t>Forest Loss 2016</t>
  </si>
  <si>
    <t>Forest Loss 2017</t>
  </si>
  <si>
    <t>Forest Loss 2018</t>
  </si>
  <si>
    <t>Forest Loss 2019</t>
  </si>
  <si>
    <t>Forest Loss 2020</t>
  </si>
  <si>
    <t>Forest Loss 2021</t>
  </si>
  <si>
    <t>Forest Loss 2022</t>
  </si>
  <si>
    <t>Forest Loss 2023</t>
  </si>
  <si>
    <t>Forest Loss 2024</t>
  </si>
  <si>
    <t>Tasa deforestación 2012</t>
  </si>
  <si>
    <t>Tasa deforestación 2013</t>
  </si>
  <si>
    <t>Tasa deforestación 2014</t>
  </si>
  <si>
    <t>Tasa deforestación 2015</t>
  </si>
  <si>
    <t>Tasa deforestación 2016</t>
  </si>
  <si>
    <t>Tasa deforestación 2017</t>
  </si>
  <si>
    <t>Tasa deforestación 2018</t>
  </si>
  <si>
    <t>Tasa deforestación 2019</t>
  </si>
  <si>
    <t>Tasa deforestación 2020</t>
  </si>
  <si>
    <t>Tasa deforestación 2021</t>
  </si>
  <si>
    <t>Tasa deforestación 2022</t>
  </si>
  <si>
    <t>Tasa deforestación 2023</t>
  </si>
  <si>
    <t>Tasa deforestación 2024</t>
  </si>
  <si>
    <t>Tasa de pérdida de bosque 2012</t>
  </si>
  <si>
    <t>Tasa de pérdida de bosque 2013</t>
  </si>
  <si>
    <t>Tasa de pérdida de bosque 2014</t>
  </si>
  <si>
    <t>Tasa de pérdida de bosque 2015</t>
  </si>
  <si>
    <t>Tasa de pérdida de bosque 2016</t>
  </si>
  <si>
    <t>Tasa de pérdida de bosque 2017</t>
  </si>
  <si>
    <t>Tasa de pérdida de bosque 2018</t>
  </si>
  <si>
    <t>Tasa de pérdida de bosque 2019</t>
  </si>
  <si>
    <t>Tasa de pérdida de bosque 2020</t>
  </si>
  <si>
    <t>Tasa de pérdida de bosque 2021</t>
  </si>
  <si>
    <t>Tasa de pérdida de bosque 2022</t>
  </si>
  <si>
    <t>Tasa de pérdida de bosque 2023</t>
  </si>
  <si>
    <t>Tasa de pérdida de bosque 2024</t>
  </si>
  <si>
    <t>Potosí</t>
  </si>
  <si>
    <t>TIOC-Jatun Ayllu Yura</t>
  </si>
  <si>
    <t>Tinguipaya</t>
  </si>
  <si>
    <t>Oruro</t>
  </si>
  <si>
    <t>Challapata</t>
  </si>
  <si>
    <t>Urmiri</t>
  </si>
  <si>
    <t>Santiago de Huari</t>
  </si>
  <si>
    <t>Chuquisaca</t>
  </si>
  <si>
    <t>Camargo</t>
  </si>
  <si>
    <t>Tupiza</t>
  </si>
  <si>
    <t>Tomave</t>
  </si>
  <si>
    <t>Villa Abecia</t>
  </si>
  <si>
    <t>Caiza "D"</t>
  </si>
  <si>
    <t>Las Carreras</t>
  </si>
  <si>
    <t>Tarija</t>
  </si>
  <si>
    <t>Yunchará</t>
  </si>
  <si>
    <t>Vitiche</t>
  </si>
  <si>
    <t>Cotagaita</t>
  </si>
  <si>
    <t>Villazón</t>
  </si>
  <si>
    <t>Ckochas</t>
  </si>
  <si>
    <t>Chaquí</t>
  </si>
  <si>
    <t>Tacobamba</t>
  </si>
  <si>
    <t>El Puente</t>
  </si>
  <si>
    <t>Betanzos</t>
  </si>
  <si>
    <t>Puna</t>
  </si>
  <si>
    <t>Santa Cruz</t>
  </si>
  <si>
    <t>Mineros</t>
  </si>
  <si>
    <t>La Paz</t>
  </si>
  <si>
    <t>Ichoca</t>
  </si>
  <si>
    <t>Beni</t>
  </si>
  <si>
    <t>San Ramón</t>
  </si>
  <si>
    <t>Mecapaca</t>
  </si>
  <si>
    <t>Puerto Mayor de Carabuco</t>
  </si>
  <si>
    <t>General Saavedra</t>
  </si>
  <si>
    <t>Palca</t>
  </si>
  <si>
    <t>Cotoca</t>
  </si>
  <si>
    <t>Quiabaya</t>
  </si>
  <si>
    <t>Colpa Bélgica</t>
  </si>
  <si>
    <t>Santa Rosa del Sara</t>
  </si>
  <si>
    <t>Roboré</t>
  </si>
  <si>
    <t>San Juan</t>
  </si>
  <si>
    <t>Okinawa Uno</t>
  </si>
  <si>
    <t>San Andrés</t>
  </si>
  <si>
    <t>Huacaraje</t>
  </si>
  <si>
    <t>San Pedro</t>
  </si>
  <si>
    <t>Trinidad</t>
  </si>
  <si>
    <t>Santa Cruz de la Sierra</t>
  </si>
  <si>
    <t>Ascensión de Guarayos</t>
  </si>
  <si>
    <t>San Javier</t>
  </si>
  <si>
    <t>Montero</t>
  </si>
  <si>
    <t>Ocurí</t>
  </si>
  <si>
    <t>Cairoma</t>
  </si>
  <si>
    <t>Loreto</t>
  </si>
  <si>
    <t>Uriondo</t>
  </si>
  <si>
    <t>Warnes</t>
  </si>
  <si>
    <t>Fernández Alonso</t>
  </si>
  <si>
    <t>Aucapata</t>
  </si>
  <si>
    <t>Colquiri</t>
  </si>
  <si>
    <t>San José de Chiquitos</t>
  </si>
  <si>
    <t>San Julián</t>
  </si>
  <si>
    <t>Portachuelo</t>
  </si>
  <si>
    <t>Sucre</t>
  </si>
  <si>
    <t>Irupana</t>
  </si>
  <si>
    <t>San Joaquín</t>
  </si>
  <si>
    <t>Cajuata</t>
  </si>
  <si>
    <t>San Carlos</t>
  </si>
  <si>
    <t>Chuma</t>
  </si>
  <si>
    <t>Quime</t>
  </si>
  <si>
    <t>Alto Beni</t>
  </si>
  <si>
    <t>Inquisivi</t>
  </si>
  <si>
    <t>Reyes</t>
  </si>
  <si>
    <t>Pando</t>
  </si>
  <si>
    <t>Cobija</t>
  </si>
  <si>
    <t>Pailón</t>
  </si>
  <si>
    <t>Cochabamba</t>
  </si>
  <si>
    <t>Chimoré</t>
  </si>
  <si>
    <t>Shinahota</t>
  </si>
  <si>
    <t>Cuatro Cañadas</t>
  </si>
  <si>
    <t>Magdalena</t>
  </si>
  <si>
    <t>Luribay</t>
  </si>
  <si>
    <t>Ayopaya</t>
  </si>
  <si>
    <t>San Lucas</t>
  </si>
  <si>
    <t>Santa Rosa</t>
  </si>
  <si>
    <t>Charagua (Autonomía Guarani Charagua Iyambae)</t>
  </si>
  <si>
    <t>Morochata</t>
  </si>
  <si>
    <t>Villa Libertad Licoma</t>
  </si>
  <si>
    <t>La Guardia</t>
  </si>
  <si>
    <t>Puerto Villarroel</t>
  </si>
  <si>
    <t>Cabezas</t>
  </si>
  <si>
    <t>Sapahaqui</t>
  </si>
  <si>
    <t>Puerto Siles</t>
  </si>
  <si>
    <t>Baures</t>
  </si>
  <si>
    <t>Malla</t>
  </si>
  <si>
    <t>Bermejo</t>
  </si>
  <si>
    <t>Yacuiba</t>
  </si>
  <si>
    <t>Sorata</t>
  </si>
  <si>
    <t>Santa Ana</t>
  </si>
  <si>
    <t>El Carmen Rivero Tórrez</t>
  </si>
  <si>
    <t>Mapiri</t>
  </si>
  <si>
    <t>Ayata</t>
  </si>
  <si>
    <t>San Rafael</t>
  </si>
  <si>
    <t>San Miguel de Velasco</t>
  </si>
  <si>
    <t>Mocomoco</t>
  </si>
  <si>
    <t>Yanacachi</t>
  </si>
  <si>
    <t>Yapacaní</t>
  </si>
  <si>
    <t>Tacacoma</t>
  </si>
  <si>
    <t>Entre Ríos</t>
  </si>
  <si>
    <t>Teoponte</t>
  </si>
  <si>
    <t>Porongo</t>
  </si>
  <si>
    <t>Palos Blancos</t>
  </si>
  <si>
    <t>Chulumani</t>
  </si>
  <si>
    <t>San Borja</t>
  </si>
  <si>
    <t>San Ignacio de Velasco</t>
  </si>
  <si>
    <t>Villa Tunari</t>
  </si>
  <si>
    <t>Puerto Menor de Rurrenabaque</t>
  </si>
  <si>
    <t>San Ignacio</t>
  </si>
  <si>
    <t>Exaltación</t>
  </si>
  <si>
    <t>Huacareta</t>
  </si>
  <si>
    <t>Calamarca</t>
  </si>
  <si>
    <t>La Asunta</t>
  </si>
  <si>
    <t>Porvenir</t>
  </si>
  <si>
    <t>El Torno</t>
  </si>
  <si>
    <t>Concepción</t>
  </si>
  <si>
    <t>Incahuasi</t>
  </si>
  <si>
    <t>Monteagudo</t>
  </si>
  <si>
    <t>Guanay</t>
  </si>
  <si>
    <t>Ravelo</t>
  </si>
  <si>
    <t>San Lorenzo</t>
  </si>
  <si>
    <t>Urubichá</t>
  </si>
  <si>
    <t>Mairana</t>
  </si>
  <si>
    <t>Yotala</t>
  </si>
  <si>
    <t>Saipina</t>
  </si>
  <si>
    <t>San Antonio de Lomerío</t>
  </si>
  <si>
    <t>Charazani</t>
  </si>
  <si>
    <t>Postrervalle</t>
  </si>
  <si>
    <t>TIOC-Territorio Indígena Multiétnico</t>
  </si>
  <si>
    <t>Tipuani</t>
  </si>
  <si>
    <t>Ixiamas</t>
  </si>
  <si>
    <t>Pampagrande</t>
  </si>
  <si>
    <t>Bolpebra</t>
  </si>
  <si>
    <t>Caraparí</t>
  </si>
  <si>
    <t>Nuestra Señora de La Paz</t>
  </si>
  <si>
    <t>Buena Vista</t>
  </si>
  <si>
    <t>Caranavi</t>
  </si>
  <si>
    <t>Tapacarí</t>
  </si>
  <si>
    <t>Puerto Gonzalo Moreno</t>
  </si>
  <si>
    <t>Puerto Suárez</t>
  </si>
  <si>
    <t>Bella Flor</t>
  </si>
  <si>
    <t>Gutierrez (Autonomía Indígena Kereimba Iyaambae)</t>
  </si>
  <si>
    <t>Pocoata</t>
  </si>
  <si>
    <t>Villa Montes</t>
  </si>
  <si>
    <t>Camiri</t>
  </si>
  <si>
    <t>San Buenaventura</t>
  </si>
  <si>
    <t>Arani</t>
  </si>
  <si>
    <t>Pucará</t>
  </si>
  <si>
    <t>Combaya</t>
  </si>
  <si>
    <t>Culpina</t>
  </si>
  <si>
    <t>Boyuibe</t>
  </si>
  <si>
    <t>Vallegrande</t>
  </si>
  <si>
    <t>Cocapata</t>
  </si>
  <si>
    <t>Villa Serrano</t>
  </si>
  <si>
    <t>Apolo</t>
  </si>
  <si>
    <t>Colomi</t>
  </si>
  <si>
    <t>Guayaramerín</t>
  </si>
  <si>
    <t>Coroico</t>
  </si>
  <si>
    <t>Padcaya</t>
  </si>
  <si>
    <t>Arbieto</t>
  </si>
  <si>
    <t>Macharetí</t>
  </si>
  <si>
    <t>San Matías</t>
  </si>
  <si>
    <t>Tiquipaya</t>
  </si>
  <si>
    <t>Sopachuy</t>
  </si>
  <si>
    <t>Villa Charcas</t>
  </si>
  <si>
    <t>Villa Vaca Guzmán</t>
  </si>
  <si>
    <t>Quirusillas</t>
  </si>
  <si>
    <t>Sacaba</t>
  </si>
  <si>
    <t>Lagunillas</t>
  </si>
  <si>
    <t>Sipesipe</t>
  </si>
  <si>
    <t>Samaipata</t>
  </si>
  <si>
    <t>Azurduy</t>
  </si>
  <si>
    <t>Capinota</t>
  </si>
  <si>
    <t>Coripata</t>
  </si>
  <si>
    <t>Puerto Quijarro</t>
  </si>
  <si>
    <t>Moromoro</t>
  </si>
  <si>
    <t>Comarapa</t>
  </si>
  <si>
    <t>Padilla</t>
  </si>
  <si>
    <t>Filadelfia</t>
  </si>
  <si>
    <t>Vinto</t>
  </si>
  <si>
    <t>Huacaya (Autonomía Guarani Chaqueño de Huacaya)</t>
  </si>
  <si>
    <t>Riberalta</t>
  </si>
  <si>
    <t>Trigal</t>
  </si>
  <si>
    <t>Pasorapa</t>
  </si>
  <si>
    <t>El Villar</t>
  </si>
  <si>
    <t>Curva</t>
  </si>
  <si>
    <t>Pocona</t>
  </si>
  <si>
    <t>Pelechuco</t>
  </si>
  <si>
    <t>Colcapirhua</t>
  </si>
  <si>
    <t>Alcalá</t>
  </si>
  <si>
    <t>Vacas</t>
  </si>
  <si>
    <t>TIOC-Raqaypampa</t>
  </si>
  <si>
    <t>Totora</t>
  </si>
  <si>
    <t>Omereque</t>
  </si>
  <si>
    <t>Sacabamba</t>
  </si>
  <si>
    <t>Puerto Rico</t>
  </si>
  <si>
    <t>Quillacollo</t>
  </si>
  <si>
    <t>Mojocoya</t>
  </si>
  <si>
    <t>Cuevo</t>
  </si>
  <si>
    <t>Tarvita</t>
  </si>
  <si>
    <t>Tiraque</t>
  </si>
  <si>
    <t>Sena</t>
  </si>
  <si>
    <t>Sicaya</t>
  </si>
  <si>
    <t>Tomina</t>
  </si>
  <si>
    <t>Pojo</t>
  </si>
  <si>
    <t>Nueva Esperanza</t>
  </si>
  <si>
    <t>Icla</t>
  </si>
  <si>
    <t>Tarabuco</t>
  </si>
  <si>
    <t>Villa Nueva</t>
  </si>
  <si>
    <t>Ingavi</t>
  </si>
  <si>
    <t>Mizque</t>
  </si>
  <si>
    <t>Zudáñez</t>
  </si>
  <si>
    <t>Alalay</t>
  </si>
  <si>
    <t>Toro Toro</t>
  </si>
  <si>
    <t>Aiquile</t>
  </si>
  <si>
    <t>Santos Mercado</t>
  </si>
  <si>
    <t>Anzaldo</t>
  </si>
  <si>
    <t>Tarata</t>
  </si>
  <si>
    <t>Santivañez</t>
  </si>
  <si>
    <t>Poroma</t>
  </si>
  <si>
    <t>Yamparáez</t>
  </si>
  <si>
    <t>Presto</t>
  </si>
  <si>
    <t>Vila Vila</t>
  </si>
  <si>
    <t>El Alto</t>
  </si>
  <si>
    <t>Chua Cocani</t>
  </si>
  <si>
    <t>Huarina</t>
  </si>
  <si>
    <t>Santiago de Huata</t>
  </si>
  <si>
    <t>Huatajata</t>
  </si>
  <si>
    <t>Corocoro</t>
  </si>
  <si>
    <t>Caquiaviri</t>
  </si>
  <si>
    <t>Comanche</t>
  </si>
  <si>
    <t>Charaña</t>
  </si>
  <si>
    <t>Waldo Ballivián</t>
  </si>
  <si>
    <t>Nazacara de Pacajes</t>
  </si>
  <si>
    <t>Santiago de Callapa</t>
  </si>
  <si>
    <t>Puerto Acosta</t>
  </si>
  <si>
    <t>Humanata</t>
  </si>
  <si>
    <t>Escoma</t>
  </si>
  <si>
    <t>Viacha</t>
  </si>
  <si>
    <t>Puerto Mayor de Guaqui</t>
  </si>
  <si>
    <t>Tiahuanacu</t>
  </si>
  <si>
    <t>Desaguadero</t>
  </si>
  <si>
    <t>La (Marka) San Andrés de Machaca</t>
  </si>
  <si>
    <t>Jesús de Machaca</t>
  </si>
  <si>
    <t>Taraco</t>
  </si>
  <si>
    <t>Laja</t>
  </si>
  <si>
    <t>Puerto Pérez</t>
  </si>
  <si>
    <t>Umala</t>
  </si>
  <si>
    <t>Patacamaya</t>
  </si>
  <si>
    <t>Colquencha</t>
  </si>
  <si>
    <t>Collana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</si>
  <si>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</si>
  <si>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</si>
  <si>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</si>
  <si>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</si>
  <si>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</si>
  <si>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</si>
  <si>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</si>
  <si>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</si>
  <si>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Cliza</t>
  </si>
  <si>
    <t>Caracollo</t>
  </si>
  <si>
    <t>El Choro</t>
  </si>
  <si>
    <t>Paria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</si>
  <si>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</si>
  <si>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</si>
  <si>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</si>
  <si>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</si>
  <si>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</si>
  <si>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</si>
  <si>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</si>
  <si>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</si>
  <si>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</si>
  <si>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</si>
  <si>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</si>
  <si>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</si>
  <si>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</si>
  <si>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</si>
  <si>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</si>
  <si>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</si>
  <si>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</si>
  <si>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</si>
  <si>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</si>
  <si>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</si>
  <si>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</si>
  <si>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</si>
  <si>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</si>
  <si>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</si>
  <si>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La Rivera</t>
  </si>
  <si>
    <t>Todos Santos</t>
  </si>
  <si>
    <t>Carangas</t>
  </si>
  <si>
    <t>Santiago de Huayllamarca</t>
  </si>
  <si>
    <t>Yocalla</t>
  </si>
  <si>
    <t>Chuquihuta Ayllu Jucumani</t>
  </si>
  <si>
    <t>San Pedro de Macha</t>
  </si>
  <si>
    <t>Colcha "K"</t>
  </si>
  <si>
    <t>San Pedro de Quemes</t>
  </si>
  <si>
    <t>San Pablo</t>
  </si>
  <si>
    <t>Mojinete</t>
  </si>
  <si>
    <t>San Antonio de Esmoruco</t>
  </si>
  <si>
    <t>Uyuni</t>
  </si>
  <si>
    <t>Porco</t>
  </si>
  <si>
    <t>Llica</t>
  </si>
  <si>
    <t>Tahua</t>
  </si>
  <si>
    <t>San Agustín</t>
  </si>
  <si>
    <t>Atocha</t>
  </si>
  <si>
    <t>Achacachi</t>
  </si>
  <si>
    <t>Uncía</t>
  </si>
  <si>
    <t>Pucarani</t>
  </si>
  <si>
    <t>Caripuyo</t>
  </si>
  <si>
    <t>Villa Rivero</t>
  </si>
  <si>
    <t>Villa Ancoraimes</t>
  </si>
  <si>
    <t>Sicasica</t>
  </si>
  <si>
    <t>Tacachi</t>
  </si>
  <si>
    <t>Ayo Ayo</t>
  </si>
  <si>
    <t>Batallas</t>
  </si>
  <si>
    <t>Yaco</t>
  </si>
  <si>
    <t>Toco</t>
  </si>
  <si>
    <t>Calacoto</t>
  </si>
  <si>
    <t>Achocalla</t>
  </si>
  <si>
    <t>Bolívar</t>
  </si>
  <si>
    <t>Chayanta</t>
  </si>
  <si>
    <t>Llallagua</t>
  </si>
  <si>
    <t>Punata</t>
  </si>
  <si>
    <t>Sacaca</t>
  </si>
  <si>
    <t>Tacopaya</t>
  </si>
  <si>
    <t>Villa Gualberto Villarroel</t>
  </si>
  <si>
    <t>Tolata</t>
  </si>
  <si>
    <t>Arque</t>
  </si>
  <si>
    <t>San Benito</t>
  </si>
  <si>
    <t>Arampampa</t>
  </si>
  <si>
    <t>Acasio</t>
  </si>
  <si>
    <t>Colquechaca</t>
  </si>
  <si>
    <t>ID</t>
  </si>
  <si>
    <t>Forest Loss Promedio 2012-2014</t>
  </si>
  <si>
    <t>Forest Loss Promedio 2022-2024</t>
  </si>
  <si>
    <t>Tasa promedio de pérdida de bosque 2012-2014</t>
  </si>
  <si>
    <t>Tasa promedio de pérdida de bosque 2022-2024</t>
  </si>
  <si>
    <t>Potosi</t>
  </si>
  <si>
    <t>Bolivia</t>
  </si>
  <si>
    <t>Gran Chaco</t>
  </si>
  <si>
    <t>Promedio</t>
  </si>
  <si>
    <t>Desv. Est.</t>
  </si>
  <si>
    <t>Min</t>
  </si>
  <si>
    <t>Max</t>
  </si>
  <si>
    <t>Obs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</si>
  <si>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</si>
  <si>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</si>
  <si>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</si>
  <si>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</si>
  <si>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</si>
  <si>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</si>
  <si>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</si>
  <si>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</si>
  <si>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</si>
  <si>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</si>
  <si>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</si>
  <si>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Tasa promedio de pérdida de bosque</t>
  </si>
  <si>
    <t>Sin bosque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</si>
</sst>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0.0"/>
  </numFmts>
  <fonts count="8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9"/>
      <color theme="1"/>
      <name val="Play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A6C9EB"/>
        <bgColor rgb="FFA6C9EB"/>
      </patternFill>
    </fill>
    <fill>
      <patternFill patternType="solid">
        <fgColor rgb="FFC1F0C8"/>
        <bgColor rgb="FFC1F0C8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45B0E1"/>
      </bottom>
      <diagonal/>
    </border>
    <border>
      <left/>
      <right/>
      <top/>
      <bottom style="thin">
        <color rgb="FF45B0E1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/>
    <xf numFmtId="0" fontId="2" fillId="0" borderId="2" xfId="0" applyFont="1" applyBorder="1"/>
    <xf numFmtId="0" fontId="2" fillId="0" borderId="0" xfId="0" applyFont="1"/>
    <xf numFmtId="0" fontId="3" fillId="0" borderId="0" xfId="0" applyFont="1"/>
    <xf numFmtId="1" fontId="4" fillId="0" borderId="0" xfId="0" applyNumberFormat="1" applyFont="1"/>
    <xf numFmtId="164" fontId="4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65" fontId="4" fillId="0" borderId="0" xfId="0" applyNumberFormat="1" applyFont="1"/>
    <xf numFmtId="3" fontId="4" fillId="0" borderId="0" xfId="0" applyNumberFormat="1" applyFont="1"/>
    <xf numFmtId="0" fontId="4" fillId="0" borderId="4" xfId="0" applyFont="1" applyBorder="1"/>
    <xf numFmtId="2" fontId="4" fillId="0" borderId="4" xfId="0" applyNumberFormat="1" applyFont="1" applyBorder="1"/>
    <xf numFmtId="2" fontId="4" fillId="0" borderId="0" xfId="0" applyNumberFormat="1" applyFont="1"/>
    <xf numFmtId="0" fontId="2" fillId="0" borderId="4" xfId="0" applyFont="1" applyBorder="1" applyAlignment="1">
      <alignment horizontal="center" vertical="center" wrapText="1"/>
    </xf>
    <xf numFmtId="165" fontId="4" fillId="0" borderId="4" xfId="0" applyNumberFormat="1" applyFont="1" applyBorder="1"/>
    <xf numFmtId="1" fontId="4" fillId="0" borderId="4" xfId="0" applyNumberFormat="1" applyFont="1" applyBorder="1"/>
    <xf numFmtId="3" fontId="4" fillId="0" borderId="4" xfId="0" applyNumberFormat="1" applyFont="1" applyBorder="1"/>
    <xf numFmtId="0" fontId="5" fillId="5" borderId="4" xfId="0" applyFont="1" applyFill="1" applyBorder="1"/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4" xfId="0" applyFont="1" applyBorder="1"/>
    <xf numFmtId="0" fontId="2" fillId="2" borderId="2" xfId="0" applyFont="1" applyFill="1" applyBorder="1"/>
    <xf numFmtId="0" fontId="1" fillId="10" borderId="0" xfId="0" applyFont="1" applyFill="1"/>
    <xf numFmtId="0" fontId="1" fillId="11" borderId="0" xfId="0" applyFont="1" applyFill="1"/>
    <xf numFmtId="0" fontId="4" fillId="0" borderId="5" xfId="0" applyFont="1" applyBorder="1"/>
    <xf numFmtId="165" fontId="4" fillId="0" borderId="6" xfId="0" applyNumberFormat="1" applyFont="1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10" xfId="0" applyFont="1" applyBorder="1"/>
    <xf numFmtId="0" fontId="4" fillId="0" borderId="11" xfId="0" applyFont="1" applyBorder="1"/>
    <xf numFmtId="165" fontId="4" fillId="0" borderId="11" xfId="0" applyNumberFormat="1" applyFont="1" applyBorder="1"/>
    <xf numFmtId="165" fontId="4" fillId="0" borderId="12" xfId="0" applyNumberFormat="1" applyFont="1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Datos_originales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81775" cy="4429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G344">
  <autoFilter ref="A1:BG344" xr:uid="{00000000-000C-0000-FFFF-FFFF00000000}"/>
  <sortState xmlns:xlrd2="http://schemas.microsoft.com/office/spreadsheetml/2017/richdata2" ref="A2:BG344">
    <sortCondition ref="A1:A344"/>
  </sortState>
  <tableColumns count="59">
    <tableColumn id="1" xr3:uid="{00000000-0010-0000-0000-000001000000}" name="Etiquetas de fila"/>
    <tableColumn id="2" xr3:uid="{00000000-0010-0000-0000-000002000000}" name="Departamento"/>
    <tableColumn id="3" xr3:uid="{00000000-0010-0000-0000-000003000000}" name="Municipio"/>
    <tableColumn id="59" xr3:uid="{85B56482-27D1-4936-B787-27427E38D38F}" name="Sin bosque 2011" dataDxfId="8">
      <calculatedColumnFormula>IF(Table_1[[#This Row],[Forest cover 2011]]&lt;1000,"Bosque menor a 1000 ha",Table_1[[#This Row],[Forest cover 2011]])</calculatedColumnFormula>
    </tableColumn>
    <tableColumn id="4" xr3:uid="{00000000-0010-0000-0000-000004000000}" name="Forest cover 2011"/>
    <tableColumn id="5" xr3:uid="{00000000-0010-0000-0000-000005000000}" name="Deforestación promedio 2012-2014"/>
    <tableColumn id="6" xr3:uid="{00000000-0010-0000-0000-000006000000}" name="Deforestación promedio 2022-2024"/>
    <tableColumn id="7" xr3:uid="{00000000-0010-0000-0000-000007000000}" name="Deforestation 2012"/>
    <tableColumn id="8" xr3:uid="{00000000-0010-0000-0000-000008000000}" name="Deforestation 2013"/>
    <tableColumn id="9" xr3:uid="{00000000-0010-0000-0000-000009000000}" name="Deforestation 2014"/>
    <tableColumn id="10" xr3:uid="{00000000-0010-0000-0000-00000A000000}" name="Deforestation 2015"/>
    <tableColumn id="11" xr3:uid="{00000000-0010-0000-0000-00000B000000}" name="Deforestation 2016"/>
    <tableColumn id="12" xr3:uid="{00000000-0010-0000-0000-00000C000000}" name="Deforestation 2017"/>
    <tableColumn id="13" xr3:uid="{00000000-0010-0000-0000-00000D000000}" name="Deforestation 2018"/>
    <tableColumn id="14" xr3:uid="{00000000-0010-0000-0000-00000E000000}" name="Deforestation 2019"/>
    <tableColumn id="15" xr3:uid="{00000000-0010-0000-0000-00000F000000}" name="Deforestation 2020"/>
    <tableColumn id="16" xr3:uid="{00000000-0010-0000-0000-000010000000}" name="Deforestation 2021"/>
    <tableColumn id="17" xr3:uid="{00000000-0010-0000-0000-000011000000}" name="Deforestation 2022"/>
    <tableColumn id="18" xr3:uid="{00000000-0010-0000-0000-000012000000}" name="Deforestation 2023"/>
    <tableColumn id="19" xr3:uid="{00000000-0010-0000-0000-000013000000}" name="Deforestation 2024"/>
    <tableColumn id="20" xr3:uid="{00000000-0010-0000-0000-000014000000}" name="Forest Loss 2012"/>
    <tableColumn id="21" xr3:uid="{00000000-0010-0000-0000-000015000000}" name="Forest Loss 2013"/>
    <tableColumn id="22" xr3:uid="{00000000-0010-0000-0000-000016000000}" name="Forest Loss 2014"/>
    <tableColumn id="23" xr3:uid="{00000000-0010-0000-0000-000017000000}" name="Forest Loss 2015"/>
    <tableColumn id="24" xr3:uid="{00000000-0010-0000-0000-000018000000}" name="Forest Loss 2016"/>
    <tableColumn id="25" xr3:uid="{00000000-0010-0000-0000-000019000000}" name="Forest Loss 2017"/>
    <tableColumn id="26" xr3:uid="{00000000-0010-0000-0000-00001A000000}" name="Forest Loss 2018"/>
    <tableColumn id="27" xr3:uid="{00000000-0010-0000-0000-00001B000000}" name="Forest Loss 2019"/>
    <tableColumn id="28" xr3:uid="{00000000-0010-0000-0000-00001C000000}" name="Forest Loss 2020"/>
    <tableColumn id="29" xr3:uid="{00000000-0010-0000-0000-00001D000000}" name="Forest Loss 2021"/>
    <tableColumn id="30" xr3:uid="{00000000-0010-0000-0000-00001E000000}" name="Forest Loss 2022"/>
    <tableColumn id="31" xr3:uid="{00000000-0010-0000-0000-00001F000000}" name="Forest Loss 2023"/>
    <tableColumn id="32" xr3:uid="{00000000-0010-0000-0000-000020000000}" name="Forest Loss 2024"/>
    <tableColumn id="33" xr3:uid="{00000000-0010-0000-0000-000021000000}" name="Tasa deforestación 2012"/>
    <tableColumn id="34" xr3:uid="{00000000-0010-0000-0000-000022000000}" name="Tasa deforestación 2013"/>
    <tableColumn id="35" xr3:uid="{00000000-0010-0000-0000-000023000000}" name="Tasa deforestación 2014"/>
    <tableColumn id="36" xr3:uid="{00000000-0010-0000-0000-000024000000}" name="Tasa deforestación 2015"/>
    <tableColumn id="37" xr3:uid="{00000000-0010-0000-0000-000025000000}" name="Tasa deforestación 2016"/>
    <tableColumn id="38" xr3:uid="{00000000-0010-0000-0000-000026000000}" name="Tasa deforestación 2017"/>
    <tableColumn id="39" xr3:uid="{00000000-0010-0000-0000-000027000000}" name="Tasa deforestación 2018"/>
    <tableColumn id="40" xr3:uid="{00000000-0010-0000-0000-000028000000}" name="Tasa deforestación 2019"/>
    <tableColumn id="41" xr3:uid="{00000000-0010-0000-0000-000029000000}" name="Tasa deforestación 2020"/>
    <tableColumn id="42" xr3:uid="{00000000-0010-0000-0000-00002A000000}" name="Tasa deforestación 2021"/>
    <tableColumn id="43" xr3:uid="{00000000-0010-0000-0000-00002B000000}" name="Tasa deforestación 2022"/>
    <tableColumn id="44" xr3:uid="{00000000-0010-0000-0000-00002C000000}" name="Tasa deforestación 2023"/>
    <tableColumn id="45" xr3:uid="{00000000-0010-0000-0000-00002D000000}" name="Tasa deforestación 2024"/>
    <tableColumn id="46" xr3:uid="{00000000-0010-0000-0000-00002E000000}" name="Tasa de pérdida de bosque 2012"/>
    <tableColumn id="47" xr3:uid="{00000000-0010-0000-0000-00002F000000}" name="Tasa de pérdida de bosque 2013"/>
    <tableColumn id="48" xr3:uid="{00000000-0010-0000-0000-000030000000}" name="Tasa de pérdida de bosque 2014"/>
    <tableColumn id="49" xr3:uid="{00000000-0010-0000-0000-000031000000}" name="Tasa de pérdida de bosque 2015"/>
    <tableColumn id="50" xr3:uid="{00000000-0010-0000-0000-000032000000}" name="Tasa de pérdida de bosque 2016"/>
    <tableColumn id="51" xr3:uid="{00000000-0010-0000-0000-000033000000}" name="Tasa de pérdida de bosque 2017"/>
    <tableColumn id="52" xr3:uid="{00000000-0010-0000-0000-000034000000}" name="Tasa de pérdida de bosque 2018"/>
    <tableColumn id="53" xr3:uid="{00000000-0010-0000-0000-000035000000}" name="Tasa de pérdida de bosque 2019"/>
    <tableColumn id="54" xr3:uid="{00000000-0010-0000-0000-000036000000}" name="Tasa de pérdida de bosque 2020"/>
    <tableColumn id="55" xr3:uid="{00000000-0010-0000-0000-000037000000}" name="Tasa de pérdida de bosque 2021"/>
    <tableColumn id="56" xr3:uid="{00000000-0010-0000-0000-000038000000}" name="Tasa de pérdida de bosque 2022"/>
    <tableColumn id="57" xr3:uid="{00000000-0010-0000-0000-000039000000}" name="Tasa de pérdida de bosque 2023"/>
    <tableColumn id="58" xr3:uid="{00000000-0010-0000-0000-00003A000000}" name="Tasa de pérdida de bosque 2024"/>
  </tableColumns>
  <tableStyleInfo name="Datos_original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B54935-5915-4607-BE82-87645FF0790A}" name="Tabla2" displayName="Tabla2" ref="A1:D344" totalsRowShown="0" headerRowDxfId="0" headerRowBorderDxfId="6" tableBorderDxfId="7" totalsRowBorderDxfId="5">
  <autoFilter ref="A1:D344" xr:uid="{FEB54935-5915-4607-BE82-87645FF0790A}"/>
  <sortState xmlns:xlrd2="http://schemas.microsoft.com/office/spreadsheetml/2017/richdata2" ref="A2:D344">
    <sortCondition ref="A1:A344"/>
  </sortState>
  <tableColumns count="4">
    <tableColumn id="1" xr3:uid="{02C556E1-2823-4A2E-9819-AFD6B0AD301B}" name="ID" dataDxfId="4"/>
    <tableColumn id="2" xr3:uid="{7187D646-F219-4690-8978-25926FD6DC21}" name="Municipio" dataDxfId="3"/>
    <tableColumn id="3" xr3:uid="{A34DF5D5-6863-4183-91BF-B6E5E8D6B87E}" name="Tasa promedio de pérdida de bosque 2012-2014" dataDxfId="2"/>
    <tableColumn id="4" xr3:uid="{F7BD4435-1BCF-4AE2-884B-1FF63D245339}" name="Tasa promedio de pérdida de bosque 2022-2024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00"/>
  <sheetViews>
    <sheetView workbookViewId="0">
      <selection activeCell="D1" sqref="D1:D344"/>
    </sheetView>
  </sheetViews>
  <sheetFormatPr baseColWidth="10" defaultColWidth="12.6640625" defaultRowHeight="15" customHeight="1"/>
  <cols>
    <col min="1" max="1" width="16.21875" customWidth="1"/>
    <col min="2" max="2" width="14.88671875" customWidth="1"/>
    <col min="3" max="4" width="18" customWidth="1"/>
    <col min="5" max="7" width="17.21875" customWidth="1"/>
    <col min="8" max="20" width="18.33203125" customWidth="1"/>
    <col min="21" max="33" width="16.33203125" customWidth="1"/>
    <col min="34" max="34" width="12" customWidth="1"/>
    <col min="35" max="59" width="10.6640625" customWidth="1"/>
  </cols>
  <sheetData>
    <row r="1" spans="1:59" ht="14.4">
      <c r="A1" s="1" t="s">
        <v>0</v>
      </c>
      <c r="B1" s="1" t="s">
        <v>1</v>
      </c>
      <c r="C1" s="1" t="s">
        <v>2</v>
      </c>
      <c r="D1" s="26" t="s">
        <v>422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ht="14.4">
      <c r="A2" s="2">
        <v>10101</v>
      </c>
      <c r="B2" s="3" t="s">
        <v>65</v>
      </c>
      <c r="C2" s="4" t="s">
        <v>119</v>
      </c>
      <c r="D2" s="4">
        <f>IF(Table_1[[#This Row],[Forest cover 2011]]&lt;1000,"Bosque menor a 1000 ha",Table_1[[#This Row],[Forest cover 2011]])</f>
        <v>17890.560000000001</v>
      </c>
      <c r="E2" s="4">
        <v>17890.560000000001</v>
      </c>
      <c r="F2" s="5">
        <f>AVERAGE(Datos_originales!$H58:$J58)</f>
        <v>51.449999999999996</v>
      </c>
      <c r="G2" s="5">
        <f>AVERAGE(Datos_originales!$R58:$T58)</f>
        <v>131.46</v>
      </c>
      <c r="H2" s="4">
        <v>0.72</v>
      </c>
      <c r="I2" s="4">
        <v>1.98</v>
      </c>
      <c r="J2" s="4">
        <v>2.79</v>
      </c>
      <c r="K2" s="4">
        <v>1.26</v>
      </c>
      <c r="L2" s="4">
        <v>3.15</v>
      </c>
      <c r="M2" s="4">
        <v>2.7</v>
      </c>
      <c r="N2" s="4">
        <v>1.08</v>
      </c>
      <c r="O2" s="4">
        <v>0.45</v>
      </c>
      <c r="P2" s="4">
        <v>1.8</v>
      </c>
      <c r="Q2" s="4">
        <v>0.72</v>
      </c>
      <c r="R2" s="4">
        <v>0.09</v>
      </c>
      <c r="S2" s="4">
        <v>28.8</v>
      </c>
      <c r="T2" s="4">
        <v>20.07</v>
      </c>
      <c r="U2" s="4">
        <v>34.56</v>
      </c>
      <c r="V2" s="4">
        <v>19.53</v>
      </c>
      <c r="W2" s="4">
        <v>233.73</v>
      </c>
      <c r="X2" s="4">
        <v>5.58</v>
      </c>
      <c r="Y2" s="4">
        <v>7.1999999999999993</v>
      </c>
      <c r="Z2" s="4">
        <v>11.7</v>
      </c>
      <c r="AA2" s="4">
        <v>14.4</v>
      </c>
      <c r="AB2" s="4">
        <v>7.65</v>
      </c>
      <c r="AC2" s="4">
        <v>41.22</v>
      </c>
      <c r="AD2" s="4">
        <v>3.87</v>
      </c>
      <c r="AE2" s="4">
        <v>1.08</v>
      </c>
      <c r="AF2" s="4">
        <v>44.64</v>
      </c>
      <c r="AG2" s="4">
        <v>527.57999999999993</v>
      </c>
      <c r="AH2" s="6">
        <f>Datos_originales!$H58/Datos_originales!$E58</f>
        <v>8.7309195946114171E-4</v>
      </c>
      <c r="AI2" s="6">
        <f>Datos_originales!$I58/Datos_originales!$E58</f>
        <v>8.9021140964665451E-4</v>
      </c>
      <c r="AJ2" s="6">
        <f>Datos_originales!$J58/Datos_originales!$E58</f>
        <v>9.0577454617893881E-4</v>
      </c>
      <c r="AK2" s="6">
        <f>Datos_originales!$K58/Datos_originales!$E58</f>
        <v>5.1358350556537761E-4</v>
      </c>
      <c r="AL2" s="6">
        <f>Datos_originales!$L58/Datos_originales!$E58</f>
        <v>6.972285166463309E-4</v>
      </c>
      <c r="AM2" s="6">
        <f>Datos_originales!$M58/Datos_originales!$E58</f>
        <v>3.3616374909733809E-4</v>
      </c>
      <c r="AN2" s="6">
        <f>Datos_originales!$N58/Datos_originales!$E58</f>
        <v>8.1083941333200528E-4</v>
      </c>
      <c r="AO2" s="6">
        <f>Datos_originales!$O58/Datos_originales!$E58</f>
        <v>3.8752209965387587E-4</v>
      </c>
      <c r="AP2" s="6">
        <f>Datos_originales!$P58/Datos_originales!$E58</f>
        <v>1.2388256679698199E-3</v>
      </c>
      <c r="AQ2" s="6">
        <f>Datos_originales!$Q58/Datos_originales!$E58</f>
        <v>1.5407505166961329E-4</v>
      </c>
      <c r="AR2" s="6">
        <f>Datos_originales!$R58/Datos_originales!$E58</f>
        <v>3.906347269603327E-4</v>
      </c>
      <c r="AS2" s="6">
        <f>Datos_originales!$S58/Datos_originales!$E58</f>
        <v>3.5483951293607905E-3</v>
      </c>
      <c r="AT2" s="6">
        <f>Datos_originales!$T58/Datos_originales!$E58</f>
        <v>2.8807365721257999E-3</v>
      </c>
      <c r="AU2" s="6">
        <f>Datos_originales!$U58/Datos_originales!$E58</f>
        <v>5.717896361961205E-3</v>
      </c>
      <c r="AV2" s="6">
        <f>Datos_originales!$V58/Datos_originales!$E58</f>
        <v>2.2691053064070321E-3</v>
      </c>
      <c r="AW2" s="6">
        <f>Datos_originales!$W58/Datos_originales!$E58</f>
        <v>3.2713712990861329E-3</v>
      </c>
      <c r="AX2" s="6">
        <f>Datos_originales!$X58/Datos_originales!$E58</f>
        <v>1.4411464428895143E-3</v>
      </c>
      <c r="AY2" s="6">
        <f>Datos_originales!$Y58/Datos_originales!$E58</f>
        <v>1.1843546901068253E-3</v>
      </c>
      <c r="AZ2" s="6">
        <f>Datos_originales!$Z58/Datos_originales!$E58</f>
        <v>5.3070295575089019E-4</v>
      </c>
      <c r="BA2" s="6">
        <f>Datos_originales!$AA58/Datos_originales!$E58</f>
        <v>1.257501431808561E-3</v>
      </c>
      <c r="BB2" s="6">
        <f>Datos_originales!$AB58/Datos_originales!$E58</f>
        <v>3.8814462511516721E-3</v>
      </c>
      <c r="BC2" s="6">
        <f>Datos_originales!$AC58/Datos_originales!$E58</f>
        <v>1.8146617196643342E-3</v>
      </c>
      <c r="BD2" s="6">
        <f>Datos_originales!$AD58/Datos_originales!$E58</f>
        <v>5.8984287457357007E-4</v>
      </c>
      <c r="BE2" s="6">
        <f>Datos_originales!$AE58/Datos_originales!$E58</f>
        <v>5.6649816977514373E-4</v>
      </c>
      <c r="BF2" s="6">
        <f>Datos_originales!$AF58/Datos_originales!$E58</f>
        <v>4.1475758858537312E-3</v>
      </c>
      <c r="BG2" s="6">
        <f>Datos_originales!$AG58/Datos_originales!$E58</f>
        <v>1.6377088572922631E-2</v>
      </c>
    </row>
    <row r="3" spans="1:59" ht="14.4">
      <c r="A3" s="2">
        <v>10102</v>
      </c>
      <c r="B3" s="3" t="s">
        <v>65</v>
      </c>
      <c r="C3" s="4" t="s">
        <v>188</v>
      </c>
      <c r="D3" s="4">
        <f>IF(Table_1[[#This Row],[Forest cover 2011]]&lt;1000,"Bosque menor a 1000 ha",Table_1[[#This Row],[Forest cover 2011]])</f>
        <v>1252.8900000000001</v>
      </c>
      <c r="E3" s="4">
        <v>1252.8900000000001</v>
      </c>
      <c r="F3" s="5">
        <f>AVERAGE(Datos_originales!$H128:$J128)</f>
        <v>0.03</v>
      </c>
      <c r="G3" s="5">
        <f>AVERAGE(Datos_originales!$R128:$T128)</f>
        <v>0.75</v>
      </c>
      <c r="H3" s="4">
        <v>1.26</v>
      </c>
      <c r="I3" s="4">
        <v>0.99</v>
      </c>
      <c r="J3" s="4">
        <v>1.35</v>
      </c>
      <c r="K3" s="4">
        <v>1.71</v>
      </c>
      <c r="L3" s="4">
        <v>1.62</v>
      </c>
      <c r="M3" s="4">
        <v>1.17</v>
      </c>
      <c r="N3" s="4">
        <v>0.45</v>
      </c>
      <c r="O3" s="4">
        <v>1.8</v>
      </c>
      <c r="P3" s="4">
        <v>0.81</v>
      </c>
      <c r="Q3" s="4">
        <v>0.63</v>
      </c>
      <c r="R3" s="4">
        <v>0</v>
      </c>
      <c r="S3" s="4">
        <v>2.0699999999999998</v>
      </c>
      <c r="T3" s="4">
        <v>4.68</v>
      </c>
      <c r="U3" s="4">
        <v>3.69</v>
      </c>
      <c r="V3" s="4">
        <v>3.96</v>
      </c>
      <c r="W3" s="4">
        <v>24.03</v>
      </c>
      <c r="X3" s="4">
        <v>2.7</v>
      </c>
      <c r="Y3" s="4">
        <v>2.61</v>
      </c>
      <c r="Z3" s="4">
        <v>1.44</v>
      </c>
      <c r="AA3" s="4">
        <v>1.08</v>
      </c>
      <c r="AB3" s="4">
        <v>2.34</v>
      </c>
      <c r="AC3" s="4">
        <v>1.17</v>
      </c>
      <c r="AD3" s="4">
        <v>1.62</v>
      </c>
      <c r="AE3" s="4">
        <v>0.18</v>
      </c>
      <c r="AF3" s="4">
        <v>2.52</v>
      </c>
      <c r="AG3" s="4">
        <v>8.73</v>
      </c>
      <c r="AH3" s="6">
        <f>Datos_originales!$H128/Datos_originales!$E128</f>
        <v>0</v>
      </c>
      <c r="AI3" s="6">
        <f>Datos_originales!$I128/Datos_originales!$E128</f>
        <v>6.8870523415977953E-4</v>
      </c>
      <c r="AJ3" s="6">
        <f>Datos_originales!$J128/Datos_originales!$E128</f>
        <v>0</v>
      </c>
      <c r="AK3" s="6">
        <f>Datos_originales!$K128/Datos_originales!$E128</f>
        <v>0</v>
      </c>
      <c r="AL3" s="6">
        <f>Datos_originales!$L128/Datos_originales!$E128</f>
        <v>0</v>
      </c>
      <c r="AM3" s="6">
        <f>Datos_originales!$M128/Datos_originales!$E128</f>
        <v>0</v>
      </c>
      <c r="AN3" s="6">
        <f>Datos_originales!$N128/Datos_originales!$E128</f>
        <v>0</v>
      </c>
      <c r="AO3" s="6">
        <f>Datos_originales!$O128/Datos_originales!$E128</f>
        <v>0</v>
      </c>
      <c r="AP3" s="6">
        <f>Datos_originales!$P128/Datos_originales!$E128</f>
        <v>0</v>
      </c>
      <c r="AQ3" s="6">
        <f>Datos_originales!$Q128/Datos_originales!$E128</f>
        <v>6.1983471074380167E-3</v>
      </c>
      <c r="AR3" s="6">
        <f>Datos_originales!$R128/Datos_originales!$E128</f>
        <v>6.1983471074380167E-3</v>
      </c>
      <c r="AS3" s="6">
        <f>Datos_originales!$S128/Datos_originales!$E128</f>
        <v>1.0330578512396695E-2</v>
      </c>
      <c r="AT3" s="6">
        <f>Datos_originales!$T128/Datos_originales!$E128</f>
        <v>6.8870523415977953E-4</v>
      </c>
      <c r="AU3" s="6">
        <f>Datos_originales!$U128/Datos_originales!$E128</f>
        <v>6.1983471074380167E-3</v>
      </c>
      <c r="AV3" s="6">
        <f>Datos_originales!$V128/Datos_originales!$E128</f>
        <v>4.8209366391184574E-3</v>
      </c>
      <c r="AW3" s="6">
        <f>Datos_originales!$W128/Datos_originales!$E128</f>
        <v>1.3774104683195593E-2</v>
      </c>
      <c r="AX3" s="6">
        <f>Datos_originales!$X128/Datos_originales!$E128</f>
        <v>1.3774104683195591E-3</v>
      </c>
      <c r="AY3" s="6">
        <f>Datos_originales!$Y128/Datos_originales!$E128</f>
        <v>5.5096418732782362E-3</v>
      </c>
      <c r="AZ3" s="6">
        <f>Datos_originales!$Z128/Datos_originales!$E128</f>
        <v>3.4435261707988982E-2</v>
      </c>
      <c r="BA3" s="6">
        <f>Datos_originales!$AA128/Datos_originales!$E128</f>
        <v>7.43801652892562E-2</v>
      </c>
      <c r="BB3" s="6">
        <f>Datos_originales!$AB128/Datos_originales!$E128</f>
        <v>3.5123966942148754E-2</v>
      </c>
      <c r="BC3" s="6">
        <f>Datos_originales!$AC128/Datos_originales!$E128</f>
        <v>6.1983471074380167E-3</v>
      </c>
      <c r="BD3" s="6">
        <f>Datos_originales!$AD128/Datos_originales!$E128</f>
        <v>7.5757575757575751E-3</v>
      </c>
      <c r="BE3" s="6">
        <f>Datos_originales!$AE128/Datos_originales!$E128</f>
        <v>6.8870523415977963E-3</v>
      </c>
      <c r="BF3" s="6">
        <f>Datos_originales!$AF128/Datos_originales!$E128</f>
        <v>7.3691460055096428E-2</v>
      </c>
      <c r="BG3" s="6">
        <f>Datos_originales!$AG128/Datos_originales!$E128</f>
        <v>1.3774104683195591E-3</v>
      </c>
    </row>
    <row r="4" spans="1:59" ht="14.4">
      <c r="A4" s="2">
        <v>10103</v>
      </c>
      <c r="B4" s="3" t="s">
        <v>65</v>
      </c>
      <c r="C4" s="4" t="s">
        <v>284</v>
      </c>
      <c r="D4" s="4">
        <f>IF(Table_1[[#This Row],[Forest cover 2011]]&lt;1000,"Bosque menor a 1000 ha",Table_1[[#This Row],[Forest cover 2011]])</f>
        <v>26070.66</v>
      </c>
      <c r="E4" s="4">
        <v>26070.66</v>
      </c>
      <c r="F4" s="5">
        <f>AVERAGE(Datos_originales!$H229:$J229)</f>
        <v>0</v>
      </c>
      <c r="G4" s="5">
        <f>AVERAGE(Datos_originales!$R229:$T229)</f>
        <v>0</v>
      </c>
      <c r="H4" s="4">
        <v>0.45</v>
      </c>
      <c r="I4" s="4">
        <v>0</v>
      </c>
      <c r="J4" s="4">
        <v>0.09</v>
      </c>
      <c r="K4" s="4">
        <v>0</v>
      </c>
      <c r="L4" s="4">
        <v>1.44</v>
      </c>
      <c r="M4" s="4">
        <v>0</v>
      </c>
      <c r="N4" s="4">
        <v>0.18</v>
      </c>
      <c r="O4" s="4">
        <v>0.9</v>
      </c>
      <c r="P4" s="4">
        <v>0.54</v>
      </c>
      <c r="Q4" s="4">
        <v>0</v>
      </c>
      <c r="R4" s="4">
        <v>0.09</v>
      </c>
      <c r="S4" s="4">
        <v>7.1099999999999994</v>
      </c>
      <c r="T4" s="4">
        <v>0.54</v>
      </c>
      <c r="U4" s="4">
        <v>53.46</v>
      </c>
      <c r="V4" s="4">
        <v>32.49</v>
      </c>
      <c r="W4" s="4">
        <v>270</v>
      </c>
      <c r="X4" s="4">
        <v>10.71</v>
      </c>
      <c r="Y4" s="4">
        <v>8.73</v>
      </c>
      <c r="Z4" s="4">
        <v>11.07</v>
      </c>
      <c r="AA4" s="4">
        <v>16.559999999999999</v>
      </c>
      <c r="AB4" s="4">
        <v>41.94</v>
      </c>
      <c r="AC4" s="4">
        <v>103.59</v>
      </c>
      <c r="AD4" s="4">
        <v>0.72</v>
      </c>
      <c r="AE4" s="4">
        <v>1.98</v>
      </c>
      <c r="AF4" s="4">
        <v>67.23</v>
      </c>
      <c r="AG4" s="4">
        <v>3.51</v>
      </c>
      <c r="AH4" s="6" t="e">
        <f>Datos_originales!$H229/Datos_originales!$E229</f>
        <v>#DIV/0!</v>
      </c>
      <c r="AI4" s="6" t="e">
        <f>Datos_originales!$I229/Datos_originales!$E229</f>
        <v>#DIV/0!</v>
      </c>
      <c r="AJ4" s="6" t="e">
        <f>Datos_originales!$J229/Datos_originales!$E229</f>
        <v>#DIV/0!</v>
      </c>
      <c r="AK4" s="6" t="e">
        <f>Datos_originales!$K229/Datos_originales!$E229</f>
        <v>#DIV/0!</v>
      </c>
      <c r="AL4" s="6" t="e">
        <f>Datos_originales!$L229/Datos_originales!$E229</f>
        <v>#DIV/0!</v>
      </c>
      <c r="AM4" s="6" t="e">
        <f>Datos_originales!$M229/Datos_originales!$E229</f>
        <v>#DIV/0!</v>
      </c>
      <c r="AN4" s="6" t="e">
        <f>Datos_originales!$N229/Datos_originales!$E229</f>
        <v>#DIV/0!</v>
      </c>
      <c r="AO4" s="6" t="e">
        <f>Datos_originales!$O229/Datos_originales!$E229</f>
        <v>#DIV/0!</v>
      </c>
      <c r="AP4" s="6" t="e">
        <f>Datos_originales!$P229/Datos_originales!$E229</f>
        <v>#DIV/0!</v>
      </c>
      <c r="AQ4" s="6" t="e">
        <f>Datos_originales!$Q229/Datos_originales!$E229</f>
        <v>#DIV/0!</v>
      </c>
      <c r="AR4" s="6" t="e">
        <f>Datos_originales!$R229/Datos_originales!$E229</f>
        <v>#DIV/0!</v>
      </c>
      <c r="AS4" s="6" t="e">
        <f>Datos_originales!$S229/Datos_originales!$E229</f>
        <v>#DIV/0!</v>
      </c>
      <c r="AT4" s="6" t="e">
        <f>Datos_originales!$T229/Datos_originales!$E229</f>
        <v>#DIV/0!</v>
      </c>
      <c r="AU4" s="6" t="e">
        <f>Datos_originales!$U229/Datos_originales!$E229</f>
        <v>#DIV/0!</v>
      </c>
      <c r="AV4" s="6" t="e">
        <f>Datos_originales!$V229/Datos_originales!$E229</f>
        <v>#DIV/0!</v>
      </c>
      <c r="AW4" s="6" t="e">
        <f>Datos_originales!$W229/Datos_originales!$E229</f>
        <v>#DIV/0!</v>
      </c>
      <c r="AX4" s="6" t="e">
        <f>Datos_originales!$X229/Datos_originales!$E229</f>
        <v>#DIV/0!</v>
      </c>
      <c r="AY4" s="6" t="e">
        <f>Datos_originales!$Y229/Datos_originales!$E229</f>
        <v>#DIV/0!</v>
      </c>
      <c r="AZ4" s="6" t="e">
        <f>Datos_originales!$Z229/Datos_originales!$E229</f>
        <v>#DIV/0!</v>
      </c>
      <c r="BA4" s="6" t="e">
        <f>Datos_originales!$AA229/Datos_originales!$E229</f>
        <v>#DIV/0!</v>
      </c>
      <c r="BB4" s="6" t="e">
        <f>Datos_originales!$AB229/Datos_originales!$E229</f>
        <v>#DIV/0!</v>
      </c>
      <c r="BC4" s="6" t="e">
        <f>Datos_originales!$AC229/Datos_originales!$E229</f>
        <v>#DIV/0!</v>
      </c>
      <c r="BD4" s="6" t="e">
        <f>Datos_originales!$AD229/Datos_originales!$E229</f>
        <v>#DIV/0!</v>
      </c>
      <c r="BE4" s="6" t="e">
        <f>Datos_originales!$AE229/Datos_originales!$E229</f>
        <v>#DIV/0!</v>
      </c>
      <c r="BF4" s="6" t="e">
        <f>Datos_originales!$AF229/Datos_originales!$E229</f>
        <v>#DIV/0!</v>
      </c>
      <c r="BG4" s="6" t="e">
        <f>Datos_originales!$AG229/Datos_originales!$E229</f>
        <v>#DIV/0!</v>
      </c>
    </row>
    <row r="5" spans="1:59" ht="14.4">
      <c r="A5" s="2">
        <v>10201</v>
      </c>
      <c r="B5" s="3" t="s">
        <v>65</v>
      </c>
      <c r="C5" s="4" t="s">
        <v>236</v>
      </c>
      <c r="D5" s="4">
        <f>IF(Table_1[[#This Row],[Forest cover 2011]]&lt;1000,"Bosque menor a 1000 ha",Table_1[[#This Row],[Forest cover 2011]])</f>
        <v>93727.26</v>
      </c>
      <c r="E5" s="4">
        <v>93727.26</v>
      </c>
      <c r="F5" s="5">
        <f>AVERAGE(Datos_originales!$H178:$J178)</f>
        <v>0</v>
      </c>
      <c r="G5" s="5">
        <f>AVERAGE(Datos_originales!$R178:$T178)</f>
        <v>0</v>
      </c>
      <c r="H5" s="4">
        <v>24.84</v>
      </c>
      <c r="I5" s="4">
        <v>57.96</v>
      </c>
      <c r="J5" s="4">
        <v>103.59</v>
      </c>
      <c r="K5" s="4">
        <v>61.38</v>
      </c>
      <c r="L5" s="4">
        <v>77.22</v>
      </c>
      <c r="M5" s="4">
        <v>143.91</v>
      </c>
      <c r="N5" s="4">
        <v>105.66</v>
      </c>
      <c r="O5" s="4">
        <v>82.35</v>
      </c>
      <c r="P5" s="4">
        <v>128.79</v>
      </c>
      <c r="Q5" s="4">
        <v>47.25</v>
      </c>
      <c r="R5" s="4">
        <v>95.58</v>
      </c>
      <c r="S5" s="4">
        <v>512.64</v>
      </c>
      <c r="T5" s="4">
        <v>244.62</v>
      </c>
      <c r="U5" s="4">
        <v>43.74</v>
      </c>
      <c r="V5" s="4">
        <v>80.460000000000008</v>
      </c>
      <c r="W5" s="4">
        <v>544.41</v>
      </c>
      <c r="X5" s="4">
        <v>75.86999999999999</v>
      </c>
      <c r="Y5" s="4">
        <v>89.91</v>
      </c>
      <c r="Z5" s="4">
        <v>153.18</v>
      </c>
      <c r="AA5" s="4">
        <v>116.28</v>
      </c>
      <c r="AB5" s="4">
        <v>104.58</v>
      </c>
      <c r="AC5" s="4">
        <v>143.01</v>
      </c>
      <c r="AD5" s="4">
        <v>63.45</v>
      </c>
      <c r="AE5" s="4">
        <v>174.51</v>
      </c>
      <c r="AF5" s="4">
        <v>572.30999999999995</v>
      </c>
      <c r="AG5" s="4">
        <v>252.36</v>
      </c>
      <c r="AH5" s="6" t="e">
        <f>Datos_originales!$H178/Datos_originales!$E178</f>
        <v>#DIV/0!</v>
      </c>
      <c r="AI5" s="6" t="e">
        <f>Datos_originales!$I178/Datos_originales!$E178</f>
        <v>#DIV/0!</v>
      </c>
      <c r="AJ5" s="6" t="e">
        <f>Datos_originales!$J178/Datos_originales!$E178</f>
        <v>#DIV/0!</v>
      </c>
      <c r="AK5" s="6" t="e">
        <f>Datos_originales!$K178/Datos_originales!$E178</f>
        <v>#DIV/0!</v>
      </c>
      <c r="AL5" s="6" t="e">
        <f>Datos_originales!$L178/Datos_originales!$E178</f>
        <v>#DIV/0!</v>
      </c>
      <c r="AM5" s="6" t="e">
        <f>Datos_originales!$M178/Datos_originales!$E178</f>
        <v>#DIV/0!</v>
      </c>
      <c r="AN5" s="6" t="e">
        <f>Datos_originales!$N178/Datos_originales!$E178</f>
        <v>#DIV/0!</v>
      </c>
      <c r="AO5" s="6" t="e">
        <f>Datos_originales!$O178/Datos_originales!$E178</f>
        <v>#DIV/0!</v>
      </c>
      <c r="AP5" s="6" t="e">
        <f>Datos_originales!$P178/Datos_originales!$E178</f>
        <v>#DIV/0!</v>
      </c>
      <c r="AQ5" s="6" t="e">
        <f>Datos_originales!$Q178/Datos_originales!$E178</f>
        <v>#DIV/0!</v>
      </c>
      <c r="AR5" s="6" t="e">
        <f>Datos_originales!$R178/Datos_originales!$E178</f>
        <v>#DIV/0!</v>
      </c>
      <c r="AS5" s="6" t="e">
        <f>Datos_originales!$S178/Datos_originales!$E178</f>
        <v>#DIV/0!</v>
      </c>
      <c r="AT5" s="6" t="e">
        <f>Datos_originales!$T178/Datos_originales!$E178</f>
        <v>#DIV/0!</v>
      </c>
      <c r="AU5" s="6" t="e">
        <f>Datos_originales!$U178/Datos_originales!$E178</f>
        <v>#DIV/0!</v>
      </c>
      <c r="AV5" s="6" t="e">
        <f>Datos_originales!$V178/Datos_originales!$E178</f>
        <v>#DIV/0!</v>
      </c>
      <c r="AW5" s="6" t="e">
        <f>Datos_originales!$W178/Datos_originales!$E178</f>
        <v>#DIV/0!</v>
      </c>
      <c r="AX5" s="6" t="e">
        <f>Datos_originales!$X178/Datos_originales!$E178</f>
        <v>#DIV/0!</v>
      </c>
      <c r="AY5" s="6" t="e">
        <f>Datos_originales!$Y178/Datos_originales!$E178</f>
        <v>#DIV/0!</v>
      </c>
      <c r="AZ5" s="6" t="e">
        <f>Datos_originales!$Z178/Datos_originales!$E178</f>
        <v>#DIV/0!</v>
      </c>
      <c r="BA5" s="6" t="e">
        <f>Datos_originales!$AA178/Datos_originales!$E178</f>
        <v>#DIV/0!</v>
      </c>
      <c r="BB5" s="6" t="e">
        <f>Datos_originales!$AB178/Datos_originales!$E178</f>
        <v>#DIV/0!</v>
      </c>
      <c r="BC5" s="6" t="e">
        <f>Datos_originales!$AC178/Datos_originales!$E178</f>
        <v>#DIV/0!</v>
      </c>
      <c r="BD5" s="6" t="e">
        <f>Datos_originales!$AD178/Datos_originales!$E178</f>
        <v>#DIV/0!</v>
      </c>
      <c r="BE5" s="6" t="e">
        <f>Datos_originales!$AE178/Datos_originales!$E178</f>
        <v>#DIV/0!</v>
      </c>
      <c r="BF5" s="6" t="e">
        <f>Datos_originales!$AF178/Datos_originales!$E178</f>
        <v>#DIV/0!</v>
      </c>
      <c r="BG5" s="6" t="e">
        <f>Datos_originales!$AG178/Datos_originales!$E178</f>
        <v>#DIV/0!</v>
      </c>
    </row>
    <row r="6" spans="1:59" ht="14.4">
      <c r="A6" s="2">
        <v>10202</v>
      </c>
      <c r="B6" s="3" t="s">
        <v>65</v>
      </c>
      <c r="C6" s="4" t="s">
        <v>264</v>
      </c>
      <c r="D6" s="4">
        <f>IF(Table_1[[#This Row],[Forest cover 2011]]&lt;1000,"Bosque menor a 1000 ha",Table_1[[#This Row],[Forest cover 2011]])</f>
        <v>39639.24</v>
      </c>
      <c r="E6" s="4">
        <v>39639.24</v>
      </c>
      <c r="F6" s="5">
        <f>AVERAGE(Datos_originales!$H208:$J208)</f>
        <v>0</v>
      </c>
      <c r="G6" s="5">
        <f>AVERAGE(Datos_originales!$R208:$T208)</f>
        <v>0</v>
      </c>
      <c r="H6" s="4">
        <v>6.75</v>
      </c>
      <c r="I6" s="4">
        <v>17.91</v>
      </c>
      <c r="J6" s="4">
        <v>21.33</v>
      </c>
      <c r="K6" s="4">
        <v>18.36</v>
      </c>
      <c r="L6" s="4">
        <v>12.06</v>
      </c>
      <c r="M6" s="4">
        <v>34.020000000000003</v>
      </c>
      <c r="N6" s="4">
        <v>23.31</v>
      </c>
      <c r="O6" s="4">
        <v>47.16</v>
      </c>
      <c r="P6" s="4">
        <v>38.520000000000003</v>
      </c>
      <c r="Q6" s="4">
        <v>23.94</v>
      </c>
      <c r="R6" s="4">
        <v>3.78</v>
      </c>
      <c r="S6" s="4">
        <v>130.59</v>
      </c>
      <c r="T6" s="4">
        <v>43.56</v>
      </c>
      <c r="U6" s="4">
        <v>20.52</v>
      </c>
      <c r="V6" s="4">
        <v>43.11</v>
      </c>
      <c r="W6" s="4">
        <v>417.69</v>
      </c>
      <c r="X6" s="4">
        <v>44.1</v>
      </c>
      <c r="Y6" s="4">
        <v>27.72</v>
      </c>
      <c r="Z6" s="4">
        <v>41.13</v>
      </c>
      <c r="AA6" s="4">
        <v>43.02</v>
      </c>
      <c r="AB6" s="4">
        <v>81.63</v>
      </c>
      <c r="AC6" s="4">
        <v>49.77</v>
      </c>
      <c r="AD6" s="4">
        <v>31.41</v>
      </c>
      <c r="AE6" s="4">
        <v>169.74</v>
      </c>
      <c r="AF6" s="4">
        <v>182.88</v>
      </c>
      <c r="AG6" s="4">
        <v>45</v>
      </c>
      <c r="AH6" s="6" t="e">
        <f>Datos_originales!$H208/Datos_originales!$E208</f>
        <v>#DIV/0!</v>
      </c>
      <c r="AI6" s="6" t="e">
        <f>Datos_originales!$I208/Datos_originales!$E208</f>
        <v>#DIV/0!</v>
      </c>
      <c r="AJ6" s="6" t="e">
        <f>Datos_originales!$J208/Datos_originales!$E208</f>
        <v>#DIV/0!</v>
      </c>
      <c r="AK6" s="6" t="e">
        <f>Datos_originales!$K208/Datos_originales!$E208</f>
        <v>#DIV/0!</v>
      </c>
      <c r="AL6" s="6" t="e">
        <f>Datos_originales!$L208/Datos_originales!$E208</f>
        <v>#DIV/0!</v>
      </c>
      <c r="AM6" s="6" t="e">
        <f>Datos_originales!$M208/Datos_originales!$E208</f>
        <v>#DIV/0!</v>
      </c>
      <c r="AN6" s="6" t="e">
        <f>Datos_originales!$N208/Datos_originales!$E208</f>
        <v>#DIV/0!</v>
      </c>
      <c r="AO6" s="6" t="e">
        <f>Datos_originales!$O208/Datos_originales!$E208</f>
        <v>#DIV/0!</v>
      </c>
      <c r="AP6" s="6" t="e">
        <f>Datos_originales!$P208/Datos_originales!$E208</f>
        <v>#DIV/0!</v>
      </c>
      <c r="AQ6" s="6" t="e">
        <f>Datos_originales!$Q208/Datos_originales!$E208</f>
        <v>#DIV/0!</v>
      </c>
      <c r="AR6" s="6" t="e">
        <f>Datos_originales!$R208/Datos_originales!$E208</f>
        <v>#DIV/0!</v>
      </c>
      <c r="AS6" s="6" t="e">
        <f>Datos_originales!$S208/Datos_originales!$E208</f>
        <v>#DIV/0!</v>
      </c>
      <c r="AT6" s="6" t="e">
        <f>Datos_originales!$T208/Datos_originales!$E208</f>
        <v>#DIV/0!</v>
      </c>
      <c r="AU6" s="6" t="e">
        <f>Datos_originales!$U208/Datos_originales!$E208</f>
        <v>#DIV/0!</v>
      </c>
      <c r="AV6" s="6" t="e">
        <f>Datos_originales!$V208/Datos_originales!$E208</f>
        <v>#DIV/0!</v>
      </c>
      <c r="AW6" s="6" t="e">
        <f>Datos_originales!$W208/Datos_originales!$E208</f>
        <v>#DIV/0!</v>
      </c>
      <c r="AX6" s="6" t="e">
        <f>Datos_originales!$X208/Datos_originales!$E208</f>
        <v>#DIV/0!</v>
      </c>
      <c r="AY6" s="6" t="e">
        <f>Datos_originales!$Y208/Datos_originales!$E208</f>
        <v>#DIV/0!</v>
      </c>
      <c r="AZ6" s="6" t="e">
        <f>Datos_originales!$Z208/Datos_originales!$E208</f>
        <v>#DIV/0!</v>
      </c>
      <c r="BA6" s="6" t="e">
        <f>Datos_originales!$AA208/Datos_originales!$E208</f>
        <v>#DIV/0!</v>
      </c>
      <c r="BB6" s="6" t="e">
        <f>Datos_originales!$AB208/Datos_originales!$E208</f>
        <v>#DIV/0!</v>
      </c>
      <c r="BC6" s="6" t="e">
        <f>Datos_originales!$AC208/Datos_originales!$E208</f>
        <v>#DIV/0!</v>
      </c>
      <c r="BD6" s="6" t="e">
        <f>Datos_originales!$AD208/Datos_originales!$E208</f>
        <v>#DIV/0!</v>
      </c>
      <c r="BE6" s="6" t="e">
        <f>Datos_originales!$AE208/Datos_originales!$E208</f>
        <v>#DIV/0!</v>
      </c>
      <c r="BF6" s="6" t="e">
        <f>Datos_originales!$AF208/Datos_originales!$E208</f>
        <v>#DIV/0!</v>
      </c>
      <c r="BG6" s="6" t="e">
        <f>Datos_originales!$AG208/Datos_originales!$E208</f>
        <v>#DIV/0!</v>
      </c>
    </row>
    <row r="7" spans="1:59" ht="14.4">
      <c r="A7" s="2">
        <v>10301</v>
      </c>
      <c r="B7" s="3" t="s">
        <v>65</v>
      </c>
      <c r="C7" s="4" t="s">
        <v>276</v>
      </c>
      <c r="D7" s="4">
        <f>IF(Table_1[[#This Row],[Forest cover 2011]]&lt;1000,"Bosque menor a 1000 ha",Table_1[[#This Row],[Forest cover 2011]])</f>
        <v>9395.1</v>
      </c>
      <c r="E7" s="4">
        <v>9395.1</v>
      </c>
      <c r="F7" s="5">
        <f>AVERAGE(Datos_originales!$H221:$J221)</f>
        <v>0</v>
      </c>
      <c r="G7" s="5">
        <f>AVERAGE(Datos_originales!$R221:$T221)</f>
        <v>0</v>
      </c>
      <c r="H7" s="4">
        <v>0.09</v>
      </c>
      <c r="I7" s="4">
        <v>0</v>
      </c>
      <c r="J7" s="4">
        <v>0.09</v>
      </c>
      <c r="K7" s="4">
        <v>0</v>
      </c>
      <c r="L7" s="4">
        <v>0.18</v>
      </c>
      <c r="M7" s="4">
        <v>0</v>
      </c>
      <c r="N7" s="4">
        <v>0.18</v>
      </c>
      <c r="O7" s="4">
        <v>0.63</v>
      </c>
      <c r="P7" s="4">
        <v>0.63</v>
      </c>
      <c r="Q7" s="4">
        <v>0</v>
      </c>
      <c r="R7" s="4">
        <v>0.09</v>
      </c>
      <c r="S7" s="4">
        <v>10.53</v>
      </c>
      <c r="T7" s="4">
        <v>3.87</v>
      </c>
      <c r="U7" s="4">
        <v>8.73</v>
      </c>
      <c r="V7" s="4">
        <v>6.93</v>
      </c>
      <c r="W7" s="4">
        <v>143.28</v>
      </c>
      <c r="X7" s="4">
        <v>1.26</v>
      </c>
      <c r="Y7" s="4">
        <v>13.32</v>
      </c>
      <c r="Z7" s="4">
        <v>18.45</v>
      </c>
      <c r="AA7" s="4">
        <v>73.800000000000011</v>
      </c>
      <c r="AB7" s="4">
        <v>74.88</v>
      </c>
      <c r="AC7" s="4">
        <v>75.33</v>
      </c>
      <c r="AD7" s="4">
        <v>0.09</v>
      </c>
      <c r="AE7" s="4">
        <v>0.80999999999999994</v>
      </c>
      <c r="AF7" s="4">
        <v>39.15</v>
      </c>
      <c r="AG7" s="4">
        <v>4.32</v>
      </c>
      <c r="AH7" s="6">
        <f>Datos_originales!$H221/Datos_originales!$E221</f>
        <v>0</v>
      </c>
      <c r="AI7" s="6">
        <f>Datos_originales!$I221/Datos_originales!$E221</f>
        <v>0</v>
      </c>
      <c r="AJ7" s="6">
        <f>Datos_originales!$J221/Datos_originales!$E221</f>
        <v>0</v>
      </c>
      <c r="AK7" s="6">
        <f>Datos_originales!$K221/Datos_originales!$E221</f>
        <v>0</v>
      </c>
      <c r="AL7" s="6">
        <f>Datos_originales!$L221/Datos_originales!$E221</f>
        <v>0</v>
      </c>
      <c r="AM7" s="6">
        <f>Datos_originales!$M221/Datos_originales!$E221</f>
        <v>0</v>
      </c>
      <c r="AN7" s="6">
        <f>Datos_originales!$N221/Datos_originales!$E221</f>
        <v>0</v>
      </c>
      <c r="AO7" s="6">
        <f>Datos_originales!$O221/Datos_originales!$E221</f>
        <v>0</v>
      </c>
      <c r="AP7" s="6">
        <f>Datos_originales!$P221/Datos_originales!$E221</f>
        <v>0</v>
      </c>
      <c r="AQ7" s="6">
        <f>Datos_originales!$Q221/Datos_originales!$E221</f>
        <v>0</v>
      </c>
      <c r="AR7" s="6">
        <f>Datos_originales!$R221/Datos_originales!$E221</f>
        <v>0</v>
      </c>
      <c r="AS7" s="6">
        <f>Datos_originales!$S221/Datos_originales!$E221</f>
        <v>0</v>
      </c>
      <c r="AT7" s="6">
        <f>Datos_originales!$T221/Datos_originales!$E221</f>
        <v>0</v>
      </c>
      <c r="AU7" s="6">
        <f>Datos_originales!$U221/Datos_originales!$E221</f>
        <v>4.4742729306487695E-3</v>
      </c>
      <c r="AV7" s="6">
        <f>Datos_originales!$V221/Datos_originales!$E221</f>
        <v>0</v>
      </c>
      <c r="AW7" s="6">
        <f>Datos_originales!$W221/Datos_originales!$E221</f>
        <v>2.684563758389262E-2</v>
      </c>
      <c r="AX7" s="6">
        <f>Datos_originales!$X221/Datos_originales!$E221</f>
        <v>0</v>
      </c>
      <c r="AY7" s="6">
        <f>Datos_originales!$Y221/Datos_originales!$E221</f>
        <v>0</v>
      </c>
      <c r="AZ7" s="6">
        <f>Datos_originales!$Z221/Datos_originales!$E221</f>
        <v>0</v>
      </c>
      <c r="BA7" s="6">
        <f>Datos_originales!$AA221/Datos_originales!$E221</f>
        <v>0</v>
      </c>
      <c r="BB7" s="6">
        <f>Datos_originales!$AB221/Datos_originales!$E221</f>
        <v>0</v>
      </c>
      <c r="BC7" s="6">
        <f>Datos_originales!$AC221/Datos_originales!$E221</f>
        <v>2.2371364653243847E-3</v>
      </c>
      <c r="BD7" s="6">
        <f>Datos_originales!$AD221/Datos_originales!$E221</f>
        <v>0</v>
      </c>
      <c r="BE7" s="6">
        <f>Datos_originales!$AE221/Datos_originales!$E221</f>
        <v>0</v>
      </c>
      <c r="BF7" s="6">
        <f>Datos_originales!$AF221/Datos_originales!$E221</f>
        <v>6.7114093959731551E-3</v>
      </c>
      <c r="BG7" s="6">
        <f>Datos_originales!$AG221/Datos_originales!$E221</f>
        <v>0</v>
      </c>
    </row>
    <row r="8" spans="1:59" ht="14.4">
      <c r="A8" s="2">
        <v>10302</v>
      </c>
      <c r="B8" s="3" t="s">
        <v>65</v>
      </c>
      <c r="C8" s="4" t="s">
        <v>286</v>
      </c>
      <c r="D8" s="4">
        <f>IF(Table_1[[#This Row],[Forest cover 2011]]&lt;1000,"Bosque menor a 1000 ha",Table_1[[#This Row],[Forest cover 2011]])</f>
        <v>33133.32</v>
      </c>
      <c r="E8" s="4">
        <v>33133.32</v>
      </c>
      <c r="F8" s="5">
        <f>AVERAGE(Datos_originales!$H231:$J231)</f>
        <v>0.18000000000000002</v>
      </c>
      <c r="G8" s="5">
        <f>AVERAGE(Datos_originales!$R231:$T231)</f>
        <v>0.48000000000000004</v>
      </c>
      <c r="H8" s="4">
        <v>0.53999999999999992</v>
      </c>
      <c r="I8" s="4">
        <v>0.09</v>
      </c>
      <c r="J8" s="4">
        <v>0.45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14.31</v>
      </c>
      <c r="T8" s="4">
        <v>1.98</v>
      </c>
      <c r="U8" s="4">
        <v>61.38</v>
      </c>
      <c r="V8" s="4">
        <v>25.56</v>
      </c>
      <c r="W8" s="4">
        <v>319.5</v>
      </c>
      <c r="X8" s="4">
        <v>11.88</v>
      </c>
      <c r="Y8" s="4">
        <v>17.46</v>
      </c>
      <c r="Z8" s="4">
        <v>10.44</v>
      </c>
      <c r="AA8" s="4">
        <v>51.39</v>
      </c>
      <c r="AB8" s="4">
        <v>64.89</v>
      </c>
      <c r="AC8" s="4">
        <v>410.31</v>
      </c>
      <c r="AD8" s="4">
        <v>0.09</v>
      </c>
      <c r="AE8" s="4">
        <v>0.45</v>
      </c>
      <c r="AF8" s="4">
        <v>52.83</v>
      </c>
      <c r="AG8" s="4">
        <v>3.15</v>
      </c>
      <c r="AH8" s="6">
        <f>Datos_originales!$H231/Datos_originales!$E231</f>
        <v>0</v>
      </c>
      <c r="AI8" s="6">
        <f>Datos_originales!$I231/Datos_originales!$E231</f>
        <v>0</v>
      </c>
      <c r="AJ8" s="6">
        <f>Datos_originales!$J231/Datos_originales!$E231</f>
        <v>1.284796573875803E-2</v>
      </c>
      <c r="AK8" s="6">
        <f>Datos_originales!$K231/Datos_originales!$E231</f>
        <v>1.7130620985010704E-2</v>
      </c>
      <c r="AL8" s="6">
        <f>Datos_originales!$L231/Datos_originales!$E231</f>
        <v>8.5653104925053521E-3</v>
      </c>
      <c r="AM8" s="6">
        <f>Datos_originales!$M231/Datos_originales!$E231</f>
        <v>4.282655246252676E-3</v>
      </c>
      <c r="AN8" s="6">
        <f>Datos_originales!$N231/Datos_originales!$E231</f>
        <v>4.282655246252676E-3</v>
      </c>
      <c r="AO8" s="6">
        <f>Datos_originales!$O231/Datos_originales!$E231</f>
        <v>1.0706638115631691E-2</v>
      </c>
      <c r="AP8" s="6">
        <f>Datos_originales!$P231/Datos_originales!$E231</f>
        <v>2.141327623126338E-3</v>
      </c>
      <c r="AQ8" s="6">
        <f>Datos_originales!$Q231/Datos_originales!$E231</f>
        <v>1.0706638115631691E-2</v>
      </c>
      <c r="AR8" s="6">
        <f>Datos_originales!$R231/Datos_originales!$E231</f>
        <v>0</v>
      </c>
      <c r="AS8" s="6">
        <f>Datos_originales!$S231/Datos_originales!$E231</f>
        <v>2.141327623126338E-3</v>
      </c>
      <c r="AT8" s="6">
        <f>Datos_originales!$T231/Datos_originales!$E231</f>
        <v>3.2119914346895075E-2</v>
      </c>
      <c r="AU8" s="6">
        <f>Datos_originales!$U231/Datos_originales!$E231</f>
        <v>0</v>
      </c>
      <c r="AV8" s="6">
        <f>Datos_originales!$V231/Datos_originales!$E231</f>
        <v>1.4989293361884369E-2</v>
      </c>
      <c r="AW8" s="6">
        <f>Datos_originales!$W231/Datos_originales!$E231</f>
        <v>3.8543897216274089E-2</v>
      </c>
      <c r="AX8" s="6">
        <f>Datos_originales!$X231/Datos_originales!$E231</f>
        <v>2.7837259100642397E-2</v>
      </c>
      <c r="AY8" s="6">
        <f>Datos_originales!$Y231/Datos_originales!$E231</f>
        <v>2.7837259100642397E-2</v>
      </c>
      <c r="AZ8" s="6">
        <f>Datos_originales!$Z231/Datos_originales!$E231</f>
        <v>6.4239828693790149E-3</v>
      </c>
      <c r="BA8" s="6">
        <f>Datos_originales!$AA231/Datos_originales!$E231</f>
        <v>1.284796573875803E-2</v>
      </c>
      <c r="BB8" s="6">
        <f>Datos_originales!$AB231/Datos_originales!$E231</f>
        <v>1.4989293361884369E-2</v>
      </c>
      <c r="BC8" s="6">
        <f>Datos_originales!$AC231/Datos_originales!$E231</f>
        <v>2.141327623126338E-3</v>
      </c>
      <c r="BD8" s="6">
        <f>Datos_originales!$AD231/Datos_originales!$E231</f>
        <v>3.4261241970021408E-2</v>
      </c>
      <c r="BE8" s="6">
        <f>Datos_originales!$AE231/Datos_originales!$E231</f>
        <v>6.4239828693790149E-3</v>
      </c>
      <c r="BF8" s="6">
        <f>Datos_originales!$AF231/Datos_originales!$E231</f>
        <v>4.282655246252676E-3</v>
      </c>
      <c r="BG8" s="6">
        <f>Datos_originales!$AG231/Datos_originales!$E231</f>
        <v>0.4796573875802998</v>
      </c>
    </row>
    <row r="9" spans="1:59" ht="14.4">
      <c r="A9" s="2">
        <v>10303</v>
      </c>
      <c r="B9" s="3" t="s">
        <v>65</v>
      </c>
      <c r="C9" s="4" t="s">
        <v>262</v>
      </c>
      <c r="D9" s="4">
        <f>IF(Table_1[[#This Row],[Forest cover 2011]]&lt;1000,"Bosque menor a 1000 ha",Table_1[[#This Row],[Forest cover 2011]])</f>
        <v>30785.4</v>
      </c>
      <c r="E9" s="4">
        <v>30785.4</v>
      </c>
      <c r="F9" s="5">
        <f>AVERAGE(Datos_originales!$H206:$J206)</f>
        <v>0</v>
      </c>
      <c r="G9" s="5">
        <f>AVERAGE(Datos_originales!$R206:$T206)</f>
        <v>0</v>
      </c>
      <c r="H9" s="4">
        <v>0.72</v>
      </c>
      <c r="I9" s="4">
        <v>2.25</v>
      </c>
      <c r="J9" s="4">
        <v>1.17</v>
      </c>
      <c r="K9" s="4">
        <v>0.54</v>
      </c>
      <c r="L9" s="4">
        <v>2.16</v>
      </c>
      <c r="M9" s="4">
        <v>1.44</v>
      </c>
      <c r="N9" s="4">
        <v>1.89</v>
      </c>
      <c r="O9" s="4">
        <v>1.98</v>
      </c>
      <c r="P9" s="4">
        <v>1.08</v>
      </c>
      <c r="Q9" s="4">
        <v>0</v>
      </c>
      <c r="R9" s="4">
        <v>27.99</v>
      </c>
      <c r="S9" s="4">
        <v>38.07</v>
      </c>
      <c r="T9" s="4">
        <v>35.01</v>
      </c>
      <c r="U9" s="4">
        <v>16.739999999999998</v>
      </c>
      <c r="V9" s="4">
        <v>17.100000000000001</v>
      </c>
      <c r="W9" s="4">
        <v>283.58999999999997</v>
      </c>
      <c r="X9" s="4">
        <v>9.99</v>
      </c>
      <c r="Y9" s="4">
        <v>31.5</v>
      </c>
      <c r="Z9" s="4">
        <v>13.14</v>
      </c>
      <c r="AA9" s="4">
        <v>36</v>
      </c>
      <c r="AB9" s="4">
        <v>57.96</v>
      </c>
      <c r="AC9" s="4">
        <v>151.47</v>
      </c>
      <c r="AD9" s="4">
        <v>0.27</v>
      </c>
      <c r="AE9" s="4">
        <v>54.09</v>
      </c>
      <c r="AF9" s="4">
        <v>116.73</v>
      </c>
      <c r="AG9" s="4">
        <v>36.72</v>
      </c>
      <c r="AH9" s="6">
        <f>Datos_originales!$H206/Datos_originales!$E206</f>
        <v>0</v>
      </c>
      <c r="AI9" s="6">
        <f>Datos_originales!$I206/Datos_originales!$E206</f>
        <v>0</v>
      </c>
      <c r="AJ9" s="6">
        <f>Datos_originales!$J206/Datos_originales!$E206</f>
        <v>0</v>
      </c>
      <c r="AK9" s="6">
        <f>Datos_originales!$K206/Datos_originales!$E206</f>
        <v>0</v>
      </c>
      <c r="AL9" s="6">
        <f>Datos_originales!$L206/Datos_originales!$E206</f>
        <v>0</v>
      </c>
      <c r="AM9" s="6">
        <f>Datos_originales!$M206/Datos_originales!$E206</f>
        <v>0</v>
      </c>
      <c r="AN9" s="6">
        <f>Datos_originales!$N206/Datos_originales!$E206</f>
        <v>0</v>
      </c>
      <c r="AO9" s="6">
        <f>Datos_originales!$O206/Datos_originales!$E206</f>
        <v>0</v>
      </c>
      <c r="AP9" s="6">
        <f>Datos_originales!$P206/Datos_originales!$E206</f>
        <v>0</v>
      </c>
      <c r="AQ9" s="6">
        <f>Datos_originales!$Q206/Datos_originales!$E206</f>
        <v>0</v>
      </c>
      <c r="AR9" s="6">
        <f>Datos_originales!$R206/Datos_originales!$E206</f>
        <v>0</v>
      </c>
      <c r="AS9" s="6">
        <f>Datos_originales!$S206/Datos_originales!$E206</f>
        <v>0</v>
      </c>
      <c r="AT9" s="6">
        <f>Datos_originales!$T206/Datos_originales!$E206</f>
        <v>0</v>
      </c>
      <c r="AU9" s="6">
        <f>Datos_originales!$U206/Datos_originales!$E206</f>
        <v>0</v>
      </c>
      <c r="AV9" s="6">
        <f>Datos_originales!$V206/Datos_originales!$E206</f>
        <v>7.0921985815602835E-3</v>
      </c>
      <c r="AW9" s="6">
        <f>Datos_originales!$W206/Datos_originales!$E206</f>
        <v>4.2553191489361708E-2</v>
      </c>
      <c r="AX9" s="6">
        <f>Datos_originales!$X206/Datos_originales!$E206</f>
        <v>2.1276595744680854E-2</v>
      </c>
      <c r="AY9" s="6">
        <f>Datos_originales!$Y206/Datos_originales!$E206</f>
        <v>0</v>
      </c>
      <c r="AZ9" s="6">
        <f>Datos_originales!$Z206/Datos_originales!$E206</f>
        <v>7.0921985815602842E-2</v>
      </c>
      <c r="BA9" s="6">
        <f>Datos_originales!$AA206/Datos_originales!$E206</f>
        <v>0</v>
      </c>
      <c r="BB9" s="6">
        <f>Datos_originales!$AB206/Datos_originales!$E206</f>
        <v>9.2198581560283682E-2</v>
      </c>
      <c r="BC9" s="6">
        <f>Datos_originales!$AC206/Datos_originales!$E206</f>
        <v>0</v>
      </c>
      <c r="BD9" s="6">
        <f>Datos_originales!$AD206/Datos_originales!$E206</f>
        <v>0</v>
      </c>
      <c r="BE9" s="6">
        <f>Datos_originales!$AE206/Datos_originales!$E206</f>
        <v>0</v>
      </c>
      <c r="BF9" s="6">
        <f>Datos_originales!$AF206/Datos_originales!$E206</f>
        <v>1.4184397163120567E-2</v>
      </c>
      <c r="BG9" s="6">
        <f>Datos_originales!$AG206/Datos_originales!$E206</f>
        <v>0</v>
      </c>
    </row>
    <row r="10" spans="1:59" ht="14.4">
      <c r="A10" s="2">
        <v>10304</v>
      </c>
      <c r="B10" s="3" t="s">
        <v>65</v>
      </c>
      <c r="C10" s="4" t="s">
        <v>271</v>
      </c>
      <c r="D10" s="4">
        <f>IF(Table_1[[#This Row],[Forest cover 2011]]&lt;1000,"Bosque menor a 1000 ha",Table_1[[#This Row],[Forest cover 2011]])</f>
        <v>2886.39</v>
      </c>
      <c r="E10" s="4">
        <v>2886.39</v>
      </c>
      <c r="F10" s="5">
        <f>AVERAGE(Datos_originales!$H216:$J216)</f>
        <v>0</v>
      </c>
      <c r="G10" s="5">
        <f>AVERAGE(Datos_originales!$R216:$T216)</f>
        <v>0</v>
      </c>
      <c r="H10" s="4">
        <v>0.80999999999999994</v>
      </c>
      <c r="I10" s="4">
        <v>1.89</v>
      </c>
      <c r="J10" s="4">
        <v>1.98</v>
      </c>
      <c r="K10" s="4">
        <v>1.26</v>
      </c>
      <c r="L10" s="4">
        <v>0.89999999999999991</v>
      </c>
      <c r="M10" s="4">
        <v>1.44</v>
      </c>
      <c r="N10" s="4">
        <v>2.0699999999999998</v>
      </c>
      <c r="O10" s="4">
        <v>2.25</v>
      </c>
      <c r="P10" s="4">
        <v>0.36</v>
      </c>
      <c r="Q10" s="4">
        <v>1.71</v>
      </c>
      <c r="R10" s="4">
        <v>0</v>
      </c>
      <c r="S10" s="4">
        <v>1.35</v>
      </c>
      <c r="T10" s="4">
        <v>1.44</v>
      </c>
      <c r="U10" s="4">
        <v>4.8600000000000003</v>
      </c>
      <c r="V10" s="4">
        <v>5.49</v>
      </c>
      <c r="W10" s="4">
        <v>50.58</v>
      </c>
      <c r="X10" s="4">
        <v>2.61</v>
      </c>
      <c r="Y10" s="4">
        <v>3.33</v>
      </c>
      <c r="Z10" s="4">
        <v>3.42</v>
      </c>
      <c r="AA10" s="4">
        <v>3.15</v>
      </c>
      <c r="AB10" s="4">
        <v>4.95</v>
      </c>
      <c r="AC10" s="4">
        <v>2.0699999999999998</v>
      </c>
      <c r="AD10" s="4">
        <v>5.22</v>
      </c>
      <c r="AE10" s="4">
        <v>0.81</v>
      </c>
      <c r="AF10" s="4">
        <v>2.79</v>
      </c>
      <c r="AG10" s="4">
        <v>1.62</v>
      </c>
      <c r="AH10" s="6" t="e">
        <f>Datos_originales!$H216/Datos_originales!$E216</f>
        <v>#DIV/0!</v>
      </c>
      <c r="AI10" s="6" t="e">
        <f>Datos_originales!$I216/Datos_originales!$E216</f>
        <v>#DIV/0!</v>
      </c>
      <c r="AJ10" s="6" t="e">
        <f>Datos_originales!$J216/Datos_originales!$E216</f>
        <v>#DIV/0!</v>
      </c>
      <c r="AK10" s="6" t="e">
        <f>Datos_originales!$K216/Datos_originales!$E216</f>
        <v>#DIV/0!</v>
      </c>
      <c r="AL10" s="6" t="e">
        <f>Datos_originales!$L216/Datos_originales!$E216</f>
        <v>#DIV/0!</v>
      </c>
      <c r="AM10" s="6" t="e">
        <f>Datos_originales!$M216/Datos_originales!$E216</f>
        <v>#DIV/0!</v>
      </c>
      <c r="AN10" s="6" t="e">
        <f>Datos_originales!$N216/Datos_originales!$E216</f>
        <v>#DIV/0!</v>
      </c>
      <c r="AO10" s="6" t="e">
        <f>Datos_originales!$O216/Datos_originales!$E216</f>
        <v>#DIV/0!</v>
      </c>
      <c r="AP10" s="6" t="e">
        <f>Datos_originales!$P216/Datos_originales!$E216</f>
        <v>#DIV/0!</v>
      </c>
      <c r="AQ10" s="6" t="e">
        <f>Datos_originales!$Q216/Datos_originales!$E216</f>
        <v>#DIV/0!</v>
      </c>
      <c r="AR10" s="6" t="e">
        <f>Datos_originales!$R216/Datos_originales!$E216</f>
        <v>#DIV/0!</v>
      </c>
      <c r="AS10" s="6" t="e">
        <f>Datos_originales!$S216/Datos_originales!$E216</f>
        <v>#DIV/0!</v>
      </c>
      <c r="AT10" s="6" t="e">
        <f>Datos_originales!$T216/Datos_originales!$E216</f>
        <v>#DIV/0!</v>
      </c>
      <c r="AU10" s="6" t="e">
        <f>Datos_originales!$U216/Datos_originales!$E216</f>
        <v>#DIV/0!</v>
      </c>
      <c r="AV10" s="6" t="e">
        <f>Datos_originales!$V216/Datos_originales!$E216</f>
        <v>#DIV/0!</v>
      </c>
      <c r="AW10" s="6" t="e">
        <f>Datos_originales!$W216/Datos_originales!$E216</f>
        <v>#DIV/0!</v>
      </c>
      <c r="AX10" s="6" t="e">
        <f>Datos_originales!$X216/Datos_originales!$E216</f>
        <v>#DIV/0!</v>
      </c>
      <c r="AY10" s="6" t="e">
        <f>Datos_originales!$Y216/Datos_originales!$E216</f>
        <v>#DIV/0!</v>
      </c>
      <c r="AZ10" s="6" t="e">
        <f>Datos_originales!$Z216/Datos_originales!$E216</f>
        <v>#DIV/0!</v>
      </c>
      <c r="BA10" s="6" t="e">
        <f>Datos_originales!$AA216/Datos_originales!$E216</f>
        <v>#DIV/0!</v>
      </c>
      <c r="BB10" s="6" t="e">
        <f>Datos_originales!$AB216/Datos_originales!$E216</f>
        <v>#DIV/0!</v>
      </c>
      <c r="BC10" s="6" t="e">
        <f>Datos_originales!$AC216/Datos_originales!$E216</f>
        <v>#DIV/0!</v>
      </c>
      <c r="BD10" s="6" t="e">
        <f>Datos_originales!$AD216/Datos_originales!$E216</f>
        <v>#DIV/0!</v>
      </c>
      <c r="BE10" s="6" t="e">
        <f>Datos_originales!$AE216/Datos_originales!$E216</f>
        <v>#DIV/0!</v>
      </c>
      <c r="BF10" s="6" t="e">
        <f>Datos_originales!$AF216/Datos_originales!$E216</f>
        <v>#DIV/0!</v>
      </c>
      <c r="BG10" s="6" t="e">
        <f>Datos_originales!$AG216/Datos_originales!$E216</f>
        <v>#DIV/0!</v>
      </c>
    </row>
    <row r="11" spans="1:59" ht="14.4">
      <c r="A11" s="2">
        <v>10401</v>
      </c>
      <c r="B11" s="3" t="s">
        <v>65</v>
      </c>
      <c r="C11" s="4" t="s">
        <v>242</v>
      </c>
      <c r="D11" s="4">
        <f>IF(Table_1[[#This Row],[Forest cover 2011]]&lt;1000,"Bosque menor a 1000 ha",Table_1[[#This Row],[Forest cover 2011]])</f>
        <v>117418.41</v>
      </c>
      <c r="E11" s="4">
        <v>117418.41</v>
      </c>
      <c r="F11" s="5">
        <f>AVERAGE(Datos_originales!$H185:$J185)</f>
        <v>0</v>
      </c>
      <c r="G11" s="5">
        <f>AVERAGE(Datos_originales!$R185:$T185)</f>
        <v>0</v>
      </c>
      <c r="H11" s="4">
        <v>212.49</v>
      </c>
      <c r="I11" s="4">
        <v>262.62</v>
      </c>
      <c r="J11" s="4">
        <v>149.58000000000001</v>
      </c>
      <c r="K11" s="4">
        <v>124.65</v>
      </c>
      <c r="L11" s="4">
        <v>183.42</v>
      </c>
      <c r="M11" s="4">
        <v>226.89</v>
      </c>
      <c r="N11" s="4">
        <v>379.71</v>
      </c>
      <c r="O11" s="4">
        <v>160.91999999999999</v>
      </c>
      <c r="P11" s="4">
        <v>446.94</v>
      </c>
      <c r="Q11" s="4">
        <v>225.09</v>
      </c>
      <c r="R11" s="4">
        <v>182.88</v>
      </c>
      <c r="S11" s="4">
        <v>1026.9000000000001</v>
      </c>
      <c r="T11" s="4">
        <v>285.83999999999997</v>
      </c>
      <c r="U11" s="4">
        <v>289.89</v>
      </c>
      <c r="V11" s="4">
        <v>340.65</v>
      </c>
      <c r="W11" s="4">
        <v>488.52</v>
      </c>
      <c r="X11" s="4">
        <v>158.04</v>
      </c>
      <c r="Y11" s="4">
        <v>224.91</v>
      </c>
      <c r="Z11" s="4">
        <v>274.5</v>
      </c>
      <c r="AA11" s="4">
        <v>434.7</v>
      </c>
      <c r="AB11" s="4">
        <v>251.64</v>
      </c>
      <c r="AC11" s="4">
        <v>518.22</v>
      </c>
      <c r="AD11" s="4">
        <v>333.99</v>
      </c>
      <c r="AE11" s="4">
        <v>247.32</v>
      </c>
      <c r="AF11" s="4">
        <v>1132.29</v>
      </c>
      <c r="AG11" s="4">
        <v>291.42</v>
      </c>
      <c r="AH11" s="6" t="e">
        <f>Datos_originales!$H185/Datos_originales!$E185</f>
        <v>#DIV/0!</v>
      </c>
      <c r="AI11" s="6" t="e">
        <f>Datos_originales!$I185/Datos_originales!$E185</f>
        <v>#DIV/0!</v>
      </c>
      <c r="AJ11" s="6" t="e">
        <f>Datos_originales!$J185/Datos_originales!$E185</f>
        <v>#DIV/0!</v>
      </c>
      <c r="AK11" s="6" t="e">
        <f>Datos_originales!$K185/Datos_originales!$E185</f>
        <v>#DIV/0!</v>
      </c>
      <c r="AL11" s="6" t="e">
        <f>Datos_originales!$L185/Datos_originales!$E185</f>
        <v>#DIV/0!</v>
      </c>
      <c r="AM11" s="6" t="e">
        <f>Datos_originales!$M185/Datos_originales!$E185</f>
        <v>#DIV/0!</v>
      </c>
      <c r="AN11" s="6" t="e">
        <f>Datos_originales!$N185/Datos_originales!$E185</f>
        <v>#DIV/0!</v>
      </c>
      <c r="AO11" s="6" t="e">
        <f>Datos_originales!$O185/Datos_originales!$E185</f>
        <v>#DIV/0!</v>
      </c>
      <c r="AP11" s="6" t="e">
        <f>Datos_originales!$P185/Datos_originales!$E185</f>
        <v>#DIV/0!</v>
      </c>
      <c r="AQ11" s="6" t="e">
        <f>Datos_originales!$Q185/Datos_originales!$E185</f>
        <v>#DIV/0!</v>
      </c>
      <c r="AR11" s="6" t="e">
        <f>Datos_originales!$R185/Datos_originales!$E185</f>
        <v>#DIV/0!</v>
      </c>
      <c r="AS11" s="6" t="e">
        <f>Datos_originales!$S185/Datos_originales!$E185</f>
        <v>#DIV/0!</v>
      </c>
      <c r="AT11" s="6" t="e">
        <f>Datos_originales!$T185/Datos_originales!$E185</f>
        <v>#DIV/0!</v>
      </c>
      <c r="AU11" s="6" t="e">
        <f>Datos_originales!$U185/Datos_originales!$E185</f>
        <v>#DIV/0!</v>
      </c>
      <c r="AV11" s="6" t="e">
        <f>Datos_originales!$V185/Datos_originales!$E185</f>
        <v>#DIV/0!</v>
      </c>
      <c r="AW11" s="6" t="e">
        <f>Datos_originales!$W185/Datos_originales!$E185</f>
        <v>#DIV/0!</v>
      </c>
      <c r="AX11" s="6" t="e">
        <f>Datos_originales!$X185/Datos_originales!$E185</f>
        <v>#DIV/0!</v>
      </c>
      <c r="AY11" s="6" t="e">
        <f>Datos_originales!$Y185/Datos_originales!$E185</f>
        <v>#DIV/0!</v>
      </c>
      <c r="AZ11" s="6" t="e">
        <f>Datos_originales!$Z185/Datos_originales!$E185</f>
        <v>#DIV/0!</v>
      </c>
      <c r="BA11" s="6" t="e">
        <f>Datos_originales!$AA185/Datos_originales!$E185</f>
        <v>#DIV/0!</v>
      </c>
      <c r="BB11" s="6" t="e">
        <f>Datos_originales!$AB185/Datos_originales!$E185</f>
        <v>#DIV/0!</v>
      </c>
      <c r="BC11" s="6" t="e">
        <f>Datos_originales!$AC185/Datos_originales!$E185</f>
        <v>#DIV/0!</v>
      </c>
      <c r="BD11" s="6" t="e">
        <f>Datos_originales!$AD185/Datos_originales!$E185</f>
        <v>#DIV/0!</v>
      </c>
      <c r="BE11" s="6" t="e">
        <f>Datos_originales!$AE185/Datos_originales!$E185</f>
        <v>#DIV/0!</v>
      </c>
      <c r="BF11" s="6" t="e">
        <f>Datos_originales!$AF185/Datos_originales!$E185</f>
        <v>#DIV/0!</v>
      </c>
      <c r="BG11" s="6" t="e">
        <f>Datos_originales!$AG185/Datos_originales!$E185</f>
        <v>#DIV/0!</v>
      </c>
    </row>
    <row r="12" spans="1:59" ht="14.4">
      <c r="A12" s="2">
        <v>10402</v>
      </c>
      <c r="B12" s="3" t="s">
        <v>65</v>
      </c>
      <c r="C12" s="4" t="s">
        <v>268</v>
      </c>
      <c r="D12" s="4">
        <f>IF(Table_1[[#This Row],[Forest cover 2011]]&lt;1000,"Bosque menor a 1000 ha",Table_1[[#This Row],[Forest cover 2011]])</f>
        <v>22272.39</v>
      </c>
      <c r="E12" s="4">
        <v>22272.39</v>
      </c>
      <c r="F12" s="5">
        <f>AVERAGE(Datos_originales!$H213:$J213)</f>
        <v>0.06</v>
      </c>
      <c r="G12" s="5">
        <f>AVERAGE(Datos_originales!$R213:$T213)</f>
        <v>3.15</v>
      </c>
      <c r="H12" s="4">
        <v>2.97</v>
      </c>
      <c r="I12" s="4">
        <v>2.52</v>
      </c>
      <c r="J12" s="4">
        <v>2.52</v>
      </c>
      <c r="K12" s="4">
        <v>1.35</v>
      </c>
      <c r="L12" s="4">
        <v>3.69</v>
      </c>
      <c r="M12" s="4">
        <v>1.26</v>
      </c>
      <c r="N12" s="4">
        <v>3.87</v>
      </c>
      <c r="O12" s="4">
        <v>2.16</v>
      </c>
      <c r="P12" s="4">
        <v>4.8599999999999994</v>
      </c>
      <c r="Q12" s="4">
        <v>0.09</v>
      </c>
      <c r="R12" s="4">
        <v>5.58</v>
      </c>
      <c r="S12" s="4">
        <v>43.11</v>
      </c>
      <c r="T12" s="4">
        <v>19.71</v>
      </c>
      <c r="U12" s="4">
        <v>16.559999999999999</v>
      </c>
      <c r="V12" s="4">
        <v>18.989999999999998</v>
      </c>
      <c r="W12" s="4">
        <v>294.66000000000003</v>
      </c>
      <c r="X12" s="4">
        <v>8.1</v>
      </c>
      <c r="Y12" s="4">
        <v>18</v>
      </c>
      <c r="Z12" s="4">
        <v>11.97</v>
      </c>
      <c r="AA12" s="4">
        <v>24.03</v>
      </c>
      <c r="AB12" s="4">
        <v>32.130000000000003</v>
      </c>
      <c r="AC12" s="4">
        <v>47.79</v>
      </c>
      <c r="AD12" s="4">
        <v>0.18</v>
      </c>
      <c r="AE12" s="4">
        <v>40.049999999999997</v>
      </c>
      <c r="AF12" s="4">
        <v>133.47</v>
      </c>
      <c r="AG12" s="4">
        <v>20.79</v>
      </c>
      <c r="AH12" s="6">
        <f>Datos_originales!$H213/Datos_originales!$E213</f>
        <v>0</v>
      </c>
      <c r="AI12" s="6">
        <f>Datos_originales!$I213/Datos_originales!$E213</f>
        <v>1.2604300587360407E-5</v>
      </c>
      <c r="AJ12" s="6">
        <f>Datos_originales!$J213/Datos_originales!$E213</f>
        <v>1.2604300587360407E-5</v>
      </c>
      <c r="AK12" s="6">
        <f>Datos_originales!$K213/Datos_originales!$E213</f>
        <v>1.2604300587360407E-5</v>
      </c>
      <c r="AL12" s="6">
        <f>Datos_originales!$L213/Datos_originales!$E213</f>
        <v>1.2604300587360407E-5</v>
      </c>
      <c r="AM12" s="6">
        <f>Datos_originales!$M213/Datos_originales!$E213</f>
        <v>1.2604300587360407E-5</v>
      </c>
      <c r="AN12" s="6">
        <f>Datos_originales!$N213/Datos_originales!$E213</f>
        <v>0</v>
      </c>
      <c r="AO12" s="6">
        <f>Datos_originales!$O213/Datos_originales!$E213</f>
        <v>1.2604300587360407E-5</v>
      </c>
      <c r="AP12" s="6">
        <f>Datos_originales!$P213/Datos_originales!$E213</f>
        <v>0</v>
      </c>
      <c r="AQ12" s="6">
        <f>Datos_originales!$Q213/Datos_originales!$E213</f>
        <v>0</v>
      </c>
      <c r="AR12" s="6">
        <f>Datos_originales!$R213/Datos_originales!$E213</f>
        <v>3.0250321409664978E-4</v>
      </c>
      <c r="AS12" s="6">
        <f>Datos_originales!$S213/Datos_originales!$E213</f>
        <v>3.1510751468401016E-4</v>
      </c>
      <c r="AT12" s="6">
        <f>Datos_originales!$T213/Datos_originales!$E213</f>
        <v>7.0584083289218285E-4</v>
      </c>
      <c r="AU12" s="6">
        <f>Datos_originales!$U213/Datos_originales!$E213</f>
        <v>2.3948171115984775E-3</v>
      </c>
      <c r="AV12" s="6">
        <f>Datos_originales!$V213/Datos_originales!$E213</f>
        <v>1.336055862260203E-3</v>
      </c>
      <c r="AW12" s="6">
        <f>Datos_originales!$W213/Datos_originales!$E213</f>
        <v>1.6309964960044367E-2</v>
      </c>
      <c r="AX12" s="6">
        <f>Datos_originales!$X213/Datos_originales!$E213</f>
        <v>6.1761072878065994E-4</v>
      </c>
      <c r="AY12" s="6">
        <f>Datos_originales!$Y213/Datos_originales!$E213</f>
        <v>4.4115052055761423E-4</v>
      </c>
      <c r="AZ12" s="6">
        <f>Datos_originales!$Z213/Datos_originales!$E213</f>
        <v>4.1594191938289346E-4</v>
      </c>
      <c r="BA12" s="6">
        <f>Datos_originales!$AA213/Datos_originales!$E213</f>
        <v>6.3021502936802033E-4</v>
      </c>
      <c r="BB12" s="6">
        <f>Datos_originales!$AB213/Datos_originales!$E213</f>
        <v>1.9410622904535027E-3</v>
      </c>
      <c r="BC12" s="6">
        <f>Datos_originales!$AC213/Datos_originales!$E213</f>
        <v>7.6129975547656855E-3</v>
      </c>
      <c r="BD12" s="6">
        <f>Datos_originales!$AD213/Datos_originales!$E213</f>
        <v>8.8230104111522857E-5</v>
      </c>
      <c r="BE12" s="6">
        <f>Datos_originales!$AE213/Datos_originales!$E213</f>
        <v>5.4198492525649752E-4</v>
      </c>
      <c r="BF12" s="6">
        <f>Datos_originales!$AF213/Datos_originales!$E213</f>
        <v>9.4658297411076668E-3</v>
      </c>
      <c r="BG12" s="6">
        <f>Datos_originales!$AG213/Datos_originales!$E213</f>
        <v>7.4995588494794416E-3</v>
      </c>
    </row>
    <row r="13" spans="1:59" ht="14.4">
      <c r="A13" s="2">
        <v>10403</v>
      </c>
      <c r="B13" s="3" t="s">
        <v>65</v>
      </c>
      <c r="C13" s="4" t="s">
        <v>228</v>
      </c>
      <c r="D13" s="4">
        <f>IF(Table_1[[#This Row],[Forest cover 2011]]&lt;1000,"Bosque menor a 1000 ha",Table_1[[#This Row],[Forest cover 2011]])</f>
        <v>23945.58</v>
      </c>
      <c r="E13" s="4">
        <v>23945.58</v>
      </c>
      <c r="F13" s="5">
        <f>AVERAGE(Datos_originales!$H170:$J170)</f>
        <v>0</v>
      </c>
      <c r="G13" s="5">
        <f>AVERAGE(Datos_originales!$R170:$T170)</f>
        <v>0</v>
      </c>
      <c r="H13" s="4">
        <v>8.4600000000000009</v>
      </c>
      <c r="I13" s="4">
        <v>14.85</v>
      </c>
      <c r="J13" s="4">
        <v>14.67</v>
      </c>
      <c r="K13" s="4">
        <v>5.58</v>
      </c>
      <c r="L13" s="4">
        <v>3.06</v>
      </c>
      <c r="M13" s="4">
        <v>4.1399999999999997</v>
      </c>
      <c r="N13" s="4">
        <v>6.93</v>
      </c>
      <c r="O13" s="4">
        <v>6.3900000000000006</v>
      </c>
      <c r="P13" s="4">
        <v>27</v>
      </c>
      <c r="Q13" s="4">
        <v>2.61</v>
      </c>
      <c r="R13" s="4">
        <v>2.25</v>
      </c>
      <c r="S13" s="4">
        <v>253.35</v>
      </c>
      <c r="T13" s="4">
        <v>67.05</v>
      </c>
      <c r="U13" s="4">
        <v>20.52</v>
      </c>
      <c r="V13" s="4">
        <v>55.08</v>
      </c>
      <c r="W13" s="4">
        <v>238.59</v>
      </c>
      <c r="X13" s="4">
        <v>15.75</v>
      </c>
      <c r="Y13" s="4">
        <v>8.91</v>
      </c>
      <c r="Z13" s="4">
        <v>12.51</v>
      </c>
      <c r="AA13" s="4">
        <v>14.76</v>
      </c>
      <c r="AB13" s="4">
        <v>26.55</v>
      </c>
      <c r="AC13" s="4">
        <v>45.9</v>
      </c>
      <c r="AD13" s="4">
        <v>2.61</v>
      </c>
      <c r="AE13" s="4">
        <v>114.03</v>
      </c>
      <c r="AF13" s="4">
        <v>448.29</v>
      </c>
      <c r="AG13" s="4">
        <v>82.53</v>
      </c>
      <c r="AH13" s="6">
        <f>Datos_originales!$H170/Datos_originales!$E170</f>
        <v>0</v>
      </c>
      <c r="AI13" s="6">
        <f>Datos_originales!$I170/Datos_originales!$E170</f>
        <v>0</v>
      </c>
      <c r="AJ13" s="6">
        <f>Datos_originales!$J170/Datos_originales!$E170</f>
        <v>0</v>
      </c>
      <c r="AK13" s="6">
        <f>Datos_originales!$K170/Datos_originales!$E170</f>
        <v>0</v>
      </c>
      <c r="AL13" s="6">
        <f>Datos_originales!$L170/Datos_originales!$E170</f>
        <v>0</v>
      </c>
      <c r="AM13" s="6">
        <f>Datos_originales!$M170/Datos_originales!$E170</f>
        <v>0</v>
      </c>
      <c r="AN13" s="6">
        <f>Datos_originales!$N170/Datos_originales!$E170</f>
        <v>0</v>
      </c>
      <c r="AO13" s="6">
        <f>Datos_originales!$O170/Datos_originales!$E170</f>
        <v>0</v>
      </c>
      <c r="AP13" s="6">
        <f>Datos_originales!$P170/Datos_originales!$E170</f>
        <v>0</v>
      </c>
      <c r="AQ13" s="6">
        <f>Datos_originales!$Q170/Datos_originales!$E170</f>
        <v>0</v>
      </c>
      <c r="AR13" s="6">
        <f>Datos_originales!$R170/Datos_originales!$E170</f>
        <v>0</v>
      </c>
      <c r="AS13" s="6">
        <f>Datos_originales!$S170/Datos_originales!$E170</f>
        <v>0</v>
      </c>
      <c r="AT13" s="6">
        <f>Datos_originales!$T170/Datos_originales!$E170</f>
        <v>0</v>
      </c>
      <c r="AU13" s="6">
        <f>Datos_originales!$U170/Datos_originales!$E170</f>
        <v>0</v>
      </c>
      <c r="AV13" s="6">
        <f>Datos_originales!$V170/Datos_originales!$E170</f>
        <v>0</v>
      </c>
      <c r="AW13" s="6">
        <f>Datos_originales!$W170/Datos_originales!$E170</f>
        <v>0</v>
      </c>
      <c r="AX13" s="6">
        <f>Datos_originales!$X170/Datos_originales!$E170</f>
        <v>0</v>
      </c>
      <c r="AY13" s="6">
        <f>Datos_originales!$Y170/Datos_originales!$E170</f>
        <v>0</v>
      </c>
      <c r="AZ13" s="6">
        <f>Datos_originales!$Z170/Datos_originales!$E170</f>
        <v>0</v>
      </c>
      <c r="BA13" s="6">
        <f>Datos_originales!$AA170/Datos_originales!$E170</f>
        <v>0</v>
      </c>
      <c r="BB13" s="6">
        <f>Datos_originales!$AB170/Datos_originales!$E170</f>
        <v>0</v>
      </c>
      <c r="BC13" s="6">
        <f>Datos_originales!$AC170/Datos_originales!$E170</f>
        <v>0</v>
      </c>
      <c r="BD13" s="6">
        <f>Datos_originales!$AD170/Datos_originales!$E170</f>
        <v>0</v>
      </c>
      <c r="BE13" s="6">
        <f>Datos_originales!$AE170/Datos_originales!$E170</f>
        <v>0</v>
      </c>
      <c r="BF13" s="6">
        <f>Datos_originales!$AF170/Datos_originales!$E170</f>
        <v>0</v>
      </c>
      <c r="BG13" s="6">
        <f>Datos_originales!$AG170/Datos_originales!$E170</f>
        <v>0.83333333333333326</v>
      </c>
    </row>
    <row r="14" spans="1:59" ht="14.4">
      <c r="A14" s="2">
        <v>10404</v>
      </c>
      <c r="B14" s="3" t="s">
        <v>65</v>
      </c>
      <c r="C14" s="4" t="s">
        <v>254</v>
      </c>
      <c r="D14" s="4">
        <f>IF(Table_1[[#This Row],[Forest cover 2011]]&lt;1000,"Bosque menor a 1000 ha",Table_1[[#This Row],[Forest cover 2011]])</f>
        <v>8220.8700000000008</v>
      </c>
      <c r="E14" s="4">
        <v>8220.8700000000008</v>
      </c>
      <c r="F14" s="5">
        <f>AVERAGE(Datos_originales!$H198:$J198)</f>
        <v>0</v>
      </c>
      <c r="G14" s="5">
        <f>AVERAGE(Datos_originales!$R198:$T198)</f>
        <v>0</v>
      </c>
      <c r="H14" s="4">
        <v>1.17</v>
      </c>
      <c r="I14" s="4">
        <v>0.54</v>
      </c>
      <c r="J14" s="4">
        <v>2.0699999999999998</v>
      </c>
      <c r="K14" s="4">
        <v>0.54</v>
      </c>
      <c r="L14" s="4">
        <v>0.18</v>
      </c>
      <c r="M14" s="4">
        <v>1.35</v>
      </c>
      <c r="N14" s="4">
        <v>0.09</v>
      </c>
      <c r="O14" s="4">
        <v>0.63</v>
      </c>
      <c r="P14" s="4">
        <v>1.53</v>
      </c>
      <c r="Q14" s="4">
        <v>1.17</v>
      </c>
      <c r="R14" s="4">
        <v>0.27</v>
      </c>
      <c r="S14" s="4">
        <v>35.01</v>
      </c>
      <c r="T14" s="4">
        <v>11.43</v>
      </c>
      <c r="U14" s="4">
        <v>3.6</v>
      </c>
      <c r="V14" s="4">
        <v>3.96</v>
      </c>
      <c r="W14" s="4">
        <v>79.38</v>
      </c>
      <c r="X14" s="4">
        <v>2.79</v>
      </c>
      <c r="Y14" s="4">
        <v>1.8</v>
      </c>
      <c r="Z14" s="4">
        <v>3.6</v>
      </c>
      <c r="AA14" s="4">
        <v>6.21</v>
      </c>
      <c r="AB14" s="4">
        <v>10.89</v>
      </c>
      <c r="AC14" s="4">
        <v>32.4</v>
      </c>
      <c r="AD14" s="4">
        <v>1.17</v>
      </c>
      <c r="AE14" s="4">
        <v>14.58</v>
      </c>
      <c r="AF14" s="4">
        <v>75.330000000000013</v>
      </c>
      <c r="AG14" s="4">
        <v>12.69</v>
      </c>
      <c r="AH14" s="6" t="e">
        <f>Datos_originales!$H198/Datos_originales!$E198</f>
        <v>#DIV/0!</v>
      </c>
      <c r="AI14" s="6" t="e">
        <f>Datos_originales!$I198/Datos_originales!$E198</f>
        <v>#DIV/0!</v>
      </c>
      <c r="AJ14" s="6" t="e">
        <f>Datos_originales!$J198/Datos_originales!$E198</f>
        <v>#DIV/0!</v>
      </c>
      <c r="AK14" s="6" t="e">
        <f>Datos_originales!$K198/Datos_originales!$E198</f>
        <v>#DIV/0!</v>
      </c>
      <c r="AL14" s="6" t="e">
        <f>Datos_originales!$L198/Datos_originales!$E198</f>
        <v>#DIV/0!</v>
      </c>
      <c r="AM14" s="6" t="e">
        <f>Datos_originales!$M198/Datos_originales!$E198</f>
        <v>#DIV/0!</v>
      </c>
      <c r="AN14" s="6" t="e">
        <f>Datos_originales!$N198/Datos_originales!$E198</f>
        <v>#DIV/0!</v>
      </c>
      <c r="AO14" s="6" t="e">
        <f>Datos_originales!$O198/Datos_originales!$E198</f>
        <v>#DIV/0!</v>
      </c>
      <c r="AP14" s="6" t="e">
        <f>Datos_originales!$P198/Datos_originales!$E198</f>
        <v>#DIV/0!</v>
      </c>
      <c r="AQ14" s="6" t="e">
        <f>Datos_originales!$Q198/Datos_originales!$E198</f>
        <v>#DIV/0!</v>
      </c>
      <c r="AR14" s="6" t="e">
        <f>Datos_originales!$R198/Datos_originales!$E198</f>
        <v>#DIV/0!</v>
      </c>
      <c r="AS14" s="6" t="e">
        <f>Datos_originales!$S198/Datos_originales!$E198</f>
        <v>#DIV/0!</v>
      </c>
      <c r="AT14" s="6" t="e">
        <f>Datos_originales!$T198/Datos_originales!$E198</f>
        <v>#DIV/0!</v>
      </c>
      <c r="AU14" s="6" t="e">
        <f>Datos_originales!$U198/Datos_originales!$E198</f>
        <v>#DIV/0!</v>
      </c>
      <c r="AV14" s="6" t="e">
        <f>Datos_originales!$V198/Datos_originales!$E198</f>
        <v>#DIV/0!</v>
      </c>
      <c r="AW14" s="6" t="e">
        <f>Datos_originales!$W198/Datos_originales!$E198</f>
        <v>#DIV/0!</v>
      </c>
      <c r="AX14" s="6" t="e">
        <f>Datos_originales!$X198/Datos_originales!$E198</f>
        <v>#DIV/0!</v>
      </c>
      <c r="AY14" s="6" t="e">
        <f>Datos_originales!$Y198/Datos_originales!$E198</f>
        <v>#DIV/0!</v>
      </c>
      <c r="AZ14" s="6" t="e">
        <f>Datos_originales!$Z198/Datos_originales!$E198</f>
        <v>#DIV/0!</v>
      </c>
      <c r="BA14" s="6" t="e">
        <f>Datos_originales!$AA198/Datos_originales!$E198</f>
        <v>#DIV/0!</v>
      </c>
      <c r="BB14" s="6" t="e">
        <f>Datos_originales!$AB198/Datos_originales!$E198</f>
        <v>#DIV/0!</v>
      </c>
      <c r="BC14" s="6" t="e">
        <f>Datos_originales!$AC198/Datos_originales!$E198</f>
        <v>#DIV/0!</v>
      </c>
      <c r="BD14" s="6" t="e">
        <f>Datos_originales!$AD198/Datos_originales!$E198</f>
        <v>#DIV/0!</v>
      </c>
      <c r="BE14" s="6" t="e">
        <f>Datos_originales!$AE198/Datos_originales!$E198</f>
        <v>#DIV/0!</v>
      </c>
      <c r="BF14" s="6" t="e">
        <f>Datos_originales!$AF198/Datos_originales!$E198</f>
        <v>#DIV/0!</v>
      </c>
      <c r="BG14" s="6" t="e">
        <f>Datos_originales!$AG198/Datos_originales!$E198</f>
        <v>#DIV/0!</v>
      </c>
    </row>
    <row r="15" spans="1:59" ht="14.4">
      <c r="A15" s="2">
        <v>10405</v>
      </c>
      <c r="B15" s="3" t="s">
        <v>65</v>
      </c>
      <c r="C15" s="4" t="s">
        <v>249</v>
      </c>
      <c r="D15" s="4">
        <f>IF(Table_1[[#This Row],[Forest cover 2011]]&lt;1000,"Bosque menor a 1000 ha",Table_1[[#This Row],[Forest cover 2011]])</f>
        <v>50038.29</v>
      </c>
      <c r="E15" s="4">
        <v>50038.29</v>
      </c>
      <c r="F15" s="5">
        <f>AVERAGE(Datos_originales!$H193:$J193)</f>
        <v>0</v>
      </c>
      <c r="G15" s="5">
        <f>AVERAGE(Datos_originales!$R193:$T193)</f>
        <v>0</v>
      </c>
      <c r="H15" s="4">
        <v>25.74</v>
      </c>
      <c r="I15" s="4">
        <v>59.58</v>
      </c>
      <c r="J15" s="4">
        <v>52.83</v>
      </c>
      <c r="K15" s="4">
        <v>29.34</v>
      </c>
      <c r="L15" s="4">
        <v>35.19</v>
      </c>
      <c r="M15" s="4">
        <v>30.33</v>
      </c>
      <c r="N15" s="4">
        <v>59.04</v>
      </c>
      <c r="O15" s="4">
        <v>43.47</v>
      </c>
      <c r="P15" s="4">
        <v>58.86</v>
      </c>
      <c r="Q15" s="4">
        <v>37.26</v>
      </c>
      <c r="R15" s="4">
        <v>39.6</v>
      </c>
      <c r="S15" s="4">
        <v>309.06</v>
      </c>
      <c r="T15" s="4">
        <v>83.34</v>
      </c>
      <c r="U15" s="4">
        <v>55.8</v>
      </c>
      <c r="V15" s="4">
        <v>89.1</v>
      </c>
      <c r="W15" s="4">
        <v>444.15</v>
      </c>
      <c r="X15" s="4">
        <v>46.35</v>
      </c>
      <c r="Y15" s="4">
        <v>50.85</v>
      </c>
      <c r="Z15" s="4">
        <v>41.58</v>
      </c>
      <c r="AA15" s="4">
        <v>73.17</v>
      </c>
      <c r="AB15" s="4">
        <v>95.399999999999991</v>
      </c>
      <c r="AC15" s="4">
        <v>76.949999999999989</v>
      </c>
      <c r="AD15" s="4">
        <v>84.24</v>
      </c>
      <c r="AE15" s="4">
        <v>100.8</v>
      </c>
      <c r="AF15" s="4">
        <v>365.31</v>
      </c>
      <c r="AG15" s="4">
        <v>91.08</v>
      </c>
      <c r="AH15" s="6" t="e">
        <f>Datos_originales!$H193/Datos_originales!$E193</f>
        <v>#DIV/0!</v>
      </c>
      <c r="AI15" s="6" t="e">
        <f>Datos_originales!$I193/Datos_originales!$E193</f>
        <v>#DIV/0!</v>
      </c>
      <c r="AJ15" s="6" t="e">
        <f>Datos_originales!$J193/Datos_originales!$E193</f>
        <v>#DIV/0!</v>
      </c>
      <c r="AK15" s="6" t="e">
        <f>Datos_originales!$K193/Datos_originales!$E193</f>
        <v>#DIV/0!</v>
      </c>
      <c r="AL15" s="6" t="e">
        <f>Datos_originales!$L193/Datos_originales!$E193</f>
        <v>#DIV/0!</v>
      </c>
      <c r="AM15" s="6" t="e">
        <f>Datos_originales!$M193/Datos_originales!$E193</f>
        <v>#DIV/0!</v>
      </c>
      <c r="AN15" s="6" t="e">
        <f>Datos_originales!$N193/Datos_originales!$E193</f>
        <v>#DIV/0!</v>
      </c>
      <c r="AO15" s="6" t="e">
        <f>Datos_originales!$O193/Datos_originales!$E193</f>
        <v>#DIV/0!</v>
      </c>
      <c r="AP15" s="6" t="e">
        <f>Datos_originales!$P193/Datos_originales!$E193</f>
        <v>#DIV/0!</v>
      </c>
      <c r="AQ15" s="6" t="e">
        <f>Datos_originales!$Q193/Datos_originales!$E193</f>
        <v>#DIV/0!</v>
      </c>
      <c r="AR15" s="6" t="e">
        <f>Datos_originales!$R193/Datos_originales!$E193</f>
        <v>#DIV/0!</v>
      </c>
      <c r="AS15" s="6" t="e">
        <f>Datos_originales!$S193/Datos_originales!$E193</f>
        <v>#DIV/0!</v>
      </c>
      <c r="AT15" s="6" t="e">
        <f>Datos_originales!$T193/Datos_originales!$E193</f>
        <v>#DIV/0!</v>
      </c>
      <c r="AU15" s="6" t="e">
        <f>Datos_originales!$U193/Datos_originales!$E193</f>
        <v>#DIV/0!</v>
      </c>
      <c r="AV15" s="6" t="e">
        <f>Datos_originales!$V193/Datos_originales!$E193</f>
        <v>#DIV/0!</v>
      </c>
      <c r="AW15" s="6" t="e">
        <f>Datos_originales!$W193/Datos_originales!$E193</f>
        <v>#DIV/0!</v>
      </c>
      <c r="AX15" s="6" t="e">
        <f>Datos_originales!$X193/Datos_originales!$E193</f>
        <v>#DIV/0!</v>
      </c>
      <c r="AY15" s="6" t="e">
        <f>Datos_originales!$Y193/Datos_originales!$E193</f>
        <v>#DIV/0!</v>
      </c>
      <c r="AZ15" s="6" t="e">
        <f>Datos_originales!$Z193/Datos_originales!$E193</f>
        <v>#DIV/0!</v>
      </c>
      <c r="BA15" s="6" t="e">
        <f>Datos_originales!$AA193/Datos_originales!$E193</f>
        <v>#DIV/0!</v>
      </c>
      <c r="BB15" s="6" t="e">
        <f>Datos_originales!$AB193/Datos_originales!$E193</f>
        <v>#DIV/0!</v>
      </c>
      <c r="BC15" s="6" t="e">
        <f>Datos_originales!$AC193/Datos_originales!$E193</f>
        <v>#DIV/0!</v>
      </c>
      <c r="BD15" s="6" t="e">
        <f>Datos_originales!$AD193/Datos_originales!$E193</f>
        <v>#DIV/0!</v>
      </c>
      <c r="BE15" s="6" t="e">
        <f>Datos_originales!$AE193/Datos_originales!$E193</f>
        <v>#DIV/0!</v>
      </c>
      <c r="BF15" s="6" t="e">
        <f>Datos_originales!$AF193/Datos_originales!$E193</f>
        <v>#DIV/0!</v>
      </c>
      <c r="BG15" s="6" t="e">
        <f>Datos_originales!$AG193/Datos_originales!$E193</f>
        <v>#DIV/0!</v>
      </c>
    </row>
    <row r="16" spans="1:59" ht="14.4">
      <c r="A16" s="2">
        <v>10501</v>
      </c>
      <c r="B16" s="3" t="s">
        <v>65</v>
      </c>
      <c r="C16" s="4" t="s">
        <v>182</v>
      </c>
      <c r="D16" s="4">
        <f>IF(Table_1[[#This Row],[Forest cover 2011]]&lt;1000,"Bosque menor a 1000 ha",Table_1[[#This Row],[Forest cover 2011]])</f>
        <v>290186.28000000003</v>
      </c>
      <c r="E16" s="4">
        <v>290186.28000000003</v>
      </c>
      <c r="F16" s="5">
        <f>AVERAGE(Datos_originales!$H122:$J122)</f>
        <v>18.09</v>
      </c>
      <c r="G16" s="5">
        <f>AVERAGE(Datos_originales!$R122:$T122)</f>
        <v>85.259999999999991</v>
      </c>
      <c r="H16" s="4">
        <v>901.07999999999993</v>
      </c>
      <c r="I16" s="4">
        <v>1518.39</v>
      </c>
      <c r="J16" s="4">
        <v>866.52</v>
      </c>
      <c r="K16" s="4">
        <v>439.47</v>
      </c>
      <c r="L16" s="4">
        <v>674.82</v>
      </c>
      <c r="M16" s="4">
        <v>867.06000000000006</v>
      </c>
      <c r="N16" s="4">
        <v>1329.03</v>
      </c>
      <c r="O16" s="4">
        <v>1273.77</v>
      </c>
      <c r="P16" s="4">
        <v>1099.17</v>
      </c>
      <c r="Q16" s="4">
        <v>976.41000000000008</v>
      </c>
      <c r="R16" s="4">
        <v>277.38</v>
      </c>
      <c r="S16" s="4">
        <v>2491.56</v>
      </c>
      <c r="T16" s="4">
        <v>2418.84</v>
      </c>
      <c r="U16" s="4">
        <v>1048.5</v>
      </c>
      <c r="V16" s="4">
        <v>1645.29</v>
      </c>
      <c r="W16" s="4">
        <v>1286.9100000000001</v>
      </c>
      <c r="X16" s="4">
        <v>506.34</v>
      </c>
      <c r="Y16" s="4">
        <v>759.6</v>
      </c>
      <c r="Z16" s="4">
        <v>938.79</v>
      </c>
      <c r="AA16" s="4">
        <v>1398.6</v>
      </c>
      <c r="AB16" s="4">
        <v>1420.65</v>
      </c>
      <c r="AC16" s="4">
        <v>1195.29</v>
      </c>
      <c r="AD16" s="4">
        <v>1184.04</v>
      </c>
      <c r="AE16" s="4">
        <v>334.17</v>
      </c>
      <c r="AF16" s="4">
        <v>2577.15</v>
      </c>
      <c r="AG16" s="4">
        <v>2427.39</v>
      </c>
      <c r="AH16" s="6">
        <f>Datos_originales!$H122/Datos_originales!$E122</f>
        <v>6.3964762702875576E-4</v>
      </c>
      <c r="AI16" s="6">
        <f>Datos_originales!$I122/Datos_originales!$E122</f>
        <v>7.2871248648845592E-4</v>
      </c>
      <c r="AJ16" s="6">
        <f>Datos_originales!$J122/Datos_originales!$E122</f>
        <v>1.0728267162191157E-3</v>
      </c>
      <c r="AK16" s="6">
        <f>Datos_originales!$K122/Datos_originales!$E122</f>
        <v>5.5867957297448282E-4</v>
      </c>
      <c r="AL16" s="6">
        <f>Datos_originales!$L122/Datos_originales!$E122</f>
        <v>6.5584123783961031E-4</v>
      </c>
      <c r="AM16" s="6">
        <f>Datos_originales!$M122/Datos_originales!$E122</f>
        <v>5.8701839189347841E-4</v>
      </c>
      <c r="AN16" s="6">
        <f>Datos_originales!$N122/Datos_originales!$E122</f>
        <v>5.0200193513649186E-4</v>
      </c>
      <c r="AO16" s="6">
        <f>Datos_originales!$O122/Datos_originales!$E122</f>
        <v>2.8338818918995513E-4</v>
      </c>
      <c r="AP16" s="6">
        <f>Datos_originales!$P122/Datos_originales!$E122</f>
        <v>1.9513301027079765E-3</v>
      </c>
      <c r="AQ16" s="6">
        <f>Datos_originales!$Q122/Datos_originales!$E122</f>
        <v>1.457424972976912E-4</v>
      </c>
      <c r="AR16" s="6">
        <f>Datos_originales!$R122/Datos_originales!$E122</f>
        <v>4.2103388108221898E-4</v>
      </c>
      <c r="AS16" s="6">
        <f>Datos_originales!$S122/Datos_originales!$E122</f>
        <v>4.0726931189299254E-3</v>
      </c>
      <c r="AT16" s="6">
        <f>Datos_originales!$T122/Datos_originales!$E122</f>
        <v>7.0118334811000316E-3</v>
      </c>
      <c r="AU16" s="6">
        <f>Datos_originales!$U122/Datos_originales!$E122</f>
        <v>4.9592933108242136E-3</v>
      </c>
      <c r="AV16" s="6">
        <f>Datos_originales!$V122/Datos_originales!$E122</f>
        <v>3.1982381351437785E-3</v>
      </c>
      <c r="AW16" s="6">
        <f>Datos_originales!$W122/Datos_originales!$E122</f>
        <v>1.1141204237867949E-2</v>
      </c>
      <c r="AX16" s="6">
        <f>Datos_originales!$X122/Datos_originales!$E122</f>
        <v>1.4290861540579164E-3</v>
      </c>
      <c r="AY16" s="6">
        <f>Datos_originales!$Y122/Datos_originales!$E122</f>
        <v>1.4128925432470617E-3</v>
      </c>
      <c r="AZ16" s="6">
        <f>Datos_originales!$Z122/Datos_originales!$E122</f>
        <v>1.1618915756788158E-3</v>
      </c>
      <c r="BA16" s="6">
        <f>Datos_originales!$AA122/Datos_originales!$E122</f>
        <v>1.0485363000028336E-3</v>
      </c>
      <c r="BB16" s="6">
        <f>Datos_originales!$AB122/Datos_originales!$E122</f>
        <v>8.5016456756986517E-4</v>
      </c>
      <c r="BC16" s="6">
        <f>Datos_originales!$AC122/Datos_originales!$E122</f>
        <v>2.6355101594665825E-3</v>
      </c>
      <c r="BD16" s="6">
        <f>Datos_originales!$AD122/Datos_originales!$E122</f>
        <v>7.7324491621830606E-4</v>
      </c>
      <c r="BE16" s="6">
        <f>Datos_originales!$AE122/Datos_originales!$E122</f>
        <v>7.570513054074514E-4</v>
      </c>
      <c r="BF16" s="6">
        <f>Datos_originales!$AF122/Datos_originales!$E122</f>
        <v>4.9997773378513506E-3</v>
      </c>
      <c r="BG16" s="6">
        <f>Datos_originales!$AG122/Datos_originales!$E122</f>
        <v>2.0739967046001999E-2</v>
      </c>
    </row>
    <row r="17" spans="1:59" ht="14.4">
      <c r="A17" s="2">
        <v>10502</v>
      </c>
      <c r="B17" s="3" t="s">
        <v>65</v>
      </c>
      <c r="C17" s="4" t="s">
        <v>175</v>
      </c>
      <c r="D17" s="4">
        <f>IF(Table_1[[#This Row],[Forest cover 2011]]&lt;1000,"Bosque menor a 1000 ha",Table_1[[#This Row],[Forest cover 2011]])</f>
        <v>280002.24</v>
      </c>
      <c r="E17" s="4">
        <v>280002.24</v>
      </c>
      <c r="F17" s="5">
        <f>AVERAGE(Datos_originales!$H115:$J115)</f>
        <v>0</v>
      </c>
      <c r="G17" s="5">
        <f>AVERAGE(Datos_originales!$R115:$T115)</f>
        <v>0</v>
      </c>
      <c r="H17" s="4">
        <v>401.04</v>
      </c>
      <c r="I17" s="4">
        <v>518.85</v>
      </c>
      <c r="J17" s="4">
        <v>484.29</v>
      </c>
      <c r="K17" s="4">
        <v>236.97</v>
      </c>
      <c r="L17" s="4">
        <v>529.29</v>
      </c>
      <c r="M17" s="4">
        <v>634.68000000000006</v>
      </c>
      <c r="N17" s="4">
        <v>714.87</v>
      </c>
      <c r="O17" s="4">
        <v>692.01</v>
      </c>
      <c r="P17" s="4">
        <v>598.04999999999995</v>
      </c>
      <c r="Q17" s="4">
        <v>725.85</v>
      </c>
      <c r="R17" s="4">
        <v>546.21</v>
      </c>
      <c r="S17" s="4">
        <v>1872.18</v>
      </c>
      <c r="T17" s="4">
        <v>3090.33</v>
      </c>
      <c r="U17" s="4">
        <v>433.8</v>
      </c>
      <c r="V17" s="4">
        <v>544.77</v>
      </c>
      <c r="W17" s="4">
        <v>550.53</v>
      </c>
      <c r="X17" s="4">
        <v>259.02</v>
      </c>
      <c r="Y17" s="4">
        <v>539.28</v>
      </c>
      <c r="Z17" s="4">
        <v>647.01</v>
      </c>
      <c r="AA17" s="4">
        <v>736.74</v>
      </c>
      <c r="AB17" s="4">
        <v>740.61</v>
      </c>
      <c r="AC17" s="4">
        <v>616.04999999999995</v>
      </c>
      <c r="AD17" s="4">
        <v>764.55</v>
      </c>
      <c r="AE17" s="4">
        <v>572.04</v>
      </c>
      <c r="AF17" s="4">
        <v>1921.32</v>
      </c>
      <c r="AG17" s="4">
        <v>3200.31</v>
      </c>
      <c r="AH17" s="6" t="e">
        <f>Datos_originales!$H115/Datos_originales!$E115</f>
        <v>#DIV/0!</v>
      </c>
      <c r="AI17" s="6" t="e">
        <f>Datos_originales!$I115/Datos_originales!$E115</f>
        <v>#DIV/0!</v>
      </c>
      <c r="AJ17" s="6" t="e">
        <f>Datos_originales!$J115/Datos_originales!$E115</f>
        <v>#DIV/0!</v>
      </c>
      <c r="AK17" s="6" t="e">
        <f>Datos_originales!$K115/Datos_originales!$E115</f>
        <v>#DIV/0!</v>
      </c>
      <c r="AL17" s="6" t="e">
        <f>Datos_originales!$L115/Datos_originales!$E115</f>
        <v>#DIV/0!</v>
      </c>
      <c r="AM17" s="6" t="e">
        <f>Datos_originales!$M115/Datos_originales!$E115</f>
        <v>#DIV/0!</v>
      </c>
      <c r="AN17" s="6" t="e">
        <f>Datos_originales!$N115/Datos_originales!$E115</f>
        <v>#DIV/0!</v>
      </c>
      <c r="AO17" s="6" t="e">
        <f>Datos_originales!$O115/Datos_originales!$E115</f>
        <v>#DIV/0!</v>
      </c>
      <c r="AP17" s="6" t="e">
        <f>Datos_originales!$P115/Datos_originales!$E115</f>
        <v>#DIV/0!</v>
      </c>
      <c r="AQ17" s="6" t="e">
        <f>Datos_originales!$Q115/Datos_originales!$E115</f>
        <v>#DIV/0!</v>
      </c>
      <c r="AR17" s="6" t="e">
        <f>Datos_originales!$R115/Datos_originales!$E115</f>
        <v>#DIV/0!</v>
      </c>
      <c r="AS17" s="6" t="e">
        <f>Datos_originales!$S115/Datos_originales!$E115</f>
        <v>#DIV/0!</v>
      </c>
      <c r="AT17" s="6" t="e">
        <f>Datos_originales!$T115/Datos_originales!$E115</f>
        <v>#DIV/0!</v>
      </c>
      <c r="AU17" s="6" t="e">
        <f>Datos_originales!$U115/Datos_originales!$E115</f>
        <v>#DIV/0!</v>
      </c>
      <c r="AV17" s="6" t="e">
        <f>Datos_originales!$V115/Datos_originales!$E115</f>
        <v>#DIV/0!</v>
      </c>
      <c r="AW17" s="6" t="e">
        <f>Datos_originales!$W115/Datos_originales!$E115</f>
        <v>#DIV/0!</v>
      </c>
      <c r="AX17" s="6" t="e">
        <f>Datos_originales!$X115/Datos_originales!$E115</f>
        <v>#DIV/0!</v>
      </c>
      <c r="AY17" s="6" t="e">
        <f>Datos_originales!$Y115/Datos_originales!$E115</f>
        <v>#DIV/0!</v>
      </c>
      <c r="AZ17" s="6" t="e">
        <f>Datos_originales!$Z115/Datos_originales!$E115</f>
        <v>#DIV/0!</v>
      </c>
      <c r="BA17" s="6" t="e">
        <f>Datos_originales!$AA115/Datos_originales!$E115</f>
        <v>#DIV/0!</v>
      </c>
      <c r="BB17" s="6" t="e">
        <f>Datos_originales!$AB115/Datos_originales!$E115</f>
        <v>#DIV/0!</v>
      </c>
      <c r="BC17" s="6" t="e">
        <f>Datos_originales!$AC115/Datos_originales!$E115</f>
        <v>#DIV/0!</v>
      </c>
      <c r="BD17" s="6" t="e">
        <f>Datos_originales!$AD115/Datos_originales!$E115</f>
        <v>#DIV/0!</v>
      </c>
      <c r="BE17" s="6" t="e">
        <f>Datos_originales!$AE115/Datos_originales!$E115</f>
        <v>#DIV/0!</v>
      </c>
      <c r="BF17" s="6" t="e">
        <f>Datos_originales!$AF115/Datos_originales!$E115</f>
        <v>#DIV/0!</v>
      </c>
      <c r="BG17" s="6" t="e">
        <f>Datos_originales!$AG115/Datos_originales!$E115</f>
        <v>#DIV/0!</v>
      </c>
    </row>
    <row r="18" spans="1:59" ht="14.4">
      <c r="A18" s="2">
        <v>10601</v>
      </c>
      <c r="B18" s="3" t="s">
        <v>65</v>
      </c>
      <c r="C18" s="4" t="s">
        <v>272</v>
      </c>
      <c r="D18" s="4">
        <f>IF(Table_1[[#This Row],[Forest cover 2011]]&lt;1000,"Bosque menor a 1000 ha",Table_1[[#This Row],[Forest cover 2011]])</f>
        <v>4594.5</v>
      </c>
      <c r="E18" s="4">
        <v>4594.5</v>
      </c>
      <c r="F18" s="5">
        <f>AVERAGE(Datos_originales!$H217:$J217)</f>
        <v>0.63</v>
      </c>
      <c r="G18" s="5">
        <f>AVERAGE(Datos_originales!$R217:$T217)</f>
        <v>5.1899999999999995</v>
      </c>
      <c r="H18" s="4">
        <v>0.18</v>
      </c>
      <c r="I18" s="4">
        <v>1.71</v>
      </c>
      <c r="J18" s="4">
        <v>1.89</v>
      </c>
      <c r="K18" s="4">
        <v>1.08</v>
      </c>
      <c r="L18" s="4">
        <v>0.18</v>
      </c>
      <c r="M18" s="4">
        <v>1.08</v>
      </c>
      <c r="N18" s="4">
        <v>0.36</v>
      </c>
      <c r="O18" s="4">
        <v>0.80999999999999994</v>
      </c>
      <c r="P18" s="4">
        <v>3.78</v>
      </c>
      <c r="Q18" s="4">
        <v>0.27</v>
      </c>
      <c r="R18" s="4">
        <v>2.34</v>
      </c>
      <c r="S18" s="4">
        <v>7.2</v>
      </c>
      <c r="T18" s="4">
        <v>2.34</v>
      </c>
      <c r="U18" s="4">
        <v>9.99</v>
      </c>
      <c r="V18" s="4">
        <v>9.629999999999999</v>
      </c>
      <c r="W18" s="4">
        <v>75.42</v>
      </c>
      <c r="X18" s="4">
        <v>2.52</v>
      </c>
      <c r="Y18" s="4">
        <v>9.81</v>
      </c>
      <c r="Z18" s="4">
        <v>14.04</v>
      </c>
      <c r="AA18" s="4">
        <v>29.43</v>
      </c>
      <c r="AB18" s="4">
        <v>21.06</v>
      </c>
      <c r="AC18" s="4">
        <v>49.23</v>
      </c>
      <c r="AD18" s="4">
        <v>0.72</v>
      </c>
      <c r="AE18" s="4">
        <v>3.24</v>
      </c>
      <c r="AF18" s="4">
        <v>13.41</v>
      </c>
      <c r="AG18" s="4">
        <v>2.52</v>
      </c>
      <c r="AH18" s="6">
        <f>Datos_originales!$H217/Datos_originales!$E217</f>
        <v>7.1789055040668502E-5</v>
      </c>
      <c r="AI18" s="6">
        <f>Datos_originales!$I217/Datos_originales!$E217</f>
        <v>6.4610149536601654E-5</v>
      </c>
      <c r="AJ18" s="6">
        <f>Datos_originales!$J217/Datos_originales!$E217</f>
        <v>1.43578110081337E-5</v>
      </c>
      <c r="AK18" s="6">
        <f>Datos_originales!$K217/Datos_originales!$E217</f>
        <v>1.43578110081337E-5</v>
      </c>
      <c r="AL18" s="6">
        <f>Datos_originales!$L217/Datos_originales!$E217</f>
        <v>7.17890550406685E-6</v>
      </c>
      <c r="AM18" s="6">
        <f>Datos_originales!$M217/Datos_originales!$E217</f>
        <v>0</v>
      </c>
      <c r="AN18" s="6">
        <f>Datos_originales!$N217/Datos_originales!$E217</f>
        <v>7.17890550406685E-6</v>
      </c>
      <c r="AO18" s="6">
        <f>Datos_originales!$O217/Datos_originales!$E217</f>
        <v>3.5894527520334251E-5</v>
      </c>
      <c r="AP18" s="6">
        <f>Datos_originales!$P217/Datos_originales!$E217</f>
        <v>2.87156220162674E-5</v>
      </c>
      <c r="AQ18" s="6">
        <f>Datos_originales!$Q217/Datos_originales!$E217</f>
        <v>0</v>
      </c>
      <c r="AR18" s="6">
        <f>Datos_originales!$R217/Datos_originales!$E217</f>
        <v>3.5894527520334251E-5</v>
      </c>
      <c r="AS18" s="6">
        <f>Datos_originales!$S217/Datos_originales!$E217</f>
        <v>1.1916983136750971E-3</v>
      </c>
      <c r="AT18" s="6">
        <f>Datos_originales!$T217/Datos_originales!$E217</f>
        <v>1.43578110081337E-5</v>
      </c>
      <c r="AU18" s="6">
        <f>Datos_originales!$U217/Datos_originales!$E217</f>
        <v>4.9893393253264608E-3</v>
      </c>
      <c r="AV18" s="6">
        <f>Datos_originales!$V217/Datos_originales!$E217</f>
        <v>3.6468839960659598E-3</v>
      </c>
      <c r="AW18" s="6">
        <f>Datos_originales!$W217/Datos_originales!$E217</f>
        <v>1.5736160864914535E-2</v>
      </c>
      <c r="AX18" s="6">
        <f>Datos_originales!$X217/Datos_originales!$E217</f>
        <v>1.8090841870248462E-3</v>
      </c>
      <c r="AY18" s="6">
        <f>Datos_originales!$Y217/Datos_originales!$E217</f>
        <v>1.1988772191791639E-3</v>
      </c>
      <c r="AZ18" s="6">
        <f>Datos_originales!$Z217/Datos_originales!$E217</f>
        <v>1.155803786154763E-3</v>
      </c>
      <c r="BA18" s="6">
        <f>Datos_originales!$AA217/Datos_originales!$E217</f>
        <v>2.3977544383583277E-3</v>
      </c>
      <c r="BB18" s="6">
        <f>Datos_originales!$AB217/Datos_originales!$E217</f>
        <v>4.802687782220723E-3</v>
      </c>
      <c r="BC18" s="6">
        <f>Datos_originales!$AC217/Datos_originales!$E217</f>
        <v>1.6037674896085343E-2</v>
      </c>
      <c r="BD18" s="6">
        <f>Datos_originales!$AD217/Datos_originales!$E217</f>
        <v>5.74312440325348E-5</v>
      </c>
      <c r="BE18" s="6">
        <f>Datos_originales!$AE217/Datos_originales!$E217</f>
        <v>3.3022965318707515E-4</v>
      </c>
      <c r="BF18" s="6">
        <f>Datos_originales!$AF217/Datos_originales!$E217</f>
        <v>8.442392872782617E-3</v>
      </c>
      <c r="BG18" s="6">
        <f>Datos_originales!$AG217/Datos_originales!$E217</f>
        <v>7.1789055040668502E-5</v>
      </c>
    </row>
    <row r="19" spans="1:59" ht="14.4">
      <c r="A19" s="2">
        <v>10602</v>
      </c>
      <c r="B19" s="3" t="s">
        <v>65</v>
      </c>
      <c r="C19" s="4" t="s">
        <v>285</v>
      </c>
      <c r="D19" s="4" t="str">
        <f>IF(Table_1[[#This Row],[Forest cover 2011]]&lt;1000,"Bosque menor a 1000 ha",Table_1[[#This Row],[Forest cover 2011]])</f>
        <v>Bosque menor a 1000 ha</v>
      </c>
      <c r="E19" s="4">
        <v>694.26</v>
      </c>
      <c r="F19" s="5">
        <f>AVERAGE(Datos_originales!$H230:$J230)</f>
        <v>0.33</v>
      </c>
      <c r="G19" s="5">
        <f>AVERAGE(Datos_originales!$R230:$T230)</f>
        <v>0.98999999999999988</v>
      </c>
      <c r="H19" s="4">
        <v>0</v>
      </c>
      <c r="I19" s="4">
        <v>0.18</v>
      </c>
      <c r="J19" s="4">
        <v>0.45</v>
      </c>
      <c r="K19" s="4">
        <v>0.09</v>
      </c>
      <c r="L19" s="4">
        <v>0.45</v>
      </c>
      <c r="M19" s="4">
        <v>0.18</v>
      </c>
      <c r="N19" s="4">
        <v>0</v>
      </c>
      <c r="O19" s="4">
        <v>0</v>
      </c>
      <c r="P19" s="4">
        <v>0</v>
      </c>
      <c r="Q19" s="4">
        <v>0.09</v>
      </c>
      <c r="R19" s="4">
        <v>0</v>
      </c>
      <c r="S19" s="4">
        <v>0.54</v>
      </c>
      <c r="T19" s="4">
        <v>0.09</v>
      </c>
      <c r="U19" s="4">
        <v>1.62</v>
      </c>
      <c r="V19" s="4">
        <v>1.44</v>
      </c>
      <c r="W19" s="4">
        <v>14.04</v>
      </c>
      <c r="X19" s="4">
        <v>0.72</v>
      </c>
      <c r="Y19" s="4">
        <v>0.80999999999999994</v>
      </c>
      <c r="Z19" s="4">
        <v>0.18</v>
      </c>
      <c r="AA19" s="4">
        <v>0.45</v>
      </c>
      <c r="AB19" s="4">
        <v>0.27</v>
      </c>
      <c r="AC19" s="4">
        <v>1.26</v>
      </c>
      <c r="AD19" s="4">
        <v>0.63</v>
      </c>
      <c r="AE19" s="4">
        <v>0.09</v>
      </c>
      <c r="AF19" s="4">
        <v>0.72</v>
      </c>
      <c r="AG19" s="4">
        <v>0.09</v>
      </c>
      <c r="AH19" s="6">
        <f>Datos_originales!$H230/Datos_originales!$E230</f>
        <v>8.1833060556464818E-3</v>
      </c>
      <c r="AI19" s="6">
        <f>Datos_originales!$I230/Datos_originales!$E230</f>
        <v>6.5466448445171844E-3</v>
      </c>
      <c r="AJ19" s="6">
        <f>Datos_originales!$J230/Datos_originales!$E230</f>
        <v>3.2733224222585922E-3</v>
      </c>
      <c r="AK19" s="6">
        <f>Datos_originales!$K230/Datos_originales!$E230</f>
        <v>0</v>
      </c>
      <c r="AL19" s="6">
        <f>Datos_originales!$L230/Datos_originales!$E230</f>
        <v>9.8199672667757774E-3</v>
      </c>
      <c r="AM19" s="6">
        <f>Datos_originales!$M230/Datos_originales!$E230</f>
        <v>1.6366612111292961E-3</v>
      </c>
      <c r="AN19" s="6">
        <f>Datos_originales!$N230/Datos_originales!$E230</f>
        <v>6.5466448445171844E-3</v>
      </c>
      <c r="AO19" s="6">
        <f>Datos_originales!$O230/Datos_originales!$E230</f>
        <v>1.6366612111292961E-3</v>
      </c>
      <c r="AP19" s="6">
        <f>Datos_originales!$P230/Datos_originales!$E230</f>
        <v>0</v>
      </c>
      <c r="AQ19" s="6">
        <f>Datos_originales!$Q230/Datos_originales!$E230</f>
        <v>0</v>
      </c>
      <c r="AR19" s="6">
        <f>Datos_originales!$R230/Datos_originales!$E230</f>
        <v>0</v>
      </c>
      <c r="AS19" s="6">
        <f>Datos_originales!$S230/Datos_originales!$E230</f>
        <v>1.6366612111292961E-3</v>
      </c>
      <c r="AT19" s="6">
        <f>Datos_originales!$T230/Datos_originales!$E230</f>
        <v>5.2373158756137475E-2</v>
      </c>
      <c r="AU19" s="6">
        <f>Datos_originales!$U230/Datos_originales!$E230</f>
        <v>9.8199672667757774E-3</v>
      </c>
      <c r="AV19" s="6">
        <f>Datos_originales!$V230/Datos_originales!$E230</f>
        <v>1.8003273322422259E-2</v>
      </c>
      <c r="AW19" s="6">
        <f>Datos_originales!$W230/Datos_originales!$E230</f>
        <v>3.2733224222585927E-2</v>
      </c>
      <c r="AX19" s="6">
        <f>Datos_originales!$X230/Datos_originales!$E230</f>
        <v>0</v>
      </c>
      <c r="AY19" s="6">
        <f>Datos_originales!$Y230/Datos_originales!$E230</f>
        <v>1.6366612111292964E-2</v>
      </c>
      <c r="AZ19" s="6">
        <f>Datos_originales!$Z230/Datos_originales!$E230</f>
        <v>1.6366612111292961E-3</v>
      </c>
      <c r="BA19" s="6">
        <f>Datos_originales!$AA230/Datos_originales!$E230</f>
        <v>6.5466448445171844E-3</v>
      </c>
      <c r="BB19" s="6">
        <f>Datos_originales!$AB230/Datos_originales!$E230</f>
        <v>1.6366612111292961E-3</v>
      </c>
      <c r="BC19" s="6">
        <f>Datos_originales!$AC230/Datos_originales!$E230</f>
        <v>0</v>
      </c>
      <c r="BD19" s="6">
        <f>Datos_originales!$AD230/Datos_originales!$E230</f>
        <v>0</v>
      </c>
      <c r="BE19" s="6">
        <f>Datos_originales!$AE230/Datos_originales!$E230</f>
        <v>0</v>
      </c>
      <c r="BF19" s="6">
        <f>Datos_originales!$AF230/Datos_originales!$E230</f>
        <v>1.1456628477905073E-2</v>
      </c>
      <c r="BG19" s="6">
        <f>Datos_originales!$AG230/Datos_originales!$E230</f>
        <v>0.12274959083469722</v>
      </c>
    </row>
    <row r="20" spans="1:59" ht="14.4">
      <c r="A20" s="2">
        <v>10701</v>
      </c>
      <c r="B20" s="3" t="s">
        <v>65</v>
      </c>
      <c r="C20" s="4" t="s">
        <v>66</v>
      </c>
      <c r="D20" s="4" t="str">
        <f>IF(Table_1[[#This Row],[Forest cover 2011]]&lt;1000,"Bosque menor a 1000 ha",Table_1[[#This Row],[Forest cover 2011]])</f>
        <v>Bosque menor a 1000 ha</v>
      </c>
      <c r="E20" s="4">
        <v>79.2</v>
      </c>
      <c r="F20" s="5">
        <f>AVERAGE(Datos_originales!$H7:$J7)</f>
        <v>0.06</v>
      </c>
      <c r="G20" s="5">
        <f>AVERAGE(Datos_originales!$R7:$T7)</f>
        <v>4.8299999999999992</v>
      </c>
      <c r="H20" s="4">
        <v>1.89</v>
      </c>
      <c r="I20" s="4">
        <v>1.71</v>
      </c>
      <c r="J20" s="4">
        <v>0.9</v>
      </c>
      <c r="K20" s="4">
        <v>1.26</v>
      </c>
      <c r="L20" s="4">
        <v>2.0699999999999998</v>
      </c>
      <c r="M20" s="4">
        <v>0.27</v>
      </c>
      <c r="N20" s="4">
        <v>0.54</v>
      </c>
      <c r="O20" s="4">
        <v>1.53</v>
      </c>
      <c r="P20" s="4">
        <v>0.27</v>
      </c>
      <c r="Q20" s="4">
        <v>0.99</v>
      </c>
      <c r="R20" s="4">
        <v>0</v>
      </c>
      <c r="S20" s="4">
        <v>1.35</v>
      </c>
      <c r="T20" s="4">
        <v>26.1</v>
      </c>
      <c r="U20" s="4">
        <v>2.79</v>
      </c>
      <c r="V20" s="4">
        <v>1.98</v>
      </c>
      <c r="W20" s="4">
        <v>1.53</v>
      </c>
      <c r="X20" s="4">
        <v>1.89</v>
      </c>
      <c r="Y20" s="4">
        <v>2.16</v>
      </c>
      <c r="Z20" s="4">
        <v>0.36</v>
      </c>
      <c r="AA20" s="4">
        <v>0.54</v>
      </c>
      <c r="AB20" s="4">
        <v>2.0699999999999998</v>
      </c>
      <c r="AC20" s="4">
        <v>0.36</v>
      </c>
      <c r="AD20" s="4">
        <v>1.17</v>
      </c>
      <c r="AE20" s="4">
        <v>0</v>
      </c>
      <c r="AF20" s="4">
        <v>1.8</v>
      </c>
      <c r="AG20" s="4">
        <v>49.32</v>
      </c>
      <c r="AH20" s="6">
        <f>Datos_originales!$H7/Datos_originales!$E7</f>
        <v>9.5794616342561537E-6</v>
      </c>
      <c r="AI20" s="6">
        <f>Datos_originales!$I7/Datos_originales!$E7</f>
        <v>0</v>
      </c>
      <c r="AJ20" s="6">
        <f>Datos_originales!$J7/Datos_originales!$E7</f>
        <v>9.5794616342561537E-6</v>
      </c>
      <c r="AK20" s="6">
        <f>Datos_originales!$K7/Datos_originales!$E7</f>
        <v>0</v>
      </c>
      <c r="AL20" s="6">
        <f>Datos_originales!$L7/Datos_originales!$E7</f>
        <v>1.9158923268512307E-5</v>
      </c>
      <c r="AM20" s="6">
        <f>Datos_originales!$M7/Datos_originales!$E7</f>
        <v>0</v>
      </c>
      <c r="AN20" s="6">
        <f>Datos_originales!$N7/Datos_originales!$E7</f>
        <v>1.9158923268512307E-5</v>
      </c>
      <c r="AO20" s="6">
        <f>Datos_originales!$O7/Datos_originales!$E7</f>
        <v>6.7056231439793087E-5</v>
      </c>
      <c r="AP20" s="6">
        <f>Datos_originales!$P7/Datos_originales!$E7</f>
        <v>6.7056231439793087E-5</v>
      </c>
      <c r="AQ20" s="6">
        <f>Datos_originales!$Q7/Datos_originales!$E7</f>
        <v>0</v>
      </c>
      <c r="AR20" s="6">
        <f>Datos_originales!$R7/Datos_originales!$E7</f>
        <v>9.5794616342561537E-6</v>
      </c>
      <c r="AS20" s="6">
        <f>Datos_originales!$S7/Datos_originales!$E7</f>
        <v>1.1207970112079701E-3</v>
      </c>
      <c r="AT20" s="6">
        <f>Datos_originales!$T7/Datos_originales!$E7</f>
        <v>4.1191685027301467E-4</v>
      </c>
      <c r="AU20" s="6">
        <f>Datos_originales!$U7/Datos_originales!$E7</f>
        <v>9.2920777852284703E-4</v>
      </c>
      <c r="AV20" s="6">
        <f>Datos_originales!$V7/Datos_originales!$E7</f>
        <v>7.3761854583772387E-4</v>
      </c>
      <c r="AW20" s="6">
        <f>Datos_originales!$W7/Datos_originales!$E7</f>
        <v>1.5250502921735798E-2</v>
      </c>
      <c r="AX20" s="6">
        <f>Datos_originales!$X7/Datos_originales!$E7</f>
        <v>1.3411246287958617E-4</v>
      </c>
      <c r="AY20" s="6">
        <f>Datos_originales!$Y7/Datos_originales!$E7</f>
        <v>1.4177603218699108E-3</v>
      </c>
      <c r="AZ20" s="6">
        <f>Datos_originales!$Z7/Datos_originales!$E7</f>
        <v>1.9637896350225116E-3</v>
      </c>
      <c r="BA20" s="6">
        <f>Datos_originales!$AA7/Datos_originales!$E7</f>
        <v>7.8551585400900483E-3</v>
      </c>
      <c r="BB20" s="6">
        <f>Datos_originales!$AB7/Datos_originales!$E7</f>
        <v>7.9701120797011204E-3</v>
      </c>
      <c r="BC20" s="6">
        <f>Datos_originales!$AC7/Datos_originales!$E7</f>
        <v>8.0180093878724004E-3</v>
      </c>
      <c r="BD20" s="6">
        <f>Datos_originales!$AD7/Datos_originales!$E7</f>
        <v>9.5794616342561537E-6</v>
      </c>
      <c r="BE20" s="6">
        <f>Datos_originales!$AE7/Datos_originales!$E7</f>
        <v>8.6215154708305385E-5</v>
      </c>
      <c r="BF20" s="6">
        <f>Datos_originales!$AF7/Datos_originales!$E7</f>
        <v>4.1670658109014269E-3</v>
      </c>
      <c r="BG20" s="6">
        <f>Datos_originales!$AG7/Datos_originales!$E7</f>
        <v>4.5981415844429546E-4</v>
      </c>
    </row>
    <row r="21" spans="1:59" ht="15.75" customHeight="1">
      <c r="A21" s="2">
        <v>10702</v>
      </c>
      <c r="B21" s="3" t="s">
        <v>65</v>
      </c>
      <c r="C21" s="4" t="s">
        <v>139</v>
      </c>
      <c r="D21" s="4">
        <f>IF(Table_1[[#This Row],[Forest cover 2011]]&lt;1000,"Bosque menor a 1000 ha",Table_1[[#This Row],[Forest cover 2011]])</f>
        <v>40473.81</v>
      </c>
      <c r="E21" s="4">
        <v>40473.81</v>
      </c>
      <c r="F21" s="5">
        <f>AVERAGE(Datos_originales!$H76:$J76)</f>
        <v>0.42</v>
      </c>
      <c r="G21" s="5">
        <f>AVERAGE(Datos_originales!$R76:$T76)</f>
        <v>30.3</v>
      </c>
      <c r="H21" s="4">
        <v>26.28</v>
      </c>
      <c r="I21" s="4">
        <v>39.33</v>
      </c>
      <c r="J21" s="4">
        <v>64.62</v>
      </c>
      <c r="K21" s="4">
        <v>46.98</v>
      </c>
      <c r="L21" s="4">
        <v>45.18</v>
      </c>
      <c r="M21" s="4">
        <v>85.77</v>
      </c>
      <c r="N21" s="4">
        <v>89.01</v>
      </c>
      <c r="O21" s="4">
        <v>68.58</v>
      </c>
      <c r="P21" s="4">
        <v>30.15</v>
      </c>
      <c r="Q21" s="4">
        <v>10.44</v>
      </c>
      <c r="R21" s="4">
        <v>9.6300000000000008</v>
      </c>
      <c r="S21" s="4">
        <v>10.26</v>
      </c>
      <c r="T21" s="4">
        <v>39.6</v>
      </c>
      <c r="U21" s="4">
        <v>33.03</v>
      </c>
      <c r="V21" s="4">
        <v>51.93</v>
      </c>
      <c r="W21" s="4">
        <v>279</v>
      </c>
      <c r="X21" s="4">
        <v>54.72</v>
      </c>
      <c r="Y21" s="4">
        <v>51.39</v>
      </c>
      <c r="Z21" s="4">
        <v>92.88</v>
      </c>
      <c r="AA21" s="4">
        <v>97.649999999999991</v>
      </c>
      <c r="AB21" s="4">
        <v>80.819999999999993</v>
      </c>
      <c r="AC21" s="4">
        <v>36.9</v>
      </c>
      <c r="AD21" s="4">
        <v>28.35</v>
      </c>
      <c r="AE21" s="4">
        <v>11.34</v>
      </c>
      <c r="AF21" s="4">
        <v>13.59</v>
      </c>
      <c r="AG21" s="4">
        <v>829.44</v>
      </c>
      <c r="AH21" s="6">
        <f>Datos_originales!$H76/Datos_originales!$E76</f>
        <v>7.483429548856104E-4</v>
      </c>
      <c r="AI21" s="6">
        <f>Datos_originales!$I76/Datos_originales!$E76</f>
        <v>3.2071840923669022E-4</v>
      </c>
      <c r="AJ21" s="6">
        <f>Datos_originales!$J76/Datos_originales!$E76</f>
        <v>4.2762454564892024E-4</v>
      </c>
      <c r="AK21" s="6">
        <f>Datos_originales!$K76/Datos_originales!$E76</f>
        <v>0</v>
      </c>
      <c r="AL21" s="6">
        <f>Datos_originales!$L76/Datos_originales!$E76</f>
        <v>2.1381227282446012E-4</v>
      </c>
      <c r="AM21" s="6">
        <f>Datos_originales!$M76/Datos_originales!$E76</f>
        <v>2.1381227282446012E-4</v>
      </c>
      <c r="AN21" s="6">
        <f>Datos_originales!$N76/Datos_originales!$E76</f>
        <v>0</v>
      </c>
      <c r="AO21" s="6">
        <f>Datos_originales!$O76/Datos_originales!$E76</f>
        <v>1.603592046183451E-3</v>
      </c>
      <c r="AP21" s="6">
        <f>Datos_originales!$P76/Datos_originales!$E76</f>
        <v>1.0690613641223007E-3</v>
      </c>
      <c r="AQ21" s="6">
        <f>Datos_originales!$Q76/Datos_originales!$E76</f>
        <v>4.383151592901432E-3</v>
      </c>
      <c r="AR21" s="6">
        <f>Datos_originales!$R76/Datos_originales!$E76</f>
        <v>1.1866581141757537E-2</v>
      </c>
      <c r="AS21" s="6">
        <f>Datos_originales!$S76/Datos_originales!$E76</f>
        <v>7.8682916399401337E-2</v>
      </c>
      <c r="AT21" s="6">
        <f>Datos_originales!$T76/Datos_originales!$E76</f>
        <v>1.7425700235193499E-2</v>
      </c>
      <c r="AU21" s="6">
        <f>Datos_originales!$U76/Datos_originales!$E76</f>
        <v>4.5969638657258928E-3</v>
      </c>
      <c r="AV21" s="6">
        <f>Datos_originales!$V76/Datos_originales!$E76</f>
        <v>3.6348086380158223E-3</v>
      </c>
      <c r="AW21" s="6">
        <f>Datos_originales!$W76/Datos_originales!$E76</f>
        <v>2.1274321146033781E-2</v>
      </c>
      <c r="AX21" s="6">
        <f>Datos_originales!$X76/Datos_originales!$E76</f>
        <v>1.0690613641223007E-3</v>
      </c>
      <c r="AY21" s="6">
        <f>Datos_originales!$Y76/Datos_originales!$E76</f>
        <v>2.245028864656831E-3</v>
      </c>
      <c r="AZ21" s="6">
        <f>Datos_originales!$Z76/Datos_originales!$E76</f>
        <v>8.5524909129784047E-4</v>
      </c>
      <c r="BA21" s="6">
        <f>Datos_originales!$AA76/Datos_originales!$E76</f>
        <v>1.1759675005345307E-3</v>
      </c>
      <c r="BB21" s="6">
        <f>Datos_originales!$AB76/Datos_originales!$E76</f>
        <v>2.9933718195424416E-3</v>
      </c>
      <c r="BC21" s="6">
        <f>Datos_originales!$AC76/Datos_originales!$E76</f>
        <v>4.0624331836647421E-3</v>
      </c>
      <c r="BD21" s="6">
        <f>Datos_originales!$AD76/Datos_originales!$E76</f>
        <v>4.8107761385503527E-3</v>
      </c>
      <c r="BE21" s="6">
        <f>Datos_originales!$AE76/Datos_originales!$E76</f>
        <v>1.1866581141757537E-2</v>
      </c>
      <c r="BF21" s="6">
        <f>Datos_originales!$AF76/Datos_originales!$E76</f>
        <v>8.6807782766730804E-2</v>
      </c>
      <c r="BG21" s="6">
        <f>Datos_originales!$AG76/Datos_originales!$E76</f>
        <v>1.7853324780842419E-2</v>
      </c>
    </row>
    <row r="22" spans="1:59" ht="15.75" customHeight="1">
      <c r="A22" s="2">
        <v>10703</v>
      </c>
      <c r="B22" s="3" t="s">
        <v>65</v>
      </c>
      <c r="C22" s="4" t="s">
        <v>181</v>
      </c>
      <c r="D22" s="4">
        <f>IF(Table_1[[#This Row],[Forest cover 2011]]&lt;1000,"Bosque menor a 1000 ha",Table_1[[#This Row],[Forest cover 2011]])</f>
        <v>53681.22</v>
      </c>
      <c r="E22" s="4">
        <v>53681.22</v>
      </c>
      <c r="F22" s="5">
        <f>AVERAGE(Datos_originales!$H121:$J121)</f>
        <v>0.38999999999999996</v>
      </c>
      <c r="G22" s="5">
        <f>AVERAGE(Datos_originales!$R121:$T121)</f>
        <v>17.790000000000003</v>
      </c>
      <c r="H22" s="4">
        <v>35.909999999999997</v>
      </c>
      <c r="I22" s="4">
        <v>105.3</v>
      </c>
      <c r="J22" s="4">
        <v>77.490000000000009</v>
      </c>
      <c r="K22" s="4">
        <v>32.04</v>
      </c>
      <c r="L22" s="4">
        <v>96.66</v>
      </c>
      <c r="M22" s="4">
        <v>100.62</v>
      </c>
      <c r="N22" s="4">
        <v>95.67</v>
      </c>
      <c r="O22" s="4">
        <v>97.2</v>
      </c>
      <c r="P22" s="4">
        <v>136.97999999999999</v>
      </c>
      <c r="Q22" s="4">
        <v>34.56</v>
      </c>
      <c r="R22" s="4">
        <v>196.2</v>
      </c>
      <c r="S22" s="4">
        <v>648.36</v>
      </c>
      <c r="T22" s="4">
        <v>412.56</v>
      </c>
      <c r="U22" s="4">
        <v>64.53</v>
      </c>
      <c r="V22" s="4">
        <v>166.86</v>
      </c>
      <c r="W22" s="4">
        <v>259.2</v>
      </c>
      <c r="X22" s="4">
        <v>41.13</v>
      </c>
      <c r="Y22" s="4">
        <v>121.59</v>
      </c>
      <c r="Z22" s="4">
        <v>114.21</v>
      </c>
      <c r="AA22" s="4">
        <v>107.55</v>
      </c>
      <c r="AB22" s="4">
        <v>116.01</v>
      </c>
      <c r="AC22" s="4">
        <v>148.13999999999999</v>
      </c>
      <c r="AD22" s="4">
        <v>85.59</v>
      </c>
      <c r="AE22" s="4">
        <v>198.18</v>
      </c>
      <c r="AF22" s="4">
        <v>669.24</v>
      </c>
      <c r="AG22" s="4">
        <v>457.65</v>
      </c>
      <c r="AH22" s="6">
        <f>Datos_originales!$H121/Datos_originales!$E121</f>
        <v>4.8290182605876228E-5</v>
      </c>
      <c r="AI22" s="6">
        <f>Datos_originales!$I121/Datos_originales!$E121</f>
        <v>2.0695792545375527E-5</v>
      </c>
      <c r="AJ22" s="6">
        <f>Datos_originales!$J121/Datos_originales!$E121</f>
        <v>2.0695792545375527E-5</v>
      </c>
      <c r="AK22" s="6">
        <f>Datos_originales!$K121/Datos_originales!$E121</f>
        <v>1.3797195030250351E-5</v>
      </c>
      <c r="AL22" s="6">
        <f>Datos_originales!$L121/Datos_originales!$E121</f>
        <v>2.7594390060500701E-5</v>
      </c>
      <c r="AM22" s="6">
        <f>Datos_originales!$M121/Datos_originales!$E121</f>
        <v>6.8985975151251753E-6</v>
      </c>
      <c r="AN22" s="6">
        <f>Datos_originales!$N121/Datos_originales!$E121</f>
        <v>2.0695792545375527E-5</v>
      </c>
      <c r="AO22" s="6">
        <f>Datos_originales!$O121/Datos_originales!$E121</f>
        <v>4.8290182605876228E-5</v>
      </c>
      <c r="AP22" s="6">
        <f>Datos_originales!$P121/Datos_originales!$E121</f>
        <v>4.1391585090751053E-5</v>
      </c>
      <c r="AQ22" s="6">
        <f>Datos_originales!$Q121/Datos_originales!$E121</f>
        <v>2.4834951054450633E-4</v>
      </c>
      <c r="AR22" s="6">
        <f>Datos_originales!$R121/Datos_originales!$E121</f>
        <v>1.8281283415081716E-3</v>
      </c>
      <c r="AS22" s="6">
        <f>Datos_originales!$S121/Datos_originales!$E121</f>
        <v>1.0002966396931506E-3</v>
      </c>
      <c r="AT22" s="6">
        <f>Datos_originales!$T121/Datos_originales!$E121</f>
        <v>1.262443345267907E-3</v>
      </c>
      <c r="AU22" s="6">
        <f>Datos_originales!$U121/Datos_originales!$E121</f>
        <v>4.2081444842263571E-4</v>
      </c>
      <c r="AV22" s="6">
        <f>Datos_originales!$V121/Datos_originales!$E121</f>
        <v>8.4852749436039666E-4</v>
      </c>
      <c r="AW22" s="6">
        <f>Datos_originales!$W121/Datos_originales!$E121</f>
        <v>1.134129431486579E-2</v>
      </c>
      <c r="AX22" s="6">
        <f>Datos_originales!$X121/Datos_originales!$E121</f>
        <v>5.3119200866463844E-4</v>
      </c>
      <c r="AY22" s="6">
        <f>Datos_originales!$Y121/Datos_originales!$E121</f>
        <v>2.6904530308988184E-4</v>
      </c>
      <c r="AZ22" s="6">
        <f>Datos_originales!$Z121/Datos_originales!$E121</f>
        <v>3.5182847327138394E-4</v>
      </c>
      <c r="BA22" s="6">
        <f>Datos_originales!$AA121/Datos_originales!$E121</f>
        <v>4.0701725339238533E-4</v>
      </c>
      <c r="BB22" s="6">
        <f>Datos_originales!$AB121/Datos_originales!$E121</f>
        <v>3.5872707078650912E-4</v>
      </c>
      <c r="BC22" s="6">
        <f>Datos_originales!$AC121/Datos_originales!$E121</f>
        <v>3.9322005836213501E-4</v>
      </c>
      <c r="BD22" s="6">
        <f>Datos_originales!$AD121/Datos_originales!$E121</f>
        <v>2.6214670557475665E-4</v>
      </c>
      <c r="BE22" s="6">
        <f>Datos_originales!$AE121/Datos_originales!$E121</f>
        <v>2.1178694371434287E-3</v>
      </c>
      <c r="BF22" s="6">
        <f>Datos_originales!$AF121/Datos_originales!$E121</f>
        <v>3.0008899190794511E-3</v>
      </c>
      <c r="BG22" s="6">
        <f>Datos_originales!$AG121/Datos_originales!$E121</f>
        <v>1.3866181005401602E-3</v>
      </c>
    </row>
    <row r="23" spans="1:59" ht="15.75" customHeight="1">
      <c r="A23" s="2">
        <v>10704</v>
      </c>
      <c r="B23" s="3" t="s">
        <v>65</v>
      </c>
      <c r="C23" s="4" t="s">
        <v>229</v>
      </c>
      <c r="D23" s="4">
        <f>IF(Table_1[[#This Row],[Forest cover 2011]]&lt;1000,"Bosque menor a 1000 ha",Table_1[[#This Row],[Forest cover 2011]])</f>
        <v>10740.24</v>
      </c>
      <c r="E23" s="4">
        <v>10740.24</v>
      </c>
      <c r="F23" s="5">
        <f>AVERAGE(Datos_originales!$H171:$J171)</f>
        <v>0</v>
      </c>
      <c r="G23" s="5">
        <f>AVERAGE(Datos_originales!$R171:$T171)</f>
        <v>0</v>
      </c>
      <c r="H23" s="4">
        <v>4.32</v>
      </c>
      <c r="I23" s="4">
        <v>9.7199999999999989</v>
      </c>
      <c r="J23" s="4">
        <v>27.36</v>
      </c>
      <c r="K23" s="4">
        <v>13.14</v>
      </c>
      <c r="L23" s="4">
        <v>9.9</v>
      </c>
      <c r="M23" s="4">
        <v>25.02</v>
      </c>
      <c r="N23" s="4">
        <v>16.649999999999999</v>
      </c>
      <c r="O23" s="4">
        <v>27.99</v>
      </c>
      <c r="P23" s="4">
        <v>4.59</v>
      </c>
      <c r="Q23" s="4">
        <v>2.7</v>
      </c>
      <c r="R23" s="4">
        <v>1.17</v>
      </c>
      <c r="S23" s="4">
        <v>3.96</v>
      </c>
      <c r="T23" s="4">
        <v>14.31</v>
      </c>
      <c r="U23" s="4">
        <v>8.1</v>
      </c>
      <c r="V23" s="4">
        <v>14.13</v>
      </c>
      <c r="W23" s="4">
        <v>106.2</v>
      </c>
      <c r="X23" s="4">
        <v>15.57</v>
      </c>
      <c r="Y23" s="4">
        <v>12.42</v>
      </c>
      <c r="Z23" s="4">
        <v>29.79</v>
      </c>
      <c r="AA23" s="4">
        <v>20.34</v>
      </c>
      <c r="AB23" s="4">
        <v>32.85</v>
      </c>
      <c r="AC23" s="4">
        <v>8.2800000000000011</v>
      </c>
      <c r="AD23" s="4">
        <v>13.05</v>
      </c>
      <c r="AE23" s="4">
        <v>1.62</v>
      </c>
      <c r="AF23" s="4">
        <v>5.94</v>
      </c>
      <c r="AG23" s="4">
        <v>36.54</v>
      </c>
      <c r="AH23" s="6" t="e">
        <f>Datos_originales!$H171/Datos_originales!$E171</f>
        <v>#DIV/0!</v>
      </c>
      <c r="AI23" s="6" t="e">
        <f>Datos_originales!$I171/Datos_originales!$E171</f>
        <v>#DIV/0!</v>
      </c>
      <c r="AJ23" s="6" t="e">
        <f>Datos_originales!$J171/Datos_originales!$E171</f>
        <v>#DIV/0!</v>
      </c>
      <c r="AK23" s="6" t="e">
        <f>Datos_originales!$K171/Datos_originales!$E171</f>
        <v>#DIV/0!</v>
      </c>
      <c r="AL23" s="6" t="e">
        <f>Datos_originales!$L171/Datos_originales!$E171</f>
        <v>#DIV/0!</v>
      </c>
      <c r="AM23" s="6" t="e">
        <f>Datos_originales!$M171/Datos_originales!$E171</f>
        <v>#DIV/0!</v>
      </c>
      <c r="AN23" s="6" t="e">
        <f>Datos_originales!$N171/Datos_originales!$E171</f>
        <v>#DIV/0!</v>
      </c>
      <c r="AO23" s="6" t="e">
        <f>Datos_originales!$O171/Datos_originales!$E171</f>
        <v>#DIV/0!</v>
      </c>
      <c r="AP23" s="6" t="e">
        <f>Datos_originales!$P171/Datos_originales!$E171</f>
        <v>#DIV/0!</v>
      </c>
      <c r="AQ23" s="6" t="e">
        <f>Datos_originales!$Q171/Datos_originales!$E171</f>
        <v>#DIV/0!</v>
      </c>
      <c r="AR23" s="6" t="e">
        <f>Datos_originales!$R171/Datos_originales!$E171</f>
        <v>#DIV/0!</v>
      </c>
      <c r="AS23" s="6" t="e">
        <f>Datos_originales!$S171/Datos_originales!$E171</f>
        <v>#DIV/0!</v>
      </c>
      <c r="AT23" s="6" t="e">
        <f>Datos_originales!$T171/Datos_originales!$E171</f>
        <v>#DIV/0!</v>
      </c>
      <c r="AU23" s="6" t="e">
        <f>Datos_originales!$U171/Datos_originales!$E171</f>
        <v>#DIV/0!</v>
      </c>
      <c r="AV23" s="6" t="e">
        <f>Datos_originales!$V171/Datos_originales!$E171</f>
        <v>#DIV/0!</v>
      </c>
      <c r="AW23" s="6" t="e">
        <f>Datos_originales!$W171/Datos_originales!$E171</f>
        <v>#DIV/0!</v>
      </c>
      <c r="AX23" s="6" t="e">
        <f>Datos_originales!$X171/Datos_originales!$E171</f>
        <v>#DIV/0!</v>
      </c>
      <c r="AY23" s="6" t="e">
        <f>Datos_originales!$Y171/Datos_originales!$E171</f>
        <v>#DIV/0!</v>
      </c>
      <c r="AZ23" s="6" t="e">
        <f>Datos_originales!$Z171/Datos_originales!$E171</f>
        <v>#DIV/0!</v>
      </c>
      <c r="BA23" s="6" t="e">
        <f>Datos_originales!$AA171/Datos_originales!$E171</f>
        <v>#DIV/0!</v>
      </c>
      <c r="BB23" s="6" t="e">
        <f>Datos_originales!$AB171/Datos_originales!$E171</f>
        <v>#DIV/0!</v>
      </c>
      <c r="BC23" s="6" t="e">
        <f>Datos_originales!$AC171/Datos_originales!$E171</f>
        <v>#DIV/0!</v>
      </c>
      <c r="BD23" s="6" t="e">
        <f>Datos_originales!$AD171/Datos_originales!$E171</f>
        <v>#DIV/0!</v>
      </c>
      <c r="BE23" s="6" t="e">
        <f>Datos_originales!$AE171/Datos_originales!$E171</f>
        <v>#DIV/0!</v>
      </c>
      <c r="BF23" s="6" t="e">
        <f>Datos_originales!$AF171/Datos_originales!$E171</f>
        <v>#DIV/0!</v>
      </c>
      <c r="BG23" s="6" t="e">
        <f>Datos_originales!$AG171/Datos_originales!$E171</f>
        <v>#DIV/0!</v>
      </c>
    </row>
    <row r="24" spans="1:59" ht="15.75" customHeight="1">
      <c r="A24" s="2">
        <v>10801</v>
      </c>
      <c r="B24" s="3" t="s">
        <v>65</v>
      </c>
      <c r="C24" s="4" t="s">
        <v>218</v>
      </c>
      <c r="D24" s="4">
        <f>IF(Table_1[[#This Row],[Forest cover 2011]]&lt;1000,"Bosque menor a 1000 ha",Table_1[[#This Row],[Forest cover 2011]])</f>
        <v>99479.159999999989</v>
      </c>
      <c r="E24" s="4">
        <v>99479.159999999989</v>
      </c>
      <c r="F24" s="5">
        <f>AVERAGE(Datos_originales!$H160:$J160)</f>
        <v>0.03</v>
      </c>
      <c r="G24" s="5">
        <f>AVERAGE(Datos_originales!$R160:$T160)</f>
        <v>3.81</v>
      </c>
      <c r="H24" s="4">
        <v>69.03</v>
      </c>
      <c r="I24" s="4">
        <v>94.86</v>
      </c>
      <c r="J24" s="4">
        <v>138.24</v>
      </c>
      <c r="K24" s="4">
        <v>91.53</v>
      </c>
      <c r="L24" s="4">
        <v>44.91</v>
      </c>
      <c r="M24" s="4">
        <v>81.99</v>
      </c>
      <c r="N24" s="4">
        <v>156.87</v>
      </c>
      <c r="O24" s="4">
        <v>136.62</v>
      </c>
      <c r="P24" s="4">
        <v>160.83000000000001</v>
      </c>
      <c r="Q24" s="4">
        <v>118.44</v>
      </c>
      <c r="R24" s="4">
        <v>169.02</v>
      </c>
      <c r="S24" s="4">
        <v>789.21</v>
      </c>
      <c r="T24" s="4">
        <v>402.48</v>
      </c>
      <c r="U24" s="4">
        <v>236.88</v>
      </c>
      <c r="V24" s="4">
        <v>295.38</v>
      </c>
      <c r="W24" s="4">
        <v>1181.8800000000001</v>
      </c>
      <c r="X24" s="4">
        <v>145.62</v>
      </c>
      <c r="Y24" s="4">
        <v>80.010000000000005</v>
      </c>
      <c r="Z24" s="4">
        <v>110.07</v>
      </c>
      <c r="AA24" s="4">
        <v>198.54</v>
      </c>
      <c r="AB24" s="4">
        <v>235.53</v>
      </c>
      <c r="AC24" s="4">
        <v>223.56</v>
      </c>
      <c r="AD24" s="4">
        <v>187.02</v>
      </c>
      <c r="AE24" s="4">
        <v>319.23</v>
      </c>
      <c r="AF24" s="4">
        <v>1032.75</v>
      </c>
      <c r="AG24" s="4">
        <v>414.54</v>
      </c>
      <c r="AH24" s="6">
        <f>Datos_originales!$H160/Datos_originales!$E160</f>
        <v>0</v>
      </c>
      <c r="AI24" s="6">
        <f>Datos_originales!$I160/Datos_originales!$E160</f>
        <v>0</v>
      </c>
      <c r="AJ24" s="6">
        <f>Datos_originales!$J160/Datos_originales!$E160</f>
        <v>1.8793459875963165E-4</v>
      </c>
      <c r="AK24" s="6">
        <f>Datos_originales!$K160/Datos_originales!$E160</f>
        <v>1.8793459875963165E-4</v>
      </c>
      <c r="AL24" s="6">
        <f>Datos_originales!$L160/Datos_originales!$E160</f>
        <v>1.8793459875963165E-4</v>
      </c>
      <c r="AM24" s="6">
        <f>Datos_originales!$M160/Datos_originales!$E160</f>
        <v>0</v>
      </c>
      <c r="AN24" s="6">
        <f>Datos_originales!$N160/Datos_originales!$E160</f>
        <v>1.8793459875963165E-3</v>
      </c>
      <c r="AO24" s="6">
        <f>Datos_originales!$O160/Datos_originales!$E160</f>
        <v>5.6380379627889502E-4</v>
      </c>
      <c r="AP24" s="6">
        <f>Datos_originales!$P160/Datos_originales!$E160</f>
        <v>9.3967299379815825E-4</v>
      </c>
      <c r="AQ24" s="6">
        <f>Datos_originales!$Q160/Datos_originales!$E160</f>
        <v>6.0139071603082126E-3</v>
      </c>
      <c r="AR24" s="6">
        <f>Datos_originales!$R160/Datos_originales!$E160</f>
        <v>2.8190189813944752E-3</v>
      </c>
      <c r="AS24" s="6">
        <f>Datos_originales!$S160/Datos_originales!$E160</f>
        <v>2.1048675061078746E-2</v>
      </c>
      <c r="AT24" s="6">
        <f>Datos_originales!$T160/Datos_originales!$E160</f>
        <v>0</v>
      </c>
      <c r="AU24" s="6">
        <f>Datos_originales!$U160/Datos_originales!$E160</f>
        <v>6.0139071603082126E-3</v>
      </c>
      <c r="AV24" s="6">
        <f>Datos_originales!$V160/Datos_originales!$E160</f>
        <v>5.0742341665100553E-3</v>
      </c>
      <c r="AW24" s="6">
        <f>Datos_originales!$W160/Datos_originales!$E160</f>
        <v>2.0296936666040218E-2</v>
      </c>
      <c r="AX24" s="6">
        <f>Datos_originales!$X160/Datos_originales!$E160</f>
        <v>7.705318549144898E-3</v>
      </c>
      <c r="AY24" s="6">
        <f>Datos_originales!$Y160/Datos_originales!$E160</f>
        <v>8.0811877466641611E-3</v>
      </c>
      <c r="AZ24" s="6">
        <f>Datos_originales!$Z160/Datos_originales!$E160</f>
        <v>4.2849088517196016E-2</v>
      </c>
      <c r="BA24" s="6">
        <f>Datos_originales!$AA160/Datos_originales!$E160</f>
        <v>4.8111257282465701E-2</v>
      </c>
      <c r="BB24" s="6">
        <f>Datos_originales!$AB160/Datos_originales!$E160</f>
        <v>4.1345611727118967E-2</v>
      </c>
      <c r="BC24" s="6">
        <f>Datos_originales!$AC160/Datos_originales!$E160</f>
        <v>9.3967299379815825E-3</v>
      </c>
      <c r="BD24" s="6">
        <f>Datos_originales!$AD160/Datos_originales!$E160</f>
        <v>6.3897763578274766E-3</v>
      </c>
      <c r="BE24" s="6">
        <f>Datos_originales!$AE160/Datos_originales!$E160</f>
        <v>3.0069535801541063E-3</v>
      </c>
      <c r="BF24" s="6">
        <f>Datos_originales!$AF160/Datos_originales!$E160</f>
        <v>8.2503288855478321E-2</v>
      </c>
      <c r="BG24" s="6">
        <f>Datos_originales!$AG160/Datos_originales!$E160</f>
        <v>0</v>
      </c>
    </row>
    <row r="25" spans="1:59" ht="15.75" customHeight="1">
      <c r="A25" s="2">
        <v>10901</v>
      </c>
      <c r="B25" s="3" t="s">
        <v>65</v>
      </c>
      <c r="C25" s="4" t="s">
        <v>69</v>
      </c>
      <c r="D25" s="4" t="str">
        <f>IF(Table_1[[#This Row],[Forest cover 2011]]&lt;1000,"Bosque menor a 1000 ha",Table_1[[#This Row],[Forest cover 2011]])</f>
        <v>Bosque menor a 1000 ha</v>
      </c>
      <c r="E25" s="4">
        <v>120.96</v>
      </c>
      <c r="F25" s="5">
        <f>AVERAGE(Datos_originales!$H10:$J10)</f>
        <v>1.5599999999999998</v>
      </c>
      <c r="G25" s="5">
        <f>AVERAGE(Datos_originales!$R10:$T10)</f>
        <v>0.93</v>
      </c>
      <c r="H25" s="4">
        <v>1.26</v>
      </c>
      <c r="I25" s="4">
        <v>4.32</v>
      </c>
      <c r="J25" s="4">
        <v>2.88</v>
      </c>
      <c r="K25" s="4">
        <v>1.71</v>
      </c>
      <c r="L25" s="4">
        <v>3.69</v>
      </c>
      <c r="M25" s="4">
        <v>1.26</v>
      </c>
      <c r="N25" s="4">
        <v>1.26</v>
      </c>
      <c r="O25" s="4">
        <v>2.34</v>
      </c>
      <c r="P25" s="4">
        <v>1.17</v>
      </c>
      <c r="Q25" s="4">
        <v>0.89999999999999991</v>
      </c>
      <c r="R25" s="4">
        <v>0.09</v>
      </c>
      <c r="S25" s="4">
        <v>3.96</v>
      </c>
      <c r="T25" s="4">
        <v>37.44</v>
      </c>
      <c r="U25" s="4">
        <v>1.53</v>
      </c>
      <c r="V25" s="4">
        <v>5.4</v>
      </c>
      <c r="W25" s="4">
        <v>4.59</v>
      </c>
      <c r="X25" s="4">
        <v>1.89</v>
      </c>
      <c r="Y25" s="4">
        <v>4.32</v>
      </c>
      <c r="Z25" s="4">
        <v>1.62</v>
      </c>
      <c r="AA25" s="4">
        <v>1.53</v>
      </c>
      <c r="AB25" s="4">
        <v>2.79</v>
      </c>
      <c r="AC25" s="4">
        <v>1.17</v>
      </c>
      <c r="AD25" s="4">
        <v>1.17</v>
      </c>
      <c r="AE25" s="4">
        <v>0.18</v>
      </c>
      <c r="AF25" s="4">
        <v>3.96</v>
      </c>
      <c r="AG25" s="4">
        <v>58.59</v>
      </c>
      <c r="AH25" s="6">
        <f>Datos_originales!$H10/Datos_originales!$E10</f>
        <v>2.8062735804932807E-4</v>
      </c>
      <c r="AI25" s="6">
        <f>Datos_originales!$I10/Datos_originales!$E10</f>
        <v>6.547971687817654E-4</v>
      </c>
      <c r="AJ25" s="6">
        <f>Datos_originales!$J10/Datos_originales!$E10</f>
        <v>6.8597798634280197E-4</v>
      </c>
      <c r="AK25" s="6">
        <f>Datos_originales!$K10/Datos_originales!$E10</f>
        <v>4.3653144585451031E-4</v>
      </c>
      <c r="AL25" s="6">
        <f>Datos_originales!$L10/Datos_originales!$E10</f>
        <v>3.1180817561036447E-4</v>
      </c>
      <c r="AM25" s="6">
        <f>Datos_originales!$M10/Datos_originales!$E10</f>
        <v>4.9889308097658322E-4</v>
      </c>
      <c r="AN25" s="6">
        <f>Datos_originales!$N10/Datos_originales!$E10</f>
        <v>7.1715880390383832E-4</v>
      </c>
      <c r="AO25" s="6">
        <f>Datos_originales!$O10/Datos_originales!$E10</f>
        <v>7.7952043902591135E-4</v>
      </c>
      <c r="AP25" s="6">
        <f>Datos_originales!$P10/Datos_originales!$E10</f>
        <v>1.2472327024414581E-4</v>
      </c>
      <c r="AQ25" s="6">
        <f>Datos_originales!$Q10/Datos_originales!$E10</f>
        <v>5.924355336596926E-4</v>
      </c>
      <c r="AR25" s="6">
        <f>Datos_originales!$R10/Datos_originales!$E10</f>
        <v>0</v>
      </c>
      <c r="AS25" s="6">
        <f>Datos_originales!$S10/Datos_originales!$E10</f>
        <v>4.6771226341554682E-4</v>
      </c>
      <c r="AT25" s="6">
        <f>Datos_originales!$T10/Datos_originales!$E10</f>
        <v>4.9889308097658322E-4</v>
      </c>
      <c r="AU25" s="6">
        <f>Datos_originales!$U10/Datos_originales!$E10</f>
        <v>1.6837641482959685E-3</v>
      </c>
      <c r="AV25" s="6">
        <f>Datos_originales!$V10/Datos_originales!$E10</f>
        <v>1.9020298712232237E-3</v>
      </c>
      <c r="AW25" s="6">
        <f>Datos_originales!$W10/Datos_originales!$E10</f>
        <v>1.7523619469302486E-2</v>
      </c>
      <c r="AX25" s="6">
        <f>Datos_originales!$X10/Datos_originales!$E10</f>
        <v>9.0424370927005707E-4</v>
      </c>
      <c r="AY25" s="6">
        <f>Datos_originales!$Y10/Datos_originales!$E10</f>
        <v>1.1536902497583487E-3</v>
      </c>
      <c r="AZ25" s="6">
        <f>Datos_originales!$Z10/Datos_originales!$E10</f>
        <v>1.1848710673193852E-3</v>
      </c>
      <c r="BA25" s="6">
        <f>Datos_originales!$AA10/Datos_originales!$E10</f>
        <v>1.0913286146362758E-3</v>
      </c>
      <c r="BB25" s="6">
        <f>Datos_originales!$AB10/Datos_originales!$E10</f>
        <v>1.714944965857005E-3</v>
      </c>
      <c r="BC25" s="6">
        <f>Datos_originales!$AC10/Datos_originales!$E10</f>
        <v>7.1715880390383832E-4</v>
      </c>
      <c r="BD25" s="6">
        <f>Datos_originales!$AD10/Datos_originales!$E10</f>
        <v>1.8084874185401141E-3</v>
      </c>
      <c r="BE25" s="6">
        <f>Datos_originales!$AE10/Datos_originales!$E10</f>
        <v>2.8062735804932807E-4</v>
      </c>
      <c r="BF25" s="6">
        <f>Datos_originales!$AF10/Datos_originales!$E10</f>
        <v>9.6660534439212999E-4</v>
      </c>
      <c r="BG25" s="6">
        <f>Datos_originales!$AG10/Datos_originales!$E10</f>
        <v>5.6125471609865614E-4</v>
      </c>
    </row>
    <row r="26" spans="1:59" ht="15.75" customHeight="1">
      <c r="A26" s="2">
        <v>10902</v>
      </c>
      <c r="B26" s="3" t="s">
        <v>65</v>
      </c>
      <c r="C26" s="4" t="s">
        <v>214</v>
      </c>
      <c r="D26" s="4">
        <f>IF(Table_1[[#This Row],[Forest cover 2011]]&lt;1000,"Bosque menor a 1000 ha",Table_1[[#This Row],[Forest cover 2011]])</f>
        <v>232980.57</v>
      </c>
      <c r="E26" s="4">
        <v>232980.57</v>
      </c>
      <c r="F26" s="5">
        <f>AVERAGE(Datos_originales!$H156:$J156)</f>
        <v>0.03</v>
      </c>
      <c r="G26" s="5">
        <f>AVERAGE(Datos_originales!$R156:$T156)</f>
        <v>1.7699999999999998</v>
      </c>
      <c r="H26" s="4">
        <v>419.76</v>
      </c>
      <c r="I26" s="4">
        <v>561.41999999999996</v>
      </c>
      <c r="J26" s="4">
        <v>504.63</v>
      </c>
      <c r="K26" s="4">
        <v>246.51</v>
      </c>
      <c r="L26" s="4">
        <v>385.83</v>
      </c>
      <c r="M26" s="4">
        <v>660.51</v>
      </c>
      <c r="N26" s="4">
        <v>330.75</v>
      </c>
      <c r="O26" s="4">
        <v>913.13999999999987</v>
      </c>
      <c r="P26" s="4">
        <v>634.7700000000001</v>
      </c>
      <c r="Q26" s="4">
        <v>499.86</v>
      </c>
      <c r="R26" s="4">
        <v>280.44</v>
      </c>
      <c r="S26" s="4">
        <v>2403.36</v>
      </c>
      <c r="T26" s="4">
        <v>858.78</v>
      </c>
      <c r="U26" s="4">
        <v>460.53</v>
      </c>
      <c r="V26" s="4">
        <v>597.87</v>
      </c>
      <c r="W26" s="4">
        <v>826.83</v>
      </c>
      <c r="X26" s="4">
        <v>296.01</v>
      </c>
      <c r="Y26" s="4">
        <v>420.48</v>
      </c>
      <c r="Z26" s="4">
        <v>690.03</v>
      </c>
      <c r="AA26" s="4">
        <v>360.72</v>
      </c>
      <c r="AB26" s="4">
        <v>942.38999999999987</v>
      </c>
      <c r="AC26" s="4">
        <v>654.57000000000005</v>
      </c>
      <c r="AD26" s="4">
        <v>536.66999999999996</v>
      </c>
      <c r="AE26" s="4">
        <v>283.68</v>
      </c>
      <c r="AF26" s="4">
        <v>2493.63</v>
      </c>
      <c r="AG26" s="4">
        <v>1014.93</v>
      </c>
      <c r="AH26" s="6">
        <f>Datos_originales!$H156/Datos_originales!$E156</f>
        <v>0</v>
      </c>
      <c r="AI26" s="6">
        <f>Datos_originales!$I156/Datos_originales!$E156</f>
        <v>0</v>
      </c>
      <c r="AJ26" s="6">
        <f>Datos_originales!$J156/Datos_originales!$E156</f>
        <v>1.3078733978550875E-4</v>
      </c>
      <c r="AK26" s="6">
        <f>Datos_originales!$K156/Datos_originales!$E156</f>
        <v>0</v>
      </c>
      <c r="AL26" s="6">
        <f>Datos_originales!$L156/Datos_originales!$E156</f>
        <v>1.3078733978550875E-4</v>
      </c>
      <c r="AM26" s="6">
        <f>Datos_originales!$M156/Datos_originales!$E156</f>
        <v>0</v>
      </c>
      <c r="AN26" s="6">
        <f>Datos_originales!$N156/Datos_originales!$E156</f>
        <v>1.3078733978550875E-4</v>
      </c>
      <c r="AO26" s="6">
        <f>Datos_originales!$O156/Datos_originales!$E156</f>
        <v>0</v>
      </c>
      <c r="AP26" s="6">
        <f>Datos_originales!$P156/Datos_originales!$E156</f>
        <v>0</v>
      </c>
      <c r="AQ26" s="6">
        <f>Datos_originales!$Q156/Datos_originales!$E156</f>
        <v>6.5393669892754381E-4</v>
      </c>
      <c r="AR26" s="6">
        <f>Datos_originales!$R156/Datos_originales!$E156</f>
        <v>2.4849594559246666E-3</v>
      </c>
      <c r="AS26" s="6">
        <f>Datos_originales!$S156/Datos_originales!$E156</f>
        <v>4.9699189118493333E-3</v>
      </c>
      <c r="AT26" s="6">
        <f>Datos_originales!$T156/Datos_originales!$E156</f>
        <v>2.615746795710175E-4</v>
      </c>
      <c r="AU26" s="6">
        <f>Datos_originales!$U156/Datos_originales!$E156</f>
        <v>1.8310227569971228E-3</v>
      </c>
      <c r="AV26" s="6">
        <f>Datos_originales!$V156/Datos_originales!$E156</f>
        <v>3.5312581742087371E-3</v>
      </c>
      <c r="AW26" s="6">
        <f>Datos_originales!$W156/Datos_originales!$E156</f>
        <v>1.9487313628040806E-2</v>
      </c>
      <c r="AX26" s="6">
        <f>Datos_originales!$X156/Datos_originales!$E156</f>
        <v>7.5856657075595076E-3</v>
      </c>
      <c r="AY26" s="6">
        <f>Datos_originales!$Y156/Datos_originales!$E156</f>
        <v>4.8391315720638243E-3</v>
      </c>
      <c r="AZ26" s="6">
        <f>Datos_originales!$Z156/Datos_originales!$E156</f>
        <v>1.7394716191472665E-2</v>
      </c>
      <c r="BA26" s="6">
        <f>Datos_originales!$AA156/Datos_originales!$E156</f>
        <v>3.478943238294533E-2</v>
      </c>
      <c r="BB26" s="6">
        <f>Datos_originales!$AB156/Datos_originales!$E156</f>
        <v>3.5574156421658384E-2</v>
      </c>
      <c r="BC26" s="6">
        <f>Datos_originales!$AC156/Datos_originales!$E156</f>
        <v>1.5171331415119015E-2</v>
      </c>
      <c r="BD26" s="6">
        <f>Datos_originales!$AD156/Datos_originales!$E156</f>
        <v>2.09259743656814E-3</v>
      </c>
      <c r="BE26" s="6">
        <f>Datos_originales!$AE156/Datos_originales!$E156</f>
        <v>3.5312581742087371E-3</v>
      </c>
      <c r="BF26" s="6">
        <f>Datos_originales!$AF156/Datos_originales!$E156</f>
        <v>4.1590374051791786E-2</v>
      </c>
      <c r="BG26" s="6">
        <f>Datos_originales!$AG156/Datos_originales!$E156</f>
        <v>2.615746795710175E-4</v>
      </c>
    </row>
    <row r="27" spans="1:59" ht="15.75" customHeight="1">
      <c r="A27" s="2">
        <v>10903</v>
      </c>
      <c r="B27" s="3" t="s">
        <v>65</v>
      </c>
      <c r="C27" s="4" t="s">
        <v>71</v>
      </c>
      <c r="D27" s="4" t="str">
        <f>IF(Table_1[[#This Row],[Forest cover 2011]]&lt;1000,"Bosque menor a 1000 ha",Table_1[[#This Row],[Forest cover 2011]])</f>
        <v>Bosque menor a 1000 ha</v>
      </c>
      <c r="E27" s="4">
        <v>83.52</v>
      </c>
      <c r="F27" s="5">
        <f>AVERAGE(Datos_originales!$H12:$J12)</f>
        <v>2.67</v>
      </c>
      <c r="G27" s="5">
        <f>AVERAGE(Datos_originales!$R12:$T12)</f>
        <v>22.8</v>
      </c>
      <c r="H27" s="4">
        <v>0.99</v>
      </c>
      <c r="I27" s="4">
        <v>4.32</v>
      </c>
      <c r="J27" s="4">
        <v>3.51</v>
      </c>
      <c r="K27" s="4">
        <v>1.44</v>
      </c>
      <c r="L27" s="4">
        <v>1.8</v>
      </c>
      <c r="M27" s="4">
        <v>2.52</v>
      </c>
      <c r="N27" s="4">
        <v>2.25</v>
      </c>
      <c r="O27" s="4">
        <v>1.98</v>
      </c>
      <c r="P27" s="4">
        <v>0.99</v>
      </c>
      <c r="Q27" s="4">
        <v>0.9</v>
      </c>
      <c r="R27" s="4">
        <v>0</v>
      </c>
      <c r="S27" s="4">
        <v>2.16</v>
      </c>
      <c r="T27" s="4">
        <v>20.79</v>
      </c>
      <c r="U27" s="4">
        <v>1.08</v>
      </c>
      <c r="V27" s="4">
        <v>4.95</v>
      </c>
      <c r="W27" s="4">
        <v>5.13</v>
      </c>
      <c r="X27" s="4">
        <v>1.98</v>
      </c>
      <c r="Y27" s="4">
        <v>1.89</v>
      </c>
      <c r="Z27" s="4">
        <v>2.7</v>
      </c>
      <c r="AA27" s="4">
        <v>2.61</v>
      </c>
      <c r="AB27" s="4">
        <v>2.4300000000000002</v>
      </c>
      <c r="AC27" s="4">
        <v>0.99</v>
      </c>
      <c r="AD27" s="4">
        <v>0.99</v>
      </c>
      <c r="AE27" s="4">
        <v>0</v>
      </c>
      <c r="AF27" s="4">
        <v>2.16</v>
      </c>
      <c r="AG27" s="4">
        <v>35.729999999999997</v>
      </c>
      <c r="AH27" s="6">
        <f>Datos_originales!$H12/Datos_originales!$E12</f>
        <v>1.3334895805973225E-4</v>
      </c>
      <c r="AI27" s="6">
        <f>Datos_originales!$I12/Datos_originales!$E12</f>
        <v>1.1314457047492434E-4</v>
      </c>
      <c r="AJ27" s="6">
        <f>Datos_originales!$J12/Datos_originales!$E12</f>
        <v>1.1314457047492434E-4</v>
      </c>
      <c r="AK27" s="6">
        <f>Datos_originales!$K12/Datos_originales!$E12</f>
        <v>6.0613162754423759E-5</v>
      </c>
      <c r="AL27" s="6">
        <f>Datos_originales!$L12/Datos_originales!$E12</f>
        <v>1.6567597819542492E-4</v>
      </c>
      <c r="AM27" s="6">
        <f>Datos_originales!$M12/Datos_originales!$E12</f>
        <v>5.6572285237462169E-5</v>
      </c>
      <c r="AN27" s="6">
        <f>Datos_originales!$N12/Datos_originales!$E12</f>
        <v>1.7375773322934808E-4</v>
      </c>
      <c r="AO27" s="6">
        <f>Datos_originales!$O12/Datos_originales!$E12</f>
        <v>9.6981060407078006E-5</v>
      </c>
      <c r="AP27" s="6">
        <f>Datos_originales!$P12/Datos_originales!$E12</f>
        <v>2.1820738591592548E-4</v>
      </c>
      <c r="AQ27" s="6">
        <f>Datos_originales!$Q12/Datos_originales!$E12</f>
        <v>4.040877516961583E-6</v>
      </c>
      <c r="AR27" s="6">
        <f>Datos_originales!$R12/Datos_originales!$E12</f>
        <v>2.5053440605161818E-4</v>
      </c>
      <c r="AS27" s="6">
        <f>Datos_originales!$S12/Datos_originales!$E12</f>
        <v>1.9355803306245986E-3</v>
      </c>
      <c r="AT27" s="6">
        <f>Datos_originales!$T12/Datos_originales!$E12</f>
        <v>8.8495217621458681E-4</v>
      </c>
      <c r="AU27" s="6">
        <f>Datos_originales!$U12/Datos_originales!$E12</f>
        <v>7.4352146312093128E-4</v>
      </c>
      <c r="AV27" s="6">
        <f>Datos_originales!$V12/Datos_originales!$E12</f>
        <v>8.5262515607889403E-4</v>
      </c>
      <c r="AW27" s="6">
        <f>Datos_originales!$W12/Datos_originales!$E12</f>
        <v>1.3229832990532226E-2</v>
      </c>
      <c r="AX27" s="6">
        <f>Datos_originales!$X12/Datos_originales!$E12</f>
        <v>3.636789765265425E-4</v>
      </c>
      <c r="AY27" s="6">
        <f>Datos_originales!$Y12/Datos_originales!$E12</f>
        <v>8.0817550339231672E-4</v>
      </c>
      <c r="AZ27" s="6">
        <f>Datos_originales!$Z12/Datos_originales!$E12</f>
        <v>5.3743670975589064E-4</v>
      </c>
      <c r="BA27" s="6">
        <f>Datos_originales!$AA12/Datos_originales!$E12</f>
        <v>1.0789142970287428E-3</v>
      </c>
      <c r="BB27" s="6">
        <f>Datos_originales!$AB12/Datos_originales!$E12</f>
        <v>1.4425932735552855E-3</v>
      </c>
      <c r="BC27" s="6">
        <f>Datos_originales!$AC12/Datos_originales!$E12</f>
        <v>2.1457059615066008E-3</v>
      </c>
      <c r="BD27" s="6">
        <f>Datos_originales!$AD12/Datos_originales!$E12</f>
        <v>8.0817550339231661E-6</v>
      </c>
      <c r="BE27" s="6">
        <f>Datos_originales!$AE12/Datos_originales!$E12</f>
        <v>1.7981904950479044E-3</v>
      </c>
      <c r="BF27" s="6">
        <f>Datos_originales!$AF12/Datos_originales!$E12</f>
        <v>5.992621357654028E-3</v>
      </c>
      <c r="BG27" s="6">
        <f>Datos_originales!$AG12/Datos_originales!$E12</f>
        <v>9.3344270641812575E-4</v>
      </c>
    </row>
    <row r="28" spans="1:59" ht="15.75" customHeight="1">
      <c r="A28" s="2">
        <v>11001</v>
      </c>
      <c r="B28" s="3" t="s">
        <v>65</v>
      </c>
      <c r="C28" s="4" t="s">
        <v>230</v>
      </c>
      <c r="D28" s="4">
        <f>IF(Table_1[[#This Row],[Forest cover 2011]]&lt;1000,"Bosque menor a 1000 ha",Table_1[[#This Row],[Forest cover 2011]])</f>
        <v>345973.68</v>
      </c>
      <c r="E28" s="4">
        <v>345973.68</v>
      </c>
      <c r="F28" s="5">
        <f>AVERAGE(Datos_originales!$H172:$J172)</f>
        <v>0</v>
      </c>
      <c r="G28" s="5">
        <f>AVERAGE(Datos_originales!$R172:$T172)</f>
        <v>0</v>
      </c>
      <c r="H28" s="4">
        <v>605.16</v>
      </c>
      <c r="I28" s="4">
        <v>1157.58</v>
      </c>
      <c r="J28" s="4">
        <v>688.31999999999994</v>
      </c>
      <c r="K28" s="4">
        <v>385.92</v>
      </c>
      <c r="L28" s="4">
        <v>561.78</v>
      </c>
      <c r="M28" s="4">
        <v>597.96</v>
      </c>
      <c r="N28" s="4">
        <v>1020.15</v>
      </c>
      <c r="O28" s="4">
        <v>670.5</v>
      </c>
      <c r="P28" s="4">
        <v>685.17000000000007</v>
      </c>
      <c r="Q28" s="4">
        <v>1112.76</v>
      </c>
      <c r="R28" s="4">
        <v>338.58</v>
      </c>
      <c r="S28" s="4">
        <v>2304.1799999999998</v>
      </c>
      <c r="T28" s="4">
        <v>925.11</v>
      </c>
      <c r="U28" s="4">
        <v>677.97</v>
      </c>
      <c r="V28" s="4">
        <v>1210.5</v>
      </c>
      <c r="W28" s="4">
        <v>1082.52</v>
      </c>
      <c r="X28" s="4">
        <v>438.48</v>
      </c>
      <c r="Y28" s="4">
        <v>616.77</v>
      </c>
      <c r="Z28" s="4">
        <v>649.79999999999995</v>
      </c>
      <c r="AA28" s="4">
        <v>1066.8599999999999</v>
      </c>
      <c r="AB28" s="4">
        <v>1153.44</v>
      </c>
      <c r="AC28" s="4">
        <v>750.6</v>
      </c>
      <c r="AD28" s="4">
        <v>1230.3900000000001</v>
      </c>
      <c r="AE28" s="4">
        <v>412.11</v>
      </c>
      <c r="AF28" s="4">
        <v>2467.17</v>
      </c>
      <c r="AG28" s="4">
        <v>1100.43</v>
      </c>
      <c r="AH28" s="6" t="e">
        <f>Datos_originales!$H172/Datos_originales!$E172</f>
        <v>#DIV/0!</v>
      </c>
      <c r="AI28" s="6" t="e">
        <f>Datos_originales!$I172/Datos_originales!$E172</f>
        <v>#DIV/0!</v>
      </c>
      <c r="AJ28" s="6" t="e">
        <f>Datos_originales!$J172/Datos_originales!$E172</f>
        <v>#DIV/0!</v>
      </c>
      <c r="AK28" s="6" t="e">
        <f>Datos_originales!$K172/Datos_originales!$E172</f>
        <v>#DIV/0!</v>
      </c>
      <c r="AL28" s="6" t="e">
        <f>Datos_originales!$L172/Datos_originales!$E172</f>
        <v>#DIV/0!</v>
      </c>
      <c r="AM28" s="6" t="e">
        <f>Datos_originales!$M172/Datos_originales!$E172</f>
        <v>#DIV/0!</v>
      </c>
      <c r="AN28" s="6" t="e">
        <f>Datos_originales!$N172/Datos_originales!$E172</f>
        <v>#DIV/0!</v>
      </c>
      <c r="AO28" s="6" t="e">
        <f>Datos_originales!$O172/Datos_originales!$E172</f>
        <v>#DIV/0!</v>
      </c>
      <c r="AP28" s="6" t="e">
        <f>Datos_originales!$P172/Datos_originales!$E172</f>
        <v>#DIV/0!</v>
      </c>
      <c r="AQ28" s="6" t="e">
        <f>Datos_originales!$Q172/Datos_originales!$E172</f>
        <v>#DIV/0!</v>
      </c>
      <c r="AR28" s="6" t="e">
        <f>Datos_originales!$R172/Datos_originales!$E172</f>
        <v>#DIV/0!</v>
      </c>
      <c r="AS28" s="6" t="e">
        <f>Datos_originales!$S172/Datos_originales!$E172</f>
        <v>#DIV/0!</v>
      </c>
      <c r="AT28" s="6" t="e">
        <f>Datos_originales!$T172/Datos_originales!$E172</f>
        <v>#DIV/0!</v>
      </c>
      <c r="AU28" s="6" t="e">
        <f>Datos_originales!$U172/Datos_originales!$E172</f>
        <v>#DIV/0!</v>
      </c>
      <c r="AV28" s="6" t="e">
        <f>Datos_originales!$V172/Datos_originales!$E172</f>
        <v>#DIV/0!</v>
      </c>
      <c r="AW28" s="6" t="e">
        <f>Datos_originales!$W172/Datos_originales!$E172</f>
        <v>#DIV/0!</v>
      </c>
      <c r="AX28" s="6" t="e">
        <f>Datos_originales!$X172/Datos_originales!$E172</f>
        <v>#DIV/0!</v>
      </c>
      <c r="AY28" s="6" t="e">
        <f>Datos_originales!$Y172/Datos_originales!$E172</f>
        <v>#DIV/0!</v>
      </c>
      <c r="AZ28" s="6" t="e">
        <f>Datos_originales!$Z172/Datos_originales!$E172</f>
        <v>#DIV/0!</v>
      </c>
      <c r="BA28" s="6" t="e">
        <f>Datos_originales!$AA172/Datos_originales!$E172</f>
        <v>#DIV/0!</v>
      </c>
      <c r="BB28" s="6" t="e">
        <f>Datos_originales!$AB172/Datos_originales!$E172</f>
        <v>#DIV/0!</v>
      </c>
      <c r="BC28" s="6" t="e">
        <f>Datos_originales!$AC172/Datos_originales!$E172</f>
        <v>#DIV/0!</v>
      </c>
      <c r="BD28" s="6" t="e">
        <f>Datos_originales!$AD172/Datos_originales!$E172</f>
        <v>#DIV/0!</v>
      </c>
      <c r="BE28" s="6" t="e">
        <f>Datos_originales!$AE172/Datos_originales!$E172</f>
        <v>#DIV/0!</v>
      </c>
      <c r="BF28" s="6" t="e">
        <f>Datos_originales!$AF172/Datos_originales!$E172</f>
        <v>#DIV/0!</v>
      </c>
      <c r="BG28" s="6" t="e">
        <f>Datos_originales!$AG172/Datos_originales!$E172</f>
        <v>#DIV/0!</v>
      </c>
    </row>
    <row r="29" spans="1:59" ht="15.75" customHeight="1">
      <c r="A29" s="2">
        <v>11002</v>
      </c>
      <c r="B29" s="3" t="s">
        <v>65</v>
      </c>
      <c r="C29" s="4" t="s">
        <v>245</v>
      </c>
      <c r="D29" s="4">
        <f>IF(Table_1[[#This Row],[Forest cover 2011]]&lt;1000,"Bosque menor a 1000 ha",Table_1[[#This Row],[Forest cover 2011]])</f>
        <v>121391.55</v>
      </c>
      <c r="E29" s="4">
        <v>121391.55</v>
      </c>
      <c r="F29" s="5">
        <f>AVERAGE(Datos_originales!$H188:$J188)</f>
        <v>0</v>
      </c>
      <c r="G29" s="5">
        <f>AVERAGE(Datos_originales!$R188:$T188)</f>
        <v>0</v>
      </c>
      <c r="H29" s="4">
        <v>36.630000000000003</v>
      </c>
      <c r="I29" s="4">
        <v>79.739999999999995</v>
      </c>
      <c r="J29" s="4">
        <v>58.41</v>
      </c>
      <c r="K29" s="4">
        <v>28.35</v>
      </c>
      <c r="L29" s="4">
        <v>77.489999999999995</v>
      </c>
      <c r="M29" s="4">
        <v>112.86</v>
      </c>
      <c r="N29" s="4">
        <v>159.47999999999999</v>
      </c>
      <c r="O29" s="4">
        <v>49.05</v>
      </c>
      <c r="P29" s="4">
        <v>72</v>
      </c>
      <c r="Q29" s="4">
        <v>291.42</v>
      </c>
      <c r="R29" s="4">
        <v>63.72</v>
      </c>
      <c r="S29" s="4">
        <v>65.97</v>
      </c>
      <c r="T29" s="4">
        <v>231.66</v>
      </c>
      <c r="U29" s="4">
        <v>67.5</v>
      </c>
      <c r="V29" s="4">
        <v>98.01</v>
      </c>
      <c r="W29" s="4">
        <v>118.44</v>
      </c>
      <c r="X29" s="4">
        <v>42.3</v>
      </c>
      <c r="Y29" s="4">
        <v>101.88</v>
      </c>
      <c r="Z29" s="4">
        <v>132.75</v>
      </c>
      <c r="AA29" s="4">
        <v>169.02</v>
      </c>
      <c r="AB29" s="4">
        <v>61.38</v>
      </c>
      <c r="AC29" s="4">
        <v>87.210000000000008</v>
      </c>
      <c r="AD29" s="4">
        <v>366.48</v>
      </c>
      <c r="AE29" s="4">
        <v>82.62</v>
      </c>
      <c r="AF29" s="4">
        <v>168.12</v>
      </c>
      <c r="AG29" s="4">
        <v>277.38</v>
      </c>
      <c r="AH29" s="6" t="e">
        <f>Datos_originales!$H188/Datos_originales!$E188</f>
        <v>#DIV/0!</v>
      </c>
      <c r="AI29" s="6" t="e">
        <f>Datos_originales!$I188/Datos_originales!$E188</f>
        <v>#DIV/0!</v>
      </c>
      <c r="AJ29" s="6" t="e">
        <f>Datos_originales!$J188/Datos_originales!$E188</f>
        <v>#DIV/0!</v>
      </c>
      <c r="AK29" s="6" t="e">
        <f>Datos_originales!$K188/Datos_originales!$E188</f>
        <v>#DIV/0!</v>
      </c>
      <c r="AL29" s="6" t="e">
        <f>Datos_originales!$L188/Datos_originales!$E188</f>
        <v>#DIV/0!</v>
      </c>
      <c r="AM29" s="6" t="e">
        <f>Datos_originales!$M188/Datos_originales!$E188</f>
        <v>#DIV/0!</v>
      </c>
      <c r="AN29" s="6" t="e">
        <f>Datos_originales!$N188/Datos_originales!$E188</f>
        <v>#DIV/0!</v>
      </c>
      <c r="AO29" s="6" t="e">
        <f>Datos_originales!$O188/Datos_originales!$E188</f>
        <v>#DIV/0!</v>
      </c>
      <c r="AP29" s="6" t="e">
        <f>Datos_originales!$P188/Datos_originales!$E188</f>
        <v>#DIV/0!</v>
      </c>
      <c r="AQ29" s="6" t="e">
        <f>Datos_originales!$Q188/Datos_originales!$E188</f>
        <v>#DIV/0!</v>
      </c>
      <c r="AR29" s="6" t="e">
        <f>Datos_originales!$R188/Datos_originales!$E188</f>
        <v>#DIV/0!</v>
      </c>
      <c r="AS29" s="6" t="e">
        <f>Datos_originales!$S188/Datos_originales!$E188</f>
        <v>#DIV/0!</v>
      </c>
      <c r="AT29" s="6" t="e">
        <f>Datos_originales!$T188/Datos_originales!$E188</f>
        <v>#DIV/0!</v>
      </c>
      <c r="AU29" s="6" t="e">
        <f>Datos_originales!$U188/Datos_originales!$E188</f>
        <v>#DIV/0!</v>
      </c>
      <c r="AV29" s="6" t="e">
        <f>Datos_originales!$V188/Datos_originales!$E188</f>
        <v>#DIV/0!</v>
      </c>
      <c r="AW29" s="6" t="e">
        <f>Datos_originales!$W188/Datos_originales!$E188</f>
        <v>#DIV/0!</v>
      </c>
      <c r="AX29" s="6" t="e">
        <f>Datos_originales!$X188/Datos_originales!$E188</f>
        <v>#DIV/0!</v>
      </c>
      <c r="AY29" s="6" t="e">
        <f>Datos_originales!$Y188/Datos_originales!$E188</f>
        <v>#DIV/0!</v>
      </c>
      <c r="AZ29" s="6" t="e">
        <f>Datos_originales!$Z188/Datos_originales!$E188</f>
        <v>#DIV/0!</v>
      </c>
      <c r="BA29" s="6" t="e">
        <f>Datos_originales!$AA188/Datos_originales!$E188</f>
        <v>#DIV/0!</v>
      </c>
      <c r="BB29" s="6" t="e">
        <f>Datos_originales!$AB188/Datos_originales!$E188</f>
        <v>#DIV/0!</v>
      </c>
      <c r="BC29" s="6" t="e">
        <f>Datos_originales!$AC188/Datos_originales!$E188</f>
        <v>#DIV/0!</v>
      </c>
      <c r="BD29" s="6" t="e">
        <f>Datos_originales!$AD188/Datos_originales!$E188</f>
        <v>#DIV/0!</v>
      </c>
      <c r="BE29" s="6" t="e">
        <f>Datos_originales!$AE188/Datos_originales!$E188</f>
        <v>#DIV/0!</v>
      </c>
      <c r="BF29" s="6" t="e">
        <f>Datos_originales!$AF188/Datos_originales!$E188</f>
        <v>#DIV/0!</v>
      </c>
      <c r="BG29" s="6" t="e">
        <f>Datos_originales!$AG188/Datos_originales!$E188</f>
        <v>#DIV/0!</v>
      </c>
    </row>
    <row r="30" spans="1:59" ht="15.75" customHeight="1">
      <c r="A30" s="2">
        <v>11003</v>
      </c>
      <c r="B30" s="3" t="s">
        <v>65</v>
      </c>
      <c r="C30" s="4" t="s">
        <v>225</v>
      </c>
      <c r="D30" s="4">
        <f>IF(Table_1[[#This Row],[Forest cover 2011]]&lt;1000,"Bosque menor a 1000 ha",Table_1[[#This Row],[Forest cover 2011]])</f>
        <v>765965.88</v>
      </c>
      <c r="E30" s="4">
        <v>765965.88</v>
      </c>
      <c r="F30" s="5">
        <f>AVERAGE(Datos_originales!$H167:$J167)</f>
        <v>0</v>
      </c>
      <c r="G30" s="5">
        <f>AVERAGE(Datos_originales!$R167:$T167)</f>
        <v>0</v>
      </c>
      <c r="H30" s="4">
        <v>672.66</v>
      </c>
      <c r="I30" s="4">
        <v>876.06</v>
      </c>
      <c r="J30" s="4">
        <v>577.35</v>
      </c>
      <c r="K30" s="4">
        <v>750.87</v>
      </c>
      <c r="L30" s="4">
        <v>496.71</v>
      </c>
      <c r="M30" s="4">
        <v>1276.2</v>
      </c>
      <c r="N30" s="4">
        <v>520.83000000000004</v>
      </c>
      <c r="O30" s="4">
        <v>3744.9</v>
      </c>
      <c r="P30" s="4">
        <v>4122.09</v>
      </c>
      <c r="Q30" s="4">
        <v>4566.0600000000004</v>
      </c>
      <c r="R30" s="4">
        <v>4370.9400000000014</v>
      </c>
      <c r="S30" s="4">
        <v>3645.36</v>
      </c>
      <c r="T30" s="4">
        <v>2776.5</v>
      </c>
      <c r="U30" s="4">
        <v>781.38</v>
      </c>
      <c r="V30" s="4">
        <v>929.52</v>
      </c>
      <c r="W30" s="4">
        <v>790.92</v>
      </c>
      <c r="X30" s="4">
        <v>792.27</v>
      </c>
      <c r="Y30" s="4">
        <v>545.22</v>
      </c>
      <c r="Z30" s="4">
        <v>1319.94</v>
      </c>
      <c r="AA30" s="4">
        <v>550.89</v>
      </c>
      <c r="AB30" s="4">
        <v>3801.78</v>
      </c>
      <c r="AC30" s="4">
        <v>4168.4399999999996</v>
      </c>
      <c r="AD30" s="4">
        <v>5362.65</v>
      </c>
      <c r="AE30" s="4">
        <v>4392.45</v>
      </c>
      <c r="AF30" s="4">
        <v>9302.2199999999993</v>
      </c>
      <c r="AG30" s="4">
        <v>2811.6</v>
      </c>
      <c r="AH30" s="6" t="e">
        <f>Datos_originales!$H167/Datos_originales!$E167</f>
        <v>#DIV/0!</v>
      </c>
      <c r="AI30" s="6" t="e">
        <f>Datos_originales!$I167/Datos_originales!$E167</f>
        <v>#DIV/0!</v>
      </c>
      <c r="AJ30" s="6" t="e">
        <f>Datos_originales!$J167/Datos_originales!$E167</f>
        <v>#DIV/0!</v>
      </c>
      <c r="AK30" s="6" t="e">
        <f>Datos_originales!$K167/Datos_originales!$E167</f>
        <v>#DIV/0!</v>
      </c>
      <c r="AL30" s="6" t="e">
        <f>Datos_originales!$L167/Datos_originales!$E167</f>
        <v>#DIV/0!</v>
      </c>
      <c r="AM30" s="6" t="e">
        <f>Datos_originales!$M167/Datos_originales!$E167</f>
        <v>#DIV/0!</v>
      </c>
      <c r="AN30" s="6" t="e">
        <f>Datos_originales!$N167/Datos_originales!$E167</f>
        <v>#DIV/0!</v>
      </c>
      <c r="AO30" s="6" t="e">
        <f>Datos_originales!$O167/Datos_originales!$E167</f>
        <v>#DIV/0!</v>
      </c>
      <c r="AP30" s="6" t="e">
        <f>Datos_originales!$P167/Datos_originales!$E167</f>
        <v>#DIV/0!</v>
      </c>
      <c r="AQ30" s="6" t="e">
        <f>Datos_originales!$Q167/Datos_originales!$E167</f>
        <v>#DIV/0!</v>
      </c>
      <c r="AR30" s="6" t="e">
        <f>Datos_originales!$R167/Datos_originales!$E167</f>
        <v>#DIV/0!</v>
      </c>
      <c r="AS30" s="6" t="e">
        <f>Datos_originales!$S167/Datos_originales!$E167</f>
        <v>#DIV/0!</v>
      </c>
      <c r="AT30" s="6" t="e">
        <f>Datos_originales!$T167/Datos_originales!$E167</f>
        <v>#DIV/0!</v>
      </c>
      <c r="AU30" s="6" t="e">
        <f>Datos_originales!$U167/Datos_originales!$E167</f>
        <v>#DIV/0!</v>
      </c>
      <c r="AV30" s="6" t="e">
        <f>Datos_originales!$V167/Datos_originales!$E167</f>
        <v>#DIV/0!</v>
      </c>
      <c r="AW30" s="6" t="e">
        <f>Datos_originales!$W167/Datos_originales!$E167</f>
        <v>#DIV/0!</v>
      </c>
      <c r="AX30" s="6" t="e">
        <f>Datos_originales!$X167/Datos_originales!$E167</f>
        <v>#DIV/0!</v>
      </c>
      <c r="AY30" s="6" t="e">
        <f>Datos_originales!$Y167/Datos_originales!$E167</f>
        <v>#DIV/0!</v>
      </c>
      <c r="AZ30" s="6" t="e">
        <f>Datos_originales!$Z167/Datos_originales!$E167</f>
        <v>#DIV/0!</v>
      </c>
      <c r="BA30" s="6" t="e">
        <f>Datos_originales!$AA167/Datos_originales!$E167</f>
        <v>#DIV/0!</v>
      </c>
      <c r="BB30" s="6" t="e">
        <f>Datos_originales!$AB167/Datos_originales!$E167</f>
        <v>#DIV/0!</v>
      </c>
      <c r="BC30" s="6" t="e">
        <f>Datos_originales!$AC167/Datos_originales!$E167</f>
        <v>#DIV/0!</v>
      </c>
      <c r="BD30" s="6" t="e">
        <f>Datos_originales!$AD167/Datos_originales!$E167</f>
        <v>#DIV/0!</v>
      </c>
      <c r="BE30" s="6" t="e">
        <f>Datos_originales!$AE167/Datos_originales!$E167</f>
        <v>#DIV/0!</v>
      </c>
      <c r="BF30" s="6" t="e">
        <f>Datos_originales!$AF167/Datos_originales!$E167</f>
        <v>#DIV/0!</v>
      </c>
      <c r="BG30" s="6" t="e">
        <f>Datos_originales!$AG167/Datos_originales!$E167</f>
        <v>#DIV/0!</v>
      </c>
    </row>
    <row r="31" spans="1:59" ht="15.75" customHeight="1">
      <c r="A31" s="2">
        <v>20101</v>
      </c>
      <c r="B31" s="3" t="s">
        <v>85</v>
      </c>
      <c r="C31" s="4" t="s">
        <v>199</v>
      </c>
      <c r="D31" s="4">
        <f>IF(Table_1[[#This Row],[Forest cover 2011]]&lt;1000,"Bosque menor a 1000 ha",Table_1[[#This Row],[Forest cover 2011]])</f>
        <v>88330.41</v>
      </c>
      <c r="E31" s="4">
        <v>88330.41</v>
      </c>
      <c r="F31" s="5">
        <f>AVERAGE(Datos_originales!$H139:$J139)</f>
        <v>7.32</v>
      </c>
      <c r="G31" s="5">
        <f>AVERAGE(Datos_originales!$R139:$T139)</f>
        <v>97.350000000000009</v>
      </c>
      <c r="H31" s="4">
        <v>20.52</v>
      </c>
      <c r="I31" s="4">
        <v>25.47</v>
      </c>
      <c r="J31" s="4">
        <v>30.33</v>
      </c>
      <c r="K31" s="4">
        <v>22.68</v>
      </c>
      <c r="L31" s="4">
        <v>35.01</v>
      </c>
      <c r="M31" s="4">
        <v>14.31</v>
      </c>
      <c r="N31" s="4">
        <v>53.1</v>
      </c>
      <c r="O31" s="4">
        <v>39.06</v>
      </c>
      <c r="P31" s="4">
        <v>82.8</v>
      </c>
      <c r="Q31" s="4">
        <v>42.57</v>
      </c>
      <c r="R31" s="4">
        <v>31.14</v>
      </c>
      <c r="S31" s="4">
        <v>404.37</v>
      </c>
      <c r="T31" s="4">
        <v>137.43</v>
      </c>
      <c r="U31" s="4">
        <v>110.61</v>
      </c>
      <c r="V31" s="4">
        <v>76.680000000000007</v>
      </c>
      <c r="W31" s="4">
        <v>101.16</v>
      </c>
      <c r="X31" s="4">
        <v>39.510000000000012</v>
      </c>
      <c r="Y31" s="4">
        <v>47.61</v>
      </c>
      <c r="Z31" s="4">
        <v>18.72</v>
      </c>
      <c r="AA31" s="4">
        <v>78.210000000000008</v>
      </c>
      <c r="AB31" s="4">
        <v>53.01</v>
      </c>
      <c r="AC31" s="4">
        <v>94.59</v>
      </c>
      <c r="AD31" s="4">
        <v>53.19</v>
      </c>
      <c r="AE31" s="4">
        <v>34.380000000000003</v>
      </c>
      <c r="AF31" s="4">
        <v>447.66</v>
      </c>
      <c r="AG31" s="4">
        <v>512.64</v>
      </c>
      <c r="AH31" s="6">
        <f>Datos_originales!$H139/Datos_originales!$E139</f>
        <v>3.9581049811228848E-3</v>
      </c>
      <c r="AI31" s="6">
        <f>Datos_originales!$I139/Datos_originales!$E139</f>
        <v>5.9067105102910732E-3</v>
      </c>
      <c r="AJ31" s="6">
        <f>Datos_originales!$J139/Datos_originales!$E139</f>
        <v>4.993301668493484E-3</v>
      </c>
      <c r="AK31" s="6">
        <f>Datos_originales!$K139/Datos_originales!$E139</f>
        <v>1.2665935939593228E-2</v>
      </c>
      <c r="AL31" s="6">
        <f>Datos_originales!$L139/Datos_originales!$E139</f>
        <v>9.9257094142004634E-3</v>
      </c>
      <c r="AM31" s="6">
        <f>Datos_originales!$M139/Datos_originales!$E139</f>
        <v>2.4174887346242842E-2</v>
      </c>
      <c r="AN31" s="6">
        <f>Datos_originales!$N139/Datos_originales!$E139</f>
        <v>2.0825721592985021E-2</v>
      </c>
      <c r="AO31" s="6">
        <f>Datos_originales!$O139/Datos_originales!$E139</f>
        <v>3.7145292899768605E-3</v>
      </c>
      <c r="AP31" s="6">
        <f>Datos_originales!$P139/Datos_originales!$E139</f>
        <v>8.4642552673243211E-3</v>
      </c>
      <c r="AQ31" s="6">
        <f>Datos_originales!$Q139/Datos_originales!$E139</f>
        <v>1.680672268907563E-2</v>
      </c>
      <c r="AR31" s="6">
        <f>Datos_originales!$R139/Datos_originales!$E139</f>
        <v>0.10364145658263306</v>
      </c>
      <c r="AS31" s="6">
        <f>Datos_originales!$S139/Datos_originales!$E139</f>
        <v>9.3411277554500058E-2</v>
      </c>
      <c r="AT31" s="6">
        <f>Datos_originales!$T139/Datos_originales!$E139</f>
        <v>5.4804530507855317E-4</v>
      </c>
      <c r="AU31" s="6">
        <f>Datos_originales!$U139/Datos_originales!$E139</f>
        <v>5.0541955912799903E-3</v>
      </c>
      <c r="AV31" s="6">
        <f>Datos_originales!$V139/Datos_originales!$E139</f>
        <v>6.5765436609426381E-3</v>
      </c>
      <c r="AW31" s="6">
        <f>Datos_originales!$W139/Datos_originales!$E139</f>
        <v>1.4919011082693948E-2</v>
      </c>
      <c r="AX31" s="6">
        <f>Datos_originales!$X139/Datos_originales!$E139</f>
        <v>1.382292047253684E-2</v>
      </c>
      <c r="AY31" s="6">
        <f>Datos_originales!$Y139/Datos_originales!$E139</f>
        <v>1.0900012178784557E-2</v>
      </c>
      <c r="AZ31" s="6">
        <f>Datos_originales!$Z139/Datos_originales!$E139</f>
        <v>3.1786627694556084E-2</v>
      </c>
      <c r="BA31" s="6">
        <f>Datos_originales!$AA139/Datos_originales!$E139</f>
        <v>2.3870417732310314E-2</v>
      </c>
      <c r="BB31" s="6">
        <f>Datos_originales!$AB139/Datos_originales!$E139</f>
        <v>1.1874314943368653E-2</v>
      </c>
      <c r="BC31" s="6">
        <f>Datos_originales!$AC139/Datos_originales!$E139</f>
        <v>1.4249177932042381E-2</v>
      </c>
      <c r="BD31" s="6">
        <f>Datos_originales!$AD139/Datos_originales!$E139</f>
        <v>1.6867616611862136E-2</v>
      </c>
      <c r="BE31" s="6">
        <f>Datos_originales!$AE139/Datos_originales!$E139</f>
        <v>0.10437218365607112</v>
      </c>
      <c r="BF31" s="6">
        <f>Datos_originales!$AF139/Datos_originales!$E139</f>
        <v>0.10114480574838632</v>
      </c>
      <c r="BG31" s="6">
        <f>Datos_originales!$AG139/Datos_originales!$E139</f>
        <v>1.2178784557301181E-3</v>
      </c>
    </row>
    <row r="32" spans="1:59" ht="15.75" customHeight="1">
      <c r="A32" s="2">
        <v>20102</v>
      </c>
      <c r="B32" s="3" t="s">
        <v>85</v>
      </c>
      <c r="C32" s="4" t="s">
        <v>92</v>
      </c>
      <c r="D32" s="4">
        <f>IF(Table_1[[#This Row],[Forest cover 2011]]&lt;1000,"Bosque menor a 1000 ha",Table_1[[#This Row],[Forest cover 2011]])</f>
        <v>1751.13</v>
      </c>
      <c r="E32" s="4">
        <v>1751.13</v>
      </c>
      <c r="F32" s="5">
        <f>AVERAGE(Datos_originales!$H30:$J30)</f>
        <v>708.68999999999994</v>
      </c>
      <c r="G32" s="5">
        <f>AVERAGE(Datos_originales!$R30:$T30)</f>
        <v>3597.6000000000004</v>
      </c>
      <c r="H32" s="4">
        <v>1.62</v>
      </c>
      <c r="I32" s="4">
        <v>5.4</v>
      </c>
      <c r="J32" s="4">
        <v>7.65</v>
      </c>
      <c r="K32" s="4">
        <v>2.61</v>
      </c>
      <c r="L32" s="4">
        <v>1.71</v>
      </c>
      <c r="M32" s="4">
        <v>1.17</v>
      </c>
      <c r="N32" s="4">
        <v>3.51</v>
      </c>
      <c r="O32" s="4">
        <v>21.33</v>
      </c>
      <c r="P32" s="4">
        <v>19.260000000000002</v>
      </c>
      <c r="Q32" s="4">
        <v>2.79</v>
      </c>
      <c r="R32" s="4">
        <v>23.13</v>
      </c>
      <c r="S32" s="4">
        <v>135.99</v>
      </c>
      <c r="T32" s="4">
        <v>128.43</v>
      </c>
      <c r="U32" s="4">
        <v>5.67</v>
      </c>
      <c r="V32" s="4">
        <v>23.76</v>
      </c>
      <c r="W32" s="4">
        <v>53.55</v>
      </c>
      <c r="X32" s="4">
        <v>17.73</v>
      </c>
      <c r="Y32" s="4">
        <v>8.5500000000000007</v>
      </c>
      <c r="Z32" s="4">
        <v>17.37</v>
      </c>
      <c r="AA32" s="4">
        <v>21.33</v>
      </c>
      <c r="AB32" s="4">
        <v>120.78</v>
      </c>
      <c r="AC32" s="4">
        <v>133.91999999999999</v>
      </c>
      <c r="AD32" s="4">
        <v>3.51</v>
      </c>
      <c r="AE32" s="4">
        <v>23.13</v>
      </c>
      <c r="AF32" s="4">
        <v>152.19</v>
      </c>
      <c r="AG32" s="4">
        <v>132.57</v>
      </c>
      <c r="AH32" s="6">
        <f>Datos_originales!$H30/Datos_originales!$E30</f>
        <v>8.7818533117950371E-4</v>
      </c>
      <c r="AI32" s="6">
        <f>Datos_originales!$I30/Datos_originales!$E30</f>
        <v>1.1437324075061932E-3</v>
      </c>
      <c r="AJ32" s="6">
        <f>Datos_originales!$J30/Datos_originales!$E30</f>
        <v>7.5375420116624515E-4</v>
      </c>
      <c r="AK32" s="6">
        <f>Datos_originales!$K30/Datos_originales!$E30</f>
        <v>9.8029170698830611E-4</v>
      </c>
      <c r="AL32" s="6">
        <f>Datos_originales!$L30/Datos_originales!$E30</f>
        <v>6.4847536028628326E-4</v>
      </c>
      <c r="AM32" s="6">
        <f>Datos_originales!$M30/Datos_originales!$E30</f>
        <v>1.6661316558904686E-3</v>
      </c>
      <c r="AN32" s="6">
        <f>Datos_originales!$N30/Datos_originales!$E30</f>
        <v>6.799650135852005E-4</v>
      </c>
      <c r="AO32" s="6">
        <f>Datos_originales!$O30/Datos_originales!$E30</f>
        <v>4.8891211707759097E-3</v>
      </c>
      <c r="AP32" s="6">
        <f>Datos_originales!$P30/Datos_originales!$E30</f>
        <v>5.3815582490436779E-3</v>
      </c>
      <c r="AQ32" s="6">
        <f>Datos_originales!$Q30/Datos_originales!$E30</f>
        <v>5.9611793674151656E-3</v>
      </c>
      <c r="AR32" s="6">
        <f>Datos_originales!$R30/Datos_originales!$E30</f>
        <v>5.7064421720716876E-3</v>
      </c>
      <c r="AS32" s="6">
        <f>Datos_originales!$S30/Datos_originales!$E30</f>
        <v>4.7591676015647068E-3</v>
      </c>
      <c r="AT32" s="6">
        <f>Datos_originales!$T30/Datos_originales!$E30</f>
        <v>3.6248350905656529E-3</v>
      </c>
      <c r="AU32" s="6">
        <f>Datos_originales!$U30/Datos_originales!$E30</f>
        <v>1.0201237684373094E-3</v>
      </c>
      <c r="AV32" s="6">
        <f>Datos_originales!$V30/Datos_originales!$E30</f>
        <v>1.2135266390717037E-3</v>
      </c>
      <c r="AW32" s="6">
        <f>Datos_originales!$W30/Datos_originales!$E30</f>
        <v>1.0325786313092693E-3</v>
      </c>
      <c r="AX32" s="6">
        <f>Datos_originales!$X30/Datos_originales!$E30</f>
        <v>1.034341111904358E-3</v>
      </c>
      <c r="AY32" s="6">
        <f>Datos_originales!$Y30/Datos_originales!$E30</f>
        <v>7.1180716300313536E-4</v>
      </c>
      <c r="AZ32" s="6">
        <f>Datos_originales!$Z30/Datos_originales!$E30</f>
        <v>1.7232360271713409E-3</v>
      </c>
      <c r="BA32" s="6">
        <f>Datos_originales!$AA30/Datos_originales!$E30</f>
        <v>7.1920958150250766E-4</v>
      </c>
      <c r="BB32" s="6">
        <f>Datos_originales!$AB30/Datos_originales!$E30</f>
        <v>4.9633803531823114E-3</v>
      </c>
      <c r="BC32" s="6">
        <f>Datos_originales!$AC30/Datos_originales!$E30</f>
        <v>5.442070082808388E-3</v>
      </c>
      <c r="BD32" s="6">
        <f>Datos_originales!$AD30/Datos_originales!$E30</f>
        <v>7.001160417223806E-3</v>
      </c>
      <c r="BE32" s="6">
        <f>Datos_originales!$AE30/Datos_originales!$E30</f>
        <v>5.7345243628867644E-3</v>
      </c>
      <c r="BF32" s="6">
        <f>Datos_originales!$AF30/Datos_originales!$E30</f>
        <v>1.2144431289811498E-2</v>
      </c>
      <c r="BG32" s="6">
        <f>Datos_originales!$AG30/Datos_originales!$E30</f>
        <v>3.6706595860379575E-3</v>
      </c>
    </row>
    <row r="33" spans="1:59" ht="15.75" customHeight="1">
      <c r="A33" s="2">
        <v>20103</v>
      </c>
      <c r="B33" s="3" t="s">
        <v>85</v>
      </c>
      <c r="C33" s="4" t="s">
        <v>89</v>
      </c>
      <c r="D33" s="4" t="str">
        <f>IF(Table_1[[#This Row],[Forest cover 2011]]&lt;1000,"Bosque menor a 1000 ha",Table_1[[#This Row],[Forest cover 2011]])</f>
        <v>Bosque menor a 1000 ha</v>
      </c>
      <c r="E33" s="4">
        <v>90.09</v>
      </c>
      <c r="F33" s="5">
        <f>AVERAGE(Datos_originales!$H27:$J27)</f>
        <v>2.94</v>
      </c>
      <c r="G33" s="5">
        <f>AVERAGE(Datos_originales!$R27:$T27)</f>
        <v>7.6499999999999995</v>
      </c>
      <c r="H33" s="4">
        <v>1.53</v>
      </c>
      <c r="I33" s="4">
        <v>0.9</v>
      </c>
      <c r="J33" s="4">
        <v>1.53</v>
      </c>
      <c r="K33" s="4">
        <v>1.71</v>
      </c>
      <c r="L33" s="4">
        <v>1.26</v>
      </c>
      <c r="M33" s="4">
        <v>0.72</v>
      </c>
      <c r="N33" s="4">
        <v>0.45</v>
      </c>
      <c r="O33" s="4">
        <v>1.53</v>
      </c>
      <c r="P33" s="4">
        <v>1.44</v>
      </c>
      <c r="Q33" s="4">
        <v>8.1</v>
      </c>
      <c r="R33" s="4">
        <v>10.44</v>
      </c>
      <c r="S33" s="4">
        <v>11.16</v>
      </c>
      <c r="T33" s="4">
        <v>7.2900000000000009</v>
      </c>
      <c r="U33" s="4">
        <v>2.4300000000000002</v>
      </c>
      <c r="V33" s="4">
        <v>1.53</v>
      </c>
      <c r="W33" s="4">
        <v>3.51</v>
      </c>
      <c r="X33" s="4">
        <v>2.0699999999999998</v>
      </c>
      <c r="Y33" s="4">
        <v>1.35</v>
      </c>
      <c r="Z33" s="4">
        <v>0.72</v>
      </c>
      <c r="AA33" s="4">
        <v>0.9</v>
      </c>
      <c r="AB33" s="4">
        <v>6.48</v>
      </c>
      <c r="AC33" s="4">
        <v>1.98</v>
      </c>
      <c r="AD33" s="4">
        <v>8.1</v>
      </c>
      <c r="AE33" s="4">
        <v>10.44</v>
      </c>
      <c r="AF33" s="4">
        <v>12.96</v>
      </c>
      <c r="AG33" s="4">
        <v>7.4700000000000006</v>
      </c>
      <c r="AH33" s="6">
        <f>Datos_originales!$H27/Datos_originales!$E27</f>
        <v>1.185344827586207E-2</v>
      </c>
      <c r="AI33" s="6">
        <f>Datos_originales!$I27/Datos_originales!$E27</f>
        <v>5.1724137931034489E-2</v>
      </c>
      <c r="AJ33" s="6">
        <f>Datos_originales!$J27/Datos_originales!$E27</f>
        <v>4.2025862068965518E-2</v>
      </c>
      <c r="AK33" s="6">
        <f>Datos_originales!$K27/Datos_originales!$E27</f>
        <v>1.7241379310344827E-2</v>
      </c>
      <c r="AL33" s="6">
        <f>Datos_originales!$L27/Datos_originales!$E27</f>
        <v>2.1551724137931036E-2</v>
      </c>
      <c r="AM33" s="6">
        <f>Datos_originales!$M27/Datos_originales!$E27</f>
        <v>3.017241379310345E-2</v>
      </c>
      <c r="AN33" s="6">
        <f>Datos_originales!$N27/Datos_originales!$E27</f>
        <v>2.6939655172413795E-2</v>
      </c>
      <c r="AO33" s="6">
        <f>Datos_originales!$O27/Datos_originales!$E27</f>
        <v>2.370689655172414E-2</v>
      </c>
      <c r="AP33" s="6">
        <f>Datos_originales!$P27/Datos_originales!$E27</f>
        <v>1.185344827586207E-2</v>
      </c>
      <c r="AQ33" s="6">
        <f>Datos_originales!$Q27/Datos_originales!$E27</f>
        <v>1.0775862068965518E-2</v>
      </c>
      <c r="AR33" s="6">
        <f>Datos_originales!$R27/Datos_originales!$E27</f>
        <v>0</v>
      </c>
      <c r="AS33" s="6">
        <f>Datos_originales!$S27/Datos_originales!$E27</f>
        <v>2.5862068965517244E-2</v>
      </c>
      <c r="AT33" s="6">
        <f>Datos_originales!$T27/Datos_originales!$E27</f>
        <v>0.24892241379310345</v>
      </c>
      <c r="AU33" s="6">
        <f>Datos_originales!$U27/Datos_originales!$E27</f>
        <v>1.2931034482758622E-2</v>
      </c>
      <c r="AV33" s="6">
        <f>Datos_originales!$V27/Datos_originales!$E27</f>
        <v>5.9267241379310352E-2</v>
      </c>
      <c r="AW33" s="6">
        <f>Datos_originales!$W27/Datos_originales!$E27</f>
        <v>6.1422413793103453E-2</v>
      </c>
      <c r="AX33" s="6">
        <f>Datos_originales!$X27/Datos_originales!$E27</f>
        <v>2.370689655172414E-2</v>
      </c>
      <c r="AY33" s="6">
        <f>Datos_originales!$Y27/Datos_originales!$E27</f>
        <v>2.2629310344827586E-2</v>
      </c>
      <c r="AZ33" s="6">
        <f>Datos_originales!$Z27/Datos_originales!$E27</f>
        <v>3.2327586206896554E-2</v>
      </c>
      <c r="BA33" s="6">
        <f>Datos_originales!$AA27/Datos_originales!$E27</f>
        <v>3.125E-2</v>
      </c>
      <c r="BB33" s="6">
        <f>Datos_originales!$AB27/Datos_originales!$E27</f>
        <v>2.9094827586206899E-2</v>
      </c>
      <c r="BC33" s="6">
        <f>Datos_originales!$AC27/Datos_originales!$E27</f>
        <v>1.185344827586207E-2</v>
      </c>
      <c r="BD33" s="6">
        <f>Datos_originales!$AD27/Datos_originales!$E27</f>
        <v>1.185344827586207E-2</v>
      </c>
      <c r="BE33" s="6">
        <f>Datos_originales!$AE27/Datos_originales!$E27</f>
        <v>0</v>
      </c>
      <c r="BF33" s="6">
        <f>Datos_originales!$AF27/Datos_originales!$E27</f>
        <v>2.5862068965517244E-2</v>
      </c>
      <c r="BG33" s="6">
        <f>Datos_originales!$AG27/Datos_originales!$E27</f>
        <v>0.42780172413793099</v>
      </c>
    </row>
    <row r="34" spans="1:59" ht="15.75" customHeight="1">
      <c r="A34" s="2">
        <v>20104</v>
      </c>
      <c r="B34" s="3" t="s">
        <v>85</v>
      </c>
      <c r="C34" s="4" t="s">
        <v>383</v>
      </c>
      <c r="D34" s="4" t="str">
        <f>IF(Table_1[[#This Row],[Forest cover 2011]]&lt;1000,"Bosque menor a 1000 ha",Table_1[[#This Row],[Forest cover 2011]])</f>
        <v>Bosque menor a 1000 ha</v>
      </c>
      <c r="E34" s="4">
        <v>12.24</v>
      </c>
      <c r="F34" s="5">
        <f>AVERAGE(Datos_originales!$H331:$J331)</f>
        <v>559.5</v>
      </c>
      <c r="G34" s="5">
        <f>AVERAGE(Datos_originales!$R331:$T331)</f>
        <v>481.59</v>
      </c>
      <c r="H34" s="4">
        <v>0</v>
      </c>
      <c r="I34" s="4">
        <v>0.09</v>
      </c>
      <c r="J34" s="4">
        <v>0</v>
      </c>
      <c r="K34" s="4">
        <v>0</v>
      </c>
      <c r="L34" s="4">
        <v>0</v>
      </c>
      <c r="M34" s="4">
        <v>0</v>
      </c>
      <c r="N34" s="4">
        <v>0.09</v>
      </c>
      <c r="O34" s="4">
        <v>0.27</v>
      </c>
      <c r="P34" s="4">
        <v>0.09</v>
      </c>
      <c r="Q34" s="4">
        <v>0</v>
      </c>
      <c r="R34" s="4">
        <v>0</v>
      </c>
      <c r="S34" s="4">
        <v>0.81</v>
      </c>
      <c r="T34" s="4">
        <v>0</v>
      </c>
      <c r="U34" s="4">
        <v>0</v>
      </c>
      <c r="V34" s="4">
        <v>0.27</v>
      </c>
      <c r="W34" s="4">
        <v>0.63</v>
      </c>
      <c r="X34" s="4">
        <v>0</v>
      </c>
      <c r="Y34" s="4">
        <v>0</v>
      </c>
      <c r="Z34" s="4">
        <v>0.18</v>
      </c>
      <c r="AA34" s="4">
        <v>0.09</v>
      </c>
      <c r="AB34" s="4">
        <v>2.52</v>
      </c>
      <c r="AC34" s="4">
        <v>0.36</v>
      </c>
      <c r="AD34" s="4">
        <v>0</v>
      </c>
      <c r="AE34" s="4">
        <v>0</v>
      </c>
      <c r="AF34" s="4">
        <v>1.08</v>
      </c>
      <c r="AG34" s="4">
        <v>0</v>
      </c>
      <c r="AH34" s="6">
        <f>Datos_originales!$H331/Datos_originales!$E331</f>
        <v>7.6995580013464867E-3</v>
      </c>
      <c r="AI34" s="6">
        <f>Datos_originales!$I331/Datos_originales!$E331</f>
        <v>6.6504698065158211E-3</v>
      </c>
      <c r="AJ34" s="6">
        <f>Datos_originales!$J331/Datos_originales!$E331</f>
        <v>7.4864619617715077E-3</v>
      </c>
      <c r="AK34" s="6">
        <f>Datos_originales!$K331/Datos_originales!$E331</f>
        <v>7.5414922577057061E-3</v>
      </c>
      <c r="AL34" s="6">
        <f>Datos_originales!$L331/Datos_originales!$E331</f>
        <v>5.6318239030530102E-3</v>
      </c>
      <c r="AM34" s="6">
        <f>Datos_originales!$M331/Datos_originales!$E331</f>
        <v>7.4150396627930808E-3</v>
      </c>
      <c r="AN34" s="6">
        <f>Datos_originales!$N331/Datos_originales!$E331</f>
        <v>6.5158212100810825E-3</v>
      </c>
      <c r="AO34" s="6">
        <f>Datos_originales!$O331/Datos_originales!$E331</f>
        <v>5.250124403594532E-3</v>
      </c>
      <c r="AP34" s="6">
        <f>Datos_originales!$P331/Datos_originales!$E331</f>
        <v>6.8869829932968413E-3</v>
      </c>
      <c r="AQ34" s="6">
        <f>Datos_originales!$Q331/Datos_originales!$E331</f>
        <v>9.4956531920498775E-3</v>
      </c>
      <c r="AR34" s="6">
        <f>Datos_originales!$R331/Datos_originales!$E331</f>
        <v>1.1099727775663731E-3</v>
      </c>
      <c r="AS34" s="6">
        <f>Datos_originales!$S331/Datos_originales!$E331</f>
        <v>8.1538506571436926E-3</v>
      </c>
      <c r="AT34" s="6">
        <f>Datos_originales!$T331/Datos_originales!$E331</f>
        <v>9.5319497702192422E-3</v>
      </c>
      <c r="AU34" s="6">
        <f>Datos_originales!$U331/Datos_originales!$E331</f>
        <v>8.981646810877264E-3</v>
      </c>
      <c r="AV34" s="6">
        <f>Datos_originales!$V331/Datos_originales!$E331</f>
        <v>7.7253168632731312E-3</v>
      </c>
      <c r="AW34" s="6">
        <f>Datos_originales!$W331/Datos_originales!$E331</f>
        <v>8.6198518865439229E-3</v>
      </c>
      <c r="AX34" s="6">
        <f>Datos_originales!$X331/Datos_originales!$E331</f>
        <v>9.1537628428416708E-3</v>
      </c>
      <c r="AY34" s="6">
        <f>Datos_originales!$Y331/Datos_originales!$E331</f>
        <v>6.1270965664607909E-3</v>
      </c>
      <c r="AZ34" s="6">
        <f>Datos_originales!$Z331/Datos_originales!$E331</f>
        <v>7.5731054064338615E-3</v>
      </c>
      <c r="BA34" s="6">
        <f>Datos_originales!$AA331/Datos_originales!$E331</f>
        <v>7.0204607323712783E-3</v>
      </c>
      <c r="BB34" s="6">
        <f>Datos_originales!$AB331/Datos_originales!$E331</f>
        <v>5.5451804583906564E-3</v>
      </c>
      <c r="BC34" s="6">
        <f>Datos_originales!$AC331/Datos_originales!$E331</f>
        <v>7.4899745338524136E-3</v>
      </c>
      <c r="BD34" s="6">
        <f>Datos_originales!$AD331/Datos_originales!$E331</f>
        <v>9.8750109767877514E-3</v>
      </c>
      <c r="BE34" s="6">
        <f>Datos_originales!$AE331/Datos_originales!$E331</f>
        <v>1.225887656236279E-3</v>
      </c>
      <c r="BF34" s="6">
        <f>Datos_originales!$AF331/Datos_originales!$E331</f>
        <v>9.1783508474080136E-3</v>
      </c>
      <c r="BG34" s="6">
        <f>Datos_originales!$AG331/Datos_originales!$E331</f>
        <v>1.0144308169657232E-2</v>
      </c>
    </row>
    <row r="35" spans="1:59" ht="15.75" customHeight="1">
      <c r="A35" s="2">
        <v>20105</v>
      </c>
      <c r="B35" s="3" t="s">
        <v>85</v>
      </c>
      <c r="C35" s="4" t="s">
        <v>288</v>
      </c>
      <c r="D35" s="4" t="str">
        <f>IF(Table_1[[#This Row],[Forest cover 2011]]&lt;1000,"Bosque menor a 1000 ha",Table_1[[#This Row],[Forest cover 2011]])</f>
        <v>Bosque menor a 1000 ha</v>
      </c>
      <c r="E35" s="4">
        <v>0</v>
      </c>
      <c r="F35" s="5">
        <f>AVERAGE(Datos_originales!$H234:$J234)</f>
        <v>0</v>
      </c>
      <c r="G35" s="5">
        <f>AVERAGE(Datos_originales!$R234:$T234)</f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</row>
    <row r="36" spans="1:59" ht="15.75" customHeight="1">
      <c r="A36" s="2">
        <v>20201</v>
      </c>
      <c r="B36" s="3" t="s">
        <v>85</v>
      </c>
      <c r="C36" s="4" t="s">
        <v>370</v>
      </c>
      <c r="D36" s="4" t="str">
        <f>IF(Table_1[[#This Row],[Forest cover 2011]]&lt;1000,"Bosque menor a 1000 ha",Table_1[[#This Row],[Forest cover 2011]])</f>
        <v>Bosque menor a 1000 ha</v>
      </c>
      <c r="E36" s="4">
        <v>0.45</v>
      </c>
      <c r="F36" s="5">
        <f>AVERAGE(Datos_originales!$H318:$J318)</f>
        <v>941.91</v>
      </c>
      <c r="G36" s="5">
        <f>AVERAGE(Datos_originales!$R318:$T318)</f>
        <v>620.64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6">
        <f>Datos_originales!$H318/Datos_originales!$E318</f>
        <v>2.2081803178756747E-3</v>
      </c>
      <c r="AI36" s="6">
        <f>Datos_originales!$I318/Datos_originales!$E318</f>
        <v>1.6780901688497698E-3</v>
      </c>
      <c r="AJ36" s="6">
        <f>Datos_originales!$J318/Datos_originales!$E318</f>
        <v>2.3378283947129751E-3</v>
      </c>
      <c r="AK36" s="6">
        <f>Datos_originales!$K318/Datos_originales!$E318</f>
        <v>1.0893213795427625E-3</v>
      </c>
      <c r="AL36" s="6">
        <f>Datos_originales!$L318/Datos_originales!$E318</f>
        <v>1.8124959732774301E-3</v>
      </c>
      <c r="AM36" s="6">
        <f>Datos_originales!$M318/Datos_originales!$E318</f>
        <v>1.2044980349593859E-3</v>
      </c>
      <c r="AN36" s="6">
        <f>Datos_originales!$N318/Datos_originales!$E318</f>
        <v>1.1464141106270786E-3</v>
      </c>
      <c r="AO36" s="6">
        <f>Datos_originales!$O318/Datos_originales!$E318</f>
        <v>4.1314916962785653E-3</v>
      </c>
      <c r="AP36" s="6">
        <f>Datos_originales!$P318/Datos_originales!$E318</f>
        <v>1.7557997194923107E-3</v>
      </c>
      <c r="AQ36" s="6">
        <f>Datos_originales!$Q318/Datos_originales!$E318</f>
        <v>1.0163695564905813E-3</v>
      </c>
      <c r="AR36" s="6">
        <f>Datos_originales!$R318/Datos_originales!$E318</f>
        <v>6.321830535690391E-4</v>
      </c>
      <c r="AS36" s="6">
        <f>Datos_originales!$S318/Datos_originales!$E318</f>
        <v>1.1117223469473726E-3</v>
      </c>
      <c r="AT36" s="6">
        <f>Datos_originales!$T318/Datos_originales!$E318</f>
        <v>2.3572557823736107E-3</v>
      </c>
      <c r="AU36" s="6">
        <f>Datos_originales!$U318/Datos_originales!$E318</f>
        <v>2.6386555454784244E-2</v>
      </c>
      <c r="AV36" s="6">
        <f>Datos_originales!$V318/Datos_originales!$E318</f>
        <v>1.0322881200533261E-2</v>
      </c>
      <c r="AW36" s="6">
        <f>Datos_originales!$W318/Datos_originales!$E318</f>
        <v>1.810592882241286E-2</v>
      </c>
      <c r="AX36" s="6">
        <f>Datos_originales!$X318/Datos_originales!$E318</f>
        <v>7.7221883564529163E-3</v>
      </c>
      <c r="AY36" s="6">
        <f>Datos_originales!$Y318/Datos_originales!$E318</f>
        <v>8.4645920991986198E-3</v>
      </c>
      <c r="AZ36" s="6">
        <f>Datos_originales!$Z318/Datos_originales!$E318</f>
        <v>4.29840863924035E-3</v>
      </c>
      <c r="BA36" s="6">
        <f>Datos_originales!$AA318/Datos_originales!$E318</f>
        <v>3.6099258091853879E-3</v>
      </c>
      <c r="BB36" s="6">
        <f>Datos_originales!$AB318/Datos_originales!$E318</f>
        <v>1.2684498233198034E-2</v>
      </c>
      <c r="BC36" s="6">
        <f>Datos_originales!$AC318/Datos_originales!$E318</f>
        <v>7.1875387184862499E-3</v>
      </c>
      <c r="BD36" s="6">
        <f>Datos_originales!$AD318/Datos_originales!$E318</f>
        <v>2.8417510419919021E-3</v>
      </c>
      <c r="BE36" s="6">
        <f>Datos_originales!$AE318/Datos_originales!$E318</f>
        <v>5.267399158476932E-3</v>
      </c>
      <c r="BF36" s="6">
        <f>Datos_originales!$AF318/Datos_originales!$E318</f>
        <v>3.2509156147628323E-3</v>
      </c>
      <c r="BG36" s="6">
        <f>Datos_originales!$AG318/Datos_originales!$E318</f>
        <v>1.6059114765310217E-2</v>
      </c>
    </row>
    <row r="37" spans="1:59" ht="15.75" customHeight="1">
      <c r="A37" s="2">
        <v>20202</v>
      </c>
      <c r="B37" s="3" t="s">
        <v>85</v>
      </c>
      <c r="C37" s="4" t="s">
        <v>375</v>
      </c>
      <c r="D37" s="4" t="str">
        <f>IF(Table_1[[#This Row],[Forest cover 2011]]&lt;1000,"Bosque menor a 1000 ha",Table_1[[#This Row],[Forest cover 2011]])</f>
        <v>Bosque menor a 1000 ha</v>
      </c>
      <c r="E37" s="4">
        <v>3.69</v>
      </c>
      <c r="F37" s="5">
        <f>AVERAGE(Datos_originales!$H323:$J323)</f>
        <v>201.39</v>
      </c>
      <c r="G37" s="5">
        <f>AVERAGE(Datos_originales!$R323:$T323)</f>
        <v>237.99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6">
        <f>Datos_originales!$H323/Datos_originales!$E323</f>
        <v>9.3060703456167369E-4</v>
      </c>
      <c r="AI37" s="6">
        <f>Datos_originales!$I323/Datos_originales!$E323</f>
        <v>5.0769633044417829E-4</v>
      </c>
      <c r="AJ37" s="6">
        <f>Datos_originales!$J323/Datos_originales!$E323</f>
        <v>8.3836027311824234E-4</v>
      </c>
      <c r="AK37" s="6">
        <f>Datos_originales!$K323/Datos_originales!$E323</f>
        <v>4.6869494233390413E-4</v>
      </c>
      <c r="AL37" s="6">
        <f>Datos_originales!$L323/Datos_originales!$E323</f>
        <v>3.9611844619826344E-4</v>
      </c>
      <c r="AM37" s="6">
        <f>Datos_originales!$M323/Datos_originales!$E323</f>
        <v>2.6147887159149065E-4</v>
      </c>
      <c r="AN37" s="6">
        <f>Datos_originales!$N323/Datos_originales!$E323</f>
        <v>2.9573226462747065E-4</v>
      </c>
      <c r="AO37" s="6">
        <f>Datos_originales!$O323/Datos_originales!$E323</f>
        <v>4.7819093248249267E-4</v>
      </c>
      <c r="AP37" s="6">
        <f>Datos_originales!$P323/Datos_originales!$E323</f>
        <v>4.1646699651666735E-4</v>
      </c>
      <c r="AQ37" s="6">
        <f>Datos_originales!$Q323/Datos_originales!$E323</f>
        <v>8.3055999549618757E-4</v>
      </c>
      <c r="AR37" s="6">
        <f>Datos_originales!$R323/Datos_originales!$E323</f>
        <v>3.9917072874602404E-4</v>
      </c>
      <c r="AS37" s="6">
        <f>Datos_originales!$S323/Datos_originales!$E323</f>
        <v>7.5323550428625251E-4</v>
      </c>
      <c r="AT37" s="6">
        <f>Datos_originales!$T323/Datos_originales!$E323</f>
        <v>1.5380112615660311E-3</v>
      </c>
      <c r="AU37" s="6">
        <f>Datos_originales!$U323/Datos_originales!$E323</f>
        <v>1.820754368240254E-2</v>
      </c>
      <c r="AV37" s="6">
        <f>Datos_originales!$V323/Datos_originales!$E323</f>
        <v>8.1417941248987241E-3</v>
      </c>
      <c r="AW37" s="6">
        <f>Datos_originales!$W323/Datos_originales!$E323</f>
        <v>1.7288467493021296E-2</v>
      </c>
      <c r="AX37" s="6">
        <f>Datos_originales!$X323/Datos_originales!$E323</f>
        <v>6.5705468978126333E-3</v>
      </c>
      <c r="AY37" s="6">
        <f>Datos_originales!$Y323/Datos_originales!$E323</f>
        <v>4.155852260028698E-3</v>
      </c>
      <c r="AZ37" s="6">
        <f>Datos_originales!$Z323/Datos_originales!$E323</f>
        <v>4.9976039582000087E-3</v>
      </c>
      <c r="BA37" s="6">
        <f>Datos_originales!$AA323/Datos_originales!$E323</f>
        <v>2.6124147183777596E-3</v>
      </c>
      <c r="BB37" s="6">
        <f>Datos_originales!$AB323/Datos_originales!$E323</f>
        <v>3.4406007163367996E-3</v>
      </c>
      <c r="BC37" s="6">
        <f>Datos_originales!$AC323/Datos_originales!$E323</f>
        <v>3.5057160773556925E-3</v>
      </c>
      <c r="BD37" s="6">
        <f>Datos_originales!$AD323/Datos_originales!$E323</f>
        <v>1.8737623418196964E-3</v>
      </c>
      <c r="BE37" s="6">
        <f>Datos_originales!$AE323/Datos_originales!$E323</f>
        <v>2.113875235576863E-3</v>
      </c>
      <c r="BF37" s="6">
        <f>Datos_originales!$AF323/Datos_originales!$E323</f>
        <v>3.7417592610491783E-3</v>
      </c>
      <c r="BG37" s="6">
        <f>Datos_originales!$AG323/Datos_originales!$E323</f>
        <v>2.9213057122111315E-2</v>
      </c>
    </row>
    <row r="38" spans="1:59" ht="15.75" customHeight="1">
      <c r="A38" s="2">
        <v>20203</v>
      </c>
      <c r="B38" s="3" t="s">
        <v>85</v>
      </c>
      <c r="C38" s="4" t="s">
        <v>289</v>
      </c>
      <c r="D38" s="4" t="str">
        <f>IF(Table_1[[#This Row],[Forest cover 2011]]&lt;1000,"Bosque menor a 1000 ha",Table_1[[#This Row],[Forest cover 2011]])</f>
        <v>Bosque menor a 1000 ha</v>
      </c>
      <c r="E38" s="4">
        <v>0</v>
      </c>
      <c r="F38" s="5">
        <f>AVERAGE(Datos_originales!$H235:$J235)</f>
        <v>0</v>
      </c>
      <c r="G38" s="5">
        <f>AVERAGE(Datos_originales!$R235:$T235)</f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</row>
    <row r="39" spans="1:59" ht="15.75" customHeight="1">
      <c r="A39" s="2">
        <v>20204</v>
      </c>
      <c r="B39" s="3" t="s">
        <v>85</v>
      </c>
      <c r="C39" s="4" t="s">
        <v>290</v>
      </c>
      <c r="D39" s="4" t="str">
        <f>IF(Table_1[[#This Row],[Forest cover 2011]]&lt;1000,"Bosque menor a 1000 ha",Table_1[[#This Row],[Forest cover 2011]])</f>
        <v>Bosque menor a 1000 ha</v>
      </c>
      <c r="E39" s="4">
        <v>0</v>
      </c>
      <c r="F39" s="5">
        <f>AVERAGE(Datos_originales!$H236:$J236)</f>
        <v>0</v>
      </c>
      <c r="G39" s="5">
        <f>AVERAGE(Datos_originales!$R236:$T236)</f>
        <v>0.12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</row>
    <row r="40" spans="1:59" ht="15.75" customHeight="1">
      <c r="A40" s="2">
        <v>20205</v>
      </c>
      <c r="B40" s="3" t="s">
        <v>85</v>
      </c>
      <c r="C40" s="4" t="s">
        <v>291</v>
      </c>
      <c r="D40" s="4" t="str">
        <f>IF(Table_1[[#This Row],[Forest cover 2011]]&lt;1000,"Bosque menor a 1000 ha",Table_1[[#This Row],[Forest cover 2011]])</f>
        <v>Bosque menor a 1000 ha</v>
      </c>
      <c r="E40" s="4">
        <v>0</v>
      </c>
      <c r="F40" s="5">
        <f>AVERAGE(Datos_originales!$H237:$J237)</f>
        <v>0</v>
      </c>
      <c r="G40" s="5">
        <f>AVERAGE(Datos_originales!$R237:$T237)</f>
        <v>0.03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</row>
    <row r="41" spans="1:59" ht="15.75" customHeight="1">
      <c r="A41" s="2">
        <v>20206</v>
      </c>
      <c r="B41" s="3" t="s">
        <v>85</v>
      </c>
      <c r="C41" s="4" t="s">
        <v>292</v>
      </c>
      <c r="D41" s="4" t="str">
        <f>IF(Table_1[[#This Row],[Forest cover 2011]]&lt;1000,"Bosque menor a 1000 ha",Table_1[[#This Row],[Forest cover 2011]])</f>
        <v>Bosque menor a 1000 ha</v>
      </c>
      <c r="E41" s="4">
        <v>0</v>
      </c>
      <c r="F41" s="5">
        <f>AVERAGE(Datos_originales!$H238:$J238)</f>
        <v>0</v>
      </c>
      <c r="G41" s="5">
        <f>AVERAGE(Datos_originales!$R238:$T238)</f>
        <v>0.3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</row>
    <row r="42" spans="1:59" ht="15.75" customHeight="1">
      <c r="A42" s="2">
        <v>20301</v>
      </c>
      <c r="B42" s="3" t="s">
        <v>85</v>
      </c>
      <c r="C42" s="4" t="s">
        <v>293</v>
      </c>
      <c r="D42" s="4" t="str">
        <f>IF(Table_1[[#This Row],[Forest cover 2011]]&lt;1000,"Bosque menor a 1000 ha",Table_1[[#This Row],[Forest cover 2011]])</f>
        <v>Bosque menor a 1000 ha</v>
      </c>
      <c r="E42" s="4">
        <v>0</v>
      </c>
      <c r="F42" s="5">
        <f>AVERAGE(Datos_originales!$H239:$J239)</f>
        <v>0</v>
      </c>
      <c r="G42" s="5">
        <f>AVERAGE(Datos_originales!$R239:$T239)</f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</row>
    <row r="43" spans="1:59" ht="15.75" customHeight="1">
      <c r="A43" s="2">
        <v>20302</v>
      </c>
      <c r="B43" s="3" t="s">
        <v>85</v>
      </c>
      <c r="C43" s="4" t="s">
        <v>294</v>
      </c>
      <c r="D43" s="4" t="str">
        <f>IF(Table_1[[#This Row],[Forest cover 2011]]&lt;1000,"Bosque menor a 1000 ha",Table_1[[#This Row],[Forest cover 2011]])</f>
        <v>Bosque menor a 1000 ha</v>
      </c>
      <c r="E43" s="4">
        <v>0</v>
      </c>
      <c r="F43" s="5">
        <f>AVERAGE(Datos_originales!$H240:$J240)</f>
        <v>0</v>
      </c>
      <c r="G43" s="5">
        <f>AVERAGE(Datos_originales!$R240:$T240)</f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</row>
    <row r="44" spans="1:59" ht="15.75" customHeight="1">
      <c r="A44" s="2">
        <v>20303</v>
      </c>
      <c r="B44" s="3" t="s">
        <v>85</v>
      </c>
      <c r="C44" s="4" t="s">
        <v>382</v>
      </c>
      <c r="D44" s="4" t="str">
        <f>IF(Table_1[[#This Row],[Forest cover 2011]]&lt;1000,"Bosque menor a 1000 ha",Table_1[[#This Row],[Forest cover 2011]])</f>
        <v>Bosque menor a 1000 ha</v>
      </c>
      <c r="E44" s="4">
        <v>10.44</v>
      </c>
      <c r="F44" s="5">
        <f>AVERAGE(Datos_originales!$H330:$J330)</f>
        <v>419.96999999999997</v>
      </c>
      <c r="G44" s="5">
        <f>AVERAGE(Datos_originales!$R330:$T330)</f>
        <v>417.14999999999992</v>
      </c>
      <c r="H44" s="4">
        <v>0</v>
      </c>
      <c r="I44" s="4">
        <v>0</v>
      </c>
      <c r="J44" s="4">
        <v>1.89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8.5500000000000007</v>
      </c>
      <c r="V44" s="4">
        <v>0</v>
      </c>
      <c r="W44" s="4">
        <v>1.89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6">
        <f>Datos_originales!$H330/Datos_originales!$E330</f>
        <v>1.99846123511013E-2</v>
      </c>
      <c r="AI44" s="6">
        <f>Datos_originales!$I330/Datos_originales!$E330</f>
        <v>1.7510216548295182E-2</v>
      </c>
      <c r="AJ44" s="6">
        <f>Datos_originales!$J330/Datos_originales!$E330</f>
        <v>1.66287130435455E-2</v>
      </c>
      <c r="AK44" s="6">
        <f>Datos_originales!$K330/Datos_originales!$E330</f>
        <v>1.5178871752838788E-2</v>
      </c>
      <c r="AL44" s="6">
        <f>Datos_originales!$L330/Datos_originales!$E330</f>
        <v>1.8801541857884626E-2</v>
      </c>
      <c r="AM44" s="6">
        <f>Datos_originales!$M330/Datos_originales!$E330</f>
        <v>1.9234561123375696E-2</v>
      </c>
      <c r="AN44" s="6">
        <f>Datos_originales!$N330/Datos_originales!$E330</f>
        <v>1.8998720273420738E-2</v>
      </c>
      <c r="AO44" s="6">
        <f>Datos_originales!$O330/Datos_originales!$E330</f>
        <v>1.0500717188158469E-2</v>
      </c>
      <c r="AP44" s="6">
        <f>Datos_originales!$P330/Datos_originales!$E330</f>
        <v>1.1764978793654722E-2</v>
      </c>
      <c r="AQ44" s="6">
        <f>Datos_originales!$Q330/Datos_originales!$E330</f>
        <v>1.7854312214622907E-2</v>
      </c>
      <c r="AR44" s="6">
        <f>Datos_originales!$R330/Datos_originales!$E330</f>
        <v>1.7784719832668982E-3</v>
      </c>
      <c r="AS44" s="6">
        <f>Datos_originales!$S330/Datos_originales!$E330</f>
        <v>2.8366628133107027E-2</v>
      </c>
      <c r="AT44" s="6">
        <f>Datos_originales!$T330/Datos_originales!$E330</f>
        <v>2.3615014943030904E-2</v>
      </c>
      <c r="AU44" s="6">
        <f>Datos_originales!$U330/Datos_originales!$E330</f>
        <v>2.1210211522178706E-2</v>
      </c>
      <c r="AV44" s="6">
        <f>Datos_originales!$V330/Datos_originales!$E330</f>
        <v>1.8550236034162126E-2</v>
      </c>
      <c r="AW44" s="6">
        <f>Datos_originales!$W330/Datos_originales!$E330</f>
        <v>1.7610738877784179E-2</v>
      </c>
      <c r="AX44" s="6">
        <f>Datos_originales!$X330/Datos_originales!$E330</f>
        <v>1.8453579948115018E-2</v>
      </c>
      <c r="AY44" s="6">
        <f>Datos_originales!$Y330/Datos_originales!$E330</f>
        <v>1.976423647491388E-2</v>
      </c>
      <c r="AZ44" s="6">
        <f>Datos_originales!$Z330/Datos_originales!$E330</f>
        <v>1.9829962613425917E-2</v>
      </c>
      <c r="BA44" s="6">
        <f>Datos_originales!$AA330/Datos_originales!$E330</f>
        <v>1.918816620207308E-2</v>
      </c>
      <c r="BB44" s="6">
        <f>Datos_originales!$AB330/Datos_originales!$E330</f>
        <v>1.1351290745373074E-2</v>
      </c>
      <c r="BC44" s="6">
        <f>Datos_originales!$AC330/Datos_originales!$E330</f>
        <v>1.2143870650959409E-2</v>
      </c>
      <c r="BD44" s="6">
        <f>Datos_originales!$AD330/Datos_originales!$E330</f>
        <v>1.7939369570344369E-2</v>
      </c>
      <c r="BE44" s="6">
        <f>Datos_originales!$AE330/Datos_originales!$E330</f>
        <v>1.7900707135925522E-3</v>
      </c>
      <c r="BF44" s="6">
        <f>Datos_originales!$AF330/Datos_originales!$E330</f>
        <v>2.9124411847716403E-2</v>
      </c>
      <c r="BG44" s="6">
        <f>Datos_originales!$AG330/Datos_originales!$E330</f>
        <v>2.3990040556893709E-2</v>
      </c>
    </row>
    <row r="45" spans="1:59" ht="15.75" customHeight="1">
      <c r="A45" s="2">
        <v>20304</v>
      </c>
      <c r="B45" s="3" t="s">
        <v>85</v>
      </c>
      <c r="C45" s="4" t="s">
        <v>295</v>
      </c>
      <c r="D45" s="4" t="str">
        <f>IF(Table_1[[#This Row],[Forest cover 2011]]&lt;1000,"Bosque menor a 1000 ha",Table_1[[#This Row],[Forest cover 2011]])</f>
        <v>Bosque menor a 1000 ha</v>
      </c>
      <c r="E45" s="4">
        <v>0</v>
      </c>
      <c r="F45" s="5">
        <f>AVERAGE(Datos_originales!$H241:$J241)</f>
        <v>0.96</v>
      </c>
      <c r="G45" s="5">
        <f>AVERAGE(Datos_originales!$R241:$T241)</f>
        <v>4.2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</row>
    <row r="46" spans="1:59" ht="15.75" customHeight="1">
      <c r="A46" s="2">
        <v>20305</v>
      </c>
      <c r="B46" s="3" t="s">
        <v>85</v>
      </c>
      <c r="C46" s="4" t="s">
        <v>296</v>
      </c>
      <c r="D46" s="4" t="str">
        <f>IF(Table_1[[#This Row],[Forest cover 2011]]&lt;1000,"Bosque menor a 1000 ha",Table_1[[#This Row],[Forest cover 2011]])</f>
        <v>Bosque menor a 1000 ha</v>
      </c>
      <c r="E46" s="4">
        <v>0</v>
      </c>
      <c r="F46" s="5">
        <f>AVERAGE(Datos_originales!$H242:$J242)</f>
        <v>0</v>
      </c>
      <c r="G46" s="5">
        <f>AVERAGE(Datos_originales!$R242:$T242)</f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</row>
    <row r="47" spans="1:59" ht="15.75" customHeight="1">
      <c r="A47" s="2">
        <v>20306</v>
      </c>
      <c r="B47" s="3" t="s">
        <v>85</v>
      </c>
      <c r="C47" s="4" t="s">
        <v>297</v>
      </c>
      <c r="D47" s="4" t="str">
        <f>IF(Table_1[[#This Row],[Forest cover 2011]]&lt;1000,"Bosque menor a 1000 ha",Table_1[[#This Row],[Forest cover 2011]])</f>
        <v>Bosque menor a 1000 ha</v>
      </c>
      <c r="E47" s="4">
        <v>0</v>
      </c>
      <c r="F47" s="5">
        <f>AVERAGE(Datos_originales!$H243:$J243)</f>
        <v>49.77</v>
      </c>
      <c r="G47" s="5">
        <f>AVERAGE(Datos_originales!$R243:$T243)</f>
        <v>306.77999999999997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</row>
    <row r="48" spans="1:59" ht="15.75" customHeight="1">
      <c r="A48" s="2">
        <v>20307</v>
      </c>
      <c r="B48" s="3" t="s">
        <v>85</v>
      </c>
      <c r="C48" s="4" t="s">
        <v>298</v>
      </c>
      <c r="D48" s="4" t="str">
        <f>IF(Table_1[[#This Row],[Forest cover 2011]]&lt;1000,"Bosque menor a 1000 ha",Table_1[[#This Row],[Forest cover 2011]])</f>
        <v>Bosque menor a 1000 ha</v>
      </c>
      <c r="E48" s="4">
        <v>0</v>
      </c>
      <c r="F48" s="5">
        <f>AVERAGE(Datos_originales!$H244:$J244)</f>
        <v>531.12</v>
      </c>
      <c r="G48" s="5">
        <f>AVERAGE(Datos_originales!$R244:$T244)</f>
        <v>887.52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</row>
    <row r="49" spans="1:59" ht="15.75" customHeight="1">
      <c r="A49" s="2">
        <v>20308</v>
      </c>
      <c r="B49" s="3" t="s">
        <v>85</v>
      </c>
      <c r="C49" s="4" t="s">
        <v>299</v>
      </c>
      <c r="D49" s="4" t="str">
        <f>IF(Table_1[[#This Row],[Forest cover 2011]]&lt;1000,"Bosque menor a 1000 ha",Table_1[[#This Row],[Forest cover 2011]])</f>
        <v>Bosque menor a 1000 ha</v>
      </c>
      <c r="E49" s="4">
        <v>0</v>
      </c>
      <c r="F49" s="5">
        <f>AVERAGE(Datos_originales!$H245:$J245)</f>
        <v>217.71000000000004</v>
      </c>
      <c r="G49" s="5">
        <f>AVERAGE(Datos_originales!$R245:$T245)</f>
        <v>364.59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</row>
    <row r="50" spans="1:59" ht="15.75" customHeight="1">
      <c r="A50" s="2">
        <v>20401</v>
      </c>
      <c r="B50" s="3" t="s">
        <v>85</v>
      </c>
      <c r="C50" s="4" t="s">
        <v>300</v>
      </c>
      <c r="D50" s="4" t="str">
        <f>IF(Table_1[[#This Row],[Forest cover 2011]]&lt;1000,"Bosque menor a 1000 ha",Table_1[[#This Row],[Forest cover 2011]])</f>
        <v>Bosque menor a 1000 ha</v>
      </c>
      <c r="E50" s="4">
        <v>0</v>
      </c>
      <c r="F50" s="5">
        <f>AVERAGE(Datos_originales!$H246:$J246)</f>
        <v>4233.1500000000005</v>
      </c>
      <c r="G50" s="5">
        <f>AVERAGE(Datos_originales!$R246:$T246)</f>
        <v>7191.9900000000007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</row>
    <row r="51" spans="1:59" ht="15.75" customHeight="1">
      <c r="A51" s="2">
        <v>20402</v>
      </c>
      <c r="B51" s="3" t="s">
        <v>85</v>
      </c>
      <c r="C51" s="4" t="s">
        <v>160</v>
      </c>
      <c r="D51" s="4">
        <f>IF(Table_1[[#This Row],[Forest cover 2011]]&lt;1000,"Bosque menor a 1000 ha",Table_1[[#This Row],[Forest cover 2011]])</f>
        <v>3005.1</v>
      </c>
      <c r="E51" s="4">
        <v>3005.1</v>
      </c>
      <c r="F51" s="5">
        <f>AVERAGE(Datos_originales!$H99:$J99)</f>
        <v>0</v>
      </c>
      <c r="G51" s="5">
        <f>AVERAGE(Datos_originales!$R99:$T99)</f>
        <v>0</v>
      </c>
      <c r="H51" s="4">
        <v>1.08</v>
      </c>
      <c r="I51" s="4">
        <v>3.24</v>
      </c>
      <c r="J51" s="4">
        <v>6.3900000000000006</v>
      </c>
      <c r="K51" s="4">
        <v>1.8</v>
      </c>
      <c r="L51" s="4">
        <v>1.26</v>
      </c>
      <c r="M51" s="4">
        <v>2.97</v>
      </c>
      <c r="N51" s="4">
        <v>1.26</v>
      </c>
      <c r="O51" s="4">
        <v>2.0699999999999998</v>
      </c>
      <c r="P51" s="4">
        <v>5.31</v>
      </c>
      <c r="Q51" s="4">
        <v>0.63</v>
      </c>
      <c r="R51" s="4">
        <v>0.36</v>
      </c>
      <c r="S51" s="4">
        <v>14.13</v>
      </c>
      <c r="T51" s="4">
        <v>5.4</v>
      </c>
      <c r="U51" s="4">
        <v>22.95</v>
      </c>
      <c r="V51" s="4">
        <v>20.7</v>
      </c>
      <c r="W51" s="4">
        <v>56.16</v>
      </c>
      <c r="X51" s="4">
        <v>14.4</v>
      </c>
      <c r="Y51" s="4">
        <v>6.48</v>
      </c>
      <c r="Z51" s="4">
        <v>14.49</v>
      </c>
      <c r="AA51" s="4">
        <v>6.84</v>
      </c>
      <c r="AB51" s="4">
        <v>19.89</v>
      </c>
      <c r="AC51" s="4">
        <v>11.88</v>
      </c>
      <c r="AD51" s="4">
        <v>1.62</v>
      </c>
      <c r="AE51" s="4">
        <v>0.72</v>
      </c>
      <c r="AF51" s="4">
        <v>15.84</v>
      </c>
      <c r="AG51" s="4">
        <v>44.099999999999987</v>
      </c>
      <c r="AH51" s="6" t="e">
        <f>Datos_originales!$H99/Datos_originales!$E99</f>
        <v>#DIV/0!</v>
      </c>
      <c r="AI51" s="6" t="e">
        <f>Datos_originales!$I99/Datos_originales!$E99</f>
        <v>#DIV/0!</v>
      </c>
      <c r="AJ51" s="6" t="e">
        <f>Datos_originales!$J99/Datos_originales!$E99</f>
        <v>#DIV/0!</v>
      </c>
      <c r="AK51" s="6" t="e">
        <f>Datos_originales!$K99/Datos_originales!$E99</f>
        <v>#DIV/0!</v>
      </c>
      <c r="AL51" s="6" t="e">
        <f>Datos_originales!$L99/Datos_originales!$E99</f>
        <v>#DIV/0!</v>
      </c>
      <c r="AM51" s="6" t="e">
        <f>Datos_originales!$M99/Datos_originales!$E99</f>
        <v>#DIV/0!</v>
      </c>
      <c r="AN51" s="6" t="e">
        <f>Datos_originales!$N99/Datos_originales!$E99</f>
        <v>#DIV/0!</v>
      </c>
      <c r="AO51" s="6" t="e">
        <f>Datos_originales!$O99/Datos_originales!$E99</f>
        <v>#DIV/0!</v>
      </c>
      <c r="AP51" s="6" t="e">
        <f>Datos_originales!$P99/Datos_originales!$E99</f>
        <v>#DIV/0!</v>
      </c>
      <c r="AQ51" s="6" t="e">
        <f>Datos_originales!$Q99/Datos_originales!$E99</f>
        <v>#DIV/0!</v>
      </c>
      <c r="AR51" s="6" t="e">
        <f>Datos_originales!$R99/Datos_originales!$E99</f>
        <v>#DIV/0!</v>
      </c>
      <c r="AS51" s="6" t="e">
        <f>Datos_originales!$S99/Datos_originales!$E99</f>
        <v>#DIV/0!</v>
      </c>
      <c r="AT51" s="6" t="e">
        <f>Datos_originales!$T99/Datos_originales!$E99</f>
        <v>#DIV/0!</v>
      </c>
      <c r="AU51" s="6" t="e">
        <f>Datos_originales!$U99/Datos_originales!$E99</f>
        <v>#DIV/0!</v>
      </c>
      <c r="AV51" s="6" t="e">
        <f>Datos_originales!$V99/Datos_originales!$E99</f>
        <v>#DIV/0!</v>
      </c>
      <c r="AW51" s="6" t="e">
        <f>Datos_originales!$W99/Datos_originales!$E99</f>
        <v>#DIV/0!</v>
      </c>
      <c r="AX51" s="6" t="e">
        <f>Datos_originales!$X99/Datos_originales!$E99</f>
        <v>#DIV/0!</v>
      </c>
      <c r="AY51" s="6" t="e">
        <f>Datos_originales!$Y99/Datos_originales!$E99</f>
        <v>#DIV/0!</v>
      </c>
      <c r="AZ51" s="6" t="e">
        <f>Datos_originales!$Z99/Datos_originales!$E99</f>
        <v>#DIV/0!</v>
      </c>
      <c r="BA51" s="6" t="e">
        <f>Datos_originales!$AA99/Datos_originales!$E99</f>
        <v>#DIV/0!</v>
      </c>
      <c r="BB51" s="6" t="e">
        <f>Datos_originales!$AB99/Datos_originales!$E99</f>
        <v>#DIV/0!</v>
      </c>
      <c r="BC51" s="6" t="e">
        <f>Datos_originales!$AC99/Datos_originales!$E99</f>
        <v>#DIV/0!</v>
      </c>
      <c r="BD51" s="6" t="e">
        <f>Datos_originales!$AD99/Datos_originales!$E99</f>
        <v>#DIV/0!</v>
      </c>
      <c r="BE51" s="6" t="e">
        <f>Datos_originales!$AE99/Datos_originales!$E99</f>
        <v>#DIV/0!</v>
      </c>
      <c r="BF51" s="6" t="e">
        <f>Datos_originales!$AF99/Datos_originales!$E99</f>
        <v>#DIV/0!</v>
      </c>
      <c r="BG51" s="6" t="e">
        <f>Datos_originales!$AG99/Datos_originales!$E99</f>
        <v>#DIV/0!</v>
      </c>
    </row>
    <row r="52" spans="1:59" ht="15.75" customHeight="1">
      <c r="A52" s="2">
        <v>20403</v>
      </c>
      <c r="B52" s="3" t="s">
        <v>85</v>
      </c>
      <c r="C52" s="4" t="s">
        <v>90</v>
      </c>
      <c r="D52" s="4" t="str">
        <f>IF(Table_1[[#This Row],[Forest cover 2011]]&lt;1000,"Bosque menor a 1000 ha",Table_1[[#This Row],[Forest cover 2011]])</f>
        <v>Bosque menor a 1000 ha</v>
      </c>
      <c r="E52" s="4">
        <v>170.64</v>
      </c>
      <c r="F52" s="5">
        <f>AVERAGE(Datos_originales!$H28:$J28)</f>
        <v>817.01999999999987</v>
      </c>
      <c r="G52" s="5">
        <f>AVERAGE(Datos_originales!$R28:$T28)</f>
        <v>1189.29</v>
      </c>
      <c r="H52" s="4">
        <v>0</v>
      </c>
      <c r="I52" s="4">
        <v>0</v>
      </c>
      <c r="J52" s="4">
        <v>0.18</v>
      </c>
      <c r="K52" s="4">
        <v>0</v>
      </c>
      <c r="L52" s="4">
        <v>0</v>
      </c>
      <c r="M52" s="4">
        <v>0</v>
      </c>
      <c r="N52" s="4">
        <v>0</v>
      </c>
      <c r="O52" s="4">
        <v>0.63</v>
      </c>
      <c r="P52" s="4">
        <v>0.18</v>
      </c>
      <c r="Q52" s="4">
        <v>0</v>
      </c>
      <c r="R52" s="4">
        <v>0</v>
      </c>
      <c r="S52" s="4">
        <v>0.18</v>
      </c>
      <c r="T52" s="4">
        <v>2.4300000000000002</v>
      </c>
      <c r="U52" s="4">
        <v>2.88</v>
      </c>
      <c r="V52" s="4">
        <v>0.81</v>
      </c>
      <c r="W52" s="4">
        <v>5.58</v>
      </c>
      <c r="X52" s="4">
        <v>0.72</v>
      </c>
      <c r="Y52" s="4">
        <v>0</v>
      </c>
      <c r="Z52" s="4">
        <v>1.71</v>
      </c>
      <c r="AA52" s="4">
        <v>0.36</v>
      </c>
      <c r="AB52" s="4">
        <v>6.0299999999999994</v>
      </c>
      <c r="AC52" s="4">
        <v>0.27</v>
      </c>
      <c r="AD52" s="4">
        <v>0.36</v>
      </c>
      <c r="AE52" s="4">
        <v>0.45</v>
      </c>
      <c r="AF52" s="4">
        <v>0.18</v>
      </c>
      <c r="AG52" s="4">
        <v>14.13</v>
      </c>
      <c r="AH52" s="6">
        <f>Datos_originales!$H28/Datos_originales!$E28</f>
        <v>1.7491503977990464E-3</v>
      </c>
      <c r="AI52" s="6">
        <f>Datos_originales!$I28/Datos_originales!$E28</f>
        <v>3.3458614539695619E-3</v>
      </c>
      <c r="AJ52" s="6">
        <f>Datos_originales!$J28/Datos_originales!$E28</f>
        <v>1.9895155030290163E-3</v>
      </c>
      <c r="AK52" s="6">
        <f>Datos_originales!$K28/Datos_originales!$E28</f>
        <v>1.1154605749200345E-3</v>
      </c>
      <c r="AL52" s="6">
        <f>Datos_originales!$L28/Datos_originales!$E28</f>
        <v>1.6237651372786508E-3</v>
      </c>
      <c r="AM52" s="6">
        <f>Datos_originales!$M28/Datos_originales!$E28</f>
        <v>1.7283395661774042E-3</v>
      </c>
      <c r="AN52" s="6">
        <f>Datos_originales!$N28/Datos_originales!$E28</f>
        <v>2.9486347053914621E-3</v>
      </c>
      <c r="AO52" s="6">
        <f>Datos_originales!$O28/Datos_originales!$E28</f>
        <v>1.9380086947654515E-3</v>
      </c>
      <c r="AP52" s="6">
        <f>Datos_originales!$P28/Datos_originales!$E28</f>
        <v>1.9804107641945481E-3</v>
      </c>
      <c r="AQ52" s="6">
        <f>Datos_originales!$Q28/Datos_originales!$E28</f>
        <v>3.216314027124838E-3</v>
      </c>
      <c r="AR52" s="6">
        <f>Datos_originales!$R28/Datos_originales!$E28</f>
        <v>9.786293570077354E-4</v>
      </c>
      <c r="AS52" s="6">
        <f>Datos_originales!$S28/Datos_originales!$E28</f>
        <v>6.6599863897161193E-3</v>
      </c>
      <c r="AT52" s="6">
        <f>Datos_originales!$T28/Datos_originales!$E28</f>
        <v>2.673931727985782E-3</v>
      </c>
      <c r="AU52" s="6">
        <f>Datos_originales!$U28/Datos_originales!$E28</f>
        <v>1.9595999325729059E-3</v>
      </c>
      <c r="AV52" s="6">
        <f>Datos_originales!$V28/Datos_originales!$E28</f>
        <v>3.4988210663886342E-3</v>
      </c>
      <c r="AW52" s="6">
        <f>Datos_originales!$W28/Datos_originales!$E28</f>
        <v>3.1289085343139396E-3</v>
      </c>
      <c r="AX52" s="6">
        <f>Datos_originales!$X28/Datos_originales!$E28</f>
        <v>1.2673796457580242E-3</v>
      </c>
      <c r="AY52" s="6">
        <f>Datos_originales!$Y28/Datos_originales!$E28</f>
        <v>1.7827078637889448E-3</v>
      </c>
      <c r="AZ52" s="6">
        <f>Datos_originales!$Z28/Datos_originales!$E28</f>
        <v>1.8781775538532295E-3</v>
      </c>
      <c r="BA52" s="6">
        <f>Datos_originales!$AA28/Datos_originales!$E28</f>
        <v>3.0836449755368674E-3</v>
      </c>
      <c r="BB52" s="6">
        <f>Datos_originales!$AB28/Datos_originales!$E28</f>
        <v>3.3338952257871181E-3</v>
      </c>
      <c r="BC52" s="6">
        <f>Datos_originales!$AC28/Datos_originales!$E28</f>
        <v>2.1695291965562239E-3</v>
      </c>
      <c r="BD52" s="6">
        <f>Datos_originales!$AD28/Datos_originales!$E28</f>
        <v>3.5563109887434214E-3</v>
      </c>
      <c r="BE52" s="6">
        <f>Datos_originales!$AE28/Datos_originales!$E28</f>
        <v>1.1911599749437588E-3</v>
      </c>
      <c r="BF52" s="6">
        <f>Datos_originales!$AF28/Datos_originales!$E28</f>
        <v>7.1310915905510508E-3</v>
      </c>
      <c r="BG52" s="6">
        <f>Datos_originales!$AG28/Datos_originales!$E28</f>
        <v>3.1806754779727755E-3</v>
      </c>
    </row>
    <row r="53" spans="1:59" ht="15.75" customHeight="1">
      <c r="A53" s="2">
        <v>20404</v>
      </c>
      <c r="B53" s="3" t="s">
        <v>85</v>
      </c>
      <c r="C53" s="4" t="s">
        <v>301</v>
      </c>
      <c r="D53" s="4" t="str">
        <f>IF(Table_1[[#This Row],[Forest cover 2011]]&lt;1000,"Bosque menor a 1000 ha",Table_1[[#This Row],[Forest cover 2011]])</f>
        <v>Bosque menor a 1000 ha</v>
      </c>
      <c r="E53" s="4">
        <v>0</v>
      </c>
      <c r="F53" s="5">
        <f>AVERAGE(Datos_originales!$H247:$J247)</f>
        <v>1214.6400000000001</v>
      </c>
      <c r="G53" s="5">
        <f>AVERAGE(Datos_originales!$R247:$T247)</f>
        <v>1459.11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</row>
    <row r="54" spans="1:59" ht="15.75" customHeight="1">
      <c r="A54" s="2">
        <v>20405</v>
      </c>
      <c r="B54" s="3" t="s">
        <v>85</v>
      </c>
      <c r="C54" s="4" t="s">
        <v>302</v>
      </c>
      <c r="D54" s="4" t="str">
        <f>IF(Table_1[[#This Row],[Forest cover 2011]]&lt;1000,"Bosque menor a 1000 ha",Table_1[[#This Row],[Forest cover 2011]])</f>
        <v>Bosque menor a 1000 ha</v>
      </c>
      <c r="E54" s="4">
        <v>0</v>
      </c>
      <c r="F54" s="5">
        <f>AVERAGE(Datos_originales!$H248:$J248)</f>
        <v>2523.6</v>
      </c>
      <c r="G54" s="5">
        <f>AVERAGE(Datos_originales!$R248:$T248)</f>
        <v>4266.75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</row>
    <row r="55" spans="1:59" ht="15.75" customHeight="1">
      <c r="A55" s="2">
        <v>20501</v>
      </c>
      <c r="B55" s="3" t="s">
        <v>85</v>
      </c>
      <c r="C55" s="4" t="s">
        <v>124</v>
      </c>
      <c r="D55" s="4">
        <f>IF(Table_1[[#This Row],[Forest cover 2011]]&lt;1000,"Bosque menor a 1000 ha",Table_1[[#This Row],[Forest cover 2011]])</f>
        <v>5788.62</v>
      </c>
      <c r="E55" s="4">
        <v>5788.62</v>
      </c>
      <c r="F55" s="5">
        <f>AVERAGE(Datos_originales!$H63:$J63)</f>
        <v>75.780000000000015</v>
      </c>
      <c r="G55" s="5">
        <f>AVERAGE(Datos_originales!$R63:$T63)</f>
        <v>233.46</v>
      </c>
      <c r="H55" s="4">
        <v>2.16</v>
      </c>
      <c r="I55" s="4">
        <v>7.02</v>
      </c>
      <c r="J55" s="4">
        <v>8.1000000000000014</v>
      </c>
      <c r="K55" s="4">
        <v>10.71</v>
      </c>
      <c r="L55" s="4">
        <v>10.89</v>
      </c>
      <c r="M55" s="4">
        <v>8.4600000000000009</v>
      </c>
      <c r="N55" s="4">
        <v>5.76</v>
      </c>
      <c r="O55" s="4">
        <v>2.52</v>
      </c>
      <c r="P55" s="4">
        <v>21.96</v>
      </c>
      <c r="Q55" s="4">
        <v>1.62</v>
      </c>
      <c r="R55" s="4">
        <v>4.1400000000000006</v>
      </c>
      <c r="S55" s="4">
        <v>34.29</v>
      </c>
      <c r="T55" s="4">
        <v>39.869999999999997</v>
      </c>
      <c r="U55" s="4">
        <v>23.49</v>
      </c>
      <c r="V55" s="4">
        <v>25.38</v>
      </c>
      <c r="W55" s="4">
        <v>49.5</v>
      </c>
      <c r="X55" s="4">
        <v>17.73</v>
      </c>
      <c r="Y55" s="4">
        <v>13.68</v>
      </c>
      <c r="Z55" s="4">
        <v>14.76</v>
      </c>
      <c r="AA55" s="4">
        <v>9.7200000000000006</v>
      </c>
      <c r="AB55" s="4">
        <v>12.69</v>
      </c>
      <c r="AC55" s="4">
        <v>29.88</v>
      </c>
      <c r="AD55" s="4">
        <v>6.21</v>
      </c>
      <c r="AE55" s="4">
        <v>6.75</v>
      </c>
      <c r="AF55" s="4">
        <v>35.46</v>
      </c>
      <c r="AG55" s="4">
        <v>156.78</v>
      </c>
      <c r="AH55" s="6">
        <f>Datos_originales!$H63/Datos_originales!$E63</f>
        <v>2.3182570048954905E-3</v>
      </c>
      <c r="AI55" s="6">
        <f>Datos_originales!$I63/Datos_originales!$E63</f>
        <v>3.7551586439658483E-3</v>
      </c>
      <c r="AJ55" s="6">
        <f>Datos_originales!$J63/Datos_originales!$E63</f>
        <v>4.4777865031494883E-3</v>
      </c>
      <c r="AK55" s="6">
        <f>Datos_originales!$K63/Datos_originales!$E63</f>
        <v>2.9489899918130023E-3</v>
      </c>
      <c r="AL55" s="6">
        <f>Datos_originales!$L63/Datos_originales!$E63</f>
        <v>3.2622679654475276E-3</v>
      </c>
      <c r="AM55" s="6">
        <f>Datos_originales!$M63/Datos_originales!$E63</f>
        <v>9.7742727773972022E-4</v>
      </c>
      <c r="AN55" s="6">
        <f>Datos_originales!$N63/Datos_originales!$E63</f>
        <v>3.6089622562697362E-3</v>
      </c>
      <c r="AO55" s="6">
        <f>Datos_originales!$O63/Datos_originales!$E63</f>
        <v>2.5396401062638884E-3</v>
      </c>
      <c r="AP55" s="6">
        <f>Datos_originales!$P63/Datos_originales!$E63</f>
        <v>4.4944946617433293E-3</v>
      </c>
      <c r="AQ55" s="6">
        <f>Datos_originales!$Q63/Datos_originales!$E63</f>
        <v>1.9840938330186629E-3</v>
      </c>
      <c r="AR55" s="6">
        <f>Datos_originales!$R63/Datos_originales!$E63</f>
        <v>1.144508863678134E-3</v>
      </c>
      <c r="AS55" s="6">
        <f>Datos_originales!$S63/Datos_originales!$E63</f>
        <v>2.6152445239010207E-2</v>
      </c>
      <c r="AT55" s="6">
        <f>Datos_originales!$T63/Datos_originales!$E63</f>
        <v>5.2087684416300484E-3</v>
      </c>
      <c r="AU55" s="6">
        <f>Datos_originales!$U63/Datos_originales!$E63</f>
        <v>3.2539138861506071E-3</v>
      </c>
      <c r="AV55" s="6">
        <f>Datos_originales!$V63/Datos_originales!$E63</f>
        <v>4.657399208033282E-3</v>
      </c>
      <c r="AW55" s="6">
        <f>Datos_originales!$W63/Datos_originales!$E63</f>
        <v>5.6640657633122253E-3</v>
      </c>
      <c r="AX55" s="6">
        <f>Datos_originales!$X63/Datos_originales!$E63</f>
        <v>3.3249235601744329E-3</v>
      </c>
      <c r="AY55" s="6">
        <f>Datos_originales!$Y63/Datos_originales!$E63</f>
        <v>3.466942908222085E-3</v>
      </c>
      <c r="AZ55" s="6">
        <f>Datos_originales!$Z63/Datos_originales!$E63</f>
        <v>1.1779251808658167E-3</v>
      </c>
      <c r="BA55" s="6">
        <f>Datos_originales!$AA63/Datos_originales!$E63</f>
        <v>3.8386994369350551E-3</v>
      </c>
      <c r="BB55" s="6">
        <f>Datos_originales!$AB63/Datos_originales!$E63</f>
        <v>2.6565972164207777E-3</v>
      </c>
      <c r="BC55" s="6">
        <f>Datos_originales!$AC63/Datos_originales!$E63</f>
        <v>4.5947436133063771E-3</v>
      </c>
      <c r="BD55" s="6">
        <f>Datos_originales!$AD63/Datos_originales!$E63</f>
        <v>2.1135820621209344E-3</v>
      </c>
      <c r="BE55" s="6">
        <f>Datos_originales!$AE63/Datos_originales!$E63</f>
        <v>1.2071644584050391E-3</v>
      </c>
      <c r="BF55" s="6">
        <f>Datos_originales!$AF63/Datos_originales!$E63</f>
        <v>2.7739720305425142E-2</v>
      </c>
      <c r="BG55" s="6">
        <f>Datos_originales!$AG63/Datos_originales!$E63</f>
        <v>6.3156839484720395E-3</v>
      </c>
    </row>
    <row r="56" spans="1:59" ht="15.75" customHeight="1">
      <c r="A56" s="2">
        <v>20502</v>
      </c>
      <c r="B56" s="3" t="s">
        <v>85</v>
      </c>
      <c r="C56" s="4" t="s">
        <v>157</v>
      </c>
      <c r="D56" s="4">
        <f>IF(Table_1[[#This Row],[Forest cover 2011]]&lt;1000,"Bosque menor a 1000 ha",Table_1[[#This Row],[Forest cover 2011]])</f>
        <v>34456.230000000003</v>
      </c>
      <c r="E56" s="4">
        <v>34456.230000000003</v>
      </c>
      <c r="F56" s="5">
        <f>AVERAGE(Datos_originales!$H96:$J96)</f>
        <v>0</v>
      </c>
      <c r="G56" s="5">
        <f>AVERAGE(Datos_originales!$R96:$T96)</f>
        <v>0</v>
      </c>
      <c r="H56" s="4">
        <v>37.17</v>
      </c>
      <c r="I56" s="4">
        <v>34.56</v>
      </c>
      <c r="J56" s="4">
        <v>40.14</v>
      </c>
      <c r="K56" s="4">
        <v>37.89</v>
      </c>
      <c r="L56" s="4">
        <v>33.299999999999997</v>
      </c>
      <c r="M56" s="4">
        <v>54.81</v>
      </c>
      <c r="N56" s="4">
        <v>72.900000000000006</v>
      </c>
      <c r="O56" s="4">
        <v>68.760000000000005</v>
      </c>
      <c r="P56" s="4">
        <v>100.89</v>
      </c>
      <c r="Q56" s="4">
        <v>20.97</v>
      </c>
      <c r="R56" s="4">
        <v>23.22</v>
      </c>
      <c r="S56" s="4">
        <v>144.9</v>
      </c>
      <c r="T56" s="4">
        <v>91.080000000000013</v>
      </c>
      <c r="U56" s="4">
        <v>107.19</v>
      </c>
      <c r="V56" s="4">
        <v>74.97</v>
      </c>
      <c r="W56" s="4">
        <v>132.30000000000001</v>
      </c>
      <c r="X56" s="4">
        <v>75.69</v>
      </c>
      <c r="Y56" s="4">
        <v>49.41</v>
      </c>
      <c r="Z56" s="4">
        <v>62.37</v>
      </c>
      <c r="AA56" s="4">
        <v>83.43</v>
      </c>
      <c r="AB56" s="4">
        <v>88.74</v>
      </c>
      <c r="AC56" s="4">
        <v>123.12</v>
      </c>
      <c r="AD56" s="4">
        <v>24.48</v>
      </c>
      <c r="AE56" s="4">
        <v>24.3</v>
      </c>
      <c r="AF56" s="4">
        <v>160.65</v>
      </c>
      <c r="AG56" s="4">
        <v>542.70000000000005</v>
      </c>
      <c r="AH56" s="6" t="e">
        <f>Datos_originales!$H96/Datos_originales!$E96</f>
        <v>#DIV/0!</v>
      </c>
      <c r="AI56" s="6" t="e">
        <f>Datos_originales!$I96/Datos_originales!$E96</f>
        <v>#DIV/0!</v>
      </c>
      <c r="AJ56" s="6" t="e">
        <f>Datos_originales!$J96/Datos_originales!$E96</f>
        <v>#DIV/0!</v>
      </c>
      <c r="AK56" s="6" t="e">
        <f>Datos_originales!$K96/Datos_originales!$E96</f>
        <v>#DIV/0!</v>
      </c>
      <c r="AL56" s="6" t="e">
        <f>Datos_originales!$L96/Datos_originales!$E96</f>
        <v>#DIV/0!</v>
      </c>
      <c r="AM56" s="6" t="e">
        <f>Datos_originales!$M96/Datos_originales!$E96</f>
        <v>#DIV/0!</v>
      </c>
      <c r="AN56" s="6" t="e">
        <f>Datos_originales!$N96/Datos_originales!$E96</f>
        <v>#DIV/0!</v>
      </c>
      <c r="AO56" s="6" t="e">
        <f>Datos_originales!$O96/Datos_originales!$E96</f>
        <v>#DIV/0!</v>
      </c>
      <c r="AP56" s="6" t="e">
        <f>Datos_originales!$P96/Datos_originales!$E96</f>
        <v>#DIV/0!</v>
      </c>
      <c r="AQ56" s="6" t="e">
        <f>Datos_originales!$Q96/Datos_originales!$E96</f>
        <v>#DIV/0!</v>
      </c>
      <c r="AR56" s="6" t="e">
        <f>Datos_originales!$R96/Datos_originales!$E96</f>
        <v>#DIV/0!</v>
      </c>
      <c r="AS56" s="6" t="e">
        <f>Datos_originales!$S96/Datos_originales!$E96</f>
        <v>#DIV/0!</v>
      </c>
      <c r="AT56" s="6" t="e">
        <f>Datos_originales!$T96/Datos_originales!$E96</f>
        <v>#DIV/0!</v>
      </c>
      <c r="AU56" s="6" t="e">
        <f>Datos_originales!$U96/Datos_originales!$E96</f>
        <v>#DIV/0!</v>
      </c>
      <c r="AV56" s="6" t="e">
        <f>Datos_originales!$V96/Datos_originales!$E96</f>
        <v>#DIV/0!</v>
      </c>
      <c r="AW56" s="6" t="e">
        <f>Datos_originales!$W96/Datos_originales!$E96</f>
        <v>#DIV/0!</v>
      </c>
      <c r="AX56" s="6" t="e">
        <f>Datos_originales!$X96/Datos_originales!$E96</f>
        <v>#DIV/0!</v>
      </c>
      <c r="AY56" s="6" t="e">
        <f>Datos_originales!$Y96/Datos_originales!$E96</f>
        <v>#DIV/0!</v>
      </c>
      <c r="AZ56" s="6" t="e">
        <f>Datos_originales!$Z96/Datos_originales!$E96</f>
        <v>#DIV/0!</v>
      </c>
      <c r="BA56" s="6" t="e">
        <f>Datos_originales!$AA96/Datos_originales!$E96</f>
        <v>#DIV/0!</v>
      </c>
      <c r="BB56" s="6" t="e">
        <f>Datos_originales!$AB96/Datos_originales!$E96</f>
        <v>#DIV/0!</v>
      </c>
      <c r="BC56" s="6" t="e">
        <f>Datos_originales!$AC96/Datos_originales!$E96</f>
        <v>#DIV/0!</v>
      </c>
      <c r="BD56" s="6" t="e">
        <f>Datos_originales!$AD96/Datos_originales!$E96</f>
        <v>#DIV/0!</v>
      </c>
      <c r="BE56" s="6" t="e">
        <f>Datos_originales!$AE96/Datos_originales!$E96</f>
        <v>#DIV/0!</v>
      </c>
      <c r="BF56" s="6" t="e">
        <f>Datos_originales!$AF96/Datos_originales!$E96</f>
        <v>#DIV/0!</v>
      </c>
      <c r="BG56" s="6" t="e">
        <f>Datos_originales!$AG96/Datos_originales!$E96</f>
        <v>#DIV/0!</v>
      </c>
    </row>
    <row r="57" spans="1:59" ht="15.75" customHeight="1">
      <c r="A57" s="2">
        <v>20503</v>
      </c>
      <c r="B57" s="3" t="s">
        <v>85</v>
      </c>
      <c r="C57" s="4" t="s">
        <v>114</v>
      </c>
      <c r="D57" s="4">
        <f>IF(Table_1[[#This Row],[Forest cover 2011]]&lt;1000,"Bosque menor a 1000 ha",Table_1[[#This Row],[Forest cover 2011]])</f>
        <v>5304.06</v>
      </c>
      <c r="E57" s="4">
        <v>5304.06</v>
      </c>
      <c r="F57" s="5">
        <f>AVERAGE(Datos_originales!$H53:$J53)</f>
        <v>0</v>
      </c>
      <c r="G57" s="5">
        <f>AVERAGE(Datos_originales!$R53:$T53)</f>
        <v>0</v>
      </c>
      <c r="H57" s="4">
        <v>5.85</v>
      </c>
      <c r="I57" s="4">
        <v>5.04</v>
      </c>
      <c r="J57" s="4">
        <v>3.69</v>
      </c>
      <c r="K57" s="4">
        <v>3.6</v>
      </c>
      <c r="L57" s="4">
        <v>4.7699999999999996</v>
      </c>
      <c r="M57" s="4">
        <v>5.94</v>
      </c>
      <c r="N57" s="4">
        <v>5.13</v>
      </c>
      <c r="O57" s="4">
        <v>2.16</v>
      </c>
      <c r="P57" s="4">
        <v>2.88</v>
      </c>
      <c r="Q57" s="4">
        <v>0.27</v>
      </c>
      <c r="R57" s="4">
        <v>1.17</v>
      </c>
      <c r="S57" s="4">
        <v>12.87</v>
      </c>
      <c r="T57" s="4">
        <v>31.41</v>
      </c>
      <c r="U57" s="4">
        <v>83.07</v>
      </c>
      <c r="V57" s="4">
        <v>34.200000000000003</v>
      </c>
      <c r="W57" s="4">
        <v>46.349999999999987</v>
      </c>
      <c r="X57" s="4">
        <v>22.23</v>
      </c>
      <c r="Y57" s="4">
        <v>13.77</v>
      </c>
      <c r="Z57" s="4">
        <v>8.73</v>
      </c>
      <c r="AA57" s="4">
        <v>11.61</v>
      </c>
      <c r="AB57" s="4">
        <v>7.92</v>
      </c>
      <c r="AC57" s="4">
        <v>10.53</v>
      </c>
      <c r="AD57" s="4">
        <v>1.98</v>
      </c>
      <c r="AE57" s="4">
        <v>2.4300000000000002</v>
      </c>
      <c r="AF57" s="4">
        <v>15.03</v>
      </c>
      <c r="AG57" s="4">
        <v>181.8</v>
      </c>
      <c r="AH57" s="6" t="e">
        <f>Datos_originales!$H53/Datos_originales!$E53</f>
        <v>#DIV/0!</v>
      </c>
      <c r="AI57" s="6" t="e">
        <f>Datos_originales!$I53/Datos_originales!$E53</f>
        <v>#DIV/0!</v>
      </c>
      <c r="AJ57" s="6" t="e">
        <f>Datos_originales!$J53/Datos_originales!$E53</f>
        <v>#DIV/0!</v>
      </c>
      <c r="AK57" s="6" t="e">
        <f>Datos_originales!$K53/Datos_originales!$E53</f>
        <v>#DIV/0!</v>
      </c>
      <c r="AL57" s="6" t="e">
        <f>Datos_originales!$L53/Datos_originales!$E53</f>
        <v>#DIV/0!</v>
      </c>
      <c r="AM57" s="6" t="e">
        <f>Datos_originales!$M53/Datos_originales!$E53</f>
        <v>#DIV/0!</v>
      </c>
      <c r="AN57" s="6" t="e">
        <f>Datos_originales!$N53/Datos_originales!$E53</f>
        <v>#DIV/0!</v>
      </c>
      <c r="AO57" s="6" t="e">
        <f>Datos_originales!$O53/Datos_originales!$E53</f>
        <v>#DIV/0!</v>
      </c>
      <c r="AP57" s="6" t="e">
        <f>Datos_originales!$P53/Datos_originales!$E53</f>
        <v>#DIV/0!</v>
      </c>
      <c r="AQ57" s="6" t="e">
        <f>Datos_originales!$Q53/Datos_originales!$E53</f>
        <v>#DIV/0!</v>
      </c>
      <c r="AR57" s="6" t="e">
        <f>Datos_originales!$R53/Datos_originales!$E53</f>
        <v>#DIV/0!</v>
      </c>
      <c r="AS57" s="6" t="e">
        <f>Datos_originales!$S53/Datos_originales!$E53</f>
        <v>#DIV/0!</v>
      </c>
      <c r="AT57" s="6" t="e">
        <f>Datos_originales!$T53/Datos_originales!$E53</f>
        <v>#DIV/0!</v>
      </c>
      <c r="AU57" s="6" t="e">
        <f>Datos_originales!$U53/Datos_originales!$E53</f>
        <v>#DIV/0!</v>
      </c>
      <c r="AV57" s="6" t="e">
        <f>Datos_originales!$V53/Datos_originales!$E53</f>
        <v>#DIV/0!</v>
      </c>
      <c r="AW57" s="6" t="e">
        <f>Datos_originales!$W53/Datos_originales!$E53</f>
        <v>#DIV/0!</v>
      </c>
      <c r="AX57" s="6" t="e">
        <f>Datos_originales!$X53/Datos_originales!$E53</f>
        <v>#DIV/0!</v>
      </c>
      <c r="AY57" s="6" t="e">
        <f>Datos_originales!$Y53/Datos_originales!$E53</f>
        <v>#DIV/0!</v>
      </c>
      <c r="AZ57" s="6" t="e">
        <f>Datos_originales!$Z53/Datos_originales!$E53</f>
        <v>#DIV/0!</v>
      </c>
      <c r="BA57" s="6" t="e">
        <f>Datos_originales!$AA53/Datos_originales!$E53</f>
        <v>#DIV/0!</v>
      </c>
      <c r="BB57" s="6" t="e">
        <f>Datos_originales!$AB53/Datos_originales!$E53</f>
        <v>#DIV/0!</v>
      </c>
      <c r="BC57" s="6" t="e">
        <f>Datos_originales!$AC53/Datos_originales!$E53</f>
        <v>#DIV/0!</v>
      </c>
      <c r="BD57" s="6" t="e">
        <f>Datos_originales!$AD53/Datos_originales!$E53</f>
        <v>#DIV/0!</v>
      </c>
      <c r="BE57" s="6" t="e">
        <f>Datos_originales!$AE53/Datos_originales!$E53</f>
        <v>#DIV/0!</v>
      </c>
      <c r="BF57" s="6" t="e">
        <f>Datos_originales!$AF53/Datos_originales!$E53</f>
        <v>#DIV/0!</v>
      </c>
      <c r="BG57" s="6" t="e">
        <f>Datos_originales!$AG53/Datos_originales!$E53</f>
        <v>#DIV/0!</v>
      </c>
    </row>
    <row r="58" spans="1:59" ht="15.75" customHeight="1">
      <c r="A58" s="2">
        <v>20601</v>
      </c>
      <c r="B58" s="3" t="s">
        <v>85</v>
      </c>
      <c r="C58" s="4" t="s">
        <v>153</v>
      </c>
      <c r="D58" s="4">
        <f>IF(Table_1[[#This Row],[Forest cover 2011]]&lt;1000,"Bosque menor a 1000 ha",Table_1[[#This Row],[Forest cover 2011]])</f>
        <v>57828.959999999999</v>
      </c>
      <c r="E58" s="4">
        <v>57828.959999999999</v>
      </c>
      <c r="F58" s="5">
        <f>AVERAGE(Datos_originales!$H92:$J92)</f>
        <v>0</v>
      </c>
      <c r="G58" s="5">
        <f>AVERAGE(Datos_originales!$R92:$T92)</f>
        <v>0</v>
      </c>
      <c r="H58" s="4">
        <v>50.489999999999988</v>
      </c>
      <c r="I58" s="4">
        <v>51.48</v>
      </c>
      <c r="J58" s="4">
        <v>52.38</v>
      </c>
      <c r="K58" s="4">
        <v>29.7</v>
      </c>
      <c r="L58" s="4">
        <v>40.32</v>
      </c>
      <c r="M58" s="4">
        <v>19.440000000000001</v>
      </c>
      <c r="N58" s="4">
        <v>46.89</v>
      </c>
      <c r="O58" s="4">
        <v>22.41</v>
      </c>
      <c r="P58" s="4">
        <v>71.64</v>
      </c>
      <c r="Q58" s="4">
        <v>8.91</v>
      </c>
      <c r="R58" s="4">
        <v>22.59</v>
      </c>
      <c r="S58" s="4">
        <v>205.2</v>
      </c>
      <c r="T58" s="4">
        <v>166.59</v>
      </c>
      <c r="U58" s="4">
        <v>330.66</v>
      </c>
      <c r="V58" s="4">
        <v>131.22</v>
      </c>
      <c r="W58" s="4">
        <v>189.18</v>
      </c>
      <c r="X58" s="4">
        <v>83.34</v>
      </c>
      <c r="Y58" s="4">
        <v>68.489999999999995</v>
      </c>
      <c r="Z58" s="4">
        <v>30.69</v>
      </c>
      <c r="AA58" s="4">
        <v>72.72</v>
      </c>
      <c r="AB58" s="4">
        <v>224.46</v>
      </c>
      <c r="AC58" s="4">
        <v>104.94</v>
      </c>
      <c r="AD58" s="4">
        <v>34.11</v>
      </c>
      <c r="AE58" s="4">
        <v>32.76</v>
      </c>
      <c r="AF58" s="4">
        <v>239.85</v>
      </c>
      <c r="AG58" s="4">
        <v>947.06999999999994</v>
      </c>
      <c r="AH58" s="6" t="e">
        <f>Datos_originales!$H92/Datos_originales!$E92</f>
        <v>#DIV/0!</v>
      </c>
      <c r="AI58" s="6" t="e">
        <f>Datos_originales!$I92/Datos_originales!$E92</f>
        <v>#DIV/0!</v>
      </c>
      <c r="AJ58" s="6" t="e">
        <f>Datos_originales!$J92/Datos_originales!$E92</f>
        <v>#DIV/0!</v>
      </c>
      <c r="AK58" s="6" t="e">
        <f>Datos_originales!$K92/Datos_originales!$E92</f>
        <v>#DIV/0!</v>
      </c>
      <c r="AL58" s="6" t="e">
        <f>Datos_originales!$L92/Datos_originales!$E92</f>
        <v>#DIV/0!</v>
      </c>
      <c r="AM58" s="6" t="e">
        <f>Datos_originales!$M92/Datos_originales!$E92</f>
        <v>#DIV/0!</v>
      </c>
      <c r="AN58" s="6" t="e">
        <f>Datos_originales!$N92/Datos_originales!$E92</f>
        <v>#DIV/0!</v>
      </c>
      <c r="AO58" s="6" t="e">
        <f>Datos_originales!$O92/Datos_originales!$E92</f>
        <v>#DIV/0!</v>
      </c>
      <c r="AP58" s="6" t="e">
        <f>Datos_originales!$P92/Datos_originales!$E92</f>
        <v>#DIV/0!</v>
      </c>
      <c r="AQ58" s="6" t="e">
        <f>Datos_originales!$Q92/Datos_originales!$E92</f>
        <v>#DIV/0!</v>
      </c>
      <c r="AR58" s="6" t="e">
        <f>Datos_originales!$R92/Datos_originales!$E92</f>
        <v>#DIV/0!</v>
      </c>
      <c r="AS58" s="6" t="e">
        <f>Datos_originales!$S92/Datos_originales!$E92</f>
        <v>#DIV/0!</v>
      </c>
      <c r="AT58" s="6" t="e">
        <f>Datos_originales!$T92/Datos_originales!$E92</f>
        <v>#DIV/0!</v>
      </c>
      <c r="AU58" s="6" t="e">
        <f>Datos_originales!$U92/Datos_originales!$E92</f>
        <v>#DIV/0!</v>
      </c>
      <c r="AV58" s="6" t="e">
        <f>Datos_originales!$V92/Datos_originales!$E92</f>
        <v>#DIV/0!</v>
      </c>
      <c r="AW58" s="6" t="e">
        <f>Datos_originales!$W92/Datos_originales!$E92</f>
        <v>#DIV/0!</v>
      </c>
      <c r="AX58" s="6" t="e">
        <f>Datos_originales!$X92/Datos_originales!$E92</f>
        <v>#DIV/0!</v>
      </c>
      <c r="AY58" s="6" t="e">
        <f>Datos_originales!$Y92/Datos_originales!$E92</f>
        <v>#DIV/0!</v>
      </c>
      <c r="AZ58" s="6" t="e">
        <f>Datos_originales!$Z92/Datos_originales!$E92</f>
        <v>#DIV/0!</v>
      </c>
      <c r="BA58" s="6" t="e">
        <f>Datos_originales!$AA92/Datos_originales!$E92</f>
        <v>#DIV/0!</v>
      </c>
      <c r="BB58" s="6" t="e">
        <f>Datos_originales!$AB92/Datos_originales!$E92</f>
        <v>#DIV/0!</v>
      </c>
      <c r="BC58" s="6" t="e">
        <f>Datos_originales!$AC92/Datos_originales!$E92</f>
        <v>#DIV/0!</v>
      </c>
      <c r="BD58" s="6" t="e">
        <f>Datos_originales!$AD92/Datos_originales!$E92</f>
        <v>#DIV/0!</v>
      </c>
      <c r="BE58" s="6" t="e">
        <f>Datos_originales!$AE92/Datos_originales!$E92</f>
        <v>#DIV/0!</v>
      </c>
      <c r="BF58" s="6" t="e">
        <f>Datos_originales!$AF92/Datos_originales!$E92</f>
        <v>#DIV/0!</v>
      </c>
      <c r="BG58" s="6" t="e">
        <f>Datos_originales!$AG92/Datos_originales!$E92</f>
        <v>#DIV/0!</v>
      </c>
    </row>
    <row r="59" spans="1:59" ht="15.75" customHeight="1">
      <c r="A59" s="2">
        <v>20602</v>
      </c>
      <c r="B59" s="3" t="s">
        <v>85</v>
      </c>
      <c r="C59" s="4" t="s">
        <v>183</v>
      </c>
      <c r="D59" s="4">
        <f>IF(Table_1[[#This Row],[Forest cover 2011]]&lt;1000,"Bosque menor a 1000 ha",Table_1[[#This Row],[Forest cover 2011]])</f>
        <v>267264.18</v>
      </c>
      <c r="E59" s="4">
        <v>267264.18</v>
      </c>
      <c r="F59" s="5">
        <f>AVERAGE(Datos_originales!$H123:$J123)</f>
        <v>2.97</v>
      </c>
      <c r="G59" s="5">
        <f>AVERAGE(Datos_originales!$R123:$T123)</f>
        <v>28.350000000000005</v>
      </c>
      <c r="H59" s="4">
        <v>233.1</v>
      </c>
      <c r="I59" s="4">
        <v>491.67</v>
      </c>
      <c r="J59" s="4">
        <v>653.31000000000006</v>
      </c>
      <c r="K59" s="4">
        <v>440.55</v>
      </c>
      <c r="L59" s="4">
        <v>534.51</v>
      </c>
      <c r="M59" s="4">
        <v>376.92</v>
      </c>
      <c r="N59" s="4">
        <v>464.4</v>
      </c>
      <c r="O59" s="4">
        <v>405.54</v>
      </c>
      <c r="P59" s="4">
        <v>792.27</v>
      </c>
      <c r="Q59" s="4">
        <v>529.55999999999995</v>
      </c>
      <c r="R59" s="4">
        <v>240.21</v>
      </c>
      <c r="S59" s="4">
        <v>4695.75</v>
      </c>
      <c r="T59" s="4">
        <v>1124.28</v>
      </c>
      <c r="U59" s="4">
        <v>402.93</v>
      </c>
      <c r="V59" s="4">
        <v>574.20000000000005</v>
      </c>
      <c r="W59" s="4">
        <v>795.06</v>
      </c>
      <c r="X59" s="4">
        <v>509.85</v>
      </c>
      <c r="Y59" s="4">
        <v>575.09999999999991</v>
      </c>
      <c r="Z59" s="4">
        <v>399.42</v>
      </c>
      <c r="AA59" s="4">
        <v>510.48</v>
      </c>
      <c r="AB59" s="4">
        <v>558.18000000000006</v>
      </c>
      <c r="AC59" s="4">
        <v>865.71</v>
      </c>
      <c r="AD59" s="4">
        <v>642.41999999999996</v>
      </c>
      <c r="AE59" s="4">
        <v>255.69</v>
      </c>
      <c r="AF59" s="4">
        <v>4809.0600000000004</v>
      </c>
      <c r="AG59" s="4">
        <v>2025.63</v>
      </c>
      <c r="AH59" s="6">
        <f>Datos_originales!$H123/Datos_originales!$E123</f>
        <v>2.3727473024122932E-4</v>
      </c>
      <c r="AI59" s="6">
        <f>Datos_originales!$I123/Datos_originales!$E123</f>
        <v>3.0506751031015206E-4</v>
      </c>
      <c r="AJ59" s="6">
        <f>Datos_originales!$J123/Datos_originales!$E123</f>
        <v>5.7623863058584262E-4</v>
      </c>
      <c r="AK59" s="6">
        <f>Datos_originales!$K123/Datos_originales!$E123</f>
        <v>3.2766510366645957E-4</v>
      </c>
      <c r="AL59" s="6">
        <f>Datos_originales!$L123/Datos_originales!$E123</f>
        <v>2.2597593356307556E-4</v>
      </c>
      <c r="AM59" s="6">
        <f>Datos_originales!$M123/Datos_originales!$E123</f>
        <v>2.4857352691938311E-4</v>
      </c>
      <c r="AN59" s="6">
        <f>Datos_originales!$N123/Datos_originales!$E123</f>
        <v>1.5818315349415291E-4</v>
      </c>
      <c r="AO59" s="6">
        <f>Datos_originales!$O123/Datos_originales!$E123</f>
        <v>1.0168917010338401E-4</v>
      </c>
      <c r="AP59" s="6">
        <f>Datos_originales!$P123/Datos_originales!$E123</f>
        <v>1.1411784644935316E-3</v>
      </c>
      <c r="AQ59" s="6">
        <f>Datos_originales!$Q123/Datos_originales!$E123</f>
        <v>4.5195186712615113E-5</v>
      </c>
      <c r="AR59" s="6">
        <f>Datos_originales!$R123/Datos_originales!$E123</f>
        <v>1.3558556013784534E-4</v>
      </c>
      <c r="AS59" s="6">
        <f>Datos_originales!$S123/Datos_originales!$E123</f>
        <v>2.203265352239987E-3</v>
      </c>
      <c r="AT59" s="6">
        <f>Datos_originales!$T123/Datos_originales!$E123</f>
        <v>8.3385119484774891E-3</v>
      </c>
      <c r="AU59" s="6">
        <f>Datos_originales!$U123/Datos_originales!$E123</f>
        <v>6.4968080899384228E-3</v>
      </c>
      <c r="AV59" s="6">
        <f>Datos_originales!$V123/Datos_originales!$E123</f>
        <v>2.3388509123778321E-3</v>
      </c>
      <c r="AW59" s="6">
        <f>Datos_originales!$W123/Datos_originales!$E123</f>
        <v>1.2360883565900233E-2</v>
      </c>
      <c r="AX59" s="6">
        <f>Datos_originales!$X123/Datos_originales!$E123</f>
        <v>1.9998870120332187E-3</v>
      </c>
      <c r="AY59" s="6">
        <f>Datos_originales!$Y123/Datos_originales!$E123</f>
        <v>1.4688435681599911E-3</v>
      </c>
      <c r="AZ59" s="6">
        <f>Datos_originales!$Z123/Datos_originales!$E123</f>
        <v>8.9260493757414839E-4</v>
      </c>
      <c r="BA59" s="6">
        <f>Datos_originales!$AA123/Datos_originales!$E123</f>
        <v>5.8753742726399638E-4</v>
      </c>
      <c r="BB59" s="6">
        <f>Datos_originales!$AB123/Datos_originales!$E123</f>
        <v>8.9260493757414839E-4</v>
      </c>
      <c r="BC59" s="6">
        <f>Datos_originales!$AC123/Datos_originales!$E123</f>
        <v>2.9489859329981361E-3</v>
      </c>
      <c r="BD59" s="6">
        <f>Datos_originales!$AD123/Datos_originales!$E123</f>
        <v>7.3442178407999556E-4</v>
      </c>
      <c r="BE59" s="6">
        <f>Datos_originales!$AE123/Datos_originales!$E123</f>
        <v>3.9545788373538223E-4</v>
      </c>
      <c r="BF59" s="6">
        <f>Datos_originales!$AF123/Datos_originales!$E123</f>
        <v>2.8246991695384444E-3</v>
      </c>
      <c r="BG59" s="6">
        <f>Datos_originales!$AG123/Datos_originales!$E123</f>
        <v>1.9253149539574039E-2</v>
      </c>
    </row>
    <row r="60" spans="1:59" ht="15.75" customHeight="1">
      <c r="A60" s="2">
        <v>20603</v>
      </c>
      <c r="B60" s="3" t="s">
        <v>85</v>
      </c>
      <c r="C60" s="4" t="s">
        <v>163</v>
      </c>
      <c r="D60" s="4">
        <f>IF(Table_1[[#This Row],[Forest cover 2011]]&lt;1000,"Bosque menor a 1000 ha",Table_1[[#This Row],[Forest cover 2011]])</f>
        <v>53398.080000000002</v>
      </c>
      <c r="E60" s="4">
        <v>53398.080000000002</v>
      </c>
      <c r="F60" s="5">
        <f>AVERAGE(Datos_originales!$H102:$J102)</f>
        <v>108.24000000000001</v>
      </c>
      <c r="G60" s="5">
        <f>AVERAGE(Datos_originales!$R102:$T102)</f>
        <v>753.15000000000009</v>
      </c>
      <c r="H60" s="4">
        <v>45.27</v>
      </c>
      <c r="I60" s="4">
        <v>49.86</v>
      </c>
      <c r="J60" s="4">
        <v>44.55</v>
      </c>
      <c r="K60" s="4">
        <v>36.54</v>
      </c>
      <c r="L60" s="4">
        <v>25.74</v>
      </c>
      <c r="M60" s="4">
        <v>14.22</v>
      </c>
      <c r="N60" s="4">
        <v>59.67</v>
      </c>
      <c r="O60" s="4">
        <v>32.76</v>
      </c>
      <c r="P60" s="4">
        <v>83.61</v>
      </c>
      <c r="Q60" s="4">
        <v>62.28</v>
      </c>
      <c r="R60" s="4">
        <v>22.95</v>
      </c>
      <c r="S60" s="4">
        <v>396.99</v>
      </c>
      <c r="T60" s="4">
        <v>339.92999999999989</v>
      </c>
      <c r="U60" s="4">
        <v>206.55</v>
      </c>
      <c r="V60" s="4">
        <v>108.54</v>
      </c>
      <c r="W60" s="4">
        <v>147.06</v>
      </c>
      <c r="X60" s="4">
        <v>60.930000000000007</v>
      </c>
      <c r="Y60" s="4">
        <v>43.02</v>
      </c>
      <c r="Z60" s="4">
        <v>30.78</v>
      </c>
      <c r="AA60" s="4">
        <v>85.22999999999999</v>
      </c>
      <c r="AB60" s="4">
        <v>66.150000000000006</v>
      </c>
      <c r="AC60" s="4">
        <v>104.31</v>
      </c>
      <c r="AD60" s="4">
        <v>104.67</v>
      </c>
      <c r="AE60" s="4">
        <v>33.299999999999997</v>
      </c>
      <c r="AF60" s="4">
        <v>456.39</v>
      </c>
      <c r="AG60" s="4">
        <v>736.74</v>
      </c>
      <c r="AH60" s="6">
        <f>Datos_originales!$H102/Datos_originales!$E102</f>
        <v>9.1342625540582676E-4</v>
      </c>
      <c r="AI60" s="6">
        <f>Datos_originales!$I102/Datos_originales!$E102</f>
        <v>9.0324622621690677E-4</v>
      </c>
      <c r="AJ60" s="6">
        <f>Datos_originales!$J102/Datos_originales!$E102</f>
        <v>1.5223770923430448E-3</v>
      </c>
      <c r="AK60" s="6">
        <f>Datos_originales!$K102/Datos_originales!$E102</f>
        <v>1.5936372966654849E-3</v>
      </c>
      <c r="AL60" s="6">
        <f>Datos_originales!$L102/Datos_originales!$E102</f>
        <v>1.4501914308216114E-3</v>
      </c>
      <c r="AM60" s="6">
        <f>Datos_originales!$M102/Datos_originales!$E102</f>
        <v>1.1355359831640825E-3</v>
      </c>
      <c r="AN60" s="6">
        <f>Datos_originales!$N102/Datos_originales!$E102</f>
        <v>2.7921043693610731E-3</v>
      </c>
      <c r="AO60" s="6">
        <f>Datos_originales!$O102/Datos_originales!$E102</f>
        <v>2.0656204681517784E-3</v>
      </c>
      <c r="AP60" s="6">
        <f>Datos_originales!$P102/Datos_originales!$E102</f>
        <v>2.6866022486759017E-3</v>
      </c>
      <c r="AQ60" s="6">
        <f>Datos_originales!$Q102/Datos_originales!$E102</f>
        <v>3.4889736402026009E-4</v>
      </c>
      <c r="AR60" s="6">
        <f>Datos_originales!$R102/Datos_originales!$E102</f>
        <v>1.5788299814816012E-3</v>
      </c>
      <c r="AS60" s="6">
        <f>Datos_originales!$S102/Datos_originales!$E102</f>
        <v>2.0109259476913079E-2</v>
      </c>
      <c r="AT60" s="6">
        <f>Datos_originales!$T102/Datos_originales!$E102</f>
        <v>1.5455135223178631E-3</v>
      </c>
      <c r="AU60" s="6">
        <f>Datos_originales!$U102/Datos_originales!$E102</f>
        <v>1.2188271310734284E-3</v>
      </c>
      <c r="AV60" s="6">
        <f>Datos_originales!$V102/Datos_originales!$E102</f>
        <v>1.0522448352547366E-3</v>
      </c>
      <c r="AW60" s="6">
        <f>Datos_originales!$W102/Datos_originales!$E102</f>
        <v>1.980478405844447E-3</v>
      </c>
      <c r="AX60" s="6">
        <f>Datos_originales!$X102/Datos_originales!$E102</f>
        <v>1.7139467325345402E-3</v>
      </c>
      <c r="AY60" s="6">
        <f>Datos_originales!$Y102/Datos_originales!$E102</f>
        <v>1.5233025495420371E-3</v>
      </c>
      <c r="AZ60" s="6">
        <f>Datos_originales!$Z102/Datos_originales!$E102</f>
        <v>1.1771815571187554E-3</v>
      </c>
      <c r="BA60" s="6">
        <f>Datos_originales!$AA102/Datos_originales!$E102</f>
        <v>2.8874264608573248E-3</v>
      </c>
      <c r="BB60" s="6">
        <f>Datos_originales!$AB102/Datos_originales!$E102</f>
        <v>2.1396570440711973E-3</v>
      </c>
      <c r="BC60" s="6">
        <f>Datos_originales!$AC102/Datos_originales!$E102</f>
        <v>2.7624897389933057E-3</v>
      </c>
      <c r="BD60" s="6">
        <f>Datos_originales!$AD102/Datos_originales!$E102</f>
        <v>4.8031228627722804E-4</v>
      </c>
      <c r="BE60" s="6">
        <f>Datos_originales!$AE102/Datos_originales!$E102</f>
        <v>1.5954882110634705E-3</v>
      </c>
      <c r="BF60" s="6">
        <f>Datos_originales!$AF102/Datos_originales!$E102</f>
        <v>2.0325816461477381E-2</v>
      </c>
      <c r="BG60" s="6">
        <f>Datos_originales!$AG102/Datos_originales!$E102</f>
        <v>3.9276403525251554E-3</v>
      </c>
    </row>
    <row r="61" spans="1:59" ht="15.75" customHeight="1">
      <c r="A61" s="2">
        <v>20604</v>
      </c>
      <c r="B61" s="3" t="s">
        <v>85</v>
      </c>
      <c r="C61" s="4" t="s">
        <v>94</v>
      </c>
      <c r="D61" s="4" t="str">
        <f>IF(Table_1[[#This Row],[Forest cover 2011]]&lt;1000,"Bosque menor a 1000 ha",Table_1[[#This Row],[Forest cover 2011]])</f>
        <v>Bosque menor a 1000 ha</v>
      </c>
      <c r="E61" s="4">
        <v>958.5</v>
      </c>
      <c r="F61" s="5">
        <f>AVERAGE(Datos_originales!$H32:$J32)</f>
        <v>4.8900000000000006</v>
      </c>
      <c r="G61" s="5">
        <f>AVERAGE(Datos_originales!$R32:$T32)</f>
        <v>95.850000000000009</v>
      </c>
      <c r="H61" s="4">
        <v>2.88</v>
      </c>
      <c r="I61" s="4">
        <v>0.9</v>
      </c>
      <c r="J61" s="4">
        <v>0.72</v>
      </c>
      <c r="K61" s="4">
        <v>0.80999999999999994</v>
      </c>
      <c r="L61" s="4">
        <v>0.54</v>
      </c>
      <c r="M61" s="4">
        <v>0.81</v>
      </c>
      <c r="N61" s="4">
        <v>2.52</v>
      </c>
      <c r="O61" s="4">
        <v>1.62</v>
      </c>
      <c r="P61" s="4">
        <v>8.19</v>
      </c>
      <c r="Q61" s="4">
        <v>0</v>
      </c>
      <c r="R61" s="4">
        <v>0.27</v>
      </c>
      <c r="S61" s="4">
        <v>3.6</v>
      </c>
      <c r="T61" s="4">
        <v>24.3</v>
      </c>
      <c r="U61" s="4">
        <v>10.71</v>
      </c>
      <c r="V61" s="4">
        <v>5.85</v>
      </c>
      <c r="W61" s="4">
        <v>12.69</v>
      </c>
      <c r="X61" s="4">
        <v>1.98</v>
      </c>
      <c r="Y61" s="4">
        <v>1.35</v>
      </c>
      <c r="Z61" s="4">
        <v>1.62</v>
      </c>
      <c r="AA61" s="4">
        <v>3.6</v>
      </c>
      <c r="AB61" s="4">
        <v>2.52</v>
      </c>
      <c r="AC61" s="4">
        <v>8.82</v>
      </c>
      <c r="AD61" s="4">
        <v>0.18</v>
      </c>
      <c r="AE61" s="4">
        <v>0.27</v>
      </c>
      <c r="AF61" s="4">
        <v>5.4</v>
      </c>
      <c r="AG61" s="4">
        <v>59.94</v>
      </c>
      <c r="AH61" s="6">
        <f>Datos_originales!$H32/Datos_originales!$E32</f>
        <v>9.2511692450017989E-4</v>
      </c>
      <c r="AI61" s="6">
        <f>Datos_originales!$I32/Datos_originales!$E32</f>
        <v>3.0837230816672663E-3</v>
      </c>
      <c r="AJ61" s="6">
        <f>Datos_originales!$J32/Datos_originales!$E32</f>
        <v>4.3686076990286276E-3</v>
      </c>
      <c r="AK61" s="6">
        <f>Datos_originales!$K32/Datos_originales!$E32</f>
        <v>1.4904661561391786E-3</v>
      </c>
      <c r="AL61" s="6">
        <f>Datos_originales!$L32/Datos_originales!$E32</f>
        <v>9.7651230919463422E-4</v>
      </c>
      <c r="AM61" s="6">
        <f>Datos_originales!$M32/Datos_originales!$E32</f>
        <v>6.6814000102790759E-4</v>
      </c>
      <c r="AN61" s="6">
        <f>Datos_originales!$N32/Datos_originales!$E32</f>
        <v>2.0044200030837228E-3</v>
      </c>
      <c r="AO61" s="6">
        <f>Datos_originales!$O32/Datos_originales!$E32</f>
        <v>1.21807061725857E-2</v>
      </c>
      <c r="AP61" s="6">
        <f>Datos_originales!$P32/Datos_originales!$E32</f>
        <v>1.0998612324613249E-2</v>
      </c>
      <c r="AQ61" s="6">
        <f>Datos_originales!$Q32/Datos_originales!$E32</f>
        <v>1.5932569255280875E-3</v>
      </c>
      <c r="AR61" s="6">
        <f>Datos_originales!$R32/Datos_originales!$E32</f>
        <v>1.3208613866474789E-2</v>
      </c>
      <c r="AS61" s="6">
        <f>Datos_originales!$S32/Datos_originales!$E32</f>
        <v>7.765842627332066E-2</v>
      </c>
      <c r="AT61" s="6">
        <f>Datos_originales!$T32/Datos_originales!$E32</f>
        <v>7.3341213958986476E-2</v>
      </c>
      <c r="AU61" s="6">
        <f>Datos_originales!$U32/Datos_originales!$E32</f>
        <v>3.2379092357506293E-3</v>
      </c>
      <c r="AV61" s="6">
        <f>Datos_originales!$V32/Datos_originales!$E32</f>
        <v>1.3568381559335973E-2</v>
      </c>
      <c r="AW61" s="6">
        <f>Datos_originales!$W32/Datos_originales!$E32</f>
        <v>3.0580253893200387E-2</v>
      </c>
      <c r="AX61" s="6">
        <f>Datos_originales!$X32/Datos_originales!$E32</f>
        <v>1.0124890784807524E-2</v>
      </c>
      <c r="AY61" s="6">
        <f>Datos_originales!$Y32/Datos_originales!$E32</f>
        <v>4.8825615459731717E-3</v>
      </c>
      <c r="AZ61" s="6">
        <f>Datos_originales!$Z32/Datos_originales!$E32</f>
        <v>9.9193092460297064E-3</v>
      </c>
      <c r="BA61" s="6">
        <f>Datos_originales!$AA32/Datos_originales!$E32</f>
        <v>1.21807061725857E-2</v>
      </c>
      <c r="BB61" s="6">
        <f>Datos_originales!$AB32/Datos_originales!$E32</f>
        <v>6.8972606259957853E-2</v>
      </c>
      <c r="BC61" s="6">
        <f>Datos_originales!$AC32/Datos_originales!$E32</f>
        <v>7.6476332425348195E-2</v>
      </c>
      <c r="BD61" s="6">
        <f>Datos_originales!$AD32/Datos_originales!$E32</f>
        <v>2.0044200030837228E-3</v>
      </c>
      <c r="BE61" s="6">
        <f>Datos_originales!$AE32/Datos_originales!$E32</f>
        <v>1.3208613866474789E-2</v>
      </c>
      <c r="BF61" s="6">
        <f>Datos_originales!$AF32/Datos_originales!$E32</f>
        <v>8.6909595518322447E-2</v>
      </c>
      <c r="BG61" s="6">
        <f>Datos_originales!$AG32/Datos_originales!$E32</f>
        <v>7.5705401654931379E-2</v>
      </c>
    </row>
    <row r="62" spans="1:59" ht="15.75" customHeight="1">
      <c r="A62" s="2">
        <v>20605</v>
      </c>
      <c r="B62" s="3" t="s">
        <v>85</v>
      </c>
      <c r="C62" s="4" t="s">
        <v>213</v>
      </c>
      <c r="D62" s="4" t="str">
        <f>IF(Table_1[[#This Row],[Forest cover 2011]]&lt;1000,"Bosque menor a 1000 ha",Table_1[[#This Row],[Forest cover 2011]])</f>
        <v>Bosque menor a 1000 ha</v>
      </c>
      <c r="E62" s="4">
        <v>367.56</v>
      </c>
      <c r="F62" s="5">
        <f>AVERAGE(Datos_originales!$H155:$J155)</f>
        <v>0.18000000000000002</v>
      </c>
      <c r="G62" s="5">
        <f>AVERAGE(Datos_originales!$R155:$T155)</f>
        <v>2.1</v>
      </c>
      <c r="H62" s="4">
        <v>0.18</v>
      </c>
      <c r="I62" s="4">
        <v>0.27</v>
      </c>
      <c r="J62" s="4">
        <v>0.81</v>
      </c>
      <c r="K62" s="4">
        <v>0.36</v>
      </c>
      <c r="L62" s="4">
        <v>1.26</v>
      </c>
      <c r="M62" s="4">
        <v>0.09</v>
      </c>
      <c r="N62" s="4">
        <v>0.09</v>
      </c>
      <c r="O62" s="4">
        <v>0.18</v>
      </c>
      <c r="P62" s="4">
        <v>0.81</v>
      </c>
      <c r="Q62" s="4">
        <v>0</v>
      </c>
      <c r="R62" s="4">
        <v>0</v>
      </c>
      <c r="S62" s="4">
        <v>0.18</v>
      </c>
      <c r="T62" s="4">
        <v>1.53</v>
      </c>
      <c r="U62" s="4">
        <v>3.51</v>
      </c>
      <c r="V62" s="4">
        <v>2.79</v>
      </c>
      <c r="W62" s="4">
        <v>6.48</v>
      </c>
      <c r="X62" s="4">
        <v>0.81</v>
      </c>
      <c r="Y62" s="4">
        <v>1.71</v>
      </c>
      <c r="Z62" s="4">
        <v>0.18</v>
      </c>
      <c r="AA62" s="4">
        <v>0.36</v>
      </c>
      <c r="AB62" s="4">
        <v>1.71</v>
      </c>
      <c r="AC62" s="4">
        <v>0.99</v>
      </c>
      <c r="AD62" s="4">
        <v>0</v>
      </c>
      <c r="AE62" s="4">
        <v>0</v>
      </c>
      <c r="AF62" s="4">
        <v>0.18</v>
      </c>
      <c r="AG62" s="4">
        <v>1.62</v>
      </c>
      <c r="AH62" s="6">
        <f>Datos_originales!$H155/Datos_originales!$E155</f>
        <v>7.5180904050371208E-5</v>
      </c>
      <c r="AI62" s="6">
        <f>Datos_originales!$I155/Datos_originales!$E155</f>
        <v>0</v>
      </c>
      <c r="AJ62" s="6">
        <f>Datos_originales!$J155/Datos_originales!$E155</f>
        <v>3.7590452025185604E-5</v>
      </c>
      <c r="AK62" s="6">
        <f>Datos_originales!$K155/Datos_originales!$E155</f>
        <v>0</v>
      </c>
      <c r="AL62" s="6">
        <f>Datos_originales!$L155/Datos_originales!$E155</f>
        <v>0</v>
      </c>
      <c r="AM62" s="6">
        <f>Datos_originales!$M155/Datos_originales!$E155</f>
        <v>0</v>
      </c>
      <c r="AN62" s="6">
        <f>Datos_originales!$N155/Datos_originales!$E155</f>
        <v>0</v>
      </c>
      <c r="AO62" s="6">
        <f>Datos_originales!$O155/Datos_originales!$E155</f>
        <v>0</v>
      </c>
      <c r="AP62" s="6">
        <f>Datos_originales!$P155/Datos_originales!$E155</f>
        <v>1.6915703411333522E-4</v>
      </c>
      <c r="AQ62" s="6">
        <f>Datos_originales!$Q155/Datos_originales!$E155</f>
        <v>2.6313316417629921E-4</v>
      </c>
      <c r="AR62" s="6">
        <f>Datos_originales!$R155/Datos_originales!$E155</f>
        <v>5.6385678037778415E-4</v>
      </c>
      <c r="AS62" s="6">
        <f>Datos_originales!$S155/Datos_originales!$E155</f>
        <v>7.1421858847852651E-4</v>
      </c>
      <c r="AT62" s="6">
        <f>Datos_originales!$T155/Datos_originales!$E155</f>
        <v>3.7590452025185604E-5</v>
      </c>
      <c r="AU62" s="6">
        <f>Datos_originales!$U155/Datos_originales!$E155</f>
        <v>2.4057889296118786E-3</v>
      </c>
      <c r="AV62" s="6">
        <f>Datos_originales!$V155/Datos_originales!$E155</f>
        <v>3.7026595244807822E-3</v>
      </c>
      <c r="AW62" s="6">
        <f>Datos_originales!$W155/Datos_originales!$E155</f>
        <v>1.6370641856968331E-2</v>
      </c>
      <c r="AX62" s="6">
        <f>Datos_originales!$X155/Datos_originales!$E155</f>
        <v>4.9995301193496858E-3</v>
      </c>
      <c r="AY62" s="6">
        <f>Datos_originales!$Y155/Datos_originales!$E155</f>
        <v>1.5975942110703883E-3</v>
      </c>
      <c r="AZ62" s="6">
        <f>Datos_originales!$Z155/Datos_originales!$E155</f>
        <v>9.0780941640823225E-3</v>
      </c>
      <c r="BA62" s="6">
        <f>Datos_originales!$AA155/Datos_originales!$E155</f>
        <v>6.1648341321304386E-3</v>
      </c>
      <c r="BB62" s="6">
        <f>Datos_originales!$AB155/Datos_originales!$E155</f>
        <v>3.0373085236349968E-2</v>
      </c>
      <c r="BC62" s="6">
        <f>Datos_originales!$AC155/Datos_originales!$E155</f>
        <v>3.1350436989004797E-2</v>
      </c>
      <c r="BD62" s="6">
        <f>Datos_originales!$AD155/Datos_originales!$E155</f>
        <v>5.0747110234000573E-4</v>
      </c>
      <c r="BE62" s="6">
        <f>Datos_originales!$AE155/Datos_originales!$E155</f>
        <v>1.1840992387933465E-3</v>
      </c>
      <c r="BF62" s="6">
        <f>Datos_originales!$AF155/Datos_originales!$E155</f>
        <v>6.5219434263697022E-3</v>
      </c>
      <c r="BG62" s="6">
        <f>Datos_originales!$AG155/Datos_originales!$E155</f>
        <v>7.5180904050371208E-5</v>
      </c>
    </row>
    <row r="63" spans="1:59" ht="15.75" customHeight="1">
      <c r="A63" s="2">
        <v>20606</v>
      </c>
      <c r="B63" s="3" t="s">
        <v>85</v>
      </c>
      <c r="C63" s="4" t="s">
        <v>194</v>
      </c>
      <c r="D63" s="4">
        <f>IF(Table_1[[#This Row],[Forest cover 2011]]&lt;1000,"Bosque menor a 1000 ha",Table_1[[#This Row],[Forest cover 2011]])</f>
        <v>21546.36</v>
      </c>
      <c r="E63" s="4">
        <v>21546.36</v>
      </c>
      <c r="F63" s="5">
        <f>AVERAGE(Datos_originales!$H134:$J134)</f>
        <v>0.26999999999999996</v>
      </c>
      <c r="G63" s="5">
        <f>AVERAGE(Datos_originales!$R134:$T134)</f>
        <v>4.59</v>
      </c>
      <c r="H63" s="4">
        <v>49.95</v>
      </c>
      <c r="I63" s="4">
        <v>80.91</v>
      </c>
      <c r="J63" s="4">
        <v>96.48</v>
      </c>
      <c r="K63" s="4">
        <v>63.54</v>
      </c>
      <c r="L63" s="4">
        <v>70.289999999999992</v>
      </c>
      <c r="M63" s="4">
        <v>21.06</v>
      </c>
      <c r="N63" s="4">
        <v>77.759999999999991</v>
      </c>
      <c r="O63" s="4">
        <v>54.72</v>
      </c>
      <c r="P63" s="4">
        <v>96.84</v>
      </c>
      <c r="Q63" s="4">
        <v>42.75</v>
      </c>
      <c r="R63" s="4">
        <v>24.66</v>
      </c>
      <c r="S63" s="4">
        <v>563.49</v>
      </c>
      <c r="T63" s="4">
        <v>112.23</v>
      </c>
      <c r="U63" s="4">
        <v>70.11</v>
      </c>
      <c r="V63" s="4">
        <v>100.35</v>
      </c>
      <c r="W63" s="4">
        <v>122.04</v>
      </c>
      <c r="X63" s="4">
        <v>71.64</v>
      </c>
      <c r="Y63" s="4">
        <v>74.7</v>
      </c>
      <c r="Z63" s="4">
        <v>25.38</v>
      </c>
      <c r="AA63" s="4">
        <v>82.71</v>
      </c>
      <c r="AB63" s="4">
        <v>57.239999999999988</v>
      </c>
      <c r="AC63" s="4">
        <v>99</v>
      </c>
      <c r="AD63" s="4">
        <v>45.540000000000013</v>
      </c>
      <c r="AE63" s="4">
        <v>26.01</v>
      </c>
      <c r="AF63" s="4">
        <v>597.69000000000005</v>
      </c>
      <c r="AG63" s="4">
        <v>136.08000000000001</v>
      </c>
      <c r="AH63" s="6">
        <f>Datos_originales!$H134/Datos_originales!$E134</f>
        <v>4.9946485907955763E-4</v>
      </c>
      <c r="AI63" s="6">
        <f>Datos_originales!$I134/Datos_originales!$E134</f>
        <v>7.1352122725651097E-5</v>
      </c>
      <c r="AJ63" s="6">
        <f>Datos_originales!$J134/Datos_originales!$E134</f>
        <v>7.1352122725651097E-5</v>
      </c>
      <c r="AK63" s="6">
        <f>Datos_originales!$K134/Datos_originales!$E134</f>
        <v>0</v>
      </c>
      <c r="AL63" s="6">
        <f>Datos_originales!$L134/Datos_originales!$E134</f>
        <v>7.1352122725651097E-5</v>
      </c>
      <c r="AM63" s="6">
        <f>Datos_originales!$M134/Datos_originales!$E134</f>
        <v>2.1405636817695329E-4</v>
      </c>
      <c r="AN63" s="6">
        <f>Datos_originales!$N134/Datos_originales!$E134</f>
        <v>0</v>
      </c>
      <c r="AO63" s="6">
        <f>Datos_originales!$O134/Datos_originales!$E134</f>
        <v>0</v>
      </c>
      <c r="AP63" s="6">
        <f>Datos_originales!$P134/Datos_originales!$E134</f>
        <v>2.2832679272208351E-3</v>
      </c>
      <c r="AQ63" s="6">
        <f>Datos_originales!$Q134/Datos_originales!$E134</f>
        <v>2.4973242953977882E-3</v>
      </c>
      <c r="AR63" s="6">
        <f>Datos_originales!$R134/Datos_originales!$E134</f>
        <v>7.5633250089190149E-3</v>
      </c>
      <c r="AS63" s="6">
        <f>Datos_originales!$S134/Datos_originales!$E134</f>
        <v>3.2821976453799506E-3</v>
      </c>
      <c r="AT63" s="6">
        <f>Datos_originales!$T134/Datos_originales!$E134</f>
        <v>7.1352122725651097E-5</v>
      </c>
      <c r="AU63" s="6">
        <f>Datos_originales!$U134/Datos_originales!$E134</f>
        <v>5.7081698180520878E-4</v>
      </c>
      <c r="AV63" s="6">
        <f>Datos_originales!$V134/Datos_originales!$E134</f>
        <v>9.275775954334641E-4</v>
      </c>
      <c r="AW63" s="6">
        <f>Datos_originales!$W134/Datos_originales!$E134</f>
        <v>2.4045665358544417E-2</v>
      </c>
      <c r="AX63" s="6">
        <f>Datos_originales!$X134/Datos_originales!$E134</f>
        <v>1.9265073135925797E-3</v>
      </c>
      <c r="AY63" s="6">
        <f>Datos_originales!$Y134/Datos_originales!$E134</f>
        <v>3.2821976453799502E-3</v>
      </c>
      <c r="AZ63" s="6">
        <f>Datos_originales!$Z134/Datos_originales!$E134</f>
        <v>5.4941134498751338E-3</v>
      </c>
      <c r="BA63" s="6">
        <f>Datos_originales!$AA134/Datos_originales!$E134</f>
        <v>4.5665358544416702E-3</v>
      </c>
      <c r="BB63" s="6">
        <f>Datos_originales!$AB134/Datos_originales!$E134</f>
        <v>6.1362825544059941E-3</v>
      </c>
      <c r="BC63" s="6">
        <f>Datos_originales!$AC134/Datos_originales!$E134</f>
        <v>6.064930431680343E-3</v>
      </c>
      <c r="BD63" s="6">
        <f>Datos_originales!$AD134/Datos_originales!$E134</f>
        <v>2.6400285408490903E-3</v>
      </c>
      <c r="BE63" s="6">
        <f>Datos_originales!$AE134/Datos_originales!$E134</f>
        <v>7.84873349982162E-3</v>
      </c>
      <c r="BF63" s="6">
        <f>Datos_originales!$AF134/Datos_originales!$E134</f>
        <v>5.2800570816981807E-3</v>
      </c>
      <c r="BG63" s="6">
        <f>Datos_originales!$AG134/Datos_originales!$E134</f>
        <v>1.4270424545130219E-4</v>
      </c>
    </row>
    <row r="64" spans="1:59" ht="15.75" customHeight="1">
      <c r="A64" s="2">
        <v>20607</v>
      </c>
      <c r="B64" s="3" t="s">
        <v>85</v>
      </c>
      <c r="C64" s="4" t="s">
        <v>156</v>
      </c>
      <c r="D64" s="4">
        <f>IF(Table_1[[#This Row],[Forest cover 2011]]&lt;1000,"Bosque menor a 1000 ha",Table_1[[#This Row],[Forest cover 2011]])</f>
        <v>137183.94</v>
      </c>
      <c r="E64" s="4">
        <v>137183.94</v>
      </c>
      <c r="F64" s="5">
        <f>AVERAGE(Datos_originales!$H95:$J95)</f>
        <v>0</v>
      </c>
      <c r="G64" s="5">
        <f>AVERAGE(Datos_originales!$R95:$T95)</f>
        <v>0</v>
      </c>
      <c r="H64" s="4">
        <v>317.33999999999997</v>
      </c>
      <c r="I64" s="4">
        <v>345.6</v>
      </c>
      <c r="J64" s="4">
        <v>478.8</v>
      </c>
      <c r="K64" s="4">
        <v>325.08</v>
      </c>
      <c r="L64" s="4">
        <v>304.74</v>
      </c>
      <c r="M64" s="4">
        <v>145.44</v>
      </c>
      <c r="N64" s="4">
        <v>615.06000000000006</v>
      </c>
      <c r="O64" s="4">
        <v>561.24</v>
      </c>
      <c r="P64" s="4">
        <v>1147.4100000000001</v>
      </c>
      <c r="Q64" s="4">
        <v>603.09</v>
      </c>
      <c r="R64" s="4">
        <v>130.13999999999999</v>
      </c>
      <c r="S64" s="4">
        <v>2861.64</v>
      </c>
      <c r="T64" s="4">
        <v>1140.93</v>
      </c>
      <c r="U64" s="4">
        <v>388.8</v>
      </c>
      <c r="V64" s="4">
        <v>410.58</v>
      </c>
      <c r="W64" s="4">
        <v>581.30999999999995</v>
      </c>
      <c r="X64" s="4">
        <v>359.46</v>
      </c>
      <c r="Y64" s="4">
        <v>336.33</v>
      </c>
      <c r="Z64" s="4">
        <v>179.37</v>
      </c>
      <c r="AA64" s="4">
        <v>687.96</v>
      </c>
      <c r="AB64" s="4">
        <v>633.96</v>
      </c>
      <c r="AC64" s="4">
        <v>1225.53</v>
      </c>
      <c r="AD64" s="4">
        <v>732.32999999999993</v>
      </c>
      <c r="AE64" s="4">
        <v>150.47999999999999</v>
      </c>
      <c r="AF64" s="4">
        <v>2974.68</v>
      </c>
      <c r="AG64" s="4">
        <v>2165.04</v>
      </c>
      <c r="AH64" s="6">
        <f>Datos_originales!$H95/Datos_originales!$E95</f>
        <v>0</v>
      </c>
      <c r="AI64" s="6">
        <f>Datos_originales!$I95/Datos_originales!$E95</f>
        <v>0</v>
      </c>
      <c r="AJ64" s="6">
        <f>Datos_originales!$J95/Datos_originales!$E95</f>
        <v>0</v>
      </c>
      <c r="AK64" s="6">
        <f>Datos_originales!$K95/Datos_originales!$E95</f>
        <v>0</v>
      </c>
      <c r="AL64" s="6">
        <f>Datos_originales!$L95/Datos_originales!$E95</f>
        <v>0</v>
      </c>
      <c r="AM64" s="6">
        <f>Datos_originales!$M95/Datos_originales!$E95</f>
        <v>0</v>
      </c>
      <c r="AN64" s="6">
        <f>Datos_originales!$N95/Datos_originales!$E95</f>
        <v>0</v>
      </c>
      <c r="AO64" s="6">
        <f>Datos_originales!$O95/Datos_originales!$E95</f>
        <v>0</v>
      </c>
      <c r="AP64" s="6">
        <f>Datos_originales!$P95/Datos_originales!$E95</f>
        <v>0</v>
      </c>
      <c r="AQ64" s="6">
        <f>Datos_originales!$Q95/Datos_originales!$E95</f>
        <v>0</v>
      </c>
      <c r="AR64" s="6">
        <f>Datos_originales!$R95/Datos_originales!$E95</f>
        <v>0</v>
      </c>
      <c r="AS64" s="6">
        <f>Datos_originales!$S95/Datos_originales!$E95</f>
        <v>0</v>
      </c>
      <c r="AT64" s="6">
        <f>Datos_originales!$T95/Datos_originales!$E95</f>
        <v>0</v>
      </c>
      <c r="AU64" s="6">
        <f>Datos_originales!$U95/Datos_originales!$E95</f>
        <v>0</v>
      </c>
      <c r="AV64" s="6">
        <f>Datos_originales!$V95/Datos_originales!$E95</f>
        <v>0</v>
      </c>
      <c r="AW64" s="6">
        <f>Datos_originales!$W95/Datos_originales!$E95</f>
        <v>1.8518518518518517E-2</v>
      </c>
      <c r="AX64" s="6">
        <f>Datos_originales!$X95/Datos_originales!$E95</f>
        <v>0</v>
      </c>
      <c r="AY64" s="6">
        <f>Datos_originales!$Y95/Datos_originales!$E95</f>
        <v>0</v>
      </c>
      <c r="AZ64" s="6">
        <f>Datos_originales!$Z95/Datos_originales!$E95</f>
        <v>0</v>
      </c>
      <c r="BA64" s="6">
        <f>Datos_originales!$AA95/Datos_originales!$E95</f>
        <v>0</v>
      </c>
      <c r="BB64" s="6">
        <f>Datos_originales!$AB95/Datos_originales!$E95</f>
        <v>0</v>
      </c>
      <c r="BC64" s="6">
        <f>Datos_originales!$AC95/Datos_originales!$E95</f>
        <v>0</v>
      </c>
      <c r="BD64" s="6">
        <f>Datos_originales!$AD95/Datos_originales!$E95</f>
        <v>0</v>
      </c>
      <c r="BE64" s="6">
        <f>Datos_originales!$AE95/Datos_originales!$E95</f>
        <v>0</v>
      </c>
      <c r="BF64" s="6">
        <f>Datos_originales!$AF95/Datos_originales!$E95</f>
        <v>0</v>
      </c>
      <c r="BG64" s="6">
        <f>Datos_originales!$AG95/Datos_originales!$E95</f>
        <v>0</v>
      </c>
    </row>
    <row r="65" spans="1:59" ht="15.75" customHeight="1">
      <c r="A65" s="2">
        <v>20608</v>
      </c>
      <c r="B65" s="3" t="s">
        <v>85</v>
      </c>
      <c r="C65" s="4" t="s">
        <v>165</v>
      </c>
      <c r="D65" s="4">
        <f>IF(Table_1[[#This Row],[Forest cover 2011]]&lt;1000,"Bosque menor a 1000 ha",Table_1[[#This Row],[Forest cover 2011]])</f>
        <v>122949.99</v>
      </c>
      <c r="E65" s="4">
        <v>122949.99</v>
      </c>
      <c r="F65" s="5">
        <f>AVERAGE(Datos_originales!$H105:$J105)</f>
        <v>841.43999999999994</v>
      </c>
      <c r="G65" s="5">
        <f>AVERAGE(Datos_originales!$R105:$T105)</f>
        <v>1654.11</v>
      </c>
      <c r="H65" s="4">
        <v>584.81999999999994</v>
      </c>
      <c r="I65" s="4">
        <v>603.45000000000005</v>
      </c>
      <c r="J65" s="4">
        <v>872.82</v>
      </c>
      <c r="K65" s="4">
        <v>607.59</v>
      </c>
      <c r="L65" s="4">
        <v>693.63</v>
      </c>
      <c r="M65" s="4">
        <v>550.53</v>
      </c>
      <c r="N65" s="4">
        <v>644.67000000000007</v>
      </c>
      <c r="O65" s="4">
        <v>646.82999999999993</v>
      </c>
      <c r="P65" s="4">
        <v>787.95</v>
      </c>
      <c r="Q65" s="4">
        <v>954.71999999999991</v>
      </c>
      <c r="R65" s="4">
        <v>802.26</v>
      </c>
      <c r="S65" s="4">
        <v>3733.56</v>
      </c>
      <c r="T65" s="4">
        <v>1133.6400000000001</v>
      </c>
      <c r="U65" s="4">
        <v>733.5</v>
      </c>
      <c r="V65" s="4">
        <v>740.06999999999994</v>
      </c>
      <c r="W65" s="4">
        <v>1042.29</v>
      </c>
      <c r="X65" s="4">
        <v>712.26</v>
      </c>
      <c r="Y65" s="4">
        <v>777.42000000000007</v>
      </c>
      <c r="Z65" s="4">
        <v>603</v>
      </c>
      <c r="AA65" s="4">
        <v>721.89</v>
      </c>
      <c r="AB65" s="4">
        <v>777.96</v>
      </c>
      <c r="AC65" s="4">
        <v>844.11</v>
      </c>
      <c r="AD65" s="4">
        <v>1078.3800000000001</v>
      </c>
      <c r="AE65" s="4">
        <v>813.78</v>
      </c>
      <c r="AF65" s="4">
        <v>3823.29</v>
      </c>
      <c r="AG65" s="4">
        <v>1659.06</v>
      </c>
      <c r="AH65" s="6">
        <f>Datos_originales!$H105/Datos_originales!$E105</f>
        <v>1.9167787788603964E-3</v>
      </c>
      <c r="AI65" s="6">
        <f>Datos_originales!$I105/Datos_originales!$E105</f>
        <v>2.3027165124274666E-3</v>
      </c>
      <c r="AJ65" s="6">
        <f>Datos_originales!$J105/Datos_originales!$E105</f>
        <v>5.3093617079103643E-3</v>
      </c>
      <c r="AK65" s="6">
        <f>Datos_originales!$K105/Datos_originales!$E105</f>
        <v>1.8872219277861577E-3</v>
      </c>
      <c r="AL65" s="6">
        <f>Datos_originales!$L105/Datos_originales!$E105</f>
        <v>7.3450473589085023E-3</v>
      </c>
      <c r="AM65" s="6">
        <f>Datos_originales!$M105/Datos_originales!$E105</f>
        <v>3.8155516599399347E-3</v>
      </c>
      <c r="AN65" s="6">
        <f>Datos_originales!$N105/Datos_originales!$E105</f>
        <v>4.1359207468710506E-3</v>
      </c>
      <c r="AO65" s="6">
        <f>Datos_originales!$O105/Datos_originales!$E105</f>
        <v>3.0345033769551685E-3</v>
      </c>
      <c r="AP65" s="6">
        <f>Datos_originales!$P105/Datos_originales!$E105</f>
        <v>4.6118879693424104E-3</v>
      </c>
      <c r="AQ65" s="6">
        <f>Datos_originales!$Q105/Datos_originales!$E105</f>
        <v>1.9140609074972481E-3</v>
      </c>
      <c r="AR65" s="6">
        <f>Datos_originales!$R105/Datos_originales!$E105</f>
        <v>9.9134357970837245E-4</v>
      </c>
      <c r="AS65" s="6">
        <f>Datos_originales!$S105/Datos_originales!$E105</f>
        <v>1.4353758136627393E-2</v>
      </c>
      <c r="AT65" s="6">
        <f>Datos_originales!$T105/Datos_originales!$E105</f>
        <v>3.3868074524032775E-3</v>
      </c>
      <c r="AU65" s="6">
        <f>Datos_originales!$U105/Datos_originales!$E105</f>
        <v>8.2725209615828882E-3</v>
      </c>
      <c r="AV65" s="6">
        <f>Datos_originales!$V105/Datos_originales!$E105</f>
        <v>6.6108823569380453E-3</v>
      </c>
      <c r="AW65" s="6">
        <f>Datos_originales!$W105/Datos_originales!$E105</f>
        <v>1.4740035604114856E-2</v>
      </c>
      <c r="AX65" s="6">
        <f>Datos_originales!$X105/Datos_originales!$E105</f>
        <v>7.9888431380542753E-3</v>
      </c>
      <c r="AY65" s="6">
        <f>Datos_originales!$Y105/Datos_originales!$E105</f>
        <v>9.6171878185005496E-3</v>
      </c>
      <c r="AZ65" s="6">
        <f>Datos_originales!$Z105/Datos_originales!$E105</f>
        <v>5.5244132795194802E-3</v>
      </c>
      <c r="BA65" s="6">
        <f>Datos_originales!$AA105/Datos_originales!$E105</f>
        <v>5.6524929675078476E-3</v>
      </c>
      <c r="BB65" s="6">
        <f>Datos_originales!$AB105/Datos_originales!$E105</f>
        <v>4.6319322706456301E-3</v>
      </c>
      <c r="BC65" s="6">
        <f>Datos_originales!$AC105/Datos_originales!$E105</f>
        <v>5.9565548262600727E-3</v>
      </c>
      <c r="BD65" s="6">
        <f>Datos_originales!$AD105/Datos_originales!$E105</f>
        <v>4.454930898120592E-3</v>
      </c>
      <c r="BE65" s="6">
        <f>Datos_originales!$AE105/Datos_originales!$E105</f>
        <v>2.7932922934757499E-3</v>
      </c>
      <c r="BF65" s="6">
        <f>Datos_originales!$AF105/Datos_originales!$E105</f>
        <v>1.5371261228206069E-2</v>
      </c>
      <c r="BG65" s="6">
        <f>Datos_originales!$AG105/Datos_originales!$E105</f>
        <v>4.5160830037914296E-3</v>
      </c>
    </row>
    <row r="66" spans="1:59" ht="15.75" customHeight="1">
      <c r="A66" s="2">
        <v>20701</v>
      </c>
      <c r="B66" s="3" t="s">
        <v>85</v>
      </c>
      <c r="C66" s="4" t="s">
        <v>219</v>
      </c>
      <c r="D66" s="4">
        <f>IF(Table_1[[#This Row],[Forest cover 2011]]&lt;1000,"Bosque menor a 1000 ha",Table_1[[#This Row],[Forest cover 2011]])</f>
        <v>1253903.31</v>
      </c>
      <c r="E66" s="4">
        <v>1253903.31</v>
      </c>
      <c r="F66" s="5">
        <f>AVERAGE(Datos_originales!$H161:$J161)</f>
        <v>0</v>
      </c>
      <c r="G66" s="5">
        <f>AVERAGE(Datos_originales!$R161:$T161)</f>
        <v>0</v>
      </c>
      <c r="H66" s="4">
        <v>281.52</v>
      </c>
      <c r="I66" s="4">
        <v>365.58</v>
      </c>
      <c r="J66" s="4">
        <v>513.36</v>
      </c>
      <c r="K66" s="4">
        <v>428.76</v>
      </c>
      <c r="L66" s="4">
        <v>567.54</v>
      </c>
      <c r="M66" s="4">
        <v>324.72000000000003</v>
      </c>
      <c r="N66" s="4">
        <v>440.55</v>
      </c>
      <c r="O66" s="4">
        <v>489.68999999999988</v>
      </c>
      <c r="P66" s="4">
        <v>1187.01</v>
      </c>
      <c r="Q66" s="4">
        <v>803.52</v>
      </c>
      <c r="R66" s="4">
        <v>440.82</v>
      </c>
      <c r="S66" s="4">
        <v>840.87</v>
      </c>
      <c r="T66" s="4">
        <v>3662.01</v>
      </c>
      <c r="U66" s="4">
        <v>2612.6999999999998</v>
      </c>
      <c r="V66" s="4">
        <v>2975.4</v>
      </c>
      <c r="W66" s="4">
        <v>5211.18</v>
      </c>
      <c r="X66" s="4">
        <v>3059.28</v>
      </c>
      <c r="Y66" s="4">
        <v>2124.81</v>
      </c>
      <c r="Z66" s="4">
        <v>1600.38</v>
      </c>
      <c r="AA66" s="4">
        <v>2030.76</v>
      </c>
      <c r="AB66" s="4">
        <v>2216.16</v>
      </c>
      <c r="AC66" s="4">
        <v>2698.56</v>
      </c>
      <c r="AD66" s="4">
        <v>5406.48</v>
      </c>
      <c r="AE66" s="4">
        <v>1316.7</v>
      </c>
      <c r="AF66" s="4">
        <v>1349.28</v>
      </c>
      <c r="AG66" s="4">
        <v>5048.7299999999996</v>
      </c>
      <c r="AH66" s="6">
        <f>Datos_originales!$H161/Datos_originales!$E161</f>
        <v>0</v>
      </c>
      <c r="AI66" s="6">
        <f>Datos_originales!$I161/Datos_originales!$E161</f>
        <v>0</v>
      </c>
      <c r="AJ66" s="6">
        <f>Datos_originales!$J161/Datos_originales!$E161</f>
        <v>0</v>
      </c>
      <c r="AK66" s="6">
        <f>Datos_originales!$K161/Datos_originales!$E161</f>
        <v>0</v>
      </c>
      <c r="AL66" s="6">
        <f>Datos_originales!$L161/Datos_originales!$E161</f>
        <v>0</v>
      </c>
      <c r="AM66" s="6">
        <f>Datos_originales!$M161/Datos_originales!$E161</f>
        <v>0</v>
      </c>
      <c r="AN66" s="6">
        <f>Datos_originales!$N161/Datos_originales!$E161</f>
        <v>0</v>
      </c>
      <c r="AO66" s="6">
        <f>Datos_originales!$O161/Datos_originales!$E161</f>
        <v>0</v>
      </c>
      <c r="AP66" s="6">
        <f>Datos_originales!$P161/Datos_originales!$E161</f>
        <v>0</v>
      </c>
      <c r="AQ66" s="6">
        <f>Datos_originales!$Q161/Datos_originales!$E161</f>
        <v>0</v>
      </c>
      <c r="AR66" s="6">
        <f>Datos_originales!$R161/Datos_originales!$E161</f>
        <v>0</v>
      </c>
      <c r="AS66" s="6">
        <f>Datos_originales!$S161/Datos_originales!$E161</f>
        <v>0</v>
      </c>
      <c r="AT66" s="6">
        <f>Datos_originales!$T161/Datos_originales!$E161</f>
        <v>0</v>
      </c>
      <c r="AU66" s="6">
        <f>Datos_originales!$U161/Datos_originales!$E161</f>
        <v>0</v>
      </c>
      <c r="AV66" s="6">
        <f>Datos_originales!$V161/Datos_originales!$E161</f>
        <v>0</v>
      </c>
      <c r="AW66" s="6">
        <f>Datos_originales!$W161/Datos_originales!$E161</f>
        <v>0</v>
      </c>
      <c r="AX66" s="6">
        <f>Datos_originales!$X161/Datos_originales!$E161</f>
        <v>0</v>
      </c>
      <c r="AY66" s="6">
        <f>Datos_originales!$Y161/Datos_originales!$E161</f>
        <v>0</v>
      </c>
      <c r="AZ66" s="6">
        <f>Datos_originales!$Z161/Datos_originales!$E161</f>
        <v>0</v>
      </c>
      <c r="BA66" s="6">
        <f>Datos_originales!$AA161/Datos_originales!$E161</f>
        <v>0</v>
      </c>
      <c r="BB66" s="6">
        <f>Datos_originales!$AB161/Datos_originales!$E161</f>
        <v>0</v>
      </c>
      <c r="BC66" s="6">
        <f>Datos_originales!$AC161/Datos_originales!$E161</f>
        <v>0</v>
      </c>
      <c r="BD66" s="6">
        <f>Datos_originales!$AD161/Datos_originales!$E161</f>
        <v>0</v>
      </c>
      <c r="BE66" s="6">
        <f>Datos_originales!$AE161/Datos_originales!$E161</f>
        <v>0</v>
      </c>
      <c r="BF66" s="6">
        <f>Datos_originales!$AF161/Datos_originales!$E161</f>
        <v>0</v>
      </c>
      <c r="BG66" s="6">
        <f>Datos_originales!$AG161/Datos_originales!$E161</f>
        <v>0</v>
      </c>
    </row>
    <row r="67" spans="1:59" ht="15.75" customHeight="1">
      <c r="A67" s="2">
        <v>20702</v>
      </c>
      <c r="B67" s="3" t="s">
        <v>85</v>
      </c>
      <c r="C67" s="4" t="s">
        <v>252</v>
      </c>
      <c r="D67" s="4">
        <f>IF(Table_1[[#This Row],[Forest cover 2011]]&lt;1000,"Bosque menor a 1000 ha",Table_1[[#This Row],[Forest cover 2011]])</f>
        <v>56334.15</v>
      </c>
      <c r="E67" s="4">
        <v>56334.15</v>
      </c>
      <c r="F67" s="5">
        <f>AVERAGE(Datos_originales!$H196:$J196)</f>
        <v>0</v>
      </c>
      <c r="G67" s="5">
        <f>AVERAGE(Datos_originales!$R196:$T196)</f>
        <v>0.03</v>
      </c>
      <c r="H67" s="4">
        <v>0.72</v>
      </c>
      <c r="I67" s="4">
        <v>0.89999999999999991</v>
      </c>
      <c r="J67" s="4">
        <v>0.72</v>
      </c>
      <c r="K67" s="4">
        <v>2.25</v>
      </c>
      <c r="L67" s="4">
        <v>0.36</v>
      </c>
      <c r="M67" s="4">
        <v>0.36</v>
      </c>
      <c r="N67" s="4">
        <v>1.62</v>
      </c>
      <c r="O67" s="4">
        <v>0.63</v>
      </c>
      <c r="P67" s="4">
        <v>1.98</v>
      </c>
      <c r="Q67" s="4">
        <v>0.36</v>
      </c>
      <c r="R67" s="4">
        <v>12.06</v>
      </c>
      <c r="S67" s="4">
        <v>62.1</v>
      </c>
      <c r="T67" s="4">
        <v>83.16</v>
      </c>
      <c r="U67" s="4">
        <v>331.65</v>
      </c>
      <c r="V67" s="4">
        <v>457.47</v>
      </c>
      <c r="W67" s="4">
        <v>302.67</v>
      </c>
      <c r="X67" s="4">
        <v>271.70999999999998</v>
      </c>
      <c r="Y67" s="4">
        <v>176.58</v>
      </c>
      <c r="Z67" s="4">
        <v>179.1</v>
      </c>
      <c r="AA67" s="4">
        <v>241.11</v>
      </c>
      <c r="AB67" s="4">
        <v>285.75</v>
      </c>
      <c r="AC67" s="4">
        <v>167.49</v>
      </c>
      <c r="AD67" s="4">
        <v>298.62</v>
      </c>
      <c r="AE67" s="4">
        <v>118.8</v>
      </c>
      <c r="AF67" s="4">
        <v>79.56</v>
      </c>
      <c r="AG67" s="4">
        <v>90.63000000000001</v>
      </c>
      <c r="AH67" s="6">
        <f>Datos_originales!$H196/Datos_originales!$E196</f>
        <v>0</v>
      </c>
      <c r="AI67" s="6">
        <f>Datos_originales!$I196/Datos_originales!$E196</f>
        <v>0</v>
      </c>
      <c r="AJ67" s="6">
        <f>Datos_originales!$J196/Datos_originales!$E196</f>
        <v>0</v>
      </c>
      <c r="AK67" s="6">
        <f>Datos_originales!$K196/Datos_originales!$E196</f>
        <v>2.0833333333333332E-2</v>
      </c>
      <c r="AL67" s="6">
        <f>Datos_originales!$L196/Datos_originales!$E196</f>
        <v>0</v>
      </c>
      <c r="AM67" s="6">
        <f>Datos_originales!$M196/Datos_originales!$E196</f>
        <v>0</v>
      </c>
      <c r="AN67" s="6">
        <f>Datos_originales!$N196/Datos_originales!$E196</f>
        <v>0</v>
      </c>
      <c r="AO67" s="6">
        <f>Datos_originales!$O196/Datos_originales!$E196</f>
        <v>0</v>
      </c>
      <c r="AP67" s="6">
        <f>Datos_originales!$P196/Datos_originales!$E196</f>
        <v>4.1666666666666664E-2</v>
      </c>
      <c r="AQ67" s="6">
        <f>Datos_originales!$Q196/Datos_originales!$E196</f>
        <v>0</v>
      </c>
      <c r="AR67" s="6">
        <f>Datos_originales!$R196/Datos_originales!$E196</f>
        <v>0</v>
      </c>
      <c r="AS67" s="6">
        <f>Datos_originales!$S196/Datos_originales!$E196</f>
        <v>0</v>
      </c>
      <c r="AT67" s="6">
        <f>Datos_originales!$T196/Datos_originales!$E196</f>
        <v>2.0833333333333332E-2</v>
      </c>
      <c r="AU67" s="6">
        <f>Datos_originales!$U196/Datos_originales!$E196</f>
        <v>2.0833333333333332E-2</v>
      </c>
      <c r="AV67" s="6">
        <f>Datos_originales!$V196/Datos_originales!$E196</f>
        <v>0</v>
      </c>
      <c r="AW67" s="6">
        <f>Datos_originales!$W196/Datos_originales!$E196</f>
        <v>2.0833333333333332E-2</v>
      </c>
      <c r="AX67" s="6">
        <f>Datos_originales!$X196/Datos_originales!$E196</f>
        <v>2.0833333333333332E-2</v>
      </c>
      <c r="AY67" s="6">
        <f>Datos_originales!$Y196/Datos_originales!$E196</f>
        <v>0</v>
      </c>
      <c r="AZ67" s="6">
        <f>Datos_originales!$Z196/Datos_originales!$E196</f>
        <v>0</v>
      </c>
      <c r="BA67" s="6">
        <f>Datos_originales!$AA196/Datos_originales!$E196</f>
        <v>0</v>
      </c>
      <c r="BB67" s="6">
        <f>Datos_originales!$AB196/Datos_originales!$E196</f>
        <v>2.0833333333333332E-2</v>
      </c>
      <c r="BC67" s="6">
        <f>Datos_originales!$AC196/Datos_originales!$E196</f>
        <v>8.3333333333333329E-2</v>
      </c>
      <c r="BD67" s="6">
        <f>Datos_originales!$AD196/Datos_originales!$E196</f>
        <v>0</v>
      </c>
      <c r="BE67" s="6">
        <f>Datos_originales!$AE196/Datos_originales!$E196</f>
        <v>0</v>
      </c>
      <c r="BF67" s="6">
        <f>Datos_originales!$AF196/Datos_originales!$E196</f>
        <v>0</v>
      </c>
      <c r="BG67" s="6">
        <f>Datos_originales!$AG196/Datos_originales!$E196</f>
        <v>0.70833333333333326</v>
      </c>
    </row>
    <row r="68" spans="1:59" ht="15.75" customHeight="1">
      <c r="A68" s="2">
        <v>20801</v>
      </c>
      <c r="B68" s="3" t="s">
        <v>85</v>
      </c>
      <c r="C68" s="4" t="s">
        <v>303</v>
      </c>
      <c r="D68" s="4" t="str">
        <f>IF(Table_1[[#This Row],[Forest cover 2011]]&lt;1000,"Bosque menor a 1000 ha",Table_1[[#This Row],[Forest cover 2011]])</f>
        <v>Bosque menor a 1000 ha</v>
      </c>
      <c r="E68" s="4">
        <v>0</v>
      </c>
      <c r="F68" s="5">
        <f>AVERAGE(Datos_originales!$H249:$J249)</f>
        <v>21.209999999999997</v>
      </c>
      <c r="G68" s="5">
        <f>AVERAGE(Datos_originales!$R249:$T249)</f>
        <v>148.67999999999998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</row>
    <row r="69" spans="1:59" ht="15.75" customHeight="1">
      <c r="A69" s="2">
        <v>20802</v>
      </c>
      <c r="B69" s="3" t="s">
        <v>85</v>
      </c>
      <c r="C69" s="4" t="s">
        <v>304</v>
      </c>
      <c r="D69" s="4" t="str">
        <f>IF(Table_1[[#This Row],[Forest cover 2011]]&lt;1000,"Bosque menor a 1000 ha",Table_1[[#This Row],[Forest cover 2011]])</f>
        <v>Bosque menor a 1000 ha</v>
      </c>
      <c r="E69" s="4">
        <v>0</v>
      </c>
      <c r="F69" s="5">
        <f>AVERAGE(Datos_originales!$H250:$J250)</f>
        <v>9.0000000000000011E-2</v>
      </c>
      <c r="G69" s="5">
        <f>AVERAGE(Datos_originales!$R250:$T250)</f>
        <v>0.48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</row>
    <row r="70" spans="1:59" ht="15.75" customHeight="1">
      <c r="A70" s="2">
        <v>20803</v>
      </c>
      <c r="B70" s="3" t="s">
        <v>85</v>
      </c>
      <c r="C70" s="4" t="s">
        <v>305</v>
      </c>
      <c r="D70" s="4" t="str">
        <f>IF(Table_1[[#This Row],[Forest cover 2011]]&lt;1000,"Bosque menor a 1000 ha",Table_1[[#This Row],[Forest cover 2011]])</f>
        <v>Bosque menor a 1000 ha</v>
      </c>
      <c r="E70" s="4">
        <v>0</v>
      </c>
      <c r="F70" s="5">
        <f>AVERAGE(Datos_originales!$H251:$J251)</f>
        <v>42.9</v>
      </c>
      <c r="G70" s="5">
        <f>AVERAGE(Datos_originales!$R251:$T251)</f>
        <v>200.01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</row>
    <row r="71" spans="1:59" ht="15.75" customHeight="1">
      <c r="A71" s="2">
        <v>20804</v>
      </c>
      <c r="B71" s="3" t="s">
        <v>85</v>
      </c>
      <c r="C71" s="4" t="s">
        <v>306</v>
      </c>
      <c r="D71" s="4" t="str">
        <f>IF(Table_1[[#This Row],[Forest cover 2011]]&lt;1000,"Bosque menor a 1000 ha",Table_1[[#This Row],[Forest cover 2011]])</f>
        <v>Bosque menor a 1000 ha</v>
      </c>
      <c r="E71" s="4">
        <v>0</v>
      </c>
      <c r="F71" s="5">
        <f>AVERAGE(Datos_originales!$H252:$J252)</f>
        <v>2.2200000000000002</v>
      </c>
      <c r="G71" s="5">
        <f>AVERAGE(Datos_originales!$R252:$T252)</f>
        <v>4.38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</row>
    <row r="72" spans="1:59" ht="15.75" customHeight="1">
      <c r="A72" s="2">
        <v>20805</v>
      </c>
      <c r="B72" s="3" t="s">
        <v>85</v>
      </c>
      <c r="C72" s="4" t="s">
        <v>307</v>
      </c>
      <c r="D72" s="4" t="str">
        <f>IF(Table_1[[#This Row],[Forest cover 2011]]&lt;1000,"Bosque menor a 1000 ha",Table_1[[#This Row],[Forest cover 2011]])</f>
        <v>Bosque menor a 1000 ha</v>
      </c>
      <c r="E72" s="4">
        <v>0</v>
      </c>
      <c r="F72" s="5">
        <f>AVERAGE(Datos_originales!$H253:$J253)</f>
        <v>515.16</v>
      </c>
      <c r="G72" s="5">
        <f>AVERAGE(Datos_originales!$R253:$T253)</f>
        <v>3029.5200000000004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</row>
    <row r="73" spans="1:59" ht="15.75" customHeight="1">
      <c r="A73" s="2">
        <v>20806</v>
      </c>
      <c r="B73" s="3" t="s">
        <v>85</v>
      </c>
      <c r="C73" s="4" t="s">
        <v>308</v>
      </c>
      <c r="D73" s="4" t="str">
        <f>IF(Table_1[[#This Row],[Forest cover 2011]]&lt;1000,"Bosque menor a 1000 ha",Table_1[[#This Row],[Forest cover 2011]])</f>
        <v>Bosque menor a 1000 ha</v>
      </c>
      <c r="E73" s="4">
        <v>0</v>
      </c>
      <c r="F73" s="5">
        <f>AVERAGE(Datos_originales!$H254:$J254)</f>
        <v>1715.61</v>
      </c>
      <c r="G73" s="5">
        <f>AVERAGE(Datos_originales!$R254:$T254)</f>
        <v>864.81000000000006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</row>
    <row r="74" spans="1:59" ht="15.75" customHeight="1">
      <c r="A74" s="2">
        <v>20807</v>
      </c>
      <c r="B74" s="3" t="s">
        <v>85</v>
      </c>
      <c r="C74" s="4" t="s">
        <v>309</v>
      </c>
      <c r="D74" s="4" t="str">
        <f>IF(Table_1[[#This Row],[Forest cover 2011]]&lt;1000,"Bosque menor a 1000 ha",Table_1[[#This Row],[Forest cover 2011]])</f>
        <v>Bosque menor a 1000 ha</v>
      </c>
      <c r="E74" s="4">
        <v>0</v>
      </c>
      <c r="F74" s="5">
        <f>AVERAGE(Datos_originales!$H255:$J255)</f>
        <v>611.69999999999993</v>
      </c>
      <c r="G74" s="5">
        <f>AVERAGE(Datos_originales!$R255:$T255)</f>
        <v>489.27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</row>
    <row r="75" spans="1:59" ht="15.75" customHeight="1">
      <c r="A75" s="2">
        <v>20901</v>
      </c>
      <c r="B75" s="3" t="s">
        <v>85</v>
      </c>
      <c r="C75" s="4" t="s">
        <v>137</v>
      </c>
      <c r="D75" s="4" t="str">
        <f>IF(Table_1[[#This Row],[Forest cover 2011]]&lt;1000,"Bosque menor a 1000 ha",Table_1[[#This Row],[Forest cover 2011]])</f>
        <v>Bosque menor a 1000 ha</v>
      </c>
      <c r="E75" s="4">
        <v>468.09</v>
      </c>
      <c r="F75" s="5">
        <f>AVERAGE(Datos_originales!$H74:$J74)</f>
        <v>0</v>
      </c>
      <c r="G75" s="5">
        <f>AVERAGE(Datos_originales!$R74:$T74)</f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0.09</v>
      </c>
      <c r="O75" s="4">
        <v>0</v>
      </c>
      <c r="P75" s="4">
        <v>0</v>
      </c>
      <c r="Q75" s="4">
        <v>0.9</v>
      </c>
      <c r="R75" s="4">
        <v>2.88</v>
      </c>
      <c r="S75" s="4">
        <v>13.77</v>
      </c>
      <c r="T75" s="4">
        <v>9.4499999999999993</v>
      </c>
      <c r="U75" s="4">
        <v>0.54</v>
      </c>
      <c r="V75" s="4">
        <v>0.81</v>
      </c>
      <c r="W75" s="4">
        <v>8.4600000000000009</v>
      </c>
      <c r="X75" s="4">
        <v>0.54</v>
      </c>
      <c r="Y75" s="4">
        <v>0.45</v>
      </c>
      <c r="Z75" s="4">
        <v>0.63</v>
      </c>
      <c r="AA75" s="4">
        <v>1.08</v>
      </c>
      <c r="AB75" s="4">
        <v>2.52</v>
      </c>
      <c r="AC75" s="4">
        <v>15.12</v>
      </c>
      <c r="AD75" s="4">
        <v>0.9</v>
      </c>
      <c r="AE75" s="4">
        <v>2.88</v>
      </c>
      <c r="AF75" s="4">
        <v>17.37</v>
      </c>
      <c r="AG75" s="4">
        <v>9.7199999999999989</v>
      </c>
      <c r="AH75" s="6" t="e">
        <f>Datos_originales!$H74/Datos_originales!$E74</f>
        <v>#DIV/0!</v>
      </c>
      <c r="AI75" s="6" t="e">
        <f>Datos_originales!$I74/Datos_originales!$E74</f>
        <v>#DIV/0!</v>
      </c>
      <c r="AJ75" s="6" t="e">
        <f>Datos_originales!$J74/Datos_originales!$E74</f>
        <v>#DIV/0!</v>
      </c>
      <c r="AK75" s="6" t="e">
        <f>Datos_originales!$K74/Datos_originales!$E74</f>
        <v>#DIV/0!</v>
      </c>
      <c r="AL75" s="6" t="e">
        <f>Datos_originales!$L74/Datos_originales!$E74</f>
        <v>#DIV/0!</v>
      </c>
      <c r="AM75" s="6" t="e">
        <f>Datos_originales!$M74/Datos_originales!$E74</f>
        <v>#DIV/0!</v>
      </c>
      <c r="AN75" s="6" t="e">
        <f>Datos_originales!$N74/Datos_originales!$E74</f>
        <v>#DIV/0!</v>
      </c>
      <c r="AO75" s="6" t="e">
        <f>Datos_originales!$O74/Datos_originales!$E74</f>
        <v>#DIV/0!</v>
      </c>
      <c r="AP75" s="6" t="e">
        <f>Datos_originales!$P74/Datos_originales!$E74</f>
        <v>#DIV/0!</v>
      </c>
      <c r="AQ75" s="6" t="e">
        <f>Datos_originales!$Q74/Datos_originales!$E74</f>
        <v>#DIV/0!</v>
      </c>
      <c r="AR75" s="6" t="e">
        <f>Datos_originales!$R74/Datos_originales!$E74</f>
        <v>#DIV/0!</v>
      </c>
      <c r="AS75" s="6" t="e">
        <f>Datos_originales!$S74/Datos_originales!$E74</f>
        <v>#DIV/0!</v>
      </c>
      <c r="AT75" s="6" t="e">
        <f>Datos_originales!$T74/Datos_originales!$E74</f>
        <v>#DIV/0!</v>
      </c>
      <c r="AU75" s="6" t="e">
        <f>Datos_originales!$U74/Datos_originales!$E74</f>
        <v>#DIV/0!</v>
      </c>
      <c r="AV75" s="6" t="e">
        <f>Datos_originales!$V74/Datos_originales!$E74</f>
        <v>#DIV/0!</v>
      </c>
      <c r="AW75" s="6" t="e">
        <f>Datos_originales!$W74/Datos_originales!$E74</f>
        <v>#DIV/0!</v>
      </c>
      <c r="AX75" s="6" t="e">
        <f>Datos_originales!$X74/Datos_originales!$E74</f>
        <v>#DIV/0!</v>
      </c>
      <c r="AY75" s="6" t="e">
        <f>Datos_originales!$Y74/Datos_originales!$E74</f>
        <v>#DIV/0!</v>
      </c>
      <c r="AZ75" s="6" t="e">
        <f>Datos_originales!$Z74/Datos_originales!$E74</f>
        <v>#DIV/0!</v>
      </c>
      <c r="BA75" s="6" t="e">
        <f>Datos_originales!$AA74/Datos_originales!$E74</f>
        <v>#DIV/0!</v>
      </c>
      <c r="BB75" s="6" t="e">
        <f>Datos_originales!$AB74/Datos_originales!$E74</f>
        <v>#DIV/0!</v>
      </c>
      <c r="BC75" s="6" t="e">
        <f>Datos_originales!$AC74/Datos_originales!$E74</f>
        <v>#DIV/0!</v>
      </c>
      <c r="BD75" s="6" t="e">
        <f>Datos_originales!$AD74/Datos_originales!$E74</f>
        <v>#DIV/0!</v>
      </c>
      <c r="BE75" s="6" t="e">
        <f>Datos_originales!$AE74/Datos_originales!$E74</f>
        <v>#DIV/0!</v>
      </c>
      <c r="BF75" s="6" t="e">
        <f>Datos_originales!$AF74/Datos_originales!$E74</f>
        <v>#DIV/0!</v>
      </c>
      <c r="BG75" s="6" t="e">
        <f>Datos_originales!$AG74/Datos_originales!$E74</f>
        <v>#DIV/0!</v>
      </c>
    </row>
    <row r="76" spans="1:59" ht="15.75" customHeight="1">
      <c r="A76" s="2">
        <v>20902</v>
      </c>
      <c r="B76" s="3" t="s">
        <v>85</v>
      </c>
      <c r="C76" s="4" t="s">
        <v>147</v>
      </c>
      <c r="D76" s="4" t="str">
        <f>IF(Table_1[[#This Row],[Forest cover 2011]]&lt;1000,"Bosque menor a 1000 ha",Table_1[[#This Row],[Forest cover 2011]])</f>
        <v>Bosque menor a 1000 ha</v>
      </c>
      <c r="E76" s="4">
        <v>841.86</v>
      </c>
      <c r="F76" s="5">
        <f>AVERAGE(Datos_originales!$H86:$J86)</f>
        <v>46.02</v>
      </c>
      <c r="G76" s="5">
        <f>AVERAGE(Datos_originales!$R86:$T86)</f>
        <v>427.98</v>
      </c>
      <c r="H76" s="4">
        <v>0.63</v>
      </c>
      <c r="I76" s="4">
        <v>0.27</v>
      </c>
      <c r="J76" s="4">
        <v>0.36</v>
      </c>
      <c r="K76" s="4">
        <v>0</v>
      </c>
      <c r="L76" s="4">
        <v>0.18</v>
      </c>
      <c r="M76" s="4">
        <v>0.18</v>
      </c>
      <c r="N76" s="4">
        <v>0</v>
      </c>
      <c r="O76" s="4">
        <v>1.35</v>
      </c>
      <c r="P76" s="4">
        <v>0.9</v>
      </c>
      <c r="Q76" s="4">
        <v>3.69</v>
      </c>
      <c r="R76" s="4">
        <v>9.99</v>
      </c>
      <c r="S76" s="4">
        <v>66.240000000000009</v>
      </c>
      <c r="T76" s="4">
        <v>14.67</v>
      </c>
      <c r="U76" s="4">
        <v>3.87</v>
      </c>
      <c r="V76" s="4">
        <v>3.06</v>
      </c>
      <c r="W76" s="4">
        <v>17.91</v>
      </c>
      <c r="X76" s="4">
        <v>0.9</v>
      </c>
      <c r="Y76" s="4">
        <v>1.89</v>
      </c>
      <c r="Z76" s="4">
        <v>0.72</v>
      </c>
      <c r="AA76" s="4">
        <v>0.99</v>
      </c>
      <c r="AB76" s="4">
        <v>2.52</v>
      </c>
      <c r="AC76" s="4">
        <v>3.42</v>
      </c>
      <c r="AD76" s="4">
        <v>4.05</v>
      </c>
      <c r="AE76" s="4">
        <v>9.99</v>
      </c>
      <c r="AF76" s="4">
        <v>73.08</v>
      </c>
      <c r="AG76" s="4">
        <v>15.03</v>
      </c>
      <c r="AH76" s="6">
        <f>Datos_originales!$H86/Datos_originales!$E86</f>
        <v>1.9553775254982178E-3</v>
      </c>
      <c r="AI76" s="6">
        <f>Datos_originales!$I86/Datos_originales!$E86</f>
        <v>1.5994228788662607E-3</v>
      </c>
      <c r="AJ76" s="6">
        <f>Datos_originales!$J86/Datos_originales!$E86</f>
        <v>3.7256586347478183E-3</v>
      </c>
      <c r="AK76" s="6">
        <f>Datos_originales!$K86/Datos_originales!$E86</f>
        <v>2.7527159339538021E-3</v>
      </c>
      <c r="AL76" s="6">
        <f>Datos_originales!$L86/Datos_originales!$E86</f>
        <v>2.0313145167797021E-3</v>
      </c>
      <c r="AM76" s="6">
        <f>Datos_originales!$M86/Datos_originales!$E86</f>
        <v>1.4428028343481994E-3</v>
      </c>
      <c r="AN76" s="6">
        <f>Datos_originales!$N86/Datos_originales!$E86</f>
        <v>1.9506314635431251E-3</v>
      </c>
      <c r="AO76" s="6">
        <f>Datos_originales!$O86/Datos_originales!$E86</f>
        <v>1.532978011494962E-3</v>
      </c>
      <c r="AP76" s="6">
        <f>Datos_originales!$P86/Datos_originales!$E86</f>
        <v>3.8775326173107862E-3</v>
      </c>
      <c r="AQ76" s="6">
        <f>Datos_originales!$Q86/Datos_originales!$E86</f>
        <v>1.1438009311773556E-3</v>
      </c>
      <c r="AR76" s="6">
        <f>Datos_originales!$R86/Datos_originales!$E86</f>
        <v>8.1632265627595499E-4</v>
      </c>
      <c r="AS76" s="6">
        <f>Datos_originales!$S86/Datos_originales!$E86</f>
        <v>5.7109363505631207E-2</v>
      </c>
      <c r="AT76" s="6">
        <f>Datos_originales!$T86/Datos_originales!$E86</f>
        <v>9.7816336894461821E-3</v>
      </c>
      <c r="AU76" s="6">
        <f>Datos_originales!$U86/Datos_originales!$E86</f>
        <v>2.8096686774149149E-3</v>
      </c>
      <c r="AV76" s="6">
        <f>Datos_originales!$V86/Datos_originales!$E86</f>
        <v>2.0028381450491453E-3</v>
      </c>
      <c r="AW76" s="6">
        <f>Datos_originales!$W86/Datos_originales!$E86</f>
        <v>5.8186719569437257E-3</v>
      </c>
      <c r="AX76" s="6">
        <f>Datos_originales!$X86/Datos_originales!$E86</f>
        <v>3.1276548284061303E-3</v>
      </c>
      <c r="AY76" s="6">
        <f>Datos_originales!$Y86/Datos_originales!$E86</f>
        <v>2.3303164199505459E-3</v>
      </c>
      <c r="AZ76" s="6">
        <f>Datos_originales!$Z86/Datos_originales!$E86</f>
        <v>1.5567083212704258E-3</v>
      </c>
      <c r="BA76" s="6">
        <f>Datos_originales!$AA86/Datos_originales!$E86</f>
        <v>2.1025054461060932E-3</v>
      </c>
      <c r="BB76" s="6">
        <f>Datos_originales!$AB86/Datos_originales!$E86</f>
        <v>1.6658677462375593E-3</v>
      </c>
      <c r="BC76" s="6">
        <f>Datos_originales!$AC86/Datos_originales!$E86</f>
        <v>3.9487235466371777E-3</v>
      </c>
      <c r="BD76" s="6">
        <f>Datos_originales!$AD86/Datos_originales!$E86</f>
        <v>1.3716119050218082E-3</v>
      </c>
      <c r="BE76" s="6">
        <f>Datos_originales!$AE86/Datos_originales!$E86</f>
        <v>8.9225964755743927E-4</v>
      </c>
      <c r="BF76" s="6">
        <f>Datos_originales!$AF86/Datos_originales!$E86</f>
        <v>5.7707367311972887E-2</v>
      </c>
      <c r="BG76" s="6">
        <f>Datos_originales!$AG86/Datos_originales!$E86</f>
        <v>1.273368422551388E-2</v>
      </c>
    </row>
    <row r="77" spans="1:59" ht="15.75" customHeight="1">
      <c r="A77" s="2">
        <v>20903</v>
      </c>
      <c r="B77" s="3" t="s">
        <v>85</v>
      </c>
      <c r="C77" s="4" t="s">
        <v>380</v>
      </c>
      <c r="D77" s="4" t="str">
        <f>IF(Table_1[[#This Row],[Forest cover 2011]]&lt;1000,"Bosque menor a 1000 ha",Table_1[[#This Row],[Forest cover 2011]])</f>
        <v>Bosque menor a 1000 ha</v>
      </c>
      <c r="E77" s="4">
        <v>8.19</v>
      </c>
      <c r="F77" s="5">
        <f>AVERAGE(Datos_originales!$H328:$J328)</f>
        <v>54.180000000000007</v>
      </c>
      <c r="G77" s="5">
        <f>AVERAGE(Datos_originales!$R328:$T328)</f>
        <v>325.44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0.27</v>
      </c>
      <c r="T77" s="4">
        <v>0</v>
      </c>
      <c r="U77" s="4">
        <v>0</v>
      </c>
      <c r="V77" s="4">
        <v>0</v>
      </c>
      <c r="W77" s="4">
        <v>0.09</v>
      </c>
      <c r="X77" s="4">
        <v>0</v>
      </c>
      <c r="Y77" s="4">
        <v>0</v>
      </c>
      <c r="Z77" s="4">
        <v>0.18</v>
      </c>
      <c r="AA77" s="4">
        <v>0.18</v>
      </c>
      <c r="AB77" s="4">
        <v>0.27</v>
      </c>
      <c r="AC77" s="4">
        <v>1.17</v>
      </c>
      <c r="AD77" s="4">
        <v>0</v>
      </c>
      <c r="AE77" s="4">
        <v>0</v>
      </c>
      <c r="AF77" s="4">
        <v>0.27</v>
      </c>
      <c r="AG77" s="4">
        <v>0</v>
      </c>
      <c r="AH77" s="6">
        <f>Datos_originales!$H328/Datos_originales!$E328</f>
        <v>4.8707959330405174E-4</v>
      </c>
      <c r="AI77" s="6">
        <f>Datos_originales!$I328/Datos_originales!$E328</f>
        <v>5.1112333119007975E-4</v>
      </c>
      <c r="AJ77" s="6">
        <f>Datos_originales!$J328/Datos_originales!$E328</f>
        <v>4.0253870847898541E-4</v>
      </c>
      <c r="AK77" s="6">
        <f>Datos_originales!$K328/Datos_originales!$E328</f>
        <v>2.3345693882885279E-4</v>
      </c>
      <c r="AL77" s="6">
        <f>Datos_originales!$L328/Datos_originales!$E328</f>
        <v>8.3765280377129901E-5</v>
      </c>
      <c r="AM77" s="6">
        <f>Datos_originales!$M328/Datos_originales!$E328</f>
        <v>2.474178188917078E-4</v>
      </c>
      <c r="AN77" s="6">
        <f>Datos_originales!$N328/Datos_originales!$E328</f>
        <v>2.9783210800757304E-4</v>
      </c>
      <c r="AO77" s="6">
        <f>Datos_originales!$O328/Datos_originales!$E328</f>
        <v>2.1174001428663394E-4</v>
      </c>
      <c r="AP77" s="6">
        <f>Datos_originales!$P328/Datos_originales!$E328</f>
        <v>1.8614506750473314E-4</v>
      </c>
      <c r="AQ77" s="6">
        <f>Datos_originales!$Q328/Datos_originales!$E328</f>
        <v>5.0957212229420701E-4</v>
      </c>
      <c r="AR77" s="6">
        <f>Datos_originales!$R328/Datos_originales!$E328</f>
        <v>1.6031743938845142E-3</v>
      </c>
      <c r="AS77" s="6">
        <f>Datos_originales!$S328/Datos_originales!$E328</f>
        <v>1.6419546162813334E-3</v>
      </c>
      <c r="AT77" s="6">
        <f>Datos_originales!$T328/Datos_originales!$E328</f>
        <v>5.16862804104809E-3</v>
      </c>
      <c r="AU77" s="6">
        <f>Datos_originales!$U328/Datos_originales!$E328</f>
        <v>4.6064699371837957E-2</v>
      </c>
      <c r="AV77" s="6">
        <f>Datos_originales!$V328/Datos_originales!$E328</f>
        <v>1.8260055517766383E-2</v>
      </c>
      <c r="AW77" s="6">
        <f>Datos_originales!$W328/Datos_originales!$E328</f>
        <v>1.2328232699948887E-2</v>
      </c>
      <c r="AX77" s="6">
        <f>Datos_originales!$X328/Datos_originales!$E328</f>
        <v>9.24210260161E-3</v>
      </c>
      <c r="AY77" s="6">
        <f>Datos_originales!$Y328/Datos_originales!$E328</f>
        <v>5.5354889449220016E-3</v>
      </c>
      <c r="AZ77" s="6">
        <f>Datos_originales!$Z328/Datos_originales!$E328</f>
        <v>5.8883889687330578E-3</v>
      </c>
      <c r="BA77" s="6">
        <f>Datos_originales!$AA328/Datos_originales!$E328</f>
        <v>1.0365177842221889E-2</v>
      </c>
      <c r="BB77" s="6">
        <f>Datos_originales!$AB328/Datos_originales!$E328</f>
        <v>7.4357198423661511E-3</v>
      </c>
      <c r="BC77" s="6">
        <f>Datos_originales!$AC328/Datos_originales!$E328</f>
        <v>9.3250922775391931E-3</v>
      </c>
      <c r="BD77" s="6">
        <f>Datos_originales!$AD328/Datos_originales!$E328</f>
        <v>2.3989445574672482E-3</v>
      </c>
      <c r="BE77" s="6">
        <f>Datos_originales!$AE328/Datos_originales!$E328</f>
        <v>2.9635845955649385E-3</v>
      </c>
      <c r="BF77" s="6">
        <f>Datos_originales!$AF328/Datos_originales!$E328</f>
        <v>5.3074612372287031E-3</v>
      </c>
      <c r="BG77" s="6">
        <f>Datos_originales!$AG328/Datos_originales!$E328</f>
        <v>4.4267623865969344E-2</v>
      </c>
    </row>
    <row r="78" spans="1:59" ht="15.75" customHeight="1">
      <c r="A78" s="2">
        <v>20904</v>
      </c>
      <c r="B78" s="3" t="s">
        <v>85</v>
      </c>
      <c r="C78" s="4" t="s">
        <v>150</v>
      </c>
      <c r="D78" s="4" t="str">
        <f>IF(Table_1[[#This Row],[Forest cover 2011]]&lt;1000,"Bosque menor a 1000 ha",Table_1[[#This Row],[Forest cover 2011]])</f>
        <v>Bosque menor a 1000 ha</v>
      </c>
      <c r="E78" s="4">
        <v>222.03</v>
      </c>
      <c r="F78" s="5">
        <f>AVERAGE(Datos_originales!$H89:$J89)</f>
        <v>1558.6200000000001</v>
      </c>
      <c r="G78" s="5">
        <f>AVERAGE(Datos_originales!$R89:$T89)</f>
        <v>2859.99</v>
      </c>
      <c r="H78" s="4">
        <v>0.09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0.09</v>
      </c>
      <c r="O78" s="4">
        <v>0.45</v>
      </c>
      <c r="P78" s="4">
        <v>0.72</v>
      </c>
      <c r="Q78" s="4">
        <v>0.27</v>
      </c>
      <c r="R78" s="4">
        <v>0</v>
      </c>
      <c r="S78" s="4">
        <v>10.53</v>
      </c>
      <c r="T78" s="4">
        <v>3.78</v>
      </c>
      <c r="U78" s="4">
        <v>1.44</v>
      </c>
      <c r="V78" s="4">
        <v>0.18</v>
      </c>
      <c r="W78" s="4">
        <v>2.34</v>
      </c>
      <c r="X78" s="4">
        <v>0.27</v>
      </c>
      <c r="Y78" s="4">
        <v>0.09</v>
      </c>
      <c r="Z78" s="4">
        <v>1.08</v>
      </c>
      <c r="AA78" s="4">
        <v>1.26</v>
      </c>
      <c r="AB78" s="4">
        <v>5.94</v>
      </c>
      <c r="AC78" s="4">
        <v>8.73</v>
      </c>
      <c r="AD78" s="4">
        <v>0.27</v>
      </c>
      <c r="AE78" s="4">
        <v>0</v>
      </c>
      <c r="AF78" s="4">
        <v>11.97</v>
      </c>
      <c r="AG78" s="4">
        <v>3.78</v>
      </c>
      <c r="AH78" s="6">
        <f>Datos_originales!$H89/Datos_originales!$E89</f>
        <v>3.1993595074662068E-3</v>
      </c>
      <c r="AI78" s="6">
        <f>Datos_originales!$I89/Datos_originales!$E89</f>
        <v>4.6591383968653931E-3</v>
      </c>
      <c r="AJ78" s="6">
        <f>Datos_originales!$J89/Datos_originales!$E89</f>
        <v>5.5766398139758117E-3</v>
      </c>
      <c r="AK78" s="6">
        <f>Datos_originales!$K89/Datos_originales!$E89</f>
        <v>4.9720405148765568E-3</v>
      </c>
      <c r="AL78" s="6">
        <f>Datos_originales!$L89/Datos_originales!$E89</f>
        <v>4.946439432493825E-3</v>
      </c>
      <c r="AM78" s="6">
        <f>Datos_originales!$M89/Datos_originales!$E89</f>
        <v>2.7199210555714165E-3</v>
      </c>
      <c r="AN78" s="6">
        <f>Datos_originales!$N89/Datos_originales!$E89</f>
        <v>4.8230887628315728E-3</v>
      </c>
      <c r="AO78" s="6">
        <f>Datos_originales!$O89/Datos_originales!$E89</f>
        <v>5.2055534178220781E-3</v>
      </c>
      <c r="AP78" s="6">
        <f>Datos_originales!$P89/Datos_originales!$E89</f>
        <v>6.8194559951011424E-3</v>
      </c>
      <c r="AQ78" s="6">
        <f>Datos_originales!$Q89/Datos_originales!$E89</f>
        <v>5.5598310225124029E-3</v>
      </c>
      <c r="AR78" s="6">
        <f>Datos_originales!$R89/Datos_originales!$E89</f>
        <v>2.3933133075977808E-3</v>
      </c>
      <c r="AS78" s="6">
        <f>Datos_originales!$S89/Datos_originales!$E89</f>
        <v>1.2766923608438946E-2</v>
      </c>
      <c r="AT78" s="6">
        <f>Datos_originales!$T89/Datos_originales!$E89</f>
        <v>9.4925710313667564E-3</v>
      </c>
      <c r="AU78" s="6">
        <f>Datos_originales!$U89/Datos_originales!$E89</f>
        <v>4.0610040175597566E-3</v>
      </c>
      <c r="AV78" s="6">
        <f>Datos_originales!$V89/Datos_originales!$E89</f>
        <v>5.2177074670340818E-3</v>
      </c>
      <c r="AW78" s="6">
        <f>Datos_originales!$W89/Datos_originales!$E89</f>
        <v>7.7641100753447611E-3</v>
      </c>
      <c r="AX78" s="6">
        <f>Datos_originales!$X89/Datos_originales!$E89</f>
        <v>6.2293381163395943E-3</v>
      </c>
      <c r="AY78" s="6">
        <f>Datos_originales!$Y89/Datos_originales!$E89</f>
        <v>5.4688049518182456E-3</v>
      </c>
      <c r="AZ78" s="6">
        <f>Datos_originales!$Z89/Datos_originales!$E89</f>
        <v>2.9800694280666482E-3</v>
      </c>
      <c r="BA78" s="6">
        <f>Datos_originales!$AA89/Datos_originales!$E89</f>
        <v>5.1054764594168538E-3</v>
      </c>
      <c r="BB78" s="6">
        <f>Datos_originales!$AB89/Datos_originales!$E89</f>
        <v>5.6384444472028106E-3</v>
      </c>
      <c r="BC78" s="6">
        <f>Datos_originales!$AC89/Datos_originales!$E89</f>
        <v>7.0739152381779887E-3</v>
      </c>
      <c r="BD78" s="6">
        <f>Datos_originales!$AD89/Datos_originales!$E89</f>
        <v>6.0346147321557872E-3</v>
      </c>
      <c r="BE78" s="6">
        <f>Datos_originales!$AE89/Datos_originales!$E89</f>
        <v>2.4897699109185773E-3</v>
      </c>
      <c r="BF78" s="6">
        <f>Datos_originales!$AF89/Datos_originales!$E89</f>
        <v>1.3056810611984822E-2</v>
      </c>
      <c r="BG78" s="6">
        <f>Datos_originales!$AG89/Datos_originales!$E89</f>
        <v>1.3225674316994155E-2</v>
      </c>
    </row>
    <row r="79" spans="1:59" ht="15.75" customHeight="1">
      <c r="A79" s="2">
        <v>20905</v>
      </c>
      <c r="B79" s="3" t="s">
        <v>85</v>
      </c>
      <c r="C79" s="4" t="s">
        <v>109</v>
      </c>
      <c r="D79" s="4">
        <f>IF(Table_1[[#This Row],[Forest cover 2011]]&lt;1000,"Bosque menor a 1000 ha",Table_1[[#This Row],[Forest cover 2011]])</f>
        <v>4399.29</v>
      </c>
      <c r="E79" s="4">
        <v>4399.29</v>
      </c>
      <c r="F79" s="5">
        <f>AVERAGE(Datos_originales!$H48:$J48)</f>
        <v>0</v>
      </c>
      <c r="G79" s="5">
        <f>AVERAGE(Datos_originales!$R48:$T48)</f>
        <v>0</v>
      </c>
      <c r="H79" s="4">
        <v>9.09</v>
      </c>
      <c r="I79" s="4">
        <v>11.16</v>
      </c>
      <c r="J79" s="4">
        <v>10.98</v>
      </c>
      <c r="K79" s="4">
        <v>6.84</v>
      </c>
      <c r="L79" s="4">
        <v>5.1300000000000008</v>
      </c>
      <c r="M79" s="4">
        <v>6.66</v>
      </c>
      <c r="N79" s="4">
        <v>10.89</v>
      </c>
      <c r="O79" s="4">
        <v>35.549999999999997</v>
      </c>
      <c r="P79" s="4">
        <v>20.16</v>
      </c>
      <c r="Q79" s="4">
        <v>13.86</v>
      </c>
      <c r="R79" s="4">
        <v>18.899999999999999</v>
      </c>
      <c r="S79" s="4">
        <v>237.42</v>
      </c>
      <c r="T79" s="4">
        <v>45.54</v>
      </c>
      <c r="U79" s="4">
        <v>57.87</v>
      </c>
      <c r="V79" s="4">
        <v>85.05</v>
      </c>
      <c r="W79" s="4">
        <v>86.669999999999987</v>
      </c>
      <c r="X79" s="4">
        <v>42.66</v>
      </c>
      <c r="Y79" s="4">
        <v>17.46</v>
      </c>
      <c r="Z79" s="4">
        <v>19.89</v>
      </c>
      <c r="AA79" s="4">
        <v>41.76</v>
      </c>
      <c r="AB79" s="4">
        <v>114.75</v>
      </c>
      <c r="AC79" s="4">
        <v>91.89</v>
      </c>
      <c r="AD79" s="4">
        <v>26.19</v>
      </c>
      <c r="AE79" s="4">
        <v>19.440000000000001</v>
      </c>
      <c r="AF79" s="4">
        <v>257.85000000000002</v>
      </c>
      <c r="AG79" s="4">
        <v>170.82</v>
      </c>
      <c r="AH79" s="6" t="e">
        <f>Datos_originales!$H48/Datos_originales!$E48</f>
        <v>#DIV/0!</v>
      </c>
      <c r="AI79" s="6" t="e">
        <f>Datos_originales!$I48/Datos_originales!$E48</f>
        <v>#DIV/0!</v>
      </c>
      <c r="AJ79" s="6" t="e">
        <f>Datos_originales!$J48/Datos_originales!$E48</f>
        <v>#DIV/0!</v>
      </c>
      <c r="AK79" s="6" t="e">
        <f>Datos_originales!$K48/Datos_originales!$E48</f>
        <v>#DIV/0!</v>
      </c>
      <c r="AL79" s="6" t="e">
        <f>Datos_originales!$L48/Datos_originales!$E48</f>
        <v>#DIV/0!</v>
      </c>
      <c r="AM79" s="6" t="e">
        <f>Datos_originales!$M48/Datos_originales!$E48</f>
        <v>#DIV/0!</v>
      </c>
      <c r="AN79" s="6" t="e">
        <f>Datos_originales!$N48/Datos_originales!$E48</f>
        <v>#DIV/0!</v>
      </c>
      <c r="AO79" s="6" t="e">
        <f>Datos_originales!$O48/Datos_originales!$E48</f>
        <v>#DIV/0!</v>
      </c>
      <c r="AP79" s="6" t="e">
        <f>Datos_originales!$P48/Datos_originales!$E48</f>
        <v>#DIV/0!</v>
      </c>
      <c r="AQ79" s="6" t="e">
        <f>Datos_originales!$Q48/Datos_originales!$E48</f>
        <v>#DIV/0!</v>
      </c>
      <c r="AR79" s="6" t="e">
        <f>Datos_originales!$R48/Datos_originales!$E48</f>
        <v>#DIV/0!</v>
      </c>
      <c r="AS79" s="6" t="e">
        <f>Datos_originales!$S48/Datos_originales!$E48</f>
        <v>#DIV/0!</v>
      </c>
      <c r="AT79" s="6" t="e">
        <f>Datos_originales!$T48/Datos_originales!$E48</f>
        <v>#DIV/0!</v>
      </c>
      <c r="AU79" s="6" t="e">
        <f>Datos_originales!$U48/Datos_originales!$E48</f>
        <v>#DIV/0!</v>
      </c>
      <c r="AV79" s="6" t="e">
        <f>Datos_originales!$V48/Datos_originales!$E48</f>
        <v>#DIV/0!</v>
      </c>
      <c r="AW79" s="6" t="e">
        <f>Datos_originales!$W48/Datos_originales!$E48</f>
        <v>#DIV/0!</v>
      </c>
      <c r="AX79" s="6" t="e">
        <f>Datos_originales!$X48/Datos_originales!$E48</f>
        <v>#DIV/0!</v>
      </c>
      <c r="AY79" s="6" t="e">
        <f>Datos_originales!$Y48/Datos_originales!$E48</f>
        <v>#DIV/0!</v>
      </c>
      <c r="AZ79" s="6" t="e">
        <f>Datos_originales!$Z48/Datos_originales!$E48</f>
        <v>#DIV/0!</v>
      </c>
      <c r="BA79" s="6" t="e">
        <f>Datos_originales!$AA48/Datos_originales!$E48</f>
        <v>#DIV/0!</v>
      </c>
      <c r="BB79" s="6" t="e">
        <f>Datos_originales!$AB48/Datos_originales!$E48</f>
        <v>#DIV/0!</v>
      </c>
      <c r="BC79" s="6" t="e">
        <f>Datos_originales!$AC48/Datos_originales!$E48</f>
        <v>#DIV/0!</v>
      </c>
      <c r="BD79" s="6" t="e">
        <f>Datos_originales!$AD48/Datos_originales!$E48</f>
        <v>#DIV/0!</v>
      </c>
      <c r="BE79" s="6" t="e">
        <f>Datos_originales!$AE48/Datos_originales!$E48</f>
        <v>#DIV/0!</v>
      </c>
      <c r="BF79" s="6" t="e">
        <f>Datos_originales!$AF48/Datos_originales!$E48</f>
        <v>#DIV/0!</v>
      </c>
      <c r="BG79" s="6" t="e">
        <f>Datos_originales!$AG48/Datos_originales!$E48</f>
        <v>#DIV/0!</v>
      </c>
    </row>
    <row r="80" spans="1:59" ht="15.75" customHeight="1">
      <c r="A80" s="2">
        <v>21001</v>
      </c>
      <c r="B80" s="3" t="s">
        <v>85</v>
      </c>
      <c r="C80" s="4" t="s">
        <v>127</v>
      </c>
      <c r="D80" s="4">
        <f>IF(Table_1[[#This Row],[Forest cover 2011]]&lt;1000,"Bosque menor a 1000 ha",Table_1[[#This Row],[Forest cover 2011]])</f>
        <v>174734.82</v>
      </c>
      <c r="E80" s="4">
        <v>174734.82</v>
      </c>
      <c r="F80" s="5">
        <f>AVERAGE(Datos_originales!$H66:$J66)</f>
        <v>386.82</v>
      </c>
      <c r="G80" s="5">
        <f>AVERAGE(Datos_originales!$R66:$T66)</f>
        <v>1647.9000000000003</v>
      </c>
      <c r="H80" s="4">
        <v>64.349999999999994</v>
      </c>
      <c r="I80" s="4">
        <v>85.5</v>
      </c>
      <c r="J80" s="4">
        <v>117.72</v>
      </c>
      <c r="K80" s="4">
        <v>96.11999999999999</v>
      </c>
      <c r="L80" s="4">
        <v>123.03</v>
      </c>
      <c r="M80" s="4">
        <v>94.95</v>
      </c>
      <c r="N80" s="4">
        <v>103.05</v>
      </c>
      <c r="O80" s="4">
        <v>113.04</v>
      </c>
      <c r="P80" s="4">
        <v>165.87</v>
      </c>
      <c r="Q80" s="4">
        <v>148.59</v>
      </c>
      <c r="R80" s="4">
        <v>191.88</v>
      </c>
      <c r="S80" s="4">
        <v>640.71</v>
      </c>
      <c r="T80" s="4">
        <v>1968.66</v>
      </c>
      <c r="U80" s="4">
        <v>301.05</v>
      </c>
      <c r="V80" s="4">
        <v>299.97000000000003</v>
      </c>
      <c r="W80" s="4">
        <v>621.99</v>
      </c>
      <c r="X80" s="4">
        <v>155.97</v>
      </c>
      <c r="Y80" s="4">
        <v>197.28</v>
      </c>
      <c r="Z80" s="4">
        <v>151.65</v>
      </c>
      <c r="AA80" s="4">
        <v>162.44999999999999</v>
      </c>
      <c r="AB80" s="4">
        <v>156.6</v>
      </c>
      <c r="AC80" s="4">
        <v>223.11</v>
      </c>
      <c r="AD80" s="4">
        <v>209.88</v>
      </c>
      <c r="AE80" s="4">
        <v>211.68</v>
      </c>
      <c r="AF80" s="4">
        <v>762.56999999999994</v>
      </c>
      <c r="AG80" s="4">
        <v>4410.18</v>
      </c>
      <c r="AH80" s="6">
        <f>Datos_originales!$H66/Datos_originales!$E66</f>
        <v>2.245149189374099E-4</v>
      </c>
      <c r="AI80" s="6">
        <f>Datos_originales!$I66/Datos_originales!$E66</f>
        <v>2.9155358079404063E-4</v>
      </c>
      <c r="AJ80" s="6">
        <f>Datos_originales!$J66/Datos_originales!$E66</f>
        <v>4.0940955806233577E-4</v>
      </c>
      <c r="AK80" s="6">
        <f>Datos_originales!$K66/Datos_originales!$E66</f>
        <v>3.4194024099035191E-4</v>
      </c>
      <c r="AL80" s="6">
        <f>Datos_originales!$L66/Datos_originales!$E66</f>
        <v>4.5261863133609555E-4</v>
      </c>
      <c r="AM80" s="6">
        <f>Datos_originales!$M66/Datos_originales!$E66</f>
        <v>2.5896733616565697E-4</v>
      </c>
      <c r="AN80" s="6">
        <f>Datos_originales!$N66/Datos_originales!$E66</f>
        <v>3.5134287985889439E-4</v>
      </c>
      <c r="AO80" s="6">
        <f>Datos_originales!$O66/Datos_originales!$E66</f>
        <v>3.9053250445602531E-4</v>
      </c>
      <c r="AP80" s="6">
        <f>Datos_originales!$P66/Datos_originales!$E66</f>
        <v>9.4665193921531312E-4</v>
      </c>
      <c r="AQ80" s="6">
        <f>Datos_originales!$Q66/Datos_originales!$E66</f>
        <v>6.4081496044539506E-4</v>
      </c>
      <c r="AR80" s="6">
        <f>Datos_originales!$R66/Datos_originales!$E66</f>
        <v>3.5155820746657091E-4</v>
      </c>
      <c r="AS80" s="6">
        <f>Datos_originales!$S66/Datos_originales!$E66</f>
        <v>6.7060194617398372E-4</v>
      </c>
      <c r="AT80" s="6">
        <f>Datos_originales!$T66/Datos_originales!$E66</f>
        <v>2.9204883429169671E-3</v>
      </c>
      <c r="AU80" s="6">
        <f>Datos_originales!$U66/Datos_originales!$E66</f>
        <v>2.0836534836166909E-3</v>
      </c>
      <c r="AV80" s="6">
        <f>Datos_originales!$V66/Datos_originales!$E66</f>
        <v>2.3729102365955155E-3</v>
      </c>
      <c r="AW80" s="6">
        <f>Datos_originales!$W66/Datos_originales!$E66</f>
        <v>4.1559663798957517E-3</v>
      </c>
      <c r="AX80" s="6">
        <f>Datos_originales!$X66/Datos_originales!$E66</f>
        <v>2.4398053467136953E-3</v>
      </c>
      <c r="AY80" s="6">
        <f>Datos_originales!$Y66/Datos_originales!$E66</f>
        <v>1.6945564965451761E-3</v>
      </c>
      <c r="AZ80" s="6">
        <f>Datos_originales!$Z66/Datos_originales!$E66</f>
        <v>1.2763185065681022E-3</v>
      </c>
      <c r="BA80" s="6">
        <f>Datos_originales!$AA66/Datos_originales!$E66</f>
        <v>1.6195507132045132E-3</v>
      </c>
      <c r="BB80" s="6">
        <f>Datos_originales!$AB66/Datos_originales!$E66</f>
        <v>1.7674090038090734E-3</v>
      </c>
      <c r="BC80" s="6">
        <f>Datos_originales!$AC66/Datos_originales!$E66</f>
        <v>2.1521276628578322E-3</v>
      </c>
      <c r="BD80" s="6">
        <f>Datos_originales!$AD66/Datos_originales!$E66</f>
        <v>4.3117200161151177E-3</v>
      </c>
      <c r="BE80" s="6">
        <f>Datos_originales!$AE66/Datos_originales!$E66</f>
        <v>1.0500809667692798E-3</v>
      </c>
      <c r="BF80" s="6">
        <f>Datos_originales!$AF66/Datos_originales!$E66</f>
        <v>1.0760638314289161E-3</v>
      </c>
      <c r="BG80" s="6">
        <f>Datos_originales!$AG66/Datos_originales!$E66</f>
        <v>4.0264109359436969E-3</v>
      </c>
    </row>
    <row r="81" spans="1:59" ht="15.75" customHeight="1">
      <c r="A81" s="2">
        <v>21002</v>
      </c>
      <c r="B81" s="3" t="s">
        <v>85</v>
      </c>
      <c r="C81" s="4" t="s">
        <v>125</v>
      </c>
      <c r="D81" s="4">
        <f>IF(Table_1[[#This Row],[Forest cover 2011]]&lt;1000,"Bosque menor a 1000 ha",Table_1[[#This Row],[Forest cover 2011]])</f>
        <v>23813.64</v>
      </c>
      <c r="E81" s="4">
        <v>23813.64</v>
      </c>
      <c r="F81" s="5">
        <f>AVERAGE(Datos_originales!$H64:$J64)</f>
        <v>380.58</v>
      </c>
      <c r="G81" s="5">
        <f>AVERAGE(Datos_originales!$R64:$T64)</f>
        <v>1377.57</v>
      </c>
      <c r="H81" s="4">
        <v>16.29</v>
      </c>
      <c r="I81" s="4">
        <v>17.190000000000001</v>
      </c>
      <c r="J81" s="4">
        <v>19.62</v>
      </c>
      <c r="K81" s="4">
        <v>10.89</v>
      </c>
      <c r="L81" s="4">
        <v>12.15</v>
      </c>
      <c r="M81" s="4">
        <v>11.97</v>
      </c>
      <c r="N81" s="4">
        <v>14.76</v>
      </c>
      <c r="O81" s="4">
        <v>14.22</v>
      </c>
      <c r="P81" s="4">
        <v>11.34</v>
      </c>
      <c r="Q81" s="4">
        <v>33.840000000000003</v>
      </c>
      <c r="R81" s="4">
        <v>24.03</v>
      </c>
      <c r="S81" s="4">
        <v>199.26</v>
      </c>
      <c r="T81" s="4">
        <v>148.77000000000001</v>
      </c>
      <c r="U81" s="4">
        <v>102.87</v>
      </c>
      <c r="V81" s="4">
        <v>95.76</v>
      </c>
      <c r="W81" s="4">
        <v>163.71</v>
      </c>
      <c r="X81" s="4">
        <v>32.130000000000003</v>
      </c>
      <c r="Y81" s="4">
        <v>25.65</v>
      </c>
      <c r="Z81" s="4">
        <v>21.78</v>
      </c>
      <c r="AA81" s="4">
        <v>23.94</v>
      </c>
      <c r="AB81" s="4">
        <v>28.62</v>
      </c>
      <c r="AC81" s="4">
        <v>39.78</v>
      </c>
      <c r="AD81" s="4">
        <v>43.11</v>
      </c>
      <c r="AE81" s="4">
        <v>30.78</v>
      </c>
      <c r="AF81" s="4">
        <v>223.02</v>
      </c>
      <c r="AG81" s="4">
        <v>633.33000000000004</v>
      </c>
      <c r="AH81" s="6">
        <f>Datos_originales!$H64/Datos_originales!$E64</f>
        <v>2.3132445386828807E-3</v>
      </c>
      <c r="AI81" s="6">
        <f>Datos_originales!$I64/Datos_originales!$E64</f>
        <v>2.5192453285712599E-3</v>
      </c>
      <c r="AJ81" s="6">
        <f>Datos_originales!$J64/Datos_originales!$E64</f>
        <v>3.4902044656247664E-3</v>
      </c>
      <c r="AK81" s="6">
        <f>Datos_originales!$K64/Datos_originales!$E64</f>
        <v>2.3696651371873413E-3</v>
      </c>
      <c r="AL81" s="6">
        <f>Datos_originales!$L64/Datos_originales!$E64</f>
        <v>2.221397052745387E-3</v>
      </c>
      <c r="AM81" s="6">
        <f>Datos_originales!$M64/Datos_originales!$E64</f>
        <v>1.0601824091070718E-3</v>
      </c>
      <c r="AN81" s="6">
        <f>Datos_originales!$N64/Datos_originales!$E64</f>
        <v>4.4834694206916641E-3</v>
      </c>
      <c r="AO81" s="6">
        <f>Datos_originales!$O64/Datos_originales!$E64</f>
        <v>4.0911494450443691E-3</v>
      </c>
      <c r="AP81" s="6">
        <f>Datos_originales!$P64/Datos_originales!$E64</f>
        <v>8.3640257015507799E-3</v>
      </c>
      <c r="AQ81" s="6">
        <f>Datos_originales!$Q64/Datos_originales!$E64</f>
        <v>4.396214309051045E-3</v>
      </c>
      <c r="AR81" s="6">
        <f>Datos_originales!$R64/Datos_originales!$E64</f>
        <v>9.486533190401149E-4</v>
      </c>
      <c r="AS81" s="6">
        <f>Datos_originales!$S64/Datos_originales!$E64</f>
        <v>2.0859876163346815E-2</v>
      </c>
      <c r="AT81" s="6">
        <f>Datos_originales!$T64/Datos_originales!$E64</f>
        <v>8.316789851640069E-3</v>
      </c>
      <c r="AU81" s="6">
        <f>Datos_originales!$U64/Datos_originales!$E64</f>
        <v>2.8341509946426674E-3</v>
      </c>
      <c r="AV81" s="6">
        <f>Datos_originales!$V64/Datos_originales!$E64</f>
        <v>2.9929159346203352E-3</v>
      </c>
      <c r="AW81" s="6">
        <f>Datos_originales!$W64/Datos_originales!$E64</f>
        <v>4.2374493690733768E-3</v>
      </c>
      <c r="AX81" s="6">
        <f>Datos_originales!$X64/Datos_originales!$E64</f>
        <v>2.6202775631025028E-3</v>
      </c>
      <c r="AY81" s="6">
        <f>Datos_originales!$Y64/Datos_originales!$E64</f>
        <v>2.4516718210601035E-3</v>
      </c>
      <c r="AZ81" s="6">
        <f>Datos_originales!$Z64/Datos_originales!$E64</f>
        <v>1.3075145676673232E-3</v>
      </c>
      <c r="BA81" s="6">
        <f>Datos_originales!$AA64/Datos_originales!$E64</f>
        <v>5.0148727321871643E-3</v>
      </c>
      <c r="BB81" s="6">
        <f>Datos_originales!$AB64/Datos_originales!$E64</f>
        <v>4.6212406495979054E-3</v>
      </c>
      <c r="BC81" s="6">
        <f>Datos_originales!$AC64/Datos_originales!$E64</f>
        <v>8.93348011436324E-3</v>
      </c>
      <c r="BD81" s="6">
        <f>Datos_originales!$AD64/Datos_originales!$E64</f>
        <v>5.3383070933813387E-3</v>
      </c>
      <c r="BE81" s="6">
        <f>Datos_originales!$AE64/Datos_originales!$E64</f>
        <v>1.0969214034820692E-3</v>
      </c>
      <c r="BF81" s="6">
        <f>Datos_originales!$AF64/Datos_originales!$E64</f>
        <v>2.1683879322900331E-2</v>
      </c>
      <c r="BG81" s="6">
        <f>Datos_originales!$AG64/Datos_originales!$E64</f>
        <v>1.5782022297945369E-2</v>
      </c>
    </row>
    <row r="82" spans="1:59" ht="15.75" customHeight="1">
      <c r="A82" s="2">
        <v>21003</v>
      </c>
      <c r="B82" s="3" t="s">
        <v>85</v>
      </c>
      <c r="C82" s="4" t="s">
        <v>122</v>
      </c>
      <c r="D82" s="4">
        <f>IF(Table_1[[#This Row],[Forest cover 2011]]&lt;1000,"Bosque menor a 1000 ha",Table_1[[#This Row],[Forest cover 2011]])</f>
        <v>46961.19</v>
      </c>
      <c r="E82" s="4">
        <v>46961.19</v>
      </c>
      <c r="F82" s="5">
        <f>AVERAGE(Datos_originales!$H61:$J61)</f>
        <v>1.5</v>
      </c>
      <c r="G82" s="5">
        <f>AVERAGE(Datos_originales!$R61:$T61)</f>
        <v>9.39</v>
      </c>
      <c r="H82" s="4">
        <v>47.61</v>
      </c>
      <c r="I82" s="4">
        <v>81.72</v>
      </c>
      <c r="J82" s="4">
        <v>125.55</v>
      </c>
      <c r="K82" s="4">
        <v>68.670000000000016</v>
      </c>
      <c r="L82" s="4">
        <v>67.319999999999993</v>
      </c>
      <c r="M82" s="4">
        <v>46.8</v>
      </c>
      <c r="N82" s="4">
        <v>50.76</v>
      </c>
      <c r="O82" s="4">
        <v>60.12</v>
      </c>
      <c r="P82" s="4">
        <v>59.49</v>
      </c>
      <c r="Q82" s="4">
        <v>103.23</v>
      </c>
      <c r="R82" s="4">
        <v>149.49</v>
      </c>
      <c r="S82" s="4">
        <v>379.08</v>
      </c>
      <c r="T82" s="4">
        <v>830.34</v>
      </c>
      <c r="U82" s="4">
        <v>107.19</v>
      </c>
      <c r="V82" s="4">
        <v>146.61000000000001</v>
      </c>
      <c r="W82" s="4">
        <v>266.04000000000002</v>
      </c>
      <c r="X82" s="4">
        <v>90.36</v>
      </c>
      <c r="Y82" s="4">
        <v>82.62</v>
      </c>
      <c r="Z82" s="4">
        <v>55.17</v>
      </c>
      <c r="AA82" s="4">
        <v>57.33</v>
      </c>
      <c r="AB82" s="4">
        <v>81.27</v>
      </c>
      <c r="AC82" s="4">
        <v>74.430000000000007</v>
      </c>
      <c r="AD82" s="4">
        <v>112.86</v>
      </c>
      <c r="AE82" s="4">
        <v>158.04</v>
      </c>
      <c r="AF82" s="4">
        <v>408.15</v>
      </c>
      <c r="AG82" s="4">
        <v>1329.66</v>
      </c>
      <c r="AH82" s="6">
        <f>Datos_originales!$H61/Datos_originales!$E61</f>
        <v>3.0046948356807512E-3</v>
      </c>
      <c r="AI82" s="6">
        <f>Datos_originales!$I61/Datos_originales!$E61</f>
        <v>9.3896713615023472E-4</v>
      </c>
      <c r="AJ82" s="6">
        <f>Datos_originales!$J61/Datos_originales!$E61</f>
        <v>7.511737089201878E-4</v>
      </c>
      <c r="AK82" s="6">
        <f>Datos_originales!$K61/Datos_originales!$E61</f>
        <v>8.450704225352112E-4</v>
      </c>
      <c r="AL82" s="6">
        <f>Datos_originales!$L61/Datos_originales!$E61</f>
        <v>5.6338028169014088E-4</v>
      </c>
      <c r="AM82" s="6">
        <f>Datos_originales!$M61/Datos_originales!$E61</f>
        <v>8.4507042253521131E-4</v>
      </c>
      <c r="AN82" s="6">
        <f>Datos_originales!$N61/Datos_originales!$E61</f>
        <v>2.6291079812206571E-3</v>
      </c>
      <c r="AO82" s="6">
        <f>Datos_originales!$O61/Datos_originales!$E61</f>
        <v>1.6901408450704226E-3</v>
      </c>
      <c r="AP82" s="6">
        <f>Datos_originales!$P61/Datos_originales!$E61</f>
        <v>8.5446009389671361E-3</v>
      </c>
      <c r="AQ82" s="6">
        <f>Datos_originales!$Q61/Datos_originales!$E61</f>
        <v>0</v>
      </c>
      <c r="AR82" s="6">
        <f>Datos_originales!$R61/Datos_originales!$E61</f>
        <v>2.8169014084507044E-4</v>
      </c>
      <c r="AS82" s="6">
        <f>Datos_originales!$S61/Datos_originales!$E61</f>
        <v>3.7558685446009389E-3</v>
      </c>
      <c r="AT82" s="6">
        <f>Datos_originales!$T61/Datos_originales!$E61</f>
        <v>2.5352112676056339E-2</v>
      </c>
      <c r="AU82" s="6">
        <f>Datos_originales!$U61/Datos_originales!$E61</f>
        <v>1.1173708920187795E-2</v>
      </c>
      <c r="AV82" s="6">
        <f>Datos_originales!$V61/Datos_originales!$E61</f>
        <v>6.1032863849765258E-3</v>
      </c>
      <c r="AW82" s="6">
        <f>Datos_originales!$W61/Datos_originales!$E61</f>
        <v>1.323943661971831E-2</v>
      </c>
      <c r="AX82" s="6">
        <f>Datos_originales!$X61/Datos_originales!$E61</f>
        <v>2.0657276995305163E-3</v>
      </c>
      <c r="AY82" s="6">
        <f>Datos_originales!$Y61/Datos_originales!$E61</f>
        <v>1.4084507042253522E-3</v>
      </c>
      <c r="AZ82" s="6">
        <f>Datos_originales!$Z61/Datos_originales!$E61</f>
        <v>1.6901408450704226E-3</v>
      </c>
      <c r="BA82" s="6">
        <f>Datos_originales!$AA61/Datos_originales!$E61</f>
        <v>3.7558685446009389E-3</v>
      </c>
      <c r="BB82" s="6">
        <f>Datos_originales!$AB61/Datos_originales!$E61</f>
        <v>2.6291079812206571E-3</v>
      </c>
      <c r="BC82" s="6">
        <f>Datos_originales!$AC61/Datos_originales!$E61</f>
        <v>9.2018779342723008E-3</v>
      </c>
      <c r="BD82" s="6">
        <f>Datos_originales!$AD61/Datos_originales!$E61</f>
        <v>1.8779342723004695E-4</v>
      </c>
      <c r="BE82" s="6">
        <f>Datos_originales!$AE61/Datos_originales!$E61</f>
        <v>2.8169014084507044E-4</v>
      </c>
      <c r="BF82" s="6">
        <f>Datos_originales!$AF61/Datos_originales!$E61</f>
        <v>5.6338028169014088E-3</v>
      </c>
      <c r="BG82" s="6">
        <f>Datos_originales!$AG61/Datos_originales!$E61</f>
        <v>6.2535211267605625E-2</v>
      </c>
    </row>
    <row r="83" spans="1:59" ht="15.75" customHeight="1">
      <c r="A83" s="2">
        <v>21004</v>
      </c>
      <c r="B83" s="3" t="s">
        <v>85</v>
      </c>
      <c r="C83" s="4" t="s">
        <v>115</v>
      </c>
      <c r="D83" s="4" t="str">
        <f>IF(Table_1[[#This Row],[Forest cover 2011]]&lt;1000,"Bosque menor a 1000 ha",Table_1[[#This Row],[Forest cover 2011]])</f>
        <v>Bosque menor a 1000 ha</v>
      </c>
      <c r="E83" s="4">
        <v>366.03</v>
      </c>
      <c r="F83" s="5">
        <f>AVERAGE(Datos_originales!$H54:$J54)</f>
        <v>0</v>
      </c>
      <c r="G83" s="5">
        <f>AVERAGE(Datos_originales!$R54:$T54)</f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0.45</v>
      </c>
      <c r="Q83" s="4">
        <v>0</v>
      </c>
      <c r="R83" s="4">
        <v>0.09</v>
      </c>
      <c r="S83" s="4">
        <v>0.36</v>
      </c>
      <c r="T83" s="4">
        <v>1.62</v>
      </c>
      <c r="U83" s="4">
        <v>9.99</v>
      </c>
      <c r="V83" s="4">
        <v>4.3199999999999994</v>
      </c>
      <c r="W83" s="4">
        <v>6.93</v>
      </c>
      <c r="X83" s="4">
        <v>0.72</v>
      </c>
      <c r="Y83" s="4">
        <v>0.81</v>
      </c>
      <c r="Z83" s="4">
        <v>1.26</v>
      </c>
      <c r="AA83" s="4">
        <v>1.17</v>
      </c>
      <c r="AB83" s="4">
        <v>0.36</v>
      </c>
      <c r="AC83" s="4">
        <v>1.08</v>
      </c>
      <c r="AD83" s="4">
        <v>0.27</v>
      </c>
      <c r="AE83" s="4">
        <v>0.36</v>
      </c>
      <c r="AF83" s="4">
        <v>0.9</v>
      </c>
      <c r="AG83" s="4">
        <v>12.51</v>
      </c>
      <c r="AH83" s="6" t="e">
        <f>Datos_originales!$H54/Datos_originales!$E54</f>
        <v>#DIV/0!</v>
      </c>
      <c r="AI83" s="6" t="e">
        <f>Datos_originales!$I54/Datos_originales!$E54</f>
        <v>#DIV/0!</v>
      </c>
      <c r="AJ83" s="6" t="e">
        <f>Datos_originales!$J54/Datos_originales!$E54</f>
        <v>#DIV/0!</v>
      </c>
      <c r="AK83" s="6" t="e">
        <f>Datos_originales!$K54/Datos_originales!$E54</f>
        <v>#DIV/0!</v>
      </c>
      <c r="AL83" s="6" t="e">
        <f>Datos_originales!$L54/Datos_originales!$E54</f>
        <v>#DIV/0!</v>
      </c>
      <c r="AM83" s="6" t="e">
        <f>Datos_originales!$M54/Datos_originales!$E54</f>
        <v>#DIV/0!</v>
      </c>
      <c r="AN83" s="6" t="e">
        <f>Datos_originales!$N54/Datos_originales!$E54</f>
        <v>#DIV/0!</v>
      </c>
      <c r="AO83" s="6" t="e">
        <f>Datos_originales!$O54/Datos_originales!$E54</f>
        <v>#DIV/0!</v>
      </c>
      <c r="AP83" s="6" t="e">
        <f>Datos_originales!$P54/Datos_originales!$E54</f>
        <v>#DIV/0!</v>
      </c>
      <c r="AQ83" s="6" t="e">
        <f>Datos_originales!$Q54/Datos_originales!$E54</f>
        <v>#DIV/0!</v>
      </c>
      <c r="AR83" s="6" t="e">
        <f>Datos_originales!$R54/Datos_originales!$E54</f>
        <v>#DIV/0!</v>
      </c>
      <c r="AS83" s="6" t="e">
        <f>Datos_originales!$S54/Datos_originales!$E54</f>
        <v>#DIV/0!</v>
      </c>
      <c r="AT83" s="6" t="e">
        <f>Datos_originales!$T54/Datos_originales!$E54</f>
        <v>#DIV/0!</v>
      </c>
      <c r="AU83" s="6" t="e">
        <f>Datos_originales!$U54/Datos_originales!$E54</f>
        <v>#DIV/0!</v>
      </c>
      <c r="AV83" s="6" t="e">
        <f>Datos_originales!$V54/Datos_originales!$E54</f>
        <v>#DIV/0!</v>
      </c>
      <c r="AW83" s="6" t="e">
        <f>Datos_originales!$W54/Datos_originales!$E54</f>
        <v>#DIV/0!</v>
      </c>
      <c r="AX83" s="6" t="e">
        <f>Datos_originales!$X54/Datos_originales!$E54</f>
        <v>#DIV/0!</v>
      </c>
      <c r="AY83" s="6" t="e">
        <f>Datos_originales!$Y54/Datos_originales!$E54</f>
        <v>#DIV/0!</v>
      </c>
      <c r="AZ83" s="6" t="e">
        <f>Datos_originales!$Z54/Datos_originales!$E54</f>
        <v>#DIV/0!</v>
      </c>
      <c r="BA83" s="6" t="e">
        <f>Datos_originales!$AA54/Datos_originales!$E54</f>
        <v>#DIV/0!</v>
      </c>
      <c r="BB83" s="6" t="e">
        <f>Datos_originales!$AB54/Datos_originales!$E54</f>
        <v>#DIV/0!</v>
      </c>
      <c r="BC83" s="6" t="e">
        <f>Datos_originales!$AC54/Datos_originales!$E54</f>
        <v>#DIV/0!</v>
      </c>
      <c r="BD83" s="6" t="e">
        <f>Datos_originales!$AD54/Datos_originales!$E54</f>
        <v>#DIV/0!</v>
      </c>
      <c r="BE83" s="6" t="e">
        <f>Datos_originales!$AE54/Datos_originales!$E54</f>
        <v>#DIV/0!</v>
      </c>
      <c r="BF83" s="6" t="e">
        <f>Datos_originales!$AF54/Datos_originales!$E54</f>
        <v>#DIV/0!</v>
      </c>
      <c r="BG83" s="6" t="e">
        <f>Datos_originales!$AG54/Datos_originales!$E54</f>
        <v>#DIV/0!</v>
      </c>
    </row>
    <row r="84" spans="1:59" ht="15.75" customHeight="1">
      <c r="A84" s="2">
        <v>21005</v>
      </c>
      <c r="B84" s="3" t="s">
        <v>85</v>
      </c>
      <c r="C84" s="4" t="s">
        <v>86</v>
      </c>
      <c r="D84" s="4">
        <f>IF(Table_1[[#This Row],[Forest cover 2011]]&lt;1000,"Bosque menor a 1000 ha",Table_1[[#This Row],[Forest cover 2011]])</f>
        <v>1748.52</v>
      </c>
      <c r="E84" s="4">
        <v>1748.52</v>
      </c>
      <c r="F84" s="5">
        <f>AVERAGE(Datos_originales!$H25:$J25)</f>
        <v>2.8200000000000003</v>
      </c>
      <c r="G84" s="5">
        <f>AVERAGE(Datos_originales!$R25:$T25)</f>
        <v>13.829999999999998</v>
      </c>
      <c r="H84" s="4">
        <v>0.27</v>
      </c>
      <c r="I84" s="4">
        <v>0.18</v>
      </c>
      <c r="J84" s="4">
        <v>0.45</v>
      </c>
      <c r="K84" s="4">
        <v>0.27</v>
      </c>
      <c r="L84" s="4">
        <v>0.18</v>
      </c>
      <c r="M84" s="4">
        <v>0</v>
      </c>
      <c r="N84" s="4">
        <v>0</v>
      </c>
      <c r="O84" s="4">
        <v>0.09</v>
      </c>
      <c r="P84" s="4">
        <v>0.09</v>
      </c>
      <c r="Q84" s="4">
        <v>0</v>
      </c>
      <c r="R84" s="4">
        <v>0</v>
      </c>
      <c r="S84" s="4">
        <v>8.82</v>
      </c>
      <c r="T84" s="4">
        <v>41.22</v>
      </c>
      <c r="U84" s="4">
        <v>14.94</v>
      </c>
      <c r="V84" s="4">
        <v>9.6300000000000008</v>
      </c>
      <c r="W84" s="4">
        <v>18.09</v>
      </c>
      <c r="X84" s="4">
        <v>5.0400000000000009</v>
      </c>
      <c r="Y84" s="4">
        <v>4.32</v>
      </c>
      <c r="Z84" s="4">
        <v>2.34</v>
      </c>
      <c r="AA84" s="4">
        <v>3.24</v>
      </c>
      <c r="AB84" s="4">
        <v>4.1399999999999997</v>
      </c>
      <c r="AC84" s="4">
        <v>5.85</v>
      </c>
      <c r="AD84" s="4">
        <v>4.7699999999999996</v>
      </c>
      <c r="AE84" s="4">
        <v>3.78</v>
      </c>
      <c r="AF84" s="4">
        <v>11.97</v>
      </c>
      <c r="AG84" s="4">
        <v>152.82</v>
      </c>
      <c r="AH84" s="6">
        <f>Datos_originales!$H25/Datos_originales!$E25</f>
        <v>1.0416666666666668E-2</v>
      </c>
      <c r="AI84" s="6">
        <f>Datos_originales!$I25/Datos_originales!$E25</f>
        <v>3.5714285714285719E-2</v>
      </c>
      <c r="AJ84" s="6">
        <f>Datos_originales!$J25/Datos_originales!$E25</f>
        <v>2.3809523809523808E-2</v>
      </c>
      <c r="AK84" s="6">
        <f>Datos_originales!$K25/Datos_originales!$E25</f>
        <v>1.4136904761904762E-2</v>
      </c>
      <c r="AL84" s="6">
        <f>Datos_originales!$L25/Datos_originales!$E25</f>
        <v>3.0505952380952384E-2</v>
      </c>
      <c r="AM84" s="6">
        <f>Datos_originales!$M25/Datos_originales!$E25</f>
        <v>1.0416666666666668E-2</v>
      </c>
      <c r="AN84" s="6">
        <f>Datos_originales!$N25/Datos_originales!$E25</f>
        <v>1.0416666666666668E-2</v>
      </c>
      <c r="AO84" s="6">
        <f>Datos_originales!$O25/Datos_originales!$E25</f>
        <v>1.9345238095238096E-2</v>
      </c>
      <c r="AP84" s="6">
        <f>Datos_originales!$P25/Datos_originales!$E25</f>
        <v>9.6726190476190479E-3</v>
      </c>
      <c r="AQ84" s="6">
        <f>Datos_originales!$Q25/Datos_originales!$E25</f>
        <v>7.4404761904761901E-3</v>
      </c>
      <c r="AR84" s="6">
        <f>Datos_originales!$R25/Datos_originales!$E25</f>
        <v>7.4404761904761901E-4</v>
      </c>
      <c r="AS84" s="6">
        <f>Datos_originales!$S25/Datos_originales!$E25</f>
        <v>3.273809523809524E-2</v>
      </c>
      <c r="AT84" s="6">
        <f>Datos_originales!$T25/Datos_originales!$E25</f>
        <v>0.30952380952380953</v>
      </c>
      <c r="AU84" s="6">
        <f>Datos_originales!$U25/Datos_originales!$E25</f>
        <v>1.2648809523809524E-2</v>
      </c>
      <c r="AV84" s="6">
        <f>Datos_originales!$V25/Datos_originales!$E25</f>
        <v>4.4642857142857151E-2</v>
      </c>
      <c r="AW84" s="6">
        <f>Datos_originales!$W25/Datos_originales!$E25</f>
        <v>3.7946428571428575E-2</v>
      </c>
      <c r="AX84" s="6">
        <f>Datos_originales!$X25/Datos_originales!$E25</f>
        <v>1.5625E-2</v>
      </c>
      <c r="AY84" s="6">
        <f>Datos_originales!$Y25/Datos_originales!$E25</f>
        <v>3.5714285714285719E-2</v>
      </c>
      <c r="AZ84" s="6">
        <f>Datos_originales!$Z25/Datos_originales!$E25</f>
        <v>1.3392857142857144E-2</v>
      </c>
      <c r="BA84" s="6">
        <f>Datos_originales!$AA25/Datos_originales!$E25</f>
        <v>1.2648809523809524E-2</v>
      </c>
      <c r="BB84" s="6">
        <f>Datos_originales!$AB25/Datos_originales!$E25</f>
        <v>2.3065476190476192E-2</v>
      </c>
      <c r="BC84" s="6">
        <f>Datos_originales!$AC25/Datos_originales!$E25</f>
        <v>9.6726190476190479E-3</v>
      </c>
      <c r="BD84" s="6">
        <f>Datos_originales!$AD25/Datos_originales!$E25</f>
        <v>9.6726190476190479E-3</v>
      </c>
      <c r="BE84" s="6">
        <f>Datos_originales!$AE25/Datos_originales!$E25</f>
        <v>1.488095238095238E-3</v>
      </c>
      <c r="BF84" s="6">
        <f>Datos_originales!$AF25/Datos_originales!$E25</f>
        <v>3.273809523809524E-2</v>
      </c>
      <c r="BG84" s="6">
        <f>Datos_originales!$AG25/Datos_originales!$E25</f>
        <v>0.48437500000000006</v>
      </c>
    </row>
    <row r="85" spans="1:59" ht="15.75" customHeight="1">
      <c r="A85" s="2">
        <v>21006</v>
      </c>
      <c r="B85" s="3" t="s">
        <v>85</v>
      </c>
      <c r="C85" s="4" t="s">
        <v>143</v>
      </c>
      <c r="D85" s="4">
        <f>IF(Table_1[[#This Row],[Forest cover 2011]]&lt;1000,"Bosque menor a 1000 ha",Table_1[[#This Row],[Forest cover 2011]])</f>
        <v>13737.87</v>
      </c>
      <c r="E85" s="4">
        <v>13737.87</v>
      </c>
      <c r="F85" s="5">
        <f>AVERAGE(Datos_originales!$H81:$J81)</f>
        <v>17.700000000000003</v>
      </c>
      <c r="G85" s="5">
        <f>AVERAGE(Datos_originales!$R81:$T81)</f>
        <v>124.02</v>
      </c>
      <c r="H85" s="4">
        <v>10.35</v>
      </c>
      <c r="I85" s="4">
        <v>11.34</v>
      </c>
      <c r="J85" s="4">
        <v>14.4</v>
      </c>
      <c r="K85" s="4">
        <v>8.1</v>
      </c>
      <c r="L85" s="4">
        <v>12.96</v>
      </c>
      <c r="M85" s="4">
        <v>10.17</v>
      </c>
      <c r="N85" s="4">
        <v>7.29</v>
      </c>
      <c r="O85" s="4">
        <v>9.4499999999999993</v>
      </c>
      <c r="P85" s="4">
        <v>5.13</v>
      </c>
      <c r="Q85" s="4">
        <v>7.4700000000000006</v>
      </c>
      <c r="R85" s="4">
        <v>6.0299999999999994</v>
      </c>
      <c r="S85" s="4">
        <v>51.21</v>
      </c>
      <c r="T85" s="4">
        <v>151.19999999999999</v>
      </c>
      <c r="U85" s="4">
        <v>17.190000000000001</v>
      </c>
      <c r="V85" s="4">
        <v>21.78</v>
      </c>
      <c r="W85" s="4">
        <v>46.98</v>
      </c>
      <c r="X85" s="4">
        <v>10.08</v>
      </c>
      <c r="Y85" s="4">
        <v>17.73</v>
      </c>
      <c r="Z85" s="4">
        <v>11.88</v>
      </c>
      <c r="AA85" s="4">
        <v>8.64</v>
      </c>
      <c r="AB85" s="4">
        <v>11.7</v>
      </c>
      <c r="AC85" s="4">
        <v>9.18</v>
      </c>
      <c r="AD85" s="4">
        <v>9.8999999999999986</v>
      </c>
      <c r="AE85" s="4">
        <v>6.75</v>
      </c>
      <c r="AF85" s="4">
        <v>56.25</v>
      </c>
      <c r="AG85" s="4">
        <v>261.63</v>
      </c>
      <c r="AH85" s="6">
        <f>Datos_originales!$H81/Datos_originales!$E81</f>
        <v>6.8406173940649135E-4</v>
      </c>
      <c r="AI85" s="6">
        <f>Datos_originales!$I81/Datos_originales!$E81</f>
        <v>7.218552056720435E-4</v>
      </c>
      <c r="AJ85" s="6">
        <f>Datos_originales!$J81/Datos_originales!$E81</f>
        <v>8.2389756458903392E-4</v>
      </c>
      <c r="AK85" s="6">
        <f>Datos_originales!$K81/Datos_originales!$E81</f>
        <v>4.5730094181317937E-4</v>
      </c>
      <c r="AL85" s="6">
        <f>Datos_originales!$L81/Datos_originales!$E81</f>
        <v>5.1021179458495219E-4</v>
      </c>
      <c r="AM85" s="6">
        <f>Datos_originales!$M81/Datos_originales!$E81</f>
        <v>5.0265310133184183E-4</v>
      </c>
      <c r="AN85" s="6">
        <f>Datos_originales!$N81/Datos_originales!$E81</f>
        <v>6.1981284675505298E-4</v>
      </c>
      <c r="AO85" s="6">
        <f>Datos_originales!$O81/Datos_originales!$E81</f>
        <v>5.9713676699572177E-4</v>
      </c>
      <c r="AP85" s="6">
        <f>Datos_originales!$P81/Datos_originales!$E81</f>
        <v>4.7619767494595533E-4</v>
      </c>
      <c r="AQ85" s="6">
        <f>Datos_originales!$Q81/Datos_originales!$E81</f>
        <v>1.4210343315847558E-3</v>
      </c>
      <c r="AR85" s="6">
        <f>Datos_originales!$R81/Datos_originales!$E81</f>
        <v>1.0090855492902388E-3</v>
      </c>
      <c r="AS85" s="6">
        <f>Datos_originales!$S81/Datos_originales!$E81</f>
        <v>8.3674734311932151E-3</v>
      </c>
      <c r="AT85" s="6">
        <f>Datos_originales!$T81/Datos_originales!$E81</f>
        <v>6.247259973695748E-3</v>
      </c>
      <c r="AU85" s="6">
        <f>Datos_originales!$U81/Datos_originales!$E81</f>
        <v>4.3197931941525948E-3</v>
      </c>
      <c r="AV85" s="6">
        <f>Datos_originales!$V81/Datos_originales!$E81</f>
        <v>4.0212248106547346E-3</v>
      </c>
      <c r="AW85" s="6">
        <f>Datos_originales!$W81/Datos_originales!$E81</f>
        <v>6.874631513703911E-3</v>
      </c>
      <c r="AX85" s="6">
        <f>Datos_originales!$X81/Datos_originales!$E81</f>
        <v>1.3492267456802068E-3</v>
      </c>
      <c r="AY85" s="6">
        <f>Datos_originales!$Y81/Datos_originales!$E81</f>
        <v>1.0771137885682322E-3</v>
      </c>
      <c r="AZ85" s="6">
        <f>Datos_originales!$Z81/Datos_originales!$E81</f>
        <v>9.1460188362635874E-4</v>
      </c>
      <c r="BA85" s="6">
        <f>Datos_originales!$AA81/Datos_originales!$E81</f>
        <v>1.0053062026636837E-3</v>
      </c>
      <c r="BB85" s="6">
        <f>Datos_originales!$AB81/Datos_originales!$E81</f>
        <v>1.201832227244554E-3</v>
      </c>
      <c r="BC85" s="6">
        <f>Datos_originales!$AC81/Datos_originales!$E81</f>
        <v>1.670471208937399E-3</v>
      </c>
      <c r="BD85" s="6">
        <f>Datos_originales!$AD81/Datos_originales!$E81</f>
        <v>1.8103070341199414E-3</v>
      </c>
      <c r="BE85" s="6">
        <f>Datos_originales!$AE81/Datos_originales!$E81</f>
        <v>1.2925365462818788E-3</v>
      </c>
      <c r="BF85" s="6">
        <f>Datos_originales!$AF81/Datos_originales!$E81</f>
        <v>9.3652209406037898E-3</v>
      </c>
      <c r="BG85" s="6">
        <f>Datos_originales!$AG81/Datos_originales!$E81</f>
        <v>2.6595262211068952E-2</v>
      </c>
    </row>
    <row r="86" spans="1:59" ht="15.75" customHeight="1">
      <c r="A86" s="2">
        <v>21101</v>
      </c>
      <c r="B86" s="3" t="s">
        <v>85</v>
      </c>
      <c r="C86" s="4" t="s">
        <v>168</v>
      </c>
      <c r="D86" s="4">
        <f>IF(Table_1[[#This Row],[Forest cover 2011]]&lt;1000,"Bosque menor a 1000 ha",Table_1[[#This Row],[Forest cover 2011]])</f>
        <v>18963.09</v>
      </c>
      <c r="E86" s="4">
        <v>18963.09</v>
      </c>
      <c r="F86" s="5">
        <f>AVERAGE(Datos_originales!$H108:$J108)</f>
        <v>0</v>
      </c>
      <c r="G86" s="5">
        <f>AVERAGE(Datos_originales!$R108:$T108)</f>
        <v>0</v>
      </c>
      <c r="H86" s="4">
        <v>37.08</v>
      </c>
      <c r="I86" s="4">
        <v>30.33</v>
      </c>
      <c r="J86" s="4">
        <v>70.650000000000006</v>
      </c>
      <c r="K86" s="4">
        <v>52.2</v>
      </c>
      <c r="L86" s="4">
        <v>38.520000000000003</v>
      </c>
      <c r="M86" s="4">
        <v>27.36</v>
      </c>
      <c r="N86" s="4">
        <v>36.99</v>
      </c>
      <c r="O86" s="4">
        <v>29.07</v>
      </c>
      <c r="P86" s="4">
        <v>73.53</v>
      </c>
      <c r="Q86" s="4">
        <v>21.69</v>
      </c>
      <c r="R86" s="4">
        <v>15.48</v>
      </c>
      <c r="S86" s="4">
        <v>1082.97</v>
      </c>
      <c r="T86" s="4">
        <v>185.49</v>
      </c>
      <c r="U86" s="4">
        <v>53.28</v>
      </c>
      <c r="V86" s="4">
        <v>37.979999999999997</v>
      </c>
      <c r="W86" s="4">
        <v>110.34</v>
      </c>
      <c r="X86" s="4">
        <v>59.31</v>
      </c>
      <c r="Y86" s="4">
        <v>44.19</v>
      </c>
      <c r="Z86" s="4">
        <v>29.52</v>
      </c>
      <c r="AA86" s="4">
        <v>39.869999999999997</v>
      </c>
      <c r="AB86" s="4">
        <v>31.59</v>
      </c>
      <c r="AC86" s="4">
        <v>74.88</v>
      </c>
      <c r="AD86" s="4">
        <v>26.01</v>
      </c>
      <c r="AE86" s="4">
        <v>16.920000000000002</v>
      </c>
      <c r="AF86" s="4">
        <v>1094.31</v>
      </c>
      <c r="AG86" s="4">
        <v>241.47</v>
      </c>
      <c r="AH86" s="6" t="e">
        <f>Datos_originales!$H108/Datos_originales!$E108</f>
        <v>#DIV/0!</v>
      </c>
      <c r="AI86" s="6" t="e">
        <f>Datos_originales!$I108/Datos_originales!$E108</f>
        <v>#DIV/0!</v>
      </c>
      <c r="AJ86" s="6" t="e">
        <f>Datos_originales!$J108/Datos_originales!$E108</f>
        <v>#DIV/0!</v>
      </c>
      <c r="AK86" s="6" t="e">
        <f>Datos_originales!$K108/Datos_originales!$E108</f>
        <v>#DIV/0!</v>
      </c>
      <c r="AL86" s="6" t="e">
        <f>Datos_originales!$L108/Datos_originales!$E108</f>
        <v>#DIV/0!</v>
      </c>
      <c r="AM86" s="6" t="e">
        <f>Datos_originales!$M108/Datos_originales!$E108</f>
        <v>#DIV/0!</v>
      </c>
      <c r="AN86" s="6" t="e">
        <f>Datos_originales!$N108/Datos_originales!$E108</f>
        <v>#DIV/0!</v>
      </c>
      <c r="AO86" s="6" t="e">
        <f>Datos_originales!$O108/Datos_originales!$E108</f>
        <v>#DIV/0!</v>
      </c>
      <c r="AP86" s="6" t="e">
        <f>Datos_originales!$P108/Datos_originales!$E108</f>
        <v>#DIV/0!</v>
      </c>
      <c r="AQ86" s="6" t="e">
        <f>Datos_originales!$Q108/Datos_originales!$E108</f>
        <v>#DIV/0!</v>
      </c>
      <c r="AR86" s="6" t="e">
        <f>Datos_originales!$R108/Datos_originales!$E108</f>
        <v>#DIV/0!</v>
      </c>
      <c r="AS86" s="6" t="e">
        <f>Datos_originales!$S108/Datos_originales!$E108</f>
        <v>#DIV/0!</v>
      </c>
      <c r="AT86" s="6" t="e">
        <f>Datos_originales!$T108/Datos_originales!$E108</f>
        <v>#DIV/0!</v>
      </c>
      <c r="AU86" s="6" t="e">
        <f>Datos_originales!$U108/Datos_originales!$E108</f>
        <v>#DIV/0!</v>
      </c>
      <c r="AV86" s="6" t="e">
        <f>Datos_originales!$V108/Datos_originales!$E108</f>
        <v>#DIV/0!</v>
      </c>
      <c r="AW86" s="6" t="e">
        <f>Datos_originales!$W108/Datos_originales!$E108</f>
        <v>#DIV/0!</v>
      </c>
      <c r="AX86" s="6" t="e">
        <f>Datos_originales!$X108/Datos_originales!$E108</f>
        <v>#DIV/0!</v>
      </c>
      <c r="AY86" s="6" t="e">
        <f>Datos_originales!$Y108/Datos_originales!$E108</f>
        <v>#DIV/0!</v>
      </c>
      <c r="AZ86" s="6" t="e">
        <f>Datos_originales!$Z108/Datos_originales!$E108</f>
        <v>#DIV/0!</v>
      </c>
      <c r="BA86" s="6" t="e">
        <f>Datos_originales!$AA108/Datos_originales!$E108</f>
        <v>#DIV/0!</v>
      </c>
      <c r="BB86" s="6" t="e">
        <f>Datos_originales!$AB108/Datos_originales!$E108</f>
        <v>#DIV/0!</v>
      </c>
      <c r="BC86" s="6" t="e">
        <f>Datos_originales!$AC108/Datos_originales!$E108</f>
        <v>#DIV/0!</v>
      </c>
      <c r="BD86" s="6" t="e">
        <f>Datos_originales!$AD108/Datos_originales!$E108</f>
        <v>#DIV/0!</v>
      </c>
      <c r="BE86" s="6" t="e">
        <f>Datos_originales!$AE108/Datos_originales!$E108</f>
        <v>#DIV/0!</v>
      </c>
      <c r="BF86" s="6" t="e">
        <f>Datos_originales!$AF108/Datos_originales!$E108</f>
        <v>#DIV/0!</v>
      </c>
      <c r="BG86" s="6" t="e">
        <f>Datos_originales!$AG108/Datos_originales!$E108</f>
        <v>#DIV/0!</v>
      </c>
    </row>
    <row r="87" spans="1:59" ht="15.75" customHeight="1">
      <c r="A87" s="2">
        <v>21102</v>
      </c>
      <c r="B87" s="3" t="s">
        <v>85</v>
      </c>
      <c r="C87" s="4" t="s">
        <v>120</v>
      </c>
      <c r="D87" s="4">
        <f>IF(Table_1[[#This Row],[Forest cover 2011]]&lt;1000,"Bosque menor a 1000 ha",Table_1[[#This Row],[Forest cover 2011]])</f>
        <v>75065.94</v>
      </c>
      <c r="E87" s="4">
        <v>75065.94</v>
      </c>
      <c r="F87" s="5">
        <f>AVERAGE(Datos_originales!$H59:$J59)</f>
        <v>459.35999999999996</v>
      </c>
      <c r="G87" s="5">
        <f>AVERAGE(Datos_originales!$R59:$T59)</f>
        <v>2020.08</v>
      </c>
      <c r="H87" s="4">
        <v>44.28</v>
      </c>
      <c r="I87" s="4">
        <v>75.06</v>
      </c>
      <c r="J87" s="4">
        <v>103.14</v>
      </c>
      <c r="K87" s="4">
        <v>60.12</v>
      </c>
      <c r="L87" s="4">
        <v>51.930000000000007</v>
      </c>
      <c r="M87" s="4">
        <v>52.83</v>
      </c>
      <c r="N87" s="4">
        <v>59.22</v>
      </c>
      <c r="O87" s="4">
        <v>29.52</v>
      </c>
      <c r="P87" s="4">
        <v>51.93</v>
      </c>
      <c r="Q87" s="4">
        <v>36.99</v>
      </c>
      <c r="R87" s="4">
        <v>74.34</v>
      </c>
      <c r="S87" s="4">
        <v>909.27</v>
      </c>
      <c r="T87" s="4">
        <v>1444.41</v>
      </c>
      <c r="U87" s="4">
        <v>170.19</v>
      </c>
      <c r="V87" s="4">
        <v>200.97</v>
      </c>
      <c r="W87" s="4">
        <v>316.89</v>
      </c>
      <c r="X87" s="4">
        <v>112.23</v>
      </c>
      <c r="Y87" s="4">
        <v>74.069999999999993</v>
      </c>
      <c r="Z87" s="4">
        <v>65.430000000000007</v>
      </c>
      <c r="AA87" s="4">
        <v>75.69</v>
      </c>
      <c r="AB87" s="4">
        <v>42.84</v>
      </c>
      <c r="AC87" s="4">
        <v>67.14</v>
      </c>
      <c r="AD87" s="4">
        <v>60.39</v>
      </c>
      <c r="AE87" s="4">
        <v>82.62</v>
      </c>
      <c r="AF87" s="4">
        <v>972.99</v>
      </c>
      <c r="AG87" s="4">
        <v>2210.13</v>
      </c>
      <c r="AH87" s="6">
        <f>Datos_originales!$H59/Datos_originales!$E59</f>
        <v>8.7217074880741594E-4</v>
      </c>
      <c r="AI87" s="6">
        <f>Datos_originales!$I59/Datos_originales!$E59</f>
        <v>1.8396404636042136E-3</v>
      </c>
      <c r="AJ87" s="6">
        <f>Datos_originales!$J59/Datos_originales!$E59</f>
        <v>2.4444353149007851E-3</v>
      </c>
      <c r="AK87" s="6">
        <f>Datos_originales!$K59/Datos_originales!$E59</f>
        <v>1.6483690406997303E-3</v>
      </c>
      <c r="AL87" s="6">
        <f>Datos_originales!$L59/Datos_originales!$E59</f>
        <v>1.9999313039255765E-3</v>
      </c>
      <c r="AM87" s="6">
        <f>Datos_originales!$M59/Datos_originales!$E59</f>
        <v>1.410289998457706E-3</v>
      </c>
      <c r="AN87" s="6">
        <f>Datos_originales!$N59/Datos_originales!$E59</f>
        <v>1.7376065883576318E-3</v>
      </c>
      <c r="AO87" s="6">
        <f>Datos_originales!$O59/Datos_originales!$E59</f>
        <v>1.5173750556471879E-3</v>
      </c>
      <c r="AP87" s="6">
        <f>Datos_originales!$P59/Datos_originales!$E59</f>
        <v>2.9643703095566343E-3</v>
      </c>
      <c r="AQ87" s="6">
        <f>Datos_originales!$Q59/Datos_originales!$E59</f>
        <v>1.981410303468276E-3</v>
      </c>
      <c r="AR87" s="6">
        <f>Datos_originales!$R59/Datos_originales!$E59</f>
        <v>8.9877364037335651E-4</v>
      </c>
      <c r="AS87" s="6">
        <f>Datos_originales!$S59/Datos_originales!$E59</f>
        <v>1.7569694524720823E-2</v>
      </c>
      <c r="AT87" s="6">
        <f>Datos_originales!$T59/Datos_originales!$E59</f>
        <v>4.206624322047197E-3</v>
      </c>
      <c r="AU87" s="6">
        <f>Datos_originales!$U59/Datos_originales!$E59</f>
        <v>1.5076094372242477E-3</v>
      </c>
      <c r="AV87" s="6">
        <f>Datos_originales!$V59/Datos_originales!$E59</f>
        <v>2.1484360530468396E-3</v>
      </c>
      <c r="AW87" s="6">
        <f>Datos_originales!$W59/Datos_originales!$E59</f>
        <v>2.9748094189052943E-3</v>
      </c>
      <c r="AX87" s="6">
        <f>Datos_originales!$X59/Datos_originales!$E59</f>
        <v>1.907663047101935E-3</v>
      </c>
      <c r="AY87" s="6">
        <f>Datos_originales!$Y59/Datos_originales!$E59</f>
        <v>2.1518035076754389E-3</v>
      </c>
      <c r="AZ87" s="6">
        <f>Datos_originales!$Z59/Datos_originales!$E59</f>
        <v>1.4944763641727074E-3</v>
      </c>
      <c r="BA87" s="6">
        <f>Datos_originales!$AA59/Datos_originales!$E59</f>
        <v>1.9100202653419551E-3</v>
      </c>
      <c r="BB87" s="6">
        <f>Datos_originales!$AB59/Datos_originales!$E59</f>
        <v>2.0884953606577585E-3</v>
      </c>
      <c r="BC87" s="6">
        <f>Datos_originales!$AC59/Datos_originales!$E59</f>
        <v>3.2391546072503994E-3</v>
      </c>
      <c r="BD87" s="6">
        <f>Datos_originales!$AD59/Datos_originales!$E59</f>
        <v>2.403689113894724E-3</v>
      </c>
      <c r="BE87" s="6">
        <f>Datos_originales!$AE59/Datos_originales!$E59</f>
        <v>9.5669385998527754E-4</v>
      </c>
      <c r="BF87" s="6">
        <f>Datos_originales!$AF59/Datos_originales!$E59</f>
        <v>1.799365706246157E-2</v>
      </c>
      <c r="BG87" s="6">
        <f>Datos_originales!$AG59/Datos_originales!$E59</f>
        <v>7.5791301325901592E-3</v>
      </c>
    </row>
    <row r="88" spans="1:59" ht="15.75" customHeight="1">
      <c r="A88" s="2">
        <v>21103</v>
      </c>
      <c r="B88" s="3" t="s">
        <v>85</v>
      </c>
      <c r="C88" s="4" t="s">
        <v>161</v>
      </c>
      <c r="D88" s="4">
        <f>IF(Table_1[[#This Row],[Forest cover 2011]]&lt;1000,"Bosque menor a 1000 ha",Table_1[[#This Row],[Forest cover 2011]])</f>
        <v>21799.26</v>
      </c>
      <c r="E88" s="4">
        <v>21799.26</v>
      </c>
      <c r="F88" s="5">
        <f>AVERAGE(Datos_originales!$H100:$J100)</f>
        <v>0</v>
      </c>
      <c r="G88" s="5">
        <f>AVERAGE(Datos_originales!$R100:$T100)</f>
        <v>0</v>
      </c>
      <c r="H88" s="4">
        <v>8.19</v>
      </c>
      <c r="I88" s="4">
        <v>2.34</v>
      </c>
      <c r="J88" s="4">
        <v>12.42</v>
      </c>
      <c r="K88" s="4">
        <v>9.36</v>
      </c>
      <c r="L88" s="4">
        <v>14.76</v>
      </c>
      <c r="M88" s="4">
        <v>4.8600000000000003</v>
      </c>
      <c r="N88" s="4">
        <v>12.33</v>
      </c>
      <c r="O88" s="4">
        <v>6.93</v>
      </c>
      <c r="P88" s="4">
        <v>39.69</v>
      </c>
      <c r="Q88" s="4">
        <v>6.12</v>
      </c>
      <c r="R88" s="4">
        <v>4.7699999999999996</v>
      </c>
      <c r="S88" s="4">
        <v>189.99</v>
      </c>
      <c r="T88" s="4">
        <v>42.39</v>
      </c>
      <c r="U88" s="4">
        <v>78.75</v>
      </c>
      <c r="V88" s="4">
        <v>29.34</v>
      </c>
      <c r="W88" s="4">
        <v>91.98</v>
      </c>
      <c r="X88" s="4">
        <v>25.38</v>
      </c>
      <c r="Y88" s="4">
        <v>23.31</v>
      </c>
      <c r="Z88" s="4">
        <v>13.95</v>
      </c>
      <c r="AA88" s="4">
        <v>46.35</v>
      </c>
      <c r="AB88" s="4">
        <v>25.47</v>
      </c>
      <c r="AC88" s="4">
        <v>52.92</v>
      </c>
      <c r="AD88" s="4">
        <v>13.86</v>
      </c>
      <c r="AE88" s="4">
        <v>6.1199999999999992</v>
      </c>
      <c r="AF88" s="4">
        <v>210.6</v>
      </c>
      <c r="AG88" s="4">
        <v>319.5</v>
      </c>
      <c r="AH88" s="6" t="e">
        <f>Datos_originales!$H100/Datos_originales!$E100</f>
        <v>#DIV/0!</v>
      </c>
      <c r="AI88" s="6" t="e">
        <f>Datos_originales!$I100/Datos_originales!$E100</f>
        <v>#DIV/0!</v>
      </c>
      <c r="AJ88" s="6" t="e">
        <f>Datos_originales!$J100/Datos_originales!$E100</f>
        <v>#DIV/0!</v>
      </c>
      <c r="AK88" s="6" t="e">
        <f>Datos_originales!$K100/Datos_originales!$E100</f>
        <v>#DIV/0!</v>
      </c>
      <c r="AL88" s="6" t="e">
        <f>Datos_originales!$L100/Datos_originales!$E100</f>
        <v>#DIV/0!</v>
      </c>
      <c r="AM88" s="6" t="e">
        <f>Datos_originales!$M100/Datos_originales!$E100</f>
        <v>#DIV/0!</v>
      </c>
      <c r="AN88" s="6" t="e">
        <f>Datos_originales!$N100/Datos_originales!$E100</f>
        <v>#DIV/0!</v>
      </c>
      <c r="AO88" s="6" t="e">
        <f>Datos_originales!$O100/Datos_originales!$E100</f>
        <v>#DIV/0!</v>
      </c>
      <c r="AP88" s="6" t="e">
        <f>Datos_originales!$P100/Datos_originales!$E100</f>
        <v>#DIV/0!</v>
      </c>
      <c r="AQ88" s="6" t="e">
        <f>Datos_originales!$Q100/Datos_originales!$E100</f>
        <v>#DIV/0!</v>
      </c>
      <c r="AR88" s="6" t="e">
        <f>Datos_originales!$R100/Datos_originales!$E100</f>
        <v>#DIV/0!</v>
      </c>
      <c r="AS88" s="6" t="e">
        <f>Datos_originales!$S100/Datos_originales!$E100</f>
        <v>#DIV/0!</v>
      </c>
      <c r="AT88" s="6" t="e">
        <f>Datos_originales!$T100/Datos_originales!$E100</f>
        <v>#DIV/0!</v>
      </c>
      <c r="AU88" s="6" t="e">
        <f>Datos_originales!$U100/Datos_originales!$E100</f>
        <v>#DIV/0!</v>
      </c>
      <c r="AV88" s="6" t="e">
        <f>Datos_originales!$V100/Datos_originales!$E100</f>
        <v>#DIV/0!</v>
      </c>
      <c r="AW88" s="6" t="e">
        <f>Datos_originales!$W100/Datos_originales!$E100</f>
        <v>#DIV/0!</v>
      </c>
      <c r="AX88" s="6" t="e">
        <f>Datos_originales!$X100/Datos_originales!$E100</f>
        <v>#DIV/0!</v>
      </c>
      <c r="AY88" s="6" t="e">
        <f>Datos_originales!$Y100/Datos_originales!$E100</f>
        <v>#DIV/0!</v>
      </c>
      <c r="AZ88" s="6" t="e">
        <f>Datos_originales!$Z100/Datos_originales!$E100</f>
        <v>#DIV/0!</v>
      </c>
      <c r="BA88" s="6" t="e">
        <f>Datos_originales!$AA100/Datos_originales!$E100</f>
        <v>#DIV/0!</v>
      </c>
      <c r="BB88" s="6" t="e">
        <f>Datos_originales!$AB100/Datos_originales!$E100</f>
        <v>#DIV/0!</v>
      </c>
      <c r="BC88" s="6" t="e">
        <f>Datos_originales!$AC100/Datos_originales!$E100</f>
        <v>#DIV/0!</v>
      </c>
      <c r="BD88" s="6" t="e">
        <f>Datos_originales!$AD100/Datos_originales!$E100</f>
        <v>#DIV/0!</v>
      </c>
      <c r="BE88" s="6" t="e">
        <f>Datos_originales!$AE100/Datos_originales!$E100</f>
        <v>#DIV/0!</v>
      </c>
      <c r="BF88" s="6" t="e">
        <f>Datos_originales!$AF100/Datos_originales!$E100</f>
        <v>#DIV/0!</v>
      </c>
      <c r="BG88" s="6" t="e">
        <f>Datos_originales!$AG100/Datos_originales!$E100</f>
        <v>#DIV/0!</v>
      </c>
    </row>
    <row r="89" spans="1:59" ht="15.75" customHeight="1">
      <c r="A89" s="2">
        <v>21104</v>
      </c>
      <c r="B89" s="3" t="s">
        <v>85</v>
      </c>
      <c r="C89" s="4" t="s">
        <v>167</v>
      </c>
      <c r="D89" s="4">
        <f>IF(Table_1[[#This Row],[Forest cover 2011]]&lt;1000,"Bosque menor a 1000 ha",Table_1[[#This Row],[Forest cover 2011]])</f>
        <v>348032.16</v>
      </c>
      <c r="E89" s="4">
        <v>348032.16</v>
      </c>
      <c r="F89" s="5">
        <f>AVERAGE(Datos_originales!$H107:$J107)</f>
        <v>0.42</v>
      </c>
      <c r="G89" s="5">
        <f>AVERAGE(Datos_originales!$R107:$T107)</f>
        <v>7.080000000000001</v>
      </c>
      <c r="H89" s="4">
        <v>1113.48</v>
      </c>
      <c r="I89" s="4">
        <v>1621.53</v>
      </c>
      <c r="J89" s="4">
        <v>1940.85</v>
      </c>
      <c r="K89" s="4">
        <v>1730.43</v>
      </c>
      <c r="L89" s="4">
        <v>1721.52</v>
      </c>
      <c r="M89" s="4">
        <v>946.62</v>
      </c>
      <c r="N89" s="4">
        <v>1678.59</v>
      </c>
      <c r="O89" s="4">
        <v>1811.7</v>
      </c>
      <c r="P89" s="4">
        <v>2373.39</v>
      </c>
      <c r="Q89" s="4">
        <v>1935</v>
      </c>
      <c r="R89" s="4">
        <v>832.95</v>
      </c>
      <c r="S89" s="4">
        <v>4443.3</v>
      </c>
      <c r="T89" s="4">
        <v>3303.72</v>
      </c>
      <c r="U89" s="4">
        <v>1413.36</v>
      </c>
      <c r="V89" s="4">
        <v>1815.93</v>
      </c>
      <c r="W89" s="4">
        <v>2702.16</v>
      </c>
      <c r="X89" s="4">
        <v>2168.0100000000002</v>
      </c>
      <c r="Y89" s="4">
        <v>1903.32</v>
      </c>
      <c r="Z89" s="4">
        <v>1037.1600000000001</v>
      </c>
      <c r="AA89" s="4">
        <v>1776.87</v>
      </c>
      <c r="AB89" s="4">
        <v>1962.36</v>
      </c>
      <c r="AC89" s="4">
        <v>2461.9499999999998</v>
      </c>
      <c r="AD89" s="4">
        <v>2100.2399999999998</v>
      </c>
      <c r="AE89" s="4">
        <v>866.52</v>
      </c>
      <c r="AF89" s="4">
        <v>4544.1899999999996</v>
      </c>
      <c r="AG89" s="4">
        <v>4602.96</v>
      </c>
      <c r="AH89" s="6">
        <f>Datos_originales!$H107/Datos_originales!$E107</f>
        <v>0</v>
      </c>
      <c r="AI89" s="6">
        <f>Datos_originales!$I107/Datos_originales!$E107</f>
        <v>1.153209066320005E-4</v>
      </c>
      <c r="AJ89" s="6">
        <f>Datos_originales!$J107/Datos_originales!$E107</f>
        <v>3.1451156354181956E-5</v>
      </c>
      <c r="AK89" s="6">
        <f>Datos_originales!$K107/Datos_originales!$E107</f>
        <v>0</v>
      </c>
      <c r="AL89" s="6">
        <f>Datos_originales!$L107/Datos_originales!$E107</f>
        <v>0</v>
      </c>
      <c r="AM89" s="6">
        <f>Datos_originales!$M107/Datos_originales!$E107</f>
        <v>0</v>
      </c>
      <c r="AN89" s="6">
        <f>Datos_originales!$N107/Datos_originales!$E107</f>
        <v>0</v>
      </c>
      <c r="AO89" s="6">
        <f>Datos_originales!$O107/Datos_originales!$E107</f>
        <v>0</v>
      </c>
      <c r="AP89" s="6">
        <f>Datos_originales!$P107/Datos_originales!$E107</f>
        <v>1.0483718784727318E-5</v>
      </c>
      <c r="AQ89" s="6">
        <f>Datos_originales!$Q107/Datos_originales!$E107</f>
        <v>0</v>
      </c>
      <c r="AR89" s="6">
        <f>Datos_originales!$R107/Datos_originales!$E107</f>
        <v>5.2418593923636595E-5</v>
      </c>
      <c r="AS89" s="6">
        <f>Datos_originales!$S107/Datos_originales!$E107</f>
        <v>1.6669112867716438E-3</v>
      </c>
      <c r="AT89" s="6">
        <f>Datos_originales!$T107/Datos_originales!$E107</f>
        <v>7.5482775250036705E-4</v>
      </c>
      <c r="AU89" s="6">
        <f>Datos_originales!$U107/Datos_originales!$E107</f>
        <v>9.7498584697964068E-3</v>
      </c>
      <c r="AV89" s="6">
        <f>Datos_originales!$V107/Datos_originales!$E107</f>
        <v>1.1385318600213868E-2</v>
      </c>
      <c r="AW89" s="6">
        <f>Datos_originales!$W107/Datos_originales!$E107</f>
        <v>6.7095800222254842E-3</v>
      </c>
      <c r="AX89" s="6">
        <f>Datos_originales!$X107/Datos_originales!$E107</f>
        <v>5.4095988929192965E-3</v>
      </c>
      <c r="AY89" s="6">
        <f>Datos_originales!$Y107/Datos_originales!$E107</f>
        <v>3.2918876984043785E-3</v>
      </c>
      <c r="AZ89" s="6">
        <f>Datos_originales!$Z107/Datos_originales!$E107</f>
        <v>5.0426687354538403E-3</v>
      </c>
      <c r="BA89" s="6">
        <f>Datos_originales!$AA107/Datos_originales!$E107</f>
        <v>5.6926593001069342E-3</v>
      </c>
      <c r="BB89" s="6">
        <f>Datos_originales!$AB107/Datos_originales!$E107</f>
        <v>5.1894407984400225E-3</v>
      </c>
      <c r="BC89" s="6">
        <f>Datos_originales!$AC107/Datos_originales!$E107</f>
        <v>2.7677017591680123E-3</v>
      </c>
      <c r="BD89" s="6">
        <f>Datos_originales!$AD107/Datos_originales!$E107</f>
        <v>7.4644077747258505E-3</v>
      </c>
      <c r="BE89" s="6">
        <f>Datos_originales!$AE107/Datos_originales!$E107</f>
        <v>1.7402973182647349E-3</v>
      </c>
      <c r="BF89" s="6">
        <f>Datos_originales!$AF107/Datos_originales!$E107</f>
        <v>1.7717484746189169E-3</v>
      </c>
      <c r="BG89" s="6">
        <f>Datos_originales!$AG107/Datos_originales!$E107</f>
        <v>1.803199630973099E-3</v>
      </c>
    </row>
    <row r="90" spans="1:59" ht="15.75" customHeight="1">
      <c r="A90" s="2">
        <v>21105</v>
      </c>
      <c r="B90" s="3" t="s">
        <v>85</v>
      </c>
      <c r="C90" s="4" t="s">
        <v>177</v>
      </c>
      <c r="D90" s="4">
        <f>IF(Table_1[[#This Row],[Forest cover 2011]]&lt;1000,"Bosque menor a 1000 ha",Table_1[[#This Row],[Forest cover 2011]])</f>
        <v>263953.26</v>
      </c>
      <c r="E90" s="4">
        <v>263953.26</v>
      </c>
      <c r="F90" s="5">
        <f>AVERAGE(Datos_originales!$H117:$J117)</f>
        <v>782.69999999999993</v>
      </c>
      <c r="G90" s="5">
        <f>AVERAGE(Datos_originales!$R117:$T117)</f>
        <v>1688.64</v>
      </c>
      <c r="H90" s="4">
        <v>340.2</v>
      </c>
      <c r="I90" s="4">
        <v>757.26</v>
      </c>
      <c r="J90" s="4">
        <v>832.23</v>
      </c>
      <c r="K90" s="4">
        <v>628.02</v>
      </c>
      <c r="L90" s="4">
        <v>728.37</v>
      </c>
      <c r="M90" s="4">
        <v>448.29</v>
      </c>
      <c r="N90" s="4">
        <v>430.83</v>
      </c>
      <c r="O90" s="4">
        <v>674.91</v>
      </c>
      <c r="P90" s="4">
        <v>1060.6500000000001</v>
      </c>
      <c r="Q90" s="4">
        <v>1088.6400000000001</v>
      </c>
      <c r="R90" s="4">
        <v>222.12</v>
      </c>
      <c r="S90" s="4">
        <v>4654.17</v>
      </c>
      <c r="T90" s="4">
        <v>2504.52</v>
      </c>
      <c r="U90" s="4">
        <v>414.45</v>
      </c>
      <c r="V90" s="4">
        <v>841.59</v>
      </c>
      <c r="W90" s="4">
        <v>948.87</v>
      </c>
      <c r="X90" s="4">
        <v>666.27</v>
      </c>
      <c r="Y90" s="4">
        <v>756.63</v>
      </c>
      <c r="Z90" s="4">
        <v>464.4</v>
      </c>
      <c r="AA90" s="4">
        <v>453.87</v>
      </c>
      <c r="AB90" s="4">
        <v>745.47</v>
      </c>
      <c r="AC90" s="4">
        <v>1090.3499999999999</v>
      </c>
      <c r="AD90" s="4">
        <v>1110.51</v>
      </c>
      <c r="AE90" s="4">
        <v>233.82</v>
      </c>
      <c r="AF90" s="4">
        <v>4739.04</v>
      </c>
      <c r="AG90" s="4">
        <v>2920.14</v>
      </c>
      <c r="AH90" s="6">
        <f>Datos_originales!$H117/Datos_originales!$E117</f>
        <v>6.1457661916016135E-3</v>
      </c>
      <c r="AI90" s="6">
        <f>Datos_originales!$I117/Datos_originales!$E117</f>
        <v>9.1565804865239089E-3</v>
      </c>
      <c r="AJ90" s="6">
        <f>Datos_originales!$J117/Datos_originales!$E117</f>
        <v>9.6111150898803982E-3</v>
      </c>
      <c r="AK90" s="6">
        <f>Datos_originales!$K117/Datos_originales!$E117</f>
        <v>7.5084150970421825E-3</v>
      </c>
      <c r="AL90" s="6">
        <f>Datos_originales!$L117/Datos_originales!$E117</f>
        <v>5.8831674186540618E-3</v>
      </c>
      <c r="AM90" s="6">
        <f>Datos_originales!$M117/Datos_originales!$E117</f>
        <v>2.6546348683425241E-3</v>
      </c>
      <c r="AN90" s="6">
        <f>Datos_originales!$N117/Datos_originales!$E117</f>
        <v>8.6113299434219005E-3</v>
      </c>
      <c r="AO90" s="6">
        <f>Datos_originales!$O117/Datos_originales!$E117</f>
        <v>8.4518608703955684E-3</v>
      </c>
      <c r="AP90" s="6">
        <f>Datos_originales!$P117/Datos_originales!$E117</f>
        <v>1.0769414404736328E-2</v>
      </c>
      <c r="AQ90" s="6">
        <f>Datos_originales!$Q117/Datos_originales!$E117</f>
        <v>6.8982310391749622E-3</v>
      </c>
      <c r="AR90" s="6">
        <f>Datos_originales!$R117/Datos_originales!$E117</f>
        <v>4.004870013607391E-3</v>
      </c>
      <c r="AS90" s="6">
        <f>Datos_originales!$S117/Datos_originales!$E117</f>
        <v>2.4566831387715149E-2</v>
      </c>
      <c r="AT90" s="6">
        <f>Datos_originales!$T117/Datos_originales!$E117</f>
        <v>2.5177970350211274E-2</v>
      </c>
      <c r="AU90" s="6">
        <f>Datos_originales!$U117/Datos_originales!$E117</f>
        <v>6.6146243643916058E-3</v>
      </c>
      <c r="AV90" s="6">
        <f>Datos_originales!$V117/Datos_originales!$E117</f>
        <v>9.3657046002530494E-3</v>
      </c>
      <c r="AW90" s="6">
        <f>Datos_originales!$W117/Datos_originales!$E117</f>
        <v>1.0620449282627897E-2</v>
      </c>
      <c r="AX90" s="6">
        <f>Datos_originales!$X117/Datos_originales!$E117</f>
        <v>7.5934016090143004E-3</v>
      </c>
      <c r="AY90" s="6">
        <f>Datos_originales!$Y117/Datos_originales!$E117</f>
        <v>5.9471460287903741E-3</v>
      </c>
      <c r="AZ90" s="6">
        <f>Datos_originales!$Z117/Datos_originales!$E117</f>
        <v>2.6966506720141324E-3</v>
      </c>
      <c r="BA90" s="6">
        <f>Datos_originales!$AA117/Datos_originales!$E117</f>
        <v>8.7077753109408209E-3</v>
      </c>
      <c r="BB90" s="6">
        <f>Datos_originales!$AB117/Datos_originales!$E117</f>
        <v>8.7192341664876216E-3</v>
      </c>
      <c r="BC90" s="6">
        <f>Datos_originales!$AC117/Datos_originales!$E117</f>
        <v>1.0860130344481845E-2</v>
      </c>
      <c r="BD90" s="6">
        <f>Datos_originales!$AD117/Datos_originales!$E117</f>
        <v>7.012819594642985E-3</v>
      </c>
      <c r="BE90" s="6">
        <f>Datos_originales!$AE117/Datos_originales!$E117</f>
        <v>4.0650290052281031E-3</v>
      </c>
      <c r="BF90" s="6">
        <f>Datos_originales!$AF117/Datos_originales!$E117</f>
        <v>2.4749218171835088E-2</v>
      </c>
      <c r="BG90" s="6">
        <f>Datos_originales!$AG117/Datos_originales!$E117</f>
        <v>2.6036429611592544E-2</v>
      </c>
    </row>
    <row r="91" spans="1:59" ht="15.75" customHeight="1">
      <c r="A91" s="2">
        <v>21201</v>
      </c>
      <c r="B91" s="3" t="s">
        <v>85</v>
      </c>
      <c r="C91" s="4" t="s">
        <v>372</v>
      </c>
      <c r="D91" s="4" t="str">
        <f>IF(Table_1[[#This Row],[Forest cover 2011]]&lt;1000,"Bosque menor a 1000 ha",Table_1[[#This Row],[Forest cover 2011]])</f>
        <v>Bosque menor a 1000 ha</v>
      </c>
      <c r="E91" s="4">
        <v>0.9</v>
      </c>
      <c r="F91" s="5">
        <f>AVERAGE(Datos_originales!$H320:$J320)</f>
        <v>501.63000000000005</v>
      </c>
      <c r="G91" s="5">
        <f>AVERAGE(Datos_originales!$R320:$T320)</f>
        <v>1214.58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0.09</v>
      </c>
      <c r="X91" s="4">
        <v>0.09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6">
        <f>Datos_originales!$H320/Datos_originales!$E320</f>
        <v>3.8295324334376886E-4</v>
      </c>
      <c r="AI91" s="6">
        <f>Datos_originales!$I320/Datos_originales!$E320</f>
        <v>5.5916844438588212E-4</v>
      </c>
      <c r="AJ91" s="6">
        <f>Datos_originales!$J320/Datos_originales!$E320</f>
        <v>4.5233849997748318E-4</v>
      </c>
      <c r="AK91" s="6">
        <f>Datos_originales!$K320/Datos_originales!$E320</f>
        <v>3.9696372785634579E-4</v>
      </c>
      <c r="AL91" s="6">
        <f>Datos_originales!$L320/Datos_originales!$E320</f>
        <v>4.0688782105275447E-4</v>
      </c>
      <c r="AM91" s="6">
        <f>Datos_originales!$M320/Datos_originales!$E320</f>
        <v>7.9959836611063941E-4</v>
      </c>
      <c r="AN91" s="6">
        <f>Datos_originales!$N320/Datos_originales!$E320</f>
        <v>3.4442441093418237E-4</v>
      </c>
      <c r="AO91" s="6">
        <f>Datos_originales!$O320/Datos_originales!$E320</f>
        <v>4.9328580888031211E-4</v>
      </c>
      <c r="AP91" s="6">
        <f>Datos_originales!$P320/Datos_originales!$E320</f>
        <v>8.2895366699413397E-4</v>
      </c>
      <c r="AQ91" s="6">
        <f>Datos_originales!$Q320/Datos_originales!$E320</f>
        <v>9.4312243662340639E-4</v>
      </c>
      <c r="AR91" s="6">
        <f>Datos_originales!$R320/Datos_originales!$E320</f>
        <v>4.7952551159117406E-4</v>
      </c>
      <c r="AS91" s="6">
        <f>Datos_originales!$S320/Datos_originales!$E320</f>
        <v>1.6715008397951132E-3</v>
      </c>
      <c r="AT91" s="6">
        <f>Datos_originales!$T320/Datos_originales!$E320</f>
        <v>1.2253336246624556E-3</v>
      </c>
      <c r="AU91" s="6">
        <f>Datos_originales!$U320/Datos_originales!$E320</f>
        <v>9.685414585247961E-3</v>
      </c>
      <c r="AV91" s="6">
        <f>Datos_originales!$V320/Datos_originales!$E320</f>
        <v>5.2792006017836684E-3</v>
      </c>
      <c r="AW91" s="6">
        <f>Datos_originales!$W320/Datos_originales!$E320</f>
        <v>6.6729102278204853E-3</v>
      </c>
      <c r="AX91" s="6">
        <f>Datos_originales!$X320/Datos_originales!$E320</f>
        <v>3.9307748631892854E-3</v>
      </c>
      <c r="AY91" s="6">
        <f>Datos_originales!$Y320/Datos_originales!$E320</f>
        <v>1.8683981846415066E-3</v>
      </c>
      <c r="AZ91" s="6">
        <f>Datos_originales!$Z320/Datos_originales!$E320</f>
        <v>2.4959511367673476E-3</v>
      </c>
      <c r="BA91" s="6">
        <f>Datos_originales!$AA320/Datos_originales!$E320</f>
        <v>2.6400589774681388E-3</v>
      </c>
      <c r="BB91" s="6">
        <f>Datos_originales!$AB320/Datos_originales!$E320</f>
        <v>2.1616176105118665E-3</v>
      </c>
      <c r="BC91" s="6">
        <f>Datos_originales!$AC320/Datos_originales!$E320</f>
        <v>1.8775717161675987E-3</v>
      </c>
      <c r="BD91" s="6">
        <f>Datos_originales!$AD320/Datos_originales!$E320</f>
        <v>2.0059177617917407E-3</v>
      </c>
      <c r="BE91" s="6">
        <f>Datos_originales!$AE320/Datos_originales!$E320</f>
        <v>3.0210941187655427E-3</v>
      </c>
      <c r="BF91" s="6">
        <f>Datos_originales!$AF320/Datos_originales!$E320</f>
        <v>4.5492376795301815E-3</v>
      </c>
      <c r="BG91" s="6">
        <f>Datos_originales!$AG320/Datos_originales!$E320</f>
        <v>1.1575412266846356E-2</v>
      </c>
    </row>
    <row r="92" spans="1:59" ht="15.75" customHeight="1">
      <c r="A92" s="2">
        <v>21202</v>
      </c>
      <c r="B92" s="3" t="s">
        <v>85</v>
      </c>
      <c r="C92" s="4" t="s">
        <v>310</v>
      </c>
      <c r="D92" s="4" t="str">
        <f>IF(Table_1[[#This Row],[Forest cover 2011]]&lt;1000,"Bosque menor a 1000 ha",Table_1[[#This Row],[Forest cover 2011]])</f>
        <v>Bosque menor a 1000 ha</v>
      </c>
      <c r="E92" s="4">
        <v>0</v>
      </c>
      <c r="F92" s="5">
        <f>AVERAGE(Datos_originales!$H256:$J256)</f>
        <v>1596.33</v>
      </c>
      <c r="G92" s="5">
        <f>AVERAGE(Datos_originales!$R256:$T256)</f>
        <v>975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</row>
    <row r="93" spans="1:59" ht="15.75" customHeight="1">
      <c r="A93" s="2">
        <v>21203</v>
      </c>
      <c r="B93" s="3" t="s">
        <v>85</v>
      </c>
      <c r="C93" s="4" t="s">
        <v>379</v>
      </c>
      <c r="D93" s="4" t="str">
        <f>IF(Table_1[[#This Row],[Forest cover 2011]]&lt;1000,"Bosque menor a 1000 ha",Table_1[[#This Row],[Forest cover 2011]])</f>
        <v>Bosque menor a 1000 ha</v>
      </c>
      <c r="E93" s="4">
        <v>7.38</v>
      </c>
      <c r="F93" s="5">
        <f>AVERAGE(Datos_originales!$H327:$J327)</f>
        <v>224.82000000000002</v>
      </c>
      <c r="G93" s="5">
        <f>AVERAGE(Datos_originales!$R327:$T327)</f>
        <v>1121.28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0.54</v>
      </c>
      <c r="T93" s="4">
        <v>0</v>
      </c>
      <c r="U93" s="4">
        <v>0</v>
      </c>
      <c r="V93" s="4">
        <v>0</v>
      </c>
      <c r="W93" s="4">
        <v>0.36</v>
      </c>
      <c r="X93" s="4">
        <v>0</v>
      </c>
      <c r="Y93" s="4">
        <v>0</v>
      </c>
      <c r="Z93" s="4">
        <v>0</v>
      </c>
      <c r="AA93" s="4">
        <v>0.18</v>
      </c>
      <c r="AB93" s="4">
        <v>0</v>
      </c>
      <c r="AC93" s="4">
        <v>0</v>
      </c>
      <c r="AD93" s="4">
        <v>0</v>
      </c>
      <c r="AE93" s="4">
        <v>0.09</v>
      </c>
      <c r="AF93" s="4">
        <v>0.54</v>
      </c>
      <c r="AG93" s="4">
        <v>0</v>
      </c>
      <c r="AH93" s="6">
        <f>Datos_originales!$H327/Datos_originales!$E327</f>
        <v>2.4116362497588362E-4</v>
      </c>
      <c r="AI93" s="6">
        <f>Datos_originales!$I327/Datos_originales!$E327</f>
        <v>1.2225170554333036E-4</v>
      </c>
      <c r="AJ93" s="6">
        <f>Datos_originales!$J327/Datos_originales!$E327</f>
        <v>2.1863948608924713E-4</v>
      </c>
      <c r="AK93" s="6">
        <f>Datos_originales!$K327/Datos_originales!$E327</f>
        <v>1.6333884165033278E-4</v>
      </c>
      <c r="AL93" s="6">
        <f>Datos_originales!$L327/Datos_originales!$E327</f>
        <v>1.1883424998811656E-4</v>
      </c>
      <c r="AM93" s="6">
        <f>Datos_originales!$M327/Datos_originales!$E327</f>
        <v>2.3891121108721996E-4</v>
      </c>
      <c r="AN93" s="6">
        <f>Datos_originales!$N327/Datos_originales!$E327</f>
        <v>2.6555183052900033E-4</v>
      </c>
      <c r="AO93" s="6">
        <f>Datos_originales!$O327/Datos_originales!$E327</f>
        <v>3.3079416385580943E-4</v>
      </c>
      <c r="AP93" s="6">
        <f>Datos_originales!$P327/Datos_originales!$E327</f>
        <v>3.7755116940668931E-4</v>
      </c>
      <c r="AQ93" s="6">
        <f>Datos_originales!$Q327/Datos_originales!$E327</f>
        <v>3.4865813607624528E-4</v>
      </c>
      <c r="AR93" s="6">
        <f>Datos_originales!$R327/Datos_originales!$E327</f>
        <v>6.8496683048705886E-4</v>
      </c>
      <c r="AS93" s="6">
        <f>Datos_originales!$S327/Datos_originales!$E327</f>
        <v>9.4026629435041767E-4</v>
      </c>
      <c r="AT93" s="6">
        <f>Datos_originales!$T327/Datos_originales!$E327</f>
        <v>1.2777400304277815E-3</v>
      </c>
      <c r="AU93" s="6">
        <f>Datos_originales!$U327/Datos_originales!$E327</f>
        <v>7.1263268659540338E-3</v>
      </c>
      <c r="AV93" s="6">
        <f>Datos_originales!$V327/Datos_originales!$E327</f>
        <v>2.7204499608390661E-3</v>
      </c>
      <c r="AW93" s="6">
        <f>Datos_originales!$W327/Datos_originales!$E327</f>
        <v>2.3619278053193626E-3</v>
      </c>
      <c r="AX93" s="6">
        <f>Datos_originales!$X327/Datos_originales!$E327</f>
        <v>1.2010802887687808E-3</v>
      </c>
      <c r="AY93" s="6">
        <f>Datos_originales!$Y327/Datos_originales!$E327</f>
        <v>1.4107101193033733E-3</v>
      </c>
      <c r="AZ93" s="6">
        <f>Datos_originales!$Z327/Datos_originales!$E327</f>
        <v>3.6556677413010995E-3</v>
      </c>
      <c r="BA93" s="6">
        <f>Datos_originales!$AA327/Datos_originales!$E327</f>
        <v>1.0044212554551134E-3</v>
      </c>
      <c r="BB93" s="6">
        <f>Datos_originales!$AB327/Datos_originales!$E327</f>
        <v>1.7822030720440016E-3</v>
      </c>
      <c r="BC93" s="6">
        <f>Datos_originales!$AC327/Datos_originales!$E327</f>
        <v>1.9169595581416373E-3</v>
      </c>
      <c r="BD93" s="6">
        <f>Datos_originales!$AD327/Datos_originales!$E327</f>
        <v>5.5191907216703027E-4</v>
      </c>
      <c r="BE93" s="6">
        <f>Datos_originales!$AE327/Datos_originales!$E327</f>
        <v>1.7380868276039689E-3</v>
      </c>
      <c r="BF93" s="6">
        <f>Datos_originales!$AF327/Datos_originales!$E327</f>
        <v>1.897464527588031E-3</v>
      </c>
      <c r="BG93" s="6">
        <f>Datos_originales!$AG327/Datos_originales!$E327</f>
        <v>1.759640098435147E-2</v>
      </c>
    </row>
    <row r="94" spans="1:59" ht="15.75" customHeight="1">
      <c r="A94" s="2">
        <v>21204</v>
      </c>
      <c r="B94" s="3" t="s">
        <v>85</v>
      </c>
      <c r="C94" s="4" t="s">
        <v>311</v>
      </c>
      <c r="D94" s="4" t="str">
        <f>IF(Table_1[[#This Row],[Forest cover 2011]]&lt;1000,"Bosque menor a 1000 ha",Table_1[[#This Row],[Forest cover 2011]])</f>
        <v>Bosque menor a 1000 ha</v>
      </c>
      <c r="E94" s="4">
        <v>0</v>
      </c>
      <c r="F94" s="5">
        <f>AVERAGE(Datos_originales!$H257:$J257)</f>
        <v>1785.1499999999999</v>
      </c>
      <c r="G94" s="5">
        <f>AVERAGE(Datos_originales!$R257:$T257)</f>
        <v>1275.81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</row>
    <row r="95" spans="1:59" ht="15.75" customHeight="1">
      <c r="A95" s="2">
        <v>21301</v>
      </c>
      <c r="B95" s="3" t="s">
        <v>85</v>
      </c>
      <c r="C95" s="4" t="s">
        <v>376</v>
      </c>
      <c r="D95" s="4" t="str">
        <f>IF(Table_1[[#This Row],[Forest cover 2011]]&lt;1000,"Bosque menor a 1000 ha",Table_1[[#This Row],[Forest cover 2011]])</f>
        <v>Bosque menor a 1000 ha</v>
      </c>
      <c r="E95" s="4">
        <v>4.8600000000000003</v>
      </c>
      <c r="F95" s="5">
        <f>AVERAGE(Datos_originales!$H324:$J324)</f>
        <v>149.46</v>
      </c>
      <c r="G95" s="5">
        <f>AVERAGE(Datos_originales!$R324:$T324)</f>
        <v>220.56000000000003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0.09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6">
        <f>Datos_originales!$H324/Datos_originales!$E324</f>
        <v>1.8789258732352838E-3</v>
      </c>
      <c r="AI95" s="6">
        <f>Datos_originales!$I324/Datos_originales!$E324</f>
        <v>1.7320647220456526E-3</v>
      </c>
      <c r="AJ95" s="6">
        <f>Datos_originales!$J324/Datos_originales!$E324</f>
        <v>1.9742174598850449E-3</v>
      </c>
      <c r="AK95" s="6">
        <f>Datos_originales!$K324/Datos_originales!$E324</f>
        <v>8.2735518761792336E-4</v>
      </c>
      <c r="AL95" s="6">
        <f>Datos_originales!$L324/Datos_originales!$E324</f>
        <v>8.8116690713778813E-4</v>
      </c>
      <c r="AM95" s="6">
        <f>Datos_originales!$M324/Datos_originales!$E324</f>
        <v>9.7757957127754601E-4</v>
      </c>
      <c r="AN95" s="6">
        <f>Datos_originales!$N324/Datos_originales!$E324</f>
        <v>4.9663732806875334E-4</v>
      </c>
      <c r="AO95" s="6">
        <f>Datos_originales!$O324/Datos_originales!$E324</f>
        <v>7.1748959359819911E-4</v>
      </c>
      <c r="AP95" s="6">
        <f>Datos_originales!$P324/Datos_originales!$E324</f>
        <v>7.8923855295801894E-4</v>
      </c>
      <c r="AQ95" s="6">
        <f>Datos_originales!$Q324/Datos_originales!$E324</f>
        <v>7.4551653084812869E-4</v>
      </c>
      <c r="AR95" s="6">
        <f>Datos_originales!$R324/Datos_originales!$E324</f>
        <v>2.1524687807945975E-4</v>
      </c>
      <c r="AS95" s="6">
        <f>Datos_originales!$S324/Datos_originales!$E324</f>
        <v>4.7769111848780096E-3</v>
      </c>
      <c r="AT95" s="6">
        <f>Datos_originales!$T324/Datos_originales!$E324</f>
        <v>3.2500036435018425E-3</v>
      </c>
      <c r="AU95" s="6">
        <f>Datos_originales!$U324/Datos_originales!$E324</f>
        <v>3.2985462988187206E-2</v>
      </c>
      <c r="AV95" s="6">
        <f>Datos_originales!$V324/Datos_originales!$E324</f>
        <v>1.2510103710878599E-2</v>
      </c>
      <c r="AW95" s="6">
        <f>Datos_originales!$W324/Datos_originales!$E324</f>
        <v>1.7688360637175601E-2</v>
      </c>
      <c r="AX95" s="6">
        <f>Datos_originales!$X324/Datos_originales!$E324</f>
        <v>7.2870036849817096E-3</v>
      </c>
      <c r="AY95" s="6">
        <f>Datos_originales!$Y324/Datos_originales!$E324</f>
        <v>4.0852063735497459E-3</v>
      </c>
      <c r="AZ95" s="6">
        <f>Datos_originales!$Z324/Datos_originales!$E324</f>
        <v>1.274440890628801E-2</v>
      </c>
      <c r="BA95" s="6">
        <f>Datos_originales!$AA324/Datos_originales!$E324</f>
        <v>3.0941738723922335E-3</v>
      </c>
      <c r="BB95" s="6">
        <f>Datos_originales!$AB324/Datos_originales!$E324</f>
        <v>4.4630094876787979E-3</v>
      </c>
      <c r="BC95" s="6">
        <f>Datos_originales!$AC324/Datos_originales!$E324</f>
        <v>3.6412596875108603E-3</v>
      </c>
      <c r="BD95" s="6">
        <f>Datos_originales!$AD324/Datos_originales!$E324</f>
        <v>3.0246670680124078E-3</v>
      </c>
      <c r="BE95" s="6">
        <f>Datos_originales!$AE324/Datos_originales!$E324</f>
        <v>2.5179400425336799E-3</v>
      </c>
      <c r="BF95" s="6">
        <f>Datos_originales!$AF324/Datos_originales!$E324</f>
        <v>1.0422657424503838E-2</v>
      </c>
      <c r="BG95" s="6">
        <f>Datos_originales!$AG324/Datos_originales!$E324</f>
        <v>8.3876775646609461E-2</v>
      </c>
    </row>
    <row r="96" spans="1:59" ht="15.75" customHeight="1">
      <c r="A96" s="2">
        <v>21302</v>
      </c>
      <c r="B96" s="3" t="s">
        <v>85</v>
      </c>
      <c r="C96" s="4" t="s">
        <v>312</v>
      </c>
      <c r="D96" s="4" t="str">
        <f>IF(Table_1[[#This Row],[Forest cover 2011]]&lt;1000,"Bosque menor a 1000 ha",Table_1[[#This Row],[Forest cover 2011]])</f>
        <v>Bosque menor a 1000 ha</v>
      </c>
      <c r="E96" s="4">
        <v>0</v>
      </c>
      <c r="F96" s="5">
        <f>AVERAGE(Datos_originales!$H258:$J258)</f>
        <v>1300.1399999999999</v>
      </c>
      <c r="G96" s="5">
        <f>AVERAGE(Datos_originales!$R258:$T258)</f>
        <v>1074.21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</row>
    <row r="97" spans="1:59" ht="15.75" customHeight="1">
      <c r="A97" s="2">
        <v>21303</v>
      </c>
      <c r="B97" s="3" t="s">
        <v>85</v>
      </c>
      <c r="C97" s="4" t="s">
        <v>378</v>
      </c>
      <c r="D97" s="4" t="str">
        <f>IF(Table_1[[#This Row],[Forest cover 2011]]&lt;1000,"Bosque menor a 1000 ha",Table_1[[#This Row],[Forest cover 2011]])</f>
        <v>Bosque menor a 1000 ha</v>
      </c>
      <c r="E97" s="4">
        <v>6.39</v>
      </c>
      <c r="F97" s="5">
        <f>AVERAGE(Datos_originales!$H326:$J326)</f>
        <v>286.26</v>
      </c>
      <c r="G97" s="5">
        <f>AVERAGE(Datos_originales!$R326:$T326)</f>
        <v>502.34999999999997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0.45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6">
        <f>Datos_originales!$H326/Datos_originales!$E326</f>
        <v>2.9326361094245015E-4</v>
      </c>
      <c r="AI97" s="6">
        <f>Datos_originales!$I326/Datos_originales!$E326</f>
        <v>2.7190316282149098E-4</v>
      </c>
      <c r="AJ97" s="6">
        <f>Datos_originales!$J326/Datos_originales!$E326</f>
        <v>5.6091828684485525E-4</v>
      </c>
      <c r="AK97" s="6">
        <f>Datos_originales!$K326/Datos_originales!$E326</f>
        <v>3.905067559793028E-4</v>
      </c>
      <c r="AL97" s="6">
        <f>Datos_originales!$L326/Datos_originales!$E326</f>
        <v>2.854747182574595E-4</v>
      </c>
      <c r="AM97" s="6">
        <f>Datos_originales!$M326/Datos_originales!$E326</f>
        <v>4.7665662961632034E-4</v>
      </c>
      <c r="AN97" s="6">
        <f>Datos_originales!$N326/Datos_originales!$E326</f>
        <v>1.8882164084825764E-4</v>
      </c>
      <c r="AO97" s="6">
        <f>Datos_originales!$O326/Datos_originales!$E326</f>
        <v>2.6682858122369405E-4</v>
      </c>
      <c r="AP97" s="6">
        <f>Datos_originales!$P326/Datos_originales!$E326</f>
        <v>4.6910376398239006E-4</v>
      </c>
      <c r="AQ97" s="6">
        <f>Datos_originales!$Q326/Datos_originales!$E326</f>
        <v>8.0862867693266339E-4</v>
      </c>
      <c r="AR97" s="6">
        <f>Datos_originales!$R326/Datos_originales!$E326</f>
        <v>3.4341935929276852E-4</v>
      </c>
      <c r="AS97" s="6">
        <f>Datos_originales!$S326/Datos_originales!$E326</f>
        <v>9.7490973440466017E-4</v>
      </c>
      <c r="AT97" s="6">
        <f>Datos_originales!$T326/Datos_originales!$E326</f>
        <v>6.5780739130511759E-4</v>
      </c>
      <c r="AU97" s="6">
        <f>Datos_originales!$U326/Datos_originales!$E326</f>
        <v>9.4722376131528441E-3</v>
      </c>
      <c r="AV97" s="6">
        <f>Datos_originales!$V326/Datos_originales!$E326</f>
        <v>3.2339246401030023E-3</v>
      </c>
      <c r="AW97" s="6">
        <f>Datos_originales!$W326/Datos_originales!$E326</f>
        <v>4.1020321339028665E-3</v>
      </c>
      <c r="AX97" s="6">
        <f>Datos_originales!$X326/Datos_originales!$E326</f>
        <v>2.2073249815161315E-3</v>
      </c>
      <c r="AY97" s="6">
        <f>Datos_originales!$Y326/Datos_originales!$E326</f>
        <v>2.5803657357169707E-3</v>
      </c>
      <c r="AZ97" s="6">
        <f>Datos_originales!$Z326/Datos_originales!$E326</f>
        <v>3.6869785646132906E-3</v>
      </c>
      <c r="BA97" s="6">
        <f>Datos_originales!$AA326/Datos_originales!$E326</f>
        <v>1.6291767199438729E-3</v>
      </c>
      <c r="BB97" s="6">
        <f>Datos_originales!$AB326/Datos_originales!$E326</f>
        <v>2.7262304532722501E-3</v>
      </c>
      <c r="BC97" s="6">
        <f>Datos_originales!$AC326/Datos_originales!$E326</f>
        <v>2.1164545668579077E-3</v>
      </c>
      <c r="BD97" s="6">
        <f>Datos_originales!$AD326/Datos_originales!$E326</f>
        <v>1.1688059568507147E-3</v>
      </c>
      <c r="BE97" s="6">
        <f>Datos_originales!$AE326/Datos_originales!$E326</f>
        <v>1.4029447915025542E-3</v>
      </c>
      <c r="BF97" s="6">
        <f>Datos_originales!$AF326/Datos_originales!$E326</f>
        <v>2.8619460076319352E-3</v>
      </c>
      <c r="BG97" s="6">
        <f>Datos_originales!$AG326/Datos_originales!$E326</f>
        <v>2.1775737717299778E-2</v>
      </c>
    </row>
    <row r="98" spans="1:59" ht="15.75" customHeight="1">
      <c r="A98" s="2">
        <v>21304</v>
      </c>
      <c r="B98" s="3" t="s">
        <v>85</v>
      </c>
      <c r="C98" s="4" t="s">
        <v>176</v>
      </c>
      <c r="D98" s="4" t="str">
        <f>IF(Table_1[[#This Row],[Forest cover 2011]]&lt;1000,"Bosque menor a 1000 ha",Table_1[[#This Row],[Forest cover 2011]])</f>
        <v>Bosque menor a 1000 ha</v>
      </c>
      <c r="E98" s="4">
        <v>16.11</v>
      </c>
      <c r="F98" s="5">
        <f>AVERAGE(Datos_originales!$H116:$J116)</f>
        <v>444.51</v>
      </c>
      <c r="G98" s="5">
        <f>AVERAGE(Datos_originales!$R116:$T116)</f>
        <v>2364.5100000000002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0.18</v>
      </c>
      <c r="O98" s="4">
        <v>0</v>
      </c>
      <c r="P98" s="4">
        <v>0.63</v>
      </c>
      <c r="Q98" s="4">
        <v>0</v>
      </c>
      <c r="R98" s="4">
        <v>0</v>
      </c>
      <c r="S98" s="4">
        <v>4.8600000000000003</v>
      </c>
      <c r="T98" s="4">
        <v>0.18</v>
      </c>
      <c r="U98" s="4">
        <v>0.09</v>
      </c>
      <c r="V98" s="4">
        <v>0.18</v>
      </c>
      <c r="W98" s="4">
        <v>0.27</v>
      </c>
      <c r="X98" s="4">
        <v>0</v>
      </c>
      <c r="Y98" s="4">
        <v>0</v>
      </c>
      <c r="Z98" s="4">
        <v>0</v>
      </c>
      <c r="AA98" s="4">
        <v>0.18</v>
      </c>
      <c r="AB98" s="4">
        <v>0.18</v>
      </c>
      <c r="AC98" s="4">
        <v>0.9</v>
      </c>
      <c r="AD98" s="4">
        <v>0</v>
      </c>
      <c r="AE98" s="4">
        <v>0</v>
      </c>
      <c r="AF98" s="4">
        <v>5.67</v>
      </c>
      <c r="AG98" s="4">
        <v>0.18</v>
      </c>
      <c r="AH98" s="6">
        <f>Datos_originales!$H116/Datos_originales!$E116</f>
        <v>2.6058698365466872E-3</v>
      </c>
      <c r="AI98" s="6">
        <f>Datos_originales!$I116/Datos_originales!$E116</f>
        <v>2.5465875726526457E-3</v>
      </c>
      <c r="AJ98" s="6">
        <f>Datos_originales!$J116/Datos_originales!$E116</f>
        <v>4.2925458608868367E-3</v>
      </c>
      <c r="AK98" s="6">
        <f>Datos_originales!$K116/Datos_originales!$E116</f>
        <v>3.1859436015313955E-3</v>
      </c>
      <c r="AL98" s="6">
        <f>Datos_originales!$L116/Datos_originales!$E116</f>
        <v>3.4893668016772418E-3</v>
      </c>
      <c r="AM98" s="6">
        <f>Datos_originales!$M116/Datos_originales!$E116</f>
        <v>1.7574322747943287E-3</v>
      </c>
      <c r="AN98" s="6">
        <f>Datos_originales!$N116/Datos_originales!$E116</f>
        <v>5.1460829722214784E-3</v>
      </c>
      <c r="AO98" s="6">
        <f>Datos_originales!$O116/Datos_originales!$E116</f>
        <v>6.275633204697195E-3</v>
      </c>
      <c r="AP98" s="6">
        <f>Datos_originales!$P116/Datos_originales!$E116</f>
        <v>9.6814948819645506E-3</v>
      </c>
      <c r="AQ98" s="6">
        <f>Datos_originales!$Q116/Datos_originales!$E116</f>
        <v>6.9411244251851457E-3</v>
      </c>
      <c r="AR98" s="6">
        <f>Datos_originales!$R116/Datos_originales!$E116</f>
        <v>4.0668907918708078E-4</v>
      </c>
      <c r="AS98" s="6">
        <f>Datos_originales!$S116/Datos_originales!$E116</f>
        <v>4.5308860594887958E-2</v>
      </c>
      <c r="AT98" s="6">
        <f>Datos_originales!$T116/Datos_originales!$E116</f>
        <v>4.5258502542762907E-3</v>
      </c>
      <c r="AU98" s="6">
        <f>Datos_originales!$U116/Datos_originales!$E116</f>
        <v>2.7410079004771904E-3</v>
      </c>
      <c r="AV98" s="6">
        <f>Datos_originales!$V116/Datos_originales!$E116</f>
        <v>2.7371832382904779E-3</v>
      </c>
      <c r="AW98" s="6">
        <f>Datos_originales!$W116/Datos_originales!$E116</f>
        <v>4.6527015501355842E-3</v>
      </c>
      <c r="AX98" s="6">
        <f>Datos_originales!$X116/Datos_originales!$E116</f>
        <v>3.331280764626464E-3</v>
      </c>
      <c r="AY98" s="6">
        <f>Datos_originales!$Y116/Datos_originales!$E116</f>
        <v>3.5715970386915575E-3</v>
      </c>
      <c r="AZ98" s="6">
        <f>Datos_originales!$Z116/Datos_originales!$E116</f>
        <v>1.7956788966614523E-3</v>
      </c>
      <c r="BA98" s="6">
        <f>Datos_originales!$AA116/Datos_originales!$E116</f>
        <v>5.1843295940886026E-3</v>
      </c>
      <c r="BB98" s="6">
        <f>Datos_originales!$AB116/Datos_originales!$E116</f>
        <v>6.3833611896229265E-3</v>
      </c>
      <c r="BC98" s="6">
        <f>Datos_originales!$AC116/Datos_originales!$E116</f>
        <v>9.7688246685611498E-3</v>
      </c>
      <c r="BD98" s="6">
        <f>Datos_originales!$AD116/Datos_originales!$E116</f>
        <v>7.1068597866093472E-3</v>
      </c>
      <c r="BE98" s="6">
        <f>Datos_originales!$AE116/Datos_originales!$E116</f>
        <v>4.1943795314278864E-4</v>
      </c>
      <c r="BF98" s="6">
        <f>Datos_originales!$AF116/Datos_originales!$E116</f>
        <v>4.5537702882392915E-2</v>
      </c>
      <c r="BG98" s="6">
        <f>Datos_originales!$AG116/Datos_originales!$E116</f>
        <v>5.5253619724037872E-3</v>
      </c>
    </row>
    <row r="99" spans="1:59" ht="15.75" customHeight="1">
      <c r="A99" s="2">
        <v>21305</v>
      </c>
      <c r="B99" s="3" t="s">
        <v>85</v>
      </c>
      <c r="C99" s="4" t="s">
        <v>313</v>
      </c>
      <c r="D99" s="4" t="str">
        <f>IF(Table_1[[#This Row],[Forest cover 2011]]&lt;1000,"Bosque menor a 1000 ha",Table_1[[#This Row],[Forest cover 2011]])</f>
        <v>Bosque menor a 1000 ha</v>
      </c>
      <c r="E99" s="4">
        <v>0</v>
      </c>
      <c r="F99" s="5">
        <f>AVERAGE(Datos_originales!$H259:$J259)</f>
        <v>939.11999999999989</v>
      </c>
      <c r="G99" s="5">
        <f>AVERAGE(Datos_originales!$R259:$T259)</f>
        <v>506.52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</row>
    <row r="100" spans="1:59" ht="15.75" customHeight="1">
      <c r="A100" s="2">
        <v>21306</v>
      </c>
      <c r="B100" s="3" t="s">
        <v>85</v>
      </c>
      <c r="C100" s="4" t="s">
        <v>314</v>
      </c>
      <c r="D100" s="4" t="str">
        <f>IF(Table_1[[#This Row],[Forest cover 2011]]&lt;1000,"Bosque menor a 1000 ha",Table_1[[#This Row],[Forest cover 2011]])</f>
        <v>Bosque menor a 1000 ha</v>
      </c>
      <c r="E100" s="4">
        <v>0</v>
      </c>
      <c r="F100" s="5">
        <f>AVERAGE(Datos_originales!$H260:$J260)</f>
        <v>771.9</v>
      </c>
      <c r="G100" s="5">
        <f>AVERAGE(Datos_originales!$R260:$T260)</f>
        <v>437.78999999999996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</row>
    <row r="101" spans="1:59" ht="15.75" customHeight="1">
      <c r="A101" s="2">
        <v>21307</v>
      </c>
      <c r="B101" s="3" t="s">
        <v>85</v>
      </c>
      <c r="C101" s="4" t="s">
        <v>315</v>
      </c>
      <c r="D101" s="4" t="str">
        <f>IF(Table_1[[#This Row],[Forest cover 2011]]&lt;1000,"Bosque menor a 1000 ha",Table_1[[#This Row],[Forest cover 2011]])</f>
        <v>Bosque menor a 1000 ha</v>
      </c>
      <c r="E101" s="4">
        <v>0</v>
      </c>
      <c r="F101" s="5">
        <f>AVERAGE(Datos_originales!$H261:$J261)</f>
        <v>10830.840000000002</v>
      </c>
      <c r="G101" s="5">
        <f>AVERAGE(Datos_originales!$R261:$T261)</f>
        <v>48144.72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</row>
    <row r="102" spans="1:59" ht="15.75" customHeight="1">
      <c r="A102" s="2">
        <v>21401</v>
      </c>
      <c r="B102" s="3" t="s">
        <v>85</v>
      </c>
      <c r="C102" s="4" t="s">
        <v>222</v>
      </c>
      <c r="D102" s="4">
        <f>IF(Table_1[[#This Row],[Forest cover 2011]]&lt;1000,"Bosque menor a 1000 ha",Table_1[[#This Row],[Forest cover 2011]])</f>
        <v>97249.23000000001</v>
      </c>
      <c r="E102" s="4">
        <v>97249.23000000001</v>
      </c>
      <c r="F102" s="5">
        <f>AVERAGE(Datos_originales!$H164:$J164)</f>
        <v>23.459999999999997</v>
      </c>
      <c r="G102" s="5">
        <f>AVERAGE(Datos_originales!$R164:$T164)</f>
        <v>165.9</v>
      </c>
      <c r="H102" s="4">
        <v>88.83</v>
      </c>
      <c r="I102" s="4">
        <v>87.84</v>
      </c>
      <c r="J102" s="4">
        <v>148.05000000000001</v>
      </c>
      <c r="K102" s="4">
        <v>154.97999999999999</v>
      </c>
      <c r="L102" s="4">
        <v>141.03</v>
      </c>
      <c r="M102" s="4">
        <v>110.43</v>
      </c>
      <c r="N102" s="4">
        <v>271.52999999999997</v>
      </c>
      <c r="O102" s="4">
        <v>200.88</v>
      </c>
      <c r="P102" s="4">
        <v>261.27</v>
      </c>
      <c r="Q102" s="4">
        <v>33.93</v>
      </c>
      <c r="R102" s="4">
        <v>153.54</v>
      </c>
      <c r="S102" s="4">
        <v>1955.61</v>
      </c>
      <c r="T102" s="4">
        <v>150.30000000000001</v>
      </c>
      <c r="U102" s="4">
        <v>118.53</v>
      </c>
      <c r="V102" s="4">
        <v>102.33</v>
      </c>
      <c r="W102" s="4">
        <v>192.6</v>
      </c>
      <c r="X102" s="4">
        <v>166.68</v>
      </c>
      <c r="Y102" s="4">
        <v>148.13999999999999</v>
      </c>
      <c r="Z102" s="4">
        <v>114.48</v>
      </c>
      <c r="AA102" s="4">
        <v>280.8</v>
      </c>
      <c r="AB102" s="4">
        <v>208.08</v>
      </c>
      <c r="AC102" s="4">
        <v>268.64999999999998</v>
      </c>
      <c r="AD102" s="4">
        <v>46.71</v>
      </c>
      <c r="AE102" s="4">
        <v>155.16</v>
      </c>
      <c r="AF102" s="4">
        <v>1976.67</v>
      </c>
      <c r="AG102" s="4">
        <v>381.96</v>
      </c>
      <c r="AH102" s="6">
        <f>Datos_originales!$H164/Datos_originales!$E164</f>
        <v>2.0854968589863635E-4</v>
      </c>
      <c r="AI102" s="6">
        <f>Datos_originales!$I164/Datos_originales!$E164</f>
        <v>2.025911234443896E-4</v>
      </c>
      <c r="AJ102" s="6">
        <f>Datos_originales!$J164/Datos_originales!$E164</f>
        <v>2.5451573911711129E-4</v>
      </c>
      <c r="AK102" s="6">
        <f>Datos_originales!$K164/Datos_originales!$E164</f>
        <v>2.6643286402560479E-4</v>
      </c>
      <c r="AL102" s="6">
        <f>Datos_originales!$L164/Datos_originales!$E164</f>
        <v>6.6480532525238761E-4</v>
      </c>
      <c r="AM102" s="6">
        <f>Datos_originales!$M164/Datos_originales!$E164</f>
        <v>4.4944585369175507E-4</v>
      </c>
      <c r="AN102" s="6">
        <f>Datos_originales!$N164/Datos_originales!$E164</f>
        <v>3.8645533631828937E-4</v>
      </c>
      <c r="AO102" s="6">
        <f>Datos_originales!$O164/Datos_originales!$E164</f>
        <v>2.0344234665213914E-4</v>
      </c>
      <c r="AP102" s="6">
        <f>Datos_originales!$P164/Datos_originales!$E164</f>
        <v>2.9877934592008716E-4</v>
      </c>
      <c r="AQ102" s="6">
        <f>Datos_originales!$Q164/Datos_originales!$E164</f>
        <v>2.5281329270161225E-4</v>
      </c>
      <c r="AR102" s="6">
        <f>Datos_originales!$R164/Datos_originales!$E164</f>
        <v>4.7583377313199072E-4</v>
      </c>
      <c r="AS102" s="6">
        <f>Datos_originales!$S164/Datos_originales!$E164</f>
        <v>3.3027460460682001E-3</v>
      </c>
      <c r="AT102" s="6">
        <f>Datos_originales!$T164/Datos_originales!$E164</f>
        <v>9.2868451965474387E-4</v>
      </c>
      <c r="AU102" s="6">
        <f>Datos_originales!$U164/Datos_originales!$E164</f>
        <v>4.9634825243875446E-3</v>
      </c>
      <c r="AV102" s="6">
        <f>Datos_originales!$V164/Datos_originales!$E164</f>
        <v>2.6413456136468103E-3</v>
      </c>
      <c r="AW102" s="6">
        <f>Datos_originales!$W164/Datos_originales!$E164</f>
        <v>2.6634774170482987E-3</v>
      </c>
      <c r="AX102" s="6">
        <f>Datos_originales!$X164/Datos_originales!$E164</f>
        <v>3.3674390098571648E-3</v>
      </c>
      <c r="AY102" s="6">
        <f>Datos_originales!$Y164/Datos_originales!$E164</f>
        <v>3.1154769403633018E-3</v>
      </c>
      <c r="AZ102" s="6">
        <f>Datos_originales!$Z164/Datos_originales!$E164</f>
        <v>4.8128160166158772E-3</v>
      </c>
      <c r="BA102" s="6">
        <f>Datos_originales!$AA164/Datos_originales!$E164</f>
        <v>4.3991215376496026E-3</v>
      </c>
      <c r="BB102" s="6">
        <f>Datos_originales!$AB164/Datos_originales!$E164</f>
        <v>3.475544357241356E-3</v>
      </c>
      <c r="BC102" s="6">
        <f>Datos_originales!$AC164/Datos_originales!$E164</f>
        <v>1.5747629343366419E-3</v>
      </c>
      <c r="BD102" s="6">
        <f>Datos_originales!$AD164/Datos_originales!$E164</f>
        <v>1.2104394014198403E-3</v>
      </c>
      <c r="BE102" s="6">
        <f>Datos_originales!$AE164/Datos_originales!$E164</f>
        <v>1.3806840429697474E-3</v>
      </c>
      <c r="BF102" s="6">
        <f>Datos_originales!$AF164/Datos_originales!$E164</f>
        <v>7.1936873286913301E-3</v>
      </c>
      <c r="BG102" s="6">
        <f>Datos_originales!$AG164/Datos_originales!$E164</f>
        <v>1.0946730451659034E-3</v>
      </c>
    </row>
    <row r="103" spans="1:59" ht="15.75" customHeight="1">
      <c r="A103" s="2">
        <v>21402</v>
      </c>
      <c r="B103" s="3" t="s">
        <v>85</v>
      </c>
      <c r="C103" s="4" t="s">
        <v>238</v>
      </c>
      <c r="D103" s="4">
        <f>IF(Table_1[[#This Row],[Forest cover 2011]]&lt;1000,"Bosque menor a 1000 ha",Table_1[[#This Row],[Forest cover 2011]])</f>
        <v>59270.67</v>
      </c>
      <c r="E103" s="4">
        <v>59270.67</v>
      </c>
      <c r="F103" s="5">
        <f>AVERAGE(Datos_originales!$H180:$J180)</f>
        <v>0</v>
      </c>
      <c r="G103" s="5">
        <f>AVERAGE(Datos_originales!$R180:$T180)</f>
        <v>0</v>
      </c>
      <c r="H103" s="4">
        <v>67.86</v>
      </c>
      <c r="I103" s="4">
        <v>36.72</v>
      </c>
      <c r="J103" s="4">
        <v>123.12</v>
      </c>
      <c r="K103" s="4">
        <v>97.02000000000001</v>
      </c>
      <c r="L103" s="4">
        <v>54.989999999999988</v>
      </c>
      <c r="M103" s="4">
        <v>26.46</v>
      </c>
      <c r="N103" s="4">
        <v>66.240000000000009</v>
      </c>
      <c r="O103" s="4">
        <v>55.17</v>
      </c>
      <c r="P103" s="4">
        <v>96.39</v>
      </c>
      <c r="Q103" s="4">
        <v>53.64</v>
      </c>
      <c r="R103" s="4">
        <v>45.900000000000013</v>
      </c>
      <c r="S103" s="4">
        <v>1124.19</v>
      </c>
      <c r="T103" s="4">
        <v>90.27000000000001</v>
      </c>
      <c r="U103" s="4">
        <v>78.209999999999994</v>
      </c>
      <c r="V103" s="4">
        <v>41.58</v>
      </c>
      <c r="W103" s="4">
        <v>149.85</v>
      </c>
      <c r="X103" s="4">
        <v>101.43</v>
      </c>
      <c r="Y103" s="4">
        <v>58.86</v>
      </c>
      <c r="Z103" s="4">
        <v>28.53</v>
      </c>
      <c r="AA103" s="4">
        <v>69.3</v>
      </c>
      <c r="AB103" s="4">
        <v>58.59</v>
      </c>
      <c r="AC103" s="4">
        <v>99.72</v>
      </c>
      <c r="AD103" s="4">
        <v>60.84</v>
      </c>
      <c r="AE103" s="4">
        <v>46.53</v>
      </c>
      <c r="AF103" s="4">
        <v>1142.19</v>
      </c>
      <c r="AG103" s="4">
        <v>155.79</v>
      </c>
      <c r="AH103" s="6" t="e">
        <f>Datos_originales!$H180/Datos_originales!$E180</f>
        <v>#DIV/0!</v>
      </c>
      <c r="AI103" s="6" t="e">
        <f>Datos_originales!$I180/Datos_originales!$E180</f>
        <v>#DIV/0!</v>
      </c>
      <c r="AJ103" s="6" t="e">
        <f>Datos_originales!$J180/Datos_originales!$E180</f>
        <v>#DIV/0!</v>
      </c>
      <c r="AK103" s="6" t="e">
        <f>Datos_originales!$K180/Datos_originales!$E180</f>
        <v>#DIV/0!</v>
      </c>
      <c r="AL103" s="6" t="e">
        <f>Datos_originales!$L180/Datos_originales!$E180</f>
        <v>#DIV/0!</v>
      </c>
      <c r="AM103" s="6" t="e">
        <f>Datos_originales!$M180/Datos_originales!$E180</f>
        <v>#DIV/0!</v>
      </c>
      <c r="AN103" s="6" t="e">
        <f>Datos_originales!$N180/Datos_originales!$E180</f>
        <v>#DIV/0!</v>
      </c>
      <c r="AO103" s="6" t="e">
        <f>Datos_originales!$O180/Datos_originales!$E180</f>
        <v>#DIV/0!</v>
      </c>
      <c r="AP103" s="6" t="e">
        <f>Datos_originales!$P180/Datos_originales!$E180</f>
        <v>#DIV/0!</v>
      </c>
      <c r="AQ103" s="6" t="e">
        <f>Datos_originales!$Q180/Datos_originales!$E180</f>
        <v>#DIV/0!</v>
      </c>
      <c r="AR103" s="6" t="e">
        <f>Datos_originales!$R180/Datos_originales!$E180</f>
        <v>#DIV/0!</v>
      </c>
      <c r="AS103" s="6" t="e">
        <f>Datos_originales!$S180/Datos_originales!$E180</f>
        <v>#DIV/0!</v>
      </c>
      <c r="AT103" s="6" t="e">
        <f>Datos_originales!$T180/Datos_originales!$E180</f>
        <v>#DIV/0!</v>
      </c>
      <c r="AU103" s="6" t="e">
        <f>Datos_originales!$U180/Datos_originales!$E180</f>
        <v>#DIV/0!</v>
      </c>
      <c r="AV103" s="6" t="e">
        <f>Datos_originales!$V180/Datos_originales!$E180</f>
        <v>#DIV/0!</v>
      </c>
      <c r="AW103" s="6" t="e">
        <f>Datos_originales!$W180/Datos_originales!$E180</f>
        <v>#DIV/0!</v>
      </c>
      <c r="AX103" s="6" t="e">
        <f>Datos_originales!$X180/Datos_originales!$E180</f>
        <v>#DIV/0!</v>
      </c>
      <c r="AY103" s="6" t="e">
        <f>Datos_originales!$Y180/Datos_originales!$E180</f>
        <v>#DIV/0!</v>
      </c>
      <c r="AZ103" s="6" t="e">
        <f>Datos_originales!$Z180/Datos_originales!$E180</f>
        <v>#DIV/0!</v>
      </c>
      <c r="BA103" s="6" t="e">
        <f>Datos_originales!$AA180/Datos_originales!$E180</f>
        <v>#DIV/0!</v>
      </c>
      <c r="BB103" s="6" t="e">
        <f>Datos_originales!$AB180/Datos_originales!$E180</f>
        <v>#DIV/0!</v>
      </c>
      <c r="BC103" s="6" t="e">
        <f>Datos_originales!$AC180/Datos_originales!$E180</f>
        <v>#DIV/0!</v>
      </c>
      <c r="BD103" s="6" t="e">
        <f>Datos_originales!$AD180/Datos_originales!$E180</f>
        <v>#DIV/0!</v>
      </c>
      <c r="BE103" s="6" t="e">
        <f>Datos_originales!$AE180/Datos_originales!$E180</f>
        <v>#DIV/0!</v>
      </c>
      <c r="BF103" s="6" t="e">
        <f>Datos_originales!$AF180/Datos_originales!$E180</f>
        <v>#DIV/0!</v>
      </c>
      <c r="BG103" s="6" t="e">
        <f>Datos_originales!$AG180/Datos_originales!$E180</f>
        <v>#DIV/0!</v>
      </c>
    </row>
    <row r="104" spans="1:59" ht="15.75" customHeight="1">
      <c r="A104" s="2">
        <v>21501</v>
      </c>
      <c r="B104" s="3" t="s">
        <v>85</v>
      </c>
      <c r="C104" s="4" t="s">
        <v>195</v>
      </c>
      <c r="D104" s="4">
        <f>IF(Table_1[[#This Row],[Forest cover 2011]]&lt;1000,"Bosque menor a 1000 ha",Table_1[[#This Row],[Forest cover 2011]])</f>
        <v>2770533.45</v>
      </c>
      <c r="E104" s="4">
        <v>2770533.45</v>
      </c>
      <c r="F104" s="5">
        <f>AVERAGE(Datos_originales!$H135:$J135)</f>
        <v>0</v>
      </c>
      <c r="G104" s="5">
        <f>AVERAGE(Datos_originales!$R135:$T135)</f>
        <v>0.39000000000000007</v>
      </c>
      <c r="H104" s="4">
        <v>772.38</v>
      </c>
      <c r="I104" s="4">
        <v>834.3900000000001</v>
      </c>
      <c r="J104" s="4">
        <v>1075.4100000000001</v>
      </c>
      <c r="K104" s="4">
        <v>664.02</v>
      </c>
      <c r="L104" s="4">
        <v>1160.0999999999999</v>
      </c>
      <c r="M104" s="4">
        <v>1170.0899999999999</v>
      </c>
      <c r="N104" s="4">
        <v>1206</v>
      </c>
      <c r="O104" s="4">
        <v>1431.72</v>
      </c>
      <c r="P104" s="4">
        <v>1347.57</v>
      </c>
      <c r="Q104" s="4">
        <v>1335.24</v>
      </c>
      <c r="R104" s="4">
        <v>759.96</v>
      </c>
      <c r="S104" s="4">
        <v>2917.53</v>
      </c>
      <c r="T104" s="4">
        <v>1721.97</v>
      </c>
      <c r="U104" s="4">
        <v>7678.89</v>
      </c>
      <c r="V104" s="4">
        <v>5774.9400000000014</v>
      </c>
      <c r="W104" s="4">
        <v>8716.23</v>
      </c>
      <c r="X104" s="4">
        <v>4817.16</v>
      </c>
      <c r="Y104" s="4">
        <v>3561.3</v>
      </c>
      <c r="Z104" s="4">
        <v>2920.5</v>
      </c>
      <c r="AA104" s="4">
        <v>3102.12</v>
      </c>
      <c r="AB104" s="4">
        <v>3711.96</v>
      </c>
      <c r="AC104" s="4">
        <v>3370.95</v>
      </c>
      <c r="AD104" s="4">
        <v>4314.51</v>
      </c>
      <c r="AE104" s="4">
        <v>2827.44</v>
      </c>
      <c r="AF104" s="4">
        <v>5534.37</v>
      </c>
      <c r="AG104" s="4">
        <v>16877.97</v>
      </c>
      <c r="AH104" s="6">
        <f>Datos_originales!$H135/Datos_originales!$E135</f>
        <v>0</v>
      </c>
      <c r="AI104" s="6">
        <f>Datos_originales!$I135/Datos_originales!$E135</f>
        <v>0</v>
      </c>
      <c r="AJ104" s="6">
        <f>Datos_originales!$J135/Datos_originales!$E135</f>
        <v>0</v>
      </c>
      <c r="AK104" s="6">
        <f>Datos_originales!$K135/Datos_originales!$E135</f>
        <v>0</v>
      </c>
      <c r="AL104" s="6">
        <f>Datos_originales!$L135/Datos_originales!$E135</f>
        <v>0</v>
      </c>
      <c r="AM104" s="6">
        <f>Datos_originales!$M135/Datos_originales!$E135</f>
        <v>0</v>
      </c>
      <c r="AN104" s="6">
        <f>Datos_originales!$N135/Datos_originales!$E135</f>
        <v>0</v>
      </c>
      <c r="AO104" s="6">
        <f>Datos_originales!$O135/Datos_originales!$E135</f>
        <v>0</v>
      </c>
      <c r="AP104" s="6">
        <f>Datos_originales!$P135/Datos_originales!$E135</f>
        <v>6.3965884861407248E-3</v>
      </c>
      <c r="AQ104" s="6">
        <f>Datos_originales!$Q135/Datos_originales!$E135</f>
        <v>0</v>
      </c>
      <c r="AR104" s="6">
        <f>Datos_originales!$R135/Datos_originales!$E135</f>
        <v>0</v>
      </c>
      <c r="AS104" s="6">
        <f>Datos_originales!$S135/Datos_originales!$E135</f>
        <v>1.279317697228145E-2</v>
      </c>
      <c r="AT104" s="6">
        <f>Datos_originales!$T135/Datos_originales!$E135</f>
        <v>1.0660980810234541E-3</v>
      </c>
      <c r="AU104" s="6">
        <f>Datos_originales!$U135/Datos_originales!$E135</f>
        <v>0</v>
      </c>
      <c r="AV104" s="6">
        <f>Datos_originales!$V135/Datos_originales!$E135</f>
        <v>2.1321961620469083E-3</v>
      </c>
      <c r="AW104" s="6">
        <f>Datos_originales!$W135/Datos_originales!$E135</f>
        <v>1.9189765458422176E-2</v>
      </c>
      <c r="AX104" s="6">
        <f>Datos_originales!$X135/Datos_originales!$E135</f>
        <v>0</v>
      </c>
      <c r="AY104" s="6">
        <f>Datos_originales!$Y135/Datos_originales!$E135</f>
        <v>0</v>
      </c>
      <c r="AZ104" s="6">
        <f>Datos_originales!$Z135/Datos_originales!$E135</f>
        <v>4.3710021321961619E-2</v>
      </c>
      <c r="BA104" s="6">
        <f>Datos_originales!$AA135/Datos_originales!$E135</f>
        <v>6.3965884861407248E-3</v>
      </c>
      <c r="BB104" s="6">
        <f>Datos_originales!$AB135/Datos_originales!$E135</f>
        <v>5.3304904051172707E-3</v>
      </c>
      <c r="BC104" s="6">
        <f>Datos_originales!$AC135/Datos_originales!$E135</f>
        <v>9.5948827292110881E-3</v>
      </c>
      <c r="BD104" s="6">
        <f>Datos_originales!$AD135/Datos_originales!$E135</f>
        <v>1.0660980810234541E-3</v>
      </c>
      <c r="BE104" s="6">
        <f>Datos_originales!$AE135/Datos_originales!$E135</f>
        <v>1.0660980810234541E-3</v>
      </c>
      <c r="BF104" s="6">
        <f>Datos_originales!$AF135/Datos_originales!$E135</f>
        <v>1.3859275053304903E-2</v>
      </c>
      <c r="BG104" s="6">
        <f>Datos_originales!$AG135/Datos_originales!$E135</f>
        <v>1.0660980810234541E-3</v>
      </c>
    </row>
    <row r="105" spans="1:59" ht="15.75" customHeight="1">
      <c r="A105" s="2">
        <v>21502</v>
      </c>
      <c r="B105" s="3" t="s">
        <v>85</v>
      </c>
      <c r="C105" s="4" t="s">
        <v>210</v>
      </c>
      <c r="D105" s="4">
        <f>IF(Table_1[[#This Row],[Forest cover 2011]]&lt;1000,"Bosque menor a 1000 ha",Table_1[[#This Row],[Forest cover 2011]])</f>
        <v>264913.2</v>
      </c>
      <c r="E105" s="4">
        <v>264913.2</v>
      </c>
      <c r="F105" s="5">
        <f>AVERAGE(Datos_originales!$H151:$J151)</f>
        <v>808.68</v>
      </c>
      <c r="G105" s="5">
        <f>AVERAGE(Datos_originales!$R151:$T151)</f>
        <v>1281.51</v>
      </c>
      <c r="H105" s="4">
        <v>507.78</v>
      </c>
      <c r="I105" s="4">
        <v>610.02</v>
      </c>
      <c r="J105" s="4">
        <v>1406.52</v>
      </c>
      <c r="K105" s="4">
        <v>499.95</v>
      </c>
      <c r="L105" s="4">
        <v>1945.8</v>
      </c>
      <c r="M105" s="4">
        <v>1010.79</v>
      </c>
      <c r="N105" s="4">
        <v>1095.6600000000001</v>
      </c>
      <c r="O105" s="4">
        <v>803.88</v>
      </c>
      <c r="P105" s="4">
        <v>1221.75</v>
      </c>
      <c r="Q105" s="4">
        <v>507.06</v>
      </c>
      <c r="R105" s="4">
        <v>262.62</v>
      </c>
      <c r="S105" s="4">
        <v>3802.5</v>
      </c>
      <c r="T105" s="4">
        <v>897.21</v>
      </c>
      <c r="U105" s="4">
        <v>2191.5</v>
      </c>
      <c r="V105" s="4">
        <v>1751.31</v>
      </c>
      <c r="W105" s="4">
        <v>3904.83</v>
      </c>
      <c r="X105" s="4">
        <v>2116.35</v>
      </c>
      <c r="Y105" s="4">
        <v>2547.7199999999998</v>
      </c>
      <c r="Z105" s="4">
        <v>1463.49</v>
      </c>
      <c r="AA105" s="4">
        <v>1497.42</v>
      </c>
      <c r="AB105" s="4">
        <v>1227.06</v>
      </c>
      <c r="AC105" s="4">
        <v>1577.97</v>
      </c>
      <c r="AD105" s="4">
        <v>1180.17</v>
      </c>
      <c r="AE105" s="4">
        <v>739.98</v>
      </c>
      <c r="AF105" s="4">
        <v>4072.05</v>
      </c>
      <c r="AG105" s="4">
        <v>1196.3699999999999</v>
      </c>
      <c r="AH105" s="6">
        <f>Datos_originales!$H151/Datos_originales!$E151</f>
        <v>2.6424895458489967E-3</v>
      </c>
      <c r="AI105" s="6">
        <f>Datos_originales!$I151/Datos_originales!$E151</f>
        <v>4.3072449232782863E-3</v>
      </c>
      <c r="AJ105" s="6">
        <f>Datos_originales!$J151/Datos_originales!$E151</f>
        <v>4.7639554170601141E-3</v>
      </c>
      <c r="AK105" s="6">
        <f>Datos_originales!$K151/Datos_originales!$E151</f>
        <v>3.2147899457639988E-3</v>
      </c>
      <c r="AL105" s="6">
        <f>Datos_originales!$L151/Datos_originales!$E151</f>
        <v>3.0279340824660105E-3</v>
      </c>
      <c r="AM105" s="6">
        <f>Datos_originales!$M151/Datos_originales!$E151</f>
        <v>3.2221772705920593E-3</v>
      </c>
      <c r="AN105" s="6">
        <f>Datos_originales!$N151/Datos_originales!$E151</f>
        <v>3.2339100806130956E-3</v>
      </c>
      <c r="AO105" s="6">
        <f>Datos_originales!$O151/Datos_originales!$E151</f>
        <v>3.177853321623699E-3</v>
      </c>
      <c r="AP105" s="6">
        <f>Datos_originales!$P151/Datos_originales!$E151</f>
        <v>6.414370693352581E-3</v>
      </c>
      <c r="AQ105" s="6">
        <f>Datos_originales!$Q151/Datos_originales!$E151</f>
        <v>8.6909703859529581E-3</v>
      </c>
      <c r="AR105" s="6">
        <f>Datos_originales!$R151/Datos_originales!$E151</f>
        <v>9.9424701215301836E-4</v>
      </c>
      <c r="AS105" s="6">
        <f>Datos_originales!$S151/Datos_originales!$E151</f>
        <v>9.7873363001409232E-3</v>
      </c>
      <c r="AT105" s="6">
        <f>Datos_originales!$T151/Datos_originales!$E151</f>
        <v>7.7810257865436831E-3</v>
      </c>
      <c r="AU105" s="6">
        <f>Datos_originales!$U151/Datos_originales!$E151</f>
        <v>1.6196492411261934E-2</v>
      </c>
      <c r="AV105" s="6">
        <f>Datos_originales!$V151/Datos_originales!$E151</f>
        <v>1.402809529996667E-2</v>
      </c>
      <c r="AW105" s="6">
        <f>Datos_originales!$W151/Datos_originales!$E151</f>
        <v>1.5299584267431587E-2</v>
      </c>
      <c r="AX105" s="6">
        <f>Datos_originales!$X151/Datos_originales!$E151</f>
        <v>1.589752302998515E-2</v>
      </c>
      <c r="AY105" s="6">
        <f>Datos_originales!$Y151/Datos_originales!$E151</f>
        <v>6.6342522441171902E-3</v>
      </c>
      <c r="AZ105" s="6">
        <f>Datos_originales!$Z151/Datos_originales!$E151</f>
        <v>6.1723271681037905E-3</v>
      </c>
      <c r="BA105" s="6">
        <f>Datos_originales!$AA151/Datos_originales!$E151</f>
        <v>8.8556642747667658E-3</v>
      </c>
      <c r="BB105" s="6">
        <f>Datos_originales!$AB151/Datos_originales!$E151</f>
        <v>7.4603289793020184E-3</v>
      </c>
      <c r="BC105" s="6">
        <f>Datos_originales!$AC151/Datos_originales!$E151</f>
        <v>9.3932007931379572E-3</v>
      </c>
      <c r="BD105" s="6">
        <f>Datos_originales!$AD151/Datos_originales!$E151</f>
        <v>1.0985821116363837E-2</v>
      </c>
      <c r="BE105" s="6">
        <f>Datos_originales!$AE151/Datos_originales!$E151</f>
        <v>2.730268346747122E-3</v>
      </c>
      <c r="BF105" s="6">
        <f>Datos_originales!$AF151/Datos_originales!$E151</f>
        <v>1.2946938583954121E-2</v>
      </c>
      <c r="BG105" s="6">
        <f>Datos_originales!$AG151/Datos_originales!$E151</f>
        <v>2.2933298105933368E-2</v>
      </c>
    </row>
    <row r="106" spans="1:59" ht="15.75" customHeight="1">
      <c r="A106" s="2">
        <v>21601</v>
      </c>
      <c r="B106" s="3" t="s">
        <v>85</v>
      </c>
      <c r="C106" s="4" t="s">
        <v>191</v>
      </c>
      <c r="D106" s="4">
        <f>IF(Table_1[[#This Row],[Forest cover 2011]]&lt;1000,"Bosque menor a 1000 ha",Table_1[[#This Row],[Forest cover 2011]])</f>
        <v>140944.04999999999</v>
      </c>
      <c r="E106" s="4">
        <v>140944.04999999999</v>
      </c>
      <c r="F106" s="5">
        <f>AVERAGE(Datos_originales!$H131:$J131)</f>
        <v>0</v>
      </c>
      <c r="G106" s="5">
        <f>AVERAGE(Datos_originales!$R131:$T131)</f>
        <v>0.36000000000000004</v>
      </c>
      <c r="H106" s="4">
        <v>20.79</v>
      </c>
      <c r="I106" s="4">
        <v>16.2</v>
      </c>
      <c r="J106" s="4">
        <v>22.86</v>
      </c>
      <c r="K106" s="4">
        <v>21.78</v>
      </c>
      <c r="L106" s="4">
        <v>15.66</v>
      </c>
      <c r="M106" s="4">
        <v>11.79</v>
      </c>
      <c r="N106" s="4">
        <v>34.74</v>
      </c>
      <c r="O106" s="4">
        <v>26.82</v>
      </c>
      <c r="P106" s="4">
        <v>100.71</v>
      </c>
      <c r="Q106" s="4">
        <v>69.48</v>
      </c>
      <c r="R106" s="4">
        <v>19.62</v>
      </c>
      <c r="S106" s="4">
        <v>66.150000000000006</v>
      </c>
      <c r="T106" s="4">
        <v>440.37</v>
      </c>
      <c r="U106" s="4">
        <v>387.72</v>
      </c>
      <c r="V106" s="4">
        <v>390.69</v>
      </c>
      <c r="W106" s="4">
        <v>562.86</v>
      </c>
      <c r="X106" s="4">
        <v>331.74</v>
      </c>
      <c r="Y106" s="4">
        <v>163.53</v>
      </c>
      <c r="Z106" s="4">
        <v>161.46</v>
      </c>
      <c r="AA106" s="4">
        <v>217.08</v>
      </c>
      <c r="AB106" s="4">
        <v>251.28</v>
      </c>
      <c r="AC106" s="4">
        <v>242.91</v>
      </c>
      <c r="AD106" s="4">
        <v>498.68999999999988</v>
      </c>
      <c r="AE106" s="4">
        <v>75.87</v>
      </c>
      <c r="AF106" s="4">
        <v>162</v>
      </c>
      <c r="AG106" s="4">
        <v>969.39</v>
      </c>
      <c r="AH106" s="6">
        <f>Datos_originales!$H131/Datos_originales!$E131</f>
        <v>0</v>
      </c>
      <c r="AI106" s="6">
        <f>Datos_originales!$I131/Datos_originales!$E131</f>
        <v>0</v>
      </c>
      <c r="AJ106" s="6">
        <f>Datos_originales!$J131/Datos_originales!$E131</f>
        <v>0</v>
      </c>
      <c r="AK106" s="6">
        <f>Datos_originales!$K131/Datos_originales!$E131</f>
        <v>0</v>
      </c>
      <c r="AL106" s="6">
        <f>Datos_originales!$L131/Datos_originales!$E131</f>
        <v>0</v>
      </c>
      <c r="AM106" s="6">
        <f>Datos_originales!$M131/Datos_originales!$E131</f>
        <v>3.3454987834549877E-3</v>
      </c>
      <c r="AN106" s="6">
        <f>Datos_originales!$N131/Datos_originales!$E131</f>
        <v>3.0413625304136248E-4</v>
      </c>
      <c r="AO106" s="6">
        <f>Datos_originales!$O131/Datos_originales!$E131</f>
        <v>0</v>
      </c>
      <c r="AP106" s="6">
        <f>Datos_originales!$P131/Datos_originales!$E131</f>
        <v>0</v>
      </c>
      <c r="AQ106" s="6">
        <f>Datos_originales!$Q131/Datos_originales!$E131</f>
        <v>0</v>
      </c>
      <c r="AR106" s="6">
        <f>Datos_originales!$R131/Datos_originales!$E131</f>
        <v>0</v>
      </c>
      <c r="AS106" s="6">
        <f>Datos_originales!$S131/Datos_originales!$E131</f>
        <v>3.6496350364963502E-3</v>
      </c>
      <c r="AT106" s="6">
        <f>Datos_originales!$T131/Datos_originales!$E131</f>
        <v>0</v>
      </c>
      <c r="AU106" s="6">
        <f>Datos_originales!$U131/Datos_originales!$E131</f>
        <v>2.1289537712895377E-3</v>
      </c>
      <c r="AV106" s="6">
        <f>Datos_originales!$V131/Datos_originales!$E131</f>
        <v>3.0413625304136248E-4</v>
      </c>
      <c r="AW106" s="6">
        <f>Datos_originales!$W131/Datos_originales!$E131</f>
        <v>2.5851581508515815E-2</v>
      </c>
      <c r="AX106" s="6">
        <f>Datos_originales!$X131/Datos_originales!$E131</f>
        <v>9.1240875912408756E-4</v>
      </c>
      <c r="AY106" s="6">
        <f>Datos_originales!$Y131/Datos_originales!$E131</f>
        <v>9.1240875912408752E-3</v>
      </c>
      <c r="AZ106" s="6">
        <f>Datos_originales!$Z131/Datos_originales!$E131</f>
        <v>2.6459854014598539E-2</v>
      </c>
      <c r="BA106" s="6">
        <f>Datos_originales!$AA131/Datos_originales!$E131</f>
        <v>2.1593673965936738E-2</v>
      </c>
      <c r="BB106" s="6">
        <f>Datos_originales!$AB131/Datos_originales!$E131</f>
        <v>2.8588807785888078E-2</v>
      </c>
      <c r="BC106" s="6">
        <f>Datos_originales!$AC131/Datos_originales!$E131</f>
        <v>1.8552311435523113E-2</v>
      </c>
      <c r="BD106" s="6">
        <f>Datos_originales!$AD131/Datos_originales!$E131</f>
        <v>0</v>
      </c>
      <c r="BE106" s="6">
        <f>Datos_originales!$AE131/Datos_originales!$E131</f>
        <v>0</v>
      </c>
      <c r="BF106" s="6">
        <f>Datos_originales!$AF131/Datos_originales!$E131</f>
        <v>7.2992700729927005E-3</v>
      </c>
      <c r="BG106" s="6">
        <f>Datos_originales!$AG131/Datos_originales!$E131</f>
        <v>0</v>
      </c>
    </row>
    <row r="107" spans="1:59" ht="15.75" customHeight="1">
      <c r="A107" s="2">
        <v>21602</v>
      </c>
      <c r="B107" s="3" t="s">
        <v>85</v>
      </c>
      <c r="C107" s="4" t="s">
        <v>250</v>
      </c>
      <c r="D107" s="4">
        <f>IF(Table_1[[#This Row],[Forest cover 2011]]&lt;1000,"Bosque menor a 1000 ha",Table_1[[#This Row],[Forest cover 2011]])</f>
        <v>8584.74</v>
      </c>
      <c r="E107" s="4">
        <v>8584.74</v>
      </c>
      <c r="F107" s="5">
        <f>AVERAGE(Datos_originales!$H194:$J194)</f>
        <v>0</v>
      </c>
      <c r="G107" s="5">
        <f>AVERAGE(Datos_originales!$R194:$T194)</f>
        <v>0</v>
      </c>
      <c r="H107" s="4">
        <v>0</v>
      </c>
      <c r="I107" s="4">
        <v>0.99</v>
      </c>
      <c r="J107" s="4">
        <v>0.27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0.09</v>
      </c>
      <c r="Q107" s="4">
        <v>0</v>
      </c>
      <c r="R107" s="4">
        <v>0.45</v>
      </c>
      <c r="S107" s="4">
        <v>14.31</v>
      </c>
      <c r="T107" s="4">
        <v>6.48</v>
      </c>
      <c r="U107" s="4">
        <v>83.7</v>
      </c>
      <c r="V107" s="4">
        <v>97.74</v>
      </c>
      <c r="W107" s="4">
        <v>57.6</v>
      </c>
      <c r="X107" s="4">
        <v>46.44</v>
      </c>
      <c r="Y107" s="4">
        <v>28.26</v>
      </c>
      <c r="Z107" s="4">
        <v>43.29</v>
      </c>
      <c r="AA107" s="4">
        <v>48.87</v>
      </c>
      <c r="AB107" s="4">
        <v>44.55</v>
      </c>
      <c r="AC107" s="4">
        <v>23.76</v>
      </c>
      <c r="AD107" s="4">
        <v>64.08</v>
      </c>
      <c r="AE107" s="4">
        <v>14.94</v>
      </c>
      <c r="AF107" s="4">
        <v>15.21</v>
      </c>
      <c r="AG107" s="4">
        <v>15.48</v>
      </c>
      <c r="AH107" s="6" t="e">
        <f>Datos_originales!$H194/Datos_originales!$E194</f>
        <v>#DIV/0!</v>
      </c>
      <c r="AI107" s="6" t="e">
        <f>Datos_originales!$I194/Datos_originales!$E194</f>
        <v>#DIV/0!</v>
      </c>
      <c r="AJ107" s="6" t="e">
        <f>Datos_originales!$J194/Datos_originales!$E194</f>
        <v>#DIV/0!</v>
      </c>
      <c r="AK107" s="6" t="e">
        <f>Datos_originales!$K194/Datos_originales!$E194</f>
        <v>#DIV/0!</v>
      </c>
      <c r="AL107" s="6" t="e">
        <f>Datos_originales!$L194/Datos_originales!$E194</f>
        <v>#DIV/0!</v>
      </c>
      <c r="AM107" s="6" t="e">
        <f>Datos_originales!$M194/Datos_originales!$E194</f>
        <v>#DIV/0!</v>
      </c>
      <c r="AN107" s="6" t="e">
        <f>Datos_originales!$N194/Datos_originales!$E194</f>
        <v>#DIV/0!</v>
      </c>
      <c r="AO107" s="6" t="e">
        <f>Datos_originales!$O194/Datos_originales!$E194</f>
        <v>#DIV/0!</v>
      </c>
      <c r="AP107" s="6" t="e">
        <f>Datos_originales!$P194/Datos_originales!$E194</f>
        <v>#DIV/0!</v>
      </c>
      <c r="AQ107" s="6" t="e">
        <f>Datos_originales!$Q194/Datos_originales!$E194</f>
        <v>#DIV/0!</v>
      </c>
      <c r="AR107" s="6" t="e">
        <f>Datos_originales!$R194/Datos_originales!$E194</f>
        <v>#DIV/0!</v>
      </c>
      <c r="AS107" s="6" t="e">
        <f>Datos_originales!$S194/Datos_originales!$E194</f>
        <v>#DIV/0!</v>
      </c>
      <c r="AT107" s="6" t="e">
        <f>Datos_originales!$T194/Datos_originales!$E194</f>
        <v>#DIV/0!</v>
      </c>
      <c r="AU107" s="6" t="e">
        <f>Datos_originales!$U194/Datos_originales!$E194</f>
        <v>#DIV/0!</v>
      </c>
      <c r="AV107" s="6" t="e">
        <f>Datos_originales!$V194/Datos_originales!$E194</f>
        <v>#DIV/0!</v>
      </c>
      <c r="AW107" s="6" t="e">
        <f>Datos_originales!$W194/Datos_originales!$E194</f>
        <v>#DIV/0!</v>
      </c>
      <c r="AX107" s="6" t="e">
        <f>Datos_originales!$X194/Datos_originales!$E194</f>
        <v>#DIV/0!</v>
      </c>
      <c r="AY107" s="6" t="e">
        <f>Datos_originales!$Y194/Datos_originales!$E194</f>
        <v>#DIV/0!</v>
      </c>
      <c r="AZ107" s="6" t="e">
        <f>Datos_originales!$Z194/Datos_originales!$E194</f>
        <v>#DIV/0!</v>
      </c>
      <c r="BA107" s="6" t="e">
        <f>Datos_originales!$AA194/Datos_originales!$E194</f>
        <v>#DIV/0!</v>
      </c>
      <c r="BB107" s="6" t="e">
        <f>Datos_originales!$AB194/Datos_originales!$E194</f>
        <v>#DIV/0!</v>
      </c>
      <c r="BC107" s="6" t="e">
        <f>Datos_originales!$AC194/Datos_originales!$E194</f>
        <v>#DIV/0!</v>
      </c>
      <c r="BD107" s="6" t="e">
        <f>Datos_originales!$AD194/Datos_originales!$E194</f>
        <v>#DIV/0!</v>
      </c>
      <c r="BE107" s="6" t="e">
        <f>Datos_originales!$AE194/Datos_originales!$E194</f>
        <v>#DIV/0!</v>
      </c>
      <c r="BF107" s="6" t="e">
        <f>Datos_originales!$AF194/Datos_originales!$E194</f>
        <v>#DIV/0!</v>
      </c>
      <c r="BG107" s="6" t="e">
        <f>Datos_originales!$AG194/Datos_originales!$E194</f>
        <v>#DIV/0!</v>
      </c>
    </row>
    <row r="108" spans="1:59" ht="15.75" customHeight="1">
      <c r="A108" s="2">
        <v>21701</v>
      </c>
      <c r="B108" s="3" t="s">
        <v>85</v>
      </c>
      <c r="C108" s="4" t="s">
        <v>316</v>
      </c>
      <c r="D108" s="4" t="str">
        <f>IF(Table_1[[#This Row],[Forest cover 2011]]&lt;1000,"Bosque menor a 1000 ha",Table_1[[#This Row],[Forest cover 2011]])</f>
        <v>Bosque menor a 1000 ha</v>
      </c>
      <c r="E108" s="4">
        <v>0</v>
      </c>
      <c r="F108" s="5">
        <f>AVERAGE(Datos_originales!$H262:$J262)</f>
        <v>2026.32</v>
      </c>
      <c r="G108" s="5">
        <f>AVERAGE(Datos_originales!$R262:$T262)</f>
        <v>16352.67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</row>
    <row r="109" spans="1:59" ht="15.75" customHeight="1">
      <c r="A109" s="2">
        <v>21702</v>
      </c>
      <c r="B109" s="3" t="s">
        <v>85</v>
      </c>
      <c r="C109" s="4" t="s">
        <v>317</v>
      </c>
      <c r="D109" s="4" t="str">
        <f>IF(Table_1[[#This Row],[Forest cover 2011]]&lt;1000,"Bosque menor a 1000 ha",Table_1[[#This Row],[Forest cover 2011]])</f>
        <v>Bosque menor a 1000 ha</v>
      </c>
      <c r="E109" s="4">
        <v>0</v>
      </c>
      <c r="F109" s="5">
        <f>AVERAGE(Datos_originales!$H263:$J263)</f>
        <v>1575.03</v>
      </c>
      <c r="G109" s="5">
        <f>AVERAGE(Datos_originales!$R263:$T263)</f>
        <v>11620.800000000001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</row>
    <row r="110" spans="1:59" ht="15.75" customHeight="1">
      <c r="A110" s="2">
        <v>21703</v>
      </c>
      <c r="B110" s="3" t="s">
        <v>85</v>
      </c>
      <c r="C110" s="4" t="s">
        <v>318</v>
      </c>
      <c r="D110" s="4" t="str">
        <f>IF(Table_1[[#This Row],[Forest cover 2011]]&lt;1000,"Bosque menor a 1000 ha",Table_1[[#This Row],[Forest cover 2011]])</f>
        <v>Bosque menor a 1000 ha</v>
      </c>
      <c r="E110" s="4">
        <v>0</v>
      </c>
      <c r="F110" s="5">
        <f>AVERAGE(Datos_originales!$H264:$J264)</f>
        <v>1836.57</v>
      </c>
      <c r="G110" s="5">
        <f>AVERAGE(Datos_originales!$R264:$T264)</f>
        <v>1728.54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</row>
    <row r="111" spans="1:59" ht="15.75" customHeight="1">
      <c r="A111" s="2">
        <v>21801</v>
      </c>
      <c r="B111" s="3" t="s">
        <v>85</v>
      </c>
      <c r="C111" s="4" t="s">
        <v>319</v>
      </c>
      <c r="D111" s="4" t="str">
        <f>IF(Table_1[[#This Row],[Forest cover 2011]]&lt;1000,"Bosque menor a 1000 ha",Table_1[[#This Row],[Forest cover 2011]])</f>
        <v>Bosque menor a 1000 ha</v>
      </c>
      <c r="E111" s="4">
        <v>0</v>
      </c>
      <c r="F111" s="5">
        <f>AVERAGE(Datos_originales!$H265:$J265)</f>
        <v>1203.4799999999998</v>
      </c>
      <c r="G111" s="5">
        <f>AVERAGE(Datos_originales!$R265:$T265)</f>
        <v>1209.75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</row>
    <row r="112" spans="1:59" ht="15.75" customHeight="1">
      <c r="A112" s="2">
        <v>21802</v>
      </c>
      <c r="B112" s="3" t="s">
        <v>85</v>
      </c>
      <c r="C112" s="4" t="s">
        <v>320</v>
      </c>
      <c r="D112" s="4" t="str">
        <f>IF(Table_1[[#This Row],[Forest cover 2011]]&lt;1000,"Bosque menor a 1000 ha",Table_1[[#This Row],[Forest cover 2011]])</f>
        <v>Bosque menor a 1000 ha</v>
      </c>
      <c r="E112" s="4">
        <v>0</v>
      </c>
      <c r="F112" s="5">
        <f>AVERAGE(Datos_originales!$H266:$J266)</f>
        <v>6238.920000000001</v>
      </c>
      <c r="G112" s="5">
        <f>AVERAGE(Datos_originales!$R266:$T266)</f>
        <v>6589.44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</row>
    <row r="113" spans="1:59" ht="15.75" customHeight="1">
      <c r="A113" s="2">
        <v>21803</v>
      </c>
      <c r="B113" s="3" t="s">
        <v>85</v>
      </c>
      <c r="C113" s="4" t="s">
        <v>321</v>
      </c>
      <c r="D113" s="4" t="str">
        <f>IF(Table_1[[#This Row],[Forest cover 2011]]&lt;1000,"Bosque menor a 1000 ha",Table_1[[#This Row],[Forest cover 2011]])</f>
        <v>Bosque menor a 1000 ha</v>
      </c>
      <c r="E113" s="4">
        <v>0</v>
      </c>
      <c r="F113" s="5">
        <f>AVERAGE(Datos_originales!$H267:$J267)</f>
        <v>1518.9000000000003</v>
      </c>
      <c r="G113" s="5">
        <f>AVERAGE(Datos_originales!$R267:$T267)</f>
        <v>1453.7699999999998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</row>
    <row r="114" spans="1:59" ht="15.75" customHeight="1">
      <c r="A114" s="2">
        <v>21901</v>
      </c>
      <c r="B114" s="3" t="s">
        <v>85</v>
      </c>
      <c r="C114" s="4" t="s">
        <v>322</v>
      </c>
      <c r="D114" s="4" t="str">
        <f>IF(Table_1[[#This Row],[Forest cover 2011]]&lt;1000,"Bosque menor a 1000 ha",Table_1[[#This Row],[Forest cover 2011]])</f>
        <v>Bosque menor a 1000 ha</v>
      </c>
      <c r="E114" s="4">
        <v>0</v>
      </c>
      <c r="F114" s="5">
        <f>AVERAGE(Datos_originales!$H268:$J268)</f>
        <v>6662.670000000001</v>
      </c>
      <c r="G114" s="5">
        <f>AVERAGE(Datos_originales!$R268:$T268)</f>
        <v>22728.27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</row>
    <row r="115" spans="1:59" ht="15.75" customHeight="1">
      <c r="A115" s="2">
        <v>21902</v>
      </c>
      <c r="B115" s="3" t="s">
        <v>85</v>
      </c>
      <c r="C115" s="4" t="s">
        <v>323</v>
      </c>
      <c r="D115" s="4" t="str">
        <f>IF(Table_1[[#This Row],[Forest cover 2011]]&lt;1000,"Bosque menor a 1000 ha",Table_1[[#This Row],[Forest cover 2011]])</f>
        <v>Bosque menor a 1000 ha</v>
      </c>
      <c r="E115" s="4">
        <v>0</v>
      </c>
      <c r="F115" s="5">
        <f>AVERAGE(Datos_originales!$H269:$J269)</f>
        <v>24522.84</v>
      </c>
      <c r="G115" s="5">
        <f>AVERAGE(Datos_originales!$R269:$T269)</f>
        <v>17504.400000000001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</row>
    <row r="116" spans="1:59" ht="15.75" customHeight="1">
      <c r="A116" s="2">
        <v>22001</v>
      </c>
      <c r="B116" s="3" t="s">
        <v>85</v>
      </c>
      <c r="C116" s="4" t="s">
        <v>201</v>
      </c>
      <c r="D116" s="4">
        <f>IF(Table_1[[#This Row],[Forest cover 2011]]&lt;1000,"Bosque menor a 1000 ha",Table_1[[#This Row],[Forest cover 2011]])</f>
        <v>141188.94</v>
      </c>
      <c r="E116" s="4">
        <v>141188.94</v>
      </c>
      <c r="F116" s="5">
        <f>AVERAGE(Datos_originales!$H141:$J141)</f>
        <v>8.49</v>
      </c>
      <c r="G116" s="5">
        <f>AVERAGE(Datos_originales!$R141:$T141)</f>
        <v>133.73999999999998</v>
      </c>
      <c r="H116" s="4">
        <v>367.92</v>
      </c>
      <c r="I116" s="4">
        <v>359.55</v>
      </c>
      <c r="J116" s="4">
        <v>606.05999999999995</v>
      </c>
      <c r="K116" s="4">
        <v>449.82000000000011</v>
      </c>
      <c r="L116" s="4">
        <v>492.66</v>
      </c>
      <c r="M116" s="4">
        <v>248.13</v>
      </c>
      <c r="N116" s="4">
        <v>726.57</v>
      </c>
      <c r="O116" s="4">
        <v>886.05</v>
      </c>
      <c r="P116" s="4">
        <v>1366.92</v>
      </c>
      <c r="Q116" s="4">
        <v>980.01</v>
      </c>
      <c r="R116" s="4">
        <v>57.42</v>
      </c>
      <c r="S116" s="4">
        <v>6397.1100000000006</v>
      </c>
      <c r="T116" s="4">
        <v>639</v>
      </c>
      <c r="U116" s="4">
        <v>387</v>
      </c>
      <c r="V116" s="4">
        <v>386.46</v>
      </c>
      <c r="W116" s="4">
        <v>656.91</v>
      </c>
      <c r="X116" s="4">
        <v>470.34</v>
      </c>
      <c r="Y116" s="4">
        <v>504.27</v>
      </c>
      <c r="Z116" s="4">
        <v>253.53</v>
      </c>
      <c r="AA116" s="4">
        <v>731.97</v>
      </c>
      <c r="AB116" s="4">
        <v>901.26</v>
      </c>
      <c r="AC116" s="4">
        <v>1379.25</v>
      </c>
      <c r="AD116" s="4">
        <v>1003.41</v>
      </c>
      <c r="AE116" s="4">
        <v>59.22</v>
      </c>
      <c r="AF116" s="4">
        <v>6429.42</v>
      </c>
      <c r="AG116" s="4">
        <v>780.12</v>
      </c>
      <c r="AH116" s="6">
        <f>Datos_originales!$H141/Datos_originales!$E141</f>
        <v>3.8435828877005358E-3</v>
      </c>
      <c r="AI116" s="6">
        <f>Datos_originales!$I141/Datos_originales!$E141</f>
        <v>8.0213903743315516E-3</v>
      </c>
      <c r="AJ116" s="6">
        <f>Datos_originales!$J141/Datos_originales!$E141</f>
        <v>1.1781417112299465E-2</v>
      </c>
      <c r="AK116" s="6">
        <f>Datos_originales!$K141/Datos_originales!$E141</f>
        <v>1.6961898395721927E-2</v>
      </c>
      <c r="AL116" s="6">
        <f>Datos_originales!$L141/Datos_originales!$E141</f>
        <v>1.4538770053475937E-2</v>
      </c>
      <c r="AM116" s="6">
        <f>Datos_originales!$M141/Datos_originales!$E141</f>
        <v>2.2393048128342249E-2</v>
      </c>
      <c r="AN116" s="6">
        <f>Datos_originales!$N141/Datos_originales!$E141</f>
        <v>3.3088235294117654E-2</v>
      </c>
      <c r="AO116" s="6">
        <f>Datos_originales!$O141/Datos_originales!$E141</f>
        <v>7.1858288770053477E-3</v>
      </c>
      <c r="AP116" s="6">
        <f>Datos_originales!$P141/Datos_originales!$E141</f>
        <v>1.1112967914438504E-2</v>
      </c>
      <c r="AQ116" s="6">
        <f>Datos_originales!$Q141/Datos_originales!$E141</f>
        <v>2.0554812834224601E-2</v>
      </c>
      <c r="AR116" s="6">
        <f>Datos_originales!$R141/Datos_originales!$E141</f>
        <v>0.16619318181818182</v>
      </c>
      <c r="AS116" s="6">
        <f>Datos_originales!$S141/Datos_originales!$E141</f>
        <v>0.20287433155080217</v>
      </c>
      <c r="AT116" s="6">
        <f>Datos_originales!$T141/Datos_originales!$E141</f>
        <v>3.4258021390374334E-3</v>
      </c>
      <c r="AU116" s="6">
        <f>Datos_originales!$U141/Datos_originales!$E141</f>
        <v>4.0942513368983965E-3</v>
      </c>
      <c r="AV116" s="6">
        <f>Datos_originales!$V141/Datos_originales!$E141</f>
        <v>8.7733957219251341E-3</v>
      </c>
      <c r="AW116" s="6">
        <f>Datos_originales!$W141/Datos_originales!$E141</f>
        <v>1.9719251336898395E-2</v>
      </c>
      <c r="AX116" s="6">
        <f>Datos_originales!$X141/Datos_originales!$E141</f>
        <v>1.8549465240641713E-2</v>
      </c>
      <c r="AY116" s="6">
        <f>Datos_originales!$Y141/Datos_originales!$E141</f>
        <v>1.7212566844919786E-2</v>
      </c>
      <c r="AZ116" s="6">
        <f>Datos_originales!$Z141/Datos_originales!$E141</f>
        <v>2.5317513368983958E-2</v>
      </c>
      <c r="BA116" s="6">
        <f>Datos_originales!$AA141/Datos_originales!$E141</f>
        <v>3.6931818181818184E-2</v>
      </c>
      <c r="BB116" s="6">
        <f>Datos_originales!$AB141/Datos_originales!$E141</f>
        <v>1.0528074866310161E-2</v>
      </c>
      <c r="BC116" s="6">
        <f>Datos_originales!$AC141/Datos_originales!$E141</f>
        <v>1.4120989304812837E-2</v>
      </c>
      <c r="BD116" s="6">
        <f>Datos_originales!$AD141/Datos_originales!$E141</f>
        <v>2.0721925133689843E-2</v>
      </c>
      <c r="BE116" s="6">
        <f>Datos_originales!$AE141/Datos_originales!$E141</f>
        <v>0.16694518716577542</v>
      </c>
      <c r="BF116" s="6">
        <f>Datos_originales!$AF141/Datos_originales!$E141</f>
        <v>0.20905748663101606</v>
      </c>
      <c r="BG116" s="6">
        <f>Datos_originales!$AG141/Datos_originales!$E141</f>
        <v>3.5093582887700536E-3</v>
      </c>
    </row>
    <row r="117" spans="1:59" ht="15.75" customHeight="1">
      <c r="A117" s="2">
        <v>22002</v>
      </c>
      <c r="B117" s="3" t="s">
        <v>85</v>
      </c>
      <c r="C117" s="4" t="s">
        <v>126</v>
      </c>
      <c r="D117" s="4">
        <f>IF(Table_1[[#This Row],[Forest cover 2011]]&lt;1000,"Bosque menor a 1000 ha",Table_1[[#This Row],[Forest cover 2011]])</f>
        <v>94250.25</v>
      </c>
      <c r="E117" s="4">
        <v>94250.25</v>
      </c>
      <c r="F117" s="5">
        <f>AVERAGE(Datos_originales!$H65:$J65)</f>
        <v>687.03000000000009</v>
      </c>
      <c r="G117" s="5">
        <f>AVERAGE(Datos_originales!$R65:$T65)</f>
        <v>1889.82</v>
      </c>
      <c r="H117" s="4">
        <v>579.24</v>
      </c>
      <c r="I117" s="4">
        <v>863.01</v>
      </c>
      <c r="J117" s="4">
        <v>905.85</v>
      </c>
      <c r="K117" s="4">
        <v>707.67</v>
      </c>
      <c r="L117" s="4">
        <v>554.49</v>
      </c>
      <c r="M117" s="4">
        <v>250.2</v>
      </c>
      <c r="N117" s="4">
        <v>811.62</v>
      </c>
      <c r="O117" s="4">
        <v>796.58999999999992</v>
      </c>
      <c r="P117" s="4">
        <v>1015.02</v>
      </c>
      <c r="Q117" s="4">
        <v>650.16</v>
      </c>
      <c r="R117" s="4">
        <v>377.46</v>
      </c>
      <c r="S117" s="4">
        <v>2315.4299999999998</v>
      </c>
      <c r="T117" s="4">
        <v>2373.0300000000002</v>
      </c>
      <c r="U117" s="4">
        <v>623.42999999999995</v>
      </c>
      <c r="V117" s="4">
        <v>882.72</v>
      </c>
      <c r="W117" s="4">
        <v>1000.98</v>
      </c>
      <c r="X117" s="4">
        <v>715.68000000000006</v>
      </c>
      <c r="Y117" s="4">
        <v>560.52</v>
      </c>
      <c r="Z117" s="4">
        <v>254.16</v>
      </c>
      <c r="AA117" s="4">
        <v>820.71</v>
      </c>
      <c r="AB117" s="4">
        <v>821.79</v>
      </c>
      <c r="AC117" s="4">
        <v>1023.57</v>
      </c>
      <c r="AD117" s="4">
        <v>660.96</v>
      </c>
      <c r="AE117" s="4">
        <v>383.13</v>
      </c>
      <c r="AF117" s="4">
        <v>2332.62</v>
      </c>
      <c r="AG117" s="4">
        <v>2453.94</v>
      </c>
      <c r="AH117" s="6">
        <f>Datos_originales!$H65/Datos_originales!$E65</f>
        <v>4.7565680973215198E-3</v>
      </c>
      <c r="AI117" s="6">
        <f>Datos_originales!$I65/Datos_originales!$E65</f>
        <v>4.9080931198123724E-3</v>
      </c>
      <c r="AJ117" s="6">
        <f>Datos_originales!$J65/Datos_originales!$E65</f>
        <v>7.0989839039433842E-3</v>
      </c>
      <c r="AK117" s="6">
        <f>Datos_originales!$K65/Datos_originales!$E65</f>
        <v>4.9417653470325614E-3</v>
      </c>
      <c r="AL117" s="6">
        <f>Datos_originales!$L65/Datos_originales!$E65</f>
        <v>5.6415620692608429E-3</v>
      </c>
      <c r="AM117" s="6">
        <f>Datos_originales!$M65/Datos_originales!$E65</f>
        <v>4.4776742153456051E-3</v>
      </c>
      <c r="AN117" s="6">
        <f>Datos_originales!$N65/Datos_originales!$E65</f>
        <v>5.2433513821351268E-3</v>
      </c>
      <c r="AO117" s="6">
        <f>Datos_originales!$O65/Datos_originales!$E65</f>
        <v>5.2609195006847898E-3</v>
      </c>
      <c r="AP117" s="6">
        <f>Datos_originales!$P65/Datos_originales!$E65</f>
        <v>6.4087032459295033E-3</v>
      </c>
      <c r="AQ117" s="6">
        <f>Datos_originales!$Q65/Datos_originales!$E65</f>
        <v>7.7651083989514749E-3</v>
      </c>
      <c r="AR117" s="6">
        <f>Datos_originales!$R65/Datos_originales!$E65</f>
        <v>6.5250920313210271E-3</v>
      </c>
      <c r="AS117" s="6">
        <f>Datos_originales!$S65/Datos_originales!$E65</f>
        <v>3.0366492913094175E-2</v>
      </c>
      <c r="AT117" s="6">
        <f>Datos_originales!$T65/Datos_originales!$E65</f>
        <v>9.2203342188153098E-3</v>
      </c>
      <c r="AU117" s="6">
        <f>Datos_originales!$U65/Datos_originales!$E65</f>
        <v>5.9658402574900571E-3</v>
      </c>
      <c r="AV117" s="6">
        <f>Datos_originales!$V65/Datos_originales!$E65</f>
        <v>6.0192766180786183E-3</v>
      </c>
      <c r="AW117" s="6">
        <f>Datos_originales!$W65/Datos_originales!$E65</f>
        <v>8.4773492051524353E-3</v>
      </c>
      <c r="AX117" s="6">
        <f>Datos_originales!$X65/Datos_originales!$E65</f>
        <v>5.7930870917516945E-3</v>
      </c>
      <c r="AY117" s="6">
        <f>Datos_originales!$Y65/Datos_originales!$E65</f>
        <v>6.3230586679998918E-3</v>
      </c>
      <c r="AZ117" s="6">
        <f>Datos_originales!$Z65/Datos_originales!$E65</f>
        <v>4.9044330951145253E-3</v>
      </c>
      <c r="BA117" s="6">
        <f>Datos_originales!$AA65/Datos_originales!$E65</f>
        <v>5.8714116202856137E-3</v>
      </c>
      <c r="BB117" s="6">
        <f>Datos_originales!$AB65/Datos_originales!$E65</f>
        <v>6.3274506976373074E-3</v>
      </c>
      <c r="BC117" s="6">
        <f>Datos_originales!$AC65/Datos_originales!$E65</f>
        <v>6.8654743282207664E-3</v>
      </c>
      <c r="BD117" s="6">
        <f>Datos_originales!$AD65/Datos_originales!$E65</f>
        <v>8.7708831859197398E-3</v>
      </c>
      <c r="BE117" s="6">
        <f>Datos_originales!$AE65/Datos_originales!$E65</f>
        <v>6.6187886635859011E-3</v>
      </c>
      <c r="BF117" s="6">
        <f>Datos_originales!$AF65/Datos_originales!$E65</f>
        <v>3.10963018378448E-2</v>
      </c>
      <c r="BG117" s="6">
        <f>Datos_originales!$AG65/Datos_originales!$E65</f>
        <v>1.3493779056021069E-2</v>
      </c>
    </row>
    <row r="118" spans="1:59" ht="15.75" customHeight="1">
      <c r="A118" s="2">
        <v>30101</v>
      </c>
      <c r="B118" s="3" t="s">
        <v>132</v>
      </c>
      <c r="C118" s="4" t="s">
        <v>132</v>
      </c>
      <c r="D118" s="4">
        <f>IF(Table_1[[#This Row],[Forest cover 2011]]&lt;1000,"Bosque menor a 1000 ha",Table_1[[#This Row],[Forest cover 2011]])</f>
        <v>1554.48</v>
      </c>
      <c r="E118" s="4">
        <v>1554.48</v>
      </c>
      <c r="F118" s="5">
        <f>AVERAGE(Datos_originales!$H150:$J150)</f>
        <v>0.72000000000000008</v>
      </c>
      <c r="G118" s="5">
        <f>AVERAGE(Datos_originales!$R150:$T150)</f>
        <v>47.610000000000007</v>
      </c>
      <c r="H118" s="4">
        <v>5.85</v>
      </c>
      <c r="I118" s="4">
        <v>5.4899999999999993</v>
      </c>
      <c r="J118" s="4">
        <v>3.69</v>
      </c>
      <c r="K118" s="4">
        <v>15.39</v>
      </c>
      <c r="L118" s="4">
        <v>18.989999999999998</v>
      </c>
      <c r="M118" s="4">
        <v>17.82</v>
      </c>
      <c r="N118" s="4">
        <v>172.8</v>
      </c>
      <c r="O118" s="4">
        <v>43.74</v>
      </c>
      <c r="P118" s="4">
        <v>30.51</v>
      </c>
      <c r="Q118" s="4">
        <v>41.94</v>
      </c>
      <c r="R118" s="4">
        <v>75.69</v>
      </c>
      <c r="S118" s="4">
        <v>88.02000000000001</v>
      </c>
      <c r="T118" s="4">
        <v>6.48</v>
      </c>
      <c r="U118" s="4">
        <v>11.07</v>
      </c>
      <c r="V118" s="4">
        <v>15.75</v>
      </c>
      <c r="W118" s="4">
        <v>10.26</v>
      </c>
      <c r="X118" s="4">
        <v>20.7</v>
      </c>
      <c r="Y118" s="4">
        <v>25.11</v>
      </c>
      <c r="Z118" s="4">
        <v>28.89</v>
      </c>
      <c r="AA118" s="4">
        <v>190.98</v>
      </c>
      <c r="AB118" s="4">
        <v>104.31</v>
      </c>
      <c r="AC118" s="4">
        <v>109.53</v>
      </c>
      <c r="AD118" s="4">
        <v>42.75</v>
      </c>
      <c r="AE118" s="4">
        <v>76.319999999999993</v>
      </c>
      <c r="AF118" s="4">
        <v>99.990000000000009</v>
      </c>
      <c r="AG118" s="4">
        <v>7.3800000000000008</v>
      </c>
      <c r="AH118" s="6">
        <f>Datos_originales!$H150/Datos_originales!$E150</f>
        <v>7.1295528879145164E-5</v>
      </c>
      <c r="AI118" s="6">
        <f>Datos_originales!$I150/Datos_originales!$E150</f>
        <v>6.2383587769252027E-5</v>
      </c>
      <c r="AJ118" s="6">
        <f>Datos_originales!$J150/Datos_originales!$E150</f>
        <v>8.0207469989038328E-5</v>
      </c>
      <c r="AK118" s="6">
        <f>Datos_originales!$K150/Datos_originales!$E150</f>
        <v>2.6735823329679442E-5</v>
      </c>
      <c r="AL118" s="6">
        <f>Datos_originales!$L150/Datos_originales!$E150</f>
        <v>7.1295528879145164E-5</v>
      </c>
      <c r="AM118" s="6">
        <f>Datos_originales!$M150/Datos_originales!$E150</f>
        <v>3.6538958550561901E-4</v>
      </c>
      <c r="AN118" s="6">
        <f>Datos_originales!$N150/Datos_originales!$E150</f>
        <v>2.2279852774732866E-4</v>
      </c>
      <c r="AO118" s="6">
        <f>Datos_originales!$O150/Datos_originales!$E150</f>
        <v>2.6735823329679442E-5</v>
      </c>
      <c r="AP118" s="6">
        <f>Datos_originales!$P150/Datos_originales!$E150</f>
        <v>1.6041493997807666E-4</v>
      </c>
      <c r="AQ118" s="6">
        <f>Datos_originales!$Q150/Datos_originales!$E150</f>
        <v>4.6342093771444356E-4</v>
      </c>
      <c r="AR118" s="6">
        <f>Datos_originales!$R150/Datos_originales!$E150</f>
        <v>1.8002121041984156E-3</v>
      </c>
      <c r="AS118" s="6">
        <f>Datos_originales!$S150/Datos_originales!$E150</f>
        <v>1.0845832330739959E-2</v>
      </c>
      <c r="AT118" s="6">
        <f>Datos_originales!$T150/Datos_originales!$E150</f>
        <v>1.4972061064620484E-3</v>
      </c>
      <c r="AU118" s="6">
        <f>Datos_originales!$U150/Datos_originales!$E150</f>
        <v>2.2725449830227522E-3</v>
      </c>
      <c r="AV118" s="6">
        <f>Datos_originales!$V150/Datos_originales!$E150</f>
        <v>1.8893315152973468E-3</v>
      </c>
      <c r="AW118" s="6">
        <f>Datos_originales!$W150/Datos_originales!$E150</f>
        <v>1.6620770169950717E-2</v>
      </c>
      <c r="AX118" s="6">
        <f>Datos_originales!$X150/Datos_originales!$E150</f>
        <v>2.0319225730556375E-3</v>
      </c>
      <c r="AY118" s="6">
        <f>Datos_originales!$Y150/Datos_originales!$E150</f>
        <v>9.6248963986845983E-4</v>
      </c>
      <c r="AZ118" s="6">
        <f>Datos_originales!$Z150/Datos_originales!$E150</f>
        <v>3.047883859583456E-3</v>
      </c>
      <c r="BA118" s="6">
        <f>Datos_originales!$AA150/Datos_originales!$E150</f>
        <v>6.1848871302658433E-3</v>
      </c>
      <c r="BB118" s="6">
        <f>Datos_originales!$AB150/Datos_originales!$E150</f>
        <v>7.3256155923321666E-3</v>
      </c>
      <c r="BC118" s="6">
        <f>Datos_originales!$AC150/Datos_originales!$E150</f>
        <v>2.9587644484845243E-3</v>
      </c>
      <c r="BD118" s="6">
        <f>Datos_originales!$AD150/Datos_originales!$E150</f>
        <v>5.5254034881337512E-4</v>
      </c>
      <c r="BE118" s="6">
        <f>Datos_originales!$AE150/Datos_originales!$E150</f>
        <v>3.1993868584516399E-3</v>
      </c>
      <c r="BF118" s="6">
        <f>Datos_originales!$AF150/Datos_originales!$E150</f>
        <v>3.1886925291197674E-2</v>
      </c>
      <c r="BG118" s="6">
        <f>Datos_originales!$AG150/Datos_originales!$E150</f>
        <v>1.7734762808687362E-3</v>
      </c>
    </row>
    <row r="119" spans="1:59" ht="15.75" customHeight="1">
      <c r="A119" s="2">
        <v>30201</v>
      </c>
      <c r="B119" s="3" t="s">
        <v>132</v>
      </c>
      <c r="C119" s="4" t="s">
        <v>279</v>
      </c>
      <c r="D119" s="4">
        <f>IF(Table_1[[#This Row],[Forest cover 2011]]&lt;1000,"Bosque menor a 1000 ha",Table_1[[#This Row],[Forest cover 2011]])</f>
        <v>64407.96</v>
      </c>
      <c r="E119" s="4">
        <v>64407.96</v>
      </c>
      <c r="F119" s="5">
        <f>AVERAGE(Datos_originales!$H224:$J224)</f>
        <v>0</v>
      </c>
      <c r="G119" s="5">
        <f>AVERAGE(Datos_originales!$R224:$T224)</f>
        <v>0</v>
      </c>
      <c r="H119" s="4">
        <v>6.57</v>
      </c>
      <c r="I119" s="4">
        <v>0.18</v>
      </c>
      <c r="J119" s="4">
        <v>0.99</v>
      </c>
      <c r="K119" s="4">
        <v>0.36</v>
      </c>
      <c r="L119" s="4">
        <v>0.63</v>
      </c>
      <c r="M119" s="4">
        <v>0.45</v>
      </c>
      <c r="N119" s="4">
        <v>0</v>
      </c>
      <c r="O119" s="4">
        <v>0.36</v>
      </c>
      <c r="P119" s="4">
        <v>0.18</v>
      </c>
      <c r="Q119" s="4">
        <v>0.09</v>
      </c>
      <c r="R119" s="4">
        <v>0.09</v>
      </c>
      <c r="S119" s="4">
        <v>23.13</v>
      </c>
      <c r="T119" s="4">
        <v>5.76</v>
      </c>
      <c r="U119" s="4">
        <v>65.61</v>
      </c>
      <c r="V119" s="4">
        <v>54.9</v>
      </c>
      <c r="W119" s="4">
        <v>726.3</v>
      </c>
      <c r="X119" s="4">
        <v>49.5</v>
      </c>
      <c r="Y119" s="4">
        <v>54.54</v>
      </c>
      <c r="Z119" s="4">
        <v>48.51</v>
      </c>
      <c r="AA119" s="4">
        <v>126.81</v>
      </c>
      <c r="AB119" s="4">
        <v>112.14</v>
      </c>
      <c r="AC119" s="4">
        <v>315.18</v>
      </c>
      <c r="AD119" s="4">
        <v>1.71</v>
      </c>
      <c r="AE119" s="4">
        <v>1.8</v>
      </c>
      <c r="AF119" s="4">
        <v>46.71</v>
      </c>
      <c r="AG119" s="4">
        <v>14.94</v>
      </c>
      <c r="AH119" s="6">
        <f>Datos_originales!$H224/Datos_originales!$E224</f>
        <v>0</v>
      </c>
      <c r="AI119" s="6">
        <f>Datos_originales!$I224/Datos_originales!$E224</f>
        <v>0</v>
      </c>
      <c r="AJ119" s="6">
        <f>Datos_originales!$J224/Datos_originales!$E224</f>
        <v>0</v>
      </c>
      <c r="AK119" s="6">
        <f>Datos_originales!$K224/Datos_originales!$E224</f>
        <v>0</v>
      </c>
      <c r="AL119" s="6">
        <f>Datos_originales!$L224/Datos_originales!$E224</f>
        <v>0</v>
      </c>
      <c r="AM119" s="6">
        <f>Datos_originales!$M224/Datos_originales!$E224</f>
        <v>0</v>
      </c>
      <c r="AN119" s="6">
        <f>Datos_originales!$N224/Datos_originales!$E224</f>
        <v>0</v>
      </c>
      <c r="AO119" s="6">
        <f>Datos_originales!$O224/Datos_originales!$E224</f>
        <v>0</v>
      </c>
      <c r="AP119" s="6">
        <f>Datos_originales!$P224/Datos_originales!$E224</f>
        <v>0</v>
      </c>
      <c r="AQ119" s="6">
        <f>Datos_originales!$Q224/Datos_originales!$E224</f>
        <v>0</v>
      </c>
      <c r="AR119" s="6">
        <f>Datos_originales!$R224/Datos_originales!$E224</f>
        <v>0</v>
      </c>
      <c r="AS119" s="6">
        <f>Datos_originales!$S224/Datos_originales!$E224</f>
        <v>0</v>
      </c>
      <c r="AT119" s="6">
        <f>Datos_originales!$T224/Datos_originales!$E224</f>
        <v>0</v>
      </c>
      <c r="AU119" s="6">
        <f>Datos_originales!$U224/Datos_originales!$E224</f>
        <v>1</v>
      </c>
      <c r="AV119" s="6">
        <f>Datos_originales!$V224/Datos_originales!$E224</f>
        <v>0</v>
      </c>
      <c r="AW119" s="6">
        <f>Datos_originales!$W224/Datos_originales!$E224</f>
        <v>0</v>
      </c>
      <c r="AX119" s="6">
        <f>Datos_originales!$X224/Datos_originales!$E224</f>
        <v>0</v>
      </c>
      <c r="AY119" s="6">
        <f>Datos_originales!$Y224/Datos_originales!$E224</f>
        <v>0</v>
      </c>
      <c r="AZ119" s="6">
        <f>Datos_originales!$Z224/Datos_originales!$E224</f>
        <v>0</v>
      </c>
      <c r="BA119" s="6">
        <f>Datos_originales!$AA224/Datos_originales!$E224</f>
        <v>0</v>
      </c>
      <c r="BB119" s="6">
        <f>Datos_originales!$AB224/Datos_originales!$E224</f>
        <v>0</v>
      </c>
      <c r="BC119" s="6">
        <f>Datos_originales!$AC224/Datos_originales!$E224</f>
        <v>0</v>
      </c>
      <c r="BD119" s="6">
        <f>Datos_originales!$AD224/Datos_originales!$E224</f>
        <v>0</v>
      </c>
      <c r="BE119" s="6">
        <f>Datos_originales!$AE224/Datos_originales!$E224</f>
        <v>0</v>
      </c>
      <c r="BF119" s="6">
        <f>Datos_originales!$AF224/Datos_originales!$E224</f>
        <v>0</v>
      </c>
      <c r="BG119" s="6">
        <f>Datos_originales!$AG224/Datos_originales!$E224</f>
        <v>0</v>
      </c>
    </row>
    <row r="120" spans="1:59" ht="15.75" customHeight="1">
      <c r="A120" s="2">
        <v>30202</v>
      </c>
      <c r="B120" s="3" t="s">
        <v>132</v>
      </c>
      <c r="C120" s="4" t="s">
        <v>248</v>
      </c>
      <c r="D120" s="4">
        <f>IF(Table_1[[#This Row],[Forest cover 2011]]&lt;1000,"Bosque menor a 1000 ha",Table_1[[#This Row],[Forest cover 2011]])</f>
        <v>73071.45</v>
      </c>
      <c r="E120" s="4">
        <v>73071.45</v>
      </c>
      <c r="F120" s="5">
        <f>AVERAGE(Datos_originales!$H191:$J191)</f>
        <v>0</v>
      </c>
      <c r="G120" s="5">
        <f>AVERAGE(Datos_originales!$R191:$T191)</f>
        <v>0</v>
      </c>
      <c r="H120" s="4">
        <v>16.47</v>
      </c>
      <c r="I120" s="4">
        <v>11.61</v>
      </c>
      <c r="J120" s="4">
        <v>31.68</v>
      </c>
      <c r="K120" s="4">
        <v>10.62</v>
      </c>
      <c r="L120" s="4">
        <v>10.53</v>
      </c>
      <c r="M120" s="4">
        <v>5.4</v>
      </c>
      <c r="N120" s="4">
        <v>12.78</v>
      </c>
      <c r="O120" s="4">
        <v>9.09</v>
      </c>
      <c r="P120" s="4">
        <v>15.21</v>
      </c>
      <c r="Q120" s="4">
        <v>2.25</v>
      </c>
      <c r="R120" s="4">
        <v>17.46</v>
      </c>
      <c r="S120" s="4">
        <v>108.54</v>
      </c>
      <c r="T120" s="4">
        <v>113.58</v>
      </c>
      <c r="U120" s="4">
        <v>106.2</v>
      </c>
      <c r="V120" s="4">
        <v>161.28</v>
      </c>
      <c r="W120" s="4">
        <v>1041.3</v>
      </c>
      <c r="X120" s="4">
        <v>98.1</v>
      </c>
      <c r="Y120" s="4">
        <v>81.36</v>
      </c>
      <c r="Z120" s="4">
        <v>81.72</v>
      </c>
      <c r="AA120" s="4">
        <v>66.87</v>
      </c>
      <c r="AB120" s="4">
        <v>218.79</v>
      </c>
      <c r="AC120" s="4">
        <v>244.26</v>
      </c>
      <c r="AD120" s="4">
        <v>3.06</v>
      </c>
      <c r="AE120" s="4">
        <v>43.83</v>
      </c>
      <c r="AF120" s="4">
        <v>282.24</v>
      </c>
      <c r="AG120" s="4">
        <v>142.74</v>
      </c>
      <c r="AH120" s="6" t="e">
        <f>Datos_originales!$H191/Datos_originales!$E191</f>
        <v>#DIV/0!</v>
      </c>
      <c r="AI120" s="6" t="e">
        <f>Datos_originales!$I191/Datos_originales!$E191</f>
        <v>#DIV/0!</v>
      </c>
      <c r="AJ120" s="6" t="e">
        <f>Datos_originales!$J191/Datos_originales!$E191</f>
        <v>#DIV/0!</v>
      </c>
      <c r="AK120" s="6" t="e">
        <f>Datos_originales!$K191/Datos_originales!$E191</f>
        <v>#DIV/0!</v>
      </c>
      <c r="AL120" s="6" t="e">
        <f>Datos_originales!$L191/Datos_originales!$E191</f>
        <v>#DIV/0!</v>
      </c>
      <c r="AM120" s="6" t="e">
        <f>Datos_originales!$M191/Datos_originales!$E191</f>
        <v>#DIV/0!</v>
      </c>
      <c r="AN120" s="6" t="e">
        <f>Datos_originales!$N191/Datos_originales!$E191</f>
        <v>#DIV/0!</v>
      </c>
      <c r="AO120" s="6" t="e">
        <f>Datos_originales!$O191/Datos_originales!$E191</f>
        <v>#DIV/0!</v>
      </c>
      <c r="AP120" s="6" t="e">
        <f>Datos_originales!$P191/Datos_originales!$E191</f>
        <v>#DIV/0!</v>
      </c>
      <c r="AQ120" s="6" t="e">
        <f>Datos_originales!$Q191/Datos_originales!$E191</f>
        <v>#DIV/0!</v>
      </c>
      <c r="AR120" s="6" t="e">
        <f>Datos_originales!$R191/Datos_originales!$E191</f>
        <v>#DIV/0!</v>
      </c>
      <c r="AS120" s="6" t="e">
        <f>Datos_originales!$S191/Datos_originales!$E191</f>
        <v>#DIV/0!</v>
      </c>
      <c r="AT120" s="6" t="e">
        <f>Datos_originales!$T191/Datos_originales!$E191</f>
        <v>#DIV/0!</v>
      </c>
      <c r="AU120" s="6" t="e">
        <f>Datos_originales!$U191/Datos_originales!$E191</f>
        <v>#DIV/0!</v>
      </c>
      <c r="AV120" s="6" t="e">
        <f>Datos_originales!$V191/Datos_originales!$E191</f>
        <v>#DIV/0!</v>
      </c>
      <c r="AW120" s="6" t="e">
        <f>Datos_originales!$W191/Datos_originales!$E191</f>
        <v>#DIV/0!</v>
      </c>
      <c r="AX120" s="6" t="e">
        <f>Datos_originales!$X191/Datos_originales!$E191</f>
        <v>#DIV/0!</v>
      </c>
      <c r="AY120" s="6" t="e">
        <f>Datos_originales!$Y191/Datos_originales!$E191</f>
        <v>#DIV/0!</v>
      </c>
      <c r="AZ120" s="6" t="e">
        <f>Datos_originales!$Z191/Datos_originales!$E191</f>
        <v>#DIV/0!</v>
      </c>
      <c r="BA120" s="6" t="e">
        <f>Datos_originales!$AA191/Datos_originales!$E191</f>
        <v>#DIV/0!</v>
      </c>
      <c r="BB120" s="6" t="e">
        <f>Datos_originales!$AB191/Datos_originales!$E191</f>
        <v>#DIV/0!</v>
      </c>
      <c r="BC120" s="6" t="e">
        <f>Datos_originales!$AC191/Datos_originales!$E191</f>
        <v>#DIV/0!</v>
      </c>
      <c r="BD120" s="6" t="e">
        <f>Datos_originales!$AD191/Datos_originales!$E191</f>
        <v>#DIV/0!</v>
      </c>
      <c r="BE120" s="6" t="e">
        <f>Datos_originales!$AE191/Datos_originales!$E191</f>
        <v>#DIV/0!</v>
      </c>
      <c r="BF120" s="6" t="e">
        <f>Datos_originales!$AF191/Datos_originales!$E191</f>
        <v>#DIV/0!</v>
      </c>
      <c r="BG120" s="6" t="e">
        <f>Datos_originales!$AG191/Datos_originales!$E191</f>
        <v>#DIV/0!</v>
      </c>
    </row>
    <row r="121" spans="1:59" ht="15.75" customHeight="1">
      <c r="A121" s="2">
        <v>30203</v>
      </c>
      <c r="B121" s="3" t="s">
        <v>132</v>
      </c>
      <c r="C121" s="4" t="s">
        <v>258</v>
      </c>
      <c r="D121" s="4">
        <f>IF(Table_1[[#This Row],[Forest cover 2011]]&lt;1000,"Bosque menor a 1000 ha",Table_1[[#This Row],[Forest cover 2011]])</f>
        <v>13046.13</v>
      </c>
      <c r="E121" s="4">
        <v>13046.13</v>
      </c>
      <c r="F121" s="5">
        <f>AVERAGE(Datos_originales!$H202:$J202)</f>
        <v>0</v>
      </c>
      <c r="G121" s="5">
        <f>AVERAGE(Datos_originales!$R202:$T202)</f>
        <v>0.48</v>
      </c>
      <c r="H121" s="4">
        <v>0.63</v>
      </c>
      <c r="I121" s="4">
        <v>0.27</v>
      </c>
      <c r="J121" s="4">
        <v>0.27</v>
      </c>
      <c r="K121" s="4">
        <v>0.18</v>
      </c>
      <c r="L121" s="4">
        <v>0.36</v>
      </c>
      <c r="M121" s="4">
        <v>0.09</v>
      </c>
      <c r="N121" s="4">
        <v>0.27</v>
      </c>
      <c r="O121" s="4">
        <v>0.63</v>
      </c>
      <c r="P121" s="4">
        <v>0.54</v>
      </c>
      <c r="Q121" s="4">
        <v>3.24</v>
      </c>
      <c r="R121" s="4">
        <v>23.85</v>
      </c>
      <c r="S121" s="4">
        <v>13.05</v>
      </c>
      <c r="T121" s="4">
        <v>16.47</v>
      </c>
      <c r="U121" s="4">
        <v>5.49</v>
      </c>
      <c r="V121" s="4">
        <v>11.07</v>
      </c>
      <c r="W121" s="4">
        <v>147.96</v>
      </c>
      <c r="X121" s="4">
        <v>6.93</v>
      </c>
      <c r="Y121" s="4">
        <v>3.51</v>
      </c>
      <c r="Z121" s="4">
        <v>4.59</v>
      </c>
      <c r="AA121" s="4">
        <v>5.31</v>
      </c>
      <c r="AB121" s="4">
        <v>4.68</v>
      </c>
      <c r="AC121" s="4">
        <v>5.13</v>
      </c>
      <c r="AD121" s="4">
        <v>3.42</v>
      </c>
      <c r="AE121" s="4">
        <v>27.63</v>
      </c>
      <c r="AF121" s="4">
        <v>39.15</v>
      </c>
      <c r="AG121" s="4">
        <v>18.09</v>
      </c>
      <c r="AH121" s="6">
        <f>Datos_originales!$H202/Datos_originales!$E202</f>
        <v>0</v>
      </c>
      <c r="AI121" s="6">
        <f>Datos_originales!$I202/Datos_originales!$E202</f>
        <v>0</v>
      </c>
      <c r="AJ121" s="6">
        <f>Datos_originales!$J202/Datos_originales!$E202</f>
        <v>0</v>
      </c>
      <c r="AK121" s="6">
        <f>Datos_originales!$K202/Datos_originales!$E202</f>
        <v>0</v>
      </c>
      <c r="AL121" s="6">
        <f>Datos_originales!$L202/Datos_originales!$E202</f>
        <v>0</v>
      </c>
      <c r="AM121" s="6">
        <f>Datos_originales!$M202/Datos_originales!$E202</f>
        <v>0</v>
      </c>
      <c r="AN121" s="6">
        <f>Datos_originales!$N202/Datos_originales!$E202</f>
        <v>0</v>
      </c>
      <c r="AO121" s="6">
        <f>Datos_originales!$O202/Datos_originales!$E202</f>
        <v>0</v>
      </c>
      <c r="AP121" s="6">
        <f>Datos_originales!$P202/Datos_originales!$E202</f>
        <v>0</v>
      </c>
      <c r="AQ121" s="6">
        <f>Datos_originales!$Q202/Datos_originales!$E202</f>
        <v>0</v>
      </c>
      <c r="AR121" s="6">
        <f>Datos_originales!$R202/Datos_originales!$E202</f>
        <v>0</v>
      </c>
      <c r="AS121" s="6">
        <f>Datos_originales!$S202/Datos_originales!$E202</f>
        <v>0</v>
      </c>
      <c r="AT121" s="6">
        <f>Datos_originales!$T202/Datos_originales!$E202</f>
        <v>0.44444444444444442</v>
      </c>
      <c r="AU121" s="6">
        <f>Datos_originales!$U202/Datos_originales!$E202</f>
        <v>0</v>
      </c>
      <c r="AV121" s="6">
        <f>Datos_originales!$V202/Datos_originales!$E202</f>
        <v>0</v>
      </c>
      <c r="AW121" s="6">
        <f>Datos_originales!$W202/Datos_originales!$E202</f>
        <v>0</v>
      </c>
      <c r="AX121" s="6">
        <f>Datos_originales!$X202/Datos_originales!$E202</f>
        <v>0</v>
      </c>
      <c r="AY121" s="6">
        <f>Datos_originales!$Y202/Datos_originales!$E202</f>
        <v>0</v>
      </c>
      <c r="AZ121" s="6">
        <f>Datos_originales!$Z202/Datos_originales!$E202</f>
        <v>0</v>
      </c>
      <c r="BA121" s="6">
        <f>Datos_originales!$AA202/Datos_originales!$E202</f>
        <v>0</v>
      </c>
      <c r="BB121" s="6">
        <f>Datos_originales!$AB202/Datos_originales!$E202</f>
        <v>0</v>
      </c>
      <c r="BC121" s="6">
        <f>Datos_originales!$AC202/Datos_originales!$E202</f>
        <v>0</v>
      </c>
      <c r="BD121" s="6">
        <f>Datos_originales!$AD202/Datos_originales!$E202</f>
        <v>0</v>
      </c>
      <c r="BE121" s="6">
        <f>Datos_originales!$AE202/Datos_originales!$E202</f>
        <v>0</v>
      </c>
      <c r="BF121" s="6">
        <f>Datos_originales!$AF202/Datos_originales!$E202</f>
        <v>2.7777777777777776E-2</v>
      </c>
      <c r="BG121" s="6">
        <f>Datos_originales!$AG202/Datos_originales!$E202</f>
        <v>0.9722222222222221</v>
      </c>
    </row>
    <row r="122" spans="1:59" ht="15.75" customHeight="1">
      <c r="A122" s="2">
        <v>30301</v>
      </c>
      <c r="B122" s="3" t="s">
        <v>132</v>
      </c>
      <c r="C122" s="4" t="s">
        <v>138</v>
      </c>
      <c r="D122" s="4">
        <f>IF(Table_1[[#This Row],[Forest cover 2011]]&lt;1000,"Bosque menor a 1000 ha",Table_1[[#This Row],[Forest cover 2011]])</f>
        <v>22230.99</v>
      </c>
      <c r="E122" s="4">
        <v>22230.99</v>
      </c>
      <c r="F122" s="5">
        <f>AVERAGE(Datos_originales!$H75:$J75)</f>
        <v>0</v>
      </c>
      <c r="G122" s="5">
        <f>AVERAGE(Datos_originales!$R75:$T75)</f>
        <v>8.6999999999999993</v>
      </c>
      <c r="H122" s="4">
        <v>14.22</v>
      </c>
      <c r="I122" s="4">
        <v>16.2</v>
      </c>
      <c r="J122" s="4">
        <v>23.85</v>
      </c>
      <c r="K122" s="4">
        <v>12.42</v>
      </c>
      <c r="L122" s="4">
        <v>14.58</v>
      </c>
      <c r="M122" s="4">
        <v>13.05</v>
      </c>
      <c r="N122" s="4">
        <v>11.16</v>
      </c>
      <c r="O122" s="4">
        <v>6.3000000000000007</v>
      </c>
      <c r="P122" s="4">
        <v>43.38</v>
      </c>
      <c r="Q122" s="4">
        <v>3.24</v>
      </c>
      <c r="R122" s="4">
        <v>9.36</v>
      </c>
      <c r="S122" s="4">
        <v>90.539999999999992</v>
      </c>
      <c r="T122" s="4">
        <v>155.88</v>
      </c>
      <c r="U122" s="4">
        <v>110.25</v>
      </c>
      <c r="V122" s="4">
        <v>71.099999999999994</v>
      </c>
      <c r="W122" s="4">
        <v>247.68</v>
      </c>
      <c r="X122" s="4">
        <v>31.77</v>
      </c>
      <c r="Y122" s="4">
        <v>31.41</v>
      </c>
      <c r="Z122" s="4">
        <v>25.83</v>
      </c>
      <c r="AA122" s="4">
        <v>23.31</v>
      </c>
      <c r="AB122" s="4">
        <v>18.899999999999999</v>
      </c>
      <c r="AC122" s="4">
        <v>58.59</v>
      </c>
      <c r="AD122" s="4">
        <v>17.190000000000001</v>
      </c>
      <c r="AE122" s="4">
        <v>16.829999999999998</v>
      </c>
      <c r="AF122" s="4">
        <v>111.15</v>
      </c>
      <c r="AG122" s="4">
        <v>461.07</v>
      </c>
      <c r="AH122" s="6">
        <f>Datos_originales!$H75/Datos_originales!$E75</f>
        <v>0</v>
      </c>
      <c r="AI122" s="6">
        <f>Datos_originales!$I75/Datos_originales!$E75</f>
        <v>0</v>
      </c>
      <c r="AJ122" s="6">
        <f>Datos_originales!$J75/Datos_originales!$E75</f>
        <v>0</v>
      </c>
      <c r="AK122" s="6">
        <f>Datos_originales!$K75/Datos_originales!$E75</f>
        <v>0</v>
      </c>
      <c r="AL122" s="6">
        <f>Datos_originales!$L75/Datos_originales!$E75</f>
        <v>0</v>
      </c>
      <c r="AM122" s="6">
        <f>Datos_originales!$M75/Datos_originales!$E75</f>
        <v>0</v>
      </c>
      <c r="AN122" s="6">
        <f>Datos_originales!$N75/Datos_originales!$E75</f>
        <v>1.9227071716977504E-4</v>
      </c>
      <c r="AO122" s="6">
        <f>Datos_originales!$O75/Datos_originales!$E75</f>
        <v>0</v>
      </c>
      <c r="AP122" s="6">
        <f>Datos_originales!$P75/Datos_originales!$E75</f>
        <v>0</v>
      </c>
      <c r="AQ122" s="6">
        <f>Datos_originales!$Q75/Datos_originales!$E75</f>
        <v>1.9227071716977505E-3</v>
      </c>
      <c r="AR122" s="6">
        <f>Datos_originales!$R75/Datos_originales!$E75</f>
        <v>6.1526629494328012E-3</v>
      </c>
      <c r="AS122" s="6">
        <f>Datos_originales!$S75/Datos_originales!$E75</f>
        <v>2.9417419726975581E-2</v>
      </c>
      <c r="AT122" s="6">
        <f>Datos_originales!$T75/Datos_originales!$E75</f>
        <v>2.0188425302826378E-2</v>
      </c>
      <c r="AU122" s="6">
        <f>Datos_originales!$U75/Datos_originales!$E75</f>
        <v>1.1536243030186503E-3</v>
      </c>
      <c r="AV122" s="6">
        <f>Datos_originales!$V75/Datos_originales!$E75</f>
        <v>1.7304364545279755E-3</v>
      </c>
      <c r="AW122" s="6">
        <f>Datos_originales!$W75/Datos_originales!$E75</f>
        <v>1.8073447413958856E-2</v>
      </c>
      <c r="AX122" s="6">
        <f>Datos_originales!$X75/Datos_originales!$E75</f>
        <v>1.1536243030186503E-3</v>
      </c>
      <c r="AY122" s="6">
        <f>Datos_originales!$Y75/Datos_originales!$E75</f>
        <v>9.6135358584887524E-4</v>
      </c>
      <c r="AZ122" s="6">
        <f>Datos_originales!$Z75/Datos_originales!$E75</f>
        <v>1.3458950201884253E-3</v>
      </c>
      <c r="BA122" s="6">
        <f>Datos_originales!$AA75/Datos_originales!$E75</f>
        <v>2.3072486060373007E-3</v>
      </c>
      <c r="BB122" s="6">
        <f>Datos_originales!$AB75/Datos_originales!$E75</f>
        <v>5.3835800807537013E-3</v>
      </c>
      <c r="BC122" s="6">
        <f>Datos_originales!$AC75/Datos_originales!$E75</f>
        <v>3.2301480484522208E-2</v>
      </c>
      <c r="BD122" s="6">
        <f>Datos_originales!$AD75/Datos_originales!$E75</f>
        <v>1.9227071716977505E-3</v>
      </c>
      <c r="BE122" s="6">
        <f>Datos_originales!$AE75/Datos_originales!$E75</f>
        <v>6.1526629494328012E-3</v>
      </c>
      <c r="BF122" s="6">
        <f>Datos_originales!$AF75/Datos_originales!$E75</f>
        <v>3.7108248413766587E-2</v>
      </c>
      <c r="BG122" s="6">
        <f>Datos_originales!$AG75/Datos_originales!$E75</f>
        <v>2.0765237454335703E-2</v>
      </c>
    </row>
    <row r="123" spans="1:59" ht="15.75" customHeight="1">
      <c r="A123" s="2">
        <v>30302</v>
      </c>
      <c r="B123" s="3" t="s">
        <v>132</v>
      </c>
      <c r="C123" s="4" t="s">
        <v>142</v>
      </c>
      <c r="D123" s="4">
        <f>IF(Table_1[[#This Row],[Forest cover 2011]]&lt;1000,"Bosque menor a 1000 ha",Table_1[[#This Row],[Forest cover 2011]])</f>
        <v>7965.4499999999989</v>
      </c>
      <c r="E123" s="4">
        <v>7965.4499999999989</v>
      </c>
      <c r="F123" s="5">
        <f>AVERAGE(Datos_originales!$H80:$J80)</f>
        <v>89.19</v>
      </c>
      <c r="G123" s="5">
        <f>AVERAGE(Datos_originales!$R80:$T80)</f>
        <v>933.75</v>
      </c>
      <c r="H123" s="4">
        <v>1.89</v>
      </c>
      <c r="I123" s="4">
        <v>2.4300000000000002</v>
      </c>
      <c r="J123" s="4">
        <v>4.59</v>
      </c>
      <c r="K123" s="4">
        <v>2.61</v>
      </c>
      <c r="L123" s="4">
        <v>1.8</v>
      </c>
      <c r="M123" s="4">
        <v>1.98</v>
      </c>
      <c r="N123" s="4">
        <v>1.26</v>
      </c>
      <c r="O123" s="4">
        <v>0.81</v>
      </c>
      <c r="P123" s="4">
        <v>9.09</v>
      </c>
      <c r="Q123" s="4">
        <v>0.36</v>
      </c>
      <c r="R123" s="4">
        <v>1.08</v>
      </c>
      <c r="S123" s="4">
        <v>17.55</v>
      </c>
      <c r="T123" s="4">
        <v>66.42</v>
      </c>
      <c r="U123" s="4">
        <v>51.75</v>
      </c>
      <c r="V123" s="4">
        <v>18.63</v>
      </c>
      <c r="W123" s="4">
        <v>98.46</v>
      </c>
      <c r="X123" s="4">
        <v>15.93</v>
      </c>
      <c r="Y123" s="4">
        <v>11.7</v>
      </c>
      <c r="Z123" s="4">
        <v>7.1099999999999994</v>
      </c>
      <c r="AA123" s="4">
        <v>4.68</v>
      </c>
      <c r="AB123" s="4">
        <v>7.1099999999999994</v>
      </c>
      <c r="AC123" s="4">
        <v>23.49</v>
      </c>
      <c r="AD123" s="4">
        <v>5.85</v>
      </c>
      <c r="AE123" s="4">
        <v>3.15</v>
      </c>
      <c r="AF123" s="4">
        <v>22.5</v>
      </c>
      <c r="AG123" s="4">
        <v>153.36000000000001</v>
      </c>
      <c r="AH123" s="6">
        <f>Datos_originales!$H80/Datos_originales!$E80</f>
        <v>3.6827233404309451E-4</v>
      </c>
      <c r="AI123" s="6">
        <f>Datos_originales!$I80/Datos_originales!$E80</f>
        <v>4.893128913859298E-4</v>
      </c>
      <c r="AJ123" s="6">
        <f>Datos_originales!$J80/Datos_originales!$E80</f>
        <v>6.737065915082065E-4</v>
      </c>
      <c r="AK123" s="6">
        <f>Datos_originales!$K80/Datos_originales!$E80</f>
        <v>5.5009070315807684E-4</v>
      </c>
      <c r="AL123" s="6">
        <f>Datos_originales!$L80/Datos_originales!$E80</f>
        <v>7.0409549739428002E-4</v>
      </c>
      <c r="AM123" s="6">
        <f>Datos_originales!$M80/Datos_originales!$E80</f>
        <v>5.433948425391115E-4</v>
      </c>
      <c r="AN123" s="6">
        <f>Datos_originales!$N80/Datos_originales!$E80</f>
        <v>5.8975080067041018E-4</v>
      </c>
      <c r="AO123" s="6">
        <f>Datos_originales!$O80/Datos_originales!$E80</f>
        <v>6.4692314903234515E-4</v>
      </c>
      <c r="AP123" s="6">
        <f>Datos_originales!$P80/Datos_originales!$E80</f>
        <v>9.4926700928870387E-4</v>
      </c>
      <c r="AQ123" s="6">
        <f>Datos_originales!$Q80/Datos_originales!$E80</f>
        <v>8.5037429860860018E-4</v>
      </c>
      <c r="AR123" s="6">
        <f>Datos_originales!$R80/Datos_originales!$E80</f>
        <v>1.0981211415103183E-3</v>
      </c>
      <c r="AS123" s="6">
        <f>Datos_originales!$S80/Datos_originales!$E80</f>
        <v>3.6667562881857207E-3</v>
      </c>
      <c r="AT123" s="6">
        <f>Datos_originales!$T80/Datos_originales!$E80</f>
        <v>1.12665580907114E-2</v>
      </c>
      <c r="AU123" s="6">
        <f>Datos_originales!$U80/Datos_originales!$E80</f>
        <v>1.722896443879932E-3</v>
      </c>
      <c r="AV123" s="6">
        <f>Datos_originales!$V80/Datos_originales!$E80</f>
        <v>1.7167156494624254E-3</v>
      </c>
      <c r="AW123" s="6">
        <f>Datos_originales!$W80/Datos_originales!$E80</f>
        <v>3.5596225182822749E-3</v>
      </c>
      <c r="AX123" s="6">
        <f>Datos_originales!$X80/Datos_originales!$E80</f>
        <v>8.9260972712822779E-4</v>
      </c>
      <c r="AY123" s="6">
        <f>Datos_originales!$Y80/Datos_originales!$E80</f>
        <v>1.1290251135978506E-3</v>
      </c>
      <c r="AZ123" s="6">
        <f>Datos_originales!$Z80/Datos_originales!$E80</f>
        <v>8.6788654945820182E-4</v>
      </c>
      <c r="BA123" s="6">
        <f>Datos_originales!$AA80/Datos_originales!$E80</f>
        <v>9.2969449363326654E-4</v>
      </c>
      <c r="BB123" s="6">
        <f>Datos_originales!$AB80/Datos_originales!$E80</f>
        <v>8.9621519053843985E-4</v>
      </c>
      <c r="BC123" s="6">
        <f>Datos_originales!$AC80/Datos_originales!$E80</f>
        <v>1.2768491134165475E-3</v>
      </c>
      <c r="BD123" s="6">
        <f>Datos_originales!$AD80/Datos_originales!$E80</f>
        <v>1.2011343818020929E-3</v>
      </c>
      <c r="BE123" s="6">
        <f>Datos_originales!$AE80/Datos_originales!$E80</f>
        <v>1.2114357058312705E-3</v>
      </c>
      <c r="BF123" s="6">
        <f>Datos_originales!$AF80/Datos_originales!$E80</f>
        <v>4.3641559249610346E-3</v>
      </c>
      <c r="BG123" s="6">
        <f>Datos_originales!$AG80/Datos_originales!$E80</f>
        <v>2.5239274003887719E-2</v>
      </c>
    </row>
    <row r="124" spans="1:59" ht="15.75" customHeight="1">
      <c r="A124" s="2">
        <v>30303</v>
      </c>
      <c r="B124" s="3" t="s">
        <v>132</v>
      </c>
      <c r="C124" s="4" t="s">
        <v>217</v>
      </c>
      <c r="D124" s="4">
        <f>IF(Table_1[[#This Row],[Forest cover 2011]]&lt;1000,"Bosque menor a 1000 ha",Table_1[[#This Row],[Forest cover 2011]])</f>
        <v>527519.88</v>
      </c>
      <c r="E124" s="4">
        <v>527519.88</v>
      </c>
      <c r="F124" s="5">
        <f>AVERAGE(Datos_originales!$H159:$J159)</f>
        <v>0</v>
      </c>
      <c r="G124" s="5">
        <f>AVERAGE(Datos_originales!$R159:$T159)</f>
        <v>0.03</v>
      </c>
      <c r="H124" s="4">
        <v>151.38</v>
      </c>
      <c r="I124" s="4">
        <v>184.23</v>
      </c>
      <c r="J124" s="4">
        <v>290.33999999999997</v>
      </c>
      <c r="K124" s="4">
        <v>226.26</v>
      </c>
      <c r="L124" s="4">
        <v>354.33</v>
      </c>
      <c r="M124" s="4">
        <v>319.77</v>
      </c>
      <c r="N124" s="4">
        <v>241.74</v>
      </c>
      <c r="O124" s="4">
        <v>346.41</v>
      </c>
      <c r="P124" s="4">
        <v>689.94</v>
      </c>
      <c r="Q124" s="4">
        <v>421.2</v>
      </c>
      <c r="R124" s="4">
        <v>473.22</v>
      </c>
      <c r="S124" s="4">
        <v>1855.89</v>
      </c>
      <c r="T124" s="4">
        <v>1408.95</v>
      </c>
      <c r="U124" s="4">
        <v>661.86</v>
      </c>
      <c r="V124" s="4">
        <v>600.66</v>
      </c>
      <c r="W124" s="4">
        <v>970.38</v>
      </c>
      <c r="X124" s="4">
        <v>563.30999999999995</v>
      </c>
      <c r="Y124" s="4">
        <v>638.73</v>
      </c>
      <c r="Z124" s="4">
        <v>506.25000000000011</v>
      </c>
      <c r="AA124" s="4">
        <v>492.57000000000011</v>
      </c>
      <c r="AB124" s="4">
        <v>559.98</v>
      </c>
      <c r="AC124" s="4">
        <v>1095.8399999999999</v>
      </c>
      <c r="AD124" s="4">
        <v>565.91999999999996</v>
      </c>
      <c r="AE124" s="4">
        <v>609.57000000000005</v>
      </c>
      <c r="AF124" s="4">
        <v>2108.0700000000002</v>
      </c>
      <c r="AG124" s="4">
        <v>2199.33</v>
      </c>
      <c r="AH124" s="6">
        <f>Datos_originales!$H159/Datos_originales!$E159</f>
        <v>0</v>
      </c>
      <c r="AI124" s="6">
        <f>Datos_originales!$I159/Datos_originales!$E159</f>
        <v>0</v>
      </c>
      <c r="AJ124" s="6">
        <f>Datos_originales!$J159/Datos_originales!$E159</f>
        <v>0</v>
      </c>
      <c r="AK124" s="6">
        <f>Datos_originales!$K159/Datos_originales!$E159</f>
        <v>0</v>
      </c>
      <c r="AL124" s="6">
        <f>Datos_originales!$L159/Datos_originales!$E159</f>
        <v>0</v>
      </c>
      <c r="AM124" s="6">
        <f>Datos_originales!$M159/Datos_originales!$E159</f>
        <v>0</v>
      </c>
      <c r="AN124" s="6">
        <f>Datos_originales!$N159/Datos_originales!$E159</f>
        <v>0</v>
      </c>
      <c r="AO124" s="6">
        <f>Datos_originales!$O159/Datos_originales!$E159</f>
        <v>0</v>
      </c>
      <c r="AP124" s="6">
        <f>Datos_originales!$P159/Datos_originales!$E159</f>
        <v>0</v>
      </c>
      <c r="AQ124" s="6">
        <f>Datos_originales!$Q159/Datos_originales!$E159</f>
        <v>0</v>
      </c>
      <c r="AR124" s="6">
        <f>Datos_originales!$R159/Datos_originales!$E159</f>
        <v>0</v>
      </c>
      <c r="AS124" s="6">
        <f>Datos_originales!$S159/Datos_originales!$E159</f>
        <v>3.2258064516129031E-2</v>
      </c>
      <c r="AT124" s="6">
        <f>Datos_originales!$T159/Datos_originales!$E159</f>
        <v>0</v>
      </c>
      <c r="AU124" s="6">
        <f>Datos_originales!$U159/Datos_originales!$E159</f>
        <v>0</v>
      </c>
      <c r="AV124" s="6">
        <f>Datos_originales!$V159/Datos_originales!$E159</f>
        <v>0</v>
      </c>
      <c r="AW124" s="6">
        <f>Datos_originales!$W159/Datos_originales!$E159</f>
        <v>0</v>
      </c>
      <c r="AX124" s="6">
        <f>Datos_originales!$X159/Datos_originales!$E159</f>
        <v>0</v>
      </c>
      <c r="AY124" s="6">
        <f>Datos_originales!$Y159/Datos_originales!$E159</f>
        <v>0</v>
      </c>
      <c r="AZ124" s="6">
        <f>Datos_originales!$Z159/Datos_originales!$E159</f>
        <v>0</v>
      </c>
      <c r="BA124" s="6">
        <f>Datos_originales!$AA159/Datos_originales!$E159</f>
        <v>0</v>
      </c>
      <c r="BB124" s="6">
        <f>Datos_originales!$AB159/Datos_originales!$E159</f>
        <v>0</v>
      </c>
      <c r="BC124" s="6">
        <f>Datos_originales!$AC159/Datos_originales!$E159</f>
        <v>0</v>
      </c>
      <c r="BD124" s="6">
        <f>Datos_originales!$AD159/Datos_originales!$E159</f>
        <v>0</v>
      </c>
      <c r="BE124" s="6">
        <f>Datos_originales!$AE159/Datos_originales!$E159</f>
        <v>0</v>
      </c>
      <c r="BF124" s="6">
        <f>Datos_originales!$AF159/Datos_originales!$E159</f>
        <v>0.45161290322580644</v>
      </c>
      <c r="BG124" s="6">
        <f>Datos_originales!$AG159/Datos_originales!$E159</f>
        <v>0</v>
      </c>
    </row>
    <row r="125" spans="1:59" ht="15.75" customHeight="1">
      <c r="A125" s="2">
        <v>30401</v>
      </c>
      <c r="B125" s="3" t="s">
        <v>132</v>
      </c>
      <c r="C125" s="4" t="s">
        <v>282</v>
      </c>
      <c r="D125" s="4" t="str">
        <f>IF(Table_1[[#This Row],[Forest cover 2011]]&lt;1000,"Bosque menor a 1000 ha",Table_1[[#This Row],[Forest cover 2011]])</f>
        <v>Bosque menor a 1000 ha</v>
      </c>
      <c r="E125" s="4">
        <v>496.98</v>
      </c>
      <c r="F125" s="5">
        <f>AVERAGE(Datos_originales!$H227:$J227)</f>
        <v>0</v>
      </c>
      <c r="G125" s="5">
        <f>AVERAGE(Datos_originales!$R227:$T227)</f>
        <v>0</v>
      </c>
      <c r="H125" s="4">
        <v>0.09</v>
      </c>
      <c r="I125" s="4">
        <v>0</v>
      </c>
      <c r="J125" s="4">
        <v>0</v>
      </c>
      <c r="K125" s="4">
        <v>0.63</v>
      </c>
      <c r="L125" s="4">
        <v>0</v>
      </c>
      <c r="M125" s="4">
        <v>0.09</v>
      </c>
      <c r="N125" s="4">
        <v>0</v>
      </c>
      <c r="O125" s="4">
        <v>0</v>
      </c>
      <c r="P125" s="4">
        <v>0.18</v>
      </c>
      <c r="Q125" s="4">
        <v>0.54</v>
      </c>
      <c r="R125" s="4">
        <v>0.63</v>
      </c>
      <c r="S125" s="4">
        <v>1.26</v>
      </c>
      <c r="T125" s="4">
        <v>0.09</v>
      </c>
      <c r="U125" s="4">
        <v>0.81</v>
      </c>
      <c r="V125" s="4">
        <v>0.72</v>
      </c>
      <c r="W125" s="4">
        <v>11.52</v>
      </c>
      <c r="X125" s="4">
        <v>4.41</v>
      </c>
      <c r="Y125" s="4">
        <v>2.16</v>
      </c>
      <c r="Z125" s="4">
        <v>21.51</v>
      </c>
      <c r="AA125" s="4">
        <v>15.21</v>
      </c>
      <c r="AB125" s="4">
        <v>31.95</v>
      </c>
      <c r="AC125" s="4">
        <v>12.78</v>
      </c>
      <c r="AD125" s="4">
        <v>0.54</v>
      </c>
      <c r="AE125" s="4">
        <v>0.9</v>
      </c>
      <c r="AF125" s="4">
        <v>3.33</v>
      </c>
      <c r="AG125" s="4">
        <v>0.09</v>
      </c>
      <c r="AH125" s="6" t="e">
        <f>Datos_originales!$H227/Datos_originales!$E227</f>
        <v>#DIV/0!</v>
      </c>
      <c r="AI125" s="6" t="e">
        <f>Datos_originales!$I227/Datos_originales!$E227</f>
        <v>#DIV/0!</v>
      </c>
      <c r="AJ125" s="6" t="e">
        <f>Datos_originales!$J227/Datos_originales!$E227</f>
        <v>#DIV/0!</v>
      </c>
      <c r="AK125" s="6" t="e">
        <f>Datos_originales!$K227/Datos_originales!$E227</f>
        <v>#DIV/0!</v>
      </c>
      <c r="AL125" s="6" t="e">
        <f>Datos_originales!$L227/Datos_originales!$E227</f>
        <v>#DIV/0!</v>
      </c>
      <c r="AM125" s="6" t="e">
        <f>Datos_originales!$M227/Datos_originales!$E227</f>
        <v>#DIV/0!</v>
      </c>
      <c r="AN125" s="6" t="e">
        <f>Datos_originales!$N227/Datos_originales!$E227</f>
        <v>#DIV/0!</v>
      </c>
      <c r="AO125" s="6" t="e">
        <f>Datos_originales!$O227/Datos_originales!$E227</f>
        <v>#DIV/0!</v>
      </c>
      <c r="AP125" s="6" t="e">
        <f>Datos_originales!$P227/Datos_originales!$E227</f>
        <v>#DIV/0!</v>
      </c>
      <c r="AQ125" s="6" t="e">
        <f>Datos_originales!$Q227/Datos_originales!$E227</f>
        <v>#DIV/0!</v>
      </c>
      <c r="AR125" s="6" t="e">
        <f>Datos_originales!$R227/Datos_originales!$E227</f>
        <v>#DIV/0!</v>
      </c>
      <c r="AS125" s="6" t="e">
        <f>Datos_originales!$S227/Datos_originales!$E227</f>
        <v>#DIV/0!</v>
      </c>
      <c r="AT125" s="6" t="e">
        <f>Datos_originales!$T227/Datos_originales!$E227</f>
        <v>#DIV/0!</v>
      </c>
      <c r="AU125" s="6" t="e">
        <f>Datos_originales!$U227/Datos_originales!$E227</f>
        <v>#DIV/0!</v>
      </c>
      <c r="AV125" s="6" t="e">
        <f>Datos_originales!$V227/Datos_originales!$E227</f>
        <v>#DIV/0!</v>
      </c>
      <c r="AW125" s="6" t="e">
        <f>Datos_originales!$W227/Datos_originales!$E227</f>
        <v>#DIV/0!</v>
      </c>
      <c r="AX125" s="6" t="e">
        <f>Datos_originales!$X227/Datos_originales!$E227</f>
        <v>#DIV/0!</v>
      </c>
      <c r="AY125" s="6" t="e">
        <f>Datos_originales!$Y227/Datos_originales!$E227</f>
        <v>#DIV/0!</v>
      </c>
      <c r="AZ125" s="6" t="e">
        <f>Datos_originales!$Z227/Datos_originales!$E227</f>
        <v>#DIV/0!</v>
      </c>
      <c r="BA125" s="6" t="e">
        <f>Datos_originales!$AA227/Datos_originales!$E227</f>
        <v>#DIV/0!</v>
      </c>
      <c r="BB125" s="6" t="e">
        <f>Datos_originales!$AB227/Datos_originales!$E227</f>
        <v>#DIV/0!</v>
      </c>
      <c r="BC125" s="6" t="e">
        <f>Datos_originales!$AC227/Datos_originales!$E227</f>
        <v>#DIV/0!</v>
      </c>
      <c r="BD125" s="6" t="e">
        <f>Datos_originales!$AD227/Datos_originales!$E227</f>
        <v>#DIV/0!</v>
      </c>
      <c r="BE125" s="6" t="e">
        <f>Datos_originales!$AE227/Datos_originales!$E227</f>
        <v>#DIV/0!</v>
      </c>
      <c r="BF125" s="6" t="e">
        <f>Datos_originales!$AF227/Datos_originales!$E227</f>
        <v>#DIV/0!</v>
      </c>
      <c r="BG125" s="6" t="e">
        <f>Datos_originales!$AG227/Datos_originales!$E227</f>
        <v>#DIV/0!</v>
      </c>
    </row>
    <row r="126" spans="1:59" ht="15.75" customHeight="1">
      <c r="A126" s="2">
        <v>30402</v>
      </c>
      <c r="B126" s="3" t="s">
        <v>132</v>
      </c>
      <c r="C126" s="4" t="s">
        <v>281</v>
      </c>
      <c r="D126" s="4">
        <f>IF(Table_1[[#This Row],[Forest cover 2011]]&lt;1000,"Bosque menor a 1000 ha",Table_1[[#This Row],[Forest cover 2011]])</f>
        <v>1961.55</v>
      </c>
      <c r="E126" s="4">
        <v>1961.55</v>
      </c>
      <c r="F126" s="5">
        <f>AVERAGE(Datos_originales!$H226:$J226)</f>
        <v>0</v>
      </c>
      <c r="G126" s="5">
        <f>AVERAGE(Datos_originales!$R226:$T226)</f>
        <v>0</v>
      </c>
      <c r="H126" s="4">
        <v>0.09</v>
      </c>
      <c r="I126" s="4">
        <v>0</v>
      </c>
      <c r="J126" s="4">
        <v>0.18</v>
      </c>
      <c r="K126" s="4">
        <v>0.09</v>
      </c>
      <c r="L126" s="4">
        <v>0.09</v>
      </c>
      <c r="M126" s="4">
        <v>0.09</v>
      </c>
      <c r="N126" s="4">
        <v>0</v>
      </c>
      <c r="O126" s="4">
        <v>0</v>
      </c>
      <c r="P126" s="4">
        <v>1.08</v>
      </c>
      <c r="Q126" s="4">
        <v>0.9</v>
      </c>
      <c r="R126" s="4">
        <v>0.36</v>
      </c>
      <c r="S126" s="4">
        <v>7.02</v>
      </c>
      <c r="T126" s="4">
        <v>0</v>
      </c>
      <c r="U126" s="4">
        <v>4.9499999999999993</v>
      </c>
      <c r="V126" s="4">
        <v>3.6</v>
      </c>
      <c r="W126" s="4">
        <v>46.44</v>
      </c>
      <c r="X126" s="4">
        <v>18</v>
      </c>
      <c r="Y126" s="4">
        <v>8.01</v>
      </c>
      <c r="Z126" s="4">
        <v>22.23</v>
      </c>
      <c r="AA126" s="4">
        <v>12.6</v>
      </c>
      <c r="AB126" s="4">
        <v>55.71</v>
      </c>
      <c r="AC126" s="4">
        <v>55.44</v>
      </c>
      <c r="AD126" s="4">
        <v>1.35</v>
      </c>
      <c r="AE126" s="4">
        <v>0.63</v>
      </c>
      <c r="AF126" s="4">
        <v>13.59</v>
      </c>
      <c r="AG126" s="4">
        <v>0.36</v>
      </c>
      <c r="AH126" s="6" t="e">
        <f>Datos_originales!$H226/Datos_originales!$E226</f>
        <v>#DIV/0!</v>
      </c>
      <c r="AI126" s="6" t="e">
        <f>Datos_originales!$I226/Datos_originales!$E226</f>
        <v>#DIV/0!</v>
      </c>
      <c r="AJ126" s="6" t="e">
        <f>Datos_originales!$J226/Datos_originales!$E226</f>
        <v>#DIV/0!</v>
      </c>
      <c r="AK126" s="6" t="e">
        <f>Datos_originales!$K226/Datos_originales!$E226</f>
        <v>#DIV/0!</v>
      </c>
      <c r="AL126" s="6" t="e">
        <f>Datos_originales!$L226/Datos_originales!$E226</f>
        <v>#DIV/0!</v>
      </c>
      <c r="AM126" s="6" t="e">
        <f>Datos_originales!$M226/Datos_originales!$E226</f>
        <v>#DIV/0!</v>
      </c>
      <c r="AN126" s="6" t="e">
        <f>Datos_originales!$N226/Datos_originales!$E226</f>
        <v>#DIV/0!</v>
      </c>
      <c r="AO126" s="6" t="e">
        <f>Datos_originales!$O226/Datos_originales!$E226</f>
        <v>#DIV/0!</v>
      </c>
      <c r="AP126" s="6" t="e">
        <f>Datos_originales!$P226/Datos_originales!$E226</f>
        <v>#DIV/0!</v>
      </c>
      <c r="AQ126" s="6" t="e">
        <f>Datos_originales!$Q226/Datos_originales!$E226</f>
        <v>#DIV/0!</v>
      </c>
      <c r="AR126" s="6" t="e">
        <f>Datos_originales!$R226/Datos_originales!$E226</f>
        <v>#DIV/0!</v>
      </c>
      <c r="AS126" s="6" t="e">
        <f>Datos_originales!$S226/Datos_originales!$E226</f>
        <v>#DIV/0!</v>
      </c>
      <c r="AT126" s="6" t="e">
        <f>Datos_originales!$T226/Datos_originales!$E226</f>
        <v>#DIV/0!</v>
      </c>
      <c r="AU126" s="6" t="e">
        <f>Datos_originales!$U226/Datos_originales!$E226</f>
        <v>#DIV/0!</v>
      </c>
      <c r="AV126" s="6" t="e">
        <f>Datos_originales!$V226/Datos_originales!$E226</f>
        <v>#DIV/0!</v>
      </c>
      <c r="AW126" s="6" t="e">
        <f>Datos_originales!$W226/Datos_originales!$E226</f>
        <v>#DIV/0!</v>
      </c>
      <c r="AX126" s="6" t="e">
        <f>Datos_originales!$X226/Datos_originales!$E226</f>
        <v>#DIV/0!</v>
      </c>
      <c r="AY126" s="6" t="e">
        <f>Datos_originales!$Y226/Datos_originales!$E226</f>
        <v>#DIV/0!</v>
      </c>
      <c r="AZ126" s="6" t="e">
        <f>Datos_originales!$Z226/Datos_originales!$E226</f>
        <v>#DIV/0!</v>
      </c>
      <c r="BA126" s="6" t="e">
        <f>Datos_originales!$AA226/Datos_originales!$E226</f>
        <v>#DIV/0!</v>
      </c>
      <c r="BB126" s="6" t="e">
        <f>Datos_originales!$AB226/Datos_originales!$E226</f>
        <v>#DIV/0!</v>
      </c>
      <c r="BC126" s="6" t="e">
        <f>Datos_originales!$AC226/Datos_originales!$E226</f>
        <v>#DIV/0!</v>
      </c>
      <c r="BD126" s="6" t="e">
        <f>Datos_originales!$AD226/Datos_originales!$E226</f>
        <v>#DIV/0!</v>
      </c>
      <c r="BE126" s="6" t="e">
        <f>Datos_originales!$AE226/Datos_originales!$E226</f>
        <v>#DIV/0!</v>
      </c>
      <c r="BF126" s="6" t="e">
        <f>Datos_originales!$AF226/Datos_originales!$E226</f>
        <v>#DIV/0!</v>
      </c>
      <c r="BG126" s="6" t="e">
        <f>Datos_originales!$AG226/Datos_originales!$E226</f>
        <v>#DIV/0!</v>
      </c>
    </row>
    <row r="127" spans="1:59" ht="15.75" customHeight="1">
      <c r="A127" s="2">
        <v>30403</v>
      </c>
      <c r="B127" s="3" t="s">
        <v>132</v>
      </c>
      <c r="C127" s="4" t="s">
        <v>224</v>
      </c>
      <c r="D127" s="4" t="str">
        <f>IF(Table_1[[#This Row],[Forest cover 2011]]&lt;1000,"Bosque menor a 1000 ha",Table_1[[#This Row],[Forest cover 2011]])</f>
        <v>Bosque menor a 1000 ha</v>
      </c>
      <c r="E127" s="4">
        <v>73.44</v>
      </c>
      <c r="F127" s="5">
        <f>AVERAGE(Datos_originales!$H166:$J166)</f>
        <v>0</v>
      </c>
      <c r="G127" s="5">
        <f>AVERAGE(Datos_originales!$R166:$T166)</f>
        <v>0</v>
      </c>
      <c r="H127" s="4">
        <v>0</v>
      </c>
      <c r="I127" s="4">
        <v>0.09</v>
      </c>
      <c r="J127" s="4">
        <v>0</v>
      </c>
      <c r="K127" s="4">
        <v>0.09</v>
      </c>
      <c r="L127" s="4">
        <v>0.09</v>
      </c>
      <c r="M127" s="4">
        <v>0.18</v>
      </c>
      <c r="N127" s="4">
        <v>0.54</v>
      </c>
      <c r="O127" s="4">
        <v>0</v>
      </c>
      <c r="P127" s="4">
        <v>1.8</v>
      </c>
      <c r="Q127" s="4">
        <v>4.95</v>
      </c>
      <c r="R127" s="4">
        <v>2.97</v>
      </c>
      <c r="S127" s="4">
        <v>10.26</v>
      </c>
      <c r="T127" s="4">
        <v>0.27</v>
      </c>
      <c r="U127" s="4">
        <v>0</v>
      </c>
      <c r="V127" s="4">
        <v>0.09</v>
      </c>
      <c r="W127" s="4">
        <v>2.88</v>
      </c>
      <c r="X127" s="4">
        <v>0.45</v>
      </c>
      <c r="Y127" s="4">
        <v>0.09</v>
      </c>
      <c r="Z127" s="4">
        <v>0.36</v>
      </c>
      <c r="AA127" s="4">
        <v>1.17</v>
      </c>
      <c r="AB127" s="4">
        <v>0.54</v>
      </c>
      <c r="AC127" s="4">
        <v>1.89</v>
      </c>
      <c r="AD127" s="4">
        <v>5.04</v>
      </c>
      <c r="AE127" s="4">
        <v>2.97</v>
      </c>
      <c r="AF127" s="4">
        <v>10.62</v>
      </c>
      <c r="AG127" s="4">
        <v>0.27</v>
      </c>
      <c r="AH127" s="6" t="e">
        <f>Datos_originales!$H166/Datos_originales!$E166</f>
        <v>#DIV/0!</v>
      </c>
      <c r="AI127" s="6" t="e">
        <f>Datos_originales!$I166/Datos_originales!$E166</f>
        <v>#DIV/0!</v>
      </c>
      <c r="AJ127" s="6" t="e">
        <f>Datos_originales!$J166/Datos_originales!$E166</f>
        <v>#DIV/0!</v>
      </c>
      <c r="AK127" s="6" t="e">
        <f>Datos_originales!$K166/Datos_originales!$E166</f>
        <v>#DIV/0!</v>
      </c>
      <c r="AL127" s="6" t="e">
        <f>Datos_originales!$L166/Datos_originales!$E166</f>
        <v>#DIV/0!</v>
      </c>
      <c r="AM127" s="6" t="e">
        <f>Datos_originales!$M166/Datos_originales!$E166</f>
        <v>#DIV/0!</v>
      </c>
      <c r="AN127" s="6" t="e">
        <f>Datos_originales!$N166/Datos_originales!$E166</f>
        <v>#DIV/0!</v>
      </c>
      <c r="AO127" s="6" t="e">
        <f>Datos_originales!$O166/Datos_originales!$E166</f>
        <v>#DIV/0!</v>
      </c>
      <c r="AP127" s="6" t="e">
        <f>Datos_originales!$P166/Datos_originales!$E166</f>
        <v>#DIV/0!</v>
      </c>
      <c r="AQ127" s="6" t="e">
        <f>Datos_originales!$Q166/Datos_originales!$E166</f>
        <v>#DIV/0!</v>
      </c>
      <c r="AR127" s="6" t="e">
        <f>Datos_originales!$R166/Datos_originales!$E166</f>
        <v>#DIV/0!</v>
      </c>
      <c r="AS127" s="6" t="e">
        <f>Datos_originales!$S166/Datos_originales!$E166</f>
        <v>#DIV/0!</v>
      </c>
      <c r="AT127" s="6" t="e">
        <f>Datos_originales!$T166/Datos_originales!$E166</f>
        <v>#DIV/0!</v>
      </c>
      <c r="AU127" s="6" t="e">
        <f>Datos_originales!$U166/Datos_originales!$E166</f>
        <v>#DIV/0!</v>
      </c>
      <c r="AV127" s="6" t="e">
        <f>Datos_originales!$V166/Datos_originales!$E166</f>
        <v>#DIV/0!</v>
      </c>
      <c r="AW127" s="6" t="e">
        <f>Datos_originales!$W166/Datos_originales!$E166</f>
        <v>#DIV/0!</v>
      </c>
      <c r="AX127" s="6" t="e">
        <f>Datos_originales!$X166/Datos_originales!$E166</f>
        <v>#DIV/0!</v>
      </c>
      <c r="AY127" s="6" t="e">
        <f>Datos_originales!$Y166/Datos_originales!$E166</f>
        <v>#DIV/0!</v>
      </c>
      <c r="AZ127" s="6" t="e">
        <f>Datos_originales!$Z166/Datos_originales!$E166</f>
        <v>#DIV/0!</v>
      </c>
      <c r="BA127" s="6" t="e">
        <f>Datos_originales!$AA166/Datos_originales!$E166</f>
        <v>#DIV/0!</v>
      </c>
      <c r="BB127" s="6" t="e">
        <f>Datos_originales!$AB166/Datos_originales!$E166</f>
        <v>#DIV/0!</v>
      </c>
      <c r="BC127" s="6" t="e">
        <f>Datos_originales!$AC166/Datos_originales!$E166</f>
        <v>#DIV/0!</v>
      </c>
      <c r="BD127" s="6" t="e">
        <f>Datos_originales!$AD166/Datos_originales!$E166</f>
        <v>#DIV/0!</v>
      </c>
      <c r="BE127" s="6" t="e">
        <f>Datos_originales!$AE166/Datos_originales!$E166</f>
        <v>#DIV/0!</v>
      </c>
      <c r="BF127" s="6" t="e">
        <f>Datos_originales!$AF166/Datos_originales!$E166</f>
        <v>#DIV/0!</v>
      </c>
      <c r="BG127" s="6" t="e">
        <f>Datos_originales!$AG166/Datos_originales!$E166</f>
        <v>#DIV/0!</v>
      </c>
    </row>
    <row r="128" spans="1:59" ht="15.75" customHeight="1">
      <c r="A128" s="2">
        <v>30404</v>
      </c>
      <c r="B128" s="3" t="s">
        <v>132</v>
      </c>
      <c r="C128" s="4" t="s">
        <v>259</v>
      </c>
      <c r="D128" s="4" t="str">
        <f>IF(Table_1[[#This Row],[Forest cover 2011]]&lt;1000,"Bosque menor a 1000 ha",Table_1[[#This Row],[Forest cover 2011]])</f>
        <v>Bosque menor a 1000 ha</v>
      </c>
      <c r="E128" s="4">
        <v>130.68</v>
      </c>
      <c r="F128" s="5">
        <f>AVERAGE(Datos_originales!$H203:$J203)</f>
        <v>0</v>
      </c>
      <c r="G128" s="5">
        <f>AVERAGE(Datos_originales!$R203:$T203)</f>
        <v>0</v>
      </c>
      <c r="H128" s="4">
        <v>0</v>
      </c>
      <c r="I128" s="4">
        <v>0.09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0.81</v>
      </c>
      <c r="R128" s="4">
        <v>0.81</v>
      </c>
      <c r="S128" s="4">
        <v>1.35</v>
      </c>
      <c r="T128" s="4">
        <v>0.09</v>
      </c>
      <c r="U128" s="4">
        <v>0.81</v>
      </c>
      <c r="V128" s="4">
        <v>0.63</v>
      </c>
      <c r="W128" s="4">
        <v>1.8</v>
      </c>
      <c r="X128" s="4">
        <v>0.18</v>
      </c>
      <c r="Y128" s="4">
        <v>0.72</v>
      </c>
      <c r="Z128" s="4">
        <v>4.5</v>
      </c>
      <c r="AA128" s="4">
        <v>9.7200000000000006</v>
      </c>
      <c r="AB128" s="4">
        <v>4.59</v>
      </c>
      <c r="AC128" s="4">
        <v>0.81</v>
      </c>
      <c r="AD128" s="4">
        <v>0.99</v>
      </c>
      <c r="AE128" s="4">
        <v>0.9</v>
      </c>
      <c r="AF128" s="4">
        <v>9.6300000000000008</v>
      </c>
      <c r="AG128" s="4">
        <v>0.18</v>
      </c>
      <c r="AH128" s="6" t="e">
        <f>Datos_originales!$H203/Datos_originales!$E203</f>
        <v>#DIV/0!</v>
      </c>
      <c r="AI128" s="6" t="e">
        <f>Datos_originales!$I203/Datos_originales!$E203</f>
        <v>#DIV/0!</v>
      </c>
      <c r="AJ128" s="6" t="e">
        <f>Datos_originales!$J203/Datos_originales!$E203</f>
        <v>#DIV/0!</v>
      </c>
      <c r="AK128" s="6" t="e">
        <f>Datos_originales!$K203/Datos_originales!$E203</f>
        <v>#DIV/0!</v>
      </c>
      <c r="AL128" s="6" t="e">
        <f>Datos_originales!$L203/Datos_originales!$E203</f>
        <v>#DIV/0!</v>
      </c>
      <c r="AM128" s="6" t="e">
        <f>Datos_originales!$M203/Datos_originales!$E203</f>
        <v>#DIV/0!</v>
      </c>
      <c r="AN128" s="6" t="e">
        <f>Datos_originales!$N203/Datos_originales!$E203</f>
        <v>#DIV/0!</v>
      </c>
      <c r="AO128" s="6" t="e">
        <f>Datos_originales!$O203/Datos_originales!$E203</f>
        <v>#DIV/0!</v>
      </c>
      <c r="AP128" s="6" t="e">
        <f>Datos_originales!$P203/Datos_originales!$E203</f>
        <v>#DIV/0!</v>
      </c>
      <c r="AQ128" s="6" t="e">
        <f>Datos_originales!$Q203/Datos_originales!$E203</f>
        <v>#DIV/0!</v>
      </c>
      <c r="AR128" s="6" t="e">
        <f>Datos_originales!$R203/Datos_originales!$E203</f>
        <v>#DIV/0!</v>
      </c>
      <c r="AS128" s="6" t="e">
        <f>Datos_originales!$S203/Datos_originales!$E203</f>
        <v>#DIV/0!</v>
      </c>
      <c r="AT128" s="6" t="e">
        <f>Datos_originales!$T203/Datos_originales!$E203</f>
        <v>#DIV/0!</v>
      </c>
      <c r="AU128" s="6" t="e">
        <f>Datos_originales!$U203/Datos_originales!$E203</f>
        <v>#DIV/0!</v>
      </c>
      <c r="AV128" s="6" t="e">
        <f>Datos_originales!$V203/Datos_originales!$E203</f>
        <v>#DIV/0!</v>
      </c>
      <c r="AW128" s="6" t="e">
        <f>Datos_originales!$W203/Datos_originales!$E203</f>
        <v>#DIV/0!</v>
      </c>
      <c r="AX128" s="6" t="e">
        <f>Datos_originales!$X203/Datos_originales!$E203</f>
        <v>#DIV/0!</v>
      </c>
      <c r="AY128" s="6" t="e">
        <f>Datos_originales!$Y203/Datos_originales!$E203</f>
        <v>#DIV/0!</v>
      </c>
      <c r="AZ128" s="6" t="e">
        <f>Datos_originales!$Z203/Datos_originales!$E203</f>
        <v>#DIV/0!</v>
      </c>
      <c r="BA128" s="6" t="e">
        <f>Datos_originales!$AA203/Datos_originales!$E203</f>
        <v>#DIV/0!</v>
      </c>
      <c r="BB128" s="6" t="e">
        <f>Datos_originales!$AB203/Datos_originales!$E203</f>
        <v>#DIV/0!</v>
      </c>
      <c r="BC128" s="6" t="e">
        <f>Datos_originales!$AC203/Datos_originales!$E203</f>
        <v>#DIV/0!</v>
      </c>
      <c r="BD128" s="6" t="e">
        <f>Datos_originales!$AD203/Datos_originales!$E203</f>
        <v>#DIV/0!</v>
      </c>
      <c r="BE128" s="6" t="e">
        <f>Datos_originales!$AE203/Datos_originales!$E203</f>
        <v>#DIV/0!</v>
      </c>
      <c r="BF128" s="6" t="e">
        <f>Datos_originales!$AF203/Datos_originales!$E203</f>
        <v>#DIV/0!</v>
      </c>
      <c r="BG128" s="6" t="e">
        <f>Datos_originales!$AG203/Datos_originales!$E203</f>
        <v>#DIV/0!</v>
      </c>
    </row>
    <row r="129" spans="1:59" ht="15.75" customHeight="1">
      <c r="A129" s="2">
        <v>30501</v>
      </c>
      <c r="B129" s="3" t="s">
        <v>132</v>
      </c>
      <c r="C129" s="4" t="s">
        <v>211</v>
      </c>
      <c r="D129" s="4" t="str">
        <f>IF(Table_1[[#This Row],[Forest cover 2011]]&lt;1000,"Bosque menor a 1000 ha",Table_1[[#This Row],[Forest cover 2011]])</f>
        <v>Bosque menor a 1000 ha</v>
      </c>
      <c r="E129" s="4">
        <v>321.39</v>
      </c>
      <c r="F129" s="5">
        <f>AVERAGE(Datos_originales!$H153:$J153)</f>
        <v>1702.29</v>
      </c>
      <c r="G129" s="5">
        <f>AVERAGE(Datos_originales!$R153:$T153)</f>
        <v>1839.57</v>
      </c>
      <c r="H129" s="4">
        <v>0.09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0.09</v>
      </c>
      <c r="O129" s="4">
        <v>0.18</v>
      </c>
      <c r="P129" s="4">
        <v>0.81</v>
      </c>
      <c r="Q129" s="4">
        <v>3.78</v>
      </c>
      <c r="R129" s="4">
        <v>3.6</v>
      </c>
      <c r="S129" s="4">
        <v>19.440000000000001</v>
      </c>
      <c r="T129" s="4">
        <v>0.27</v>
      </c>
      <c r="U129" s="4">
        <v>1.62</v>
      </c>
      <c r="V129" s="4">
        <v>1.35</v>
      </c>
      <c r="W129" s="4">
        <v>7.02</v>
      </c>
      <c r="X129" s="4">
        <v>5.49</v>
      </c>
      <c r="Y129" s="4">
        <v>1.08</v>
      </c>
      <c r="Z129" s="4">
        <v>5.13</v>
      </c>
      <c r="AA129" s="4">
        <v>11.52</v>
      </c>
      <c r="AB129" s="4">
        <v>10.8</v>
      </c>
      <c r="AC129" s="4">
        <v>3.87</v>
      </c>
      <c r="AD129" s="4">
        <v>3.87</v>
      </c>
      <c r="AE129" s="4">
        <v>3.87</v>
      </c>
      <c r="AF129" s="4">
        <v>32.94</v>
      </c>
      <c r="AG129" s="4">
        <v>1.44</v>
      </c>
      <c r="AH129" s="6">
        <f>Datos_originales!$H153/Datos_originales!$E153</f>
        <v>1.1451665460666647E-2</v>
      </c>
      <c r="AI129" s="6">
        <f>Datos_originales!$I153/Datos_originales!$E153</f>
        <v>8.1018014439467097E-3</v>
      </c>
      <c r="AJ129" s="6">
        <f>Datos_originales!$J153/Datos_originales!$E153</f>
        <v>1.0221178129963598E-2</v>
      </c>
      <c r="AK129" s="6">
        <f>Datos_originales!$K153/Datos_originales!$E153</f>
        <v>6.6267908313214375E-3</v>
      </c>
      <c r="AL129" s="6">
        <f>Datos_originales!$L153/Datos_originales!$E153</f>
        <v>5.8822016960260763E-3</v>
      </c>
      <c r="AM129" s="6">
        <f>Datos_originales!$M153/Datos_originales!$E153</f>
        <v>5.7394756602259789E-3</v>
      </c>
      <c r="AN129" s="6">
        <f>Datos_originales!$N153/Datos_originales!$E153</f>
        <v>6.1262002498755084E-3</v>
      </c>
      <c r="AO129" s="6">
        <f>Datos_originales!$O153/Datos_originales!$E153</f>
        <v>5.7620389673561419E-3</v>
      </c>
      <c r="AP129" s="6">
        <f>Datos_originales!$P153/Datos_originales!$E153</f>
        <v>8.9707511324943635E-3</v>
      </c>
      <c r="AQ129" s="6">
        <f>Datos_originales!$Q153/Datos_originales!$E153</f>
        <v>1.5745515280343843E-2</v>
      </c>
      <c r="AR129" s="6">
        <f>Datos_originales!$R153/Datos_originales!$E153</f>
        <v>1.876952316385841E-3</v>
      </c>
      <c r="AS129" s="6">
        <f>Datos_originales!$S153/Datos_originales!$E153</f>
        <v>1.6922480347621852E-2</v>
      </c>
      <c r="AT129" s="6">
        <f>Datos_originales!$T153/Datos_originales!$E153</f>
        <v>1.3376368031676786E-2</v>
      </c>
      <c r="AU129" s="6">
        <f>Datos_originales!$U153/Datos_originales!$E153</f>
        <v>1.4408508150863518E-2</v>
      </c>
      <c r="AV129" s="6">
        <f>Datos_originales!$V153/Datos_originales!$E153</f>
        <v>9.4251656435343795E-3</v>
      </c>
      <c r="AW129" s="6">
        <f>Datos_originales!$W153/Datos_originales!$E153</f>
        <v>1.1544542329551268E-2</v>
      </c>
      <c r="AX129" s="6">
        <f>Datos_originales!$X153/Datos_originales!$E153</f>
        <v>7.7528572755383839E-3</v>
      </c>
      <c r="AY129" s="6">
        <f>Datos_originales!$Y153/Datos_originales!$E153</f>
        <v>6.5029550061419415E-3</v>
      </c>
      <c r="AZ129" s="6">
        <f>Datos_originales!$Z153/Datos_originales!$E153</f>
        <v>6.6892334719839807E-3</v>
      </c>
      <c r="BA129" s="6">
        <f>Datos_originales!$AA153/Datos_originales!$E153</f>
        <v>7.3278275365748578E-3</v>
      </c>
      <c r="BB129" s="6">
        <f>Datos_originales!$AB153/Datos_originales!$E153</f>
        <v>7.3126104224638189E-3</v>
      </c>
      <c r="BC129" s="6">
        <f>Datos_originales!$AC153/Datos_originales!$E153</f>
        <v>9.7693872592875541E-3</v>
      </c>
      <c r="BD129" s="6">
        <f>Datos_originales!$AD153/Datos_originales!$E153</f>
        <v>1.7815567527518051E-2</v>
      </c>
      <c r="BE129" s="6">
        <f>Datos_originales!$AE153/Datos_originales!$E153</f>
        <v>2.0270245452050613E-3</v>
      </c>
      <c r="BF129" s="6">
        <f>Datos_originales!$AF153/Datos_originales!$E153</f>
        <v>2.0467543207421335E-2</v>
      </c>
      <c r="BG129" s="6">
        <f>Datos_originales!$AG153/Datos_originales!$E153</f>
        <v>1.3677037217388019E-2</v>
      </c>
    </row>
    <row r="130" spans="1:59" ht="15.75" customHeight="1">
      <c r="A130" s="2">
        <v>30502</v>
      </c>
      <c r="B130" s="3" t="s">
        <v>132</v>
      </c>
      <c r="C130" s="4" t="s">
        <v>255</v>
      </c>
      <c r="D130" s="4" t="str">
        <f>IF(Table_1[[#This Row],[Forest cover 2011]]&lt;1000,"Bosque menor a 1000 ha",Table_1[[#This Row],[Forest cover 2011]])</f>
        <v>Bosque menor a 1000 ha</v>
      </c>
      <c r="E130" s="4">
        <v>529.38</v>
      </c>
      <c r="F130" s="5">
        <f>AVERAGE(Datos_originales!$H199:$J199)</f>
        <v>0</v>
      </c>
      <c r="G130" s="5">
        <f>AVERAGE(Datos_originales!$R199:$T199)</f>
        <v>0</v>
      </c>
      <c r="H130" s="4">
        <v>0</v>
      </c>
      <c r="I130" s="4">
        <v>0.18</v>
      </c>
      <c r="J130" s="4">
        <v>0</v>
      </c>
      <c r="K130" s="4">
        <v>0</v>
      </c>
      <c r="L130" s="4">
        <v>0.18</v>
      </c>
      <c r="M130" s="4">
        <v>0.09</v>
      </c>
      <c r="N130" s="4">
        <v>1.08</v>
      </c>
      <c r="O130" s="4">
        <v>0.63</v>
      </c>
      <c r="P130" s="4">
        <v>0</v>
      </c>
      <c r="Q130" s="4">
        <v>3.06</v>
      </c>
      <c r="R130" s="4">
        <v>15.12</v>
      </c>
      <c r="S130" s="4">
        <v>9.5399999999999991</v>
      </c>
      <c r="T130" s="4">
        <v>0.63</v>
      </c>
      <c r="U130" s="4">
        <v>1.17</v>
      </c>
      <c r="V130" s="4">
        <v>1.17</v>
      </c>
      <c r="W130" s="4">
        <v>7.38</v>
      </c>
      <c r="X130" s="4">
        <v>1.17</v>
      </c>
      <c r="Y130" s="4">
        <v>0.45</v>
      </c>
      <c r="Z130" s="4">
        <v>1.17</v>
      </c>
      <c r="AA130" s="4">
        <v>12.69</v>
      </c>
      <c r="AB130" s="4">
        <v>16.29</v>
      </c>
      <c r="AC130" s="4">
        <v>3.33</v>
      </c>
      <c r="AD130" s="4">
        <v>3.51</v>
      </c>
      <c r="AE130" s="4">
        <v>16.649999999999999</v>
      </c>
      <c r="AF130" s="4">
        <v>49.68</v>
      </c>
      <c r="AG130" s="4">
        <v>0.80999999999999994</v>
      </c>
      <c r="AH130" s="6" t="e">
        <f>Datos_originales!$H199/Datos_originales!$E199</f>
        <v>#DIV/0!</v>
      </c>
      <c r="AI130" s="6" t="e">
        <f>Datos_originales!$I199/Datos_originales!$E199</f>
        <v>#DIV/0!</v>
      </c>
      <c r="AJ130" s="6" t="e">
        <f>Datos_originales!$J199/Datos_originales!$E199</f>
        <v>#DIV/0!</v>
      </c>
      <c r="AK130" s="6" t="e">
        <f>Datos_originales!$K199/Datos_originales!$E199</f>
        <v>#DIV/0!</v>
      </c>
      <c r="AL130" s="6" t="e">
        <f>Datos_originales!$L199/Datos_originales!$E199</f>
        <v>#DIV/0!</v>
      </c>
      <c r="AM130" s="6" t="e">
        <f>Datos_originales!$M199/Datos_originales!$E199</f>
        <v>#DIV/0!</v>
      </c>
      <c r="AN130" s="6" t="e">
        <f>Datos_originales!$N199/Datos_originales!$E199</f>
        <v>#DIV/0!</v>
      </c>
      <c r="AO130" s="6" t="e">
        <f>Datos_originales!$O199/Datos_originales!$E199</f>
        <v>#DIV/0!</v>
      </c>
      <c r="AP130" s="6" t="e">
        <f>Datos_originales!$P199/Datos_originales!$E199</f>
        <v>#DIV/0!</v>
      </c>
      <c r="AQ130" s="6" t="e">
        <f>Datos_originales!$Q199/Datos_originales!$E199</f>
        <v>#DIV/0!</v>
      </c>
      <c r="AR130" s="6" t="e">
        <f>Datos_originales!$R199/Datos_originales!$E199</f>
        <v>#DIV/0!</v>
      </c>
      <c r="AS130" s="6" t="e">
        <f>Datos_originales!$S199/Datos_originales!$E199</f>
        <v>#DIV/0!</v>
      </c>
      <c r="AT130" s="6" t="e">
        <f>Datos_originales!$T199/Datos_originales!$E199</f>
        <v>#DIV/0!</v>
      </c>
      <c r="AU130" s="6" t="e">
        <f>Datos_originales!$U199/Datos_originales!$E199</f>
        <v>#DIV/0!</v>
      </c>
      <c r="AV130" s="6" t="e">
        <f>Datos_originales!$V199/Datos_originales!$E199</f>
        <v>#DIV/0!</v>
      </c>
      <c r="AW130" s="6" t="e">
        <f>Datos_originales!$W199/Datos_originales!$E199</f>
        <v>#DIV/0!</v>
      </c>
      <c r="AX130" s="6" t="e">
        <f>Datos_originales!$X199/Datos_originales!$E199</f>
        <v>#DIV/0!</v>
      </c>
      <c r="AY130" s="6" t="e">
        <f>Datos_originales!$Y199/Datos_originales!$E199</f>
        <v>#DIV/0!</v>
      </c>
      <c r="AZ130" s="6" t="e">
        <f>Datos_originales!$Z199/Datos_originales!$E199</f>
        <v>#DIV/0!</v>
      </c>
      <c r="BA130" s="6" t="e">
        <f>Datos_originales!$AA199/Datos_originales!$E199</f>
        <v>#DIV/0!</v>
      </c>
      <c r="BB130" s="6" t="e">
        <f>Datos_originales!$AB199/Datos_originales!$E199</f>
        <v>#DIV/0!</v>
      </c>
      <c r="BC130" s="6" t="e">
        <f>Datos_originales!$AC199/Datos_originales!$E199</f>
        <v>#DIV/0!</v>
      </c>
      <c r="BD130" s="6" t="e">
        <f>Datos_originales!$AD199/Datos_originales!$E199</f>
        <v>#DIV/0!</v>
      </c>
      <c r="BE130" s="6" t="e">
        <f>Datos_originales!$AE199/Datos_originales!$E199</f>
        <v>#DIV/0!</v>
      </c>
      <c r="BF130" s="6" t="e">
        <f>Datos_originales!$AF199/Datos_originales!$E199</f>
        <v>#DIV/0!</v>
      </c>
      <c r="BG130" s="6" t="e">
        <f>Datos_originales!$AG199/Datos_originales!$E199</f>
        <v>#DIV/0!</v>
      </c>
    </row>
    <row r="131" spans="1:59" ht="15.75" customHeight="1">
      <c r="A131" s="2">
        <v>30601</v>
      </c>
      <c r="B131" s="3" t="s">
        <v>132</v>
      </c>
      <c r="C131" s="4" t="s">
        <v>392</v>
      </c>
      <c r="D131" s="4" t="str">
        <f>IF(Table_1[[#This Row],[Forest cover 2011]]&lt;1000,"Bosque menor a 1000 ha",Table_1[[#This Row],[Forest cover 2011]])</f>
        <v>Bosque menor a 1000 ha</v>
      </c>
      <c r="E131" s="4">
        <v>295.92</v>
      </c>
      <c r="F131" s="5">
        <f>AVERAGE(Datos_originales!$H340:$J340)</f>
        <v>435.84</v>
      </c>
      <c r="G131" s="5">
        <f>AVERAGE(Datos_originales!$R340:$T340)</f>
        <v>269.22000000000003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0.99</v>
      </c>
      <c r="N131" s="4">
        <v>0.09</v>
      </c>
      <c r="O131" s="4">
        <v>0</v>
      </c>
      <c r="P131" s="4">
        <v>0</v>
      </c>
      <c r="Q131" s="4">
        <v>0</v>
      </c>
      <c r="R131" s="4">
        <v>0</v>
      </c>
      <c r="S131" s="4">
        <v>1.08</v>
      </c>
      <c r="T131" s="4">
        <v>0</v>
      </c>
      <c r="U131" s="4">
        <v>0.63</v>
      </c>
      <c r="V131" s="4">
        <v>0.09</v>
      </c>
      <c r="W131" s="4">
        <v>7.65</v>
      </c>
      <c r="X131" s="4">
        <v>0.27</v>
      </c>
      <c r="Y131" s="4">
        <v>2.7</v>
      </c>
      <c r="Z131" s="4">
        <v>7.83</v>
      </c>
      <c r="AA131" s="4">
        <v>6.39</v>
      </c>
      <c r="AB131" s="4">
        <v>8.4600000000000009</v>
      </c>
      <c r="AC131" s="4">
        <v>5.49</v>
      </c>
      <c r="AD131" s="4">
        <v>0</v>
      </c>
      <c r="AE131" s="4">
        <v>0</v>
      </c>
      <c r="AF131" s="4">
        <v>2.16</v>
      </c>
      <c r="AG131" s="4">
        <v>0</v>
      </c>
      <c r="AH131" s="6">
        <f>Datos_originales!$H340/Datos_originales!$E340</f>
        <v>8.2654592052978492E-4</v>
      </c>
      <c r="AI131" s="6">
        <f>Datos_originales!$I340/Datos_originales!$E340</f>
        <v>1.3469176880412687E-3</v>
      </c>
      <c r="AJ131" s="6">
        <f>Datos_originales!$J340/Datos_originales!$E340</f>
        <v>8.3607502136797286E-4</v>
      </c>
      <c r="AK131" s="6">
        <f>Datos_originales!$K340/Datos_originales!$E340</f>
        <v>7.1654695215852778E-4</v>
      </c>
      <c r="AL131" s="6">
        <f>Datos_originales!$L340/Datos_originales!$E340</f>
        <v>1.155299899447271E-3</v>
      </c>
      <c r="AM131" s="6">
        <f>Datos_originales!$M340/Datos_originales!$E340</f>
        <v>1.3117014458131823E-3</v>
      </c>
      <c r="AN131" s="6">
        <f>Datos_originales!$N340/Datos_originales!$E340</f>
        <v>4.5926122952745187E-4</v>
      </c>
      <c r="AO131" s="6">
        <f>Datos_originales!$O340/Datos_originales!$E340</f>
        <v>3.1922487807929786E-4</v>
      </c>
      <c r="AP131" s="6">
        <f>Datos_originales!$P340/Datos_originales!$E340</f>
        <v>1.1410062481899887E-3</v>
      </c>
      <c r="AQ131" s="6">
        <f>Datos_originales!$Q340/Datos_originales!$E340</f>
        <v>2.307078174671733E-3</v>
      </c>
      <c r="AR131" s="6">
        <f>Datos_originales!$R340/Datos_originales!$E340</f>
        <v>3.6127721438695363E-4</v>
      </c>
      <c r="AS131" s="6">
        <f>Datos_originales!$S340/Datos_originales!$E340</f>
        <v>7.3519084510280874E-4</v>
      </c>
      <c r="AT131" s="6">
        <f>Datos_originales!$T340/Datos_originales!$E340</f>
        <v>7.6253522142108725E-4</v>
      </c>
      <c r="AU131" s="6">
        <f>Datos_originales!$U340/Datos_originales!$E340</f>
        <v>1.244790585579819E-3</v>
      </c>
      <c r="AV131" s="6">
        <f>Datos_originales!$V340/Datos_originales!$E340</f>
        <v>1.7094378286245076E-3</v>
      </c>
      <c r="AW131" s="6">
        <f>Datos_originales!$W340/Datos_originales!$E340</f>
        <v>1.1120046369433297E-3</v>
      </c>
      <c r="AX131" s="6">
        <f>Datos_originales!$X340/Datos_originales!$E340</f>
        <v>8.6859825683744058E-4</v>
      </c>
      <c r="AY131" s="6">
        <f>Datos_originales!$Y340/Datos_originales!$E340</f>
        <v>1.2897430830121407E-3</v>
      </c>
      <c r="AZ131" s="6">
        <f>Datos_originales!$Z340/Datos_originales!$E340</f>
        <v>1.3933202660359231E-3</v>
      </c>
      <c r="BA131" s="6">
        <f>Datos_originales!$AA340/Datos_originales!$E340</f>
        <v>5.4170866721438282E-4</v>
      </c>
      <c r="BB131" s="6">
        <f>Datos_originales!$AB340/Datos_originales!$E340</f>
        <v>4.3854579292269537E-4</v>
      </c>
      <c r="BC131" s="6">
        <f>Datos_originales!$AC340/Datos_originales!$E340</f>
        <v>1.4374441460040545E-3</v>
      </c>
      <c r="BD131" s="6">
        <f>Datos_originales!$AD340/Datos_originales!$E340</f>
        <v>2.4620296404753118E-3</v>
      </c>
      <c r="BE131" s="6">
        <f>Datos_originales!$AE340/Datos_originales!$E340</f>
        <v>5.0379941822767838E-4</v>
      </c>
      <c r="BF131" s="6">
        <f>Datos_originales!$AF340/Datos_originales!$E340</f>
        <v>1.0247926488373047E-3</v>
      </c>
      <c r="BG131" s="6">
        <f>Datos_originales!$AG340/Datos_originales!$E340</f>
        <v>9.6761804380817665E-4</v>
      </c>
    </row>
    <row r="132" spans="1:59" ht="15.75" customHeight="1">
      <c r="A132" s="2">
        <v>30602</v>
      </c>
      <c r="B132" s="3" t="s">
        <v>132</v>
      </c>
      <c r="C132" s="4" t="s">
        <v>389</v>
      </c>
      <c r="D132" s="4" t="str">
        <f>IF(Table_1[[#This Row],[Forest cover 2011]]&lt;1000,"Bosque menor a 1000 ha",Table_1[[#This Row],[Forest cover 2011]])</f>
        <v>Bosque menor a 1000 ha</v>
      </c>
      <c r="E132" s="4">
        <v>82.97999999999999</v>
      </c>
      <c r="F132" s="5">
        <f>AVERAGE(Datos_originales!$H337:$J337)</f>
        <v>231.05999999999997</v>
      </c>
      <c r="G132" s="5">
        <f>AVERAGE(Datos_originales!$R337:$T337)</f>
        <v>271.02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1.08</v>
      </c>
      <c r="T132" s="4">
        <v>0</v>
      </c>
      <c r="U132" s="4">
        <v>0.36</v>
      </c>
      <c r="V132" s="4">
        <v>0.18</v>
      </c>
      <c r="W132" s="4">
        <v>1.26</v>
      </c>
      <c r="X132" s="4">
        <v>0.45</v>
      </c>
      <c r="Y132" s="4">
        <v>0.54</v>
      </c>
      <c r="Z132" s="4">
        <v>1.62</v>
      </c>
      <c r="AA132" s="4">
        <v>5.4</v>
      </c>
      <c r="AB132" s="4">
        <v>0.54</v>
      </c>
      <c r="AC132" s="4">
        <v>0.54</v>
      </c>
      <c r="AD132" s="4">
        <v>0.09</v>
      </c>
      <c r="AE132" s="4">
        <v>0.09</v>
      </c>
      <c r="AF132" s="4">
        <v>2.52</v>
      </c>
      <c r="AG132" s="4">
        <v>0</v>
      </c>
      <c r="AH132" s="6">
        <f>Datos_originales!$H337/Datos_originales!$E337</f>
        <v>2.421905484768009E-3</v>
      </c>
      <c r="AI132" s="6">
        <f>Datos_originales!$I337/Datos_originales!$E337</f>
        <v>1.6760705530209608E-3</v>
      </c>
      <c r="AJ132" s="6">
        <f>Datos_originales!$J337/Datos_originales!$E337</f>
        <v>2.2424440994249003E-3</v>
      </c>
      <c r="AK132" s="6">
        <f>Datos_originales!$K337/Datos_originales!$E337</f>
        <v>1.761685158872719E-3</v>
      </c>
      <c r="AL132" s="6">
        <f>Datos_originales!$L337/Datos_originales!$E337</f>
        <v>2.4852932217928683E-3</v>
      </c>
      <c r="AM132" s="6">
        <f>Datos_originales!$M337/Datos_originales!$E337</f>
        <v>3.7662194401134066E-3</v>
      </c>
      <c r="AN132" s="6">
        <f>Datos_originales!$N337/Datos_originales!$E337</f>
        <v>1.4282821264692373E-3</v>
      </c>
      <c r="AO132" s="6">
        <f>Datos_originales!$O337/Datos_originales!$E337</f>
        <v>9.0965518717493212E-4</v>
      </c>
      <c r="AP132" s="6">
        <f>Datos_originales!$P337/Datos_originales!$E337</f>
        <v>2.1164918427391405E-3</v>
      </c>
      <c r="AQ132" s="6">
        <f>Datos_originales!$Q337/Datos_originales!$E337</f>
        <v>5.2315463479608087E-3</v>
      </c>
      <c r="AR132" s="6">
        <f>Datos_originales!$R337/Datos_originales!$E337</f>
        <v>1.5649362088864668E-3</v>
      </c>
      <c r="AS132" s="6">
        <f>Datos_originales!$S337/Datos_originales!$E337</f>
        <v>2.0531041057142811E-3</v>
      </c>
      <c r="AT132" s="6">
        <f>Datos_originales!$T337/Datos_originales!$E337</f>
        <v>3.8189053514067961E-3</v>
      </c>
      <c r="AU132" s="6">
        <f>Datos_originales!$U337/Datos_originales!$E337</f>
        <v>1.0840949465978897E-2</v>
      </c>
      <c r="AV132" s="6">
        <f>Datos_originales!$V337/Datos_originales!$E337</f>
        <v>5.105594091275048E-3</v>
      </c>
      <c r="AW132" s="6">
        <f>Datos_originales!$W337/Datos_originales!$E337</f>
        <v>1.803751566171035E-2</v>
      </c>
      <c r="AX132" s="6">
        <f>Datos_originales!$X337/Datos_originales!$E337</f>
        <v>5.19779443603848E-3</v>
      </c>
      <c r="AY132" s="6">
        <f>Datos_originales!$Y337/Datos_originales!$E337</f>
        <v>4.6149565423553567E-3</v>
      </c>
      <c r="AZ132" s="6">
        <f>Datos_originales!$Z337/Datos_originales!$E337</f>
        <v>5.8596611966616891E-3</v>
      </c>
      <c r="BA132" s="6">
        <f>Datos_originales!$AA337/Datos_originales!$E337</f>
        <v>3.0063898131790514E-3</v>
      </c>
      <c r="BB132" s="6">
        <f>Datos_originales!$AB337/Datos_originales!$E337</f>
        <v>3.2014923284373852E-3</v>
      </c>
      <c r="BC132" s="6">
        <f>Datos_originales!$AC337/Datos_originales!$E337</f>
        <v>4.2774374231320782E-3</v>
      </c>
      <c r="BD132" s="6">
        <f>Datos_originales!$AD337/Datos_originales!$E337</f>
        <v>6.6993429079000881E-3</v>
      </c>
      <c r="BE132" s="6">
        <f>Datos_originales!$AE337/Datos_originales!$E337</f>
        <v>2.1140221906472629E-3</v>
      </c>
      <c r="BF132" s="6">
        <f>Datos_originales!$AF337/Datos_originales!$E337</f>
        <v>5.0101008770557795E-3</v>
      </c>
      <c r="BG132" s="6">
        <f>Datos_originales!$AG337/Datos_originales!$E337</f>
        <v>5.4653400793252252E-3</v>
      </c>
    </row>
    <row r="133" spans="1:59" ht="15.75" customHeight="1">
      <c r="A133" s="2">
        <v>30701</v>
      </c>
      <c r="B133" s="3" t="s">
        <v>132</v>
      </c>
      <c r="C133" s="4" t="s">
        <v>237</v>
      </c>
      <c r="D133" s="4" t="str">
        <f>IF(Table_1[[#This Row],[Forest cover 2011]]&lt;1000,"Bosque menor a 1000 ha",Table_1[[#This Row],[Forest cover 2011]])</f>
        <v>Bosque menor a 1000 ha</v>
      </c>
      <c r="E133" s="4">
        <v>571.14</v>
      </c>
      <c r="F133" s="5">
        <f>AVERAGE(Datos_originales!$H179:$J179)</f>
        <v>0</v>
      </c>
      <c r="G133" s="5">
        <f>AVERAGE(Datos_originales!$R179:$T179)</f>
        <v>0</v>
      </c>
      <c r="H133" s="4">
        <v>0.27</v>
      </c>
      <c r="I133" s="4">
        <v>0.81</v>
      </c>
      <c r="J133" s="4">
        <v>0.81</v>
      </c>
      <c r="K133" s="4">
        <v>0.81</v>
      </c>
      <c r="L133" s="4">
        <v>0.9</v>
      </c>
      <c r="M133" s="4">
        <v>0.45</v>
      </c>
      <c r="N133" s="4">
        <v>6.75</v>
      </c>
      <c r="O133" s="4">
        <v>1.08</v>
      </c>
      <c r="P133" s="4">
        <v>12.06</v>
      </c>
      <c r="Q133" s="4">
        <v>7.2</v>
      </c>
      <c r="R133" s="4">
        <v>21.78</v>
      </c>
      <c r="S133" s="4">
        <v>17.010000000000002</v>
      </c>
      <c r="T133" s="4">
        <v>1.26</v>
      </c>
      <c r="U133" s="4">
        <v>0.81</v>
      </c>
      <c r="V133" s="4">
        <v>3.96</v>
      </c>
      <c r="W133" s="4">
        <v>10.71</v>
      </c>
      <c r="X133" s="4">
        <v>2.52</v>
      </c>
      <c r="Y133" s="4">
        <v>6.48</v>
      </c>
      <c r="Z133" s="4">
        <v>8.370000000000001</v>
      </c>
      <c r="AA133" s="4">
        <v>14.4</v>
      </c>
      <c r="AB133" s="4">
        <v>22.59</v>
      </c>
      <c r="AC133" s="4">
        <v>24.84</v>
      </c>
      <c r="AD133" s="4">
        <v>7.2</v>
      </c>
      <c r="AE133" s="4">
        <v>22.32</v>
      </c>
      <c r="AF133" s="4">
        <v>19.260000000000002</v>
      </c>
      <c r="AG133" s="4">
        <v>1.53</v>
      </c>
      <c r="AH133" s="6" t="e">
        <f>Datos_originales!$H179/Datos_originales!$E179</f>
        <v>#DIV/0!</v>
      </c>
      <c r="AI133" s="6" t="e">
        <f>Datos_originales!$I179/Datos_originales!$E179</f>
        <v>#DIV/0!</v>
      </c>
      <c r="AJ133" s="6" t="e">
        <f>Datos_originales!$J179/Datos_originales!$E179</f>
        <v>#DIV/0!</v>
      </c>
      <c r="AK133" s="6" t="e">
        <f>Datos_originales!$K179/Datos_originales!$E179</f>
        <v>#DIV/0!</v>
      </c>
      <c r="AL133" s="6" t="e">
        <f>Datos_originales!$L179/Datos_originales!$E179</f>
        <v>#DIV/0!</v>
      </c>
      <c r="AM133" s="6" t="e">
        <f>Datos_originales!$M179/Datos_originales!$E179</f>
        <v>#DIV/0!</v>
      </c>
      <c r="AN133" s="6" t="e">
        <f>Datos_originales!$N179/Datos_originales!$E179</f>
        <v>#DIV/0!</v>
      </c>
      <c r="AO133" s="6" t="e">
        <f>Datos_originales!$O179/Datos_originales!$E179</f>
        <v>#DIV/0!</v>
      </c>
      <c r="AP133" s="6" t="e">
        <f>Datos_originales!$P179/Datos_originales!$E179</f>
        <v>#DIV/0!</v>
      </c>
      <c r="AQ133" s="6" t="e">
        <f>Datos_originales!$Q179/Datos_originales!$E179</f>
        <v>#DIV/0!</v>
      </c>
      <c r="AR133" s="6" t="e">
        <f>Datos_originales!$R179/Datos_originales!$E179</f>
        <v>#DIV/0!</v>
      </c>
      <c r="AS133" s="6" t="e">
        <f>Datos_originales!$S179/Datos_originales!$E179</f>
        <v>#DIV/0!</v>
      </c>
      <c r="AT133" s="6" t="e">
        <f>Datos_originales!$T179/Datos_originales!$E179</f>
        <v>#DIV/0!</v>
      </c>
      <c r="AU133" s="6" t="e">
        <f>Datos_originales!$U179/Datos_originales!$E179</f>
        <v>#DIV/0!</v>
      </c>
      <c r="AV133" s="6" t="e">
        <f>Datos_originales!$V179/Datos_originales!$E179</f>
        <v>#DIV/0!</v>
      </c>
      <c r="AW133" s="6" t="e">
        <f>Datos_originales!$W179/Datos_originales!$E179</f>
        <v>#DIV/0!</v>
      </c>
      <c r="AX133" s="6" t="e">
        <f>Datos_originales!$X179/Datos_originales!$E179</f>
        <v>#DIV/0!</v>
      </c>
      <c r="AY133" s="6" t="e">
        <f>Datos_originales!$Y179/Datos_originales!$E179</f>
        <v>#DIV/0!</v>
      </c>
      <c r="AZ133" s="6" t="e">
        <f>Datos_originales!$Z179/Datos_originales!$E179</f>
        <v>#DIV/0!</v>
      </c>
      <c r="BA133" s="6" t="e">
        <f>Datos_originales!$AA179/Datos_originales!$E179</f>
        <v>#DIV/0!</v>
      </c>
      <c r="BB133" s="6" t="e">
        <f>Datos_originales!$AB179/Datos_originales!$E179</f>
        <v>#DIV/0!</v>
      </c>
      <c r="BC133" s="6" t="e">
        <f>Datos_originales!$AC179/Datos_originales!$E179</f>
        <v>#DIV/0!</v>
      </c>
      <c r="BD133" s="6" t="e">
        <f>Datos_originales!$AD179/Datos_originales!$E179</f>
        <v>#DIV/0!</v>
      </c>
      <c r="BE133" s="6" t="e">
        <f>Datos_originales!$AE179/Datos_originales!$E179</f>
        <v>#DIV/0!</v>
      </c>
      <c r="BF133" s="6" t="e">
        <f>Datos_originales!$AF179/Datos_originales!$E179</f>
        <v>#DIV/0!</v>
      </c>
      <c r="BG133" s="6" t="e">
        <f>Datos_originales!$AG179/Datos_originales!$E179</f>
        <v>#DIV/0!</v>
      </c>
    </row>
    <row r="134" spans="1:59" ht="15.75" customHeight="1">
      <c r="A134" s="2">
        <v>30702</v>
      </c>
      <c r="B134" s="3" t="s">
        <v>132</v>
      </c>
      <c r="C134" s="4" t="s">
        <v>283</v>
      </c>
      <c r="D134" s="4">
        <f>IF(Table_1[[#This Row],[Forest cover 2011]]&lt;1000,"Bosque menor a 1000 ha",Table_1[[#This Row],[Forest cover 2011]])</f>
        <v>1261.3499999999999</v>
      </c>
      <c r="E134" s="4">
        <v>1261.3499999999999</v>
      </c>
      <c r="F134" s="5">
        <f>AVERAGE(Datos_originales!$H228:$J228)</f>
        <v>0</v>
      </c>
      <c r="G134" s="5">
        <f>AVERAGE(Datos_originales!$R228:$T228)</f>
        <v>0</v>
      </c>
      <c r="H134" s="4">
        <v>0.63</v>
      </c>
      <c r="I134" s="4">
        <v>0.09</v>
      </c>
      <c r="J134" s="4">
        <v>0.09</v>
      </c>
      <c r="K134" s="4">
        <v>0</v>
      </c>
      <c r="L134" s="4">
        <v>0.09</v>
      </c>
      <c r="M134" s="4">
        <v>0.27</v>
      </c>
      <c r="N134" s="4">
        <v>0</v>
      </c>
      <c r="O134" s="4">
        <v>0</v>
      </c>
      <c r="P134" s="4">
        <v>2.88</v>
      </c>
      <c r="Q134" s="4">
        <v>3.15</v>
      </c>
      <c r="R134" s="4">
        <v>9.5399999999999991</v>
      </c>
      <c r="S134" s="4">
        <v>4.1400000000000006</v>
      </c>
      <c r="T134" s="4">
        <v>0.09</v>
      </c>
      <c r="U134" s="4">
        <v>0.72</v>
      </c>
      <c r="V134" s="4">
        <v>1.17</v>
      </c>
      <c r="W134" s="4">
        <v>30.33</v>
      </c>
      <c r="X134" s="4">
        <v>2.4300000000000002</v>
      </c>
      <c r="Y134" s="4">
        <v>4.1399999999999997</v>
      </c>
      <c r="Z134" s="4">
        <v>6.93</v>
      </c>
      <c r="AA134" s="4">
        <v>5.76</v>
      </c>
      <c r="AB134" s="4">
        <v>7.74</v>
      </c>
      <c r="AC134" s="4">
        <v>7.65</v>
      </c>
      <c r="AD134" s="4">
        <v>3.33</v>
      </c>
      <c r="AE134" s="4">
        <v>9.9</v>
      </c>
      <c r="AF134" s="4">
        <v>6.66</v>
      </c>
      <c r="AG134" s="4">
        <v>0.18</v>
      </c>
      <c r="AH134" s="6" t="e">
        <f>Datos_originales!$H228/Datos_originales!$E228</f>
        <v>#DIV/0!</v>
      </c>
      <c r="AI134" s="6" t="e">
        <f>Datos_originales!$I228/Datos_originales!$E228</f>
        <v>#DIV/0!</v>
      </c>
      <c r="AJ134" s="6" t="e">
        <f>Datos_originales!$J228/Datos_originales!$E228</f>
        <v>#DIV/0!</v>
      </c>
      <c r="AK134" s="6" t="e">
        <f>Datos_originales!$K228/Datos_originales!$E228</f>
        <v>#DIV/0!</v>
      </c>
      <c r="AL134" s="6" t="e">
        <f>Datos_originales!$L228/Datos_originales!$E228</f>
        <v>#DIV/0!</v>
      </c>
      <c r="AM134" s="6" t="e">
        <f>Datos_originales!$M228/Datos_originales!$E228</f>
        <v>#DIV/0!</v>
      </c>
      <c r="AN134" s="6" t="e">
        <f>Datos_originales!$N228/Datos_originales!$E228</f>
        <v>#DIV/0!</v>
      </c>
      <c r="AO134" s="6" t="e">
        <f>Datos_originales!$O228/Datos_originales!$E228</f>
        <v>#DIV/0!</v>
      </c>
      <c r="AP134" s="6" t="e">
        <f>Datos_originales!$P228/Datos_originales!$E228</f>
        <v>#DIV/0!</v>
      </c>
      <c r="AQ134" s="6" t="e">
        <f>Datos_originales!$Q228/Datos_originales!$E228</f>
        <v>#DIV/0!</v>
      </c>
      <c r="AR134" s="6" t="e">
        <f>Datos_originales!$R228/Datos_originales!$E228</f>
        <v>#DIV/0!</v>
      </c>
      <c r="AS134" s="6" t="e">
        <f>Datos_originales!$S228/Datos_originales!$E228</f>
        <v>#DIV/0!</v>
      </c>
      <c r="AT134" s="6" t="e">
        <f>Datos_originales!$T228/Datos_originales!$E228</f>
        <v>#DIV/0!</v>
      </c>
      <c r="AU134" s="6" t="e">
        <f>Datos_originales!$U228/Datos_originales!$E228</f>
        <v>#DIV/0!</v>
      </c>
      <c r="AV134" s="6" t="e">
        <f>Datos_originales!$V228/Datos_originales!$E228</f>
        <v>#DIV/0!</v>
      </c>
      <c r="AW134" s="6" t="e">
        <f>Datos_originales!$W228/Datos_originales!$E228</f>
        <v>#DIV/0!</v>
      </c>
      <c r="AX134" s="6" t="e">
        <f>Datos_originales!$X228/Datos_originales!$E228</f>
        <v>#DIV/0!</v>
      </c>
      <c r="AY134" s="6" t="e">
        <f>Datos_originales!$Y228/Datos_originales!$E228</f>
        <v>#DIV/0!</v>
      </c>
      <c r="AZ134" s="6" t="e">
        <f>Datos_originales!$Z228/Datos_originales!$E228</f>
        <v>#DIV/0!</v>
      </c>
      <c r="BA134" s="6" t="e">
        <f>Datos_originales!$AA228/Datos_originales!$E228</f>
        <v>#DIV/0!</v>
      </c>
      <c r="BB134" s="6" t="e">
        <f>Datos_originales!$AB228/Datos_originales!$E228</f>
        <v>#DIV/0!</v>
      </c>
      <c r="BC134" s="6" t="e">
        <f>Datos_originales!$AC228/Datos_originales!$E228</f>
        <v>#DIV/0!</v>
      </c>
      <c r="BD134" s="6" t="e">
        <f>Datos_originales!$AD228/Datos_originales!$E228</f>
        <v>#DIV/0!</v>
      </c>
      <c r="BE134" s="6" t="e">
        <f>Datos_originales!$AE228/Datos_originales!$E228</f>
        <v>#DIV/0!</v>
      </c>
      <c r="BF134" s="6" t="e">
        <f>Datos_originales!$AF228/Datos_originales!$E228</f>
        <v>#DIV/0!</v>
      </c>
      <c r="BG134" s="6" t="e">
        <f>Datos_originales!$AG228/Datos_originales!$E228</f>
        <v>#DIV/0!</v>
      </c>
    </row>
    <row r="135" spans="1:59" ht="15.75" customHeight="1">
      <c r="A135" s="2">
        <v>30703</v>
      </c>
      <c r="B135" s="3" t="s">
        <v>132</v>
      </c>
      <c r="C135" s="4" t="s">
        <v>267</v>
      </c>
      <c r="D135" s="4" t="str">
        <f>IF(Table_1[[#This Row],[Forest cover 2011]]&lt;1000,"Bosque menor a 1000 ha",Table_1[[#This Row],[Forest cover 2011]])</f>
        <v>Bosque menor a 1000 ha</v>
      </c>
      <c r="E135" s="4">
        <v>84.42</v>
      </c>
      <c r="F135" s="5">
        <f>AVERAGE(Datos_originales!$H211:$J211)</f>
        <v>9.0000000000000011E-2</v>
      </c>
      <c r="G135" s="5">
        <f>AVERAGE(Datos_originales!$R211:$T211)</f>
        <v>0.81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0.54</v>
      </c>
      <c r="Q135" s="4">
        <v>0</v>
      </c>
      <c r="R135" s="4">
        <v>0</v>
      </c>
      <c r="S135" s="4">
        <v>1.08</v>
      </c>
      <c r="T135" s="4">
        <v>0.09</v>
      </c>
      <c r="U135" s="4">
        <v>0</v>
      </c>
      <c r="V135" s="4">
        <v>0.18</v>
      </c>
      <c r="W135" s="4">
        <v>1.62</v>
      </c>
      <c r="X135" s="4">
        <v>0</v>
      </c>
      <c r="Y135" s="4">
        <v>0</v>
      </c>
      <c r="Z135" s="4">
        <v>3.69</v>
      </c>
      <c r="AA135" s="4">
        <v>0.54</v>
      </c>
      <c r="AB135" s="4">
        <v>0.45</v>
      </c>
      <c r="AC135" s="4">
        <v>0.81</v>
      </c>
      <c r="AD135" s="4">
        <v>0.09</v>
      </c>
      <c r="AE135" s="4">
        <v>0.09</v>
      </c>
      <c r="AF135" s="4">
        <v>1.17</v>
      </c>
      <c r="AG135" s="4">
        <v>0.09</v>
      </c>
      <c r="AH135" s="6">
        <f>Datos_originales!$H211/Datos_originales!$E211</f>
        <v>0</v>
      </c>
      <c r="AI135" s="6">
        <f>Datos_originales!$I211/Datos_originales!$E211</f>
        <v>0</v>
      </c>
      <c r="AJ135" s="6">
        <f>Datos_originales!$J211/Datos_originales!$E211</f>
        <v>1.386962552011096E-3</v>
      </c>
      <c r="AK135" s="6">
        <f>Datos_originales!$K211/Datos_originales!$E211</f>
        <v>0</v>
      </c>
      <c r="AL135" s="6">
        <f>Datos_originales!$L211/Datos_originales!$E211</f>
        <v>0</v>
      </c>
      <c r="AM135" s="6">
        <f>Datos_originales!$M211/Datos_originales!$E211</f>
        <v>0</v>
      </c>
      <c r="AN135" s="6">
        <f>Datos_originales!$N211/Datos_originales!$E211</f>
        <v>9.2464170134073053E-4</v>
      </c>
      <c r="AO135" s="6">
        <f>Datos_originales!$O211/Datos_originales!$E211</f>
        <v>0</v>
      </c>
      <c r="AP135" s="6">
        <f>Datos_originales!$P211/Datos_originales!$E211</f>
        <v>0</v>
      </c>
      <c r="AQ135" s="6">
        <f>Datos_originales!$Q211/Datos_originales!$E211</f>
        <v>9.2464170134073053E-4</v>
      </c>
      <c r="AR135" s="6">
        <f>Datos_originales!$R211/Datos_originales!$E211</f>
        <v>0</v>
      </c>
      <c r="AS135" s="6">
        <f>Datos_originales!$S211/Datos_originales!$E211</f>
        <v>0</v>
      </c>
      <c r="AT135" s="6">
        <f>Datos_originales!$T211/Datos_originales!$E211</f>
        <v>1.2482662968099863E-2</v>
      </c>
      <c r="AU135" s="6">
        <f>Datos_originales!$U211/Datos_originales!$E211</f>
        <v>1.386962552011096E-3</v>
      </c>
      <c r="AV135" s="6">
        <f>Datos_originales!$V211/Datos_originales!$E211</f>
        <v>0</v>
      </c>
      <c r="AW135" s="6">
        <f>Datos_originales!$W211/Datos_originales!$E211</f>
        <v>1.9417475728155342E-2</v>
      </c>
      <c r="AX135" s="6">
        <f>Datos_originales!$X211/Datos_originales!$E211</f>
        <v>4.6232085067036526E-4</v>
      </c>
      <c r="AY135" s="6">
        <f>Datos_originales!$Y211/Datos_originales!$E211</f>
        <v>4.6232085067036526E-4</v>
      </c>
      <c r="AZ135" s="6">
        <f>Datos_originales!$Z211/Datos_originales!$E211</f>
        <v>0</v>
      </c>
      <c r="BA135" s="6">
        <f>Datos_originales!$AA211/Datos_originales!$E211</f>
        <v>9.2464170134073053E-4</v>
      </c>
      <c r="BB135" s="6">
        <f>Datos_originales!$AB211/Datos_originales!$E211</f>
        <v>4.6232085067036526E-4</v>
      </c>
      <c r="BC135" s="6">
        <f>Datos_originales!$AC211/Datos_originales!$E211</f>
        <v>4.6232085067036526E-4</v>
      </c>
      <c r="BD135" s="6">
        <f>Datos_originales!$AD211/Datos_originales!$E211</f>
        <v>2.3116042533518266E-3</v>
      </c>
      <c r="BE135" s="6">
        <f>Datos_originales!$AE211/Datos_originales!$E211</f>
        <v>0</v>
      </c>
      <c r="BF135" s="6">
        <f>Datos_originales!$AF211/Datos_originales!$E211</f>
        <v>4.6232085067036526E-4</v>
      </c>
      <c r="BG135" s="6">
        <f>Datos_originales!$AG211/Datos_originales!$E211</f>
        <v>0.19140083217753129</v>
      </c>
    </row>
    <row r="136" spans="1:59" ht="15.75" customHeight="1">
      <c r="A136" s="2">
        <v>30801</v>
      </c>
      <c r="B136" s="3" t="s">
        <v>132</v>
      </c>
      <c r="C136" s="4" t="s">
        <v>324</v>
      </c>
      <c r="D136" s="4" t="str">
        <f>IF(Table_1[[#This Row],[Forest cover 2011]]&lt;1000,"Bosque menor a 1000 ha",Table_1[[#This Row],[Forest cover 2011]])</f>
        <v>Bosque menor a 1000 ha</v>
      </c>
      <c r="E136" s="4">
        <v>0</v>
      </c>
      <c r="F136" s="5">
        <f>AVERAGE(Datos_originales!$H270:$J270)</f>
        <v>731.09999999999991</v>
      </c>
      <c r="G136" s="5">
        <f>AVERAGE(Datos_originales!$R270:$T270)</f>
        <v>8990.76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</row>
    <row r="137" spans="1:59" ht="15.75" customHeight="1">
      <c r="A137" s="2">
        <v>30802</v>
      </c>
      <c r="B137" s="3" t="s">
        <v>132</v>
      </c>
      <c r="C137" s="4" t="s">
        <v>381</v>
      </c>
      <c r="D137" s="4" t="str">
        <f>IF(Table_1[[#This Row],[Forest cover 2011]]&lt;1000,"Bosque menor a 1000 ha",Table_1[[#This Row],[Forest cover 2011]])</f>
        <v>Bosque menor a 1000 ha</v>
      </c>
      <c r="E137" s="4">
        <v>8.73</v>
      </c>
      <c r="F137" s="5">
        <f>AVERAGE(Datos_originales!$H329:$J329)</f>
        <v>97.83</v>
      </c>
      <c r="G137" s="5">
        <f>AVERAGE(Datos_originales!$R329:$T329)</f>
        <v>221.93999999999997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0.36</v>
      </c>
      <c r="X137" s="4">
        <v>0</v>
      </c>
      <c r="Y137" s="4">
        <v>0</v>
      </c>
      <c r="Z137" s="4">
        <v>0.09</v>
      </c>
      <c r="AA137" s="4">
        <v>0</v>
      </c>
      <c r="AB137" s="4">
        <v>0.27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6">
        <f>Datos_originales!$H329/Datos_originales!$E329</f>
        <v>2.2703691616873345E-4</v>
      </c>
      <c r="AI137" s="6">
        <f>Datos_originales!$I329/Datos_originales!$E329</f>
        <v>1.8694172307485131E-4</v>
      </c>
      <c r="AJ137" s="6">
        <f>Datos_originales!$J329/Datos_originales!$E329</f>
        <v>1.3771091636464159E-4</v>
      </c>
      <c r="AK137" s="6">
        <f>Datos_originales!$K329/Datos_originales!$E329</f>
        <v>1.2113146943130636E-4</v>
      </c>
      <c r="AL137" s="6">
        <f>Datos_originales!$L329/Datos_originales!$E329</f>
        <v>3.6221016208439513E-4</v>
      </c>
      <c r="AM137" s="6">
        <f>Datos_originales!$M329/Datos_originales!$E329</f>
        <v>1.9556980260138291E-4</v>
      </c>
      <c r="AN137" s="6">
        <f>Datos_originales!$N329/Datos_originales!$E329</f>
        <v>1.761143291592038E-4</v>
      </c>
      <c r="AO137" s="6">
        <f>Datos_originales!$O329/Datos_originales!$E329</f>
        <v>1.5327529511838486E-4</v>
      </c>
      <c r="AP137" s="6">
        <f>Datos_originales!$P329/Datos_originales!$E329</f>
        <v>7.6637647559192439E-4</v>
      </c>
      <c r="AQ137" s="6">
        <f>Datos_originales!$Q329/Datos_originales!$E329</f>
        <v>8.409839867919329E-4</v>
      </c>
      <c r="AR137" s="6">
        <f>Datos_originales!$R329/Datos_originales!$E329</f>
        <v>2.9470812814153029E-4</v>
      </c>
      <c r="AS137" s="6">
        <f>Datos_originales!$S329/Datos_originales!$E329</f>
        <v>7.7821893768716385E-5</v>
      </c>
      <c r="AT137" s="6">
        <f>Datos_originales!$T329/Datos_originales!$E329</f>
        <v>8.790490435266311E-4</v>
      </c>
      <c r="AU137" s="6">
        <f>Datos_originales!$U329/Datos_originales!$E329</f>
        <v>1.1427637565846204E-2</v>
      </c>
      <c r="AV137" s="6">
        <f>Datos_originales!$V329/Datos_originales!$E329</f>
        <v>3.4398968826071961E-3</v>
      </c>
      <c r="AW137" s="6">
        <f>Datos_originales!$W329/Datos_originales!$E329</f>
        <v>4.0073199949990975E-3</v>
      </c>
      <c r="AX137" s="6">
        <f>Datos_originales!$X329/Datos_originales!$E329</f>
        <v>4.2807116913691967E-3</v>
      </c>
      <c r="AY137" s="6">
        <f>Datos_originales!$Y329/Datos_originales!$E329</f>
        <v>3.985157673078007E-3</v>
      </c>
      <c r="AZ137" s="6">
        <f>Datos_originales!$Z329/Datos_originales!$E329</f>
        <v>3.4864208408384939E-3</v>
      </c>
      <c r="BA137" s="6">
        <f>Datos_originales!$AA329/Datos_originales!$E329</f>
        <v>2.5549266080329455E-3</v>
      </c>
      <c r="BB137" s="6">
        <f>Datos_originales!$AB329/Datos_originales!$E329</f>
        <v>4.1022288697909453E-3</v>
      </c>
      <c r="BC137" s="6">
        <f>Datos_originales!$AC329/Datos_originales!$E329</f>
        <v>5.8209084758700539E-3</v>
      </c>
      <c r="BD137" s="6">
        <f>Datos_originales!$AD329/Datos_originales!$E329</f>
        <v>2.1074507188628263E-3</v>
      </c>
      <c r="BE137" s="6">
        <f>Datos_originales!$AE329/Datos_originales!$E329</f>
        <v>1.4664351634505078E-3</v>
      </c>
      <c r="BF137" s="6">
        <f>Datos_originales!$AF329/Datos_originales!$E329</f>
        <v>4.7539026410889791E-4</v>
      </c>
      <c r="BG137" s="6">
        <f>Datos_originales!$AG329/Datos_originales!$E329</f>
        <v>6.4852705994129867E-3</v>
      </c>
    </row>
    <row r="138" spans="1:59" ht="15.75" customHeight="1">
      <c r="A138" s="2">
        <v>30803</v>
      </c>
      <c r="B138" s="3" t="s">
        <v>132</v>
      </c>
      <c r="C138" s="4" t="s">
        <v>391</v>
      </c>
      <c r="D138" s="4" t="str">
        <f>IF(Table_1[[#This Row],[Forest cover 2011]]&lt;1000,"Bosque menor a 1000 ha",Table_1[[#This Row],[Forest cover 2011]])</f>
        <v>Bosque menor a 1000 ha</v>
      </c>
      <c r="E138" s="4">
        <v>285.12</v>
      </c>
      <c r="F138" s="5">
        <f>AVERAGE(Datos_originales!$H339:$J339)</f>
        <v>336.57</v>
      </c>
      <c r="G138" s="5">
        <f>AVERAGE(Datos_originales!$R339:$T339)</f>
        <v>359.34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0.36</v>
      </c>
      <c r="Q138" s="4">
        <v>0.45</v>
      </c>
      <c r="R138" s="4">
        <v>0.45</v>
      </c>
      <c r="S138" s="4">
        <v>0.27</v>
      </c>
      <c r="T138" s="4">
        <v>0</v>
      </c>
      <c r="U138" s="4">
        <v>0.81</v>
      </c>
      <c r="V138" s="4">
        <v>1.35</v>
      </c>
      <c r="W138" s="4">
        <v>5.49</v>
      </c>
      <c r="X138" s="4">
        <v>7.38</v>
      </c>
      <c r="Y138" s="4">
        <v>5.58</v>
      </c>
      <c r="Z138" s="4">
        <v>17.37</v>
      </c>
      <c r="AA138" s="4">
        <v>16.649999999999999</v>
      </c>
      <c r="AB138" s="4">
        <v>9.9899999999999984</v>
      </c>
      <c r="AC138" s="4">
        <v>2.79</v>
      </c>
      <c r="AD138" s="4">
        <v>0.45</v>
      </c>
      <c r="AE138" s="4">
        <v>0.72</v>
      </c>
      <c r="AF138" s="4">
        <v>1.17</v>
      </c>
      <c r="AG138" s="4">
        <v>0</v>
      </c>
      <c r="AH138" s="6">
        <f>Datos_originales!$H339/Datos_originales!$E339</f>
        <v>4.3124616213500603E-4</v>
      </c>
      <c r="AI138" s="6">
        <f>Datos_originales!$I339/Datos_originales!$E339</f>
        <v>5.0790935825502034E-4</v>
      </c>
      <c r="AJ138" s="6">
        <f>Datos_originales!$J339/Datos_originales!$E339</f>
        <v>4.685112509200211E-4</v>
      </c>
      <c r="AK138" s="6">
        <f>Datos_originales!$K339/Datos_originales!$E339</f>
        <v>3.4981504219738047E-4</v>
      </c>
      <c r="AL138" s="6">
        <f>Datos_originales!$L339/Datos_originales!$E339</f>
        <v>1.0257309791834957E-3</v>
      </c>
      <c r="AM138" s="6">
        <f>Datos_originales!$M339/Datos_originales!$E339</f>
        <v>1.1464347347767093E-3</v>
      </c>
      <c r="AN138" s="6">
        <f>Datos_originales!$N339/Datos_originales!$E339</f>
        <v>4.9272728504631033E-4</v>
      </c>
      <c r="AO138" s="6">
        <f>Datos_originales!$O339/Datos_originales!$E339</f>
        <v>7.2986875913276983E-4</v>
      </c>
      <c r="AP138" s="6">
        <f>Datos_originales!$P339/Datos_originales!$E339</f>
        <v>7.3137441928569982E-4</v>
      </c>
      <c r="AQ138" s="6">
        <f>Datos_originales!$Q339/Datos_originales!$E339</f>
        <v>1.4321337487951582E-3</v>
      </c>
      <c r="AR138" s="6">
        <f>Datos_originales!$R339/Datos_originales!$E339</f>
        <v>3.7691692495011876E-4</v>
      </c>
      <c r="AS138" s="6">
        <f>Datos_originales!$S339/Datos_originales!$E339</f>
        <v>4.4015465137317469E-4</v>
      </c>
      <c r="AT138" s="6">
        <f>Datos_originales!$T339/Datos_originales!$E339</f>
        <v>6.8582819965957022E-4</v>
      </c>
      <c r="AU138" s="6">
        <f>Datos_originales!$U339/Datos_originales!$E339</f>
        <v>1.6308808889819051E-3</v>
      </c>
      <c r="AV138" s="6">
        <f>Datos_originales!$V339/Datos_originales!$E339</f>
        <v>1.3379045175576287E-3</v>
      </c>
      <c r="AW138" s="6">
        <f>Datos_originales!$W339/Datos_originales!$E339</f>
        <v>1.3322582919841415E-3</v>
      </c>
      <c r="AX138" s="6">
        <f>Datos_originales!$X339/Datos_originales!$E339</f>
        <v>6.3476122613936447E-4</v>
      </c>
      <c r="AY138" s="6">
        <f>Datos_originales!$Y339/Datos_originales!$E339</f>
        <v>1.35183187397223E-3</v>
      </c>
      <c r="AZ138" s="6">
        <f>Datos_originales!$Z339/Datos_originales!$E339</f>
        <v>1.4041535642865444E-3</v>
      </c>
      <c r="BA138" s="6">
        <f>Datos_originales!$AA339/Datos_originales!$E339</f>
        <v>6.5458575148627475E-4</v>
      </c>
      <c r="BB138" s="6">
        <f>Datos_originales!$AB339/Datos_originales!$E339</f>
        <v>8.8520269824337151E-4</v>
      </c>
      <c r="BC138" s="6">
        <f>Datos_originales!$AC339/Datos_originales!$E339</f>
        <v>1.026860224298193E-3</v>
      </c>
      <c r="BD138" s="6">
        <f>Datos_originales!$AD339/Datos_originales!$E339</f>
        <v>1.6801912589903597E-3</v>
      </c>
      <c r="BE138" s="6">
        <f>Datos_originales!$AE339/Datos_originales!$E339</f>
        <v>5.181980359667079E-4</v>
      </c>
      <c r="BF138" s="6">
        <f>Datos_originales!$AF339/Datos_originales!$E339</f>
        <v>7.7139988501775307E-4</v>
      </c>
      <c r="BG138" s="6">
        <f>Datos_originales!$AG339/Datos_originales!$E339</f>
        <v>1.067136633389068E-3</v>
      </c>
    </row>
    <row r="139" spans="1:59" ht="15.75" customHeight="1">
      <c r="A139" s="2">
        <v>30901</v>
      </c>
      <c r="B139" s="3" t="s">
        <v>132</v>
      </c>
      <c r="C139" s="4" t="s">
        <v>261</v>
      </c>
      <c r="D139" s="4">
        <f>IF(Table_1[[#This Row],[Forest cover 2011]]&lt;1000,"Bosque menor a 1000 ha",Table_1[[#This Row],[Forest cover 2011]])</f>
        <v>1477.98</v>
      </c>
      <c r="E139" s="4">
        <v>1477.98</v>
      </c>
      <c r="F139" s="5">
        <f>AVERAGE(Datos_originales!$H205:$J205)</f>
        <v>0</v>
      </c>
      <c r="G139" s="5">
        <f>AVERAGE(Datos_originales!$R205:$T205)</f>
        <v>0</v>
      </c>
      <c r="H139" s="4">
        <v>5.8500000000000014</v>
      </c>
      <c r="I139" s="4">
        <v>8.73</v>
      </c>
      <c r="J139" s="4">
        <v>7.38</v>
      </c>
      <c r="K139" s="4">
        <v>18.72</v>
      </c>
      <c r="L139" s="4">
        <v>14.67</v>
      </c>
      <c r="M139" s="4">
        <v>35.729999999999997</v>
      </c>
      <c r="N139" s="4">
        <v>30.78</v>
      </c>
      <c r="O139" s="4">
        <v>5.49</v>
      </c>
      <c r="P139" s="4">
        <v>12.51</v>
      </c>
      <c r="Q139" s="4">
        <v>24.84</v>
      </c>
      <c r="R139" s="4">
        <v>153.18</v>
      </c>
      <c r="S139" s="4">
        <v>138.06</v>
      </c>
      <c r="T139" s="4">
        <v>0.81</v>
      </c>
      <c r="U139" s="4">
        <v>7.47</v>
      </c>
      <c r="V139" s="4">
        <v>9.7200000000000006</v>
      </c>
      <c r="W139" s="4">
        <v>22.05</v>
      </c>
      <c r="X139" s="4">
        <v>20.43</v>
      </c>
      <c r="Y139" s="4">
        <v>16.11</v>
      </c>
      <c r="Z139" s="4">
        <v>46.98</v>
      </c>
      <c r="AA139" s="4">
        <v>35.28</v>
      </c>
      <c r="AB139" s="4">
        <v>17.55</v>
      </c>
      <c r="AC139" s="4">
        <v>21.06</v>
      </c>
      <c r="AD139" s="4">
        <v>24.93</v>
      </c>
      <c r="AE139" s="4">
        <v>154.26</v>
      </c>
      <c r="AF139" s="4">
        <v>149.49</v>
      </c>
      <c r="AG139" s="4">
        <v>1.8</v>
      </c>
      <c r="AH139" s="6">
        <f>Datos_originales!$H205/Datos_originales!$E205</f>
        <v>0</v>
      </c>
      <c r="AI139" s="6">
        <f>Datos_originales!$I205/Datos_originales!$E205</f>
        <v>0</v>
      </c>
      <c r="AJ139" s="6">
        <f>Datos_originales!$J205/Datos_originales!$E205</f>
        <v>0</v>
      </c>
      <c r="AK139" s="6">
        <f>Datos_originales!$K205/Datos_originales!$E205</f>
        <v>0</v>
      </c>
      <c r="AL139" s="6">
        <f>Datos_originales!$L205/Datos_originales!$E205</f>
        <v>0</v>
      </c>
      <c r="AM139" s="6">
        <f>Datos_originales!$M205/Datos_originales!$E205</f>
        <v>0</v>
      </c>
      <c r="AN139" s="6">
        <f>Datos_originales!$N205/Datos_originales!$E205</f>
        <v>0</v>
      </c>
      <c r="AO139" s="6">
        <f>Datos_originales!$O205/Datos_originales!$E205</f>
        <v>0</v>
      </c>
      <c r="AP139" s="6">
        <f>Datos_originales!$P205/Datos_originales!$E205</f>
        <v>0</v>
      </c>
      <c r="AQ139" s="6">
        <f>Datos_originales!$Q205/Datos_originales!$E205</f>
        <v>0</v>
      </c>
      <c r="AR139" s="6">
        <f>Datos_originales!$R205/Datos_originales!$E205</f>
        <v>0</v>
      </c>
      <c r="AS139" s="6">
        <f>Datos_originales!$S205/Datos_originales!$E205</f>
        <v>0</v>
      </c>
      <c r="AT139" s="6">
        <f>Datos_originales!$T205/Datos_originales!$E205</f>
        <v>0</v>
      </c>
      <c r="AU139" s="6">
        <f>Datos_originales!$U205/Datos_originales!$E205</f>
        <v>0.125</v>
      </c>
      <c r="AV139" s="6">
        <f>Datos_originales!$V205/Datos_originales!$E205</f>
        <v>0</v>
      </c>
      <c r="AW139" s="6">
        <f>Datos_originales!$W205/Datos_originales!$E205</f>
        <v>0</v>
      </c>
      <c r="AX139" s="6">
        <f>Datos_originales!$X205/Datos_originales!$E205</f>
        <v>0</v>
      </c>
      <c r="AY139" s="6">
        <f>Datos_originales!$Y205/Datos_originales!$E205</f>
        <v>0</v>
      </c>
      <c r="AZ139" s="6">
        <f>Datos_originales!$Z205/Datos_originales!$E205</f>
        <v>0</v>
      </c>
      <c r="BA139" s="6">
        <f>Datos_originales!$AA205/Datos_originales!$E205</f>
        <v>0</v>
      </c>
      <c r="BB139" s="6">
        <f>Datos_originales!$AB205/Datos_originales!$E205</f>
        <v>0</v>
      </c>
      <c r="BC139" s="6">
        <f>Datos_originales!$AC205/Datos_originales!$E205</f>
        <v>0.37500000000000006</v>
      </c>
      <c r="BD139" s="6">
        <f>Datos_originales!$AD205/Datos_originales!$E205</f>
        <v>0</v>
      </c>
      <c r="BE139" s="6">
        <f>Datos_originales!$AE205/Datos_originales!$E205</f>
        <v>0</v>
      </c>
      <c r="BF139" s="6">
        <f>Datos_originales!$AF205/Datos_originales!$E205</f>
        <v>0</v>
      </c>
      <c r="BG139" s="6">
        <f>Datos_originales!$AG205/Datos_originales!$E205</f>
        <v>0</v>
      </c>
    </row>
    <row r="140" spans="1:59" ht="15.75" customHeight="1">
      <c r="A140" s="2">
        <v>30902</v>
      </c>
      <c r="B140" s="3" t="s">
        <v>132</v>
      </c>
      <c r="C140" s="4" t="s">
        <v>234</v>
      </c>
      <c r="D140" s="4">
        <f>IF(Table_1[[#This Row],[Forest cover 2011]]&lt;1000,"Bosque menor a 1000 ha",Table_1[[#This Row],[Forest cover 2011]])</f>
        <v>1239.75</v>
      </c>
      <c r="E140" s="4">
        <v>1239.75</v>
      </c>
      <c r="F140" s="5">
        <f>AVERAGE(Datos_originales!$H176:$J176)</f>
        <v>0</v>
      </c>
      <c r="G140" s="5">
        <f>AVERAGE(Datos_originales!$R176:$T176)</f>
        <v>0</v>
      </c>
      <c r="H140" s="4">
        <v>1.26</v>
      </c>
      <c r="I140" s="4">
        <v>1.17</v>
      </c>
      <c r="J140" s="4">
        <v>1.62</v>
      </c>
      <c r="K140" s="4">
        <v>3.33</v>
      </c>
      <c r="L140" s="4">
        <v>2.4300000000000002</v>
      </c>
      <c r="M140" s="4">
        <v>2.0699999999999998</v>
      </c>
      <c r="N140" s="4">
        <v>7.92</v>
      </c>
      <c r="O140" s="4">
        <v>7.74</v>
      </c>
      <c r="P140" s="4">
        <v>7.47</v>
      </c>
      <c r="Q140" s="4">
        <v>9.36</v>
      </c>
      <c r="R140" s="4">
        <v>71.28</v>
      </c>
      <c r="S140" s="4">
        <v>69.300000000000011</v>
      </c>
      <c r="T140" s="4">
        <v>0.81</v>
      </c>
      <c r="U140" s="4">
        <v>1.44</v>
      </c>
      <c r="V140" s="4">
        <v>3.24</v>
      </c>
      <c r="W140" s="4">
        <v>17.28</v>
      </c>
      <c r="X140" s="4">
        <v>5.13</v>
      </c>
      <c r="Y140" s="4">
        <v>9.18</v>
      </c>
      <c r="Z140" s="4">
        <v>14.31</v>
      </c>
      <c r="AA140" s="4">
        <v>17.010000000000002</v>
      </c>
      <c r="AB140" s="4">
        <v>15.93</v>
      </c>
      <c r="AC140" s="4">
        <v>17.82</v>
      </c>
      <c r="AD140" s="4">
        <v>9.5399999999999991</v>
      </c>
      <c r="AE140" s="4">
        <v>72.449999999999989</v>
      </c>
      <c r="AF140" s="4">
        <v>75.42</v>
      </c>
      <c r="AG140" s="4">
        <v>3.42</v>
      </c>
      <c r="AH140" s="6" t="e">
        <f>Datos_originales!$H176/Datos_originales!$E176</f>
        <v>#DIV/0!</v>
      </c>
      <c r="AI140" s="6" t="e">
        <f>Datos_originales!$I176/Datos_originales!$E176</f>
        <v>#DIV/0!</v>
      </c>
      <c r="AJ140" s="6" t="e">
        <f>Datos_originales!$J176/Datos_originales!$E176</f>
        <v>#DIV/0!</v>
      </c>
      <c r="AK140" s="6" t="e">
        <f>Datos_originales!$K176/Datos_originales!$E176</f>
        <v>#DIV/0!</v>
      </c>
      <c r="AL140" s="6" t="e">
        <f>Datos_originales!$L176/Datos_originales!$E176</f>
        <v>#DIV/0!</v>
      </c>
      <c r="AM140" s="6" t="e">
        <f>Datos_originales!$M176/Datos_originales!$E176</f>
        <v>#DIV/0!</v>
      </c>
      <c r="AN140" s="6" t="e">
        <f>Datos_originales!$N176/Datos_originales!$E176</f>
        <v>#DIV/0!</v>
      </c>
      <c r="AO140" s="6" t="e">
        <f>Datos_originales!$O176/Datos_originales!$E176</f>
        <v>#DIV/0!</v>
      </c>
      <c r="AP140" s="6" t="e">
        <f>Datos_originales!$P176/Datos_originales!$E176</f>
        <v>#DIV/0!</v>
      </c>
      <c r="AQ140" s="6" t="e">
        <f>Datos_originales!$Q176/Datos_originales!$E176</f>
        <v>#DIV/0!</v>
      </c>
      <c r="AR140" s="6" t="e">
        <f>Datos_originales!$R176/Datos_originales!$E176</f>
        <v>#DIV/0!</v>
      </c>
      <c r="AS140" s="6" t="e">
        <f>Datos_originales!$S176/Datos_originales!$E176</f>
        <v>#DIV/0!</v>
      </c>
      <c r="AT140" s="6" t="e">
        <f>Datos_originales!$T176/Datos_originales!$E176</f>
        <v>#DIV/0!</v>
      </c>
      <c r="AU140" s="6" t="e">
        <f>Datos_originales!$U176/Datos_originales!$E176</f>
        <v>#DIV/0!</v>
      </c>
      <c r="AV140" s="6" t="e">
        <f>Datos_originales!$V176/Datos_originales!$E176</f>
        <v>#DIV/0!</v>
      </c>
      <c r="AW140" s="6" t="e">
        <f>Datos_originales!$W176/Datos_originales!$E176</f>
        <v>#DIV/0!</v>
      </c>
      <c r="AX140" s="6" t="e">
        <f>Datos_originales!$X176/Datos_originales!$E176</f>
        <v>#DIV/0!</v>
      </c>
      <c r="AY140" s="6" t="e">
        <f>Datos_originales!$Y176/Datos_originales!$E176</f>
        <v>#DIV/0!</v>
      </c>
      <c r="AZ140" s="6" t="e">
        <f>Datos_originales!$Z176/Datos_originales!$E176</f>
        <v>#DIV/0!</v>
      </c>
      <c r="BA140" s="6" t="e">
        <f>Datos_originales!$AA176/Datos_originales!$E176</f>
        <v>#DIV/0!</v>
      </c>
      <c r="BB140" s="6" t="e">
        <f>Datos_originales!$AB176/Datos_originales!$E176</f>
        <v>#DIV/0!</v>
      </c>
      <c r="BC140" s="6" t="e">
        <f>Datos_originales!$AC176/Datos_originales!$E176</f>
        <v>#DIV/0!</v>
      </c>
      <c r="BD140" s="6" t="e">
        <f>Datos_originales!$AD176/Datos_originales!$E176</f>
        <v>#DIV/0!</v>
      </c>
      <c r="BE140" s="6" t="e">
        <f>Datos_originales!$AE176/Datos_originales!$E176</f>
        <v>#DIV/0!</v>
      </c>
      <c r="BF140" s="6" t="e">
        <f>Datos_originales!$AF176/Datos_originales!$E176</f>
        <v>#DIV/0!</v>
      </c>
      <c r="BG140" s="6" t="e">
        <f>Datos_originales!$AG176/Datos_originales!$E176</f>
        <v>#DIV/0!</v>
      </c>
    </row>
    <row r="141" spans="1:59" ht="15.75" customHeight="1">
      <c r="A141" s="2">
        <v>30903</v>
      </c>
      <c r="B141" s="3" t="s">
        <v>132</v>
      </c>
      <c r="C141" s="4" t="s">
        <v>227</v>
      </c>
      <c r="D141" s="4">
        <f>IF(Table_1[[#This Row],[Forest cover 2011]]&lt;1000,"Bosque menor a 1000 ha",Table_1[[#This Row],[Forest cover 2011]])</f>
        <v>1077.1199999999999</v>
      </c>
      <c r="E141" s="4">
        <v>1077.1199999999999</v>
      </c>
      <c r="F141" s="5">
        <f>AVERAGE(Datos_originales!$H169:$J169)</f>
        <v>0</v>
      </c>
      <c r="G141" s="5">
        <f>AVERAGE(Datos_originales!$R169:$T169)</f>
        <v>0</v>
      </c>
      <c r="H141" s="4">
        <v>4.1400000000000006</v>
      </c>
      <c r="I141" s="4">
        <v>8.64</v>
      </c>
      <c r="J141" s="4">
        <v>12.69</v>
      </c>
      <c r="K141" s="4">
        <v>18.27</v>
      </c>
      <c r="L141" s="4">
        <v>15.66</v>
      </c>
      <c r="M141" s="4">
        <v>24.12</v>
      </c>
      <c r="N141" s="4">
        <v>35.64</v>
      </c>
      <c r="O141" s="4">
        <v>7.7399999999999993</v>
      </c>
      <c r="P141" s="4">
        <v>11.97</v>
      </c>
      <c r="Q141" s="4">
        <v>22.14</v>
      </c>
      <c r="R141" s="4">
        <v>179.01</v>
      </c>
      <c r="S141" s="4">
        <v>218.52</v>
      </c>
      <c r="T141" s="4">
        <v>3.69</v>
      </c>
      <c r="U141" s="4">
        <v>4.41</v>
      </c>
      <c r="V141" s="4">
        <v>9.4499999999999993</v>
      </c>
      <c r="W141" s="4">
        <v>21.24</v>
      </c>
      <c r="X141" s="4">
        <v>19.98</v>
      </c>
      <c r="Y141" s="4">
        <v>18.54</v>
      </c>
      <c r="Z141" s="4">
        <v>27.27</v>
      </c>
      <c r="AA141" s="4">
        <v>39.78</v>
      </c>
      <c r="AB141" s="4">
        <v>11.34</v>
      </c>
      <c r="AC141" s="4">
        <v>15.21</v>
      </c>
      <c r="AD141" s="4">
        <v>22.32</v>
      </c>
      <c r="AE141" s="4">
        <v>179.82</v>
      </c>
      <c r="AF141" s="4">
        <v>225.18</v>
      </c>
      <c r="AG141" s="4">
        <v>3.78</v>
      </c>
      <c r="AH141" s="6" t="e">
        <f>Datos_originales!$H169/Datos_originales!$E169</f>
        <v>#DIV/0!</v>
      </c>
      <c r="AI141" s="6" t="e">
        <f>Datos_originales!$I169/Datos_originales!$E169</f>
        <v>#DIV/0!</v>
      </c>
      <c r="AJ141" s="6" t="e">
        <f>Datos_originales!$J169/Datos_originales!$E169</f>
        <v>#DIV/0!</v>
      </c>
      <c r="AK141" s="6" t="e">
        <f>Datos_originales!$K169/Datos_originales!$E169</f>
        <v>#DIV/0!</v>
      </c>
      <c r="AL141" s="6" t="e">
        <f>Datos_originales!$L169/Datos_originales!$E169</f>
        <v>#DIV/0!</v>
      </c>
      <c r="AM141" s="6" t="e">
        <f>Datos_originales!$M169/Datos_originales!$E169</f>
        <v>#DIV/0!</v>
      </c>
      <c r="AN141" s="6" t="e">
        <f>Datos_originales!$N169/Datos_originales!$E169</f>
        <v>#DIV/0!</v>
      </c>
      <c r="AO141" s="6" t="e">
        <f>Datos_originales!$O169/Datos_originales!$E169</f>
        <v>#DIV/0!</v>
      </c>
      <c r="AP141" s="6" t="e">
        <f>Datos_originales!$P169/Datos_originales!$E169</f>
        <v>#DIV/0!</v>
      </c>
      <c r="AQ141" s="6" t="e">
        <f>Datos_originales!$Q169/Datos_originales!$E169</f>
        <v>#DIV/0!</v>
      </c>
      <c r="AR141" s="6" t="e">
        <f>Datos_originales!$R169/Datos_originales!$E169</f>
        <v>#DIV/0!</v>
      </c>
      <c r="AS141" s="6" t="e">
        <f>Datos_originales!$S169/Datos_originales!$E169</f>
        <v>#DIV/0!</v>
      </c>
      <c r="AT141" s="6" t="e">
        <f>Datos_originales!$T169/Datos_originales!$E169</f>
        <v>#DIV/0!</v>
      </c>
      <c r="AU141" s="6" t="e">
        <f>Datos_originales!$U169/Datos_originales!$E169</f>
        <v>#DIV/0!</v>
      </c>
      <c r="AV141" s="6" t="e">
        <f>Datos_originales!$V169/Datos_originales!$E169</f>
        <v>#DIV/0!</v>
      </c>
      <c r="AW141" s="6" t="e">
        <f>Datos_originales!$W169/Datos_originales!$E169</f>
        <v>#DIV/0!</v>
      </c>
      <c r="AX141" s="6" t="e">
        <f>Datos_originales!$X169/Datos_originales!$E169</f>
        <v>#DIV/0!</v>
      </c>
      <c r="AY141" s="6" t="e">
        <f>Datos_originales!$Y169/Datos_originales!$E169</f>
        <v>#DIV/0!</v>
      </c>
      <c r="AZ141" s="6" t="e">
        <f>Datos_originales!$Z169/Datos_originales!$E169</f>
        <v>#DIV/0!</v>
      </c>
      <c r="BA141" s="6" t="e">
        <f>Datos_originales!$AA169/Datos_originales!$E169</f>
        <v>#DIV/0!</v>
      </c>
      <c r="BB141" s="6" t="e">
        <f>Datos_originales!$AB169/Datos_originales!$E169</f>
        <v>#DIV/0!</v>
      </c>
      <c r="BC141" s="6" t="e">
        <f>Datos_originales!$AC169/Datos_originales!$E169</f>
        <v>#DIV/0!</v>
      </c>
      <c r="BD141" s="6" t="e">
        <f>Datos_originales!$AD169/Datos_originales!$E169</f>
        <v>#DIV/0!</v>
      </c>
      <c r="BE141" s="6" t="e">
        <f>Datos_originales!$AE169/Datos_originales!$E169</f>
        <v>#DIV/0!</v>
      </c>
      <c r="BF141" s="6" t="e">
        <f>Datos_originales!$AF169/Datos_originales!$E169</f>
        <v>#DIV/0!</v>
      </c>
      <c r="BG141" s="6" t="e">
        <f>Datos_originales!$AG169/Datos_originales!$E169</f>
        <v>#DIV/0!</v>
      </c>
    </row>
    <row r="142" spans="1:59" ht="15.75" customHeight="1">
      <c r="A142" s="2">
        <v>30904</v>
      </c>
      <c r="B142" s="3" t="s">
        <v>132</v>
      </c>
      <c r="C142" s="4" t="s">
        <v>244</v>
      </c>
      <c r="D142" s="4">
        <f>IF(Table_1[[#This Row],[Forest cover 2011]]&lt;1000,"Bosque menor a 1000 ha",Table_1[[#This Row],[Forest cover 2011]])</f>
        <v>1631.61</v>
      </c>
      <c r="E142" s="4">
        <v>1631.61</v>
      </c>
      <c r="F142" s="5">
        <f>AVERAGE(Datos_originales!$H187:$J187)</f>
        <v>0</v>
      </c>
      <c r="G142" s="5">
        <f>AVERAGE(Datos_originales!$R187:$T187)</f>
        <v>0</v>
      </c>
      <c r="H142" s="4">
        <v>2.16</v>
      </c>
      <c r="I142" s="4">
        <v>6.0299999999999994</v>
      </c>
      <c r="J142" s="4">
        <v>5.4</v>
      </c>
      <c r="K142" s="4">
        <v>13.77</v>
      </c>
      <c r="L142" s="4">
        <v>12.96</v>
      </c>
      <c r="M142" s="4">
        <v>30.15</v>
      </c>
      <c r="N142" s="4">
        <v>11.52</v>
      </c>
      <c r="O142" s="4">
        <v>7.3800000000000008</v>
      </c>
      <c r="P142" s="4">
        <v>10.44</v>
      </c>
      <c r="Q142" s="4">
        <v>35.19</v>
      </c>
      <c r="R142" s="4">
        <v>138.96</v>
      </c>
      <c r="S142" s="4">
        <v>118.17</v>
      </c>
      <c r="T142" s="4">
        <v>3.42</v>
      </c>
      <c r="U142" s="4">
        <v>2.97</v>
      </c>
      <c r="V142" s="4">
        <v>12.06</v>
      </c>
      <c r="W142" s="4">
        <v>24.12</v>
      </c>
      <c r="X142" s="4">
        <v>16.739999999999998</v>
      </c>
      <c r="Y142" s="4">
        <v>18.36</v>
      </c>
      <c r="Z142" s="4">
        <v>44.82</v>
      </c>
      <c r="AA142" s="4">
        <v>15.3</v>
      </c>
      <c r="AB142" s="4">
        <v>18.899999999999999</v>
      </c>
      <c r="AC142" s="4">
        <v>21.33</v>
      </c>
      <c r="AD142" s="4">
        <v>35.64</v>
      </c>
      <c r="AE142" s="4">
        <v>140.94</v>
      </c>
      <c r="AF142" s="4">
        <v>133.91999999999999</v>
      </c>
      <c r="AG142" s="4">
        <v>3.87</v>
      </c>
      <c r="AH142" s="6" t="e">
        <f>Datos_originales!$H187/Datos_originales!$E187</f>
        <v>#DIV/0!</v>
      </c>
      <c r="AI142" s="6" t="e">
        <f>Datos_originales!$I187/Datos_originales!$E187</f>
        <v>#DIV/0!</v>
      </c>
      <c r="AJ142" s="6" t="e">
        <f>Datos_originales!$J187/Datos_originales!$E187</f>
        <v>#DIV/0!</v>
      </c>
      <c r="AK142" s="6" t="e">
        <f>Datos_originales!$K187/Datos_originales!$E187</f>
        <v>#DIV/0!</v>
      </c>
      <c r="AL142" s="6" t="e">
        <f>Datos_originales!$L187/Datos_originales!$E187</f>
        <v>#DIV/0!</v>
      </c>
      <c r="AM142" s="6" t="e">
        <f>Datos_originales!$M187/Datos_originales!$E187</f>
        <v>#DIV/0!</v>
      </c>
      <c r="AN142" s="6" t="e">
        <f>Datos_originales!$N187/Datos_originales!$E187</f>
        <v>#DIV/0!</v>
      </c>
      <c r="AO142" s="6" t="e">
        <f>Datos_originales!$O187/Datos_originales!$E187</f>
        <v>#DIV/0!</v>
      </c>
      <c r="AP142" s="6" t="e">
        <f>Datos_originales!$P187/Datos_originales!$E187</f>
        <v>#DIV/0!</v>
      </c>
      <c r="AQ142" s="6" t="e">
        <f>Datos_originales!$Q187/Datos_originales!$E187</f>
        <v>#DIV/0!</v>
      </c>
      <c r="AR142" s="6" t="e">
        <f>Datos_originales!$R187/Datos_originales!$E187</f>
        <v>#DIV/0!</v>
      </c>
      <c r="AS142" s="6" t="e">
        <f>Datos_originales!$S187/Datos_originales!$E187</f>
        <v>#DIV/0!</v>
      </c>
      <c r="AT142" s="6" t="e">
        <f>Datos_originales!$T187/Datos_originales!$E187</f>
        <v>#DIV/0!</v>
      </c>
      <c r="AU142" s="6" t="e">
        <f>Datos_originales!$U187/Datos_originales!$E187</f>
        <v>#DIV/0!</v>
      </c>
      <c r="AV142" s="6" t="e">
        <f>Datos_originales!$V187/Datos_originales!$E187</f>
        <v>#DIV/0!</v>
      </c>
      <c r="AW142" s="6" t="e">
        <f>Datos_originales!$W187/Datos_originales!$E187</f>
        <v>#DIV/0!</v>
      </c>
      <c r="AX142" s="6" t="e">
        <f>Datos_originales!$X187/Datos_originales!$E187</f>
        <v>#DIV/0!</v>
      </c>
      <c r="AY142" s="6" t="e">
        <f>Datos_originales!$Y187/Datos_originales!$E187</f>
        <v>#DIV/0!</v>
      </c>
      <c r="AZ142" s="6" t="e">
        <f>Datos_originales!$Z187/Datos_originales!$E187</f>
        <v>#DIV/0!</v>
      </c>
      <c r="BA142" s="6" t="e">
        <f>Datos_originales!$AA187/Datos_originales!$E187</f>
        <v>#DIV/0!</v>
      </c>
      <c r="BB142" s="6" t="e">
        <f>Datos_originales!$AB187/Datos_originales!$E187</f>
        <v>#DIV/0!</v>
      </c>
      <c r="BC142" s="6" t="e">
        <f>Datos_originales!$AC187/Datos_originales!$E187</f>
        <v>#DIV/0!</v>
      </c>
      <c r="BD142" s="6" t="e">
        <f>Datos_originales!$AD187/Datos_originales!$E187</f>
        <v>#DIV/0!</v>
      </c>
      <c r="BE142" s="6" t="e">
        <f>Datos_originales!$AE187/Datos_originales!$E187</f>
        <v>#DIV/0!</v>
      </c>
      <c r="BF142" s="6" t="e">
        <f>Datos_originales!$AF187/Datos_originales!$E187</f>
        <v>#DIV/0!</v>
      </c>
      <c r="BG142" s="6" t="e">
        <f>Datos_originales!$AG187/Datos_originales!$E187</f>
        <v>#DIV/0!</v>
      </c>
    </row>
    <row r="143" spans="1:59" ht="15.75" customHeight="1">
      <c r="A143" s="2">
        <v>30905</v>
      </c>
      <c r="B143" s="3" t="s">
        <v>132</v>
      </c>
      <c r="C143" s="4" t="s">
        <v>253</v>
      </c>
      <c r="D143" s="4" t="str">
        <f>IF(Table_1[[#This Row],[Forest cover 2011]]&lt;1000,"Bosque menor a 1000 ha",Table_1[[#This Row],[Forest cover 2011]])</f>
        <v>Bosque menor a 1000 ha</v>
      </c>
      <c r="E143" s="4">
        <v>340.92</v>
      </c>
      <c r="F143" s="5">
        <f>AVERAGE(Datos_originales!$H197:$J197)</f>
        <v>0</v>
      </c>
      <c r="G143" s="5">
        <f>AVERAGE(Datos_originales!$R197:$T197)</f>
        <v>0</v>
      </c>
      <c r="H143" s="4">
        <v>1.53</v>
      </c>
      <c r="I143" s="4">
        <v>3.87</v>
      </c>
      <c r="J143" s="4">
        <v>3.78</v>
      </c>
      <c r="K143" s="4">
        <v>7.38</v>
      </c>
      <c r="L143" s="4">
        <v>5.13</v>
      </c>
      <c r="M143" s="4">
        <v>17.64</v>
      </c>
      <c r="N143" s="4">
        <v>93.6</v>
      </c>
      <c r="O143" s="4">
        <v>7.4700000000000006</v>
      </c>
      <c r="P143" s="4">
        <v>11.16</v>
      </c>
      <c r="Q143" s="4">
        <v>13.95</v>
      </c>
      <c r="R143" s="4">
        <v>82.350000000000009</v>
      </c>
      <c r="S143" s="4">
        <v>80.459999999999994</v>
      </c>
      <c r="T143" s="4">
        <v>0.54</v>
      </c>
      <c r="U143" s="4">
        <v>1.53</v>
      </c>
      <c r="V143" s="4">
        <v>3.87</v>
      </c>
      <c r="W143" s="4">
        <v>3.87</v>
      </c>
      <c r="X143" s="4">
        <v>7.38</v>
      </c>
      <c r="Y143" s="4">
        <v>5.13</v>
      </c>
      <c r="Z143" s="4">
        <v>17.64</v>
      </c>
      <c r="AA143" s="4">
        <v>94.140000000000015</v>
      </c>
      <c r="AB143" s="4">
        <v>7.4700000000000006</v>
      </c>
      <c r="AC143" s="4">
        <v>11.16</v>
      </c>
      <c r="AD143" s="4">
        <v>14.76</v>
      </c>
      <c r="AE143" s="4">
        <v>82.62</v>
      </c>
      <c r="AF143" s="4">
        <v>80.55</v>
      </c>
      <c r="AG143" s="4">
        <v>0.54</v>
      </c>
      <c r="AH143" s="6" t="e">
        <f>Datos_originales!$H197/Datos_originales!$E197</f>
        <v>#DIV/0!</v>
      </c>
      <c r="AI143" s="6" t="e">
        <f>Datos_originales!$I197/Datos_originales!$E197</f>
        <v>#DIV/0!</v>
      </c>
      <c r="AJ143" s="6" t="e">
        <f>Datos_originales!$J197/Datos_originales!$E197</f>
        <v>#DIV/0!</v>
      </c>
      <c r="AK143" s="6" t="e">
        <f>Datos_originales!$K197/Datos_originales!$E197</f>
        <v>#DIV/0!</v>
      </c>
      <c r="AL143" s="6" t="e">
        <f>Datos_originales!$L197/Datos_originales!$E197</f>
        <v>#DIV/0!</v>
      </c>
      <c r="AM143" s="6" t="e">
        <f>Datos_originales!$M197/Datos_originales!$E197</f>
        <v>#DIV/0!</v>
      </c>
      <c r="AN143" s="6" t="e">
        <f>Datos_originales!$N197/Datos_originales!$E197</f>
        <v>#DIV/0!</v>
      </c>
      <c r="AO143" s="6" t="e">
        <f>Datos_originales!$O197/Datos_originales!$E197</f>
        <v>#DIV/0!</v>
      </c>
      <c r="AP143" s="6" t="e">
        <f>Datos_originales!$P197/Datos_originales!$E197</f>
        <v>#DIV/0!</v>
      </c>
      <c r="AQ143" s="6" t="e">
        <f>Datos_originales!$Q197/Datos_originales!$E197</f>
        <v>#DIV/0!</v>
      </c>
      <c r="AR143" s="6" t="e">
        <f>Datos_originales!$R197/Datos_originales!$E197</f>
        <v>#DIV/0!</v>
      </c>
      <c r="AS143" s="6" t="e">
        <f>Datos_originales!$S197/Datos_originales!$E197</f>
        <v>#DIV/0!</v>
      </c>
      <c r="AT143" s="6" t="e">
        <f>Datos_originales!$T197/Datos_originales!$E197</f>
        <v>#DIV/0!</v>
      </c>
      <c r="AU143" s="6" t="e">
        <f>Datos_originales!$U197/Datos_originales!$E197</f>
        <v>#DIV/0!</v>
      </c>
      <c r="AV143" s="6" t="e">
        <f>Datos_originales!$V197/Datos_originales!$E197</f>
        <v>#DIV/0!</v>
      </c>
      <c r="AW143" s="6" t="e">
        <f>Datos_originales!$W197/Datos_originales!$E197</f>
        <v>#DIV/0!</v>
      </c>
      <c r="AX143" s="6" t="e">
        <f>Datos_originales!$X197/Datos_originales!$E197</f>
        <v>#DIV/0!</v>
      </c>
      <c r="AY143" s="6" t="e">
        <f>Datos_originales!$Y197/Datos_originales!$E197</f>
        <v>#DIV/0!</v>
      </c>
      <c r="AZ143" s="6" t="e">
        <f>Datos_originales!$Z197/Datos_originales!$E197</f>
        <v>#DIV/0!</v>
      </c>
      <c r="BA143" s="6" t="e">
        <f>Datos_originales!$AA197/Datos_originales!$E197</f>
        <v>#DIV/0!</v>
      </c>
      <c r="BB143" s="6" t="e">
        <f>Datos_originales!$AB197/Datos_originales!$E197</f>
        <v>#DIV/0!</v>
      </c>
      <c r="BC143" s="6" t="e">
        <f>Datos_originales!$AC197/Datos_originales!$E197</f>
        <v>#DIV/0!</v>
      </c>
      <c r="BD143" s="6" t="e">
        <f>Datos_originales!$AD197/Datos_originales!$E197</f>
        <v>#DIV/0!</v>
      </c>
      <c r="BE143" s="6" t="e">
        <f>Datos_originales!$AE197/Datos_originales!$E197</f>
        <v>#DIV/0!</v>
      </c>
      <c r="BF143" s="6" t="e">
        <f>Datos_originales!$AF197/Datos_originales!$E197</f>
        <v>#DIV/0!</v>
      </c>
      <c r="BG143" s="6" t="e">
        <f>Datos_originales!$AG197/Datos_originales!$E197</f>
        <v>#DIV/0!</v>
      </c>
    </row>
    <row r="144" spans="1:59" ht="15.75" customHeight="1">
      <c r="A144" s="2">
        <v>31001</v>
      </c>
      <c r="B144" s="3" t="s">
        <v>132</v>
      </c>
      <c r="C144" s="4" t="s">
        <v>232</v>
      </c>
      <c r="D144" s="4">
        <f>IF(Table_1[[#This Row],[Forest cover 2011]]&lt;1000,"Bosque menor a 1000 ha",Table_1[[#This Row],[Forest cover 2011]])</f>
        <v>1583.91</v>
      </c>
      <c r="E144" s="4">
        <v>1583.91</v>
      </c>
      <c r="F144" s="5">
        <f>AVERAGE(Datos_originales!$H174:$J174)</f>
        <v>0</v>
      </c>
      <c r="G144" s="5">
        <f>AVERAGE(Datos_originales!$R174:$T174)</f>
        <v>0</v>
      </c>
      <c r="H144" s="4">
        <v>1.8</v>
      </c>
      <c r="I144" s="4">
        <v>2.4300000000000002</v>
      </c>
      <c r="J144" s="4">
        <v>4.8599999999999994</v>
      </c>
      <c r="K144" s="4">
        <v>3.87</v>
      </c>
      <c r="L144" s="4">
        <v>4.5</v>
      </c>
      <c r="M144" s="4">
        <v>2.25</v>
      </c>
      <c r="N144" s="4">
        <v>2.52</v>
      </c>
      <c r="O144" s="4">
        <v>2.52</v>
      </c>
      <c r="P144" s="4">
        <v>17.100000000000001</v>
      </c>
      <c r="Q144" s="4">
        <v>18.72</v>
      </c>
      <c r="R144" s="4">
        <v>33.119999999999997</v>
      </c>
      <c r="S144" s="4">
        <v>93.51</v>
      </c>
      <c r="T144" s="4">
        <v>3.6</v>
      </c>
      <c r="U144" s="4">
        <v>12.42</v>
      </c>
      <c r="V144" s="4">
        <v>14.31</v>
      </c>
      <c r="W144" s="4">
        <v>38.43</v>
      </c>
      <c r="X144" s="4">
        <v>25.56</v>
      </c>
      <c r="Y144" s="4">
        <v>15.84</v>
      </c>
      <c r="Z144" s="4">
        <v>45.54</v>
      </c>
      <c r="AA144" s="4">
        <v>47.07</v>
      </c>
      <c r="AB144" s="4">
        <v>71.460000000000008</v>
      </c>
      <c r="AC144" s="4">
        <v>51.12</v>
      </c>
      <c r="AD144" s="4">
        <v>20.43</v>
      </c>
      <c r="AE144" s="4">
        <v>44.46</v>
      </c>
      <c r="AF144" s="4">
        <v>184.23</v>
      </c>
      <c r="AG144" s="4">
        <v>4.41</v>
      </c>
      <c r="AH144" s="6" t="e">
        <f>Datos_originales!$H174/Datos_originales!$E174</f>
        <v>#DIV/0!</v>
      </c>
      <c r="AI144" s="6" t="e">
        <f>Datos_originales!$I174/Datos_originales!$E174</f>
        <v>#DIV/0!</v>
      </c>
      <c r="AJ144" s="6" t="e">
        <f>Datos_originales!$J174/Datos_originales!$E174</f>
        <v>#DIV/0!</v>
      </c>
      <c r="AK144" s="6" t="e">
        <f>Datos_originales!$K174/Datos_originales!$E174</f>
        <v>#DIV/0!</v>
      </c>
      <c r="AL144" s="6" t="e">
        <f>Datos_originales!$L174/Datos_originales!$E174</f>
        <v>#DIV/0!</v>
      </c>
      <c r="AM144" s="6" t="e">
        <f>Datos_originales!$M174/Datos_originales!$E174</f>
        <v>#DIV/0!</v>
      </c>
      <c r="AN144" s="6" t="e">
        <f>Datos_originales!$N174/Datos_originales!$E174</f>
        <v>#DIV/0!</v>
      </c>
      <c r="AO144" s="6" t="e">
        <f>Datos_originales!$O174/Datos_originales!$E174</f>
        <v>#DIV/0!</v>
      </c>
      <c r="AP144" s="6" t="e">
        <f>Datos_originales!$P174/Datos_originales!$E174</f>
        <v>#DIV/0!</v>
      </c>
      <c r="AQ144" s="6" t="e">
        <f>Datos_originales!$Q174/Datos_originales!$E174</f>
        <v>#DIV/0!</v>
      </c>
      <c r="AR144" s="6" t="e">
        <f>Datos_originales!$R174/Datos_originales!$E174</f>
        <v>#DIV/0!</v>
      </c>
      <c r="AS144" s="6" t="e">
        <f>Datos_originales!$S174/Datos_originales!$E174</f>
        <v>#DIV/0!</v>
      </c>
      <c r="AT144" s="6" t="e">
        <f>Datos_originales!$T174/Datos_originales!$E174</f>
        <v>#DIV/0!</v>
      </c>
      <c r="AU144" s="6" t="e">
        <f>Datos_originales!$U174/Datos_originales!$E174</f>
        <v>#DIV/0!</v>
      </c>
      <c r="AV144" s="6" t="e">
        <f>Datos_originales!$V174/Datos_originales!$E174</f>
        <v>#DIV/0!</v>
      </c>
      <c r="AW144" s="6" t="e">
        <f>Datos_originales!$W174/Datos_originales!$E174</f>
        <v>#DIV/0!</v>
      </c>
      <c r="AX144" s="6" t="e">
        <f>Datos_originales!$X174/Datos_originales!$E174</f>
        <v>#DIV/0!</v>
      </c>
      <c r="AY144" s="6" t="e">
        <f>Datos_originales!$Y174/Datos_originales!$E174</f>
        <v>#DIV/0!</v>
      </c>
      <c r="AZ144" s="6" t="e">
        <f>Datos_originales!$Z174/Datos_originales!$E174</f>
        <v>#DIV/0!</v>
      </c>
      <c r="BA144" s="6" t="e">
        <f>Datos_originales!$AA174/Datos_originales!$E174</f>
        <v>#DIV/0!</v>
      </c>
      <c r="BB144" s="6" t="e">
        <f>Datos_originales!$AB174/Datos_originales!$E174</f>
        <v>#DIV/0!</v>
      </c>
      <c r="BC144" s="6" t="e">
        <f>Datos_originales!$AC174/Datos_originales!$E174</f>
        <v>#DIV/0!</v>
      </c>
      <c r="BD144" s="6" t="e">
        <f>Datos_originales!$AD174/Datos_originales!$E174</f>
        <v>#DIV/0!</v>
      </c>
      <c r="BE144" s="6" t="e">
        <f>Datos_originales!$AE174/Datos_originales!$E174</f>
        <v>#DIV/0!</v>
      </c>
      <c r="BF144" s="6" t="e">
        <f>Datos_originales!$AF174/Datos_originales!$E174</f>
        <v>#DIV/0!</v>
      </c>
      <c r="BG144" s="6" t="e">
        <f>Datos_originales!$AG174/Datos_originales!$E174</f>
        <v>#DIV/0!</v>
      </c>
    </row>
    <row r="145" spans="1:59" ht="15.75" customHeight="1">
      <c r="A145" s="2">
        <v>31002</v>
      </c>
      <c r="B145" s="3" t="s">
        <v>132</v>
      </c>
      <c r="C145" s="4" t="s">
        <v>220</v>
      </c>
      <c r="D145" s="4">
        <f>IF(Table_1[[#This Row],[Forest cover 2011]]&lt;1000,"Bosque menor a 1000 ha",Table_1[[#This Row],[Forest cover 2011]])</f>
        <v>15156.63</v>
      </c>
      <c r="E145" s="4">
        <v>15156.63</v>
      </c>
      <c r="F145" s="5">
        <f>AVERAGE(Datos_originales!$H162:$J162)</f>
        <v>0</v>
      </c>
      <c r="G145" s="5">
        <f>AVERAGE(Datos_originales!$R162:$T162)</f>
        <v>0.36000000000000004</v>
      </c>
      <c r="H145" s="4">
        <v>67.319999999999993</v>
      </c>
      <c r="I145" s="4">
        <v>76.14</v>
      </c>
      <c r="J145" s="4">
        <v>76.680000000000007</v>
      </c>
      <c r="K145" s="4">
        <v>104.04</v>
      </c>
      <c r="L145" s="4">
        <v>95.4</v>
      </c>
      <c r="M145" s="4">
        <v>186.57</v>
      </c>
      <c r="N145" s="4">
        <v>185.58</v>
      </c>
      <c r="O145" s="4">
        <v>177.39</v>
      </c>
      <c r="P145" s="4">
        <v>245.79</v>
      </c>
      <c r="Q145" s="4">
        <v>144.36000000000001</v>
      </c>
      <c r="R145" s="4">
        <v>104.67</v>
      </c>
      <c r="S145" s="4">
        <v>492.84</v>
      </c>
      <c r="T145" s="4">
        <v>59.67</v>
      </c>
      <c r="U145" s="4">
        <v>139.13999999999999</v>
      </c>
      <c r="V145" s="4">
        <v>133.38</v>
      </c>
      <c r="W145" s="4">
        <v>134.01</v>
      </c>
      <c r="X145" s="4">
        <v>148.77000000000001</v>
      </c>
      <c r="Y145" s="4">
        <v>136.97999999999999</v>
      </c>
      <c r="Z145" s="4">
        <v>276.39</v>
      </c>
      <c r="AA145" s="4">
        <v>280.52999999999997</v>
      </c>
      <c r="AB145" s="4">
        <v>306.89999999999998</v>
      </c>
      <c r="AC145" s="4">
        <v>314.37</v>
      </c>
      <c r="AD145" s="4">
        <v>170.37</v>
      </c>
      <c r="AE145" s="4">
        <v>178.83</v>
      </c>
      <c r="AF145" s="4">
        <v>542.97</v>
      </c>
      <c r="AG145" s="4">
        <v>60.21</v>
      </c>
      <c r="AH145" s="6">
        <f>Datos_originales!$H162/Datos_originales!$E162</f>
        <v>0</v>
      </c>
      <c r="AI145" s="6">
        <f>Datos_originales!$I162/Datos_originales!$E162</f>
        <v>0</v>
      </c>
      <c r="AJ145" s="6">
        <f>Datos_originales!$J162/Datos_originales!$E162</f>
        <v>0</v>
      </c>
      <c r="AK145" s="6">
        <f>Datos_originales!$K162/Datos_originales!$E162</f>
        <v>0</v>
      </c>
      <c r="AL145" s="6">
        <f>Datos_originales!$L162/Datos_originales!$E162</f>
        <v>1.6402405686167304E-3</v>
      </c>
      <c r="AM145" s="6">
        <f>Datos_originales!$M162/Datos_originales!$E162</f>
        <v>0</v>
      </c>
      <c r="AN145" s="6">
        <f>Datos_originales!$N162/Datos_originales!$E162</f>
        <v>0</v>
      </c>
      <c r="AO145" s="6">
        <f>Datos_originales!$O162/Datos_originales!$E162</f>
        <v>0</v>
      </c>
      <c r="AP145" s="6">
        <f>Datos_originales!$P162/Datos_originales!$E162</f>
        <v>0</v>
      </c>
      <c r="AQ145" s="6">
        <f>Datos_originales!$Q162/Datos_originales!$E162</f>
        <v>5.4674685620557679E-4</v>
      </c>
      <c r="AR145" s="6">
        <f>Datos_originales!$R162/Datos_originales!$E162</f>
        <v>1.0934937124111536E-3</v>
      </c>
      <c r="AS145" s="6">
        <f>Datos_originales!$S162/Datos_originales!$E162</f>
        <v>5.4674685620557679E-3</v>
      </c>
      <c r="AT145" s="6">
        <f>Datos_originales!$T162/Datos_originales!$E162</f>
        <v>0</v>
      </c>
      <c r="AU145" s="6">
        <f>Datos_originales!$U162/Datos_originales!$E162</f>
        <v>2.6790595954073262E-2</v>
      </c>
      <c r="AV145" s="6">
        <f>Datos_originales!$V162/Datos_originales!$E162</f>
        <v>1.6402405686167305E-2</v>
      </c>
      <c r="AW145" s="6">
        <f>Datos_originales!$W162/Datos_originales!$E162</f>
        <v>1.9682886823400764E-2</v>
      </c>
      <c r="AX145" s="6">
        <f>Datos_originales!$X162/Datos_originales!$E162</f>
        <v>4.0459267359212681E-2</v>
      </c>
      <c r="AY145" s="6">
        <f>Datos_originales!$Y162/Datos_originales!$E162</f>
        <v>3.4445051940951335E-2</v>
      </c>
      <c r="AZ145" s="6">
        <f>Datos_originales!$Z162/Datos_originales!$E162</f>
        <v>4.4833242208857295E-2</v>
      </c>
      <c r="BA145" s="6">
        <f>Datos_originales!$AA162/Datos_originales!$E162</f>
        <v>8.3105522143247665E-2</v>
      </c>
      <c r="BB145" s="6">
        <f>Datos_originales!$AB162/Datos_originales!$E162</f>
        <v>4.2099507927829412E-2</v>
      </c>
      <c r="BC145" s="6">
        <f>Datos_originales!$AC162/Datos_originales!$E162</f>
        <v>1.5855658829961726E-2</v>
      </c>
      <c r="BD145" s="6">
        <f>Datos_originales!$AD162/Datos_originales!$E162</f>
        <v>5.4674685620557679E-4</v>
      </c>
      <c r="BE145" s="6">
        <f>Datos_originales!$AE162/Datos_originales!$E162</f>
        <v>1.6402405686167304E-3</v>
      </c>
      <c r="BF145" s="6">
        <f>Datos_originales!$AF162/Datos_originales!$E162</f>
        <v>4.5379989065062867E-2</v>
      </c>
      <c r="BG145" s="6">
        <f>Datos_originales!$AG162/Datos_originales!$E162</f>
        <v>0</v>
      </c>
    </row>
    <row r="146" spans="1:59" ht="15.75" customHeight="1">
      <c r="A146" s="2">
        <v>31003</v>
      </c>
      <c r="B146" s="3" t="s">
        <v>132</v>
      </c>
      <c r="C146" s="4" t="s">
        <v>171</v>
      </c>
      <c r="D146" s="4">
        <f>IF(Table_1[[#This Row],[Forest cover 2011]]&lt;1000,"Bosque menor a 1000 ha",Table_1[[#This Row],[Forest cover 2011]])</f>
        <v>816866.01</v>
      </c>
      <c r="E146" s="4">
        <v>816866.01</v>
      </c>
      <c r="F146" s="5">
        <f>AVERAGE(Datos_originales!$H111:$J111)</f>
        <v>0</v>
      </c>
      <c r="G146" s="5">
        <f>AVERAGE(Datos_originales!$R111:$T111)</f>
        <v>0</v>
      </c>
      <c r="H146" s="4">
        <v>2938.14</v>
      </c>
      <c r="I146" s="4">
        <v>4295.79</v>
      </c>
      <c r="J146" s="4">
        <v>4341.6900000000014</v>
      </c>
      <c r="K146" s="4">
        <v>3587.76</v>
      </c>
      <c r="L146" s="4">
        <v>3078.45</v>
      </c>
      <c r="M146" s="4">
        <v>4217.49</v>
      </c>
      <c r="N146" s="4">
        <v>4036.14</v>
      </c>
      <c r="O146" s="4">
        <v>3286.26</v>
      </c>
      <c r="P146" s="4">
        <v>5439.33</v>
      </c>
      <c r="Q146" s="4">
        <v>6221.88</v>
      </c>
      <c r="R146" s="4">
        <v>1291.5</v>
      </c>
      <c r="S146" s="4">
        <v>11793.24</v>
      </c>
      <c r="T146" s="4">
        <v>5482.89</v>
      </c>
      <c r="U146" s="4">
        <v>8904.6899999999987</v>
      </c>
      <c r="V146" s="4">
        <v>6814.62</v>
      </c>
      <c r="W146" s="4">
        <v>6939.7199999999993</v>
      </c>
      <c r="X146" s="4">
        <v>5870.07</v>
      </c>
      <c r="Y146" s="4">
        <v>4344.84</v>
      </c>
      <c r="Z146" s="4">
        <v>5386.95</v>
      </c>
      <c r="AA146" s="4">
        <v>5684.2199999999993</v>
      </c>
      <c r="AB146" s="4">
        <v>5243.85</v>
      </c>
      <c r="AC146" s="4">
        <v>7920.63</v>
      </c>
      <c r="AD146" s="4">
        <v>6804.99</v>
      </c>
      <c r="AE146" s="4">
        <v>2427.21</v>
      </c>
      <c r="AF146" s="4">
        <v>14354.73</v>
      </c>
      <c r="AG146" s="4">
        <v>9591.57</v>
      </c>
      <c r="AH146" s="6" t="e">
        <f>Datos_originales!$H111/Datos_originales!$E111</f>
        <v>#DIV/0!</v>
      </c>
      <c r="AI146" s="6" t="e">
        <f>Datos_originales!$I111/Datos_originales!$E111</f>
        <v>#DIV/0!</v>
      </c>
      <c r="AJ146" s="6" t="e">
        <f>Datos_originales!$J111/Datos_originales!$E111</f>
        <v>#DIV/0!</v>
      </c>
      <c r="AK146" s="6" t="e">
        <f>Datos_originales!$K111/Datos_originales!$E111</f>
        <v>#DIV/0!</v>
      </c>
      <c r="AL146" s="6" t="e">
        <f>Datos_originales!$L111/Datos_originales!$E111</f>
        <v>#DIV/0!</v>
      </c>
      <c r="AM146" s="6" t="e">
        <f>Datos_originales!$M111/Datos_originales!$E111</f>
        <v>#DIV/0!</v>
      </c>
      <c r="AN146" s="6" t="e">
        <f>Datos_originales!$N111/Datos_originales!$E111</f>
        <v>#DIV/0!</v>
      </c>
      <c r="AO146" s="6" t="e">
        <f>Datos_originales!$O111/Datos_originales!$E111</f>
        <v>#DIV/0!</v>
      </c>
      <c r="AP146" s="6" t="e">
        <f>Datos_originales!$P111/Datos_originales!$E111</f>
        <v>#DIV/0!</v>
      </c>
      <c r="AQ146" s="6" t="e">
        <f>Datos_originales!$Q111/Datos_originales!$E111</f>
        <v>#DIV/0!</v>
      </c>
      <c r="AR146" s="6" t="e">
        <f>Datos_originales!$R111/Datos_originales!$E111</f>
        <v>#DIV/0!</v>
      </c>
      <c r="AS146" s="6" t="e">
        <f>Datos_originales!$S111/Datos_originales!$E111</f>
        <v>#DIV/0!</v>
      </c>
      <c r="AT146" s="6" t="e">
        <f>Datos_originales!$T111/Datos_originales!$E111</f>
        <v>#DIV/0!</v>
      </c>
      <c r="AU146" s="6" t="e">
        <f>Datos_originales!$U111/Datos_originales!$E111</f>
        <v>#DIV/0!</v>
      </c>
      <c r="AV146" s="6" t="e">
        <f>Datos_originales!$V111/Datos_originales!$E111</f>
        <v>#DIV/0!</v>
      </c>
      <c r="AW146" s="6" t="e">
        <f>Datos_originales!$W111/Datos_originales!$E111</f>
        <v>#DIV/0!</v>
      </c>
      <c r="AX146" s="6" t="e">
        <f>Datos_originales!$X111/Datos_originales!$E111</f>
        <v>#DIV/0!</v>
      </c>
      <c r="AY146" s="6" t="e">
        <f>Datos_originales!$Y111/Datos_originales!$E111</f>
        <v>#DIV/0!</v>
      </c>
      <c r="AZ146" s="6" t="e">
        <f>Datos_originales!$Z111/Datos_originales!$E111</f>
        <v>#DIV/0!</v>
      </c>
      <c r="BA146" s="6" t="e">
        <f>Datos_originales!$AA111/Datos_originales!$E111</f>
        <v>#DIV/0!</v>
      </c>
      <c r="BB146" s="6" t="e">
        <f>Datos_originales!$AB111/Datos_originales!$E111</f>
        <v>#DIV/0!</v>
      </c>
      <c r="BC146" s="6" t="e">
        <f>Datos_originales!$AC111/Datos_originales!$E111</f>
        <v>#DIV/0!</v>
      </c>
      <c r="BD146" s="6" t="e">
        <f>Datos_originales!$AD111/Datos_originales!$E111</f>
        <v>#DIV/0!</v>
      </c>
      <c r="BE146" s="6" t="e">
        <f>Datos_originales!$AE111/Datos_originales!$E111</f>
        <v>#DIV/0!</v>
      </c>
      <c r="BF146" s="6" t="e">
        <f>Datos_originales!$AF111/Datos_originales!$E111</f>
        <v>#DIV/0!</v>
      </c>
      <c r="BG146" s="6" t="e">
        <f>Datos_originales!$AG111/Datos_originales!$E111</f>
        <v>#DIV/0!</v>
      </c>
    </row>
    <row r="147" spans="1:59" ht="15.75" customHeight="1">
      <c r="A147" s="2">
        <v>31101</v>
      </c>
      <c r="B147" s="3" t="s">
        <v>132</v>
      </c>
      <c r="C147" s="4" t="s">
        <v>202</v>
      </c>
      <c r="D147" s="4" t="str">
        <f>IF(Table_1[[#This Row],[Forest cover 2011]]&lt;1000,"Bosque menor a 1000 ha",Table_1[[#This Row],[Forest cover 2011]])</f>
        <v>Bosque menor a 1000 ha</v>
      </c>
      <c r="E147" s="4">
        <v>869.04</v>
      </c>
      <c r="F147" s="5">
        <f>AVERAGE(Datos_originales!$H142:$J142)</f>
        <v>4.53</v>
      </c>
      <c r="G147" s="5">
        <f>AVERAGE(Datos_originales!$R142:$T142)</f>
        <v>86.850000000000009</v>
      </c>
      <c r="H147" s="4">
        <v>0</v>
      </c>
      <c r="I147" s="4">
        <v>0</v>
      </c>
      <c r="J147" s="4">
        <v>0</v>
      </c>
      <c r="K147" s="4">
        <v>0</v>
      </c>
      <c r="L147" s="4">
        <v>0.18</v>
      </c>
      <c r="M147" s="4">
        <v>0.27</v>
      </c>
      <c r="N147" s="4">
        <v>0</v>
      </c>
      <c r="O147" s="4">
        <v>0.18</v>
      </c>
      <c r="P147" s="4">
        <v>0.18</v>
      </c>
      <c r="Q147" s="4">
        <v>0.45</v>
      </c>
      <c r="R147" s="4">
        <v>2.25</v>
      </c>
      <c r="S147" s="4">
        <v>4.1399999999999997</v>
      </c>
      <c r="T147" s="4">
        <v>0.27</v>
      </c>
      <c r="U147" s="4">
        <v>1.62</v>
      </c>
      <c r="V147" s="4">
        <v>0.9</v>
      </c>
      <c r="W147" s="4">
        <v>26.1</v>
      </c>
      <c r="X147" s="4">
        <v>10.71</v>
      </c>
      <c r="Y147" s="4">
        <v>14.94</v>
      </c>
      <c r="Z147" s="4">
        <v>20.97</v>
      </c>
      <c r="AA147" s="4">
        <v>17.28</v>
      </c>
      <c r="AB147" s="4">
        <v>15.66</v>
      </c>
      <c r="AC147" s="4">
        <v>9.18</v>
      </c>
      <c r="AD147" s="4">
        <v>0.45</v>
      </c>
      <c r="AE147" s="4">
        <v>3.06</v>
      </c>
      <c r="AF147" s="4">
        <v>8.2799999999999994</v>
      </c>
      <c r="AG147" s="4">
        <v>4.7699999999999996</v>
      </c>
      <c r="AH147" s="6">
        <f>Datos_originales!$H142/Datos_originales!$E142</f>
        <v>1.323845771967566E-3</v>
      </c>
      <c r="AI147" s="6">
        <f>Datos_originales!$I142/Datos_originales!$E142</f>
        <v>3.6957361134094544E-3</v>
      </c>
      <c r="AJ147" s="6">
        <f>Datos_originales!$J142/Datos_originales!$E142</f>
        <v>3.3096144299189149E-3</v>
      </c>
      <c r="AK147" s="6">
        <f>Datos_originales!$K142/Datos_originales!$E142</f>
        <v>8.4395167962932321E-3</v>
      </c>
      <c r="AL147" s="6">
        <f>Datos_originales!$L142/Datos_originales!$E142</f>
        <v>7.9430746318053958E-3</v>
      </c>
      <c r="AM147" s="6">
        <f>Datos_originales!$M142/Datos_originales!$E142</f>
        <v>1.8478680567047271E-2</v>
      </c>
      <c r="AN147" s="6">
        <f>Datos_originales!$N142/Datos_originales!$E142</f>
        <v>7.0605107838270179E-3</v>
      </c>
      <c r="AO147" s="6">
        <f>Datos_originales!$O142/Datos_originales!$E142</f>
        <v>4.5231397208891841E-3</v>
      </c>
      <c r="AP147" s="6">
        <f>Datos_originales!$P142/Datos_originales!$E142</f>
        <v>6.3985878978432345E-3</v>
      </c>
      <c r="AQ147" s="6">
        <f>Datos_originales!$Q142/Datos_originales!$E142</f>
        <v>2.1567654034971594E-2</v>
      </c>
      <c r="AR147" s="6">
        <f>Datos_originales!$R142/Datos_originales!$E142</f>
        <v>8.5167411329913414E-2</v>
      </c>
      <c r="AS147" s="6">
        <f>Datos_originales!$S142/Datos_originales!$E142</f>
        <v>7.2425395774725579E-2</v>
      </c>
      <c r="AT147" s="6">
        <f>Datos_originales!$T142/Datos_originales!$E142</f>
        <v>2.0960891389486458E-3</v>
      </c>
      <c r="AU147" s="6">
        <f>Datos_originales!$U142/Datos_originales!$E142</f>
        <v>1.8202879364554031E-3</v>
      </c>
      <c r="AV147" s="6">
        <f>Datos_originales!$V142/Datos_originales!$E142</f>
        <v>7.3914722268189096E-3</v>
      </c>
      <c r="AW147" s="6">
        <f>Datos_originales!$W142/Datos_originales!$E142</f>
        <v>1.4782944453637819E-2</v>
      </c>
      <c r="AX147" s="6">
        <f>Datos_originales!$X142/Datos_originales!$E142</f>
        <v>1.0259804732748635E-2</v>
      </c>
      <c r="AY147" s="6">
        <f>Datos_originales!$Y142/Datos_originales!$E142</f>
        <v>1.1252689061724309E-2</v>
      </c>
      <c r="AZ147" s="6">
        <f>Datos_originales!$Z142/Datos_originales!$E142</f>
        <v>2.7469799768326992E-2</v>
      </c>
      <c r="BA147" s="6">
        <f>Datos_originales!$AA142/Datos_originales!$E142</f>
        <v>9.377240884770259E-3</v>
      </c>
      <c r="BB147" s="6">
        <f>Datos_originales!$AB142/Datos_originales!$E142</f>
        <v>1.15836505047162E-2</v>
      </c>
      <c r="BC147" s="6">
        <f>Datos_originales!$AC142/Datos_originales!$E142</f>
        <v>1.3072976998179713E-2</v>
      </c>
      <c r="BD147" s="6">
        <f>Datos_originales!$AD142/Datos_originales!$E142</f>
        <v>2.1843455237464837E-2</v>
      </c>
      <c r="BE147" s="6">
        <f>Datos_originales!$AE142/Datos_originales!$E142</f>
        <v>8.6380936620883669E-2</v>
      </c>
      <c r="BF147" s="6">
        <f>Datos_originales!$AF142/Datos_originales!$E142</f>
        <v>8.2078437861989081E-2</v>
      </c>
      <c r="BG147" s="6">
        <f>Datos_originales!$AG142/Datos_originales!$E142</f>
        <v>2.3718903414418888E-3</v>
      </c>
    </row>
    <row r="148" spans="1:59" ht="15.75" customHeight="1">
      <c r="A148" s="2">
        <v>31201</v>
      </c>
      <c r="B148" s="3" t="s">
        <v>132</v>
      </c>
      <c r="C148" s="4" t="s">
        <v>257</v>
      </c>
      <c r="D148" s="4">
        <f>IF(Table_1[[#This Row],[Forest cover 2011]]&lt;1000,"Bosque menor a 1000 ha",Table_1[[#This Row],[Forest cover 2011]])</f>
        <v>112411.35</v>
      </c>
      <c r="E148" s="4">
        <v>112411.35</v>
      </c>
      <c r="F148" s="5">
        <f>AVERAGE(Datos_originales!$H201:$J201)</f>
        <v>0</v>
      </c>
      <c r="G148" s="5">
        <f>AVERAGE(Datos_originales!$R201:$T201)</f>
        <v>0.24</v>
      </c>
      <c r="H148" s="4">
        <v>111.24</v>
      </c>
      <c r="I148" s="4">
        <v>57.69</v>
      </c>
      <c r="J148" s="4">
        <v>74.88</v>
      </c>
      <c r="K148" s="4">
        <v>100.17</v>
      </c>
      <c r="L148" s="4">
        <v>92.52000000000001</v>
      </c>
      <c r="M148" s="4">
        <v>114.48</v>
      </c>
      <c r="N148" s="4">
        <v>191.34</v>
      </c>
      <c r="O148" s="4">
        <v>257.85000000000002</v>
      </c>
      <c r="P148" s="4">
        <v>230.22</v>
      </c>
      <c r="Q148" s="4">
        <v>291.69</v>
      </c>
      <c r="R148" s="4">
        <v>147.41999999999999</v>
      </c>
      <c r="S148" s="4">
        <v>416.79</v>
      </c>
      <c r="T148" s="4">
        <v>147.87</v>
      </c>
      <c r="U148" s="4">
        <v>555.39</v>
      </c>
      <c r="V148" s="4">
        <v>316.8</v>
      </c>
      <c r="W148" s="4">
        <v>531.18000000000006</v>
      </c>
      <c r="X148" s="4">
        <v>302.04000000000002</v>
      </c>
      <c r="Y148" s="4">
        <v>215.64</v>
      </c>
      <c r="Z148" s="4">
        <v>336.05999999999989</v>
      </c>
      <c r="AA148" s="4">
        <v>472.86</v>
      </c>
      <c r="AB148" s="4">
        <v>588.69000000000005</v>
      </c>
      <c r="AC148" s="4">
        <v>389.7</v>
      </c>
      <c r="AD148" s="4">
        <v>443.97</v>
      </c>
      <c r="AE148" s="4">
        <v>253.35</v>
      </c>
      <c r="AF148" s="4">
        <v>780.12</v>
      </c>
      <c r="AG148" s="4">
        <v>157.77000000000001</v>
      </c>
      <c r="AH148" s="6">
        <f>Datos_originales!$H201/Datos_originales!$E201</f>
        <v>0</v>
      </c>
      <c r="AI148" s="6">
        <f>Datos_originales!$I201/Datos_originales!$E201</f>
        <v>0</v>
      </c>
      <c r="AJ148" s="6">
        <f>Datos_originales!$J201/Datos_originales!$E201</f>
        <v>0</v>
      </c>
      <c r="AK148" s="6">
        <f>Datos_originales!$K201/Datos_originales!$E201</f>
        <v>0</v>
      </c>
      <c r="AL148" s="6">
        <f>Datos_originales!$L201/Datos_originales!$E201</f>
        <v>0</v>
      </c>
      <c r="AM148" s="6">
        <f>Datos_originales!$M201/Datos_originales!$E201</f>
        <v>0</v>
      </c>
      <c r="AN148" s="6">
        <f>Datos_originales!$N201/Datos_originales!$E201</f>
        <v>0</v>
      </c>
      <c r="AO148" s="6">
        <f>Datos_originales!$O201/Datos_originales!$E201</f>
        <v>0</v>
      </c>
      <c r="AP148" s="6">
        <f>Datos_originales!$P201/Datos_originales!$E201</f>
        <v>0</v>
      </c>
      <c r="AQ148" s="6">
        <f>Datos_originales!$Q201/Datos_originales!$E201</f>
        <v>0</v>
      </c>
      <c r="AR148" s="6">
        <f>Datos_originales!$R201/Datos_originales!$E201</f>
        <v>0</v>
      </c>
      <c r="AS148" s="6">
        <f>Datos_originales!$S201/Datos_originales!$E201</f>
        <v>0</v>
      </c>
      <c r="AT148" s="6">
        <f>Datos_originales!$T201/Datos_originales!$E201</f>
        <v>0.15686274509803921</v>
      </c>
      <c r="AU148" s="6">
        <f>Datos_originales!$U201/Datos_originales!$E201</f>
        <v>0</v>
      </c>
      <c r="AV148" s="6">
        <f>Datos_originales!$V201/Datos_originales!$E201</f>
        <v>0</v>
      </c>
      <c r="AW148" s="6">
        <f>Datos_originales!$W201/Datos_originales!$E201</f>
        <v>0.11764705882352942</v>
      </c>
      <c r="AX148" s="6">
        <f>Datos_originales!$X201/Datos_originales!$E201</f>
        <v>0</v>
      </c>
      <c r="AY148" s="6">
        <f>Datos_originales!$Y201/Datos_originales!$E201</f>
        <v>0</v>
      </c>
      <c r="AZ148" s="6">
        <f>Datos_originales!$Z201/Datos_originales!$E201</f>
        <v>0</v>
      </c>
      <c r="BA148" s="6">
        <f>Datos_originales!$AA201/Datos_originales!$E201</f>
        <v>0</v>
      </c>
      <c r="BB148" s="6">
        <f>Datos_originales!$AB201/Datos_originales!$E201</f>
        <v>0</v>
      </c>
      <c r="BC148" s="6">
        <f>Datos_originales!$AC201/Datos_originales!$E201</f>
        <v>0</v>
      </c>
      <c r="BD148" s="6">
        <f>Datos_originales!$AD201/Datos_originales!$E201</f>
        <v>0</v>
      </c>
      <c r="BE148" s="6">
        <f>Datos_originales!$AE201/Datos_originales!$E201</f>
        <v>0</v>
      </c>
      <c r="BF148" s="6">
        <f>Datos_originales!$AF201/Datos_originales!$E201</f>
        <v>0</v>
      </c>
      <c r="BG148" s="6">
        <f>Datos_originales!$AG201/Datos_originales!$E201</f>
        <v>0.21568627450980393</v>
      </c>
    </row>
    <row r="149" spans="1:59" ht="15.75" customHeight="1">
      <c r="A149" s="2">
        <v>31202</v>
      </c>
      <c r="B149" s="3" t="s">
        <v>132</v>
      </c>
      <c r="C149" s="4" t="s">
        <v>269</v>
      </c>
      <c r="D149" s="4">
        <f>IF(Table_1[[#This Row],[Forest cover 2011]]&lt;1000,"Bosque menor a 1000 ha",Table_1[[#This Row],[Forest cover 2011]])</f>
        <v>166000.68</v>
      </c>
      <c r="E149" s="4">
        <v>166000.68</v>
      </c>
      <c r="F149" s="5">
        <f>AVERAGE(Datos_originales!$H214:$J214)</f>
        <v>0.03</v>
      </c>
      <c r="G149" s="5">
        <f>AVERAGE(Datos_originales!$R214:$T214)</f>
        <v>0.75</v>
      </c>
      <c r="H149" s="4">
        <v>127.89</v>
      </c>
      <c r="I149" s="4">
        <v>73.89</v>
      </c>
      <c r="J149" s="4">
        <v>76.679999999999993</v>
      </c>
      <c r="K149" s="4">
        <v>106.47</v>
      </c>
      <c r="L149" s="4">
        <v>80.19</v>
      </c>
      <c r="M149" s="4">
        <v>148.13999999999999</v>
      </c>
      <c r="N149" s="4">
        <v>201.24</v>
      </c>
      <c r="O149" s="4">
        <v>156.69</v>
      </c>
      <c r="P149" s="4">
        <v>173.25</v>
      </c>
      <c r="Q149" s="4">
        <v>87.210000000000008</v>
      </c>
      <c r="R149" s="4">
        <v>157.68</v>
      </c>
      <c r="S149" s="4">
        <v>383.76</v>
      </c>
      <c r="T149" s="4">
        <v>108.09</v>
      </c>
      <c r="U149" s="4">
        <v>558.08999999999992</v>
      </c>
      <c r="V149" s="4">
        <v>357.21</v>
      </c>
      <c r="W149" s="4">
        <v>497.97</v>
      </c>
      <c r="X149" s="4">
        <v>341.82</v>
      </c>
      <c r="Y149" s="4">
        <v>230.31</v>
      </c>
      <c r="Z149" s="4">
        <v>370.8</v>
      </c>
      <c r="AA149" s="4">
        <v>459.36</v>
      </c>
      <c r="AB149" s="4">
        <v>510.3</v>
      </c>
      <c r="AC149" s="4">
        <v>405.9</v>
      </c>
      <c r="AD149" s="4">
        <v>436.77</v>
      </c>
      <c r="AE149" s="4">
        <v>220.68</v>
      </c>
      <c r="AF149" s="4">
        <v>661.32</v>
      </c>
      <c r="AG149" s="4">
        <v>113.49</v>
      </c>
      <c r="AH149" s="6">
        <f>Datos_originales!$H214/Datos_originales!$E214</f>
        <v>0</v>
      </c>
      <c r="AI149" s="6">
        <f>Datos_originales!$I214/Datos_originales!$E214</f>
        <v>1.8268176835951772E-4</v>
      </c>
      <c r="AJ149" s="6">
        <f>Datos_originales!$J214/Datos_originales!$E214</f>
        <v>0</v>
      </c>
      <c r="AK149" s="6">
        <f>Datos_originales!$K214/Datos_originales!$E214</f>
        <v>0</v>
      </c>
      <c r="AL149" s="6">
        <f>Datos_originales!$L214/Datos_originales!$E214</f>
        <v>0</v>
      </c>
      <c r="AM149" s="6">
        <f>Datos_originales!$M214/Datos_originales!$E214</f>
        <v>0</v>
      </c>
      <c r="AN149" s="6">
        <f>Datos_originales!$N214/Datos_originales!$E214</f>
        <v>0</v>
      </c>
      <c r="AO149" s="6">
        <f>Datos_originales!$O214/Datos_originales!$E214</f>
        <v>0</v>
      </c>
      <c r="AP149" s="6">
        <f>Datos_originales!$P214/Datos_originales!$E214</f>
        <v>0</v>
      </c>
      <c r="AQ149" s="6">
        <f>Datos_originales!$Q214/Datos_originales!$E214</f>
        <v>0</v>
      </c>
      <c r="AR149" s="6">
        <f>Datos_originales!$R214/Datos_originales!$E214</f>
        <v>0</v>
      </c>
      <c r="AS149" s="6">
        <f>Datos_originales!$S214/Datos_originales!$E214</f>
        <v>4.5670442089879425E-3</v>
      </c>
      <c r="AT149" s="6">
        <f>Datos_originales!$T214/Datos_originales!$E214</f>
        <v>0</v>
      </c>
      <c r="AU149" s="6">
        <f>Datos_originales!$U214/Datos_originales!$E214</f>
        <v>9.4994519546949211E-3</v>
      </c>
      <c r="AV149" s="6">
        <f>Datos_originales!$V214/Datos_originales!$E214</f>
        <v>7.4899525027402264E-3</v>
      </c>
      <c r="AW149" s="6">
        <f>Datos_originales!$W214/Datos_originales!$E214</f>
        <v>2.4844720496894408E-2</v>
      </c>
      <c r="AX149" s="6">
        <f>Datos_originales!$X214/Datos_originales!$E214</f>
        <v>1.2787723785166239E-3</v>
      </c>
      <c r="AY149" s="6">
        <f>Datos_originales!$Y214/Datos_originales!$E214</f>
        <v>6.3938618925831201E-3</v>
      </c>
      <c r="AZ149" s="6">
        <f>Datos_originales!$Z214/Datos_originales!$E214</f>
        <v>5.1150895140664957E-3</v>
      </c>
      <c r="BA149" s="6">
        <f>Datos_originales!$AA214/Datos_originales!$E214</f>
        <v>6.3938618925831201E-3</v>
      </c>
      <c r="BB149" s="6">
        <f>Datos_originales!$AB214/Datos_originales!$E214</f>
        <v>4.2016806722689074E-3</v>
      </c>
      <c r="BC149" s="6">
        <f>Datos_originales!$AC214/Datos_originales!$E214</f>
        <v>2.0643039824625502E-2</v>
      </c>
      <c r="BD149" s="6">
        <f>Datos_originales!$AD214/Datos_originales!$E214</f>
        <v>0</v>
      </c>
      <c r="BE149" s="6">
        <f>Datos_originales!$AE214/Datos_originales!$E214</f>
        <v>5.4804530507855317E-4</v>
      </c>
      <c r="BF149" s="6">
        <f>Datos_originales!$AF214/Datos_originales!$E214</f>
        <v>6.9419071976616733E-3</v>
      </c>
      <c r="BG149" s="6">
        <f>Datos_originales!$AG214/Datos_originales!$E214</f>
        <v>4.9324077457069786E-3</v>
      </c>
    </row>
    <row r="150" spans="1:59" ht="15.75" customHeight="1">
      <c r="A150" s="2">
        <v>31203</v>
      </c>
      <c r="B150" s="3" t="s">
        <v>132</v>
      </c>
      <c r="C150" s="4" t="s">
        <v>251</v>
      </c>
      <c r="D150" s="4">
        <f>IF(Table_1[[#This Row],[Forest cover 2011]]&lt;1000,"Bosque menor a 1000 ha",Table_1[[#This Row],[Forest cover 2011]])</f>
        <v>10098.81</v>
      </c>
      <c r="E150" s="4">
        <v>10098.81</v>
      </c>
      <c r="F150" s="5">
        <f>AVERAGE(Datos_originales!$H195:$J195)</f>
        <v>0</v>
      </c>
      <c r="G150" s="5">
        <f>AVERAGE(Datos_originales!$R195:$T195)</f>
        <v>0</v>
      </c>
      <c r="H150" s="4">
        <v>0.72</v>
      </c>
      <c r="I150" s="4">
        <v>0.63</v>
      </c>
      <c r="J150" s="4">
        <v>0.81</v>
      </c>
      <c r="K150" s="4">
        <v>0.27</v>
      </c>
      <c r="L150" s="4">
        <v>0.72</v>
      </c>
      <c r="M150" s="4">
        <v>3.69</v>
      </c>
      <c r="N150" s="4">
        <v>2.25</v>
      </c>
      <c r="O150" s="4">
        <v>0.27</v>
      </c>
      <c r="P150" s="4">
        <v>1.62</v>
      </c>
      <c r="Q150" s="4">
        <v>4.68</v>
      </c>
      <c r="R150" s="4">
        <v>18.18</v>
      </c>
      <c r="S150" s="4">
        <v>109.53</v>
      </c>
      <c r="T150" s="4">
        <v>15.12</v>
      </c>
      <c r="U150" s="4">
        <v>22.95</v>
      </c>
      <c r="V150" s="4">
        <v>19.079999999999998</v>
      </c>
      <c r="W150" s="4">
        <v>167.85</v>
      </c>
      <c r="X150" s="4">
        <v>20.52</v>
      </c>
      <c r="Y150" s="4">
        <v>9.7200000000000006</v>
      </c>
      <c r="Z150" s="4">
        <v>30.78</v>
      </c>
      <c r="AA150" s="4">
        <v>62.46</v>
      </c>
      <c r="AB150" s="4">
        <v>73.98</v>
      </c>
      <c r="AC150" s="4">
        <v>29.88</v>
      </c>
      <c r="AD150" s="4">
        <v>5.58</v>
      </c>
      <c r="AE150" s="4">
        <v>32.31</v>
      </c>
      <c r="AF150" s="4">
        <v>322.02</v>
      </c>
      <c r="AG150" s="4">
        <v>17.91</v>
      </c>
      <c r="AH150" s="6" t="e">
        <f>Datos_originales!$H195/Datos_originales!$E195</f>
        <v>#DIV/0!</v>
      </c>
      <c r="AI150" s="6" t="e">
        <f>Datos_originales!$I195/Datos_originales!$E195</f>
        <v>#DIV/0!</v>
      </c>
      <c r="AJ150" s="6" t="e">
        <f>Datos_originales!$J195/Datos_originales!$E195</f>
        <v>#DIV/0!</v>
      </c>
      <c r="AK150" s="6" t="e">
        <f>Datos_originales!$K195/Datos_originales!$E195</f>
        <v>#DIV/0!</v>
      </c>
      <c r="AL150" s="6" t="e">
        <f>Datos_originales!$L195/Datos_originales!$E195</f>
        <v>#DIV/0!</v>
      </c>
      <c r="AM150" s="6" t="e">
        <f>Datos_originales!$M195/Datos_originales!$E195</f>
        <v>#DIV/0!</v>
      </c>
      <c r="AN150" s="6" t="e">
        <f>Datos_originales!$N195/Datos_originales!$E195</f>
        <v>#DIV/0!</v>
      </c>
      <c r="AO150" s="6" t="e">
        <f>Datos_originales!$O195/Datos_originales!$E195</f>
        <v>#DIV/0!</v>
      </c>
      <c r="AP150" s="6" t="e">
        <f>Datos_originales!$P195/Datos_originales!$E195</f>
        <v>#DIV/0!</v>
      </c>
      <c r="AQ150" s="6" t="e">
        <f>Datos_originales!$Q195/Datos_originales!$E195</f>
        <v>#DIV/0!</v>
      </c>
      <c r="AR150" s="6" t="e">
        <f>Datos_originales!$R195/Datos_originales!$E195</f>
        <v>#DIV/0!</v>
      </c>
      <c r="AS150" s="6" t="e">
        <f>Datos_originales!$S195/Datos_originales!$E195</f>
        <v>#DIV/0!</v>
      </c>
      <c r="AT150" s="6" t="e">
        <f>Datos_originales!$T195/Datos_originales!$E195</f>
        <v>#DIV/0!</v>
      </c>
      <c r="AU150" s="6" t="e">
        <f>Datos_originales!$U195/Datos_originales!$E195</f>
        <v>#DIV/0!</v>
      </c>
      <c r="AV150" s="6" t="e">
        <f>Datos_originales!$V195/Datos_originales!$E195</f>
        <v>#DIV/0!</v>
      </c>
      <c r="AW150" s="6" t="e">
        <f>Datos_originales!$W195/Datos_originales!$E195</f>
        <v>#DIV/0!</v>
      </c>
      <c r="AX150" s="6" t="e">
        <f>Datos_originales!$X195/Datos_originales!$E195</f>
        <v>#DIV/0!</v>
      </c>
      <c r="AY150" s="6" t="e">
        <f>Datos_originales!$Y195/Datos_originales!$E195</f>
        <v>#DIV/0!</v>
      </c>
      <c r="AZ150" s="6" t="e">
        <f>Datos_originales!$Z195/Datos_originales!$E195</f>
        <v>#DIV/0!</v>
      </c>
      <c r="BA150" s="6" t="e">
        <f>Datos_originales!$AA195/Datos_originales!$E195</f>
        <v>#DIV/0!</v>
      </c>
      <c r="BB150" s="6" t="e">
        <f>Datos_originales!$AB195/Datos_originales!$E195</f>
        <v>#DIV/0!</v>
      </c>
      <c r="BC150" s="6" t="e">
        <f>Datos_originales!$AC195/Datos_originales!$E195</f>
        <v>#DIV/0!</v>
      </c>
      <c r="BD150" s="6" t="e">
        <f>Datos_originales!$AD195/Datos_originales!$E195</f>
        <v>#DIV/0!</v>
      </c>
      <c r="BE150" s="6" t="e">
        <f>Datos_originales!$AE195/Datos_originales!$E195</f>
        <v>#DIV/0!</v>
      </c>
      <c r="BF150" s="6" t="e">
        <f>Datos_originales!$AF195/Datos_originales!$E195</f>
        <v>#DIV/0!</v>
      </c>
      <c r="BG150" s="6" t="e">
        <f>Datos_originales!$AG195/Datos_originales!$E195</f>
        <v>#DIV/0!</v>
      </c>
    </row>
    <row r="151" spans="1:59" ht="15.75" customHeight="1">
      <c r="A151" s="2">
        <v>31204</v>
      </c>
      <c r="B151" s="3" t="s">
        <v>132</v>
      </c>
      <c r="C151" s="4" t="s">
        <v>133</v>
      </c>
      <c r="D151" s="4">
        <f>IF(Table_1[[#This Row],[Forest cover 2011]]&lt;1000,"Bosque menor a 1000 ha",Table_1[[#This Row],[Forest cover 2011]])</f>
        <v>207111.51</v>
      </c>
      <c r="E151" s="4">
        <v>207111.51</v>
      </c>
      <c r="F151" s="5">
        <f>AVERAGE(Datos_originales!$H70:$J70)</f>
        <v>0</v>
      </c>
      <c r="G151" s="5">
        <f>AVERAGE(Datos_originales!$R70:$T70)</f>
        <v>0</v>
      </c>
      <c r="H151" s="4">
        <v>547.29</v>
      </c>
      <c r="I151" s="4">
        <v>892.08</v>
      </c>
      <c r="J151" s="4">
        <v>986.67</v>
      </c>
      <c r="K151" s="4">
        <v>665.81999999999994</v>
      </c>
      <c r="L151" s="4">
        <v>627.12</v>
      </c>
      <c r="M151" s="4">
        <v>667.35</v>
      </c>
      <c r="N151" s="4">
        <v>669.78</v>
      </c>
      <c r="O151" s="4">
        <v>658.17</v>
      </c>
      <c r="P151" s="4">
        <v>1328.49</v>
      </c>
      <c r="Q151" s="4">
        <v>1800</v>
      </c>
      <c r="R151" s="4">
        <v>205.92</v>
      </c>
      <c r="S151" s="4">
        <v>2027.07</v>
      </c>
      <c r="T151" s="4">
        <v>1611.54</v>
      </c>
      <c r="U151" s="4">
        <v>3354.48</v>
      </c>
      <c r="V151" s="4">
        <v>2905.38</v>
      </c>
      <c r="W151" s="4">
        <v>3168.72</v>
      </c>
      <c r="X151" s="4">
        <v>3292.56</v>
      </c>
      <c r="Y151" s="4">
        <v>1374.03</v>
      </c>
      <c r="Z151" s="4">
        <v>1278.3599999999999</v>
      </c>
      <c r="AA151" s="4">
        <v>1834.11</v>
      </c>
      <c r="AB151" s="4">
        <v>1545.12</v>
      </c>
      <c r="AC151" s="4">
        <v>1945.44</v>
      </c>
      <c r="AD151" s="4">
        <v>2275.29</v>
      </c>
      <c r="AE151" s="4">
        <v>565.47</v>
      </c>
      <c r="AF151" s="4">
        <v>2681.46</v>
      </c>
      <c r="AG151" s="4">
        <v>4749.75</v>
      </c>
      <c r="AH151" s="6" t="e">
        <f>Datos_originales!$H70/Datos_originales!$E70</f>
        <v>#DIV/0!</v>
      </c>
      <c r="AI151" s="6" t="e">
        <f>Datos_originales!$I70/Datos_originales!$E70</f>
        <v>#DIV/0!</v>
      </c>
      <c r="AJ151" s="6" t="e">
        <f>Datos_originales!$J70/Datos_originales!$E70</f>
        <v>#DIV/0!</v>
      </c>
      <c r="AK151" s="6" t="e">
        <f>Datos_originales!$K70/Datos_originales!$E70</f>
        <v>#DIV/0!</v>
      </c>
      <c r="AL151" s="6" t="e">
        <f>Datos_originales!$L70/Datos_originales!$E70</f>
        <v>#DIV/0!</v>
      </c>
      <c r="AM151" s="6" t="e">
        <f>Datos_originales!$M70/Datos_originales!$E70</f>
        <v>#DIV/0!</v>
      </c>
      <c r="AN151" s="6" t="e">
        <f>Datos_originales!$N70/Datos_originales!$E70</f>
        <v>#DIV/0!</v>
      </c>
      <c r="AO151" s="6" t="e">
        <f>Datos_originales!$O70/Datos_originales!$E70</f>
        <v>#DIV/0!</v>
      </c>
      <c r="AP151" s="6" t="e">
        <f>Datos_originales!$P70/Datos_originales!$E70</f>
        <v>#DIV/0!</v>
      </c>
      <c r="AQ151" s="6" t="e">
        <f>Datos_originales!$Q70/Datos_originales!$E70</f>
        <v>#DIV/0!</v>
      </c>
      <c r="AR151" s="6" t="e">
        <f>Datos_originales!$R70/Datos_originales!$E70</f>
        <v>#DIV/0!</v>
      </c>
      <c r="AS151" s="6" t="e">
        <f>Datos_originales!$S70/Datos_originales!$E70</f>
        <v>#DIV/0!</v>
      </c>
      <c r="AT151" s="6" t="e">
        <f>Datos_originales!$T70/Datos_originales!$E70</f>
        <v>#DIV/0!</v>
      </c>
      <c r="AU151" s="6" t="e">
        <f>Datos_originales!$U70/Datos_originales!$E70</f>
        <v>#DIV/0!</v>
      </c>
      <c r="AV151" s="6" t="e">
        <f>Datos_originales!$V70/Datos_originales!$E70</f>
        <v>#DIV/0!</v>
      </c>
      <c r="AW151" s="6" t="e">
        <f>Datos_originales!$W70/Datos_originales!$E70</f>
        <v>#DIV/0!</v>
      </c>
      <c r="AX151" s="6" t="e">
        <f>Datos_originales!$X70/Datos_originales!$E70</f>
        <v>#DIV/0!</v>
      </c>
      <c r="AY151" s="6" t="e">
        <f>Datos_originales!$Y70/Datos_originales!$E70</f>
        <v>#DIV/0!</v>
      </c>
      <c r="AZ151" s="6" t="e">
        <f>Datos_originales!$Z70/Datos_originales!$E70</f>
        <v>#DIV/0!</v>
      </c>
      <c r="BA151" s="6" t="e">
        <f>Datos_originales!$AA70/Datos_originales!$E70</f>
        <v>#DIV/0!</v>
      </c>
      <c r="BB151" s="6" t="e">
        <f>Datos_originales!$AB70/Datos_originales!$E70</f>
        <v>#DIV/0!</v>
      </c>
      <c r="BC151" s="6" t="e">
        <f>Datos_originales!$AC70/Datos_originales!$E70</f>
        <v>#DIV/0!</v>
      </c>
      <c r="BD151" s="6" t="e">
        <f>Datos_originales!$AD70/Datos_originales!$E70</f>
        <v>#DIV/0!</v>
      </c>
      <c r="BE151" s="6" t="e">
        <f>Datos_originales!$AE70/Datos_originales!$E70</f>
        <v>#DIV/0!</v>
      </c>
      <c r="BF151" s="6" t="e">
        <f>Datos_originales!$AF70/Datos_originales!$E70</f>
        <v>#DIV/0!</v>
      </c>
      <c r="BG151" s="6" t="e">
        <f>Datos_originales!$AG70/Datos_originales!$E70</f>
        <v>#DIV/0!</v>
      </c>
    </row>
    <row r="152" spans="1:59" ht="15.75" customHeight="1">
      <c r="A152" s="2">
        <v>31205</v>
      </c>
      <c r="B152" s="3" t="s">
        <v>132</v>
      </c>
      <c r="C152" s="4" t="s">
        <v>145</v>
      </c>
      <c r="D152" s="4">
        <f>IF(Table_1[[#This Row],[Forest cover 2011]]&lt;1000,"Bosque menor a 1000 ha",Table_1[[#This Row],[Forest cover 2011]])</f>
        <v>123398.37</v>
      </c>
      <c r="E152" s="4">
        <v>123398.37</v>
      </c>
      <c r="F152" s="5">
        <f>AVERAGE(Datos_originales!$H84:$J84)</f>
        <v>0.3</v>
      </c>
      <c r="G152" s="5">
        <f>AVERAGE(Datos_originales!$R84:$T84)</f>
        <v>16.68</v>
      </c>
      <c r="H152" s="4">
        <v>1312.11</v>
      </c>
      <c r="I152" s="4">
        <v>1573.65</v>
      </c>
      <c r="J152" s="4">
        <v>2315.79</v>
      </c>
      <c r="K152" s="4">
        <v>1473.93</v>
      </c>
      <c r="L152" s="4">
        <v>1162.53</v>
      </c>
      <c r="M152" s="4">
        <v>1509.57</v>
      </c>
      <c r="N152" s="4">
        <v>1629</v>
      </c>
      <c r="O152" s="4">
        <v>1298.79</v>
      </c>
      <c r="P152" s="4">
        <v>2679.39</v>
      </c>
      <c r="Q152" s="4">
        <v>3707.82</v>
      </c>
      <c r="R152" s="4">
        <v>422.91</v>
      </c>
      <c r="S152" s="4">
        <v>3153.78</v>
      </c>
      <c r="T152" s="4">
        <v>2219.04</v>
      </c>
      <c r="U152" s="4">
        <v>1999.89</v>
      </c>
      <c r="V152" s="4">
        <v>1995.48</v>
      </c>
      <c r="W152" s="4">
        <v>2780.73</v>
      </c>
      <c r="X152" s="4">
        <v>2032.38</v>
      </c>
      <c r="Y152" s="4">
        <v>1345.59</v>
      </c>
      <c r="Z152" s="4">
        <v>1718.82</v>
      </c>
      <c r="AA152" s="4">
        <v>1941.66</v>
      </c>
      <c r="AB152" s="4">
        <v>1659.78</v>
      </c>
      <c r="AC152" s="4">
        <v>2927.7</v>
      </c>
      <c r="AD152" s="4">
        <v>4068.27</v>
      </c>
      <c r="AE152" s="4">
        <v>580.77</v>
      </c>
      <c r="AF152" s="4">
        <v>3755.79</v>
      </c>
      <c r="AG152" s="4">
        <v>2308.59</v>
      </c>
      <c r="AH152" s="6">
        <f>Datos_originales!$H84/Datos_originales!$E84</f>
        <v>1.5441630636195183E-4</v>
      </c>
      <c r="AI152" s="6">
        <f>Datos_originales!$I84/Datos_originales!$E84</f>
        <v>1.0294420424130121E-4</v>
      </c>
      <c r="AJ152" s="6">
        <f>Datos_originales!$J84/Datos_originales!$E84</f>
        <v>2.5736051060325303E-4</v>
      </c>
      <c r="AK152" s="6">
        <f>Datos_originales!$K84/Datos_originales!$E84</f>
        <v>1.5441630636195183E-4</v>
      </c>
      <c r="AL152" s="6">
        <f>Datos_originales!$L84/Datos_originales!$E84</f>
        <v>1.0294420424130121E-4</v>
      </c>
      <c r="AM152" s="6">
        <f>Datos_originales!$M84/Datos_originales!$E84</f>
        <v>0</v>
      </c>
      <c r="AN152" s="6">
        <f>Datos_originales!$N84/Datos_originales!$E84</f>
        <v>0</v>
      </c>
      <c r="AO152" s="6">
        <f>Datos_originales!$O84/Datos_originales!$E84</f>
        <v>5.1472102120650604E-5</v>
      </c>
      <c r="AP152" s="6">
        <f>Datos_originales!$P84/Datos_originales!$E84</f>
        <v>5.1472102120650604E-5</v>
      </c>
      <c r="AQ152" s="6">
        <f>Datos_originales!$Q84/Datos_originales!$E84</f>
        <v>0</v>
      </c>
      <c r="AR152" s="6">
        <f>Datos_originales!$R84/Datos_originales!$E84</f>
        <v>0</v>
      </c>
      <c r="AS152" s="6">
        <f>Datos_originales!$S84/Datos_originales!$E84</f>
        <v>5.0442660078237594E-3</v>
      </c>
      <c r="AT152" s="6">
        <f>Datos_originales!$T84/Datos_originales!$E84</f>
        <v>2.3574222771257976E-2</v>
      </c>
      <c r="AU152" s="6">
        <f>Datos_originales!$U84/Datos_originales!$E84</f>
        <v>8.5443689520279999E-3</v>
      </c>
      <c r="AV152" s="6">
        <f>Datos_originales!$V84/Datos_originales!$E84</f>
        <v>5.5075149269096157E-3</v>
      </c>
      <c r="AW152" s="6">
        <f>Datos_originales!$W84/Datos_originales!$E84</f>
        <v>1.0345892526250773E-2</v>
      </c>
      <c r="AX152" s="6">
        <f>Datos_originales!$X84/Datos_originales!$E84</f>
        <v>2.8824377187564344E-3</v>
      </c>
      <c r="AY152" s="6">
        <f>Datos_originales!$Y84/Datos_originales!$E84</f>
        <v>2.4706609017912293E-3</v>
      </c>
      <c r="AZ152" s="6">
        <f>Datos_originales!$Z84/Datos_originales!$E84</f>
        <v>1.3382746551369158E-3</v>
      </c>
      <c r="BA152" s="6">
        <f>Datos_originales!$AA84/Datos_originales!$E84</f>
        <v>1.8529956763434221E-3</v>
      </c>
      <c r="BB152" s="6">
        <f>Datos_originales!$AB84/Datos_originales!$E84</f>
        <v>2.3677166975499277E-3</v>
      </c>
      <c r="BC152" s="6">
        <f>Datos_originales!$AC84/Datos_originales!$E84</f>
        <v>3.3456866378422895E-3</v>
      </c>
      <c r="BD152" s="6">
        <f>Datos_originales!$AD84/Datos_originales!$E84</f>
        <v>2.728021412394482E-3</v>
      </c>
      <c r="BE152" s="6">
        <f>Datos_originales!$AE84/Datos_originales!$E84</f>
        <v>2.1618282890673254E-3</v>
      </c>
      <c r="BF152" s="6">
        <f>Datos_originales!$AF84/Datos_originales!$E84</f>
        <v>6.8457895820465313E-3</v>
      </c>
      <c r="BG152" s="6">
        <f>Datos_originales!$AG84/Datos_originales!$E84</f>
        <v>8.7399629400864723E-2</v>
      </c>
    </row>
    <row r="153" spans="1:59" ht="15.75" customHeight="1">
      <c r="A153" s="2">
        <v>31206</v>
      </c>
      <c r="B153" s="3" t="s">
        <v>132</v>
      </c>
      <c r="C153" s="4" t="s">
        <v>164</v>
      </c>
      <c r="D153" s="4">
        <f>IF(Table_1[[#This Row],[Forest cover 2011]]&lt;1000,"Bosque menor a 1000 ha",Table_1[[#This Row],[Forest cover 2011]])</f>
        <v>171517.41</v>
      </c>
      <c r="E153" s="4">
        <v>171517.41</v>
      </c>
      <c r="F153" s="5">
        <f>AVERAGE(Datos_originales!$H103:$J103)</f>
        <v>75.899999999999991</v>
      </c>
      <c r="G153" s="5">
        <f>AVERAGE(Datos_originales!$R103:$T103)</f>
        <v>420.12000000000006</v>
      </c>
      <c r="H153" s="4">
        <v>1964.16</v>
      </c>
      <c r="I153" s="4">
        <v>1389.6</v>
      </c>
      <c r="J153" s="4">
        <v>1753.11</v>
      </c>
      <c r="K153" s="4">
        <v>1136.6099999999999</v>
      </c>
      <c r="L153" s="4">
        <v>1008.9</v>
      </c>
      <c r="M153" s="4">
        <v>984.42</v>
      </c>
      <c r="N153" s="4">
        <v>1050.75</v>
      </c>
      <c r="O153" s="4">
        <v>988.29</v>
      </c>
      <c r="P153" s="4">
        <v>1538.64</v>
      </c>
      <c r="Q153" s="4">
        <v>2700.63</v>
      </c>
      <c r="R153" s="4">
        <v>321.93</v>
      </c>
      <c r="S153" s="4">
        <v>2902.5</v>
      </c>
      <c r="T153" s="4">
        <v>2294.2800000000002</v>
      </c>
      <c r="U153" s="4">
        <v>2471.31</v>
      </c>
      <c r="V153" s="4">
        <v>1616.58</v>
      </c>
      <c r="W153" s="4">
        <v>1980.09</v>
      </c>
      <c r="X153" s="4">
        <v>1329.75</v>
      </c>
      <c r="Y153" s="4">
        <v>1115.3699999999999</v>
      </c>
      <c r="Z153" s="4">
        <v>1147.32</v>
      </c>
      <c r="AA153" s="4">
        <v>1256.8499999999999</v>
      </c>
      <c r="AB153" s="4">
        <v>1254.24</v>
      </c>
      <c r="AC153" s="4">
        <v>1675.62</v>
      </c>
      <c r="AD153" s="4">
        <v>3055.68</v>
      </c>
      <c r="AE153" s="4">
        <v>347.67</v>
      </c>
      <c r="AF153" s="4">
        <v>3510.54</v>
      </c>
      <c r="AG153" s="4">
        <v>2345.85</v>
      </c>
      <c r="AH153" s="6">
        <f>Datos_originales!$H103/Datos_originales!$E103</f>
        <v>1.1449170390683959E-3</v>
      </c>
      <c r="AI153" s="6">
        <f>Datos_originales!$I103/Datos_originales!$E103</f>
        <v>6.1953070549059083E-4</v>
      </c>
      <c r="AJ153" s="6">
        <f>Datos_originales!$J103/Datos_originales!$E103</f>
        <v>2.0772500125272753E-3</v>
      </c>
      <c r="AK153" s="6">
        <f>Datos_originales!$K103/Datos_originales!$E103</f>
        <v>1.6368973051932771E-3</v>
      </c>
      <c r="AL153" s="6">
        <f>Datos_originales!$L103/Datos_originales!$E103</f>
        <v>9.277776006243896E-4</v>
      </c>
      <c r="AM153" s="6">
        <f>Datos_originales!$M103/Datos_originales!$E103</f>
        <v>4.4642653777998465E-4</v>
      </c>
      <c r="AN153" s="6">
        <f>Datos_originales!$N103/Datos_originales!$E103</f>
        <v>1.1175848020614583E-3</v>
      </c>
      <c r="AO153" s="6">
        <f>Datos_originales!$O103/Datos_originales!$E103</f>
        <v>9.308145158473829E-4</v>
      </c>
      <c r="AP153" s="6">
        <f>Datos_originales!$P103/Datos_originales!$E103</f>
        <v>1.6262681019128011E-3</v>
      </c>
      <c r="AQ153" s="6">
        <f>Datos_originales!$Q103/Datos_originales!$E103</f>
        <v>9.0500073645194163E-4</v>
      </c>
      <c r="AR153" s="6">
        <f>Datos_originales!$R103/Datos_originales!$E103</f>
        <v>7.7441338186323878E-4</v>
      </c>
      <c r="AS153" s="6">
        <f>Datos_originales!$S103/Datos_originales!$E103</f>
        <v>1.8967054025203361E-2</v>
      </c>
      <c r="AT153" s="6">
        <f>Datos_originales!$T103/Datos_originales!$E103</f>
        <v>1.5230129843310362E-3</v>
      </c>
      <c r="AU153" s="6">
        <f>Datos_originales!$U103/Datos_originales!$E103</f>
        <v>1.3195396643904986E-3</v>
      </c>
      <c r="AV153" s="6">
        <f>Datos_originales!$V103/Datos_originales!$E103</f>
        <v>7.0152741651140433E-4</v>
      </c>
      <c r="AW153" s="6">
        <f>Datos_originales!$W103/Datos_originales!$E103</f>
        <v>2.5282319231417494E-3</v>
      </c>
      <c r="AX153" s="6">
        <f>Datos_originales!$X103/Datos_originales!$E103</f>
        <v>1.7113017281566079E-3</v>
      </c>
      <c r="AY153" s="6">
        <f>Datos_originales!$Y103/Datos_originales!$E103</f>
        <v>9.9307127791874129E-4</v>
      </c>
      <c r="AZ153" s="6">
        <f>Datos_originales!$Z103/Datos_originales!$E103</f>
        <v>4.8135106284440522E-4</v>
      </c>
      <c r="BA153" s="6">
        <f>Datos_originales!$AA103/Datos_originales!$E103</f>
        <v>1.1692123608523406E-3</v>
      </c>
      <c r="BB153" s="6">
        <f>Datos_originales!$AB103/Datos_originales!$E103</f>
        <v>9.8851590508425161E-4</v>
      </c>
      <c r="BC153" s="6">
        <f>Datos_originales!$AC103/Datos_originales!$E103</f>
        <v>1.6824510335381733E-3</v>
      </c>
      <c r="BD153" s="6">
        <f>Datos_originales!$AD103/Datos_originales!$E103</f>
        <v>1.0264773453716653E-3</v>
      </c>
      <c r="BE153" s="6">
        <f>Datos_originales!$AE103/Datos_originales!$E103</f>
        <v>7.8504258514371442E-4</v>
      </c>
      <c r="BF153" s="6">
        <f>Datos_originales!$AF103/Datos_originales!$E103</f>
        <v>1.9270745547502671E-2</v>
      </c>
      <c r="BG153" s="6">
        <f>Datos_originales!$AG103/Datos_originales!$E103</f>
        <v>2.6284501255005215E-3</v>
      </c>
    </row>
    <row r="154" spans="1:59" ht="15.75" customHeight="1">
      <c r="A154" s="2">
        <v>31301</v>
      </c>
      <c r="B154" s="3" t="s">
        <v>132</v>
      </c>
      <c r="C154" s="4" t="s">
        <v>275</v>
      </c>
      <c r="D154" s="4">
        <f>IF(Table_1[[#This Row],[Forest cover 2011]]&lt;1000,"Bosque menor a 1000 ha",Table_1[[#This Row],[Forest cover 2011]])</f>
        <v>18117.72</v>
      </c>
      <c r="E154" s="4">
        <v>18117.72</v>
      </c>
      <c r="F154" s="5">
        <f>AVERAGE(Datos_originales!$H220:$J220)</f>
        <v>0.87000000000000011</v>
      </c>
      <c r="G154" s="5">
        <f>AVERAGE(Datos_originales!$R220:$T220)</f>
        <v>4.7399999999999993</v>
      </c>
      <c r="H154" s="4">
        <v>0.99</v>
      </c>
      <c r="I154" s="4">
        <v>0.18</v>
      </c>
      <c r="J154" s="4">
        <v>0.36</v>
      </c>
      <c r="K154" s="4">
        <v>0.09</v>
      </c>
      <c r="L154" s="4">
        <v>0.09</v>
      </c>
      <c r="M154" s="4">
        <v>2.52</v>
      </c>
      <c r="N154" s="4">
        <v>0</v>
      </c>
      <c r="O154" s="4">
        <v>0.72</v>
      </c>
      <c r="P154" s="4">
        <v>3.69</v>
      </c>
      <c r="Q154" s="4">
        <v>0.18</v>
      </c>
      <c r="R154" s="4">
        <v>3.42</v>
      </c>
      <c r="S154" s="4">
        <v>16.739999999999998</v>
      </c>
      <c r="T154" s="4">
        <v>7.02</v>
      </c>
      <c r="U154" s="4">
        <v>20.25</v>
      </c>
      <c r="V154" s="4">
        <v>26.82</v>
      </c>
      <c r="W154" s="4">
        <v>246.15</v>
      </c>
      <c r="X154" s="4">
        <v>29.07</v>
      </c>
      <c r="Y154" s="4">
        <v>11.61</v>
      </c>
      <c r="Z154" s="4">
        <v>49.5</v>
      </c>
      <c r="AA154" s="4">
        <v>81.72</v>
      </c>
      <c r="AB154" s="4">
        <v>121.77</v>
      </c>
      <c r="AC154" s="4">
        <v>123.39</v>
      </c>
      <c r="AD154" s="4">
        <v>1.98</v>
      </c>
      <c r="AE154" s="4">
        <v>8.2799999999999994</v>
      </c>
      <c r="AF154" s="4">
        <v>67.23</v>
      </c>
      <c r="AG154" s="4">
        <v>8.4600000000000009</v>
      </c>
      <c r="AH154" s="6">
        <f>Datos_originales!$H220/Datos_originales!$E220</f>
        <v>8.9605734767025085E-3</v>
      </c>
      <c r="AI154" s="6">
        <f>Datos_originales!$I220/Datos_originales!$E220</f>
        <v>1.2544802867383513E-2</v>
      </c>
      <c r="AJ154" s="6">
        <f>Datos_originales!$J220/Datos_originales!$E220</f>
        <v>4.4802867383512543E-3</v>
      </c>
      <c r="AK154" s="6">
        <f>Datos_originales!$K220/Datos_originales!$E220</f>
        <v>2.6881720430107529E-3</v>
      </c>
      <c r="AL154" s="6">
        <f>Datos_originales!$L220/Datos_originales!$E220</f>
        <v>7.1684587813620072E-3</v>
      </c>
      <c r="AM154" s="6">
        <f>Datos_originales!$M220/Datos_originales!$E220</f>
        <v>2.6881720430107529E-3</v>
      </c>
      <c r="AN154" s="6">
        <f>Datos_originales!$N220/Datos_originales!$E220</f>
        <v>3.5842293906810036E-3</v>
      </c>
      <c r="AO154" s="6">
        <f>Datos_originales!$O220/Datos_originales!$E220</f>
        <v>8.0645161290322596E-3</v>
      </c>
      <c r="AP154" s="6">
        <f>Datos_originales!$P220/Datos_originales!$E220</f>
        <v>3.5842293906810036E-3</v>
      </c>
      <c r="AQ154" s="6">
        <f>Datos_originales!$Q220/Datos_originales!$E220</f>
        <v>6.2724014336917565E-3</v>
      </c>
      <c r="AR154" s="6">
        <f>Datos_originales!$R220/Datos_originales!$E220</f>
        <v>0</v>
      </c>
      <c r="AS154" s="6">
        <f>Datos_originales!$S220/Datos_originales!$E220</f>
        <v>1.7921146953405018E-3</v>
      </c>
      <c r="AT154" s="6">
        <f>Datos_originales!$T220/Datos_originales!$E220</f>
        <v>0.13978494623655913</v>
      </c>
      <c r="AU154" s="6">
        <f>Datos_originales!$U220/Datos_originales!$E220</f>
        <v>2.2401433691756272E-2</v>
      </c>
      <c r="AV154" s="6">
        <f>Datos_originales!$V220/Datos_originales!$E220</f>
        <v>1.5232974910394265E-2</v>
      </c>
      <c r="AW154" s="6">
        <f>Datos_originales!$W220/Datos_originales!$E220</f>
        <v>1.9713261648745518E-2</v>
      </c>
      <c r="AX154" s="6">
        <f>Datos_originales!$X220/Datos_originales!$E220</f>
        <v>6.2724014336917565E-3</v>
      </c>
      <c r="AY154" s="6">
        <f>Datos_originales!$Y220/Datos_originales!$E220</f>
        <v>9.8566308243727592E-3</v>
      </c>
      <c r="AZ154" s="6">
        <f>Datos_originales!$Z220/Datos_originales!$E220</f>
        <v>6.2724014336917565E-3</v>
      </c>
      <c r="BA154" s="6">
        <f>Datos_originales!$AA220/Datos_originales!$E220</f>
        <v>1.1648745519713261E-2</v>
      </c>
      <c r="BB154" s="6">
        <f>Datos_originales!$AB220/Datos_originales!$E220</f>
        <v>1.2544802867383513E-2</v>
      </c>
      <c r="BC154" s="6">
        <f>Datos_originales!$AC220/Datos_originales!$E220</f>
        <v>4.4802867383512543E-3</v>
      </c>
      <c r="BD154" s="6">
        <f>Datos_originales!$AD220/Datos_originales!$E220</f>
        <v>1.2544802867383513E-2</v>
      </c>
      <c r="BE154" s="6">
        <f>Datos_originales!$AE220/Datos_originales!$E220</f>
        <v>0</v>
      </c>
      <c r="BF154" s="6">
        <f>Datos_originales!$AF220/Datos_originales!$E220</f>
        <v>7.1684587813620072E-3</v>
      </c>
      <c r="BG154" s="6">
        <f>Datos_originales!$AG220/Datos_originales!$E220</f>
        <v>0.38172043010752693</v>
      </c>
    </row>
    <row r="155" spans="1:59" ht="15.75" customHeight="1">
      <c r="A155" s="2">
        <v>31302</v>
      </c>
      <c r="B155" s="3" t="s">
        <v>132</v>
      </c>
      <c r="C155" s="4" t="s">
        <v>287</v>
      </c>
      <c r="D155" s="4">
        <f>IF(Table_1[[#This Row],[Forest cover 2011]]&lt;1000,"Bosque menor a 1000 ha",Table_1[[#This Row],[Forest cover 2011]])</f>
        <v>4788.45</v>
      </c>
      <c r="E155" s="4">
        <v>4788.45</v>
      </c>
      <c r="F155" s="5">
        <f>AVERAGE(Datos_originales!$H232:$J232)</f>
        <v>0.24</v>
      </c>
      <c r="G155" s="5">
        <f>AVERAGE(Datos_originales!$R232:$T232)</f>
        <v>0.98999999999999988</v>
      </c>
      <c r="H155" s="4">
        <v>0.36</v>
      </c>
      <c r="I155" s="4">
        <v>0</v>
      </c>
      <c r="J155" s="4">
        <v>0.18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0.81</v>
      </c>
      <c r="Q155" s="4">
        <v>1.26</v>
      </c>
      <c r="R155" s="4">
        <v>2.7</v>
      </c>
      <c r="S155" s="4">
        <v>3.42</v>
      </c>
      <c r="T155" s="4">
        <v>0.18</v>
      </c>
      <c r="U155" s="4">
        <v>11.52</v>
      </c>
      <c r="V155" s="4">
        <v>17.73</v>
      </c>
      <c r="W155" s="4">
        <v>78.39</v>
      </c>
      <c r="X155" s="4">
        <v>23.94</v>
      </c>
      <c r="Y155" s="4">
        <v>7.65</v>
      </c>
      <c r="Z155" s="4">
        <v>43.47</v>
      </c>
      <c r="AA155" s="4">
        <v>29.52</v>
      </c>
      <c r="AB155" s="4">
        <v>145.44</v>
      </c>
      <c r="AC155" s="4">
        <v>150.12</v>
      </c>
      <c r="AD155" s="4">
        <v>2.4300000000000002</v>
      </c>
      <c r="AE155" s="4">
        <v>5.67</v>
      </c>
      <c r="AF155" s="4">
        <v>31.23</v>
      </c>
      <c r="AG155" s="4">
        <v>0.36</v>
      </c>
      <c r="AH155" s="6">
        <f>Datos_originales!$H232/Datos_originales!$E232</f>
        <v>2.0206102242877348E-4</v>
      </c>
      <c r="AI155" s="6">
        <f>Datos_originales!$I232/Datos_originales!$E232</f>
        <v>4.0412204485754696E-4</v>
      </c>
      <c r="AJ155" s="6">
        <f>Datos_originales!$J232/Datos_originales!$E232</f>
        <v>1.0103051121438675E-3</v>
      </c>
      <c r="AK155" s="6">
        <f>Datos_originales!$K232/Datos_originales!$E232</f>
        <v>8.0824408971509392E-4</v>
      </c>
      <c r="AL155" s="6">
        <f>Datos_originales!$L232/Datos_originales!$E232</f>
        <v>1.0103051121438675E-3</v>
      </c>
      <c r="AM155" s="6">
        <f>Datos_originales!$M232/Datos_originales!$E232</f>
        <v>8.0824408971509392E-4</v>
      </c>
      <c r="AN155" s="6">
        <f>Datos_originales!$N232/Datos_originales!$E232</f>
        <v>5.8597696504344302E-3</v>
      </c>
      <c r="AO155" s="6">
        <f>Datos_originales!$O232/Datos_originales!$E232</f>
        <v>3.2329763588603757E-3</v>
      </c>
      <c r="AP155" s="6">
        <f>Datos_originales!$P232/Datos_originales!$E232</f>
        <v>1.0103051121438675E-3</v>
      </c>
      <c r="AQ155" s="6">
        <f>Datos_originales!$Q232/Datos_originales!$E232</f>
        <v>1.8185492018589612E-3</v>
      </c>
      <c r="AR155" s="6">
        <f>Datos_originales!$R232/Datos_originales!$E232</f>
        <v>0</v>
      </c>
      <c r="AS155" s="6">
        <f>Datos_originales!$S232/Datos_originales!$E232</f>
        <v>2.020610224287735E-3</v>
      </c>
      <c r="AT155" s="6">
        <f>Datos_originales!$T232/Datos_originales!$E232</f>
        <v>4.6474035158617895E-3</v>
      </c>
      <c r="AU155" s="6">
        <f>Datos_originales!$U232/Datos_originales!$E232</f>
        <v>3.6370984037179229E-3</v>
      </c>
      <c r="AV155" s="6">
        <f>Datos_originales!$V232/Datos_originales!$E232</f>
        <v>4.4453424934330164E-3</v>
      </c>
      <c r="AW155" s="6">
        <f>Datos_originales!$W232/Datos_originales!$E232</f>
        <v>1.9195797130733484E-2</v>
      </c>
      <c r="AX155" s="6">
        <f>Datos_originales!$X232/Datos_originales!$E232</f>
        <v>1.0103051121438675E-3</v>
      </c>
      <c r="AY155" s="6">
        <f>Datos_originales!$Y232/Datos_originales!$E232</f>
        <v>1.4144271570014143E-3</v>
      </c>
      <c r="AZ155" s="6">
        <f>Datos_originales!$Z232/Datos_originales!$E232</f>
        <v>1.4144271570014143E-3</v>
      </c>
      <c r="BA155" s="6">
        <f>Datos_originales!$AA232/Datos_originales!$E232</f>
        <v>7.4762578298646189E-3</v>
      </c>
      <c r="BB155" s="6">
        <f>Datos_originales!$AB232/Datos_originales!$E232</f>
        <v>4.0412204485754701E-3</v>
      </c>
      <c r="BC155" s="6">
        <f>Datos_originales!$AC232/Datos_originales!$E232</f>
        <v>2.8288543140028285E-3</v>
      </c>
      <c r="BD155" s="6">
        <f>Datos_originales!$AD232/Datos_originales!$E232</f>
        <v>4.4453424934330164E-3</v>
      </c>
      <c r="BE155" s="6">
        <f>Datos_originales!$AE232/Datos_originales!$E232</f>
        <v>2.0206102242877348E-4</v>
      </c>
      <c r="BF155" s="6">
        <f>Datos_originales!$AF232/Datos_originales!$E232</f>
        <v>4.4453424934330164E-3</v>
      </c>
      <c r="BG155" s="6">
        <f>Datos_originales!$AG232/Datos_originales!$E232</f>
        <v>0.32289351384117998</v>
      </c>
    </row>
    <row r="156" spans="1:59" ht="15.75" customHeight="1">
      <c r="A156" s="2">
        <v>31303</v>
      </c>
      <c r="B156" s="3" t="s">
        <v>132</v>
      </c>
      <c r="C156" s="4" t="s">
        <v>277</v>
      </c>
      <c r="D156" s="4" t="str">
        <f>IF(Table_1[[#This Row],[Forest cover 2011]]&lt;1000,"Bosque menor a 1000 ha",Table_1[[#This Row],[Forest cover 2011]])</f>
        <v>Bosque menor a 1000 ha</v>
      </c>
      <c r="E156" s="4">
        <v>688.14</v>
      </c>
      <c r="F156" s="5">
        <f>AVERAGE(Datos_originales!$H222:$J222)</f>
        <v>0</v>
      </c>
      <c r="G156" s="5">
        <f>AVERAGE(Datos_originales!$R222:$T222)</f>
        <v>0</v>
      </c>
      <c r="H156" s="4">
        <v>0</v>
      </c>
      <c r="I156" s="4">
        <v>0</v>
      </c>
      <c r="J156" s="4">
        <v>0.09</v>
      </c>
      <c r="K156" s="4">
        <v>0</v>
      </c>
      <c r="L156" s="4">
        <v>0.09</v>
      </c>
      <c r="M156" s="4">
        <v>0</v>
      </c>
      <c r="N156" s="4">
        <v>0.09</v>
      </c>
      <c r="O156" s="4">
        <v>0</v>
      </c>
      <c r="P156" s="4">
        <v>0</v>
      </c>
      <c r="Q156" s="4">
        <v>0.45</v>
      </c>
      <c r="R156" s="4">
        <v>1.71</v>
      </c>
      <c r="S156" s="4">
        <v>3.42</v>
      </c>
      <c r="T156" s="4">
        <v>0.18</v>
      </c>
      <c r="U156" s="4">
        <v>1.26</v>
      </c>
      <c r="V156" s="4">
        <v>2.4300000000000002</v>
      </c>
      <c r="W156" s="4">
        <v>13.41</v>
      </c>
      <c r="X156" s="4">
        <v>5.22</v>
      </c>
      <c r="Y156" s="4">
        <v>3.33</v>
      </c>
      <c r="Z156" s="4">
        <v>11.97</v>
      </c>
      <c r="AA156" s="4">
        <v>23.94</v>
      </c>
      <c r="AB156" s="4">
        <v>24.48</v>
      </c>
      <c r="AC156" s="4">
        <v>10.44</v>
      </c>
      <c r="AD156" s="4">
        <v>1.44</v>
      </c>
      <c r="AE156" s="4">
        <v>2.4300000000000002</v>
      </c>
      <c r="AF156" s="4">
        <v>28.62</v>
      </c>
      <c r="AG156" s="4">
        <v>0.18</v>
      </c>
      <c r="AH156" s="6">
        <f>Datos_originales!$H222/Datos_originales!$E222</f>
        <v>0</v>
      </c>
      <c r="AI156" s="6">
        <f>Datos_originales!$I222/Datos_originales!$E222</f>
        <v>0</v>
      </c>
      <c r="AJ156" s="6">
        <f>Datos_originales!$J222/Datos_originales!$E222</f>
        <v>0</v>
      </c>
      <c r="AK156" s="6">
        <f>Datos_originales!$K222/Datos_originales!$E222</f>
        <v>0</v>
      </c>
      <c r="AL156" s="6">
        <f>Datos_originales!$L222/Datos_originales!$E222</f>
        <v>0</v>
      </c>
      <c r="AM156" s="6">
        <f>Datos_originales!$M222/Datos_originales!$E222</f>
        <v>0</v>
      </c>
      <c r="AN156" s="6">
        <f>Datos_originales!$N222/Datos_originales!$E222</f>
        <v>0</v>
      </c>
      <c r="AO156" s="6">
        <f>Datos_originales!$O222/Datos_originales!$E222</f>
        <v>0</v>
      </c>
      <c r="AP156" s="6">
        <f>Datos_originales!$P222/Datos_originales!$E222</f>
        <v>0</v>
      </c>
      <c r="AQ156" s="6">
        <f>Datos_originales!$Q222/Datos_originales!$E222</f>
        <v>0</v>
      </c>
      <c r="AR156" s="6">
        <f>Datos_originales!$R222/Datos_originales!$E222</f>
        <v>0</v>
      </c>
      <c r="AS156" s="6">
        <f>Datos_originales!$S222/Datos_originales!$E222</f>
        <v>0</v>
      </c>
      <c r="AT156" s="6">
        <f>Datos_originales!$T222/Datos_originales!$E222</f>
        <v>0</v>
      </c>
      <c r="AU156" s="6">
        <f>Datos_originales!$U222/Datos_originales!$E222</f>
        <v>0</v>
      </c>
      <c r="AV156" s="6">
        <f>Datos_originales!$V222/Datos_originales!$E222</f>
        <v>0</v>
      </c>
      <c r="AW156" s="6">
        <f>Datos_originales!$W222/Datos_originales!$E222</f>
        <v>0</v>
      </c>
      <c r="AX156" s="6">
        <f>Datos_originales!$X222/Datos_originales!$E222</f>
        <v>0</v>
      </c>
      <c r="AY156" s="6">
        <f>Datos_originales!$Y222/Datos_originales!$E222</f>
        <v>0</v>
      </c>
      <c r="AZ156" s="6">
        <f>Datos_originales!$Z222/Datos_originales!$E222</f>
        <v>0</v>
      </c>
      <c r="BA156" s="6">
        <f>Datos_originales!$AA222/Datos_originales!$E222</f>
        <v>0</v>
      </c>
      <c r="BB156" s="6">
        <f>Datos_originales!$AB222/Datos_originales!$E222</f>
        <v>0</v>
      </c>
      <c r="BC156" s="6">
        <f>Datos_originales!$AC222/Datos_originales!$E222</f>
        <v>0</v>
      </c>
      <c r="BD156" s="6">
        <f>Datos_originales!$AD222/Datos_originales!$E222</f>
        <v>0</v>
      </c>
      <c r="BE156" s="6">
        <f>Datos_originales!$AE222/Datos_originales!$E222</f>
        <v>0</v>
      </c>
      <c r="BF156" s="6">
        <f>Datos_originales!$AF222/Datos_originales!$E222</f>
        <v>0</v>
      </c>
      <c r="BG156" s="6">
        <f>Datos_originales!$AG222/Datos_originales!$E222</f>
        <v>0</v>
      </c>
    </row>
    <row r="157" spans="1:59" ht="15.75" customHeight="1">
      <c r="A157" s="2">
        <v>31304</v>
      </c>
      <c r="B157" s="3" t="s">
        <v>132</v>
      </c>
      <c r="C157" s="4" t="s">
        <v>256</v>
      </c>
      <c r="D157" s="4">
        <f>IF(Table_1[[#This Row],[Forest cover 2011]]&lt;1000,"Bosque menor a 1000 ha",Table_1[[#This Row],[Forest cover 2011]])</f>
        <v>10414.530000000001</v>
      </c>
      <c r="E157" s="4">
        <v>10414.530000000001</v>
      </c>
      <c r="F157" s="5">
        <f>AVERAGE(Datos_originales!$H200:$J200)</f>
        <v>0</v>
      </c>
      <c r="G157" s="5">
        <f>AVERAGE(Datos_originales!$R200:$T200)</f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0.36</v>
      </c>
      <c r="N157" s="4">
        <v>0</v>
      </c>
      <c r="O157" s="4">
        <v>0</v>
      </c>
      <c r="P157" s="4">
        <v>0.45</v>
      </c>
      <c r="Q157" s="4">
        <v>0</v>
      </c>
      <c r="R157" s="4">
        <v>0</v>
      </c>
      <c r="S157" s="4">
        <v>0.81</v>
      </c>
      <c r="T157" s="4">
        <v>0.36</v>
      </c>
      <c r="U157" s="4">
        <v>9</v>
      </c>
      <c r="V157" s="4">
        <v>11.52</v>
      </c>
      <c r="W157" s="4">
        <v>93.69</v>
      </c>
      <c r="X157" s="4">
        <v>7.74</v>
      </c>
      <c r="Y157" s="4">
        <v>4.32</v>
      </c>
      <c r="Z157" s="4">
        <v>8.01</v>
      </c>
      <c r="AA157" s="4">
        <v>8.19</v>
      </c>
      <c r="AB157" s="4">
        <v>27.36</v>
      </c>
      <c r="AC157" s="4">
        <v>65.25</v>
      </c>
      <c r="AD157" s="4">
        <v>0.81</v>
      </c>
      <c r="AE157" s="4">
        <v>0.36</v>
      </c>
      <c r="AF157" s="4">
        <v>9.99</v>
      </c>
      <c r="AG157" s="4">
        <v>14.94</v>
      </c>
      <c r="AH157" s="6" t="e">
        <f>Datos_originales!$H200/Datos_originales!$E200</f>
        <v>#DIV/0!</v>
      </c>
      <c r="AI157" s="6" t="e">
        <f>Datos_originales!$I200/Datos_originales!$E200</f>
        <v>#DIV/0!</v>
      </c>
      <c r="AJ157" s="6" t="e">
        <f>Datos_originales!$J200/Datos_originales!$E200</f>
        <v>#DIV/0!</v>
      </c>
      <c r="AK157" s="6" t="e">
        <f>Datos_originales!$K200/Datos_originales!$E200</f>
        <v>#DIV/0!</v>
      </c>
      <c r="AL157" s="6" t="e">
        <f>Datos_originales!$L200/Datos_originales!$E200</f>
        <v>#DIV/0!</v>
      </c>
      <c r="AM157" s="6" t="e">
        <f>Datos_originales!$M200/Datos_originales!$E200</f>
        <v>#DIV/0!</v>
      </c>
      <c r="AN157" s="6" t="e">
        <f>Datos_originales!$N200/Datos_originales!$E200</f>
        <v>#DIV/0!</v>
      </c>
      <c r="AO157" s="6" t="e">
        <f>Datos_originales!$O200/Datos_originales!$E200</f>
        <v>#DIV/0!</v>
      </c>
      <c r="AP157" s="6" t="e">
        <f>Datos_originales!$P200/Datos_originales!$E200</f>
        <v>#DIV/0!</v>
      </c>
      <c r="AQ157" s="6" t="e">
        <f>Datos_originales!$Q200/Datos_originales!$E200</f>
        <v>#DIV/0!</v>
      </c>
      <c r="AR157" s="6" t="e">
        <f>Datos_originales!$R200/Datos_originales!$E200</f>
        <v>#DIV/0!</v>
      </c>
      <c r="AS157" s="6" t="e">
        <f>Datos_originales!$S200/Datos_originales!$E200</f>
        <v>#DIV/0!</v>
      </c>
      <c r="AT157" s="6" t="e">
        <f>Datos_originales!$T200/Datos_originales!$E200</f>
        <v>#DIV/0!</v>
      </c>
      <c r="AU157" s="6" t="e">
        <f>Datos_originales!$U200/Datos_originales!$E200</f>
        <v>#DIV/0!</v>
      </c>
      <c r="AV157" s="6" t="e">
        <f>Datos_originales!$V200/Datos_originales!$E200</f>
        <v>#DIV/0!</v>
      </c>
      <c r="AW157" s="6" t="e">
        <f>Datos_originales!$W200/Datos_originales!$E200</f>
        <v>#DIV/0!</v>
      </c>
      <c r="AX157" s="6" t="e">
        <f>Datos_originales!$X200/Datos_originales!$E200</f>
        <v>#DIV/0!</v>
      </c>
      <c r="AY157" s="6" t="e">
        <f>Datos_originales!$Y200/Datos_originales!$E200</f>
        <v>#DIV/0!</v>
      </c>
      <c r="AZ157" s="6" t="e">
        <f>Datos_originales!$Z200/Datos_originales!$E200</f>
        <v>#DIV/0!</v>
      </c>
      <c r="BA157" s="6" t="e">
        <f>Datos_originales!$AA200/Datos_originales!$E200</f>
        <v>#DIV/0!</v>
      </c>
      <c r="BB157" s="6" t="e">
        <f>Datos_originales!$AB200/Datos_originales!$E200</f>
        <v>#DIV/0!</v>
      </c>
      <c r="BC157" s="6" t="e">
        <f>Datos_originales!$AC200/Datos_originales!$E200</f>
        <v>#DIV/0!</v>
      </c>
      <c r="BD157" s="6" t="e">
        <f>Datos_originales!$AD200/Datos_originales!$E200</f>
        <v>#DIV/0!</v>
      </c>
      <c r="BE157" s="6" t="e">
        <f>Datos_originales!$AE200/Datos_originales!$E200</f>
        <v>#DIV/0!</v>
      </c>
      <c r="BF157" s="6" t="e">
        <f>Datos_originales!$AF200/Datos_originales!$E200</f>
        <v>#DIV/0!</v>
      </c>
      <c r="BG157" s="6" t="e">
        <f>Datos_originales!$AG200/Datos_originales!$E200</f>
        <v>#DIV/0!</v>
      </c>
    </row>
    <row r="158" spans="1:59" ht="15.75" customHeight="1">
      <c r="A158" s="2">
        <v>31401</v>
      </c>
      <c r="B158" s="3" t="s">
        <v>132</v>
      </c>
      <c r="C158" s="4" t="s">
        <v>387</v>
      </c>
      <c r="D158" s="4" t="str">
        <f>IF(Table_1[[#This Row],[Forest cover 2011]]&lt;1000,"Bosque menor a 1000 ha",Table_1[[#This Row],[Forest cover 2011]])</f>
        <v>Bosque menor a 1000 ha</v>
      </c>
      <c r="E158" s="4">
        <v>23.04</v>
      </c>
      <c r="F158" s="5">
        <f>AVERAGE(Datos_originales!$H335:$J335)</f>
        <v>249.09</v>
      </c>
      <c r="G158" s="5">
        <f>AVERAGE(Datos_originales!$R335:$T335)</f>
        <v>137.34</v>
      </c>
      <c r="H158" s="4">
        <v>0.9</v>
      </c>
      <c r="I158" s="4">
        <v>1.44</v>
      </c>
      <c r="J158" s="4">
        <v>0</v>
      </c>
      <c r="K158" s="4">
        <v>1.44</v>
      </c>
      <c r="L158" s="4">
        <v>0.99</v>
      </c>
      <c r="M158" s="4">
        <v>0.27</v>
      </c>
      <c r="N158" s="4">
        <v>0.63</v>
      </c>
      <c r="O158" s="4">
        <v>0.99</v>
      </c>
      <c r="P158" s="4">
        <v>1.53</v>
      </c>
      <c r="Q158" s="4">
        <v>1.71</v>
      </c>
      <c r="R158" s="4">
        <v>2.0699999999999998</v>
      </c>
      <c r="S158" s="4">
        <v>1.98</v>
      </c>
      <c r="T158" s="4">
        <v>0</v>
      </c>
      <c r="U158" s="4">
        <v>0.9</v>
      </c>
      <c r="V158" s="4">
        <v>1.44</v>
      </c>
      <c r="W158" s="4">
        <v>0</v>
      </c>
      <c r="X158" s="4">
        <v>1.62</v>
      </c>
      <c r="Y158" s="4">
        <v>0.99</v>
      </c>
      <c r="Z158" s="4">
        <v>0.27</v>
      </c>
      <c r="AA158" s="4">
        <v>0.81</v>
      </c>
      <c r="AB158" s="4">
        <v>0.99</v>
      </c>
      <c r="AC158" s="4">
        <v>1.53</v>
      </c>
      <c r="AD158" s="4">
        <v>1.71</v>
      </c>
      <c r="AE158" s="4">
        <v>2.0699999999999998</v>
      </c>
      <c r="AF158" s="4">
        <v>3.42</v>
      </c>
      <c r="AG158" s="4">
        <v>0</v>
      </c>
      <c r="AH158" s="6">
        <f>Datos_originales!$H335/Datos_originales!$E335</f>
        <v>1.4613796698106315E-3</v>
      </c>
      <c r="AI158" s="6">
        <f>Datos_originales!$I335/Datos_originales!$E335</f>
        <v>1.1814692561315182E-3</v>
      </c>
      <c r="AJ158" s="6">
        <f>Datos_originales!$J335/Datos_originales!$E335</f>
        <v>4.6839091981109985E-4</v>
      </c>
      <c r="AK158" s="6">
        <f>Datos_originales!$K335/Datos_originales!$E335</f>
        <v>3.1063685801872143E-4</v>
      </c>
      <c r="AL158" s="6">
        <f>Datos_originales!$L335/Datos_originales!$E335</f>
        <v>3.9906906367905709E-4</v>
      </c>
      <c r="AM158" s="6">
        <f>Datos_originales!$M335/Datos_originales!$E335</f>
        <v>9.4240253065993283E-4</v>
      </c>
      <c r="AN158" s="6">
        <f>Datos_originales!$N335/Datos_originales!$E335</f>
        <v>5.0323920424504573E-4</v>
      </c>
      <c r="AO158" s="6">
        <f>Datos_originales!$O335/Datos_originales!$E335</f>
        <v>3.6946675754699561E-4</v>
      </c>
      <c r="AP158" s="6">
        <f>Datos_originales!$P335/Datos_originales!$E335</f>
        <v>1.0345818636787573E-3</v>
      </c>
      <c r="AQ158" s="6">
        <f>Datos_originales!$Q335/Datos_originales!$E335</f>
        <v>2.4004097858479241E-3</v>
      </c>
      <c r="AR158" s="6">
        <f>Datos_originales!$R335/Datos_originales!$E335</f>
        <v>1.3339773396220123E-4</v>
      </c>
      <c r="AS158" s="6">
        <f>Datos_originales!$S335/Datos_originales!$E335</f>
        <v>5.759334749997284E-4</v>
      </c>
      <c r="AT158" s="6">
        <f>Datos_originales!$T335/Datos_originales!$E335</f>
        <v>1.0061036957542424E-3</v>
      </c>
      <c r="AU158" s="6">
        <f>Datos_originales!$U335/Datos_originales!$E335</f>
        <v>6.7635648820722812E-3</v>
      </c>
      <c r="AV158" s="6">
        <f>Datos_originales!$V335/Datos_originales!$E335</f>
        <v>4.3534125650922855E-3</v>
      </c>
      <c r="AW158" s="6">
        <f>Datos_originales!$W335/Datos_originales!$E335</f>
        <v>6.7362108523553134E-3</v>
      </c>
      <c r="AX158" s="6">
        <f>Datos_originales!$X335/Datos_originales!$E335</f>
        <v>4.1922860886772677E-3</v>
      </c>
      <c r="AY158" s="6">
        <f>Datos_originales!$Y335/Datos_originales!$E335</f>
        <v>2.0912717787725985E-3</v>
      </c>
      <c r="AZ158" s="6">
        <f>Datos_originales!$Z335/Datos_originales!$E335</f>
        <v>2.8523133452816739E-3</v>
      </c>
      <c r="BA158" s="6">
        <f>Datos_originales!$AA335/Datos_originales!$E335</f>
        <v>2.1197499466971133E-3</v>
      </c>
      <c r="BB158" s="6">
        <f>Datos_originales!$AB335/Datos_originales!$E335</f>
        <v>2.360315523112094E-3</v>
      </c>
      <c r="BC158" s="6">
        <f>Datos_originales!$AC335/Datos_originales!$E335</f>
        <v>3.4192537146210287E-3</v>
      </c>
      <c r="BD158" s="6">
        <f>Datos_originales!$AD335/Datos_originales!$E335</f>
        <v>3.8764032523566621E-3</v>
      </c>
      <c r="BE158" s="6">
        <f>Datos_originales!$AE335/Datos_originales!$E335</f>
        <v>1.0611864679240279E-3</v>
      </c>
      <c r="BF158" s="6">
        <f>Datos_originales!$AF335/Datos_originales!$E335</f>
        <v>3.93073659905475E-3</v>
      </c>
      <c r="BG158" s="6">
        <f>Datos_originales!$AG335/Datos_originales!$E335</f>
        <v>2.5862673028289691E-3</v>
      </c>
    </row>
    <row r="159" spans="1:59" ht="15.75" customHeight="1">
      <c r="A159" s="2">
        <v>31402</v>
      </c>
      <c r="B159" s="3" t="s">
        <v>132</v>
      </c>
      <c r="C159" s="4" t="s">
        <v>374</v>
      </c>
      <c r="D159" s="4" t="str">
        <f>IF(Table_1[[#This Row],[Forest cover 2011]]&lt;1000,"Bosque menor a 1000 ha",Table_1[[#This Row],[Forest cover 2011]])</f>
        <v>Bosque menor a 1000 ha</v>
      </c>
      <c r="E159" s="4">
        <v>2.79</v>
      </c>
      <c r="F159" s="5">
        <f>AVERAGE(Datos_originales!$H322:$J322)</f>
        <v>2827.5000000000005</v>
      </c>
      <c r="G159" s="5">
        <f>AVERAGE(Datos_originales!$R322:$T322)</f>
        <v>7045.2300000000005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0.09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1.26</v>
      </c>
      <c r="AG159" s="4">
        <v>0</v>
      </c>
      <c r="AH159" s="6">
        <f>Datos_originales!$H322/Datos_originales!$E322</f>
        <v>4.5512446433160552E-3</v>
      </c>
      <c r="AI159" s="6">
        <f>Datos_originales!$I322/Datos_originales!$E322</f>
        <v>3.3410678020037872E-3</v>
      </c>
      <c r="AJ159" s="6">
        <f>Datos_originales!$J322/Datos_originales!$E322</f>
        <v>9.5960603381332835E-3</v>
      </c>
      <c r="AK159" s="6">
        <f>Datos_originales!$K322/Datos_originales!$E322</f>
        <v>5.9944760863897785E-3</v>
      </c>
      <c r="AL159" s="6">
        <f>Datos_originales!$L322/Datos_originales!$E322</f>
        <v>1.088825161732657E-2</v>
      </c>
      <c r="AM159" s="6">
        <f>Datos_originales!$M322/Datos_originales!$E322</f>
        <v>1.0702884143473312E-2</v>
      </c>
      <c r="AN159" s="6">
        <f>Datos_originales!$N322/Datos_originales!$E322</f>
        <v>7.3063359864323635E-3</v>
      </c>
      <c r="AO159" s="6">
        <f>Datos_originales!$O322/Datos_originales!$E322</f>
        <v>8.0583824043775672E-3</v>
      </c>
      <c r="AP159" s="6">
        <f>Datos_originales!$P322/Datos_originales!$E322</f>
        <v>7.4130289768884429E-3</v>
      </c>
      <c r="AQ159" s="6">
        <f>Datos_originales!$Q322/Datos_originales!$E322</f>
        <v>1.1255832163576127E-2</v>
      </c>
      <c r="AR159" s="6">
        <f>Datos_originales!$R322/Datos_originales!$E322</f>
        <v>9.7231641615461769E-3</v>
      </c>
      <c r="AS159" s="6">
        <f>Datos_originales!$S322/Datos_originales!$E322</f>
        <v>1.5649171181017184E-2</v>
      </c>
      <c r="AT159" s="6">
        <f>Datos_originales!$T322/Datos_originales!$E322</f>
        <v>1.8203123042995421E-2</v>
      </c>
      <c r="AU159" s="6">
        <f>Datos_originales!$U322/Datos_originales!$E322</f>
        <v>1.7473342988275832E-2</v>
      </c>
      <c r="AV159" s="6">
        <f>Datos_originales!$V322/Datos_originales!$E322</f>
        <v>8.2509864462791526E-3</v>
      </c>
      <c r="AW159" s="6">
        <f>Datos_originales!$W322/Datos_originales!$E322</f>
        <v>1.4606363169950801E-2</v>
      </c>
      <c r="AX159" s="6">
        <f>Datos_originales!$X322/Datos_originales!$E322</f>
        <v>8.7592161869038537E-3</v>
      </c>
      <c r="AY159" s="6">
        <f>Datos_originales!$Y322/Datos_originales!$E322</f>
        <v>1.4204455313728419E-2</v>
      </c>
      <c r="AZ159" s="6">
        <f>Datos_originales!$Z322/Datos_originales!$E322</f>
        <v>1.2892966519739592E-2</v>
      </c>
      <c r="BA159" s="6">
        <f>Datos_originales!$AA322/Datos_originales!$E322</f>
        <v>9.525550187918827E-3</v>
      </c>
      <c r="BB159" s="6">
        <f>Datos_originales!$AB322/Datos_originales!$E322</f>
        <v>1.0587655713780744E-2</v>
      </c>
      <c r="BC159" s="6">
        <f>Datos_originales!$AC322/Datos_originales!$E322</f>
        <v>1.115804571841029E-2</v>
      </c>
      <c r="BD159" s="6">
        <f>Datos_originales!$AD322/Datos_originales!$E322</f>
        <v>1.2437804944802613E-2</v>
      </c>
      <c r="BE159" s="6">
        <f>Datos_originales!$AE322/Datos_originales!$E322</f>
        <v>1.2661581895220061E-2</v>
      </c>
      <c r="BF159" s="6">
        <f>Datos_originales!$AF322/Datos_originales!$E322</f>
        <v>1.6910189551694609E-2</v>
      </c>
      <c r="BG159" s="6">
        <f>Datos_originales!$AG322/Datos_originales!$E322</f>
        <v>4.5003103374374576E-2</v>
      </c>
    </row>
    <row r="160" spans="1:59" ht="15.75" customHeight="1">
      <c r="A160" s="2">
        <v>31403</v>
      </c>
      <c r="B160" s="3" t="s">
        <v>132</v>
      </c>
      <c r="C160" s="4" t="s">
        <v>393</v>
      </c>
      <c r="D160" s="4" t="str">
        <f>IF(Table_1[[#This Row],[Forest cover 2011]]&lt;1000,"Bosque menor a 1000 ha",Table_1[[#This Row],[Forest cover 2011]])</f>
        <v>Bosque menor a 1000 ha</v>
      </c>
      <c r="E160" s="4">
        <v>478.89</v>
      </c>
      <c r="F160" s="5">
        <f>AVERAGE(Datos_originales!$H341:$J341)</f>
        <v>230.34</v>
      </c>
      <c r="G160" s="5">
        <f>AVERAGE(Datos_originales!$R341:$T341)</f>
        <v>112.56</v>
      </c>
      <c r="H160" s="4">
        <v>0</v>
      </c>
      <c r="I160" s="4">
        <v>0</v>
      </c>
      <c r="J160" s="4">
        <v>0.09</v>
      </c>
      <c r="K160" s="4">
        <v>0.09</v>
      </c>
      <c r="L160" s="4">
        <v>0.09</v>
      </c>
      <c r="M160" s="4">
        <v>0</v>
      </c>
      <c r="N160" s="4">
        <v>0.9</v>
      </c>
      <c r="O160" s="4">
        <v>0.27</v>
      </c>
      <c r="P160" s="4">
        <v>0.45</v>
      </c>
      <c r="Q160" s="4">
        <v>2.88</v>
      </c>
      <c r="R160" s="4">
        <v>1.35</v>
      </c>
      <c r="S160" s="4">
        <v>10.08</v>
      </c>
      <c r="T160" s="4">
        <v>0</v>
      </c>
      <c r="U160" s="4">
        <v>2.88</v>
      </c>
      <c r="V160" s="4">
        <v>2.4300000000000002</v>
      </c>
      <c r="W160" s="4">
        <v>9.7199999999999989</v>
      </c>
      <c r="X160" s="4">
        <v>3.69</v>
      </c>
      <c r="Y160" s="4">
        <v>3.87</v>
      </c>
      <c r="Z160" s="4">
        <v>20.52</v>
      </c>
      <c r="AA160" s="4">
        <v>23.04</v>
      </c>
      <c r="AB160" s="4">
        <v>19.8</v>
      </c>
      <c r="AC160" s="4">
        <v>4.5</v>
      </c>
      <c r="AD160" s="4">
        <v>3.06</v>
      </c>
      <c r="AE160" s="4">
        <v>1.44</v>
      </c>
      <c r="AF160" s="4">
        <v>39.510000000000012</v>
      </c>
      <c r="AG160" s="4">
        <v>0</v>
      </c>
      <c r="AH160" s="6">
        <f>Datos_originales!$H341/Datos_originales!$E341</f>
        <v>2.1939190512377846E-4</v>
      </c>
      <c r="AI160" s="6">
        <f>Datos_originales!$I341/Datos_originales!$E341</f>
        <v>4.2073786527164824E-4</v>
      </c>
      <c r="AJ160" s="6">
        <f>Datos_originales!$J341/Datos_originales!$E341</f>
        <v>6.4280324372519102E-4</v>
      </c>
      <c r="AK160" s="6">
        <f>Datos_originales!$K341/Datos_originales!$E341</f>
        <v>2.2490594386641722E-4</v>
      </c>
      <c r="AL160" s="6">
        <f>Datos_originales!$L341/Datos_originales!$E341</f>
        <v>2.4996975633295699E-4</v>
      </c>
      <c r="AM160" s="6">
        <f>Datos_originales!$M341/Datos_originales!$E341</f>
        <v>4.4129019149421089E-4</v>
      </c>
      <c r="AN160" s="6">
        <f>Datos_originales!$N341/Datos_originales!$E341</f>
        <v>1.4319791522549743E-4</v>
      </c>
      <c r="AO160" s="6">
        <f>Datos_originales!$O341/Datos_originales!$E341</f>
        <v>1.8330001517196111E-4</v>
      </c>
      <c r="AP160" s="6">
        <f>Datos_originales!$P341/Datos_originales!$E341</f>
        <v>3.9049419822869026E-4</v>
      </c>
      <c r="AQ160" s="6">
        <f>Datos_originales!$Q341/Datos_originales!$E341</f>
        <v>7.8800626394801162E-4</v>
      </c>
      <c r="AR160" s="6">
        <f>Datos_originales!$R341/Datos_originales!$E341</f>
        <v>9.6579224037733404E-5</v>
      </c>
      <c r="AS160" s="6">
        <f>Datos_originales!$S341/Datos_originales!$E341</f>
        <v>2.3075416677527651E-4</v>
      </c>
      <c r="AT160" s="6">
        <f>Datos_originales!$T341/Datos_originales!$E341</f>
        <v>2.9959610501670584E-4</v>
      </c>
      <c r="AU160" s="6">
        <f>Datos_originales!$U341/Datos_originales!$E341</f>
        <v>9.2452049584909851E-4</v>
      </c>
      <c r="AV160" s="6">
        <f>Datos_originales!$V341/Datos_originales!$E341</f>
        <v>6.6151755703354074E-4</v>
      </c>
      <c r="AW160" s="6">
        <f>Datos_originales!$W341/Datos_originales!$E341</f>
        <v>8.9060080297771456E-4</v>
      </c>
      <c r="AX160" s="6">
        <f>Datos_originales!$X341/Datos_originales!$E341</f>
        <v>4.4162437566043142E-4</v>
      </c>
      <c r="AY160" s="6">
        <f>Datos_originales!$Y341/Datos_originales!$E341</f>
        <v>6.0236695961250677E-4</v>
      </c>
      <c r="AZ160" s="6">
        <f>Datos_originales!$Z341/Datos_originales!$E341</f>
        <v>5.589230180038378E-4</v>
      </c>
      <c r="BA160" s="6">
        <f>Datos_originales!$AA341/Datos_originales!$E341</f>
        <v>2.394429550970103E-4</v>
      </c>
      <c r="BB160" s="6">
        <f>Datos_originales!$AB341/Datos_originales!$E341</f>
        <v>2.7503356879949681E-4</v>
      </c>
      <c r="BC160" s="6">
        <f>Datos_originales!$AC341/Datos_originales!$E341</f>
        <v>5.510696900976553E-4</v>
      </c>
      <c r="BD160" s="6">
        <f>Datos_originales!$AD341/Datos_originales!$E341</f>
        <v>8.4180991470951712E-4</v>
      </c>
      <c r="BE160" s="6">
        <f>Datos_originales!$AE341/Datos_originales!$E341</f>
        <v>5.6928272715667423E-4</v>
      </c>
      <c r="BF160" s="6">
        <f>Datos_originales!$AF341/Datos_originales!$E341</f>
        <v>4.5799939980523742E-4</v>
      </c>
      <c r="BG160" s="6">
        <f>Datos_originales!$AG341/Datos_originales!$E341</f>
        <v>4.9626348683748823E-4</v>
      </c>
    </row>
    <row r="161" spans="1:59" ht="15.75" customHeight="1">
      <c r="A161" s="2">
        <v>31404</v>
      </c>
      <c r="B161" s="3" t="s">
        <v>132</v>
      </c>
      <c r="C161" s="4" t="s">
        <v>377</v>
      </c>
      <c r="D161" s="4" t="str">
        <f>IF(Table_1[[#This Row],[Forest cover 2011]]&lt;1000,"Bosque menor a 1000 ha",Table_1[[#This Row],[Forest cover 2011]])</f>
        <v>Bosque menor a 1000 ha</v>
      </c>
      <c r="E161" s="4">
        <v>5.67</v>
      </c>
      <c r="F161" s="5">
        <f>AVERAGE(Datos_originales!$H325:$J325)</f>
        <v>83.43</v>
      </c>
      <c r="G161" s="5">
        <f>AVERAGE(Datos_originales!$R325:$T325)</f>
        <v>182.85000000000002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6">
        <f>Datos_originales!$H325/Datos_originales!$E325</f>
        <v>1.0348881145304169E-3</v>
      </c>
      <c r="AI161" s="6">
        <f>Datos_originales!$I325/Datos_originales!$E325</f>
        <v>5.1954322179772442E-4</v>
      </c>
      <c r="AJ161" s="6">
        <f>Datos_originales!$J325/Datos_originales!$E325</f>
        <v>1.364456946135438E-3</v>
      </c>
      <c r="AK161" s="6">
        <f>Datos_originales!$K325/Datos_originales!$E325</f>
        <v>1.7958352575674881E-3</v>
      </c>
      <c r="AL161" s="6">
        <f>Datos_originales!$L325/Datos_originales!$E325</f>
        <v>1.4578697678324026E-3</v>
      </c>
      <c r="AM161" s="6">
        <f>Datos_originales!$M325/Datos_originales!$E325</f>
        <v>7.2945967504933025E-4</v>
      </c>
      <c r="AN161" s="6">
        <f>Datos_originales!$N325/Datos_originales!$E325</f>
        <v>2.0991645325160583E-4</v>
      </c>
      <c r="AO161" s="6">
        <f>Datos_originales!$O325/Datos_originales!$E325</f>
        <v>3.5475880599521387E-4</v>
      </c>
      <c r="AP161" s="6">
        <f>Datos_originales!$P325/Datos_originales!$E325</f>
        <v>1.3822998446618245E-3</v>
      </c>
      <c r="AQ161" s="6">
        <f>Datos_originales!$Q325/Datos_originales!$E325</f>
        <v>2.2356102271296019E-3</v>
      </c>
      <c r="AR161" s="6">
        <f>Datos_originales!$R325/Datos_originales!$E325</f>
        <v>5.2689029766153064E-4</v>
      </c>
      <c r="AS161" s="6">
        <f>Datos_originales!$S325/Datos_originales!$E325</f>
        <v>1.2699945421722153E-3</v>
      </c>
      <c r="AT161" s="6">
        <f>Datos_originales!$T325/Datos_originales!$E325</f>
        <v>4.6003190730089421E-3</v>
      </c>
      <c r="AU161" s="6">
        <f>Datos_originales!$U325/Datos_originales!$E325</f>
        <v>2.2922876695075357E-2</v>
      </c>
      <c r="AV161" s="6">
        <f>Datos_originales!$V325/Datos_originales!$E325</f>
        <v>1.2314748730005457E-2</v>
      </c>
      <c r="AW161" s="6">
        <f>Datos_originales!$W325/Datos_originales!$E325</f>
        <v>4.5361895965405762E-2</v>
      </c>
      <c r="AX161" s="6">
        <f>Datos_originales!$X325/Datos_originales!$E325</f>
        <v>5.6257609471430364E-3</v>
      </c>
      <c r="AY161" s="6">
        <f>Datos_originales!$Y325/Datos_originales!$E325</f>
        <v>7.2221755741214986E-3</v>
      </c>
      <c r="AZ161" s="6">
        <f>Datos_originales!$Z325/Datos_originales!$E325</f>
        <v>3.7680003358663253E-3</v>
      </c>
      <c r="BA161" s="6">
        <f>Datos_originales!$AA325/Datos_originales!$E325</f>
        <v>2.692178512951845E-3</v>
      </c>
      <c r="BB161" s="6">
        <f>Datos_originales!$AB325/Datos_originales!$E325</f>
        <v>3.1382509761115076E-3</v>
      </c>
      <c r="BC161" s="6">
        <f>Datos_originales!$AC325/Datos_originales!$E325</f>
        <v>6.2618078004954029E-3</v>
      </c>
      <c r="BD161" s="6">
        <f>Datos_originales!$AD325/Datos_originales!$E325</f>
        <v>4.4229396700113353E-3</v>
      </c>
      <c r="BE161" s="6">
        <f>Datos_originales!$AE325/Datos_originales!$E325</f>
        <v>3.1865317603593768E-3</v>
      </c>
      <c r="BF161" s="6">
        <f>Datos_originales!$AF325/Datos_originales!$E325</f>
        <v>4.7892438809353875E-3</v>
      </c>
      <c r="BG161" s="6">
        <f>Datos_originales!$AG325/Datos_originales!$E325</f>
        <v>1.7834501868256431E-2</v>
      </c>
    </row>
    <row r="162" spans="1:59" ht="15.75" customHeight="1">
      <c r="A162" s="2">
        <v>31405</v>
      </c>
      <c r="B162" s="3" t="s">
        <v>132</v>
      </c>
      <c r="C162" s="4" t="s">
        <v>390</v>
      </c>
      <c r="D162" s="4" t="str">
        <f>IF(Table_1[[#This Row],[Forest cover 2011]]&lt;1000,"Bosque menor a 1000 ha",Table_1[[#This Row],[Forest cover 2011]])</f>
        <v>Bosque menor a 1000 ha</v>
      </c>
      <c r="E162" s="4">
        <v>164.61</v>
      </c>
      <c r="F162" s="5">
        <f>AVERAGE(Datos_originales!$H338:$J338)</f>
        <v>299.45999999999998</v>
      </c>
      <c r="G162" s="5">
        <f>AVERAGE(Datos_originales!$R338:$T338)</f>
        <v>221.18999999999997</v>
      </c>
      <c r="H162" s="4">
        <v>0</v>
      </c>
      <c r="I162" s="4">
        <v>0</v>
      </c>
      <c r="J162" s="4">
        <v>0</v>
      </c>
      <c r="K162" s="4">
        <v>0</v>
      </c>
      <c r="L162" s="4">
        <v>0.27</v>
      </c>
      <c r="M162" s="4">
        <v>0</v>
      </c>
      <c r="N162" s="4">
        <v>0</v>
      </c>
      <c r="O162" s="4">
        <v>0</v>
      </c>
      <c r="P162" s="4">
        <v>0</v>
      </c>
      <c r="Q162" s="4">
        <v>0.09</v>
      </c>
      <c r="R162" s="4">
        <v>0.18</v>
      </c>
      <c r="S162" s="4">
        <v>0.9</v>
      </c>
      <c r="T162" s="4">
        <v>0</v>
      </c>
      <c r="U162" s="4">
        <v>4.41</v>
      </c>
      <c r="V162" s="4">
        <v>2.7</v>
      </c>
      <c r="W162" s="4">
        <v>3.24</v>
      </c>
      <c r="X162" s="4">
        <v>6.66</v>
      </c>
      <c r="Y162" s="4">
        <v>5.67</v>
      </c>
      <c r="Z162" s="4">
        <v>7.38</v>
      </c>
      <c r="AA162" s="4">
        <v>13.68</v>
      </c>
      <c r="AB162" s="4">
        <v>6.93</v>
      </c>
      <c r="AC162" s="4">
        <v>2.61</v>
      </c>
      <c r="AD162" s="4">
        <v>0.09</v>
      </c>
      <c r="AE162" s="4">
        <v>0.27</v>
      </c>
      <c r="AF162" s="4">
        <v>7.47</v>
      </c>
      <c r="AG162" s="4">
        <v>0</v>
      </c>
      <c r="AH162" s="6">
        <f>Datos_originales!$H338/Datos_originales!$E338</f>
        <v>9.6388882876999565E-4</v>
      </c>
      <c r="AI162" s="6">
        <f>Datos_originales!$I338/Datos_originales!$E338</f>
        <v>9.7769003556006382E-4</v>
      </c>
      <c r="AJ162" s="6">
        <f>Datos_originales!$J338/Datos_originales!$E338</f>
        <v>1.1894130942713386E-3</v>
      </c>
      <c r="AK162" s="6">
        <f>Datos_originales!$K338/Datos_originales!$E338</f>
        <v>8.7323999326250181E-4</v>
      </c>
      <c r="AL162" s="6">
        <f>Datos_originales!$L338/Datos_originales!$E338</f>
        <v>8.6602572607678428E-4</v>
      </c>
      <c r="AM162" s="6">
        <f>Datos_originales!$M338/Datos_originales!$E338</f>
        <v>1.8998615801691715E-3</v>
      </c>
      <c r="AN162" s="6">
        <f>Datos_originales!$N338/Datos_originales!$E338</f>
        <v>1.1439318446222501E-3</v>
      </c>
      <c r="AO162" s="6">
        <f>Datos_originales!$O338/Datos_originales!$E338</f>
        <v>8.2713141603204642E-4</v>
      </c>
      <c r="AP162" s="6">
        <f>Datos_originales!$P338/Datos_originales!$E338</f>
        <v>1.6595951165057096E-3</v>
      </c>
      <c r="AQ162" s="6">
        <f>Datos_originales!$Q338/Datos_originales!$E338</f>
        <v>2.2207396380382592E-3</v>
      </c>
      <c r="AR162" s="6">
        <f>Datos_originales!$R338/Datos_originales!$E338</f>
        <v>5.3071913383626187E-4</v>
      </c>
      <c r="AS162" s="6">
        <f>Datos_originales!$S338/Datos_originales!$E338</f>
        <v>8.3810964870596435E-4</v>
      </c>
      <c r="AT162" s="6">
        <f>Datos_originales!$T338/Datos_originales!$E338</f>
        <v>9.4381434616626E-4</v>
      </c>
      <c r="AU162" s="6">
        <f>Datos_originales!$U338/Datos_originales!$E338</f>
        <v>4.9405183670537586E-3</v>
      </c>
      <c r="AV162" s="6">
        <f>Datos_originales!$V338/Datos_originales!$E338</f>
        <v>3.2279140699225596E-3</v>
      </c>
      <c r="AW162" s="6">
        <f>Datos_originales!$W338/Datos_originales!$E338</f>
        <v>7.8277935602941787E-3</v>
      </c>
      <c r="AX162" s="6">
        <f>Datos_originales!$X338/Datos_originales!$E338</f>
        <v>2.754909073572038E-3</v>
      </c>
      <c r="AY162" s="6">
        <f>Datos_originales!$Y338/Datos_originales!$E338</f>
        <v>2.0485382169530887E-3</v>
      </c>
      <c r="AZ162" s="6">
        <f>Datos_originales!$Z338/Datos_originales!$E338</f>
        <v>2.8596727796602831E-3</v>
      </c>
      <c r="BA162" s="6">
        <f>Datos_originales!$AA338/Datos_originales!$E338</f>
        <v>1.9384422264232262E-3</v>
      </c>
      <c r="BB162" s="6">
        <f>Datos_originales!$AB338/Datos_originales!$E338</f>
        <v>2.0391283032325878E-3</v>
      </c>
      <c r="BC162" s="6">
        <f>Datos_originales!$AC338/Datos_originales!$E338</f>
        <v>2.6655148932272772E-3</v>
      </c>
      <c r="BD162" s="6">
        <f>Datos_originales!$AD338/Datos_originales!$E338</f>
        <v>3.0851970451616262E-3</v>
      </c>
      <c r="BE162" s="6">
        <f>Datos_originales!$AE338/Datos_originales!$E338</f>
        <v>9.4224602721284319E-4</v>
      </c>
      <c r="BF162" s="6">
        <f>Datos_originales!$AF338/Datos_originales!$E338</f>
        <v>2.5732977387663667E-3</v>
      </c>
      <c r="BG162" s="6">
        <f>Datos_originales!$AG338/Datos_originales!$E338</f>
        <v>1.843402097846165E-3</v>
      </c>
    </row>
    <row r="163" spans="1:59" ht="15.75" customHeight="1">
      <c r="A163" s="2">
        <v>31501</v>
      </c>
      <c r="B163" s="3" t="s">
        <v>132</v>
      </c>
      <c r="C163" s="4" t="s">
        <v>384</v>
      </c>
      <c r="D163" s="4" t="str">
        <f>IF(Table_1[[#This Row],[Forest cover 2011]]&lt;1000,"Bosque menor a 1000 ha",Table_1[[#This Row],[Forest cover 2011]])</f>
        <v>Bosque menor a 1000 ha</v>
      </c>
      <c r="E163" s="4">
        <v>12.6</v>
      </c>
      <c r="F163" s="5">
        <f>AVERAGE(Datos_originales!$H332:$J332)</f>
        <v>784.77</v>
      </c>
      <c r="G163" s="5">
        <f>AVERAGE(Datos_originales!$R332:$T332)</f>
        <v>798.9899999999999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0.36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0.63</v>
      </c>
      <c r="AG163" s="4">
        <v>0</v>
      </c>
      <c r="AH163" s="6">
        <f>Datos_originales!$H332/Datos_originales!$E332</f>
        <v>3.2629710841927824E-3</v>
      </c>
      <c r="AI163" s="6">
        <f>Datos_originales!$I332/Datos_originales!$E332</f>
        <v>3.4127658421503871E-3</v>
      </c>
      <c r="AJ163" s="6">
        <f>Datos_originales!$J332/Datos_originales!$E332</f>
        <v>3.4495371651632354E-3</v>
      </c>
      <c r="AK163" s="6">
        <f>Datos_originales!$K332/Datos_originales!$E332</f>
        <v>3.4383122349803661E-3</v>
      </c>
      <c r="AL163" s="6">
        <f>Datos_originales!$L332/Datos_originales!$E332</f>
        <v>3.7468042817302653E-3</v>
      </c>
      <c r="AM163" s="6">
        <f>Datos_originales!$M332/Datos_originales!$E332</f>
        <v>4.6587330924489122E-3</v>
      </c>
      <c r="AN163" s="6">
        <f>Datos_originales!$N332/Datos_originales!$E332</f>
        <v>5.8532204905294496E-3</v>
      </c>
      <c r="AO163" s="6">
        <f>Datos_originales!$O332/Datos_originales!$E332</f>
        <v>4.1741257617953697E-3</v>
      </c>
      <c r="AP163" s="6">
        <f>Datos_originales!$P332/Datos_originales!$E332</f>
        <v>4.7094388115508402E-3</v>
      </c>
      <c r="AQ163" s="6">
        <f>Datos_originales!$Q332/Datos_originales!$E332</f>
        <v>3.8137667962694524E-3</v>
      </c>
      <c r="AR163" s="6">
        <f>Datos_originales!$R332/Datos_originales!$E332</f>
        <v>1.539363701285254E-3</v>
      </c>
      <c r="AS163" s="6">
        <f>Datos_originales!$S332/Datos_originales!$E332</f>
        <v>3.0276346169105508E-3</v>
      </c>
      <c r="AT163" s="6">
        <f>Datos_originales!$T332/Datos_originales!$E332</f>
        <v>5.7417453218168131E-3</v>
      </c>
      <c r="AU163" s="6">
        <f>Datos_originales!$U332/Datos_originales!$E332</f>
        <v>3.6837124327713773E-3</v>
      </c>
      <c r="AV163" s="6">
        <f>Datos_originales!$V332/Datos_originales!$E332</f>
        <v>3.6937761632801569E-3</v>
      </c>
      <c r="AW163" s="6">
        <f>Datos_originales!$W332/Datos_originales!$E332</f>
        <v>3.694163229838187E-3</v>
      </c>
      <c r="AX163" s="6">
        <f>Datos_originales!$X332/Datos_originales!$E332</f>
        <v>3.9391763610711686E-3</v>
      </c>
      <c r="AY163" s="6">
        <f>Datos_originales!$Y332/Datos_originales!$E332</f>
        <v>3.8973731728039296E-3</v>
      </c>
      <c r="AZ163" s="6">
        <f>Datos_originales!$Z332/Datos_originales!$E332</f>
        <v>4.7380817368450597E-3</v>
      </c>
      <c r="BA163" s="6">
        <f>Datos_originales!$AA332/Datos_originales!$E332</f>
        <v>5.9472776641307356E-3</v>
      </c>
      <c r="BB163" s="6">
        <f>Datos_originales!$AB332/Datos_originales!$E332</f>
        <v>4.302244792503295E-3</v>
      </c>
      <c r="BC163" s="6">
        <f>Datos_originales!$AC332/Datos_originales!$E332</f>
        <v>4.8460733065354249E-3</v>
      </c>
      <c r="BD163" s="6">
        <f>Datos_originales!$AD332/Datos_originales!$E332</f>
        <v>3.9244678318660284E-3</v>
      </c>
      <c r="BE163" s="6">
        <f>Datos_originales!$AE332/Datos_originales!$E332</f>
        <v>1.610971014520802E-3</v>
      </c>
      <c r="BF163" s="6">
        <f>Datos_originales!$AF332/Datos_originales!$E332</f>
        <v>3.3597377237002792E-3</v>
      </c>
      <c r="BG163" s="6">
        <f>Datos_originales!$AG332/Datos_originales!$E332</f>
        <v>5.9929515179782738E-3</v>
      </c>
    </row>
    <row r="164" spans="1:59" ht="15.75" customHeight="1">
      <c r="A164" s="2">
        <v>31601</v>
      </c>
      <c r="B164" s="3" t="s">
        <v>132</v>
      </c>
      <c r="C164" s="4" t="s">
        <v>265</v>
      </c>
      <c r="D164" s="4">
        <f>IF(Table_1[[#This Row],[Forest cover 2011]]&lt;1000,"Bosque menor a 1000 ha",Table_1[[#This Row],[Forest cover 2011]])</f>
        <v>105730.2</v>
      </c>
      <c r="E164" s="4">
        <v>105730.2</v>
      </c>
      <c r="F164" s="5">
        <f>AVERAGE(Datos_originales!$H209:$J209)</f>
        <v>1.17</v>
      </c>
      <c r="G164" s="5">
        <f>AVERAGE(Datos_originales!$R209:$T209)</f>
        <v>4.95</v>
      </c>
      <c r="H164" s="4">
        <v>22.05</v>
      </c>
      <c r="I164" s="4">
        <v>21.42</v>
      </c>
      <c r="J164" s="4">
        <v>26.91</v>
      </c>
      <c r="K164" s="4">
        <v>28.17</v>
      </c>
      <c r="L164" s="4">
        <v>70.289999999999992</v>
      </c>
      <c r="M164" s="4">
        <v>47.52</v>
      </c>
      <c r="N164" s="4">
        <v>40.86</v>
      </c>
      <c r="O164" s="4">
        <v>21.51</v>
      </c>
      <c r="P164" s="4">
        <v>31.59</v>
      </c>
      <c r="Q164" s="4">
        <v>26.73</v>
      </c>
      <c r="R164" s="4">
        <v>50.31</v>
      </c>
      <c r="S164" s="4">
        <v>349.2</v>
      </c>
      <c r="T164" s="4">
        <v>98.19</v>
      </c>
      <c r="U164" s="4">
        <v>524.79</v>
      </c>
      <c r="V164" s="4">
        <v>279.27</v>
      </c>
      <c r="W164" s="4">
        <v>281.61</v>
      </c>
      <c r="X164" s="4">
        <v>356.04</v>
      </c>
      <c r="Y164" s="4">
        <v>329.4</v>
      </c>
      <c r="Z164" s="4">
        <v>508.86</v>
      </c>
      <c r="AA164" s="4">
        <v>465.12</v>
      </c>
      <c r="AB164" s="4">
        <v>367.47</v>
      </c>
      <c r="AC164" s="4">
        <v>166.5</v>
      </c>
      <c r="AD164" s="4">
        <v>127.98</v>
      </c>
      <c r="AE164" s="4">
        <v>145.97999999999999</v>
      </c>
      <c r="AF164" s="4">
        <v>760.59</v>
      </c>
      <c r="AG164" s="4">
        <v>115.74</v>
      </c>
      <c r="AH164" s="6">
        <f>Datos_originales!$H209/Datos_originales!$E209</f>
        <v>9.0176108635688524E-4</v>
      </c>
      <c r="AI164" s="6">
        <f>Datos_originales!$I209/Datos_originales!$E209</f>
        <v>2.6522384892849562E-4</v>
      </c>
      <c r="AJ164" s="6">
        <f>Datos_originales!$J209/Datos_originales!$E209</f>
        <v>9.0176108635688524E-4</v>
      </c>
      <c r="AK164" s="6">
        <f>Datos_originales!$K209/Datos_originales!$E209</f>
        <v>3.1826861871419481E-4</v>
      </c>
      <c r="AL164" s="6">
        <f>Datos_originales!$L209/Datos_originales!$E209</f>
        <v>3.1826861871419481E-4</v>
      </c>
      <c r="AM164" s="6">
        <f>Datos_originales!$M209/Datos_originales!$E209</f>
        <v>2.6522384892849562E-4</v>
      </c>
      <c r="AN164" s="6">
        <f>Datos_originales!$N209/Datos_originales!$E209</f>
        <v>9.0176108635688524E-4</v>
      </c>
      <c r="AO164" s="6">
        <f>Datos_originales!$O209/Datos_originales!$E209</f>
        <v>5.3044769785699128E-5</v>
      </c>
      <c r="AP164" s="6">
        <f>Datos_originales!$P209/Datos_originales!$E209</f>
        <v>3.7131338849989389E-4</v>
      </c>
      <c r="AQ164" s="6">
        <f>Datos_originales!$Q209/Datos_originales!$E209</f>
        <v>4.7740292807129216E-4</v>
      </c>
      <c r="AR164" s="6">
        <f>Datos_originales!$R209/Datos_originales!$E209</f>
        <v>0</v>
      </c>
      <c r="AS164" s="6">
        <f>Datos_originales!$S209/Datos_originales!$E209</f>
        <v>5.8349246764269043E-4</v>
      </c>
      <c r="AT164" s="6">
        <f>Datos_originales!$T209/Datos_originales!$E209</f>
        <v>8.1688945469976654E-3</v>
      </c>
      <c r="AU164" s="6">
        <f>Datos_originales!$U209/Datos_originales!$E209</f>
        <v>3.288775726713346E-3</v>
      </c>
      <c r="AV164" s="6">
        <f>Datos_originales!$V209/Datos_originales!$E209</f>
        <v>1.5913430935709739E-3</v>
      </c>
      <c r="AW164" s="6">
        <f>Datos_originales!$W209/Datos_originales!$E209</f>
        <v>1.7345639719923613E-2</v>
      </c>
      <c r="AX164" s="6">
        <f>Datos_originales!$X209/Datos_originales!$E209</f>
        <v>1.1139401654996816E-3</v>
      </c>
      <c r="AY164" s="6">
        <f>Datos_originales!$Y209/Datos_originales!$E209</f>
        <v>6.3653723742838962E-4</v>
      </c>
      <c r="AZ164" s="6">
        <f>Datos_originales!$Z209/Datos_originales!$E209</f>
        <v>6.8958200721408859E-4</v>
      </c>
      <c r="BA164" s="6">
        <f>Datos_originales!$AA209/Datos_originales!$E209</f>
        <v>1.0078506259282834E-3</v>
      </c>
      <c r="BB164" s="6">
        <f>Datos_originales!$AB209/Datos_originales!$E209</f>
        <v>1.2200297050710799E-3</v>
      </c>
      <c r="BC164" s="6">
        <f>Datos_originales!$AC209/Datos_originales!$E209</f>
        <v>7.9567154678548697E-4</v>
      </c>
      <c r="BD164" s="6">
        <f>Datos_originales!$AD209/Datos_originales!$E209</f>
        <v>1.8035221727137705E-3</v>
      </c>
      <c r="BE164" s="6">
        <f>Datos_originales!$AE209/Datos_originales!$E209</f>
        <v>4.2435815828559303E-4</v>
      </c>
      <c r="BF164" s="6">
        <f>Datos_originales!$AF209/Datos_originales!$E209</f>
        <v>8.4871631657118605E-4</v>
      </c>
      <c r="BG164" s="6">
        <f>Datos_originales!$AG209/Datos_originales!$E209</f>
        <v>0.13828771483131763</v>
      </c>
    </row>
    <row r="165" spans="1:59" ht="15.75" customHeight="1">
      <c r="A165" s="2">
        <v>31602</v>
      </c>
      <c r="B165" s="3" t="s">
        <v>132</v>
      </c>
      <c r="C165" s="4" t="s">
        <v>134</v>
      </c>
      <c r="D165" s="4">
        <f>IF(Table_1[[#This Row],[Forest cover 2011]]&lt;1000,"Bosque menor a 1000 ha",Table_1[[#This Row],[Forest cover 2011]])</f>
        <v>54573.84</v>
      </c>
      <c r="E165" s="4">
        <v>54573.84</v>
      </c>
      <c r="F165" s="5">
        <f>AVERAGE(Datos_originales!$H71:$J71)</f>
        <v>0</v>
      </c>
      <c r="G165" s="5">
        <f>AVERAGE(Datos_originales!$R71:$T71)</f>
        <v>0</v>
      </c>
      <c r="H165" s="4">
        <v>536.30999999999995</v>
      </c>
      <c r="I165" s="4">
        <v>601.38</v>
      </c>
      <c r="J165" s="4">
        <v>710.1</v>
      </c>
      <c r="K165" s="4">
        <v>539.46</v>
      </c>
      <c r="L165" s="4">
        <v>217.44</v>
      </c>
      <c r="M165" s="4">
        <v>360.9</v>
      </c>
      <c r="N165" s="4">
        <v>269.19</v>
      </c>
      <c r="O165" s="4">
        <v>398.07</v>
      </c>
      <c r="P165" s="4">
        <v>663.3</v>
      </c>
      <c r="Q165" s="4">
        <v>904.68</v>
      </c>
      <c r="R165" s="4">
        <v>210.69</v>
      </c>
      <c r="S165" s="4">
        <v>836.37</v>
      </c>
      <c r="T165" s="4">
        <v>1229.8499999999999</v>
      </c>
      <c r="U165" s="4">
        <v>666.81000000000006</v>
      </c>
      <c r="V165" s="4">
        <v>663.66</v>
      </c>
      <c r="W165" s="4">
        <v>778.86</v>
      </c>
      <c r="X165" s="4">
        <v>605.70000000000005</v>
      </c>
      <c r="Y165" s="4">
        <v>287.37</v>
      </c>
      <c r="Z165" s="4">
        <v>432.36</v>
      </c>
      <c r="AA165" s="4">
        <v>341.55</v>
      </c>
      <c r="AB165" s="4">
        <v>466.83</v>
      </c>
      <c r="AC165" s="4">
        <v>712.17</v>
      </c>
      <c r="AD165" s="4">
        <v>948.51</v>
      </c>
      <c r="AE165" s="4">
        <v>220.05</v>
      </c>
      <c r="AF165" s="4">
        <v>955.98</v>
      </c>
      <c r="AG165" s="4">
        <v>1234.98</v>
      </c>
      <c r="AH165" s="6" t="e">
        <f>Datos_originales!$H71/Datos_originales!$E71</f>
        <v>#DIV/0!</v>
      </c>
      <c r="AI165" s="6" t="e">
        <f>Datos_originales!$I71/Datos_originales!$E71</f>
        <v>#DIV/0!</v>
      </c>
      <c r="AJ165" s="6" t="e">
        <f>Datos_originales!$J71/Datos_originales!$E71</f>
        <v>#DIV/0!</v>
      </c>
      <c r="AK165" s="6" t="e">
        <f>Datos_originales!$K71/Datos_originales!$E71</f>
        <v>#DIV/0!</v>
      </c>
      <c r="AL165" s="6" t="e">
        <f>Datos_originales!$L71/Datos_originales!$E71</f>
        <v>#DIV/0!</v>
      </c>
      <c r="AM165" s="6" t="e">
        <f>Datos_originales!$M71/Datos_originales!$E71</f>
        <v>#DIV/0!</v>
      </c>
      <c r="AN165" s="6" t="e">
        <f>Datos_originales!$N71/Datos_originales!$E71</f>
        <v>#DIV/0!</v>
      </c>
      <c r="AO165" s="6" t="e">
        <f>Datos_originales!$O71/Datos_originales!$E71</f>
        <v>#DIV/0!</v>
      </c>
      <c r="AP165" s="6" t="e">
        <f>Datos_originales!$P71/Datos_originales!$E71</f>
        <v>#DIV/0!</v>
      </c>
      <c r="AQ165" s="6" t="e">
        <f>Datos_originales!$Q71/Datos_originales!$E71</f>
        <v>#DIV/0!</v>
      </c>
      <c r="AR165" s="6" t="e">
        <f>Datos_originales!$R71/Datos_originales!$E71</f>
        <v>#DIV/0!</v>
      </c>
      <c r="AS165" s="6" t="e">
        <f>Datos_originales!$S71/Datos_originales!$E71</f>
        <v>#DIV/0!</v>
      </c>
      <c r="AT165" s="6" t="e">
        <f>Datos_originales!$T71/Datos_originales!$E71</f>
        <v>#DIV/0!</v>
      </c>
      <c r="AU165" s="6" t="e">
        <f>Datos_originales!$U71/Datos_originales!$E71</f>
        <v>#DIV/0!</v>
      </c>
      <c r="AV165" s="6" t="e">
        <f>Datos_originales!$V71/Datos_originales!$E71</f>
        <v>#DIV/0!</v>
      </c>
      <c r="AW165" s="6" t="e">
        <f>Datos_originales!$W71/Datos_originales!$E71</f>
        <v>#DIV/0!</v>
      </c>
      <c r="AX165" s="6" t="e">
        <f>Datos_originales!$X71/Datos_originales!$E71</f>
        <v>#DIV/0!</v>
      </c>
      <c r="AY165" s="6" t="e">
        <f>Datos_originales!$Y71/Datos_originales!$E71</f>
        <v>#DIV/0!</v>
      </c>
      <c r="AZ165" s="6" t="e">
        <f>Datos_originales!$Z71/Datos_originales!$E71</f>
        <v>#DIV/0!</v>
      </c>
      <c r="BA165" s="6" t="e">
        <f>Datos_originales!$AA71/Datos_originales!$E71</f>
        <v>#DIV/0!</v>
      </c>
      <c r="BB165" s="6" t="e">
        <f>Datos_originales!$AB71/Datos_originales!$E71</f>
        <v>#DIV/0!</v>
      </c>
      <c r="BC165" s="6" t="e">
        <f>Datos_originales!$AC71/Datos_originales!$E71</f>
        <v>#DIV/0!</v>
      </c>
      <c r="BD165" s="6" t="e">
        <f>Datos_originales!$AD71/Datos_originales!$E71</f>
        <v>#DIV/0!</v>
      </c>
      <c r="BE165" s="6" t="e">
        <f>Datos_originales!$AE71/Datos_originales!$E71</f>
        <v>#DIV/0!</v>
      </c>
      <c r="BF165" s="6" t="e">
        <f>Datos_originales!$AF71/Datos_originales!$E71</f>
        <v>#DIV/0!</v>
      </c>
      <c r="BG165" s="6" t="e">
        <f>Datos_originales!$AG71/Datos_originales!$E71</f>
        <v>#DIV/0!</v>
      </c>
    </row>
    <row r="166" spans="1:59" ht="15.75" customHeight="1">
      <c r="A166" s="2">
        <v>40101</v>
      </c>
      <c r="B166" s="3" t="s">
        <v>61</v>
      </c>
      <c r="C166" s="4" t="s">
        <v>61</v>
      </c>
      <c r="D166" s="4" t="str">
        <f>IF(Table_1[[#This Row],[Forest cover 2011]]&lt;1000,"Bosque menor a 1000 ha",Table_1[[#This Row],[Forest cover 2011]])</f>
        <v>Bosque menor a 1000 ha</v>
      </c>
      <c r="E166" s="4">
        <v>0</v>
      </c>
      <c r="F166" s="5">
        <f>AVERAGE(Datos_originales!$H271:$J271)</f>
        <v>1650.03</v>
      </c>
      <c r="G166" s="5">
        <f>AVERAGE(Datos_originales!$R271:$T271)</f>
        <v>950.00999999999988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</row>
    <row r="167" spans="1:59" ht="15.75" customHeight="1">
      <c r="A167" s="2">
        <v>40102</v>
      </c>
      <c r="B167" s="3" t="s">
        <v>61</v>
      </c>
      <c r="C167" s="4" t="s">
        <v>325</v>
      </c>
      <c r="D167" s="4" t="str">
        <f>IF(Table_1[[#This Row],[Forest cover 2011]]&lt;1000,"Bosque menor a 1000 ha",Table_1[[#This Row],[Forest cover 2011]])</f>
        <v>Bosque menor a 1000 ha</v>
      </c>
      <c r="E167" s="4">
        <v>0</v>
      </c>
      <c r="F167" s="5">
        <f>AVERAGE(Datos_originales!$H272:$J272)</f>
        <v>6987.87</v>
      </c>
      <c r="G167" s="5">
        <f>AVERAGE(Datos_originales!$R272:$T272)</f>
        <v>5757.2099999999991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</row>
    <row r="168" spans="1:59" ht="15.75" customHeight="1">
      <c r="A168" s="2">
        <v>40103</v>
      </c>
      <c r="B168" s="3" t="s">
        <v>61</v>
      </c>
      <c r="C168" s="4" t="s">
        <v>326</v>
      </c>
      <c r="D168" s="4" t="str">
        <f>IF(Table_1[[#This Row],[Forest cover 2011]]&lt;1000,"Bosque menor a 1000 ha",Table_1[[#This Row],[Forest cover 2011]])</f>
        <v>Bosque menor a 1000 ha</v>
      </c>
      <c r="E168" s="4">
        <v>0</v>
      </c>
      <c r="F168" s="5">
        <f>AVERAGE(Datos_originales!$H273:$J273)</f>
        <v>190.56000000000003</v>
      </c>
      <c r="G168" s="5">
        <f>AVERAGE(Datos_originales!$R273:$T273)</f>
        <v>301.52999999999997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</row>
    <row r="169" spans="1:59" ht="15.75" customHeight="1">
      <c r="A169" s="2">
        <v>40104</v>
      </c>
      <c r="B169" s="3" t="s">
        <v>61</v>
      </c>
      <c r="C169" s="4" t="s">
        <v>327</v>
      </c>
      <c r="D169" s="4" t="str">
        <f>IF(Table_1[[#This Row],[Forest cover 2011]]&lt;1000,"Bosque menor a 1000 ha",Table_1[[#This Row],[Forest cover 2011]])</f>
        <v>Bosque menor a 1000 ha</v>
      </c>
      <c r="E169" s="4">
        <v>0</v>
      </c>
      <c r="F169" s="5">
        <f>AVERAGE(Datos_originales!$H274:$J274)</f>
        <v>656.58</v>
      </c>
      <c r="G169" s="5">
        <f>AVERAGE(Datos_originales!$R274:$T274)</f>
        <v>403.77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</row>
    <row r="170" spans="1:59" ht="15.75" customHeight="1">
      <c r="A170" s="2">
        <v>40201</v>
      </c>
      <c r="B170" s="3" t="s">
        <v>61</v>
      </c>
      <c r="C170" s="4" t="s">
        <v>62</v>
      </c>
      <c r="D170" s="4" t="str">
        <f>IF(Table_1[[#This Row],[Forest cover 2011]]&lt;1000,"Bosque menor a 1000 ha",Table_1[[#This Row],[Forest cover 2011]])</f>
        <v>Bosque menor a 1000 ha</v>
      </c>
      <c r="E170" s="4">
        <v>1.08</v>
      </c>
      <c r="F170" s="5">
        <f>AVERAGE(Datos_originales!$H4:$J4)</f>
        <v>0.18000000000000002</v>
      </c>
      <c r="G170" s="5">
        <f>AVERAGE(Datos_originales!$R4:$T4)</f>
        <v>2.5799999999999996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0.9</v>
      </c>
      <c r="AH170" s="6">
        <f>Datos_originales!$H4/Datos_originales!$E4</f>
        <v>1.7260782811022046E-5</v>
      </c>
      <c r="AI170" s="6">
        <f>Datos_originales!$I4/Datos_originales!$E4</f>
        <v>0</v>
      </c>
      <c r="AJ170" s="6">
        <f>Datos_originales!$J4/Datos_originales!$E4</f>
        <v>3.4521565622044089E-6</v>
      </c>
      <c r="AK170" s="6">
        <f>Datos_originales!$K4/Datos_originales!$E4</f>
        <v>0</v>
      </c>
      <c r="AL170" s="6">
        <f>Datos_originales!$L4/Datos_originales!$E4</f>
        <v>5.5234504995270542E-5</v>
      </c>
      <c r="AM170" s="6">
        <f>Datos_originales!$M4/Datos_originales!$E4</f>
        <v>0</v>
      </c>
      <c r="AN170" s="6">
        <f>Datos_originales!$N4/Datos_originales!$E4</f>
        <v>6.9043131244088178E-6</v>
      </c>
      <c r="AO170" s="6">
        <f>Datos_originales!$O4/Datos_originales!$E4</f>
        <v>3.4521565622044092E-5</v>
      </c>
      <c r="AP170" s="6">
        <f>Datos_originales!$P4/Datos_originales!$E4</f>
        <v>2.0712939373226457E-5</v>
      </c>
      <c r="AQ170" s="6">
        <f>Datos_originales!$Q4/Datos_originales!$E4</f>
        <v>0</v>
      </c>
      <c r="AR170" s="6">
        <f>Datos_originales!$R4/Datos_originales!$E4</f>
        <v>3.4521565622044089E-6</v>
      </c>
      <c r="AS170" s="6">
        <f>Datos_originales!$S4/Datos_originales!$E4</f>
        <v>2.7272036841414831E-4</v>
      </c>
      <c r="AT170" s="6">
        <f>Datos_originales!$T4/Datos_originales!$E4</f>
        <v>2.0712939373226457E-5</v>
      </c>
      <c r="AU170" s="6">
        <f>Datos_originales!$U4/Datos_originales!$E4</f>
        <v>2.050580997949419E-3</v>
      </c>
      <c r="AV170" s="6">
        <f>Datos_originales!$V4/Datos_originales!$E4</f>
        <v>1.2462285189557918E-3</v>
      </c>
      <c r="AW170" s="6">
        <f>Datos_originales!$W4/Datos_originales!$E4</f>
        <v>1.0356469686613228E-2</v>
      </c>
      <c r="AX170" s="6">
        <f>Datos_originales!$X4/Datos_originales!$E4</f>
        <v>4.1080663090232474E-4</v>
      </c>
      <c r="AY170" s="6">
        <f>Datos_originales!$Y4/Datos_originales!$E4</f>
        <v>3.3485918653382768E-4</v>
      </c>
      <c r="AZ170" s="6">
        <f>Datos_originales!$Z4/Datos_originales!$E4</f>
        <v>4.2461525715114233E-4</v>
      </c>
      <c r="BA170" s="6">
        <f>Datos_originales!$AA4/Datos_originales!$E4</f>
        <v>6.3519680744561122E-4</v>
      </c>
      <c r="BB170" s="6">
        <f>Datos_originales!$AB4/Datos_originales!$E4</f>
        <v>1.6087049579872545E-3</v>
      </c>
      <c r="BC170" s="6">
        <f>Datos_originales!$AC4/Datos_originales!$E4</f>
        <v>3.9734322030972749E-3</v>
      </c>
      <c r="BD170" s="6">
        <f>Datos_originales!$AD4/Datos_originales!$E4</f>
        <v>2.7617252497635271E-5</v>
      </c>
      <c r="BE170" s="6">
        <f>Datos_originales!$AE4/Datos_originales!$E4</f>
        <v>7.5947444368497006E-5</v>
      </c>
      <c r="BF170" s="6">
        <f>Datos_originales!$AF4/Datos_originales!$E4</f>
        <v>2.5787609519666937E-3</v>
      </c>
      <c r="BG170" s="6">
        <f>Datos_originales!$AG4/Datos_originales!$E4</f>
        <v>1.3463410592597194E-4</v>
      </c>
    </row>
    <row r="171" spans="1:59" ht="15.75" customHeight="1">
      <c r="A171" s="2">
        <v>40202</v>
      </c>
      <c r="B171" s="3" t="s">
        <v>61</v>
      </c>
      <c r="C171" s="4" t="s">
        <v>328</v>
      </c>
      <c r="D171" s="4" t="str">
        <f>IF(Table_1[[#This Row],[Forest cover 2011]]&lt;1000,"Bosque menor a 1000 ha",Table_1[[#This Row],[Forest cover 2011]])</f>
        <v>Bosque menor a 1000 ha</v>
      </c>
      <c r="E171" s="4">
        <v>0</v>
      </c>
      <c r="F171" s="5">
        <f>AVERAGE(Datos_originales!$H275:$J275)</f>
        <v>13701.12</v>
      </c>
      <c r="G171" s="5">
        <f>AVERAGE(Datos_originales!$R275:$T275)</f>
        <v>25182.240000000002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</row>
    <row r="172" spans="1:59" ht="15.75" customHeight="1">
      <c r="A172" s="2">
        <v>40301</v>
      </c>
      <c r="B172" s="3" t="s">
        <v>61</v>
      </c>
      <c r="C172" s="4" t="s">
        <v>329</v>
      </c>
      <c r="D172" s="4" t="str">
        <f>IF(Table_1[[#This Row],[Forest cover 2011]]&lt;1000,"Bosque menor a 1000 ha",Table_1[[#This Row],[Forest cover 2011]])</f>
        <v>Bosque menor a 1000 ha</v>
      </c>
      <c r="E172" s="4">
        <v>0</v>
      </c>
      <c r="F172" s="5">
        <f>AVERAGE(Datos_originales!$H276:$J276)</f>
        <v>5367.18</v>
      </c>
      <c r="G172" s="5">
        <f>AVERAGE(Datos_originales!$R276:$T276)</f>
        <v>4572.75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</row>
    <row r="173" spans="1:59" ht="15.75" customHeight="1">
      <c r="A173" s="2">
        <v>40302</v>
      </c>
      <c r="B173" s="3" t="s">
        <v>61</v>
      </c>
      <c r="C173" s="4" t="s">
        <v>330</v>
      </c>
      <c r="D173" s="4" t="str">
        <f>IF(Table_1[[#This Row],[Forest cover 2011]]&lt;1000,"Bosque menor a 1000 ha",Table_1[[#This Row],[Forest cover 2011]])</f>
        <v>Bosque menor a 1000 ha</v>
      </c>
      <c r="E173" s="4">
        <v>0</v>
      </c>
      <c r="F173" s="5">
        <f>AVERAGE(Datos_originales!$H277:$J277)</f>
        <v>104.28000000000002</v>
      </c>
      <c r="G173" s="5">
        <f>AVERAGE(Datos_originales!$R277:$T277)</f>
        <v>211.65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</row>
    <row r="174" spans="1:59" ht="15.75" customHeight="1">
      <c r="A174" s="2">
        <v>40401</v>
      </c>
      <c r="B174" s="3" t="s">
        <v>61</v>
      </c>
      <c r="C174" s="4" t="s">
        <v>331</v>
      </c>
      <c r="D174" s="4" t="str">
        <f>IF(Table_1[[#This Row],[Forest cover 2011]]&lt;1000,"Bosque menor a 1000 ha",Table_1[[#This Row],[Forest cover 2011]])</f>
        <v>Bosque menor a 1000 ha</v>
      </c>
      <c r="E174" s="4">
        <v>0</v>
      </c>
      <c r="F174" s="5">
        <f>AVERAGE(Datos_originales!$H278:$J278)</f>
        <v>2226.5700000000002</v>
      </c>
      <c r="G174" s="5">
        <f>AVERAGE(Datos_originales!$R278:$T278)</f>
        <v>1662.2699999999998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</row>
    <row r="175" spans="1:59" ht="15.75" customHeight="1">
      <c r="A175" s="2">
        <v>40402</v>
      </c>
      <c r="B175" s="3" t="s">
        <v>61</v>
      </c>
      <c r="C175" s="4" t="s">
        <v>332</v>
      </c>
      <c r="D175" s="4" t="str">
        <f>IF(Table_1[[#This Row],[Forest cover 2011]]&lt;1000,"Bosque menor a 1000 ha",Table_1[[#This Row],[Forest cover 2011]])</f>
        <v>Bosque menor a 1000 ha</v>
      </c>
      <c r="E175" s="4">
        <v>0</v>
      </c>
      <c r="F175" s="5">
        <f>AVERAGE(Datos_originales!$H279:$J279)</f>
        <v>439.89000000000004</v>
      </c>
      <c r="G175" s="5">
        <f>AVERAGE(Datos_originales!$R279:$T279)</f>
        <v>547.68000000000006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</row>
    <row r="176" spans="1:59" ht="15.75" customHeight="1">
      <c r="A176" s="2">
        <v>40501</v>
      </c>
      <c r="B176" s="3" t="s">
        <v>61</v>
      </c>
      <c r="C176" s="4" t="s">
        <v>333</v>
      </c>
      <c r="D176" s="4" t="str">
        <f>IF(Table_1[[#This Row],[Forest cover 2011]]&lt;1000,"Bosque menor a 1000 ha",Table_1[[#This Row],[Forest cover 2011]])</f>
        <v>Bosque menor a 1000 ha</v>
      </c>
      <c r="E176" s="4">
        <v>0</v>
      </c>
      <c r="F176" s="5">
        <f>AVERAGE(Datos_originales!$H280:$J280)</f>
        <v>70.44</v>
      </c>
      <c r="G176" s="5">
        <f>AVERAGE(Datos_originales!$R280:$T280)</f>
        <v>1307.04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</row>
    <row r="177" spans="1:59" ht="15.75" customHeight="1">
      <c r="A177" s="2">
        <v>40502</v>
      </c>
      <c r="B177" s="3" t="s">
        <v>61</v>
      </c>
      <c r="C177" s="4" t="s">
        <v>334</v>
      </c>
      <c r="D177" s="4" t="str">
        <f>IF(Table_1[[#This Row],[Forest cover 2011]]&lt;1000,"Bosque menor a 1000 ha",Table_1[[#This Row],[Forest cover 2011]])</f>
        <v>Bosque menor a 1000 ha</v>
      </c>
      <c r="E177" s="4">
        <v>0</v>
      </c>
      <c r="F177" s="5">
        <f>AVERAGE(Datos_originales!$H281:$J281)</f>
        <v>639.84</v>
      </c>
      <c r="G177" s="5">
        <f>AVERAGE(Datos_originales!$R281:$T281)</f>
        <v>1338.06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</row>
    <row r="178" spans="1:59" ht="15.75" customHeight="1">
      <c r="A178" s="2">
        <v>40503</v>
      </c>
      <c r="B178" s="3" t="s">
        <v>61</v>
      </c>
      <c r="C178" s="4" t="s">
        <v>335</v>
      </c>
      <c r="D178" s="4" t="str">
        <f>IF(Table_1[[#This Row],[Forest cover 2011]]&lt;1000,"Bosque menor a 1000 ha",Table_1[[#This Row],[Forest cover 2011]])</f>
        <v>Bosque menor a 1000 ha</v>
      </c>
      <c r="E178" s="4">
        <v>0</v>
      </c>
      <c r="F178" s="5">
        <f>AVERAGE(Datos_originales!$H282:$J282)</f>
        <v>61.199999999999996</v>
      </c>
      <c r="G178" s="5">
        <f>AVERAGE(Datos_originales!$R282:$T282)</f>
        <v>137.66999999999999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</row>
    <row r="179" spans="1:59" ht="15.75" customHeight="1">
      <c r="A179" s="2">
        <v>40504</v>
      </c>
      <c r="B179" s="3" t="s">
        <v>61</v>
      </c>
      <c r="C179" s="4" t="s">
        <v>336</v>
      </c>
      <c r="D179" s="4" t="str">
        <f>IF(Table_1[[#This Row],[Forest cover 2011]]&lt;1000,"Bosque menor a 1000 ha",Table_1[[#This Row],[Forest cover 2011]])</f>
        <v>Bosque menor a 1000 ha</v>
      </c>
      <c r="E179" s="4">
        <v>0</v>
      </c>
      <c r="F179" s="5">
        <f>AVERAGE(Datos_originales!$H283:$J283)</f>
        <v>30.09</v>
      </c>
      <c r="G179" s="5">
        <f>AVERAGE(Datos_originales!$R283:$T283)</f>
        <v>208.74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</row>
    <row r="180" spans="1:59" ht="15.75" customHeight="1">
      <c r="A180" s="2">
        <v>40505</v>
      </c>
      <c r="B180" s="3" t="s">
        <v>61</v>
      </c>
      <c r="C180" s="4" t="s">
        <v>337</v>
      </c>
      <c r="D180" s="4" t="str">
        <f>IF(Table_1[[#This Row],[Forest cover 2011]]&lt;1000,"Bosque menor a 1000 ha",Table_1[[#This Row],[Forest cover 2011]])</f>
        <v>Bosque menor a 1000 ha</v>
      </c>
      <c r="E180" s="4">
        <v>0</v>
      </c>
      <c r="F180" s="5">
        <f>AVERAGE(Datos_originales!$H284:$J284)</f>
        <v>287.49</v>
      </c>
      <c r="G180" s="5">
        <f>AVERAGE(Datos_originales!$R284:$T284)</f>
        <v>458.76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</row>
    <row r="181" spans="1:59" ht="15.75" customHeight="1">
      <c r="A181" s="2">
        <v>40601</v>
      </c>
      <c r="B181" s="3" t="s">
        <v>61</v>
      </c>
      <c r="C181" s="4" t="s">
        <v>338</v>
      </c>
      <c r="D181" s="4" t="str">
        <f>IF(Table_1[[#This Row],[Forest cover 2011]]&lt;1000,"Bosque menor a 1000 ha",Table_1[[#This Row],[Forest cover 2011]])</f>
        <v>Bosque menor a 1000 ha</v>
      </c>
      <c r="E181" s="4">
        <v>0</v>
      </c>
      <c r="F181" s="5">
        <f>AVERAGE(Datos_originales!$H285:$J285)</f>
        <v>65.339999999999989</v>
      </c>
      <c r="G181" s="5">
        <f>AVERAGE(Datos_originales!$R285:$T285)</f>
        <v>257.15999999999997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</row>
    <row r="182" spans="1:59" ht="15.75" customHeight="1">
      <c r="A182" s="2">
        <v>40602</v>
      </c>
      <c r="B182" s="3" t="s">
        <v>61</v>
      </c>
      <c r="C182" s="4" t="s">
        <v>339</v>
      </c>
      <c r="D182" s="4" t="str">
        <f>IF(Table_1[[#This Row],[Forest cover 2011]]&lt;1000,"Bosque menor a 1000 ha",Table_1[[#This Row],[Forest cover 2011]])</f>
        <v>Bosque menor a 1000 ha</v>
      </c>
      <c r="E182" s="4">
        <v>0</v>
      </c>
      <c r="F182" s="5">
        <f>AVERAGE(Datos_originales!$H286:$J286)</f>
        <v>273.53999999999996</v>
      </c>
      <c r="G182" s="5">
        <f>AVERAGE(Datos_originales!$R286:$T286)</f>
        <v>439.14000000000004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</row>
    <row r="183" spans="1:59" ht="15.75" customHeight="1">
      <c r="A183" s="2">
        <v>40603</v>
      </c>
      <c r="B183" s="3" t="s">
        <v>61</v>
      </c>
      <c r="C183" s="4" t="s">
        <v>340</v>
      </c>
      <c r="D183" s="4" t="str">
        <f>IF(Table_1[[#This Row],[Forest cover 2011]]&lt;1000,"Bosque menor a 1000 ha",Table_1[[#This Row],[Forest cover 2011]])</f>
        <v>Bosque menor a 1000 ha</v>
      </c>
      <c r="E183" s="4">
        <v>0</v>
      </c>
      <c r="F183" s="5">
        <f>AVERAGE(Datos_originales!$H287:$J287)</f>
        <v>299.52000000000004</v>
      </c>
      <c r="G183" s="5">
        <f>AVERAGE(Datos_originales!$R287:$T287)</f>
        <v>431.58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</row>
    <row r="184" spans="1:59" ht="15.75" customHeight="1">
      <c r="A184" s="2">
        <v>40701</v>
      </c>
      <c r="B184" s="3" t="s">
        <v>61</v>
      </c>
      <c r="C184" s="4" t="s">
        <v>341</v>
      </c>
      <c r="D184" s="4" t="str">
        <f>IF(Table_1[[#This Row],[Forest cover 2011]]&lt;1000,"Bosque menor a 1000 ha",Table_1[[#This Row],[Forest cover 2011]])</f>
        <v>Bosque menor a 1000 ha</v>
      </c>
      <c r="E184" s="4">
        <v>0</v>
      </c>
      <c r="F184" s="5">
        <f>AVERAGE(Datos_originales!$H288:$J288)</f>
        <v>225.24</v>
      </c>
      <c r="G184" s="5">
        <f>AVERAGE(Datos_originales!$R288:$T288)</f>
        <v>381.51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</row>
    <row r="185" spans="1:59" ht="15.75" customHeight="1">
      <c r="A185" s="2">
        <v>40702</v>
      </c>
      <c r="B185" s="3" t="s">
        <v>61</v>
      </c>
      <c r="C185" s="4" t="s">
        <v>342</v>
      </c>
      <c r="D185" s="4" t="str">
        <f>IF(Table_1[[#This Row],[Forest cover 2011]]&lt;1000,"Bosque menor a 1000 ha",Table_1[[#This Row],[Forest cover 2011]])</f>
        <v>Bosque menor a 1000 ha</v>
      </c>
      <c r="E185" s="4">
        <v>0</v>
      </c>
      <c r="F185" s="5">
        <f>AVERAGE(Datos_originales!$H289:$J289)</f>
        <v>94.469999999999985</v>
      </c>
      <c r="G185" s="5">
        <f>AVERAGE(Datos_originales!$R289:$T289)</f>
        <v>126.66000000000001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</row>
    <row r="186" spans="1:59" ht="15.75" customHeight="1">
      <c r="A186" s="2">
        <v>40801</v>
      </c>
      <c r="B186" s="3" t="s">
        <v>61</v>
      </c>
      <c r="C186" s="4" t="s">
        <v>343</v>
      </c>
      <c r="D186" s="4" t="str">
        <f>IF(Table_1[[#This Row],[Forest cover 2011]]&lt;1000,"Bosque menor a 1000 ha",Table_1[[#This Row],[Forest cover 2011]])</f>
        <v>Bosque menor a 1000 ha</v>
      </c>
      <c r="E186" s="4">
        <v>0</v>
      </c>
      <c r="F186" s="5">
        <f>AVERAGE(Datos_originales!$H290:$J290)</f>
        <v>195.66</v>
      </c>
      <c r="G186" s="5">
        <f>AVERAGE(Datos_originales!$R290:$T290)</f>
        <v>104.64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</row>
    <row r="187" spans="1:59" ht="15.75" customHeight="1">
      <c r="A187" s="2">
        <v>40802</v>
      </c>
      <c r="B187" s="3" t="s">
        <v>61</v>
      </c>
      <c r="C187" s="4" t="s">
        <v>344</v>
      </c>
      <c r="D187" s="4" t="str">
        <f>IF(Table_1[[#This Row],[Forest cover 2011]]&lt;1000,"Bosque menor a 1000 ha",Table_1[[#This Row],[Forest cover 2011]])</f>
        <v>Bosque menor a 1000 ha</v>
      </c>
      <c r="E187" s="4">
        <v>0</v>
      </c>
      <c r="F187" s="5">
        <f>AVERAGE(Datos_originales!$H291:$J291)</f>
        <v>263.55</v>
      </c>
      <c r="G187" s="5">
        <f>AVERAGE(Datos_originales!$R291:$T291)</f>
        <v>164.79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0</v>
      </c>
      <c r="BF187" s="6">
        <v>0</v>
      </c>
      <c r="BG187" s="6">
        <v>0</v>
      </c>
    </row>
    <row r="188" spans="1:59" ht="15.75" customHeight="1">
      <c r="A188" s="2">
        <v>40901</v>
      </c>
      <c r="B188" s="3" t="s">
        <v>61</v>
      </c>
      <c r="C188" s="4" t="s">
        <v>345</v>
      </c>
      <c r="D188" s="4" t="str">
        <f>IF(Table_1[[#This Row],[Forest cover 2011]]&lt;1000,"Bosque menor a 1000 ha",Table_1[[#This Row],[Forest cover 2011]])</f>
        <v>Bosque menor a 1000 ha</v>
      </c>
      <c r="E188" s="4">
        <v>0</v>
      </c>
      <c r="F188" s="5">
        <f>AVERAGE(Datos_originales!$H292:$J292)</f>
        <v>297.54000000000002</v>
      </c>
      <c r="G188" s="5">
        <f>AVERAGE(Datos_originales!$R292:$T292)</f>
        <v>203.58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</row>
    <row r="189" spans="1:59" ht="15.75" customHeight="1">
      <c r="A189" s="2">
        <v>40902</v>
      </c>
      <c r="B189" s="3" t="s">
        <v>61</v>
      </c>
      <c r="C189" s="4" t="s">
        <v>346</v>
      </c>
      <c r="D189" s="4" t="str">
        <f>IF(Table_1[[#This Row],[Forest cover 2011]]&lt;1000,"Bosque menor a 1000 ha",Table_1[[#This Row],[Forest cover 2011]])</f>
        <v>Bosque menor a 1000 ha</v>
      </c>
      <c r="E189" s="4">
        <v>0</v>
      </c>
      <c r="F189" s="5">
        <f>AVERAGE(Datos_originales!$H293:$J293)</f>
        <v>309.42</v>
      </c>
      <c r="G189" s="5">
        <f>AVERAGE(Datos_originales!$R293:$T293)</f>
        <v>224.58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</row>
    <row r="190" spans="1:59" ht="15.75" customHeight="1">
      <c r="A190" s="2">
        <v>40903</v>
      </c>
      <c r="B190" s="3" t="s">
        <v>61</v>
      </c>
      <c r="C190" s="4" t="s">
        <v>347</v>
      </c>
      <c r="D190" s="4" t="str">
        <f>IF(Table_1[[#This Row],[Forest cover 2011]]&lt;1000,"Bosque menor a 1000 ha",Table_1[[#This Row],[Forest cover 2011]])</f>
        <v>Bosque menor a 1000 ha</v>
      </c>
      <c r="E190" s="4">
        <v>0</v>
      </c>
      <c r="F190" s="5">
        <f>AVERAGE(Datos_originales!$H294:$J294)</f>
        <v>1728.54</v>
      </c>
      <c r="G190" s="5">
        <f>AVERAGE(Datos_originales!$R294:$T294)</f>
        <v>1016.58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</row>
    <row r="191" spans="1:59" ht="15.75" customHeight="1">
      <c r="A191" s="2">
        <v>41001</v>
      </c>
      <c r="B191" s="3" t="s">
        <v>61</v>
      </c>
      <c r="C191" s="4" t="s">
        <v>348</v>
      </c>
      <c r="D191" s="4" t="str">
        <f>IF(Table_1[[#This Row],[Forest cover 2011]]&lt;1000,"Bosque menor a 1000 ha",Table_1[[#This Row],[Forest cover 2011]])</f>
        <v>Bosque menor a 1000 ha</v>
      </c>
      <c r="E191" s="4">
        <v>0</v>
      </c>
      <c r="F191" s="5">
        <f>AVERAGE(Datos_originales!$H295:$J295)</f>
        <v>5438.31</v>
      </c>
      <c r="G191" s="5">
        <f>AVERAGE(Datos_originales!$R295:$T295)</f>
        <v>25056.66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</row>
    <row r="192" spans="1:59" ht="15.75" customHeight="1">
      <c r="A192" s="2">
        <v>41101</v>
      </c>
      <c r="B192" s="3" t="s">
        <v>61</v>
      </c>
      <c r="C192" s="4" t="s">
        <v>349</v>
      </c>
      <c r="D192" s="4" t="str">
        <f>IF(Table_1[[#This Row],[Forest cover 2011]]&lt;1000,"Bosque menor a 1000 ha",Table_1[[#This Row],[Forest cover 2011]])</f>
        <v>Bosque menor a 1000 ha</v>
      </c>
      <c r="E192" s="4">
        <v>0</v>
      </c>
      <c r="F192" s="5">
        <f>AVERAGE(Datos_originales!$H296:$J296)</f>
        <v>1977.45</v>
      </c>
      <c r="G192" s="5">
        <f>AVERAGE(Datos_originales!$R296:$T296)</f>
        <v>3604.11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</row>
    <row r="193" spans="1:59" ht="15.75" customHeight="1">
      <c r="A193" s="2">
        <v>41201</v>
      </c>
      <c r="B193" s="3" t="s">
        <v>61</v>
      </c>
      <c r="C193" s="4" t="s">
        <v>350</v>
      </c>
      <c r="D193" s="4" t="str">
        <f>IF(Table_1[[#This Row],[Forest cover 2011]]&lt;1000,"Bosque menor a 1000 ha",Table_1[[#This Row],[Forest cover 2011]])</f>
        <v>Bosque menor a 1000 ha</v>
      </c>
      <c r="E193" s="4">
        <v>0</v>
      </c>
      <c r="F193" s="5">
        <f>AVERAGE(Datos_originales!$H297:$J297)</f>
        <v>498.62999999999994</v>
      </c>
      <c r="G193" s="5">
        <f>AVERAGE(Datos_originales!$R297:$T297)</f>
        <v>926.28000000000009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</row>
    <row r="194" spans="1:59" ht="15.75" customHeight="1">
      <c r="A194" s="2">
        <v>41202</v>
      </c>
      <c r="B194" s="3" t="s">
        <v>61</v>
      </c>
      <c r="C194" s="4" t="s">
        <v>351</v>
      </c>
      <c r="D194" s="4" t="str">
        <f>IF(Table_1[[#This Row],[Forest cover 2011]]&lt;1000,"Bosque menor a 1000 ha",Table_1[[#This Row],[Forest cover 2011]])</f>
        <v>Bosque menor a 1000 ha</v>
      </c>
      <c r="E194" s="4">
        <v>0</v>
      </c>
      <c r="F194" s="5">
        <f>AVERAGE(Datos_originales!$H298:$J298)</f>
        <v>12716.549999999997</v>
      </c>
      <c r="G194" s="5">
        <f>AVERAGE(Datos_originales!$R298:$T298)</f>
        <v>4158.87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</row>
    <row r="195" spans="1:59" ht="15.75" customHeight="1">
      <c r="A195" s="2">
        <v>41301</v>
      </c>
      <c r="B195" s="3" t="s">
        <v>61</v>
      </c>
      <c r="C195" s="4" t="s">
        <v>257</v>
      </c>
      <c r="D195" s="4" t="str">
        <f>IF(Table_1[[#This Row],[Forest cover 2011]]&lt;1000,"Bosque menor a 1000 ha",Table_1[[#This Row],[Forest cover 2011]])</f>
        <v>Bosque menor a 1000 ha</v>
      </c>
      <c r="E195" s="4">
        <v>0</v>
      </c>
      <c r="F195" s="5">
        <f>AVERAGE(Datos_originales!$H299:$J299)</f>
        <v>120.83999999999999</v>
      </c>
      <c r="G195" s="5">
        <f>AVERAGE(Datos_originales!$R299:$T299)</f>
        <v>1305.93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</row>
    <row r="196" spans="1:59" ht="15.75" customHeight="1">
      <c r="A196" s="2">
        <v>41401</v>
      </c>
      <c r="B196" s="3" t="s">
        <v>61</v>
      </c>
      <c r="C196" s="4" t="s">
        <v>64</v>
      </c>
      <c r="D196" s="4" t="str">
        <f>IF(Table_1[[#This Row],[Forest cover 2011]]&lt;1000,"Bosque menor a 1000 ha",Table_1[[#This Row],[Forest cover 2011]])</f>
        <v>Bosque menor a 1000 ha</v>
      </c>
      <c r="E196" s="4">
        <v>4.32</v>
      </c>
      <c r="F196" s="5">
        <f>AVERAGE(Datos_originales!$H6:$J6)</f>
        <v>15.329999999999998</v>
      </c>
      <c r="G196" s="5">
        <f>AVERAGE(Datos_originales!$R6:$T6)</f>
        <v>59.31</v>
      </c>
      <c r="H196" s="4">
        <v>0</v>
      </c>
      <c r="I196" s="4">
        <v>0</v>
      </c>
      <c r="J196" s="4">
        <v>0</v>
      </c>
      <c r="K196" s="4">
        <v>0.09</v>
      </c>
      <c r="L196" s="4">
        <v>0</v>
      </c>
      <c r="M196" s="4">
        <v>0</v>
      </c>
      <c r="N196" s="4">
        <v>0</v>
      </c>
      <c r="O196" s="4">
        <v>0</v>
      </c>
      <c r="P196" s="4">
        <v>0.18</v>
      </c>
      <c r="Q196" s="4">
        <v>0</v>
      </c>
      <c r="R196" s="4">
        <v>0</v>
      </c>
      <c r="S196" s="4">
        <v>0</v>
      </c>
      <c r="T196" s="4">
        <v>0.09</v>
      </c>
      <c r="U196" s="4">
        <v>0.09</v>
      </c>
      <c r="V196" s="4">
        <v>0</v>
      </c>
      <c r="W196" s="4">
        <v>0.09</v>
      </c>
      <c r="X196" s="4">
        <v>0.09</v>
      </c>
      <c r="Y196" s="4">
        <v>0</v>
      </c>
      <c r="Z196" s="4">
        <v>0</v>
      </c>
      <c r="AA196" s="4">
        <v>0</v>
      </c>
      <c r="AB196" s="4">
        <v>0.09</v>
      </c>
      <c r="AC196" s="4">
        <v>0.36</v>
      </c>
      <c r="AD196" s="4">
        <v>0</v>
      </c>
      <c r="AE196" s="4">
        <v>0</v>
      </c>
      <c r="AF196" s="4">
        <v>0</v>
      </c>
      <c r="AG196" s="4">
        <v>3.06</v>
      </c>
      <c r="AH196" s="6">
        <f>Datos_originales!$H6/Datos_originales!$E6</f>
        <v>1.7028580769964309E-4</v>
      </c>
      <c r="AI196" s="6">
        <f>Datos_originales!$I6/Datos_originales!$E6</f>
        <v>4.5182500976305299E-4</v>
      </c>
      <c r="AJ196" s="6">
        <f>Datos_originales!$J6/Datos_originales!$E6</f>
        <v>5.3810315233087215E-4</v>
      </c>
      <c r="AK196" s="6">
        <f>Datos_originales!$K6/Datos_originales!$E6</f>
        <v>4.6317739694302917E-4</v>
      </c>
      <c r="AL196" s="6">
        <f>Datos_originales!$L6/Datos_originales!$E6</f>
        <v>3.0424397642336235E-4</v>
      </c>
      <c r="AM196" s="6">
        <f>Datos_originales!$M6/Datos_originales!$E6</f>
        <v>8.5824047080620123E-4</v>
      </c>
      <c r="AN196" s="6">
        <f>Datos_originales!$N6/Datos_originales!$E6</f>
        <v>5.8805365592276744E-4</v>
      </c>
      <c r="AO196" s="6">
        <f>Datos_originales!$O6/Datos_originales!$E6</f>
        <v>1.1897301764615064E-3</v>
      </c>
      <c r="AP196" s="6">
        <f>Datos_originales!$P6/Datos_originales!$E6</f>
        <v>9.7176434260596331E-4</v>
      </c>
      <c r="AQ196" s="6">
        <f>Datos_originales!$Q6/Datos_originales!$E6</f>
        <v>6.0394699797473416E-4</v>
      </c>
      <c r="AR196" s="6">
        <f>Datos_originales!$R6/Datos_originales!$E6</f>
        <v>9.5360052311800123E-5</v>
      </c>
      <c r="AS196" s="6">
        <f>Datos_originales!$S6/Datos_originales!$E6</f>
        <v>3.294462759629095E-3</v>
      </c>
      <c r="AT196" s="6">
        <f>Datos_originales!$T6/Datos_originales!$E6</f>
        <v>1.0989110790216969E-3</v>
      </c>
      <c r="AU196" s="6">
        <f>Datos_originales!$U6/Datos_originales!$E6</f>
        <v>5.17668855406915E-4</v>
      </c>
      <c r="AV196" s="6">
        <f>Datos_originales!$V6/Datos_originales!$E6</f>
        <v>1.0875586918417206E-3</v>
      </c>
      <c r="AW196" s="6">
        <f>Datos_originales!$W6/Datos_originales!$E6</f>
        <v>1.0537285780453914E-2</v>
      </c>
      <c r="AX196" s="6">
        <f>Datos_originales!$X6/Datos_originales!$E6</f>
        <v>1.1125339436376682E-3</v>
      </c>
      <c r="AY196" s="6">
        <f>Datos_originales!$Y6/Datos_originales!$E6</f>
        <v>6.993070502865343E-4</v>
      </c>
      <c r="AZ196" s="6">
        <f>Datos_originales!$Z6/Datos_originales!$E6</f>
        <v>1.0376081882498252E-3</v>
      </c>
      <c r="BA196" s="6">
        <f>Datos_originales!$AA6/Datos_originales!$E6</f>
        <v>1.0852882144057254E-3</v>
      </c>
      <c r="BB196" s="6">
        <f>Datos_originales!$AB6/Datos_originales!$E6</f>
        <v>2.0593230344476835E-3</v>
      </c>
      <c r="BC196" s="6">
        <f>Datos_originales!$AC6/Datos_originales!$E6</f>
        <v>1.2555740221053685E-3</v>
      </c>
      <c r="BD196" s="6">
        <f>Datos_originales!$AD6/Datos_originales!$E6</f>
        <v>7.9239662516233922E-4</v>
      </c>
      <c r="BE196" s="6">
        <f>Datos_originales!$AE6/Datos_originales!$E6</f>
        <v>4.2821204442870251E-3</v>
      </c>
      <c r="BF196" s="6">
        <f>Datos_originales!$AF6/Datos_originales!$E6</f>
        <v>4.61361014994233E-3</v>
      </c>
      <c r="BG196" s="6">
        <f>Datos_originales!$AG6/Datos_originales!$E6</f>
        <v>1.1352387179976206E-3</v>
      </c>
    </row>
    <row r="197" spans="1:59" ht="15.75" customHeight="1">
      <c r="A197" s="2">
        <v>41501</v>
      </c>
      <c r="B197" s="3" t="s">
        <v>61</v>
      </c>
      <c r="C197" s="4" t="s">
        <v>352</v>
      </c>
      <c r="D197" s="4" t="str">
        <f>IF(Table_1[[#This Row],[Forest cover 2011]]&lt;1000,"Bosque menor a 1000 ha",Table_1[[#This Row],[Forest cover 2011]])</f>
        <v>Bosque menor a 1000 ha</v>
      </c>
      <c r="E197" s="4">
        <v>0</v>
      </c>
      <c r="F197" s="5">
        <f>AVERAGE(Datos_originales!$H300:$J300)</f>
        <v>6154.38</v>
      </c>
      <c r="G197" s="5">
        <f>AVERAGE(Datos_originales!$R300:$T300)</f>
        <v>3558.6300000000006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</row>
    <row r="198" spans="1:59" ht="15.75" customHeight="1">
      <c r="A198" s="2">
        <v>41502</v>
      </c>
      <c r="B198" s="3" t="s">
        <v>61</v>
      </c>
      <c r="C198" s="4" t="s">
        <v>353</v>
      </c>
      <c r="D198" s="4" t="str">
        <f>IF(Table_1[[#This Row],[Forest cover 2011]]&lt;1000,"Bosque menor a 1000 ha",Table_1[[#This Row],[Forest cover 2011]])</f>
        <v>Bosque menor a 1000 ha</v>
      </c>
      <c r="E198" s="4">
        <v>0</v>
      </c>
      <c r="F198" s="5">
        <f>AVERAGE(Datos_originales!$H301:$J301)</f>
        <v>839.46</v>
      </c>
      <c r="G198" s="5">
        <f>AVERAGE(Datos_originales!$R301:$T301)</f>
        <v>5040.66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</row>
    <row r="199" spans="1:59" ht="15.75" customHeight="1">
      <c r="A199" s="2">
        <v>41503</v>
      </c>
      <c r="B199" s="3" t="s">
        <v>61</v>
      </c>
      <c r="C199" s="4" t="s">
        <v>354</v>
      </c>
      <c r="D199" s="4" t="str">
        <f>IF(Table_1[[#This Row],[Forest cover 2011]]&lt;1000,"Bosque menor a 1000 ha",Table_1[[#This Row],[Forest cover 2011]])</f>
        <v>Bosque menor a 1000 ha</v>
      </c>
      <c r="E199" s="4">
        <v>0</v>
      </c>
      <c r="F199" s="5">
        <f>AVERAGE(Datos_originales!$H302:$J302)</f>
        <v>240.92999999999998</v>
      </c>
      <c r="G199" s="5">
        <f>AVERAGE(Datos_originales!$R302:$T302)</f>
        <v>815.25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</row>
    <row r="200" spans="1:59" ht="15.75" customHeight="1">
      <c r="A200" s="2">
        <v>41601</v>
      </c>
      <c r="B200" s="3" t="s">
        <v>61</v>
      </c>
      <c r="C200" s="4" t="s">
        <v>355</v>
      </c>
      <c r="D200" s="4" t="str">
        <f>IF(Table_1[[#This Row],[Forest cover 2011]]&lt;1000,"Bosque menor a 1000 ha",Table_1[[#This Row],[Forest cover 2011]])</f>
        <v>Bosque menor a 1000 ha</v>
      </c>
      <c r="E200" s="4">
        <v>0</v>
      </c>
      <c r="F200" s="5">
        <f>AVERAGE(Datos_originales!$H303:$J303)</f>
        <v>27.39</v>
      </c>
      <c r="G200" s="5">
        <f>AVERAGE(Datos_originales!$R303:$T303)</f>
        <v>132.41999999999999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</row>
    <row r="201" spans="1:59" ht="15.75" customHeight="1">
      <c r="A201" s="2">
        <v>50101</v>
      </c>
      <c r="B201" s="3" t="s">
        <v>58</v>
      </c>
      <c r="C201" s="4" t="s">
        <v>58</v>
      </c>
      <c r="D201" s="4" t="str">
        <f>IF(Table_1[[#This Row],[Forest cover 2011]]&lt;1000,"Bosque menor a 1000 ha",Table_1[[#This Row],[Forest cover 2011]])</f>
        <v>Bosque menor a 1000 ha</v>
      </c>
      <c r="E201" s="4">
        <v>4.59</v>
      </c>
      <c r="F201" s="5">
        <f>AVERAGE(Datos_originales!$H19:$J19)</f>
        <v>0.21</v>
      </c>
      <c r="G201" s="5">
        <f>AVERAGE(Datos_originales!$R19:$T19)</f>
        <v>0.21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0.72</v>
      </c>
      <c r="U201" s="4">
        <v>0</v>
      </c>
      <c r="V201" s="4">
        <v>0</v>
      </c>
      <c r="W201" s="4">
        <v>0.54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0.99</v>
      </c>
      <c r="AH201" s="6">
        <f>Datos_originales!$H19/Datos_originales!$E19</f>
        <v>0</v>
      </c>
      <c r="AI201" s="6">
        <f>Datos_originales!$I19/Datos_originales!$E19</f>
        <v>2.5926886180969663E-4</v>
      </c>
      <c r="AJ201" s="6">
        <f>Datos_originales!$J19/Datos_originales!$E19</f>
        <v>6.4817215452424163E-4</v>
      </c>
      <c r="AK201" s="6">
        <f>Datos_originales!$K19/Datos_originales!$E19</f>
        <v>1.2963443090484831E-4</v>
      </c>
      <c r="AL201" s="6">
        <f>Datos_originales!$L19/Datos_originales!$E19</f>
        <v>6.4817215452424163E-4</v>
      </c>
      <c r="AM201" s="6">
        <f>Datos_originales!$M19/Datos_originales!$E19</f>
        <v>2.5926886180969663E-4</v>
      </c>
      <c r="AN201" s="6">
        <f>Datos_originales!$N19/Datos_originales!$E19</f>
        <v>0</v>
      </c>
      <c r="AO201" s="6">
        <f>Datos_originales!$O19/Datos_originales!$E19</f>
        <v>0</v>
      </c>
      <c r="AP201" s="6">
        <f>Datos_originales!$P19/Datos_originales!$E19</f>
        <v>0</v>
      </c>
      <c r="AQ201" s="6">
        <f>Datos_originales!$Q19/Datos_originales!$E19</f>
        <v>1.2963443090484831E-4</v>
      </c>
      <c r="AR201" s="6">
        <f>Datos_originales!$R19/Datos_originales!$E19</f>
        <v>0</v>
      </c>
      <c r="AS201" s="6">
        <f>Datos_originales!$S19/Datos_originales!$E19</f>
        <v>7.7780658542909E-4</v>
      </c>
      <c r="AT201" s="6">
        <f>Datos_originales!$T19/Datos_originales!$E19</f>
        <v>1.2963443090484831E-4</v>
      </c>
      <c r="AU201" s="6">
        <f>Datos_originales!$U19/Datos_originales!$E19</f>
        <v>2.33341975628727E-3</v>
      </c>
      <c r="AV201" s="6">
        <f>Datos_originales!$V19/Datos_originales!$E19</f>
        <v>2.074150894477573E-3</v>
      </c>
      <c r="AW201" s="6">
        <f>Datos_originales!$W19/Datos_originales!$E19</f>
        <v>2.0222971221156339E-2</v>
      </c>
      <c r="AX201" s="6">
        <f>Datos_originales!$X19/Datos_originales!$E19</f>
        <v>1.0370754472387865E-3</v>
      </c>
      <c r="AY201" s="6">
        <f>Datos_originales!$Y19/Datos_originales!$E19</f>
        <v>1.1667098781436348E-3</v>
      </c>
      <c r="AZ201" s="6">
        <f>Datos_originales!$Z19/Datos_originales!$E19</f>
        <v>2.5926886180969663E-4</v>
      </c>
      <c r="BA201" s="6">
        <f>Datos_originales!$AA19/Datos_originales!$E19</f>
        <v>6.4817215452424163E-4</v>
      </c>
      <c r="BB201" s="6">
        <f>Datos_originales!$AB19/Datos_originales!$E19</f>
        <v>3.88903292714545E-4</v>
      </c>
      <c r="BC201" s="6">
        <f>Datos_originales!$AC19/Datos_originales!$E19</f>
        <v>1.8148820326678765E-3</v>
      </c>
      <c r="BD201" s="6">
        <f>Datos_originales!$AD19/Datos_originales!$E19</f>
        <v>9.0744101633393826E-4</v>
      </c>
      <c r="BE201" s="6">
        <f>Datos_originales!$AE19/Datos_originales!$E19</f>
        <v>1.2963443090484831E-4</v>
      </c>
      <c r="BF201" s="6">
        <f>Datos_originales!$AF19/Datos_originales!$E19</f>
        <v>1.0370754472387865E-3</v>
      </c>
      <c r="BG201" s="6">
        <f>Datos_originales!$AG19/Datos_originales!$E19</f>
        <v>1.2963443090484831E-4</v>
      </c>
    </row>
    <row r="202" spans="1:59" ht="15.75" customHeight="1">
      <c r="A202" s="2">
        <v>50102</v>
      </c>
      <c r="B202" s="3" t="s">
        <v>58</v>
      </c>
      <c r="C202" s="4" t="s">
        <v>60</v>
      </c>
      <c r="D202" s="4" t="str">
        <f>IF(Table_1[[#This Row],[Forest cover 2011]]&lt;1000,"Bosque menor a 1000 ha",Table_1[[#This Row],[Forest cover 2011]])</f>
        <v>Bosque menor a 1000 ha</v>
      </c>
      <c r="E202" s="4">
        <v>3.24</v>
      </c>
      <c r="F202" s="5">
        <f>AVERAGE(Datos_originales!$H3:$J3)</f>
        <v>1.2</v>
      </c>
      <c r="G202" s="5">
        <f>AVERAGE(Datos_originales!$R3:$T3)</f>
        <v>2.25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1.44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0.09</v>
      </c>
      <c r="AG202" s="4">
        <v>3.15</v>
      </c>
      <c r="AH202" s="6">
        <f>Datos_originales!$H3/Datos_originales!$E3</f>
        <v>1.005674879678184E-3</v>
      </c>
      <c r="AI202" s="6">
        <f>Datos_originales!$I3/Datos_originales!$E3</f>
        <v>7.9017311974714452E-4</v>
      </c>
      <c r="AJ202" s="6">
        <f>Datos_originales!$J3/Datos_originales!$E3</f>
        <v>1.0775087996551971E-3</v>
      </c>
      <c r="AK202" s="6">
        <f>Datos_originales!$K3/Datos_originales!$E3</f>
        <v>1.3648444795632496E-3</v>
      </c>
      <c r="AL202" s="6">
        <f>Datos_originales!$L3/Datos_originales!$E3</f>
        <v>1.2930105595862365E-3</v>
      </c>
      <c r="AM202" s="6">
        <f>Datos_originales!$M3/Datos_originales!$E3</f>
        <v>9.3384095970117076E-4</v>
      </c>
      <c r="AN202" s="6">
        <f>Datos_originales!$N3/Datos_originales!$E3</f>
        <v>3.5916959988506572E-4</v>
      </c>
      <c r="AO202" s="6">
        <f>Datos_originales!$O3/Datos_originales!$E3</f>
        <v>1.4366783995402629E-3</v>
      </c>
      <c r="AP202" s="6">
        <f>Datos_originales!$P3/Datos_originales!$E3</f>
        <v>6.4650527979311827E-4</v>
      </c>
      <c r="AQ202" s="6">
        <f>Datos_originales!$Q3/Datos_originales!$E3</f>
        <v>5.0283743983909202E-4</v>
      </c>
      <c r="AR202" s="6">
        <f>Datos_originales!$R3/Datos_originales!$E3</f>
        <v>0</v>
      </c>
      <c r="AS202" s="6">
        <f>Datos_originales!$S3/Datos_originales!$E3</f>
        <v>1.6521801594713021E-3</v>
      </c>
      <c r="AT202" s="6">
        <f>Datos_originales!$T3/Datos_originales!$E3</f>
        <v>3.7353638388046831E-3</v>
      </c>
      <c r="AU202" s="6">
        <f>Datos_originales!$U3/Datos_originales!$E3</f>
        <v>2.9451907190575386E-3</v>
      </c>
      <c r="AV202" s="6">
        <f>Datos_originales!$V3/Datos_originales!$E3</f>
        <v>3.1606924789885781E-3</v>
      </c>
      <c r="AW202" s="6">
        <f>Datos_originales!$W3/Datos_originales!$E3</f>
        <v>1.9179656633862511E-2</v>
      </c>
      <c r="AX202" s="6">
        <f>Datos_originales!$X3/Datos_originales!$E3</f>
        <v>2.1550175993103942E-3</v>
      </c>
      <c r="AY202" s="6">
        <f>Datos_originales!$Y3/Datos_originales!$E3</f>
        <v>2.083183679333381E-3</v>
      </c>
      <c r="AZ202" s="6">
        <f>Datos_originales!$Z3/Datos_originales!$E3</f>
        <v>1.1493427196322102E-3</v>
      </c>
      <c r="BA202" s="6">
        <f>Datos_originales!$AA3/Datos_originales!$E3</f>
        <v>8.6200703972415769E-4</v>
      </c>
      <c r="BB202" s="6">
        <f>Datos_originales!$AB3/Datos_originales!$E3</f>
        <v>1.8676819194023415E-3</v>
      </c>
      <c r="BC202" s="6">
        <f>Datos_originales!$AC3/Datos_originales!$E3</f>
        <v>9.3384095970117076E-4</v>
      </c>
      <c r="BD202" s="6">
        <f>Datos_originales!$AD3/Datos_originales!$E3</f>
        <v>1.2930105595862365E-3</v>
      </c>
      <c r="BE202" s="6">
        <f>Datos_originales!$AE3/Datos_originales!$E3</f>
        <v>1.4366783995402627E-4</v>
      </c>
      <c r="BF202" s="6">
        <f>Datos_originales!$AF3/Datos_originales!$E3</f>
        <v>2.0113497593563681E-3</v>
      </c>
      <c r="BG202" s="6">
        <f>Datos_originales!$AG3/Datos_originales!$E3</f>
        <v>6.9678902377702748E-3</v>
      </c>
    </row>
    <row r="203" spans="1:59" ht="15.75" customHeight="1">
      <c r="A203" s="2">
        <v>50103</v>
      </c>
      <c r="B203" s="3" t="s">
        <v>58</v>
      </c>
      <c r="C203" s="4" t="s">
        <v>356</v>
      </c>
      <c r="D203" s="4" t="str">
        <f>IF(Table_1[[#This Row],[Forest cover 2011]]&lt;1000,"Bosque menor a 1000 ha",Table_1[[#This Row],[Forest cover 2011]])</f>
        <v>Bosque menor a 1000 ha</v>
      </c>
      <c r="E203" s="4">
        <v>0</v>
      </c>
      <c r="F203" s="5">
        <f>AVERAGE(Datos_originales!$H304:$J304)</f>
        <v>1974.51</v>
      </c>
      <c r="G203" s="5">
        <f>AVERAGE(Datos_originales!$R304:$T304)</f>
        <v>2528.0700000000002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</row>
    <row r="204" spans="1:59" ht="15.75" customHeight="1">
      <c r="A204" s="2">
        <v>50104</v>
      </c>
      <c r="B204" s="3" t="s">
        <v>58</v>
      </c>
      <c r="C204" s="4" t="s">
        <v>63</v>
      </c>
      <c r="D204" s="4" t="str">
        <f>IF(Table_1[[#This Row],[Forest cover 2011]]&lt;1000,"Bosque menor a 1000 ha",Table_1[[#This Row],[Forest cover 2011]])</f>
        <v>Bosque menor a 1000 ha</v>
      </c>
      <c r="E204" s="4">
        <v>1.08</v>
      </c>
      <c r="F204" s="5">
        <f>AVERAGE(Datos_originales!$H5:$J5)</f>
        <v>62.129999999999995</v>
      </c>
      <c r="G204" s="5">
        <f>AVERAGE(Datos_originales!$R5:$T5)</f>
        <v>284.28000000000003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0.9</v>
      </c>
      <c r="AH204" s="6">
        <f>Datos_originales!$H5/Datos_originales!$E5</f>
        <v>2.6502428429039747E-4</v>
      </c>
      <c r="AI204" s="6">
        <f>Datos_originales!$I5/Datos_originales!$E5</f>
        <v>6.1838999667759419E-4</v>
      </c>
      <c r="AJ204" s="6">
        <f>Datos_originales!$J5/Datos_originales!$E5</f>
        <v>1.1052280841240853E-3</v>
      </c>
      <c r="AK204" s="6">
        <f>Datos_originales!$K5/Datos_originales!$E5</f>
        <v>6.5487884741322858E-4</v>
      </c>
      <c r="AL204" s="6">
        <f>Datos_originales!$L5/Datos_originales!$E5</f>
        <v>8.2387984029406178E-4</v>
      </c>
      <c r="AM204" s="6">
        <f>Datos_originales!$M5/Datos_originales!$E5</f>
        <v>1.5354124296389333E-3</v>
      </c>
      <c r="AN204" s="6">
        <f>Datos_originales!$N5/Datos_originales!$E5</f>
        <v>1.127313441148285E-3</v>
      </c>
      <c r="AO204" s="6">
        <f>Datos_originales!$O5/Datos_originales!$E5</f>
        <v>8.7861311639751336E-4</v>
      </c>
      <c r="AP204" s="6">
        <f>Datos_originales!$P5/Datos_originales!$E5</f>
        <v>1.3740933000708651E-3</v>
      </c>
      <c r="AQ204" s="6">
        <f>Datos_originales!$Q5/Datos_originales!$E5</f>
        <v>5.0412227990021268E-4</v>
      </c>
      <c r="AR204" s="6">
        <f>Datos_originales!$R5/Datos_originales!$E5</f>
        <v>1.0197673547695729E-3</v>
      </c>
      <c r="AS204" s="6">
        <f>Datos_originales!$S5/Datos_originales!$E5</f>
        <v>5.4694866786887831E-3</v>
      </c>
      <c r="AT204" s="6">
        <f>Datos_originales!$T5/Datos_originales!$E5</f>
        <v>2.609913060511958E-3</v>
      </c>
      <c r="AU204" s="6">
        <f>Datos_originales!$U5/Datos_originales!$E5</f>
        <v>4.6667319625048258E-4</v>
      </c>
      <c r="AV204" s="6">
        <f>Datos_originales!$V5/Datos_originales!$E5</f>
        <v>8.5844822520150506E-4</v>
      </c>
      <c r="AW204" s="6">
        <f>Datos_originales!$W5/Datos_originales!$E5</f>
        <v>5.8084488973645446E-3</v>
      </c>
      <c r="AX204" s="6">
        <f>Datos_originales!$X5/Datos_originales!$E5</f>
        <v>8.0947634658262702E-4</v>
      </c>
      <c r="AY204" s="6">
        <f>Datos_originales!$Y5/Datos_originales!$E5</f>
        <v>9.5927268118154742E-4</v>
      </c>
      <c r="AZ204" s="6">
        <f>Datos_originales!$Z5/Datos_originales!$E5</f>
        <v>1.6343164197907846E-3</v>
      </c>
      <c r="BA204" s="6">
        <f>Datos_originales!$AA5/Datos_originales!$E5</f>
        <v>1.2406209250115708E-3</v>
      </c>
      <c r="BB204" s="6">
        <f>Datos_originales!$AB5/Datos_originales!$E5</f>
        <v>1.1157906461791373E-3</v>
      </c>
      <c r="BC204" s="6">
        <f>Datos_originales!$AC5/Datos_originales!$E5</f>
        <v>1.5258101004979768E-3</v>
      </c>
      <c r="BD204" s="6">
        <f>Datos_originales!$AD5/Datos_originales!$E5</f>
        <v>6.7696420443742842E-4</v>
      </c>
      <c r="BE204" s="6">
        <f>Datos_originales!$AE5/Datos_originales!$E5</f>
        <v>1.8618916204314519E-3</v>
      </c>
      <c r="BF204" s="6">
        <f>Datos_originales!$AF5/Datos_originales!$E5</f>
        <v>6.1061211007341935E-3</v>
      </c>
      <c r="BG204" s="6">
        <f>Datos_originales!$AG5/Datos_originales!$E5</f>
        <v>2.6924930911241835E-3</v>
      </c>
    </row>
    <row r="205" spans="1:59" ht="15.75" customHeight="1">
      <c r="A205" s="2">
        <v>50201</v>
      </c>
      <c r="B205" s="3" t="s">
        <v>58</v>
      </c>
      <c r="C205" s="4" t="s">
        <v>371</v>
      </c>
      <c r="D205" s="4" t="str">
        <f>IF(Table_1[[#This Row],[Forest cover 2011]]&lt;1000,"Bosque menor a 1000 ha",Table_1[[#This Row],[Forest cover 2011]])</f>
        <v>Bosque menor a 1000 ha</v>
      </c>
      <c r="E205" s="4">
        <v>0.72</v>
      </c>
      <c r="F205" s="5">
        <f>AVERAGE(Datos_originales!$H319:$J319)</f>
        <v>180.15</v>
      </c>
      <c r="G205" s="5">
        <f>AVERAGE(Datos_originales!$R319:$T319)</f>
        <v>514.32000000000005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0.09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0.27</v>
      </c>
      <c r="AD205" s="4">
        <v>0</v>
      </c>
      <c r="AE205" s="4">
        <v>0</v>
      </c>
      <c r="AF205" s="4">
        <v>0</v>
      </c>
      <c r="AG205" s="4">
        <v>0</v>
      </c>
      <c r="AH205" s="6">
        <f>Datos_originales!$H319/Datos_originales!$E319</f>
        <v>4.2530894938628779E-4</v>
      </c>
      <c r="AI205" s="6">
        <f>Datos_originales!$I319/Datos_originales!$E319</f>
        <v>3.1886000974591969E-4</v>
      </c>
      <c r="AJ205" s="6">
        <f>Datos_originales!$J319/Datos_originales!$E319</f>
        <v>2.3026073986232061E-4</v>
      </c>
      <c r="AK205" s="6">
        <f>Datos_originales!$K319/Datos_originales!$E319</f>
        <v>1.8661018382076726E-4</v>
      </c>
      <c r="AL205" s="6">
        <f>Datos_originales!$L319/Datos_originales!$E319</f>
        <v>2.0851659670407472E-4</v>
      </c>
      <c r="AM205" s="6">
        <f>Datos_originales!$M319/Datos_originales!$E319</f>
        <v>1.8758380217113649E-4</v>
      </c>
      <c r="AN205" s="6">
        <f>Datos_originales!$N319/Datos_originales!$E319</f>
        <v>1.3192528647502938E-4</v>
      </c>
      <c r="AO205" s="6">
        <f>Datos_originales!$O319/Datos_originales!$E319</f>
        <v>1.9147827557261337E-4</v>
      </c>
      <c r="AP205" s="6">
        <f>Datos_originales!$P319/Datos_originales!$E319</f>
        <v>2.7017909222745864E-4</v>
      </c>
      <c r="AQ205" s="6">
        <f>Datos_originales!$Q319/Datos_originales!$E319</f>
        <v>8.5288967492343714E-4</v>
      </c>
      <c r="AR205" s="6">
        <f>Datos_originales!$R319/Datos_originales!$E319</f>
        <v>9.1731075577286721E-4</v>
      </c>
      <c r="AS205" s="6">
        <f>Datos_originales!$S319/Datos_originales!$E319</f>
        <v>3.2178086479702736E-4</v>
      </c>
      <c r="AT205" s="6">
        <f>Datos_originales!$T319/Datos_originales!$E319</f>
        <v>1.5428605458850913E-3</v>
      </c>
      <c r="AU205" s="6">
        <f>Datos_originales!$U319/Datos_originales!$E319</f>
        <v>7.9306082729324844E-3</v>
      </c>
      <c r="AV205" s="6">
        <f>Datos_originales!$V319/Datos_originales!$E319</f>
        <v>3.7041310139796987E-3</v>
      </c>
      <c r="AW205" s="6">
        <f>Datos_originales!$W319/Datos_originales!$E319</f>
        <v>1.0068674170343293E-2</v>
      </c>
      <c r="AX205" s="6">
        <f>Datos_originales!$X319/Datos_originales!$E319</f>
        <v>1.6861447131144283E-3</v>
      </c>
      <c r="AY205" s="6">
        <f>Datos_originales!$Y319/Datos_originales!$E319</f>
        <v>3.4122077785939944E-3</v>
      </c>
      <c r="AZ205" s="6">
        <f>Datos_originales!$Z319/Datos_originales!$E319</f>
        <v>1.54058876973423E-3</v>
      </c>
      <c r="BA205" s="6">
        <f>Datos_originales!$AA319/Datos_originales!$E319</f>
        <v>8.5921819420083708E-4</v>
      </c>
      <c r="BB205" s="6">
        <f>Datos_originales!$AB319/Datos_originales!$E319</f>
        <v>1.1493564626108648E-3</v>
      </c>
      <c r="BC205" s="6">
        <f>Datos_originales!$AC319/Datos_originales!$E319</f>
        <v>2.5408193550135422E-3</v>
      </c>
      <c r="BD205" s="6">
        <f>Datos_originales!$AD319/Datos_originales!$E319</f>
        <v>1.6282144212674595E-3</v>
      </c>
      <c r="BE205" s="6">
        <f>Datos_originales!$AE319/Datos_originales!$E319</f>
        <v>2.889536994170785E-3</v>
      </c>
      <c r="BF205" s="6">
        <f>Datos_originales!$AF319/Datos_originales!$E319</f>
        <v>2.5974514890600188E-3</v>
      </c>
      <c r="BG205" s="6">
        <f>Datos_originales!$AG319/Datos_originales!$E319</f>
        <v>1.1513523802291217E-2</v>
      </c>
    </row>
    <row r="206" spans="1:59" ht="15.75" customHeight="1">
      <c r="A206" s="2">
        <v>50202</v>
      </c>
      <c r="B206" s="3" t="s">
        <v>58</v>
      </c>
      <c r="C206" s="4" t="s">
        <v>385</v>
      </c>
      <c r="D206" s="4" t="str">
        <f>IF(Table_1[[#This Row],[Forest cover 2011]]&lt;1000,"Bosque menor a 1000 ha",Table_1[[#This Row],[Forest cover 2011]])</f>
        <v>Bosque menor a 1000 ha</v>
      </c>
      <c r="E206" s="4">
        <v>12.69</v>
      </c>
      <c r="F206" s="5">
        <f>AVERAGE(Datos_originales!$H333:$J333)</f>
        <v>1364.6100000000001</v>
      </c>
      <c r="G206" s="5">
        <f>AVERAGE(Datos_originales!$R333:$T333)</f>
        <v>1668.0900000000001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0.09</v>
      </c>
      <c r="W206" s="4">
        <v>0.54</v>
      </c>
      <c r="X206" s="4">
        <v>0.27</v>
      </c>
      <c r="Y206" s="4">
        <v>0</v>
      </c>
      <c r="Z206" s="4">
        <v>0.9</v>
      </c>
      <c r="AA206" s="4">
        <v>0</v>
      </c>
      <c r="AB206" s="4">
        <v>1.17</v>
      </c>
      <c r="AC206" s="4">
        <v>0</v>
      </c>
      <c r="AD206" s="4">
        <v>0</v>
      </c>
      <c r="AE206" s="4">
        <v>0</v>
      </c>
      <c r="AF206" s="4">
        <v>0.18</v>
      </c>
      <c r="AG206" s="4">
        <v>0</v>
      </c>
      <c r="AH206" s="6">
        <f>Datos_originales!$H333/Datos_originales!$E333</f>
        <v>2.8278783655053832E-3</v>
      </c>
      <c r="AI206" s="6">
        <f>Datos_originales!$I333/Datos_originales!$E333</f>
        <v>3.6418823767944519E-3</v>
      </c>
      <c r="AJ206" s="6">
        <f>Datos_originales!$J333/Datos_originales!$E333</f>
        <v>2.0381897313917693E-3</v>
      </c>
      <c r="AK206" s="6">
        <f>Datos_originales!$K333/Datos_originales!$E333</f>
        <v>2.6266218590377732E-3</v>
      </c>
      <c r="AL206" s="6">
        <f>Datos_originales!$L333/Datos_originales!$E333</f>
        <v>3.7584091458737461E-3</v>
      </c>
      <c r="AM206" s="6">
        <f>Datos_originales!$M333/Datos_originales!$E333</f>
        <v>4.6245976974085981E-3</v>
      </c>
      <c r="AN206" s="6">
        <f>Datos_originales!$N333/Datos_originales!$E333</f>
        <v>3.784220853952306E-3</v>
      </c>
      <c r="AO206" s="6">
        <f>Datos_originales!$O333/Datos_originales!$E333</f>
        <v>2.1294659164811688E-3</v>
      </c>
      <c r="AP206" s="6">
        <f>Datos_originales!$P333/Datos_originales!$E333</f>
        <v>3.3856357096377363E-3</v>
      </c>
      <c r="AQ206" s="6">
        <f>Datos_originales!$Q333/Datos_originales!$E333</f>
        <v>6.6182715844329961E-3</v>
      </c>
      <c r="AR206" s="6">
        <f>Datos_originales!$R333/Datos_originales!$E333</f>
        <v>1.299189306620834E-3</v>
      </c>
      <c r="AS206" s="6">
        <f>Datos_originales!$S333/Datos_originales!$E333</f>
        <v>4.3359928744722397E-3</v>
      </c>
      <c r="AT206" s="6">
        <f>Datos_originales!$T333/Datos_originales!$E333</f>
        <v>4.764878719574683E-3</v>
      </c>
      <c r="AU206" s="6">
        <f>Datos_originales!$U333/Datos_originales!$E333</f>
        <v>3.2745331400821976E-3</v>
      </c>
      <c r="AV206" s="6">
        <f>Datos_originales!$V333/Datos_originales!$E333</f>
        <v>4.2359257453270993E-3</v>
      </c>
      <c r="AW206" s="6">
        <f>Datos_originales!$W333/Datos_originales!$E333</f>
        <v>2.4867149195974647E-3</v>
      </c>
      <c r="AX206" s="6">
        <f>Datos_originales!$X333/Datos_originales!$E333</f>
        <v>3.0246458792636782E-3</v>
      </c>
      <c r="AY206" s="6">
        <f>Datos_originales!$Y333/Datos_originales!$E333</f>
        <v>4.03560444567393E-3</v>
      </c>
      <c r="AZ206" s="6">
        <f>Datos_originales!$Z333/Datos_originales!$E333</f>
        <v>4.7450523351085429E-3</v>
      </c>
      <c r="BA206" s="6">
        <f>Datos_originales!$AA333/Datos_originales!$E333</f>
        <v>3.9753771268239571E-3</v>
      </c>
      <c r="BB206" s="6">
        <f>Datos_originales!$AB333/Datos_originales!$E333</f>
        <v>2.3322187538518833E-3</v>
      </c>
      <c r="BC206" s="6">
        <f>Datos_originales!$AC333/Datos_originales!$E333</f>
        <v>3.9226314624895096E-3</v>
      </c>
      <c r="BD206" s="6">
        <f>Datos_originales!$AD333/Datos_originales!$E333</f>
        <v>6.8483324607853764E-3</v>
      </c>
      <c r="BE206" s="6">
        <f>Datos_originales!$AE333/Datos_originales!$E333</f>
        <v>1.3631574527285689E-3</v>
      </c>
      <c r="BF206" s="6">
        <f>Datos_originales!$AF333/Datos_originales!$E333</f>
        <v>4.8009777026120888E-3</v>
      </c>
      <c r="BG206" s="6">
        <f>Datos_originales!$AG333/Datos_originales!$E333</f>
        <v>5.0478723016243983E-3</v>
      </c>
    </row>
    <row r="207" spans="1:59" ht="15.75" customHeight="1">
      <c r="A207" s="2">
        <v>50203</v>
      </c>
      <c r="B207" s="3" t="s">
        <v>58</v>
      </c>
      <c r="C207" s="4" t="s">
        <v>386</v>
      </c>
      <c r="D207" s="4" t="str">
        <f>IF(Table_1[[#This Row],[Forest cover 2011]]&lt;1000,"Bosque menor a 1000 ha",Table_1[[#This Row],[Forest cover 2011]])</f>
        <v>Bosque menor a 1000 ha</v>
      </c>
      <c r="E207" s="4">
        <v>21.24</v>
      </c>
      <c r="F207" s="5">
        <f>AVERAGE(Datos_originales!$H334:$J334)</f>
        <v>390.69000000000005</v>
      </c>
      <c r="G207" s="5">
        <f>AVERAGE(Datos_originales!$R334:$T334)</f>
        <v>235.43999999999997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0.09</v>
      </c>
      <c r="V207" s="4">
        <v>0.36</v>
      </c>
      <c r="W207" s="4">
        <v>0.89999999999999991</v>
      </c>
      <c r="X207" s="4">
        <v>0</v>
      </c>
      <c r="Y207" s="4">
        <v>0</v>
      </c>
      <c r="Z207" s="4">
        <v>0.54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6">
        <f>Datos_originales!$H334/Datos_originales!$E334</f>
        <v>1.0230886669553843E-3</v>
      </c>
      <c r="AI207" s="6">
        <f>Datos_originales!$I334/Datos_originales!$E334</f>
        <v>7.2817374389573498E-4</v>
      </c>
      <c r="AJ207" s="6">
        <f>Datos_originales!$J334/Datos_originales!$E334</f>
        <v>6.2245640435642927E-4</v>
      </c>
      <c r="AK207" s="6">
        <f>Datos_originales!$K334/Datos_originales!$E334</f>
        <v>8.8693202447976132E-4</v>
      </c>
      <c r="AL207" s="6">
        <f>Datos_originales!$L334/Datos_originales!$E334</f>
        <v>7.1340977061524569E-4</v>
      </c>
      <c r="AM207" s="6">
        <f>Datos_originales!$M334/Datos_originales!$E334</f>
        <v>3.5402549756412666E-3</v>
      </c>
      <c r="AN207" s="6">
        <f>Datos_originales!$N334/Datos_originales!$E334</f>
        <v>7.8540692426701405E-4</v>
      </c>
      <c r="AO207" s="6">
        <f>Datos_originales!$O334/Datos_originales!$E334</f>
        <v>4.7973799597836656E-4</v>
      </c>
      <c r="AP207" s="6">
        <f>Datos_originales!$P334/Datos_originales!$E334</f>
        <v>9.148195295651298E-4</v>
      </c>
      <c r="AQ207" s="6">
        <f>Datos_originales!$Q334/Datos_originales!$E334</f>
        <v>1.9488444730245801E-3</v>
      </c>
      <c r="AR207" s="6">
        <f>Datos_originales!$R334/Datos_originales!$E334</f>
        <v>1.9575934942278332E-4</v>
      </c>
      <c r="AS207" s="6">
        <f>Datos_originales!$S334/Datos_originales!$E334</f>
        <v>5.1619225099192023E-4</v>
      </c>
      <c r="AT207" s="6">
        <f>Datos_originales!$T334/Datos_originales!$E334</f>
        <v>7.1851336631714323E-4</v>
      </c>
      <c r="AU207" s="6">
        <f>Datos_originales!$U334/Datos_originales!$E334</f>
        <v>5.5514362247390241E-3</v>
      </c>
      <c r="AV207" s="6">
        <f>Datos_originales!$V334/Datos_originales!$E334</f>
        <v>3.414305524569439E-3</v>
      </c>
      <c r="AW207" s="6">
        <f>Datos_originales!$W334/Datos_originales!$E334</f>
        <v>2.2714646298945301E-3</v>
      </c>
      <c r="AX207" s="6">
        <f>Datos_originales!$X334/Datos_originales!$E334</f>
        <v>1.7966479583429935E-3</v>
      </c>
      <c r="AY207" s="6">
        <f>Datos_originales!$Y334/Datos_originales!$E334</f>
        <v>1.4331990358578636E-3</v>
      </c>
      <c r="AZ207" s="6">
        <f>Datos_originales!$Z334/Datos_originales!$E334</f>
        <v>4.2868381183188463E-3</v>
      </c>
      <c r="BA207" s="6">
        <f>Datos_originales!$AA334/Datos_originales!$E334</f>
        <v>1.4703823759716881E-3</v>
      </c>
      <c r="BB207" s="6">
        <f>Datos_originales!$AB334/Datos_originales!$E334</f>
        <v>1.1364614000475364E-3</v>
      </c>
      <c r="BC207" s="6">
        <f>Datos_originales!$AC334/Datos_originales!$E334</f>
        <v>2.3653343365544312E-3</v>
      </c>
      <c r="BD207" s="6">
        <f>Datos_originales!$AD334/Datos_originales!$E334</f>
        <v>2.3790046821845138E-3</v>
      </c>
      <c r="BE207" s="6">
        <f>Datos_originales!$AE334/Datos_originales!$E334</f>
        <v>4.3781560271277984E-4</v>
      </c>
      <c r="BF207" s="6">
        <f>Datos_originales!$AF334/Datos_originales!$E334</f>
        <v>1.2625931223944323E-3</v>
      </c>
      <c r="BG207" s="6">
        <f>Datos_originales!$AG334/Datos_originales!$E334</f>
        <v>1.2717066861478207E-3</v>
      </c>
    </row>
    <row r="208" spans="1:59" ht="15.75" customHeight="1">
      <c r="A208" s="2">
        <v>50204</v>
      </c>
      <c r="B208" s="3" t="s">
        <v>58</v>
      </c>
      <c r="C208" s="4" t="s">
        <v>357</v>
      </c>
      <c r="D208" s="4" t="str">
        <f>IF(Table_1[[#This Row],[Forest cover 2011]]&lt;1000,"Bosque menor a 1000 ha",Table_1[[#This Row],[Forest cover 2011]])</f>
        <v>Bosque menor a 1000 ha</v>
      </c>
      <c r="E208" s="4">
        <v>0</v>
      </c>
      <c r="F208" s="5">
        <f>AVERAGE(Datos_originales!$H305:$J305)</f>
        <v>147.51000000000002</v>
      </c>
      <c r="G208" s="5">
        <f>AVERAGE(Datos_originales!$R305:$T305)</f>
        <v>135.17999999999998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</row>
    <row r="209" spans="1:59" ht="15.75" customHeight="1">
      <c r="A209" s="2">
        <v>50301</v>
      </c>
      <c r="B209" s="3" t="s">
        <v>58</v>
      </c>
      <c r="C209" s="4" t="s">
        <v>81</v>
      </c>
      <c r="D209" s="4">
        <f>IF(Table_1[[#This Row],[Forest cover 2011]]&lt;1000,"Bosque menor a 1000 ha",Table_1[[#This Row],[Forest cover 2011]])</f>
        <v>1696.68</v>
      </c>
      <c r="E209" s="4">
        <v>1696.68</v>
      </c>
      <c r="F209" s="5">
        <f>AVERAGE(Datos_originales!$H22:$J22)</f>
        <v>72.899999999999991</v>
      </c>
      <c r="G209" s="5">
        <f>AVERAGE(Datos_originales!$R22:$T22)</f>
        <v>419.03999999999996</v>
      </c>
      <c r="H209" s="4">
        <v>1.53</v>
      </c>
      <c r="I209" s="4">
        <v>0.45</v>
      </c>
      <c r="J209" s="4">
        <v>1.53</v>
      </c>
      <c r="K209" s="4">
        <v>0.54</v>
      </c>
      <c r="L209" s="4">
        <v>0.54</v>
      </c>
      <c r="M209" s="4">
        <v>0.45</v>
      </c>
      <c r="N209" s="4">
        <v>1.53</v>
      </c>
      <c r="O209" s="4">
        <v>0.09</v>
      </c>
      <c r="P209" s="4">
        <v>0.63</v>
      </c>
      <c r="Q209" s="4">
        <v>0.81</v>
      </c>
      <c r="R209" s="4">
        <v>0</v>
      </c>
      <c r="S209" s="4">
        <v>0.99</v>
      </c>
      <c r="T209" s="4">
        <v>13.86</v>
      </c>
      <c r="U209" s="4">
        <v>5.58</v>
      </c>
      <c r="V209" s="4">
        <v>2.7</v>
      </c>
      <c r="W209" s="4">
        <v>29.43</v>
      </c>
      <c r="X209" s="4">
        <v>1.89</v>
      </c>
      <c r="Y209" s="4">
        <v>1.08</v>
      </c>
      <c r="Z209" s="4">
        <v>1.17</v>
      </c>
      <c r="AA209" s="4">
        <v>1.71</v>
      </c>
      <c r="AB209" s="4">
        <v>2.0699999999999998</v>
      </c>
      <c r="AC209" s="4">
        <v>1.35</v>
      </c>
      <c r="AD209" s="4">
        <v>3.06</v>
      </c>
      <c r="AE209" s="4">
        <v>0.72</v>
      </c>
      <c r="AF209" s="4">
        <v>1.44</v>
      </c>
      <c r="AG209" s="4">
        <v>234.63</v>
      </c>
      <c r="AH209" s="6">
        <f>Datos_originales!$H22/Datos_originales!$E22</f>
        <v>6.6894902910179753E-4</v>
      </c>
      <c r="AI209" s="6">
        <f>Datos_originales!$I22/Datos_originales!$E22</f>
        <v>1.9615798597721885E-3</v>
      </c>
      <c r="AJ209" s="6">
        <f>Datos_originales!$J22/Datos_originales!$E22</f>
        <v>1.4435215891144056E-3</v>
      </c>
      <c r="AK209" s="6">
        <f>Datos_originales!$K22/Datos_originales!$E22</f>
        <v>5.9685677784521293E-4</v>
      </c>
      <c r="AL209" s="6">
        <f>Datos_originales!$L22/Datos_originales!$E22</f>
        <v>1.8006297174319062E-3</v>
      </c>
      <c r="AM209" s="6">
        <f>Datos_originales!$M22/Datos_originales!$E22</f>
        <v>1.8743985326712023E-3</v>
      </c>
      <c r="AN209" s="6">
        <f>Datos_originales!$N22/Datos_originales!$E22</f>
        <v>1.7821875136220823E-3</v>
      </c>
      <c r="AO209" s="6">
        <f>Datos_originales!$O22/Datos_originales!$E22</f>
        <v>1.810689101328174E-3</v>
      </c>
      <c r="AP209" s="6">
        <f>Datos_originales!$P22/Datos_originales!$E22</f>
        <v>2.5517303816865559E-3</v>
      </c>
      <c r="AQ209" s="6">
        <f>Datos_originales!$Q22/Datos_originales!$E22</f>
        <v>6.4380056936112859E-4</v>
      </c>
      <c r="AR209" s="6">
        <f>Datos_originales!$R22/Datos_originales!$E22</f>
        <v>3.654909482310573E-3</v>
      </c>
      <c r="AS209" s="6">
        <f>Datos_originales!$S22/Datos_originales!$E22</f>
        <v>1.2077966931452005E-2</v>
      </c>
      <c r="AT209" s="6">
        <f>Datos_originales!$T22/Datos_originales!$E22</f>
        <v>7.6853692967484713E-3</v>
      </c>
      <c r="AU209" s="6">
        <f>Datos_originales!$U22/Datos_originales!$E22</f>
        <v>1.2020963756039821E-3</v>
      </c>
      <c r="AV209" s="6">
        <f>Datos_originales!$V22/Datos_originales!$E22</f>
        <v>3.1083496239466988E-3</v>
      </c>
      <c r="AW209" s="6">
        <f>Datos_originales!$W22/Datos_originales!$E22</f>
        <v>4.8285042702084641E-3</v>
      </c>
      <c r="AX209" s="6">
        <f>Datos_originales!$X22/Datos_originales!$E22</f>
        <v>7.661897400990514E-4</v>
      </c>
      <c r="AY209" s="6">
        <f>Datos_originales!$Y22/Datos_originales!$E22</f>
        <v>2.2650379406429287E-3</v>
      </c>
      <c r="AZ209" s="6">
        <f>Datos_originales!$Z22/Datos_originales!$E22</f>
        <v>2.1275596940606043E-3</v>
      </c>
      <c r="BA209" s="6">
        <f>Datos_originales!$AA22/Datos_originales!$E22</f>
        <v>2.0034939593399702E-3</v>
      </c>
      <c r="BB209" s="6">
        <f>Datos_originales!$AB22/Datos_originales!$E22</f>
        <v>2.1610909737148297E-3</v>
      </c>
      <c r="BC209" s="6">
        <f>Datos_originales!$AC22/Datos_originales!$E22</f>
        <v>2.7596243155427538E-3</v>
      </c>
      <c r="BD209" s="6">
        <f>Datos_originales!$AD22/Datos_originales!$E22</f>
        <v>1.5944123475584199E-3</v>
      </c>
      <c r="BE209" s="6">
        <f>Datos_originales!$AE22/Datos_originales!$E22</f>
        <v>3.6917938899302216E-3</v>
      </c>
      <c r="BF209" s="6">
        <f>Datos_originales!$AF22/Datos_originales!$E22</f>
        <v>1.246692977544102E-2</v>
      </c>
      <c r="BG209" s="6">
        <f>Datos_originales!$AG22/Datos_originales!$E22</f>
        <v>8.5253278520868187E-3</v>
      </c>
    </row>
    <row r="210" spans="1:59" ht="15.75" customHeight="1">
      <c r="A210" s="2">
        <v>50302</v>
      </c>
      <c r="B210" s="3" t="s">
        <v>58</v>
      </c>
      <c r="C210" s="4" t="s">
        <v>78</v>
      </c>
      <c r="D210" s="4" t="str">
        <f>IF(Table_1[[#This Row],[Forest cover 2011]]&lt;1000,"Bosque menor a 1000 ha",Table_1[[#This Row],[Forest cover 2011]])</f>
        <v>Bosque menor a 1000 ha</v>
      </c>
      <c r="E210" s="4">
        <v>3.96</v>
      </c>
      <c r="F210" s="5">
        <f>AVERAGE(Datos_originales!$H18:$J18)</f>
        <v>1.26</v>
      </c>
      <c r="G210" s="5">
        <f>AVERAGE(Datos_originales!$R18:$T18)</f>
        <v>3.9599999999999995</v>
      </c>
      <c r="H210" s="4">
        <v>0</v>
      </c>
      <c r="I210" s="4">
        <v>0.09</v>
      </c>
      <c r="J210" s="4">
        <v>0</v>
      </c>
      <c r="K210" s="4">
        <v>0</v>
      </c>
      <c r="L210" s="4">
        <v>0</v>
      </c>
      <c r="M210" s="4">
        <v>0</v>
      </c>
      <c r="N210" s="4">
        <v>0.54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0.18</v>
      </c>
      <c r="U210" s="4">
        <v>0.36</v>
      </c>
      <c r="V210" s="4">
        <v>0.09</v>
      </c>
      <c r="W210" s="4">
        <v>0.09</v>
      </c>
      <c r="X210" s="4">
        <v>0</v>
      </c>
      <c r="Y210" s="4">
        <v>0</v>
      </c>
      <c r="Z210" s="4">
        <v>0</v>
      </c>
      <c r="AA210" s="4">
        <v>0.54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0.99</v>
      </c>
      <c r="AH210" s="6">
        <f>Datos_originales!$H18/Datos_originales!$E18</f>
        <v>3.917727717923604E-5</v>
      </c>
      <c r="AI210" s="6">
        <f>Datos_originales!$I18/Datos_originales!$E18</f>
        <v>3.7218413320274241E-4</v>
      </c>
      <c r="AJ210" s="6">
        <f>Datos_originales!$J18/Datos_originales!$E18</f>
        <v>4.1136141038197841E-4</v>
      </c>
      <c r="AK210" s="6">
        <f>Datos_originales!$K18/Datos_originales!$E18</f>
        <v>2.3506366307541628E-4</v>
      </c>
      <c r="AL210" s="6">
        <f>Datos_originales!$L18/Datos_originales!$E18</f>
        <v>3.917727717923604E-5</v>
      </c>
      <c r="AM210" s="6">
        <f>Datos_originales!$M18/Datos_originales!$E18</f>
        <v>2.3506366307541628E-4</v>
      </c>
      <c r="AN210" s="6">
        <f>Datos_originales!$N18/Datos_originales!$E18</f>
        <v>7.8354554358472079E-5</v>
      </c>
      <c r="AO210" s="6">
        <f>Datos_originales!$O18/Datos_originales!$E18</f>
        <v>1.7629774730656218E-4</v>
      </c>
      <c r="AP210" s="6">
        <f>Datos_originales!$P18/Datos_originales!$E18</f>
        <v>8.2272282076395681E-4</v>
      </c>
      <c r="AQ210" s="6">
        <f>Datos_originales!$Q18/Datos_originales!$E18</f>
        <v>5.876591576885407E-5</v>
      </c>
      <c r="AR210" s="6">
        <f>Datos_originales!$R18/Datos_originales!$E18</f>
        <v>5.0930460333006855E-4</v>
      </c>
      <c r="AS210" s="6">
        <f>Datos_originales!$S18/Datos_originales!$E18</f>
        <v>1.5670910871694419E-3</v>
      </c>
      <c r="AT210" s="6">
        <f>Datos_originales!$T18/Datos_originales!$E18</f>
        <v>5.0930460333006855E-4</v>
      </c>
      <c r="AU210" s="6">
        <f>Datos_originales!$U18/Datos_originales!$E18</f>
        <v>2.1743388834476003E-3</v>
      </c>
      <c r="AV210" s="6">
        <f>Datos_originales!$V18/Datos_originales!$E18</f>
        <v>2.0959843290891283E-3</v>
      </c>
      <c r="AW210" s="6">
        <f>Datos_originales!$W18/Datos_originales!$E18</f>
        <v>1.6415279138099901E-2</v>
      </c>
      <c r="AX210" s="6">
        <f>Datos_originales!$X18/Datos_originales!$E18</f>
        <v>5.4848188050930465E-4</v>
      </c>
      <c r="AY210" s="6">
        <f>Datos_originales!$Y18/Datos_originales!$E18</f>
        <v>2.1351616062683645E-3</v>
      </c>
      <c r="AZ210" s="6">
        <f>Datos_originales!$Z18/Datos_originales!$E18</f>
        <v>3.0558276199804113E-3</v>
      </c>
      <c r="BA210" s="6">
        <f>Datos_originales!$AA18/Datos_originales!$E18</f>
        <v>6.4054848188050927E-3</v>
      </c>
      <c r="BB210" s="6">
        <f>Datos_originales!$AB18/Datos_originales!$E18</f>
        <v>4.583741429970617E-3</v>
      </c>
      <c r="BC210" s="6">
        <f>Datos_originales!$AC18/Datos_originales!$E18</f>
        <v>1.0714985308521057E-2</v>
      </c>
      <c r="BD210" s="6">
        <f>Datos_originales!$AD18/Datos_originales!$E18</f>
        <v>1.5670910871694416E-4</v>
      </c>
      <c r="BE210" s="6">
        <f>Datos_originales!$AE18/Datos_originales!$E18</f>
        <v>7.0519098922624884E-4</v>
      </c>
      <c r="BF210" s="6">
        <f>Datos_originales!$AF18/Datos_originales!$E18</f>
        <v>2.9187071498530852E-3</v>
      </c>
      <c r="BG210" s="6">
        <f>Datos_originales!$AG18/Datos_originales!$E18</f>
        <v>5.4848188050930465E-4</v>
      </c>
    </row>
    <row r="211" spans="1:59" ht="15.75" customHeight="1">
      <c r="A211" s="2">
        <v>50303</v>
      </c>
      <c r="B211" s="3" t="s">
        <v>58</v>
      </c>
      <c r="C211" s="4" t="s">
        <v>79</v>
      </c>
      <c r="D211" s="4" t="str">
        <f>IF(Table_1[[#This Row],[Forest cover 2011]]&lt;1000,"Bosque menor a 1000 ha",Table_1[[#This Row],[Forest cover 2011]])</f>
        <v>Bosque menor a 1000 ha</v>
      </c>
      <c r="E211" s="4">
        <v>194.67</v>
      </c>
      <c r="F211" s="5">
        <f>AVERAGE(Datos_originales!$H20:$J20)</f>
        <v>1.5</v>
      </c>
      <c r="G211" s="5">
        <f>AVERAGE(Datos_originales!$R20:$T20)</f>
        <v>9.15</v>
      </c>
      <c r="H211" s="4">
        <v>0</v>
      </c>
      <c r="I211" s="4">
        <v>0</v>
      </c>
      <c r="J211" s="4">
        <v>0.27</v>
      </c>
      <c r="K211" s="4">
        <v>0</v>
      </c>
      <c r="L211" s="4">
        <v>0</v>
      </c>
      <c r="M211" s="4">
        <v>0</v>
      </c>
      <c r="N211" s="4">
        <v>0.18</v>
      </c>
      <c r="O211" s="4">
        <v>0</v>
      </c>
      <c r="P211" s="4">
        <v>0</v>
      </c>
      <c r="Q211" s="4">
        <v>0.18</v>
      </c>
      <c r="R211" s="4">
        <v>0</v>
      </c>
      <c r="S211" s="4">
        <v>0</v>
      </c>
      <c r="T211" s="4">
        <v>2.4300000000000002</v>
      </c>
      <c r="U211" s="4">
        <v>0.27</v>
      </c>
      <c r="V211" s="4">
        <v>0</v>
      </c>
      <c r="W211" s="4">
        <v>3.78</v>
      </c>
      <c r="X211" s="4">
        <v>0.09</v>
      </c>
      <c r="Y211" s="4">
        <v>0.09</v>
      </c>
      <c r="Z211" s="4">
        <v>0</v>
      </c>
      <c r="AA211" s="4">
        <v>0.18</v>
      </c>
      <c r="AB211" s="4">
        <v>0.09</v>
      </c>
      <c r="AC211" s="4">
        <v>0.09</v>
      </c>
      <c r="AD211" s="4">
        <v>0.45</v>
      </c>
      <c r="AE211" s="4">
        <v>0</v>
      </c>
      <c r="AF211" s="4">
        <v>0.09</v>
      </c>
      <c r="AG211" s="4">
        <v>37.260000000000012</v>
      </c>
      <c r="AH211" s="6">
        <f>Datos_originales!$H20/Datos_originales!$E20</f>
        <v>2.3863636363636361E-2</v>
      </c>
      <c r="AI211" s="6">
        <f>Datos_originales!$I20/Datos_originales!$E20</f>
        <v>2.1590909090909091E-2</v>
      </c>
      <c r="AJ211" s="6">
        <f>Datos_originales!$J20/Datos_originales!$E20</f>
        <v>1.1363636363636364E-2</v>
      </c>
      <c r="AK211" s="6">
        <f>Datos_originales!$K20/Datos_originales!$E20</f>
        <v>1.5909090909090907E-2</v>
      </c>
      <c r="AL211" s="6">
        <f>Datos_originales!$L20/Datos_originales!$E20</f>
        <v>2.6136363636363635E-2</v>
      </c>
      <c r="AM211" s="6">
        <f>Datos_originales!$M20/Datos_originales!$E20</f>
        <v>3.4090909090909094E-3</v>
      </c>
      <c r="AN211" s="6">
        <f>Datos_originales!$N20/Datos_originales!$E20</f>
        <v>6.8181818181818187E-3</v>
      </c>
      <c r="AO211" s="6">
        <f>Datos_originales!$O20/Datos_originales!$E20</f>
        <v>1.9318181818181818E-2</v>
      </c>
      <c r="AP211" s="6">
        <f>Datos_originales!$P20/Datos_originales!$E20</f>
        <v>3.4090909090909094E-3</v>
      </c>
      <c r="AQ211" s="6">
        <f>Datos_originales!$Q20/Datos_originales!$E20</f>
        <v>1.2499999999999999E-2</v>
      </c>
      <c r="AR211" s="6">
        <f>Datos_originales!$R20/Datos_originales!$E20</f>
        <v>0</v>
      </c>
      <c r="AS211" s="6">
        <f>Datos_originales!$S20/Datos_originales!$E20</f>
        <v>1.7045454545454548E-2</v>
      </c>
      <c r="AT211" s="6">
        <f>Datos_originales!$T20/Datos_originales!$E20</f>
        <v>0.32954545454545453</v>
      </c>
      <c r="AU211" s="6">
        <f>Datos_originales!$U20/Datos_originales!$E20</f>
        <v>3.5227272727272725E-2</v>
      </c>
      <c r="AV211" s="6">
        <f>Datos_originales!$V20/Datos_originales!$E20</f>
        <v>2.4999999999999998E-2</v>
      </c>
      <c r="AW211" s="6">
        <f>Datos_originales!$W20/Datos_originales!$E20</f>
        <v>1.9318181818181818E-2</v>
      </c>
      <c r="AX211" s="6">
        <f>Datos_originales!$X20/Datos_originales!$E20</f>
        <v>2.3863636363636361E-2</v>
      </c>
      <c r="AY211" s="6">
        <f>Datos_originales!$Y20/Datos_originales!$E20</f>
        <v>2.7272727272727275E-2</v>
      </c>
      <c r="AZ211" s="6">
        <f>Datos_originales!$Z20/Datos_originales!$E20</f>
        <v>4.5454545454545452E-3</v>
      </c>
      <c r="BA211" s="6">
        <f>Datos_originales!$AA20/Datos_originales!$E20</f>
        <v>6.8181818181818187E-3</v>
      </c>
      <c r="BB211" s="6">
        <f>Datos_originales!$AB20/Datos_originales!$E20</f>
        <v>2.6136363636363635E-2</v>
      </c>
      <c r="BC211" s="6">
        <f>Datos_originales!$AC20/Datos_originales!$E20</f>
        <v>4.5454545454545452E-3</v>
      </c>
      <c r="BD211" s="6">
        <f>Datos_originales!$AD20/Datos_originales!$E20</f>
        <v>1.4772727272727271E-2</v>
      </c>
      <c r="BE211" s="6">
        <f>Datos_originales!$AE20/Datos_originales!$E20</f>
        <v>0</v>
      </c>
      <c r="BF211" s="6">
        <f>Datos_originales!$AF20/Datos_originales!$E20</f>
        <v>2.2727272727272728E-2</v>
      </c>
      <c r="BG211" s="6">
        <f>Datos_originales!$AG20/Datos_originales!$E20</f>
        <v>0.62272727272727268</v>
      </c>
    </row>
    <row r="212" spans="1:59" ht="15.75" customHeight="1">
      <c r="A212" s="2">
        <v>50401</v>
      </c>
      <c r="B212" s="3" t="s">
        <v>58</v>
      </c>
      <c r="C212" s="4" t="s">
        <v>396</v>
      </c>
      <c r="D212" s="4">
        <f>IF(Table_1[[#This Row],[Forest cover 2011]]&lt;1000,"Bosque menor a 1000 ha",Table_1[[#This Row],[Forest cover 2011]])</f>
        <v>1334.79</v>
      </c>
      <c r="E212" s="4">
        <v>1334.79</v>
      </c>
      <c r="F212" s="5">
        <f>AVERAGE(Datos_originales!$H344:$J344)</f>
        <v>63.27</v>
      </c>
      <c r="G212" s="5">
        <f>AVERAGE(Datos_originales!$R344:$T344)</f>
        <v>65.850000000000009</v>
      </c>
      <c r="H212" s="4">
        <v>0.27</v>
      </c>
      <c r="I212" s="4">
        <v>0.72</v>
      </c>
      <c r="J212" s="4">
        <v>0</v>
      </c>
      <c r="K212" s="4">
        <v>0.36</v>
      </c>
      <c r="L212" s="4">
        <v>0</v>
      </c>
      <c r="M212" s="4">
        <v>0</v>
      </c>
      <c r="N212" s="4">
        <v>0</v>
      </c>
      <c r="O212" s="4">
        <v>0.45</v>
      </c>
      <c r="P212" s="4">
        <v>0.63</v>
      </c>
      <c r="Q212" s="4">
        <v>0.09</v>
      </c>
      <c r="R212" s="4">
        <v>0.18</v>
      </c>
      <c r="S212" s="4">
        <v>1.8</v>
      </c>
      <c r="T212" s="4">
        <v>0</v>
      </c>
      <c r="U212" s="4">
        <v>6.48</v>
      </c>
      <c r="V212" s="4">
        <v>3.69</v>
      </c>
      <c r="W212" s="4">
        <v>24.66</v>
      </c>
      <c r="X212" s="4">
        <v>2.34</v>
      </c>
      <c r="Y212" s="4">
        <v>1.71</v>
      </c>
      <c r="Z212" s="4">
        <v>0.62999999999999989</v>
      </c>
      <c r="AA212" s="4">
        <v>2.0699999999999998</v>
      </c>
      <c r="AB212" s="4">
        <v>11.34</v>
      </c>
      <c r="AC212" s="4">
        <v>33.57</v>
      </c>
      <c r="AD212" s="4">
        <v>0.18</v>
      </c>
      <c r="AE212" s="4">
        <v>0.89999999999999991</v>
      </c>
      <c r="AF212" s="4">
        <v>4.7699999999999996</v>
      </c>
      <c r="AG212" s="4">
        <v>0</v>
      </c>
      <c r="AH212" s="6">
        <f>Datos_originales!$H344/Datos_originales!$E344</f>
        <v>1.0544144433038228E-4</v>
      </c>
      <c r="AI212" s="6">
        <f>Datos_originales!$I344/Datos_originales!$E344</f>
        <v>8.6962015942583312E-5</v>
      </c>
      <c r="AJ212" s="6">
        <f>Datos_originales!$J344/Datos_originales!$E344</f>
        <v>9.4163557887828503E-5</v>
      </c>
      <c r="AK212" s="6">
        <f>Datos_originales!$K344/Datos_originales!$E344</f>
        <v>6.1688680059270043E-5</v>
      </c>
      <c r="AL212" s="6">
        <f>Datos_originales!$L344/Datos_originales!$E344</f>
        <v>6.6308537156219789E-5</v>
      </c>
      <c r="AM212" s="6">
        <f>Datos_originales!$M344/Datos_originales!$E344</f>
        <v>1.3750868770920989E-4</v>
      </c>
      <c r="AN212" s="6">
        <f>Datos_originales!$N344/Datos_originales!$E344</f>
        <v>5.5302407013486587E-5</v>
      </c>
      <c r="AO212" s="6">
        <f>Datos_originales!$O344/Datos_originales!$E344</f>
        <v>3.2474877828558461E-5</v>
      </c>
      <c r="AP212" s="6">
        <f>Datos_originales!$P344/Datos_originales!$E344</f>
        <v>2.093882290117514E-4</v>
      </c>
      <c r="AQ212" s="6">
        <f>Datos_originales!$Q344/Datos_originales!$E344</f>
        <v>3.0939454734572224E-4</v>
      </c>
      <c r="AR212" s="6">
        <f>Datos_originales!$R344/Datos_originales!$E344</f>
        <v>5.8427604461423177E-5</v>
      </c>
      <c r="AS212" s="6">
        <f>Datos_originales!$S344/Datos_originales!$E344</f>
        <v>1.7772862008265467E-4</v>
      </c>
      <c r="AT212" s="6">
        <f>Datos_originales!$T344/Datos_originales!$E344</f>
        <v>6.2096314509000911E-5</v>
      </c>
      <c r="AU212" s="6">
        <f>Datos_originales!$U344/Datos_originales!$E344</f>
        <v>1.7052707813740948E-4</v>
      </c>
      <c r="AV212" s="6">
        <f>Datos_originales!$V344/Datos_originales!$E344</f>
        <v>1.123712299758069E-4</v>
      </c>
      <c r="AW212" s="6">
        <f>Datos_originales!$W344/Datos_originales!$E344</f>
        <v>1.8058206123077068E-4</v>
      </c>
      <c r="AX212" s="6">
        <f>Datos_originales!$X344/Datos_originales!$E344</f>
        <v>8.8728431891417061E-5</v>
      </c>
      <c r="AY212" s="6">
        <f>Datos_originales!$Y344/Datos_originales!$E344</f>
        <v>8.125513364635129E-5</v>
      </c>
      <c r="AZ212" s="6">
        <f>Datos_originales!$Z344/Datos_originales!$E344</f>
        <v>1.4702015820292993E-4</v>
      </c>
      <c r="BA212" s="6">
        <f>Datos_originales!$AA344/Datos_originales!$E344</f>
        <v>7.8945205097876424E-5</v>
      </c>
      <c r="BB212" s="6">
        <f>Datos_originales!$AB344/Datos_originales!$E344</f>
        <v>5.992226411043632E-5</v>
      </c>
      <c r="BC212" s="6">
        <f>Datos_originales!$AC344/Datos_originales!$E344</f>
        <v>2.530051151329534E-4</v>
      </c>
      <c r="BD212" s="6">
        <f>Datos_originales!$AD344/Datos_originales!$E344</f>
        <v>3.3711368992742064E-4</v>
      </c>
      <c r="BE212" s="6">
        <f>Datos_originales!$AE344/Datos_originales!$E344</f>
        <v>7.2558932052092968E-5</v>
      </c>
      <c r="BF212" s="6">
        <f>Datos_originales!$AF344/Datos_originales!$E344</f>
        <v>2.194432121051126E-4</v>
      </c>
      <c r="BG212" s="6">
        <f>Datos_originales!$AG344/Datos_originales!$E344</f>
        <v>2.2854704814910179E-4</v>
      </c>
    </row>
    <row r="213" spans="1:59" ht="15.75" customHeight="1">
      <c r="A213" s="2">
        <v>50402</v>
      </c>
      <c r="B213" s="3" t="s">
        <v>58</v>
      </c>
      <c r="C213" s="4" t="s">
        <v>184</v>
      </c>
      <c r="D213" s="4">
        <f>IF(Table_1[[#This Row],[Forest cover 2011]]&lt;1000,"Bosque menor a 1000 ha",Table_1[[#This Row],[Forest cover 2011]])</f>
        <v>7140.42</v>
      </c>
      <c r="E213" s="4">
        <v>7140.42</v>
      </c>
      <c r="F213" s="5">
        <f>AVERAGE(Datos_originales!$H124:$J124)</f>
        <v>208.65</v>
      </c>
      <c r="G213" s="5">
        <f>AVERAGE(Datos_originales!$R124:$T124)</f>
        <v>1246.0200000000002</v>
      </c>
      <c r="H213" s="4">
        <v>0</v>
      </c>
      <c r="I213" s="4">
        <v>0.09</v>
      </c>
      <c r="J213" s="4">
        <v>0.09</v>
      </c>
      <c r="K213" s="4">
        <v>0.09</v>
      </c>
      <c r="L213" s="4">
        <v>0.09</v>
      </c>
      <c r="M213" s="4">
        <v>0.09</v>
      </c>
      <c r="N213" s="4">
        <v>0</v>
      </c>
      <c r="O213" s="4">
        <v>0.09</v>
      </c>
      <c r="P213" s="4">
        <v>0</v>
      </c>
      <c r="Q213" s="4">
        <v>0</v>
      </c>
      <c r="R213" s="4">
        <v>2.16</v>
      </c>
      <c r="S213" s="4">
        <v>2.25</v>
      </c>
      <c r="T213" s="4">
        <v>5.04</v>
      </c>
      <c r="U213" s="4">
        <v>17.100000000000001</v>
      </c>
      <c r="V213" s="4">
        <v>9.5399999999999991</v>
      </c>
      <c r="W213" s="4">
        <v>116.46</v>
      </c>
      <c r="X213" s="4">
        <v>4.41</v>
      </c>
      <c r="Y213" s="4">
        <v>3.15</v>
      </c>
      <c r="Z213" s="4">
        <v>2.97</v>
      </c>
      <c r="AA213" s="4">
        <v>4.5</v>
      </c>
      <c r="AB213" s="4">
        <v>13.86</v>
      </c>
      <c r="AC213" s="4">
        <v>54.36</v>
      </c>
      <c r="AD213" s="4">
        <v>0.63</v>
      </c>
      <c r="AE213" s="4">
        <v>3.87</v>
      </c>
      <c r="AF213" s="4">
        <v>67.59</v>
      </c>
      <c r="AG213" s="4">
        <v>53.55</v>
      </c>
      <c r="AH213" s="6">
        <f>Datos_originales!$H124/Datos_originales!$E124</f>
        <v>2.8696548839069342E-4</v>
      </c>
      <c r="AI213" s="6">
        <f>Datos_originales!$I124/Datos_originales!$E124</f>
        <v>3.4923802302957757E-4</v>
      </c>
      <c r="AJ213" s="6">
        <f>Datos_originales!$J124/Datos_originales!$E124</f>
        <v>5.5038684039737033E-4</v>
      </c>
      <c r="AK213" s="6">
        <f>Datos_originales!$K124/Datos_originales!$E124</f>
        <v>4.289127454305608E-4</v>
      </c>
      <c r="AL213" s="6">
        <f>Datos_originales!$L124/Datos_originales!$E124</f>
        <v>6.7169032568023784E-4</v>
      </c>
      <c r="AM213" s="6">
        <f>Datos_originales!$M124/Datos_originales!$E124</f>
        <v>6.0617620704645284E-4</v>
      </c>
      <c r="AN213" s="6">
        <f>Datos_originales!$N124/Datos_originales!$E124</f>
        <v>4.5825761106861037E-4</v>
      </c>
      <c r="AO213" s="6">
        <f>Datos_originales!$O124/Datos_originales!$E124</f>
        <v>6.5667667349332884E-4</v>
      </c>
      <c r="AP213" s="6">
        <f>Datos_originales!$P124/Datos_originales!$E124</f>
        <v>1.307893837100509E-3</v>
      </c>
      <c r="AQ213" s="6">
        <f>Datos_originales!$Q124/Datos_originales!$E124</f>
        <v>7.9845332084925403E-4</v>
      </c>
      <c r="AR213" s="6">
        <f>Datos_originales!$R124/Datos_originales!$E124</f>
        <v>8.9706571816781586E-4</v>
      </c>
      <c r="AS213" s="6">
        <f>Datos_originales!$S124/Datos_originales!$E124</f>
        <v>3.5181422925710405E-3</v>
      </c>
      <c r="AT213" s="6">
        <f>Datos_originales!$T124/Datos_originales!$E124</f>
        <v>2.670894602114332E-3</v>
      </c>
      <c r="AU213" s="6">
        <f>Datos_originales!$U124/Datos_originales!$E124</f>
        <v>1.2546636157105585E-3</v>
      </c>
      <c r="AV213" s="6">
        <f>Datos_originales!$V124/Datos_originales!$E124</f>
        <v>1.1386490306298977E-3</v>
      </c>
      <c r="AW213" s="6">
        <f>Datos_originales!$W124/Datos_originales!$E124</f>
        <v>1.8395136122642431E-3</v>
      </c>
      <c r="AX213" s="6">
        <f>Datos_originales!$X124/Datos_originales!$E124</f>
        <v>1.067846011793906E-3</v>
      </c>
      <c r="AY213" s="6">
        <f>Datos_originales!$Y124/Datos_originales!$E124</f>
        <v>1.2108169269374265E-3</v>
      </c>
      <c r="AZ213" s="6">
        <f>Datos_originales!$Z124/Datos_originales!$E124</f>
        <v>9.5967947217458444E-4</v>
      </c>
      <c r="BA213" s="6">
        <f>Datos_originales!$AA124/Datos_originales!$E124</f>
        <v>9.3374680021537785E-4</v>
      </c>
      <c r="BB213" s="6">
        <f>Datos_originales!$AB124/Datos_originales!$E124</f>
        <v>1.0615334534880467E-3</v>
      </c>
      <c r="BC213" s="6">
        <f>Datos_originales!$AC124/Datos_originales!$E124</f>
        <v>2.0773435116795977E-3</v>
      </c>
      <c r="BD213" s="6">
        <f>Datos_originales!$AD124/Datos_originales!$E124</f>
        <v>1.0727936926282285E-3</v>
      </c>
      <c r="BE213" s="6">
        <f>Datos_originales!$AE124/Datos_originales!$E124</f>
        <v>1.1555393893401705E-3</v>
      </c>
      <c r="BF213" s="6">
        <f>Datos_originales!$AF124/Datos_originales!$E124</f>
        <v>3.9961906269769401E-3</v>
      </c>
      <c r="BG213" s="6">
        <f>Datos_originales!$AG124/Datos_originales!$E124</f>
        <v>4.1691888464942782E-3</v>
      </c>
    </row>
    <row r="214" spans="1:59" ht="15.75" customHeight="1">
      <c r="A214" s="2">
        <v>50403</v>
      </c>
      <c r="B214" s="3" t="s">
        <v>58</v>
      </c>
      <c r="C214" s="4" t="s">
        <v>207</v>
      </c>
      <c r="D214" s="4" t="str">
        <f>IF(Table_1[[#This Row],[Forest cover 2011]]&lt;1000,"Bosque menor a 1000 ha",Table_1[[#This Row],[Forest cover 2011]])</f>
        <v>Bosque menor a 1000 ha</v>
      </c>
      <c r="E214" s="4">
        <v>492.66</v>
      </c>
      <c r="F214" s="5">
        <f>AVERAGE(Datos_originales!$H147:$J147)</f>
        <v>0</v>
      </c>
      <c r="G214" s="5">
        <f>AVERAGE(Datos_originales!$R147:$T147)</f>
        <v>2.2200000000000002</v>
      </c>
      <c r="H214" s="4">
        <v>0</v>
      </c>
      <c r="I214" s="4">
        <v>0.09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2.25</v>
      </c>
      <c r="T214" s="4">
        <v>0</v>
      </c>
      <c r="U214" s="4">
        <v>4.68</v>
      </c>
      <c r="V214" s="4">
        <v>3.69</v>
      </c>
      <c r="W214" s="4">
        <v>12.24</v>
      </c>
      <c r="X214" s="4">
        <v>0.63</v>
      </c>
      <c r="Y214" s="4">
        <v>3.15</v>
      </c>
      <c r="Z214" s="4">
        <v>2.52</v>
      </c>
      <c r="AA214" s="4">
        <v>3.15</v>
      </c>
      <c r="AB214" s="4">
        <v>2.0699999999999998</v>
      </c>
      <c r="AC214" s="4">
        <v>10.17</v>
      </c>
      <c r="AD214" s="4">
        <v>0</v>
      </c>
      <c r="AE214" s="4">
        <v>0.27</v>
      </c>
      <c r="AF214" s="4">
        <v>3.42</v>
      </c>
      <c r="AG214" s="4">
        <v>2.4300000000000002</v>
      </c>
      <c r="AH214" s="6">
        <f>Datos_originales!$H147/Datos_originales!$E147</f>
        <v>0</v>
      </c>
      <c r="AI214" s="6">
        <f>Datos_originales!$I147/Datos_originales!$E147</f>
        <v>0</v>
      </c>
      <c r="AJ214" s="6">
        <f>Datos_originales!$J147/Datos_originales!$E147</f>
        <v>0</v>
      </c>
      <c r="AK214" s="6">
        <f>Datos_originales!$K147/Datos_originales!$E147</f>
        <v>0</v>
      </c>
      <c r="AL214" s="6">
        <f>Datos_originales!$L147/Datos_originales!$E147</f>
        <v>2.0712510356255177E-4</v>
      </c>
      <c r="AM214" s="6">
        <f>Datos_originales!$M147/Datos_originales!$E147</f>
        <v>3.1068765534382768E-4</v>
      </c>
      <c r="AN214" s="6">
        <f>Datos_originales!$N147/Datos_originales!$E147</f>
        <v>0</v>
      </c>
      <c r="AO214" s="6">
        <f>Datos_originales!$O147/Datos_originales!$E147</f>
        <v>2.0712510356255177E-4</v>
      </c>
      <c r="AP214" s="6">
        <f>Datos_originales!$P147/Datos_originales!$E147</f>
        <v>2.0712510356255177E-4</v>
      </c>
      <c r="AQ214" s="6">
        <f>Datos_originales!$Q147/Datos_originales!$E147</f>
        <v>5.1781275890637945E-4</v>
      </c>
      <c r="AR214" s="6">
        <f>Datos_originales!$R147/Datos_originales!$E147</f>
        <v>2.5890637945318973E-3</v>
      </c>
      <c r="AS214" s="6">
        <f>Datos_originales!$S147/Datos_originales!$E147</f>
        <v>4.7638773819386904E-3</v>
      </c>
      <c r="AT214" s="6">
        <f>Datos_originales!$T147/Datos_originales!$E147</f>
        <v>3.1068765534382768E-4</v>
      </c>
      <c r="AU214" s="6">
        <f>Datos_originales!$U147/Datos_originales!$E147</f>
        <v>1.8641259320629662E-3</v>
      </c>
      <c r="AV214" s="6">
        <f>Datos_originales!$V147/Datos_originales!$E147</f>
        <v>1.0356255178127589E-3</v>
      </c>
      <c r="AW214" s="6">
        <f>Datos_originales!$W147/Datos_originales!$E147</f>
        <v>3.0033140016570013E-2</v>
      </c>
      <c r="AX214" s="6">
        <f>Datos_originales!$X147/Datos_originales!$E147</f>
        <v>1.2323943661971832E-2</v>
      </c>
      <c r="AY214" s="6">
        <f>Datos_originales!$Y147/Datos_originales!$E147</f>
        <v>1.7191383595691799E-2</v>
      </c>
      <c r="AZ214" s="6">
        <f>Datos_originales!$Z147/Datos_originales!$E147</f>
        <v>2.4130074565037282E-2</v>
      </c>
      <c r="BA214" s="6">
        <f>Datos_originales!$AA147/Datos_originales!$E147</f>
        <v>1.9884009942004972E-2</v>
      </c>
      <c r="BB214" s="6">
        <f>Datos_originales!$AB147/Datos_originales!$E147</f>
        <v>1.8019884009942005E-2</v>
      </c>
      <c r="BC214" s="6">
        <f>Datos_originales!$AC147/Datos_originales!$E147</f>
        <v>1.0563380281690141E-2</v>
      </c>
      <c r="BD214" s="6">
        <f>Datos_originales!$AD147/Datos_originales!$E147</f>
        <v>5.1781275890637945E-4</v>
      </c>
      <c r="BE214" s="6">
        <f>Datos_originales!$AE147/Datos_originales!$E147</f>
        <v>3.5211267605633804E-3</v>
      </c>
      <c r="BF214" s="6">
        <f>Datos_originales!$AF147/Datos_originales!$E147</f>
        <v>9.5277547638773809E-3</v>
      </c>
      <c r="BG214" s="6">
        <f>Datos_originales!$AG147/Datos_originales!$E147</f>
        <v>5.4888152444076219E-3</v>
      </c>
    </row>
    <row r="215" spans="1:59" ht="15.75" customHeight="1">
      <c r="A215" s="2">
        <v>50404</v>
      </c>
      <c r="B215" s="3" t="s">
        <v>58</v>
      </c>
      <c r="C215" s="4" t="s">
        <v>108</v>
      </c>
      <c r="D215" s="4" t="str">
        <f>IF(Table_1[[#This Row],[Forest cover 2011]]&lt;1000,"Bosque menor a 1000 ha",Table_1[[#This Row],[Forest cover 2011]])</f>
        <v>Bosque menor a 1000 ha</v>
      </c>
      <c r="E215" s="4">
        <v>242.19</v>
      </c>
      <c r="F215" s="5">
        <f>AVERAGE(Datos_originales!$H47:$J47)</f>
        <v>0</v>
      </c>
      <c r="G215" s="5">
        <f>AVERAGE(Datos_originales!$R47:$T47)</f>
        <v>0</v>
      </c>
      <c r="H215" s="4">
        <v>0</v>
      </c>
      <c r="I215" s="4">
        <v>0.09</v>
      </c>
      <c r="J215" s="4">
        <v>0</v>
      </c>
      <c r="K215" s="4">
        <v>0</v>
      </c>
      <c r="L215" s="4">
        <v>0</v>
      </c>
      <c r="M215" s="4">
        <v>0.09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1.53</v>
      </c>
      <c r="T215" s="4">
        <v>6.12</v>
      </c>
      <c r="U215" s="4">
        <v>0.72</v>
      </c>
      <c r="V215" s="4">
        <v>0.27</v>
      </c>
      <c r="W215" s="4">
        <v>2.34</v>
      </c>
      <c r="X215" s="4">
        <v>1.08</v>
      </c>
      <c r="Y215" s="4">
        <v>0.18</v>
      </c>
      <c r="Z215" s="4">
        <v>0.45</v>
      </c>
      <c r="AA215" s="4">
        <v>1.17</v>
      </c>
      <c r="AB215" s="4">
        <v>1.35</v>
      </c>
      <c r="AC215" s="4">
        <v>7.6499999999999986</v>
      </c>
      <c r="AD215" s="4">
        <v>0</v>
      </c>
      <c r="AE215" s="4">
        <v>0.09</v>
      </c>
      <c r="AF215" s="4">
        <v>1.89</v>
      </c>
      <c r="AG215" s="4">
        <v>9.5399999999999991</v>
      </c>
      <c r="AH215" s="6" t="e">
        <f>Datos_originales!$H47/Datos_originales!$E47</f>
        <v>#DIV/0!</v>
      </c>
      <c r="AI215" s="6" t="e">
        <f>Datos_originales!$I47/Datos_originales!$E47</f>
        <v>#DIV/0!</v>
      </c>
      <c r="AJ215" s="6" t="e">
        <f>Datos_originales!$J47/Datos_originales!$E47</f>
        <v>#DIV/0!</v>
      </c>
      <c r="AK215" s="6" t="e">
        <f>Datos_originales!$K47/Datos_originales!$E47</f>
        <v>#DIV/0!</v>
      </c>
      <c r="AL215" s="6" t="e">
        <f>Datos_originales!$L47/Datos_originales!$E47</f>
        <v>#DIV/0!</v>
      </c>
      <c r="AM215" s="6" t="e">
        <f>Datos_originales!$M47/Datos_originales!$E47</f>
        <v>#DIV/0!</v>
      </c>
      <c r="AN215" s="6" t="e">
        <f>Datos_originales!$N47/Datos_originales!$E47</f>
        <v>#DIV/0!</v>
      </c>
      <c r="AO215" s="6" t="e">
        <f>Datos_originales!$O47/Datos_originales!$E47</f>
        <v>#DIV/0!</v>
      </c>
      <c r="AP215" s="6" t="e">
        <f>Datos_originales!$P47/Datos_originales!$E47</f>
        <v>#DIV/0!</v>
      </c>
      <c r="AQ215" s="6" t="e">
        <f>Datos_originales!$Q47/Datos_originales!$E47</f>
        <v>#DIV/0!</v>
      </c>
      <c r="AR215" s="6" t="e">
        <f>Datos_originales!$R47/Datos_originales!$E47</f>
        <v>#DIV/0!</v>
      </c>
      <c r="AS215" s="6" t="e">
        <f>Datos_originales!$S47/Datos_originales!$E47</f>
        <v>#DIV/0!</v>
      </c>
      <c r="AT215" s="6" t="e">
        <f>Datos_originales!$T47/Datos_originales!$E47</f>
        <v>#DIV/0!</v>
      </c>
      <c r="AU215" s="6" t="e">
        <f>Datos_originales!$U47/Datos_originales!$E47</f>
        <v>#DIV/0!</v>
      </c>
      <c r="AV215" s="6" t="e">
        <f>Datos_originales!$V47/Datos_originales!$E47</f>
        <v>#DIV/0!</v>
      </c>
      <c r="AW215" s="6" t="e">
        <f>Datos_originales!$W47/Datos_originales!$E47</f>
        <v>#DIV/0!</v>
      </c>
      <c r="AX215" s="6" t="e">
        <f>Datos_originales!$X47/Datos_originales!$E47</f>
        <v>#DIV/0!</v>
      </c>
      <c r="AY215" s="6" t="e">
        <f>Datos_originales!$Y47/Datos_originales!$E47</f>
        <v>#DIV/0!</v>
      </c>
      <c r="AZ215" s="6" t="e">
        <f>Datos_originales!$Z47/Datos_originales!$E47</f>
        <v>#DIV/0!</v>
      </c>
      <c r="BA215" s="6" t="e">
        <f>Datos_originales!$AA47/Datos_originales!$E47</f>
        <v>#DIV/0!</v>
      </c>
      <c r="BB215" s="6" t="e">
        <f>Datos_originales!$AB47/Datos_originales!$E47</f>
        <v>#DIV/0!</v>
      </c>
      <c r="BC215" s="6" t="e">
        <f>Datos_originales!$AC47/Datos_originales!$E47</f>
        <v>#DIV/0!</v>
      </c>
      <c r="BD215" s="6" t="e">
        <f>Datos_originales!$AD47/Datos_originales!$E47</f>
        <v>#DIV/0!</v>
      </c>
      <c r="BE215" s="6" t="e">
        <f>Datos_originales!$AE47/Datos_originales!$E47</f>
        <v>#DIV/0!</v>
      </c>
      <c r="BF215" s="6" t="e">
        <f>Datos_originales!$AF47/Datos_originales!$E47</f>
        <v>#DIV/0!</v>
      </c>
      <c r="BG215" s="6" t="e">
        <f>Datos_originales!$AG47/Datos_originales!$E47</f>
        <v>#DIV/0!</v>
      </c>
    </row>
    <row r="216" spans="1:59" ht="15.75" customHeight="1">
      <c r="A216" s="2">
        <v>50405</v>
      </c>
      <c r="B216" s="3" t="s">
        <v>58</v>
      </c>
      <c r="C216" s="4" t="s">
        <v>358</v>
      </c>
      <c r="D216" s="4" t="str">
        <f>IF(Table_1[[#This Row],[Forest cover 2011]]&lt;1000,"Bosque menor a 1000 ha",Table_1[[#This Row],[Forest cover 2011]])</f>
        <v>Bosque menor a 1000 ha</v>
      </c>
      <c r="E216" s="4">
        <v>0</v>
      </c>
      <c r="F216" s="5">
        <f>AVERAGE(Datos_originales!$H306:$J306)</f>
        <v>2289.9899999999998</v>
      </c>
      <c r="G216" s="5">
        <f>AVERAGE(Datos_originales!$R306:$T306)</f>
        <v>8984.0400000000009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>
        <v>0</v>
      </c>
    </row>
    <row r="217" spans="1:59" ht="15.75" customHeight="1">
      <c r="A217" s="2">
        <v>50501</v>
      </c>
      <c r="B217" s="3" t="s">
        <v>58</v>
      </c>
      <c r="C217" s="4" t="s">
        <v>102</v>
      </c>
      <c r="D217" s="4">
        <f>IF(Table_1[[#This Row],[Forest cover 2011]]&lt;1000,"Bosque menor a 1000 ha",Table_1[[#This Row],[Forest cover 2011]])</f>
        <v>12536.73</v>
      </c>
      <c r="E217" s="4">
        <v>12536.73</v>
      </c>
      <c r="F217" s="5">
        <f>AVERAGE(Datos_originales!$H233:$J233)</f>
        <v>0</v>
      </c>
      <c r="G217" s="5">
        <f>AVERAGE(Datos_originales!$R233:$T233)</f>
        <v>0</v>
      </c>
      <c r="H217" s="4">
        <v>0.9</v>
      </c>
      <c r="I217" s="4">
        <v>0.81</v>
      </c>
      <c r="J217" s="4">
        <v>0.18</v>
      </c>
      <c r="K217" s="4">
        <v>0.18</v>
      </c>
      <c r="L217" s="4">
        <v>0.09</v>
      </c>
      <c r="M217" s="4">
        <v>0</v>
      </c>
      <c r="N217" s="4">
        <v>0.09</v>
      </c>
      <c r="O217" s="4">
        <v>0.45</v>
      </c>
      <c r="P217" s="4">
        <v>0.36</v>
      </c>
      <c r="Q217" s="4">
        <v>0</v>
      </c>
      <c r="R217" s="4">
        <v>0.45</v>
      </c>
      <c r="S217" s="4">
        <v>14.94</v>
      </c>
      <c r="T217" s="4">
        <v>0.18</v>
      </c>
      <c r="U217" s="4">
        <v>62.55</v>
      </c>
      <c r="V217" s="4">
        <v>45.72</v>
      </c>
      <c r="W217" s="4">
        <v>197.28</v>
      </c>
      <c r="X217" s="4">
        <v>22.68</v>
      </c>
      <c r="Y217" s="4">
        <v>15.03</v>
      </c>
      <c r="Z217" s="4">
        <v>14.49</v>
      </c>
      <c r="AA217" s="4">
        <v>30.06</v>
      </c>
      <c r="AB217" s="4">
        <v>60.21</v>
      </c>
      <c r="AC217" s="4">
        <v>201.06</v>
      </c>
      <c r="AD217" s="4">
        <v>0.72</v>
      </c>
      <c r="AE217" s="4">
        <v>4.1400000000000006</v>
      </c>
      <c r="AF217" s="4">
        <v>105.84</v>
      </c>
      <c r="AG217" s="4">
        <v>0.9</v>
      </c>
      <c r="AH217" s="6" t="e">
        <f>Datos_originales!$H233/Datos_originales!$E233</f>
        <v>#DIV/0!</v>
      </c>
      <c r="AI217" s="6" t="e">
        <f>Datos_originales!$I233/Datos_originales!$E233</f>
        <v>#DIV/0!</v>
      </c>
      <c r="AJ217" s="6" t="e">
        <f>Datos_originales!$J233/Datos_originales!$E233</f>
        <v>#DIV/0!</v>
      </c>
      <c r="AK217" s="6" t="e">
        <f>Datos_originales!$K233/Datos_originales!$E233</f>
        <v>#DIV/0!</v>
      </c>
      <c r="AL217" s="6" t="e">
        <f>Datos_originales!$L233/Datos_originales!$E233</f>
        <v>#DIV/0!</v>
      </c>
      <c r="AM217" s="6" t="e">
        <f>Datos_originales!$M233/Datos_originales!$E233</f>
        <v>#DIV/0!</v>
      </c>
      <c r="AN217" s="6" t="e">
        <f>Datos_originales!$N233/Datos_originales!$E233</f>
        <v>#DIV/0!</v>
      </c>
      <c r="AO217" s="6" t="e">
        <f>Datos_originales!$O233/Datos_originales!$E233</f>
        <v>#DIV/0!</v>
      </c>
      <c r="AP217" s="6" t="e">
        <f>Datos_originales!$P233/Datos_originales!$E233</f>
        <v>#DIV/0!</v>
      </c>
      <c r="AQ217" s="6" t="e">
        <f>Datos_originales!$Q233/Datos_originales!$E233</f>
        <v>#DIV/0!</v>
      </c>
      <c r="AR217" s="6" t="e">
        <f>Datos_originales!$R233/Datos_originales!$E233</f>
        <v>#DIV/0!</v>
      </c>
      <c r="AS217" s="6" t="e">
        <f>Datos_originales!$S233/Datos_originales!$E233</f>
        <v>#DIV/0!</v>
      </c>
      <c r="AT217" s="6" t="e">
        <f>Datos_originales!$T233/Datos_originales!$E233</f>
        <v>#DIV/0!</v>
      </c>
      <c r="AU217" s="6" t="e">
        <f>Datos_originales!$U233/Datos_originales!$E233</f>
        <v>#DIV/0!</v>
      </c>
      <c r="AV217" s="6" t="e">
        <f>Datos_originales!$V233/Datos_originales!$E233</f>
        <v>#DIV/0!</v>
      </c>
      <c r="AW217" s="6" t="e">
        <f>Datos_originales!$W233/Datos_originales!$E233</f>
        <v>#DIV/0!</v>
      </c>
      <c r="AX217" s="6" t="e">
        <f>Datos_originales!$X233/Datos_originales!$E233</f>
        <v>#DIV/0!</v>
      </c>
      <c r="AY217" s="6" t="e">
        <f>Datos_originales!$Y233/Datos_originales!$E233</f>
        <v>#DIV/0!</v>
      </c>
      <c r="AZ217" s="6" t="e">
        <f>Datos_originales!$Z233/Datos_originales!$E233</f>
        <v>#DIV/0!</v>
      </c>
      <c r="BA217" s="6" t="e">
        <f>Datos_originales!$AA233/Datos_originales!$E233</f>
        <v>#DIV/0!</v>
      </c>
      <c r="BB217" s="6" t="e">
        <f>Datos_originales!$AB233/Datos_originales!$E233</f>
        <v>#DIV/0!</v>
      </c>
      <c r="BC217" s="6" t="e">
        <f>Datos_originales!$AC233/Datos_originales!$E233</f>
        <v>#DIV/0!</v>
      </c>
      <c r="BD217" s="6" t="e">
        <f>Datos_originales!$AD233/Datos_originales!$E233</f>
        <v>#DIV/0!</v>
      </c>
      <c r="BE217" s="6" t="e">
        <f>Datos_originales!$AE233/Datos_originales!$E233</f>
        <v>#DIV/0!</v>
      </c>
      <c r="BF217" s="6" t="e">
        <f>Datos_originales!$AF233/Datos_originales!$E233</f>
        <v>#DIV/0!</v>
      </c>
      <c r="BG217" s="6" t="e">
        <f>Datos_originales!$AG233/Datos_originales!$E233</f>
        <v>#DIV/0!</v>
      </c>
    </row>
    <row r="218" spans="1:59" ht="15.75" customHeight="1">
      <c r="A218" s="2">
        <v>50502</v>
      </c>
      <c r="B218" s="3" t="s">
        <v>58</v>
      </c>
      <c r="C218" s="4" t="s">
        <v>278</v>
      </c>
      <c r="D218" s="4">
        <f>IF(Table_1[[#This Row],[Forest cover 2011]]&lt;1000,"Bosque menor a 1000 ha",Table_1[[#This Row],[Forest cover 2011]])</f>
        <v>17932.41</v>
      </c>
      <c r="E218" s="4">
        <v>17932.41</v>
      </c>
      <c r="F218" s="5">
        <f>AVERAGE(Datos_originales!$H223:$J223)</f>
        <v>1.9800000000000002</v>
      </c>
      <c r="G218" s="5">
        <f>AVERAGE(Datos_originales!$R223:$T223)</f>
        <v>3.6</v>
      </c>
      <c r="H218" s="4">
        <v>1.08</v>
      </c>
      <c r="I218" s="4">
        <v>0</v>
      </c>
      <c r="J218" s="4">
        <v>0</v>
      </c>
      <c r="K218" s="4">
        <v>0.36</v>
      </c>
      <c r="L218" s="4">
        <v>0.45</v>
      </c>
      <c r="M218" s="4">
        <v>0</v>
      </c>
      <c r="N218" s="4">
        <v>0.18</v>
      </c>
      <c r="O218" s="4">
        <v>0.54</v>
      </c>
      <c r="P218" s="4">
        <v>0.27</v>
      </c>
      <c r="Q218" s="4">
        <v>0</v>
      </c>
      <c r="R218" s="4">
        <v>1.26</v>
      </c>
      <c r="S218" s="4">
        <v>10.98</v>
      </c>
      <c r="T218" s="4">
        <v>0.27</v>
      </c>
      <c r="U218" s="4">
        <v>34.47</v>
      </c>
      <c r="V218" s="4">
        <v>28.62</v>
      </c>
      <c r="W218" s="4">
        <v>166.5</v>
      </c>
      <c r="X218" s="4">
        <v>15.66</v>
      </c>
      <c r="Y218" s="4">
        <v>13.41</v>
      </c>
      <c r="Z218" s="4">
        <v>17.28</v>
      </c>
      <c r="AA218" s="4">
        <v>13.14</v>
      </c>
      <c r="AB218" s="4">
        <v>47.61</v>
      </c>
      <c r="AC218" s="4">
        <v>90</v>
      </c>
      <c r="AD218" s="4">
        <v>1.8</v>
      </c>
      <c r="AE218" s="4">
        <v>5.85</v>
      </c>
      <c r="AF218" s="4">
        <v>70.740000000000009</v>
      </c>
      <c r="AG218" s="4">
        <v>4.68</v>
      </c>
      <c r="AH218" s="6">
        <f>Datos_originales!$H223/Datos_originales!$E223</f>
        <v>2.6266416510318951E-2</v>
      </c>
      <c r="AI218" s="6">
        <f>Datos_originales!$I223/Datos_originales!$E223</f>
        <v>5.065666041275798E-2</v>
      </c>
      <c r="AJ218" s="6">
        <f>Datos_originales!$J223/Datos_originales!$E223</f>
        <v>4.6904315196998128E-2</v>
      </c>
      <c r="AK218" s="6">
        <f>Datos_originales!$K223/Datos_originales!$E223</f>
        <v>1.8761726078799251E-2</v>
      </c>
      <c r="AL218" s="6">
        <f>Datos_originales!$L223/Datos_originales!$E223</f>
        <v>1.8761726078799248E-2</v>
      </c>
      <c r="AM218" s="6">
        <f>Datos_originales!$M223/Datos_originales!$E223</f>
        <v>1.1257035647279551E-2</v>
      </c>
      <c r="AN218" s="6">
        <f>Datos_originales!$N223/Datos_originales!$E223</f>
        <v>3.7523452157598499E-3</v>
      </c>
      <c r="AO218" s="6">
        <f>Datos_originales!$O223/Datos_originales!$E223</f>
        <v>3.7523452157598499E-3</v>
      </c>
      <c r="AP218" s="6">
        <f>Datos_originales!$P223/Datos_originales!$E223</f>
        <v>0</v>
      </c>
      <c r="AQ218" s="6">
        <f>Datos_originales!$Q223/Datos_originales!$E223</f>
        <v>5.6285178236397757E-3</v>
      </c>
      <c r="AR218" s="6">
        <f>Datos_originales!$R223/Datos_originales!$E223</f>
        <v>0</v>
      </c>
      <c r="AS218" s="6">
        <f>Datos_originales!$S223/Datos_originales!$E223</f>
        <v>1.1257035647279551E-2</v>
      </c>
      <c r="AT218" s="6">
        <f>Datos_originales!$T223/Datos_originales!$E223</f>
        <v>0.21388367729831145</v>
      </c>
      <c r="AU218" s="6">
        <f>Datos_originales!$U223/Datos_originales!$E223</f>
        <v>9.3808630393996256E-2</v>
      </c>
      <c r="AV218" s="6">
        <f>Datos_originales!$V223/Datos_originales!$E223</f>
        <v>7.879924953095685E-2</v>
      </c>
      <c r="AW218" s="6">
        <f>Datos_originales!$W223/Datos_originales!$E223</f>
        <v>6.5666041275797379E-2</v>
      </c>
      <c r="AX218" s="6">
        <f>Datos_originales!$X223/Datos_originales!$E223</f>
        <v>2.0637898686679174E-2</v>
      </c>
      <c r="AY218" s="6">
        <f>Datos_originales!$Y223/Datos_originales!$E223</f>
        <v>2.4390243902439022E-2</v>
      </c>
      <c r="AZ218" s="6">
        <f>Datos_originales!$Z223/Datos_originales!$E223</f>
        <v>2.0637898686679174E-2</v>
      </c>
      <c r="BA218" s="6">
        <f>Datos_originales!$AA223/Datos_originales!$E223</f>
        <v>3.7523452157598499E-3</v>
      </c>
      <c r="BB218" s="6">
        <f>Datos_originales!$AB223/Datos_originales!$E223</f>
        <v>3.7523452157598499E-3</v>
      </c>
      <c r="BC218" s="6">
        <f>Datos_originales!$AC223/Datos_originales!$E223</f>
        <v>0</v>
      </c>
      <c r="BD218" s="6">
        <f>Datos_originales!$AD223/Datos_originales!$E223</f>
        <v>9.3808630393996256E-3</v>
      </c>
      <c r="BE218" s="6">
        <f>Datos_originales!$AE223/Datos_originales!$E223</f>
        <v>0</v>
      </c>
      <c r="BF218" s="6">
        <f>Datos_originales!$AF223/Datos_originales!$E223</f>
        <v>1.3133208255159476E-2</v>
      </c>
      <c r="BG218" s="6">
        <f>Datos_originales!$AG223/Datos_originales!$E223</f>
        <v>0.55347091932457793</v>
      </c>
    </row>
    <row r="219" spans="1:59" ht="15.75" customHeight="1">
      <c r="A219" s="2">
        <v>50601</v>
      </c>
      <c r="B219" s="3" t="s">
        <v>58</v>
      </c>
      <c r="C219" s="4" t="s">
        <v>75</v>
      </c>
      <c r="D219" s="4" t="str">
        <f>IF(Table_1[[#This Row],[Forest cover 2011]]&lt;1000,"Bosque menor a 1000 ha",Table_1[[#This Row],[Forest cover 2011]])</f>
        <v>Bosque menor a 1000 ha</v>
      </c>
      <c r="E219" s="4">
        <v>269.82</v>
      </c>
      <c r="F219" s="5">
        <f>AVERAGE(Datos_originales!$H15:$J15)</f>
        <v>46.04999999999999</v>
      </c>
      <c r="G219" s="5">
        <f>AVERAGE(Datos_originales!$R15:$T15)</f>
        <v>144</v>
      </c>
      <c r="H219" s="4">
        <v>2.0699999999999998</v>
      </c>
      <c r="I219" s="4">
        <v>4.5</v>
      </c>
      <c r="J219" s="4">
        <v>4.1399999999999997</v>
      </c>
      <c r="K219" s="4">
        <v>2.52</v>
      </c>
      <c r="L219" s="4">
        <v>1.98</v>
      </c>
      <c r="M219" s="4">
        <v>1.44</v>
      </c>
      <c r="N219" s="4">
        <v>1.98</v>
      </c>
      <c r="O219" s="4">
        <v>1.89</v>
      </c>
      <c r="P219" s="4">
        <v>1.89</v>
      </c>
      <c r="Q219" s="4">
        <v>1.8</v>
      </c>
      <c r="R219" s="4">
        <v>0.09</v>
      </c>
      <c r="S219" s="4">
        <v>2.7</v>
      </c>
      <c r="T219" s="4">
        <v>44.37</v>
      </c>
      <c r="U219" s="4">
        <v>5.67</v>
      </c>
      <c r="V219" s="4">
        <v>8.19</v>
      </c>
      <c r="W219" s="4">
        <v>12.87</v>
      </c>
      <c r="X219" s="4">
        <v>4.1400000000000006</v>
      </c>
      <c r="Y219" s="4">
        <v>2.79</v>
      </c>
      <c r="Z219" s="4">
        <v>2.25</v>
      </c>
      <c r="AA219" s="4">
        <v>3.51</v>
      </c>
      <c r="AB219" s="4">
        <v>2.61</v>
      </c>
      <c r="AC219" s="4">
        <v>2.52</v>
      </c>
      <c r="AD219" s="4">
        <v>3.87</v>
      </c>
      <c r="AE219" s="4">
        <v>0.54</v>
      </c>
      <c r="AF219" s="4">
        <v>3.42</v>
      </c>
      <c r="AG219" s="4">
        <v>93.42</v>
      </c>
      <c r="AH219" s="6">
        <f>Datos_originales!$H15/Datos_originales!$E15</f>
        <v>5.1440606783325325E-4</v>
      </c>
      <c r="AI219" s="6">
        <f>Datos_originales!$I15/Datos_originales!$E15</f>
        <v>1.1906881709986491E-3</v>
      </c>
      <c r="AJ219" s="6">
        <f>Datos_originales!$J15/Datos_originales!$E15</f>
        <v>1.0557914748885303E-3</v>
      </c>
      <c r="AK219" s="6">
        <f>Datos_originales!$K15/Datos_originales!$E15</f>
        <v>5.8635097242531672E-4</v>
      </c>
      <c r="AL219" s="6">
        <f>Datos_originales!$L15/Datos_originales!$E15</f>
        <v>7.0326144238741961E-4</v>
      </c>
      <c r="AM219" s="6">
        <f>Datos_originales!$M15/Datos_originales!$E15</f>
        <v>6.0613582118813404E-4</v>
      </c>
      <c r="AN219" s="6">
        <f>Datos_originales!$N15/Datos_originales!$E15</f>
        <v>1.1798964353098398E-3</v>
      </c>
      <c r="AO219" s="6">
        <f>Datos_originales!$O15/Datos_originales!$E15</f>
        <v>8.6873472294916551E-4</v>
      </c>
      <c r="AP219" s="6">
        <f>Datos_originales!$P15/Datos_originales!$E15</f>
        <v>1.1762991900802365E-3</v>
      </c>
      <c r="AQ219" s="6">
        <f>Datos_originales!$Q15/Datos_originales!$E15</f>
        <v>7.4462976252785609E-4</v>
      </c>
      <c r="AR219" s="6">
        <f>Datos_originales!$R15/Datos_originales!$E15</f>
        <v>7.9139395051269735E-4</v>
      </c>
      <c r="AS219" s="6">
        <f>Datos_originales!$S15/Datos_originales!$E15</f>
        <v>6.1764700592286427E-3</v>
      </c>
      <c r="AT219" s="6">
        <f>Datos_originales!$T15/Datos_originales!$E15</f>
        <v>1.6655245413062676E-3</v>
      </c>
      <c r="AU219" s="6">
        <f>Datos_originales!$U15/Datos_originales!$E15</f>
        <v>1.1151460211769825E-3</v>
      </c>
      <c r="AV219" s="6">
        <f>Datos_originales!$V15/Datos_originales!$E15</f>
        <v>1.7806363886535689E-3</v>
      </c>
      <c r="AW219" s="6">
        <f>Datos_originales!$W15/Datos_originales!$E15</f>
        <v>8.8762026040458217E-3</v>
      </c>
      <c r="AX219" s="6">
        <f>Datos_originales!$X15/Datos_originales!$E15</f>
        <v>9.2629064662281624E-4</v>
      </c>
      <c r="AY219" s="6">
        <f>Datos_originales!$Y15/Datos_originales!$E15</f>
        <v>1.0162217773628955E-3</v>
      </c>
      <c r="AZ219" s="6">
        <f>Datos_originales!$Z15/Datos_originales!$E15</f>
        <v>8.3096364803833219E-4</v>
      </c>
      <c r="BA219" s="6">
        <f>Datos_originales!$AA15/Datos_originales!$E15</f>
        <v>1.4622801858336885E-3</v>
      </c>
      <c r="BB219" s="6">
        <f>Datos_originales!$AB15/Datos_originales!$E15</f>
        <v>1.9065399716896797E-3</v>
      </c>
      <c r="BC219" s="6">
        <f>Datos_originales!$AC15/Datos_originales!$E15</f>
        <v>1.537822335655355E-3</v>
      </c>
      <c r="BD219" s="6">
        <f>Datos_originales!$AD15/Datos_originales!$E15</f>
        <v>1.6835107674542833E-3</v>
      </c>
      <c r="BE219" s="6">
        <f>Datos_originales!$AE15/Datos_originales!$E15</f>
        <v>2.0144573285777751E-3</v>
      </c>
      <c r="BF219" s="6">
        <f>Datos_originales!$AF15/Datos_originales!$E15</f>
        <v>7.3006091934796329E-3</v>
      </c>
      <c r="BG219" s="6">
        <f>Datos_originales!$AG15/Datos_originales!$E15</f>
        <v>1.820206086179204E-3</v>
      </c>
    </row>
    <row r="220" spans="1:59" ht="15.75" customHeight="1">
      <c r="A220" s="2">
        <v>50602</v>
      </c>
      <c r="B220" s="3" t="s">
        <v>58</v>
      </c>
      <c r="C220" s="4" t="s">
        <v>74</v>
      </c>
      <c r="D220" s="4" t="str">
        <f>IF(Table_1[[#This Row],[Forest cover 2011]]&lt;1000,"Bosque menor a 1000 ha",Table_1[[#This Row],[Forest cover 2011]])</f>
        <v>Bosque menor a 1000 ha</v>
      </c>
      <c r="E220" s="4">
        <v>100.44</v>
      </c>
      <c r="F220" s="5">
        <f>AVERAGE(Datos_originales!$H14:$J14)</f>
        <v>1.26</v>
      </c>
      <c r="G220" s="5">
        <f>AVERAGE(Datos_originales!$R14:$T14)</f>
        <v>15.57</v>
      </c>
      <c r="H220" s="4">
        <v>0.89999999999999991</v>
      </c>
      <c r="I220" s="4">
        <v>1.26</v>
      </c>
      <c r="J220" s="4">
        <v>0.45</v>
      </c>
      <c r="K220" s="4">
        <v>0.27</v>
      </c>
      <c r="L220" s="4">
        <v>0.72</v>
      </c>
      <c r="M220" s="4">
        <v>0.27</v>
      </c>
      <c r="N220" s="4">
        <v>0.36</v>
      </c>
      <c r="O220" s="4">
        <v>0.81</v>
      </c>
      <c r="P220" s="4">
        <v>0.36</v>
      </c>
      <c r="Q220" s="4">
        <v>0.63</v>
      </c>
      <c r="R220" s="4">
        <v>0</v>
      </c>
      <c r="S220" s="4">
        <v>0.18</v>
      </c>
      <c r="T220" s="4">
        <v>14.04</v>
      </c>
      <c r="U220" s="4">
        <v>2.25</v>
      </c>
      <c r="V220" s="4">
        <v>1.53</v>
      </c>
      <c r="W220" s="4">
        <v>1.98</v>
      </c>
      <c r="X220" s="4">
        <v>0.63</v>
      </c>
      <c r="Y220" s="4">
        <v>0.99</v>
      </c>
      <c r="Z220" s="4">
        <v>0.63</v>
      </c>
      <c r="AA220" s="4">
        <v>1.17</v>
      </c>
      <c r="AB220" s="4">
        <v>1.26</v>
      </c>
      <c r="AC220" s="4">
        <v>0.45</v>
      </c>
      <c r="AD220" s="4">
        <v>1.26</v>
      </c>
      <c r="AE220" s="4">
        <v>0</v>
      </c>
      <c r="AF220" s="4">
        <v>0.72</v>
      </c>
      <c r="AG220" s="4">
        <v>38.340000000000003</v>
      </c>
      <c r="AH220" s="6">
        <f>Datos_originales!$H14/Datos_originales!$E14</f>
        <v>1.4232070328322913E-4</v>
      </c>
      <c r="AI220" s="6">
        <f>Datos_originales!$I14/Datos_originales!$E14</f>
        <v>6.5686478438413447E-5</v>
      </c>
      <c r="AJ220" s="6">
        <f>Datos_originales!$J14/Datos_originales!$E14</f>
        <v>2.5179816734725153E-4</v>
      </c>
      <c r="AK220" s="6">
        <f>Datos_originales!$K14/Datos_originales!$E14</f>
        <v>6.5686478438413447E-5</v>
      </c>
      <c r="AL220" s="6">
        <f>Datos_originales!$L14/Datos_originales!$E14</f>
        <v>2.189549281280448E-5</v>
      </c>
      <c r="AM220" s="6">
        <f>Datos_originales!$M14/Datos_originales!$E14</f>
        <v>1.6421619609603363E-4</v>
      </c>
      <c r="AN220" s="6">
        <f>Datos_originales!$N14/Datos_originales!$E14</f>
        <v>1.094774640640224E-5</v>
      </c>
      <c r="AO220" s="6">
        <f>Datos_originales!$O14/Datos_originales!$E14</f>
        <v>7.6634224844815684E-5</v>
      </c>
      <c r="AP220" s="6">
        <f>Datos_originales!$P14/Datos_originales!$E14</f>
        <v>1.861116889088381E-4</v>
      </c>
      <c r="AQ220" s="6">
        <f>Datos_originales!$Q14/Datos_originales!$E14</f>
        <v>1.4232070328322913E-4</v>
      </c>
      <c r="AR220" s="6">
        <f>Datos_originales!$R14/Datos_originales!$E14</f>
        <v>3.2843239219206724E-5</v>
      </c>
      <c r="AS220" s="6">
        <f>Datos_originales!$S14/Datos_originales!$E14</f>
        <v>4.2586733520904715E-3</v>
      </c>
      <c r="AT220" s="6">
        <f>Datos_originales!$T14/Datos_originales!$E14</f>
        <v>1.3903637936130847E-3</v>
      </c>
      <c r="AU220" s="6">
        <f>Datos_originales!$U14/Datos_originales!$E14</f>
        <v>4.3790985625608963E-4</v>
      </c>
      <c r="AV220" s="6">
        <f>Datos_originales!$V14/Datos_originales!$E14</f>
        <v>4.8170084188169858E-4</v>
      </c>
      <c r="AW220" s="6">
        <f>Datos_originales!$W14/Datos_originales!$E14</f>
        <v>9.6559123304467767E-3</v>
      </c>
      <c r="AX220" s="6">
        <f>Datos_originales!$X14/Datos_originales!$E14</f>
        <v>3.3938013859846947E-4</v>
      </c>
      <c r="AY220" s="6">
        <f>Datos_originales!$Y14/Datos_originales!$E14</f>
        <v>2.1895492812804482E-4</v>
      </c>
      <c r="AZ220" s="6">
        <f>Datos_originales!$Z14/Datos_originales!$E14</f>
        <v>4.3790985625608963E-4</v>
      </c>
      <c r="BA220" s="6">
        <f>Datos_originales!$AA14/Datos_originales!$E14</f>
        <v>7.5539450204175458E-4</v>
      </c>
      <c r="BB220" s="6">
        <f>Datos_originales!$AB14/Datos_originales!$E14</f>
        <v>1.3246773151746713E-3</v>
      </c>
      <c r="BC220" s="6">
        <f>Datos_originales!$AC14/Datos_originales!$E14</f>
        <v>3.9411887063048063E-3</v>
      </c>
      <c r="BD220" s="6">
        <f>Datos_originales!$AD14/Datos_originales!$E14</f>
        <v>1.4232070328322913E-4</v>
      </c>
      <c r="BE220" s="6">
        <f>Datos_originales!$AE14/Datos_originales!$E14</f>
        <v>1.773534917837163E-3</v>
      </c>
      <c r="BF220" s="6">
        <f>Datos_originales!$AF14/Datos_originales!$E14</f>
        <v>9.1632637421586779E-3</v>
      </c>
      <c r="BG220" s="6">
        <f>Datos_originales!$AG14/Datos_originales!$E14</f>
        <v>1.5436322433027159E-3</v>
      </c>
    </row>
    <row r="221" spans="1:59" ht="15.75" customHeight="1">
      <c r="A221" s="2">
        <v>50701</v>
      </c>
      <c r="B221" s="3" t="s">
        <v>58</v>
      </c>
      <c r="C221" s="4" t="s">
        <v>388</v>
      </c>
      <c r="D221" s="4" t="str">
        <f>IF(Table_1[[#This Row],[Forest cover 2011]]&lt;1000,"Bosque menor a 1000 ha",Table_1[[#This Row],[Forest cover 2011]])</f>
        <v>Bosque menor a 1000 ha</v>
      </c>
      <c r="E221" s="4">
        <v>40.229999999999997</v>
      </c>
      <c r="F221" s="5">
        <f>AVERAGE(Datos_originales!$H336:$J336)</f>
        <v>1225.05</v>
      </c>
      <c r="G221" s="5">
        <f>AVERAGE(Datos_originales!$R336:$T336)</f>
        <v>1494.0900000000001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0.18</v>
      </c>
      <c r="V221" s="4">
        <v>0</v>
      </c>
      <c r="W221" s="4">
        <v>1.08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0.09</v>
      </c>
      <c r="AD221" s="4">
        <v>0</v>
      </c>
      <c r="AE221" s="4">
        <v>0</v>
      </c>
      <c r="AF221" s="4">
        <v>0.27</v>
      </c>
      <c r="AG221" s="4">
        <v>0</v>
      </c>
      <c r="AH221" s="6">
        <f>Datos_originales!$H336/Datos_originales!$E336</f>
        <v>1.0810972311330843E-3</v>
      </c>
      <c r="AI221" s="6">
        <f>Datos_originales!$I336/Datos_originales!$E336</f>
        <v>1.0161527720119259E-3</v>
      </c>
      <c r="AJ221" s="6">
        <f>Datos_originales!$J336/Datos_originales!$E336</f>
        <v>1.1134122101873168E-3</v>
      </c>
      <c r="AK221" s="6">
        <f>Datos_originales!$K336/Datos_originales!$E336</f>
        <v>9.0120265187253906E-4</v>
      </c>
      <c r="AL221" s="6">
        <f>Datos_originales!$L336/Datos_originales!$E336</f>
        <v>1.314692858311004E-3</v>
      </c>
      <c r="AM221" s="6">
        <f>Datos_originales!$M336/Datos_originales!$E336</f>
        <v>1.3162653633744703E-3</v>
      </c>
      <c r="AN221" s="6">
        <f>Datos_originales!$N336/Datos_originales!$E336</f>
        <v>1.0791315998037515E-3</v>
      </c>
      <c r="AO221" s="6">
        <f>Datos_originales!$O336/Datos_originales!$E336</f>
        <v>9.0151715288523237E-4</v>
      </c>
      <c r="AP221" s="6">
        <f>Datos_originales!$P336/Datos_originales!$E336</f>
        <v>1.5030789649142671E-3</v>
      </c>
      <c r="AQ221" s="6">
        <f>Datos_originales!$Q336/Datos_originales!$E336</f>
        <v>1.7029443584808345E-3</v>
      </c>
      <c r="AR221" s="6">
        <f>Datos_originales!$R336/Datos_originales!$E336</f>
        <v>3.4752361902605332E-4</v>
      </c>
      <c r="AS221" s="6">
        <f>Datos_originales!$S336/Datos_originales!$E336</f>
        <v>1.4518152998452656E-3</v>
      </c>
      <c r="AT221" s="6">
        <f>Datos_originales!$T336/Datos_originales!$E336</f>
        <v>2.1164345649192992E-3</v>
      </c>
      <c r="AU221" s="6">
        <f>Datos_originales!$U336/Datos_originales!$E336</f>
        <v>2.0731906756739759E-3</v>
      </c>
      <c r="AV221" s="6">
        <f>Datos_originales!$V336/Datos_originales!$E336</f>
        <v>1.5127498710545849E-3</v>
      </c>
      <c r="AW221" s="6">
        <f>Datos_originales!$W336/Datos_originales!$E336</f>
        <v>1.6944528311381164E-3</v>
      </c>
      <c r="AX221" s="6">
        <f>Datos_originales!$X336/Datos_originales!$E336</f>
        <v>1.4475695361739066E-3</v>
      </c>
      <c r="AY221" s="6">
        <f>Datos_originales!$Y336/Datos_originales!$E336</f>
        <v>1.5577235158697211E-3</v>
      </c>
      <c r="AZ221" s="6">
        <f>Datos_originales!$Z336/Datos_originales!$E336</f>
        <v>1.5033934659269604E-3</v>
      </c>
      <c r="BA221" s="6">
        <f>Datos_originales!$AA336/Datos_originales!$E336</f>
        <v>1.2885106490042901E-3</v>
      </c>
      <c r="BB221" s="6">
        <f>Datos_originales!$AB336/Datos_originales!$E336</f>
        <v>1.0482318753066387E-3</v>
      </c>
      <c r="BC221" s="6">
        <f>Datos_originales!$AC336/Datos_originales!$E336</f>
        <v>1.7712697034884455E-3</v>
      </c>
      <c r="BD221" s="6">
        <f>Datos_originales!$AD336/Datos_originales!$E336</f>
        <v>1.8598017385615985E-3</v>
      </c>
      <c r="BE221" s="6">
        <f>Datos_originales!$AE336/Datos_originales!$E336</f>
        <v>5.2246480733667965E-4</v>
      </c>
      <c r="BF221" s="6">
        <f>Datos_originales!$AF336/Datos_originales!$E336</f>
        <v>1.7608125448163943E-3</v>
      </c>
      <c r="BG221" s="6">
        <f>Datos_originales!$AG336/Datos_originales!$E336</f>
        <v>2.4439087443861572E-3</v>
      </c>
    </row>
    <row r="222" spans="1:59" ht="15.75" customHeight="1">
      <c r="A222" s="2">
        <v>50702</v>
      </c>
      <c r="B222" s="3" t="s">
        <v>58</v>
      </c>
      <c r="C222" s="4" t="s">
        <v>373</v>
      </c>
      <c r="D222" s="4" t="str">
        <f>IF(Table_1[[#This Row],[Forest cover 2011]]&lt;1000,"Bosque menor a 1000 ha",Table_1[[#This Row],[Forest cover 2011]])</f>
        <v>Bosque menor a 1000 ha</v>
      </c>
      <c r="E222" s="4">
        <v>1.17</v>
      </c>
      <c r="F222" s="5">
        <f>AVERAGE(Datos_originales!$H321:$J321)</f>
        <v>46.71</v>
      </c>
      <c r="G222" s="5">
        <f>AVERAGE(Datos_originales!$R321:$T321)</f>
        <v>190.04999999999998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6">
        <f>Datos_originales!$H321/Datos_originales!$E321</f>
        <v>2.818666357587638E-4</v>
      </c>
      <c r="AI222" s="6">
        <f>Datos_originales!$I321/Datos_originales!$E321</f>
        <v>1.2564734418805441E-4</v>
      </c>
      <c r="AJ222" s="6">
        <f>Datos_originales!$J321/Datos_originales!$E321</f>
        <v>1.1556868021575059E-4</v>
      </c>
      <c r="AK222" s="6">
        <f>Datos_originales!$K321/Datos_originales!$E321</f>
        <v>5.5096696381927603E-5</v>
      </c>
      <c r="AL222" s="6">
        <f>Datos_originales!$L321/Datos_originales!$E321</f>
        <v>7.2902336066331042E-5</v>
      </c>
      <c r="AM222" s="6">
        <f>Datos_originales!$M321/Datos_originales!$E321</f>
        <v>8.3652910970121797E-5</v>
      </c>
      <c r="AN222" s="6">
        <f>Datos_originales!$N321/Datos_originales!$E321</f>
        <v>1.0683383810642061E-4</v>
      </c>
      <c r="AO222" s="6">
        <f>Datos_originales!$O321/Datos_originales!$E321</f>
        <v>6.8198959545922591E-5</v>
      </c>
      <c r="AP222" s="6">
        <f>Datos_originales!$P321/Datos_originales!$E321</f>
        <v>1.5823502436517015E-4</v>
      </c>
      <c r="AQ222" s="6">
        <f>Datos_originales!$Q321/Datos_originales!$E321</f>
        <v>4.9452644557437461E-4</v>
      </c>
      <c r="AR222" s="6">
        <f>Datos_originales!$R321/Datos_originales!$E321</f>
        <v>1.1859227940744174E-4</v>
      </c>
      <c r="AS222" s="6">
        <f>Datos_originales!$S321/Datos_originales!$E321</f>
        <v>7.2465593960864539E-4</v>
      </c>
      <c r="AT222" s="6">
        <f>Datos_originales!$T321/Datos_originales!$E321</f>
        <v>1.2850296564687383E-3</v>
      </c>
      <c r="AU222" s="6">
        <f>Datos_originales!$U321/Datos_originales!$E321</f>
        <v>3.0412032580961066E-2</v>
      </c>
      <c r="AV222" s="6">
        <f>Datos_originales!$V321/Datos_originales!$E321</f>
        <v>9.3970103323103484E-3</v>
      </c>
      <c r="AW222" s="6">
        <f>Datos_originales!$W321/Datos_originales!$E321</f>
        <v>1.1919699924577996E-2</v>
      </c>
      <c r="AX222" s="6">
        <f>Datos_originales!$X321/Datos_originales!$E321</f>
        <v>6.0945681040521262E-3</v>
      </c>
      <c r="AY222" s="6">
        <f>Datos_originales!$Y321/Datos_originales!$E321</f>
        <v>2.8489023495045498E-3</v>
      </c>
      <c r="AZ222" s="6">
        <f>Datos_originales!$Z321/Datos_originales!$E321</f>
        <v>2.852261904161984E-3</v>
      </c>
      <c r="BA222" s="6">
        <f>Datos_originales!$AA321/Datos_originales!$E321</f>
        <v>4.6133404555892075E-3</v>
      </c>
      <c r="BB222" s="6">
        <f>Datos_originales!$AB321/Datos_originales!$E321</f>
        <v>5.7253530472000623E-3</v>
      </c>
      <c r="BC222" s="6">
        <f>Datos_originales!$AC321/Datos_originales!$E321</f>
        <v>4.6254348523559708E-3</v>
      </c>
      <c r="BD222" s="6">
        <f>Datos_originales!$AD321/Datos_originales!$E321</f>
        <v>2.4521389444615224E-3</v>
      </c>
      <c r="BE222" s="6">
        <f>Datos_originales!$AE321/Datos_originales!$E321</f>
        <v>2.0170766163237399E-3</v>
      </c>
      <c r="BF222" s="6">
        <f>Datos_originales!$AF321/Datos_originales!$E321</f>
        <v>4.9533273869215898E-3</v>
      </c>
      <c r="BG222" s="6">
        <f>Datos_originales!$AG321/Datos_originales!$E321</f>
        <v>3.8761197815617557E-2</v>
      </c>
    </row>
    <row r="223" spans="1:59" ht="15.75" customHeight="1">
      <c r="A223" s="2">
        <v>50801</v>
      </c>
      <c r="B223" s="3" t="s">
        <v>58</v>
      </c>
      <c r="C223" s="4" t="s">
        <v>67</v>
      </c>
      <c r="D223" s="4" t="str">
        <f>IF(Table_1[[#This Row],[Forest cover 2011]]&lt;1000,"Bosque menor a 1000 ha",Table_1[[#This Row],[Forest cover 2011]])</f>
        <v>Bosque menor a 1000 ha</v>
      </c>
      <c r="E223" s="4">
        <v>47.97</v>
      </c>
      <c r="F223" s="5">
        <f>AVERAGE(Datos_originales!$H8:$J8)</f>
        <v>0.35999999999999993</v>
      </c>
      <c r="G223" s="5">
        <f>AVERAGE(Datos_originales!$R8:$T8)</f>
        <v>5.43</v>
      </c>
      <c r="H223" s="4">
        <v>1.26</v>
      </c>
      <c r="I223" s="4">
        <v>2.4300000000000002</v>
      </c>
      <c r="J223" s="4">
        <v>2.25</v>
      </c>
      <c r="K223" s="4">
        <v>0.9</v>
      </c>
      <c r="L223" s="4">
        <v>0.89999999999999991</v>
      </c>
      <c r="M223" s="4">
        <v>0.54</v>
      </c>
      <c r="N223" s="4">
        <v>0.18</v>
      </c>
      <c r="O223" s="4">
        <v>0.18</v>
      </c>
      <c r="P223" s="4">
        <v>0</v>
      </c>
      <c r="Q223" s="4">
        <v>0.27</v>
      </c>
      <c r="R223" s="4">
        <v>0</v>
      </c>
      <c r="S223" s="4">
        <v>0.54</v>
      </c>
      <c r="T223" s="4">
        <v>10.26</v>
      </c>
      <c r="U223" s="4">
        <v>4.5</v>
      </c>
      <c r="V223" s="4">
        <v>3.78</v>
      </c>
      <c r="W223" s="4">
        <v>3.15</v>
      </c>
      <c r="X223" s="4">
        <v>0.99</v>
      </c>
      <c r="Y223" s="4">
        <v>1.17</v>
      </c>
      <c r="Z223" s="4">
        <v>0.99</v>
      </c>
      <c r="AA223" s="4">
        <v>0.18</v>
      </c>
      <c r="AB223" s="4">
        <v>0.18</v>
      </c>
      <c r="AC223" s="4">
        <v>0</v>
      </c>
      <c r="AD223" s="4">
        <v>0.45</v>
      </c>
      <c r="AE223" s="4">
        <v>0</v>
      </c>
      <c r="AF223" s="4">
        <v>0.63</v>
      </c>
      <c r="AG223" s="4">
        <v>26.55</v>
      </c>
      <c r="AH223" s="6">
        <f>Datos_originales!$H8/Datos_originales!$E8</f>
        <v>1.6297793278790048E-5</v>
      </c>
      <c r="AI223" s="6">
        <f>Datos_originales!$I8/Datos_originales!$E8</f>
        <v>2.7162988797983421E-6</v>
      </c>
      <c r="AJ223" s="6">
        <f>Datos_originales!$J8/Datos_originales!$E8</f>
        <v>1.3581494398991711E-5</v>
      </c>
      <c r="AK223" s="6">
        <f>Datos_originales!$K8/Datos_originales!$E8</f>
        <v>0</v>
      </c>
      <c r="AL223" s="6">
        <f>Datos_originales!$L8/Datos_originales!$E8</f>
        <v>0</v>
      </c>
      <c r="AM223" s="6">
        <f>Datos_originales!$M8/Datos_originales!$E8</f>
        <v>0</v>
      </c>
      <c r="AN223" s="6">
        <f>Datos_originales!$N8/Datos_originales!$E8</f>
        <v>0</v>
      </c>
      <c r="AO223" s="6">
        <f>Datos_originales!$O8/Datos_originales!$E8</f>
        <v>0</v>
      </c>
      <c r="AP223" s="6">
        <f>Datos_originales!$P8/Datos_originales!$E8</f>
        <v>0</v>
      </c>
      <c r="AQ223" s="6">
        <f>Datos_originales!$Q8/Datos_originales!$E8</f>
        <v>0</v>
      </c>
      <c r="AR223" s="6">
        <f>Datos_originales!$R8/Datos_originales!$E8</f>
        <v>0</v>
      </c>
      <c r="AS223" s="6">
        <f>Datos_originales!$S8/Datos_originales!$E8</f>
        <v>4.3189152188793641E-4</v>
      </c>
      <c r="AT223" s="6">
        <f>Datos_originales!$T8/Datos_originales!$E8</f>
        <v>5.9758575355563525E-5</v>
      </c>
      <c r="AU223" s="6">
        <f>Datos_originales!$U8/Datos_originales!$E8</f>
        <v>1.8525158360224692E-3</v>
      </c>
      <c r="AV223" s="6">
        <f>Datos_originales!$V8/Datos_originales!$E8</f>
        <v>7.7142888186272911E-4</v>
      </c>
      <c r="AW223" s="6">
        <f>Datos_originales!$W8/Datos_originales!$E8</f>
        <v>9.6428610232841133E-3</v>
      </c>
      <c r="AX223" s="6">
        <f>Datos_originales!$X8/Datos_originales!$E8</f>
        <v>3.5855145213338117E-4</v>
      </c>
      <c r="AY223" s="6">
        <f>Datos_originales!$Y8/Datos_originales!$E8</f>
        <v>5.2696198268087835E-4</v>
      </c>
      <c r="AZ223" s="6">
        <f>Datos_originales!$Z8/Datos_originales!$E8</f>
        <v>3.1509067005660766E-4</v>
      </c>
      <c r="BA223" s="6">
        <f>Datos_originales!$AA8/Datos_originales!$E8</f>
        <v>1.5510066603648533E-3</v>
      </c>
      <c r="BB223" s="6">
        <f>Datos_originales!$AB8/Datos_originales!$E8</f>
        <v>1.9584514923346045E-3</v>
      </c>
      <c r="BC223" s="6">
        <f>Datos_originales!$AC8/Datos_originales!$E8</f>
        <v>1.2383606593000642E-2</v>
      </c>
      <c r="BD223" s="6">
        <f>Datos_originales!$AD8/Datos_originales!$E8</f>
        <v>2.7162988797983421E-6</v>
      </c>
      <c r="BE223" s="6">
        <f>Datos_originales!$AE8/Datos_originales!$E8</f>
        <v>1.3581494398991711E-5</v>
      </c>
      <c r="BF223" s="6">
        <f>Datos_originales!$AF8/Datos_originales!$E8</f>
        <v>1.5944674424416268E-3</v>
      </c>
      <c r="BG223" s="6">
        <f>Datos_originales!$AG8/Datos_originales!$E8</f>
        <v>9.5070460792941967E-5</v>
      </c>
    </row>
    <row r="224" spans="1:59" ht="15.75" customHeight="1">
      <c r="A224" s="2">
        <v>50802</v>
      </c>
      <c r="B224" s="3" t="s">
        <v>58</v>
      </c>
      <c r="C224" s="4" t="s">
        <v>369</v>
      </c>
      <c r="D224" s="4" t="str">
        <f>IF(Table_1[[#This Row],[Forest cover 2011]]&lt;1000,"Bosque menor a 1000 ha",Table_1[[#This Row],[Forest cover 2011]])</f>
        <v>Bosque menor a 1000 ha</v>
      </c>
      <c r="E224" s="4">
        <v>0.36</v>
      </c>
      <c r="F224" s="5">
        <f>AVERAGE(Datos_originales!$H317:$J317)</f>
        <v>1503.6299999999999</v>
      </c>
      <c r="G224" s="5">
        <f>AVERAGE(Datos_originales!$R317:$T317)</f>
        <v>1301.28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0.36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6">
        <f>Datos_originales!$H317/Datos_originales!$E317</f>
        <v>4.3084772247559949E-3</v>
      </c>
      <c r="AI224" s="6">
        <f>Datos_originales!$I317/Datos_originales!$E317</f>
        <v>6.7250352804425406E-3</v>
      </c>
      <c r="AJ224" s="6">
        <f>Datos_originales!$J317/Datos_originales!$E317</f>
        <v>1.0770323013985148E-2</v>
      </c>
      <c r="AK224" s="6">
        <f>Datos_originales!$K317/Datos_originales!$E317</f>
        <v>5.2659649440298184E-3</v>
      </c>
      <c r="AL224" s="6">
        <f>Datos_originales!$L317/Datos_originales!$E317</f>
        <v>6.2043116093972129E-3</v>
      </c>
      <c r="AM224" s="6">
        <f>Datos_originales!$M317/Datos_originales!$E317</f>
        <v>5.7127345431639467E-3</v>
      </c>
      <c r="AN224" s="6">
        <f>Datos_originales!$N317/Datos_originales!$E317</f>
        <v>8.0122711556498295E-3</v>
      </c>
      <c r="AO224" s="6">
        <f>Datos_originales!$O317/Datos_originales!$E317</f>
        <v>1.0909095654806753E-2</v>
      </c>
      <c r="AP224" s="6">
        <f>Datos_originales!$P317/Datos_originales!$E317</f>
        <v>1.0534975055726569E-2</v>
      </c>
      <c r="AQ224" s="6">
        <f>Datos_originales!$Q317/Datos_originales!$E317</f>
        <v>8.0048757484587098E-3</v>
      </c>
      <c r="AR224" s="6">
        <f>Datos_originales!$R317/Datos_originales!$E317</f>
        <v>3.2196122718516885E-3</v>
      </c>
      <c r="AS224" s="6">
        <f>Datos_originales!$S317/Datos_originales!$E317</f>
        <v>9.5831426478341884E-3</v>
      </c>
      <c r="AT224" s="6">
        <f>Datos_originales!$T317/Datos_originales!$E317</f>
        <v>6.0668440404328663E-3</v>
      </c>
      <c r="AU224" s="6">
        <f>Datos_originales!$U317/Datos_originales!$E317</f>
        <v>9.0184815575945609E-3</v>
      </c>
      <c r="AV224" s="6">
        <f>Datos_originales!$V317/Datos_originales!$E317</f>
        <v>1.1405457984516627E-2</v>
      </c>
      <c r="AW224" s="6">
        <f>Datos_originales!$W317/Datos_originales!$E317</f>
        <v>3.3307173892994549E-2</v>
      </c>
      <c r="AX224" s="6">
        <f>Datos_originales!$X317/Datos_originales!$E317</f>
        <v>1.7104271761203171E-2</v>
      </c>
      <c r="AY224" s="6">
        <f>Datos_originales!$Y317/Datos_originales!$E317</f>
        <v>9.2455640607571853E-3</v>
      </c>
      <c r="AZ224" s="6">
        <f>Datos_originales!$Z317/Datos_originales!$E317</f>
        <v>7.8560975567314728E-3</v>
      </c>
      <c r="BA224" s="6">
        <f>Datos_originales!$AA317/Datos_originales!$E317</f>
        <v>1.0009031097252213E-2</v>
      </c>
      <c r="BB224" s="6">
        <f>Datos_originales!$AB317/Datos_originales!$E317</f>
        <v>1.2778828602302842E-2</v>
      </c>
      <c r="BC224" s="6">
        <f>Datos_originales!$AC317/Datos_originales!$E317</f>
        <v>1.2002745871187668E-2</v>
      </c>
      <c r="BD224" s="6">
        <f>Datos_originales!$AD317/Datos_originales!$E317</f>
        <v>1.1379791571323917E-2</v>
      </c>
      <c r="BE224" s="6">
        <f>Datos_originales!$AE317/Datos_originales!$E317</f>
        <v>3.7429460866115287E-3</v>
      </c>
      <c r="BF224" s="6">
        <f>Datos_originales!$AF317/Datos_originales!$E317</f>
        <v>1.055672625334751E-2</v>
      </c>
      <c r="BG224" s="6">
        <f>Datos_originales!$AG317/Datos_originales!$E317</f>
        <v>1.1729115805116229E-2</v>
      </c>
    </row>
    <row r="225" spans="1:59" ht="15.75" customHeight="1">
      <c r="A225" s="2">
        <v>50901</v>
      </c>
      <c r="B225" s="3" t="s">
        <v>58</v>
      </c>
      <c r="C225" s="4" t="s">
        <v>359</v>
      </c>
      <c r="D225" s="4" t="str">
        <f>IF(Table_1[[#This Row],[Forest cover 2011]]&lt;1000,"Bosque menor a 1000 ha",Table_1[[#This Row],[Forest cover 2011]])</f>
        <v>Bosque menor a 1000 ha</v>
      </c>
      <c r="E225" s="4">
        <v>0</v>
      </c>
      <c r="F225" s="5">
        <f>AVERAGE(Datos_originales!$H307:$J307)</f>
        <v>7006.3500000000013</v>
      </c>
      <c r="G225" s="5">
        <f>AVERAGE(Datos_originales!$R307:$T307)</f>
        <v>15127.35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</row>
    <row r="226" spans="1:59" ht="15.75" customHeight="1">
      <c r="A226" s="2">
        <v>50902</v>
      </c>
      <c r="B226" s="3" t="s">
        <v>58</v>
      </c>
      <c r="C226" s="4" t="s">
        <v>360</v>
      </c>
      <c r="D226" s="4" t="str">
        <f>IF(Table_1[[#This Row],[Forest cover 2011]]&lt;1000,"Bosque menor a 1000 ha",Table_1[[#This Row],[Forest cover 2011]])</f>
        <v>Bosque menor a 1000 ha</v>
      </c>
      <c r="E226" s="4">
        <v>0</v>
      </c>
      <c r="F226" s="5">
        <f>AVERAGE(Datos_originales!$H308:$J308)</f>
        <v>337.05</v>
      </c>
      <c r="G226" s="5">
        <f>AVERAGE(Datos_originales!$R308:$T308)</f>
        <v>2623.44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6">
        <v>0</v>
      </c>
      <c r="BF226" s="6">
        <v>0</v>
      </c>
      <c r="BG226" s="6">
        <v>0</v>
      </c>
    </row>
    <row r="227" spans="1:59" ht="15.75" customHeight="1">
      <c r="A227" s="2">
        <v>51001</v>
      </c>
      <c r="B227" s="3" t="s">
        <v>58</v>
      </c>
      <c r="C227" s="4" t="s">
        <v>361</v>
      </c>
      <c r="D227" s="4" t="str">
        <f>IF(Table_1[[#This Row],[Forest cover 2011]]&lt;1000,"Bosque menor a 1000 ha",Table_1[[#This Row],[Forest cover 2011]])</f>
        <v>Bosque menor a 1000 ha</v>
      </c>
      <c r="E227" s="4">
        <v>0</v>
      </c>
      <c r="F227" s="5">
        <f>AVERAGE(Datos_originales!$H309:$J309)</f>
        <v>11598.54</v>
      </c>
      <c r="G227" s="5">
        <f>AVERAGE(Datos_originales!$R309:$T309)</f>
        <v>14565.57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6">
        <v>0</v>
      </c>
    </row>
    <row r="228" spans="1:59" ht="15.75" customHeight="1">
      <c r="A228" s="2">
        <v>51002</v>
      </c>
      <c r="B228" s="3" t="s">
        <v>58</v>
      </c>
      <c r="C228" s="4" t="s">
        <v>362</v>
      </c>
      <c r="D228" s="4" t="str">
        <f>IF(Table_1[[#This Row],[Forest cover 2011]]&lt;1000,"Bosque menor a 1000 ha",Table_1[[#This Row],[Forest cover 2011]])</f>
        <v>Bosque menor a 1000 ha</v>
      </c>
      <c r="E228" s="4">
        <v>0</v>
      </c>
      <c r="F228" s="5">
        <f>AVERAGE(Datos_originales!$H310:$J310)</f>
        <v>86.43</v>
      </c>
      <c r="G228" s="5">
        <f>AVERAGE(Datos_originales!$R310:$T310)</f>
        <v>173.91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</row>
    <row r="229" spans="1:59" ht="15.75" customHeight="1">
      <c r="A229" s="2">
        <v>51003</v>
      </c>
      <c r="B229" s="3" t="s">
        <v>58</v>
      </c>
      <c r="C229" s="4" t="s">
        <v>363</v>
      </c>
      <c r="D229" s="4" t="str">
        <f>IF(Table_1[[#This Row],[Forest cover 2011]]&lt;1000,"Bosque menor a 1000 ha",Table_1[[#This Row],[Forest cover 2011]])</f>
        <v>Bosque menor a 1000 ha</v>
      </c>
      <c r="E229" s="4">
        <v>0</v>
      </c>
      <c r="F229" s="5">
        <f>AVERAGE(Datos_originales!$H311:$J311)</f>
        <v>534.84</v>
      </c>
      <c r="G229" s="5">
        <f>AVERAGE(Datos_originales!$R311:$T311)</f>
        <v>3359.76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</row>
    <row r="230" spans="1:59" ht="15.75" customHeight="1">
      <c r="A230" s="2">
        <v>51101</v>
      </c>
      <c r="B230" s="3" t="s">
        <v>58</v>
      </c>
      <c r="C230" s="4" t="s">
        <v>82</v>
      </c>
      <c r="D230" s="4" t="str">
        <f>IF(Table_1[[#This Row],[Forest cover 2011]]&lt;1000,"Bosque menor a 1000 ha",Table_1[[#This Row],[Forest cover 2011]])</f>
        <v>Bosque menor a 1000 ha</v>
      </c>
      <c r="E230" s="4">
        <v>54.99</v>
      </c>
      <c r="F230" s="5">
        <f>AVERAGE(Datos_originales!$H23:$J23)</f>
        <v>13.799999999999999</v>
      </c>
      <c r="G230" s="5">
        <f>AVERAGE(Datos_originales!$R23:$T23)</f>
        <v>6.48</v>
      </c>
      <c r="H230" s="4">
        <v>0.45</v>
      </c>
      <c r="I230" s="4">
        <v>0.36</v>
      </c>
      <c r="J230" s="4">
        <v>0.18</v>
      </c>
      <c r="K230" s="4">
        <v>0</v>
      </c>
      <c r="L230" s="4">
        <v>0.54</v>
      </c>
      <c r="M230" s="4">
        <v>0.09</v>
      </c>
      <c r="N230" s="4">
        <v>0.36</v>
      </c>
      <c r="O230" s="4">
        <v>0.09</v>
      </c>
      <c r="P230" s="4">
        <v>0</v>
      </c>
      <c r="Q230" s="4">
        <v>0</v>
      </c>
      <c r="R230" s="4">
        <v>0</v>
      </c>
      <c r="S230" s="4">
        <v>0.09</v>
      </c>
      <c r="T230" s="4">
        <v>2.88</v>
      </c>
      <c r="U230" s="4">
        <v>0.54</v>
      </c>
      <c r="V230" s="4">
        <v>0.99</v>
      </c>
      <c r="W230" s="4">
        <v>1.8</v>
      </c>
      <c r="X230" s="4">
        <v>0</v>
      </c>
      <c r="Y230" s="4">
        <v>0.9</v>
      </c>
      <c r="Z230" s="4">
        <v>0.09</v>
      </c>
      <c r="AA230" s="4">
        <v>0.36</v>
      </c>
      <c r="AB230" s="4">
        <v>0.09</v>
      </c>
      <c r="AC230" s="4">
        <v>0</v>
      </c>
      <c r="AD230" s="4">
        <v>0</v>
      </c>
      <c r="AE230" s="4">
        <v>0</v>
      </c>
      <c r="AF230" s="4">
        <v>0.63</v>
      </c>
      <c r="AG230" s="4">
        <v>6.75</v>
      </c>
      <c r="AH230" s="6">
        <f>Datos_originales!$H23/Datos_originales!$E23</f>
        <v>4.0222564858885838E-4</v>
      </c>
      <c r="AI230" s="6">
        <f>Datos_originales!$I23/Datos_originales!$E23</f>
        <v>9.0500770932493125E-4</v>
      </c>
      <c r="AJ230" s="6">
        <f>Datos_originales!$J23/Datos_originales!$E23</f>
        <v>2.5474291077294364E-3</v>
      </c>
      <c r="AK230" s="6">
        <f>Datos_originales!$K23/Datos_originales!$E23</f>
        <v>1.2234363477911109E-3</v>
      </c>
      <c r="AL230" s="6">
        <f>Datos_originales!$L23/Datos_originales!$E23</f>
        <v>9.2176711134946707E-4</v>
      </c>
      <c r="AM230" s="6">
        <f>Datos_originales!$M23/Datos_originales!$E23</f>
        <v>2.3295568814104711E-3</v>
      </c>
      <c r="AN230" s="6">
        <f>Datos_originales!$N23/Datos_originales!$E23</f>
        <v>1.5502446872695582E-3</v>
      </c>
      <c r="AO230" s="6">
        <f>Datos_originales!$O23/Datos_originales!$E23</f>
        <v>2.6060870148153113E-3</v>
      </c>
      <c r="AP230" s="6">
        <f>Datos_originales!$P23/Datos_originales!$E23</f>
        <v>4.27364751625662E-4</v>
      </c>
      <c r="AQ230" s="6">
        <f>Datos_originales!$Q23/Datos_originales!$E23</f>
        <v>2.5139103036803649E-4</v>
      </c>
      <c r="AR230" s="6">
        <f>Datos_originales!$R23/Datos_originales!$E23</f>
        <v>1.0893611315948246E-4</v>
      </c>
      <c r="AS230" s="6">
        <f>Datos_originales!$S23/Datos_originales!$E23</f>
        <v>3.6870684453978685E-4</v>
      </c>
      <c r="AT230" s="6">
        <f>Datos_originales!$T23/Datos_originales!$E23</f>
        <v>1.3323724609505933E-3</v>
      </c>
      <c r="AU230" s="6">
        <f>Datos_originales!$U23/Datos_originales!$E23</f>
        <v>7.5417309110410941E-4</v>
      </c>
      <c r="AV230" s="6">
        <f>Datos_originales!$V23/Datos_originales!$E23</f>
        <v>1.3156130589260576E-3</v>
      </c>
      <c r="AW230" s="6">
        <f>Datos_originales!$W23/Datos_originales!$E23</f>
        <v>9.8880471944761024E-3</v>
      </c>
      <c r="AX230" s="6">
        <f>Datos_originales!$X23/Datos_originales!$E23</f>
        <v>1.4496882751223437E-3</v>
      </c>
      <c r="AY230" s="6">
        <f>Datos_originales!$Y23/Datos_originales!$E23</f>
        <v>1.1563987396929678E-3</v>
      </c>
      <c r="AZ230" s="6">
        <f>Datos_originales!$Z23/Datos_originales!$E23</f>
        <v>2.7736810350606688E-3</v>
      </c>
      <c r="BA230" s="6">
        <f>Datos_originales!$AA23/Datos_originales!$E23</f>
        <v>1.8938124287725415E-3</v>
      </c>
      <c r="BB230" s="6">
        <f>Datos_originales!$AB23/Datos_originales!$E23</f>
        <v>3.058590869477777E-3</v>
      </c>
      <c r="BC230" s="6">
        <f>Datos_originales!$AC23/Datos_originales!$E23</f>
        <v>7.7093249312864534E-4</v>
      </c>
      <c r="BD230" s="6">
        <f>Datos_originales!$AD23/Datos_originales!$E23</f>
        <v>1.2150566467788431E-3</v>
      </c>
      <c r="BE230" s="6">
        <f>Datos_originales!$AE23/Datos_originales!$E23</f>
        <v>1.5083461822082189E-4</v>
      </c>
      <c r="BF230" s="6">
        <f>Datos_originales!$AF23/Datos_originales!$E23</f>
        <v>5.5306026680968033E-4</v>
      </c>
      <c r="BG230" s="6">
        <f>Datos_originales!$AG23/Datos_originales!$E23</f>
        <v>3.4021586109807601E-3</v>
      </c>
    </row>
    <row r="231" spans="1:59" ht="15.75" customHeight="1">
      <c r="A231" s="2">
        <v>51102</v>
      </c>
      <c r="B231" s="3" t="s">
        <v>58</v>
      </c>
      <c r="C231" s="4" t="s">
        <v>70</v>
      </c>
      <c r="D231" s="4" t="str">
        <f>IF(Table_1[[#This Row],[Forest cover 2011]]&lt;1000,"Bosque menor a 1000 ha",Table_1[[#This Row],[Forest cover 2011]])</f>
        <v>Bosque menor a 1000 ha</v>
      </c>
      <c r="E231" s="4">
        <v>42.03</v>
      </c>
      <c r="F231" s="5">
        <f>AVERAGE(Datos_originales!$H11:$J11)</f>
        <v>208.23000000000002</v>
      </c>
      <c r="G231" s="5">
        <f>AVERAGE(Datos_originales!$R11:$T11)</f>
        <v>498.54</v>
      </c>
      <c r="H231" s="4">
        <v>0</v>
      </c>
      <c r="I231" s="4">
        <v>0</v>
      </c>
      <c r="J231" s="4">
        <v>0.54</v>
      </c>
      <c r="K231" s="4">
        <v>0.72</v>
      </c>
      <c r="L231" s="4">
        <v>0.36</v>
      </c>
      <c r="M231" s="4">
        <v>0.18</v>
      </c>
      <c r="N231" s="4">
        <v>0.18</v>
      </c>
      <c r="O231" s="4">
        <v>0.45</v>
      </c>
      <c r="P231" s="4">
        <v>0.09</v>
      </c>
      <c r="Q231" s="4">
        <v>0.45</v>
      </c>
      <c r="R231" s="4">
        <v>0</v>
      </c>
      <c r="S231" s="4">
        <v>0.09</v>
      </c>
      <c r="T231" s="4">
        <v>1.35</v>
      </c>
      <c r="U231" s="4">
        <v>0</v>
      </c>
      <c r="V231" s="4">
        <v>0.63</v>
      </c>
      <c r="W231" s="4">
        <v>1.62</v>
      </c>
      <c r="X231" s="4">
        <v>1.17</v>
      </c>
      <c r="Y231" s="4">
        <v>1.17</v>
      </c>
      <c r="Z231" s="4">
        <v>0.27</v>
      </c>
      <c r="AA231" s="4">
        <v>0.54</v>
      </c>
      <c r="AB231" s="4">
        <v>0.63</v>
      </c>
      <c r="AC231" s="4">
        <v>0.09</v>
      </c>
      <c r="AD231" s="4">
        <v>1.44</v>
      </c>
      <c r="AE231" s="4">
        <v>0.27</v>
      </c>
      <c r="AF231" s="4">
        <v>0.18</v>
      </c>
      <c r="AG231" s="4">
        <v>20.16</v>
      </c>
      <c r="AH231" s="6">
        <f>Datos_originales!$H11/Datos_originales!$E11</f>
        <v>1.8096821443928596E-3</v>
      </c>
      <c r="AI231" s="6">
        <f>Datos_originales!$I11/Datos_originales!$E11</f>
        <v>2.2366168984914716E-3</v>
      </c>
      <c r="AJ231" s="6">
        <f>Datos_originales!$J11/Datos_originales!$E11</f>
        <v>1.2739058551380488E-3</v>
      </c>
      <c r="AK231" s="6">
        <f>Datos_originales!$K11/Datos_originales!$E11</f>
        <v>1.0615882126150406E-3</v>
      </c>
      <c r="AL231" s="6">
        <f>Datos_originales!$L11/Datos_originales!$E11</f>
        <v>1.5621059763967166E-3</v>
      </c>
      <c r="AM231" s="6">
        <f>Datos_originales!$M11/Datos_originales!$E11</f>
        <v>1.9323204938646332E-3</v>
      </c>
      <c r="AN231" s="6">
        <f>Datos_originales!$N11/Datos_originales!$E11</f>
        <v>3.2338199776338309E-3</v>
      </c>
      <c r="AO231" s="6">
        <f>Datos_originales!$O11/Datos_originales!$E11</f>
        <v>1.3704835553470702E-3</v>
      </c>
      <c r="AP231" s="6">
        <f>Datos_originales!$P11/Datos_originales!$E11</f>
        <v>3.8063877717301742E-3</v>
      </c>
      <c r="AQ231" s="6">
        <f>Datos_originales!$Q11/Datos_originales!$E11</f>
        <v>1.9169907001806616E-3</v>
      </c>
      <c r="AR231" s="6">
        <f>Datos_originales!$R11/Datos_originales!$E11</f>
        <v>1.557507038291525E-3</v>
      </c>
      <c r="AS231" s="6">
        <f>Datos_originales!$S11/Datos_originales!$E11</f>
        <v>8.7456472967058583E-3</v>
      </c>
      <c r="AT231" s="6">
        <f>Datos_originales!$T11/Datos_originales!$E11</f>
        <v>2.4343712370147063E-3</v>
      </c>
      <c r="AU231" s="6">
        <f>Datos_originales!$U11/Datos_originales!$E11</f>
        <v>2.4688632728036429E-3</v>
      </c>
      <c r="AV231" s="6">
        <f>Datos_originales!$V11/Datos_originales!$E11</f>
        <v>2.9011634546916446E-3</v>
      </c>
      <c r="AW231" s="6">
        <f>Datos_originales!$W11/Datos_originales!$E11</f>
        <v>4.1605060058299203E-3</v>
      </c>
      <c r="AX231" s="6">
        <f>Datos_originales!$X11/Datos_originales!$E11</f>
        <v>1.3459558854527155E-3</v>
      </c>
      <c r="AY231" s="6">
        <f>Datos_originales!$Y11/Datos_originales!$E11</f>
        <v>1.9154577208122644E-3</v>
      </c>
      <c r="AZ231" s="6">
        <f>Datos_originales!$Z11/Datos_originales!$E11</f>
        <v>2.3377935368056849E-3</v>
      </c>
      <c r="BA231" s="6">
        <f>Datos_originales!$AA11/Datos_originales!$E11</f>
        <v>3.7021451746791665E-3</v>
      </c>
      <c r="BB231" s="6">
        <f>Datos_originales!$AB11/Datos_originales!$E11</f>
        <v>2.1431051570192441E-3</v>
      </c>
      <c r="BC231" s="6">
        <f>Datos_originales!$AC11/Datos_originales!$E11</f>
        <v>4.4134476016154537E-3</v>
      </c>
      <c r="BD231" s="6">
        <f>Datos_originales!$AD11/Datos_originales!$E11</f>
        <v>2.8444432180609498E-3</v>
      </c>
      <c r="BE231" s="6">
        <f>Datos_originales!$AE11/Datos_originales!$E11</f>
        <v>2.1063136521777119E-3</v>
      </c>
      <c r="BF231" s="6">
        <f>Datos_originales!$AF11/Datos_originales!$E11</f>
        <v>9.6432067169023999E-3</v>
      </c>
      <c r="BG231" s="6">
        <f>Datos_originales!$AG11/Datos_originales!$E11</f>
        <v>2.4818935974350192E-3</v>
      </c>
    </row>
    <row r="232" spans="1:59" ht="15.75" customHeight="1">
      <c r="A232" s="2">
        <v>51103</v>
      </c>
      <c r="B232" s="3" t="s">
        <v>58</v>
      </c>
      <c r="C232" s="4" t="s">
        <v>77</v>
      </c>
      <c r="D232" s="4" t="str">
        <f>IF(Table_1[[#This Row],[Forest cover 2011]]&lt;1000,"Bosque menor a 1000 ha",Table_1[[#This Row],[Forest cover 2011]])</f>
        <v>Bosque menor a 1000 ha</v>
      </c>
      <c r="E232" s="4">
        <v>445.41</v>
      </c>
      <c r="F232" s="5">
        <f>AVERAGE(Datos_originales!$H17:$J17)</f>
        <v>468.06</v>
      </c>
      <c r="G232" s="5">
        <f>AVERAGE(Datos_originales!$R17:$T17)</f>
        <v>1836.24</v>
      </c>
      <c r="H232" s="4">
        <v>0.09</v>
      </c>
      <c r="I232" s="4">
        <v>0.18</v>
      </c>
      <c r="J232" s="4">
        <v>0.45</v>
      </c>
      <c r="K232" s="4">
        <v>0.36</v>
      </c>
      <c r="L232" s="4">
        <v>0.45</v>
      </c>
      <c r="M232" s="4">
        <v>0.36</v>
      </c>
      <c r="N232" s="4">
        <v>2.61</v>
      </c>
      <c r="O232" s="4">
        <v>1.44</v>
      </c>
      <c r="P232" s="4">
        <v>0.45</v>
      </c>
      <c r="Q232" s="4">
        <v>0.80999999999999994</v>
      </c>
      <c r="R232" s="4">
        <v>0</v>
      </c>
      <c r="S232" s="4">
        <v>0.9</v>
      </c>
      <c r="T232" s="4">
        <v>2.0699999999999998</v>
      </c>
      <c r="U232" s="4">
        <v>1.62</v>
      </c>
      <c r="V232" s="4">
        <v>1.98</v>
      </c>
      <c r="W232" s="4">
        <v>8.5500000000000007</v>
      </c>
      <c r="X232" s="4">
        <v>0.45</v>
      </c>
      <c r="Y232" s="4">
        <v>0.63</v>
      </c>
      <c r="Z232" s="4">
        <v>0.63</v>
      </c>
      <c r="AA232" s="4">
        <v>3.33</v>
      </c>
      <c r="AB232" s="4">
        <v>1.8</v>
      </c>
      <c r="AC232" s="4">
        <v>1.26</v>
      </c>
      <c r="AD232" s="4">
        <v>1.98</v>
      </c>
      <c r="AE232" s="4">
        <v>0.09</v>
      </c>
      <c r="AF232" s="4">
        <v>1.98</v>
      </c>
      <c r="AG232" s="4">
        <v>143.82</v>
      </c>
      <c r="AH232" s="6">
        <f>Datos_originales!$H17/Datos_originales!$E17</f>
        <v>1.4322742560916658E-3</v>
      </c>
      <c r="AI232" s="6">
        <f>Datos_originales!$I17/Datos_originales!$E17</f>
        <v>1.8530208901185936E-3</v>
      </c>
      <c r="AJ232" s="6">
        <f>Datos_originales!$J17/Datos_originales!$E17</f>
        <v>1.7295933061106941E-3</v>
      </c>
      <c r="AK232" s="6">
        <f>Datos_originales!$K17/Datos_originales!$E17</f>
        <v>8.4631465805416414E-4</v>
      </c>
      <c r="AL232" s="6">
        <f>Datos_originales!$L17/Datos_originales!$E17</f>
        <v>1.8903063061209795E-3</v>
      </c>
      <c r="AM232" s="6">
        <f>Datos_originales!$M17/Datos_originales!$E17</f>
        <v>2.266696152145069E-3</v>
      </c>
      <c r="AN232" s="6">
        <f>Datos_originales!$N17/Datos_originales!$E17</f>
        <v>2.5530867181633977E-3</v>
      </c>
      <c r="AO232" s="6">
        <f>Datos_originales!$O17/Datos_originales!$E17</f>
        <v>2.4714445141581724E-3</v>
      </c>
      <c r="AP232" s="6">
        <f>Datos_originales!$P17/Datos_originales!$E17</f>
        <v>2.1358757701366959E-3</v>
      </c>
      <c r="AQ232" s="6">
        <f>Datos_originales!$Q17/Datos_originales!$E17</f>
        <v>2.5923006901659076E-3</v>
      </c>
      <c r="AR232" s="6">
        <f>Datos_originales!$R17/Datos_originales!$E17</f>
        <v>1.9507343941248471E-3</v>
      </c>
      <c r="AS232" s="6">
        <f>Datos_originales!$S17/Datos_originales!$E17</f>
        <v>6.6863036524279235E-3</v>
      </c>
      <c r="AT232" s="6">
        <f>Datos_originales!$T17/Datos_originales!$E17</f>
        <v>1.1036804562706356E-2</v>
      </c>
      <c r="AU232" s="6">
        <f>Datos_originales!$U17/Datos_originales!$E17</f>
        <v>1.5492733200991537E-3</v>
      </c>
      <c r="AV232" s="6">
        <f>Datos_originales!$V17/Datos_originales!$E17</f>
        <v>1.9455915781245179E-3</v>
      </c>
      <c r="AW232" s="6">
        <f>Datos_originales!$W17/Datos_originales!$E17</f>
        <v>1.9661628421258344E-3</v>
      </c>
      <c r="AX232" s="6">
        <f>Datos_originales!$X17/Datos_originales!$E17</f>
        <v>9.2506402805920401E-4</v>
      </c>
      <c r="AY232" s="6">
        <f>Datos_originales!$Y17/Datos_originales!$E17</f>
        <v>1.9259845921232629E-3</v>
      </c>
      <c r="AZ232" s="6">
        <f>Datos_originales!$Z17/Datos_originales!$E17</f>
        <v>2.3107315141478869E-3</v>
      </c>
      <c r="BA232" s="6">
        <f>Datos_originales!$AA17/Datos_originales!$E17</f>
        <v>2.6311932361683965E-3</v>
      </c>
      <c r="BB232" s="6">
        <f>Datos_originales!$AB17/Datos_originales!$E17</f>
        <v>2.645014554169281E-3</v>
      </c>
      <c r="BC232" s="6">
        <f>Datos_originales!$AC17/Datos_originales!$E17</f>
        <v>2.2001609701408102E-3</v>
      </c>
      <c r="BD232" s="6">
        <f>Datos_originales!$AD17/Datos_originales!$E17</f>
        <v>2.730513870174753E-3</v>
      </c>
      <c r="BE232" s="6">
        <f>Datos_originales!$AE17/Datos_originales!$E17</f>
        <v>2.0429836561307508E-3</v>
      </c>
      <c r="BF232" s="6">
        <f>Datos_originales!$AF17/Datos_originales!$E17</f>
        <v>6.8618022484391557E-3</v>
      </c>
      <c r="BG232" s="6">
        <f>Datos_originales!$AG17/Datos_originales!$E17</f>
        <v>1.1429587134731493E-2</v>
      </c>
    </row>
    <row r="233" spans="1:59" ht="15.75" customHeight="1">
      <c r="A233" s="2">
        <v>51201</v>
      </c>
      <c r="B233" s="3" t="s">
        <v>58</v>
      </c>
      <c r="C233" s="4" t="s">
        <v>364</v>
      </c>
      <c r="D233" s="4" t="str">
        <f>IF(Table_1[[#This Row],[Forest cover 2011]]&lt;1000,"Bosque menor a 1000 ha",Table_1[[#This Row],[Forest cover 2011]])</f>
        <v>Bosque menor a 1000 ha</v>
      </c>
      <c r="E233" s="4">
        <v>0</v>
      </c>
      <c r="F233" s="5">
        <f>AVERAGE(Datos_originales!$H312:$J312)</f>
        <v>2381.4</v>
      </c>
      <c r="G233" s="5">
        <f>AVERAGE(Datos_originales!$R312:$T312)</f>
        <v>1482.36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0</v>
      </c>
      <c r="BF233" s="6">
        <v>0</v>
      </c>
      <c r="BG233" s="6">
        <v>0</v>
      </c>
    </row>
    <row r="234" spans="1:59" ht="15.75" customHeight="1">
      <c r="A234" s="2">
        <v>51202</v>
      </c>
      <c r="B234" s="3" t="s">
        <v>58</v>
      </c>
      <c r="C234" s="4" t="s">
        <v>68</v>
      </c>
      <c r="D234" s="4" t="str">
        <f>IF(Table_1[[#This Row],[Forest cover 2011]]&lt;1000,"Bosque menor a 1000 ha",Table_1[[#This Row],[Forest cover 2011]])</f>
        <v>Bosque menor a 1000 ha</v>
      </c>
      <c r="E234" s="4">
        <v>2.16</v>
      </c>
      <c r="F234" s="5">
        <f>AVERAGE(Datos_originales!$H9:$J9)</f>
        <v>1.38</v>
      </c>
      <c r="G234" s="5">
        <f>AVERAGE(Datos_originales!$R9:$T9)</f>
        <v>33.69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0.27</v>
      </c>
      <c r="V234" s="4">
        <v>0.09</v>
      </c>
      <c r="W234" s="4">
        <v>0</v>
      </c>
      <c r="X234" s="4">
        <v>0</v>
      </c>
      <c r="Y234" s="4">
        <v>0</v>
      </c>
      <c r="Z234" s="4">
        <v>0</v>
      </c>
      <c r="AA234" s="4">
        <v>0.09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1.17</v>
      </c>
      <c r="AH234" s="6">
        <f>Datos_originales!$H9/Datos_originales!$E9</f>
        <v>2.3387709758521895E-5</v>
      </c>
      <c r="AI234" s="6">
        <f>Datos_originales!$I9/Datos_originales!$E9</f>
        <v>7.3086592995380919E-5</v>
      </c>
      <c r="AJ234" s="6">
        <f>Datos_originales!$J9/Datos_originales!$E9</f>
        <v>3.8005028357598075E-5</v>
      </c>
      <c r="AK234" s="6">
        <f>Datos_originales!$K9/Datos_originales!$E9</f>
        <v>1.7540782318891422E-5</v>
      </c>
      <c r="AL234" s="6">
        <f>Datos_originales!$L9/Datos_originales!$E9</f>
        <v>7.0163129275565688E-5</v>
      </c>
      <c r="AM234" s="6">
        <f>Datos_originales!$M9/Datos_originales!$E9</f>
        <v>4.677541951704379E-5</v>
      </c>
      <c r="AN234" s="6">
        <f>Datos_originales!$N9/Datos_originales!$E9</f>
        <v>6.1392738116119967E-5</v>
      </c>
      <c r="AO234" s="6">
        <f>Datos_originales!$O9/Datos_originales!$E9</f>
        <v>6.4316201835935212E-5</v>
      </c>
      <c r="AP234" s="6">
        <f>Datos_originales!$P9/Datos_originales!$E9</f>
        <v>3.5081564637782844E-5</v>
      </c>
      <c r="AQ234" s="6">
        <f>Datos_originales!$Q9/Datos_originales!$E9</f>
        <v>0</v>
      </c>
      <c r="AR234" s="6">
        <f>Datos_originales!$R9/Datos_originales!$E9</f>
        <v>9.091972168625386E-4</v>
      </c>
      <c r="AS234" s="6">
        <f>Datos_originales!$S9/Datos_originales!$E9</f>
        <v>1.2366251534818452E-3</v>
      </c>
      <c r="AT234" s="6">
        <f>Datos_originales!$T9/Datos_originales!$E9</f>
        <v>1.1372273870081271E-3</v>
      </c>
      <c r="AU234" s="6">
        <f>Datos_originales!$U9/Datos_originales!$E9</f>
        <v>5.4376425188563406E-4</v>
      </c>
      <c r="AV234" s="6">
        <f>Datos_originales!$V9/Datos_originales!$E9</f>
        <v>5.554581067648951E-4</v>
      </c>
      <c r="AW234" s="6">
        <f>Datos_originales!$W9/Datos_originales!$E9</f>
        <v>9.2118341811378117E-3</v>
      </c>
      <c r="AX234" s="6">
        <f>Datos_originales!$X9/Datos_originales!$E9</f>
        <v>3.245044728994913E-4</v>
      </c>
      <c r="AY234" s="6">
        <f>Datos_originales!$Y9/Datos_originales!$E9</f>
        <v>1.023212301935333E-3</v>
      </c>
      <c r="AZ234" s="6">
        <f>Datos_originales!$Z9/Datos_originales!$E9</f>
        <v>4.2682570309302459E-4</v>
      </c>
      <c r="BA234" s="6">
        <f>Datos_originales!$AA9/Datos_originales!$E9</f>
        <v>1.1693854879260947E-3</v>
      </c>
      <c r="BB234" s="6">
        <f>Datos_originales!$AB9/Datos_originales!$E9</f>
        <v>1.8827106355610126E-3</v>
      </c>
      <c r="BC234" s="6">
        <f>Datos_originales!$AC9/Datos_originales!$E9</f>
        <v>4.9201894404490437E-3</v>
      </c>
      <c r="BD234" s="6">
        <f>Datos_originales!$AD9/Datos_originales!$E9</f>
        <v>8.770391159445711E-6</v>
      </c>
      <c r="BE234" s="6">
        <f>Datos_originales!$AE9/Datos_originales!$E9</f>
        <v>1.7570016956089576E-3</v>
      </c>
      <c r="BF234" s="6">
        <f>Datos_originales!$AF9/Datos_originales!$E9</f>
        <v>3.7917324446003625E-3</v>
      </c>
      <c r="BG234" s="6">
        <f>Datos_originales!$AG9/Datos_originales!$E9</f>
        <v>1.1927731976846166E-3</v>
      </c>
    </row>
    <row r="235" spans="1:59" ht="15.75" customHeight="1">
      <c r="A235" s="2">
        <v>51203</v>
      </c>
      <c r="B235" s="3" t="s">
        <v>58</v>
      </c>
      <c r="C235" s="4" t="s">
        <v>365</v>
      </c>
      <c r="D235" s="4" t="str">
        <f>IF(Table_1[[#This Row],[Forest cover 2011]]&lt;1000,"Bosque menor a 1000 ha",Table_1[[#This Row],[Forest cover 2011]])</f>
        <v>Bosque menor a 1000 ha</v>
      </c>
      <c r="E235" s="4">
        <v>0</v>
      </c>
      <c r="F235" s="5">
        <f>AVERAGE(Datos_originales!$H313:$J313)</f>
        <v>3076.56</v>
      </c>
      <c r="G235" s="5">
        <f>AVERAGE(Datos_originales!$R313:$T313)</f>
        <v>945.78000000000009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</row>
    <row r="236" spans="1:59" ht="15.75" customHeight="1">
      <c r="A236" s="2">
        <v>51204</v>
      </c>
      <c r="B236" s="3" t="s">
        <v>58</v>
      </c>
      <c r="C236" s="4" t="s">
        <v>59</v>
      </c>
      <c r="D236" s="4" t="str">
        <f>IF(Table_1[[#This Row],[Forest cover 2011]]&lt;1000,"Bosque menor a 1000 ha",Table_1[[#This Row],[Forest cover 2011]])</f>
        <v>Bosque menor a 1000 ha</v>
      </c>
      <c r="E236" s="4">
        <v>0.54</v>
      </c>
      <c r="F236" s="5">
        <f>AVERAGE(Datos_originales!$H2:$J2)</f>
        <v>1.83</v>
      </c>
      <c r="G236" s="5">
        <f>AVERAGE(Datos_originales!$R2:$T2)</f>
        <v>16.32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0.36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0.54</v>
      </c>
      <c r="AH236" s="6">
        <f>Datos_originales!$H2/Datos_originales!$E2</f>
        <v>4.0244687701223431E-5</v>
      </c>
      <c r="AI236" s="6">
        <f>Datos_originales!$I2/Datos_originales!$E2</f>
        <v>1.1067289117836445E-4</v>
      </c>
      <c r="AJ236" s="6">
        <f>Datos_originales!$J2/Datos_originales!$E2</f>
        <v>1.5594816484224081E-4</v>
      </c>
      <c r="AK236" s="6">
        <f>Datos_originales!$K2/Datos_originales!$E2</f>
        <v>7.0428203477141017E-5</v>
      </c>
      <c r="AL236" s="6">
        <f>Datos_originales!$L2/Datos_originales!$E2</f>
        <v>1.7607050869285253E-4</v>
      </c>
      <c r="AM236" s="6">
        <f>Datos_originales!$M2/Datos_originales!$E2</f>
        <v>1.5091757887958791E-4</v>
      </c>
      <c r="AN236" s="6">
        <f>Datos_originales!$N2/Datos_originales!$E2</f>
        <v>6.036703155183516E-5</v>
      </c>
      <c r="AO236" s="6">
        <f>Datos_originales!$O2/Datos_originales!$E2</f>
        <v>2.5152929813264648E-5</v>
      </c>
      <c r="AP236" s="6">
        <f>Datos_originales!$P2/Datos_originales!$E2</f>
        <v>1.0061171925305859E-4</v>
      </c>
      <c r="AQ236" s="6">
        <f>Datos_originales!$Q2/Datos_originales!$E2</f>
        <v>4.0244687701223431E-5</v>
      </c>
      <c r="AR236" s="6">
        <f>Datos_originales!$R2/Datos_originales!$E2</f>
        <v>5.0305859626529288E-6</v>
      </c>
      <c r="AS236" s="6">
        <f>Datos_originales!$S2/Datos_originales!$E2</f>
        <v>1.6097875080489374E-3</v>
      </c>
      <c r="AT236" s="6">
        <f>Datos_originales!$T2/Datos_originales!$E2</f>
        <v>1.1218206696716033E-3</v>
      </c>
      <c r="AU236" s="6">
        <f>Datos_originales!$U2/Datos_originales!$E2</f>
        <v>1.9317450096587251E-3</v>
      </c>
      <c r="AV236" s="6">
        <f>Datos_originales!$V2/Datos_originales!$E2</f>
        <v>1.0916371538956858E-3</v>
      </c>
      <c r="AW236" s="6">
        <f>Datos_originales!$W2/Datos_originales!$E2</f>
        <v>1.3064431745009658E-2</v>
      </c>
      <c r="AX236" s="6">
        <f>Datos_originales!$X2/Datos_originales!$E2</f>
        <v>3.1189632968448163E-4</v>
      </c>
      <c r="AY236" s="6">
        <f>Datos_originales!$Y2/Datos_originales!$E2</f>
        <v>4.0244687701223431E-4</v>
      </c>
      <c r="AZ236" s="6">
        <f>Datos_originales!$Z2/Datos_originales!$E2</f>
        <v>6.5397617514488082E-4</v>
      </c>
      <c r="BA236" s="6">
        <f>Datos_originales!$AA2/Datos_originales!$E2</f>
        <v>8.0489375402446872E-4</v>
      </c>
      <c r="BB236" s="6">
        <f>Datos_originales!$AB2/Datos_originales!$E2</f>
        <v>4.2759980682549901E-4</v>
      </c>
      <c r="BC236" s="6">
        <f>Datos_originales!$AC2/Datos_originales!$E2</f>
        <v>2.3040083708950414E-3</v>
      </c>
      <c r="BD236" s="6">
        <f>Datos_originales!$AD2/Datos_originales!$E2</f>
        <v>2.1631519639407596E-4</v>
      </c>
      <c r="BE236" s="6">
        <f>Datos_originales!$AE2/Datos_originales!$E2</f>
        <v>6.036703155183516E-5</v>
      </c>
      <c r="BF236" s="6">
        <f>Datos_originales!$AF2/Datos_originales!$E2</f>
        <v>2.495170637475853E-3</v>
      </c>
      <c r="BG236" s="6">
        <f>Datos_originales!$AG2/Datos_originales!$E2</f>
        <v>2.9489294913071468E-2</v>
      </c>
    </row>
    <row r="237" spans="1:59" ht="15.75" customHeight="1">
      <c r="A237" s="2">
        <v>51301</v>
      </c>
      <c r="B237" s="3" t="s">
        <v>58</v>
      </c>
      <c r="C237" s="4" t="s">
        <v>394</v>
      </c>
      <c r="D237" s="4" t="str">
        <f>IF(Table_1[[#This Row],[Forest cover 2011]]&lt;1000,"Bosque menor a 1000 ha",Table_1[[#This Row],[Forest cover 2011]])</f>
        <v>Bosque menor a 1000 ha</v>
      </c>
      <c r="E237" s="4">
        <v>561.78</v>
      </c>
      <c r="F237" s="5">
        <f>AVERAGE(Datos_originales!$H342:$J342)</f>
        <v>185.01</v>
      </c>
      <c r="G237" s="5">
        <f>AVERAGE(Datos_originales!$R342:$T342)</f>
        <v>109.14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0.09</v>
      </c>
      <c r="T237" s="4">
        <v>0</v>
      </c>
      <c r="U237" s="4">
        <v>0.81</v>
      </c>
      <c r="V237" s="4">
        <v>0.27</v>
      </c>
      <c r="W237" s="4">
        <v>14.31</v>
      </c>
      <c r="X237" s="4">
        <v>1.62</v>
      </c>
      <c r="Y237" s="4">
        <v>1.26</v>
      </c>
      <c r="Z237" s="4">
        <v>8.1</v>
      </c>
      <c r="AA237" s="4">
        <v>5.94</v>
      </c>
      <c r="AB237" s="4">
        <v>18.899999999999999</v>
      </c>
      <c r="AC237" s="4">
        <v>10.17</v>
      </c>
      <c r="AD237" s="4">
        <v>0</v>
      </c>
      <c r="AE237" s="4">
        <v>0</v>
      </c>
      <c r="AF237" s="4">
        <v>0.81</v>
      </c>
      <c r="AG237" s="4">
        <v>0</v>
      </c>
      <c r="AH237" s="6">
        <f>Datos_originales!$H342/Datos_originales!$E342</f>
        <v>3.8337005834741946E-4</v>
      </c>
      <c r="AI237" s="6">
        <f>Datos_originales!$I342/Datos_originales!$E342</f>
        <v>3.6307399643490903E-4</v>
      </c>
      <c r="AJ237" s="6">
        <f>Datos_originales!$J342/Datos_originales!$E342</f>
        <v>7.9881290588991721E-4</v>
      </c>
      <c r="AK237" s="6">
        <f>Datos_originales!$K342/Datos_originales!$E342</f>
        <v>5.9159261944984152E-4</v>
      </c>
      <c r="AL237" s="6">
        <f>Datos_originales!$L342/Datos_originales!$E342</f>
        <v>8.3539593106555328E-4</v>
      </c>
      <c r="AM237" s="6">
        <f>Datos_originales!$M342/Datos_originales!$E342</f>
        <v>8.1109077050365804E-4</v>
      </c>
      <c r="AN237" s="6">
        <f>Datos_originales!$N342/Datos_originales!$E342</f>
        <v>6.5348307984971902E-4</v>
      </c>
      <c r="AO237" s="6">
        <f>Datos_originales!$O342/Datos_originales!$E342</f>
        <v>5.0740154781276107E-4</v>
      </c>
      <c r="AP237" s="6">
        <f>Datos_originales!$P342/Datos_originales!$E342</f>
        <v>4.1168431755869949E-4</v>
      </c>
      <c r="AQ237" s="6">
        <f>Datos_originales!$Q342/Datos_originales!$E342</f>
        <v>6.3869952858011257E-4</v>
      </c>
      <c r="AR237" s="6">
        <f>Datos_originales!$R342/Datos_originales!$E342</f>
        <v>9.6719504916407804E-5</v>
      </c>
      <c r="AS237" s="6">
        <f>Datos_originales!$S342/Datos_originales!$E342</f>
        <v>4.8485036790997174E-4</v>
      </c>
      <c r="AT237" s="6">
        <f>Datos_originales!$T342/Datos_originales!$E342</f>
        <v>3.299989325774846E-4</v>
      </c>
      <c r="AU237" s="6">
        <f>Datos_originales!$U342/Datos_originales!$E342</f>
        <v>5.4298229832605105E-4</v>
      </c>
      <c r="AV237" s="6">
        <f>Datos_originales!$V342/Datos_originales!$E342</f>
        <v>5.0063619384192422E-4</v>
      </c>
      <c r="AW237" s="6">
        <f>Datos_originales!$W342/Datos_originales!$E342</f>
        <v>3.0837485673736549E-3</v>
      </c>
      <c r="AX237" s="6">
        <f>Datos_originales!$X342/Datos_originales!$E342</f>
        <v>1.1724107862794613E-3</v>
      </c>
      <c r="AY237" s="6">
        <f>Datos_originales!$Y342/Datos_originales!$E342</f>
        <v>1.2135040474356552E-3</v>
      </c>
      <c r="AZ237" s="6">
        <f>Datos_originales!$Z342/Datos_originales!$E342</f>
        <v>9.4088533927749025E-4</v>
      </c>
      <c r="BA237" s="6">
        <f>Datos_originales!$AA342/Datos_originales!$E342</f>
        <v>8.2111351712712004E-4</v>
      </c>
      <c r="BB237" s="6">
        <f>Datos_originales!$AB342/Datos_originales!$E342</f>
        <v>6.4671772587888217E-4</v>
      </c>
      <c r="BC237" s="6">
        <f>Datos_originales!$AC342/Datos_originales!$E342</f>
        <v>5.1166121512773242E-4</v>
      </c>
      <c r="BD237" s="6">
        <f>Datos_originales!$AD342/Datos_originales!$E342</f>
        <v>6.5899559049262301E-4</v>
      </c>
      <c r="BE237" s="6">
        <f>Datos_originales!$AE342/Datos_originales!$E342</f>
        <v>1.0999964419249491E-4</v>
      </c>
      <c r="BF237" s="6">
        <f>Datos_originales!$AF342/Datos_originales!$E342</f>
        <v>6.3995237190804543E-4</v>
      </c>
      <c r="BG237" s="6">
        <f>Datos_originales!$AG342/Datos_originales!$E342</f>
        <v>6.4621658854770907E-4</v>
      </c>
    </row>
    <row r="238" spans="1:59" ht="15.75" customHeight="1">
      <c r="A238" s="2">
        <v>51302</v>
      </c>
      <c r="B238" s="3" t="s">
        <v>58</v>
      </c>
      <c r="C238" s="4" t="s">
        <v>395</v>
      </c>
      <c r="D238" s="4" t="str">
        <f>IF(Table_1[[#This Row],[Forest cover 2011]]&lt;1000,"Bosque menor a 1000 ha",Table_1[[#This Row],[Forest cover 2011]])</f>
        <v>Bosque menor a 1000 ha</v>
      </c>
      <c r="E238" s="4">
        <v>749.16</v>
      </c>
      <c r="F238" s="5">
        <f>AVERAGE(Datos_originales!$H343:$J343)</f>
        <v>127.67999999999999</v>
      </c>
      <c r="G238" s="5">
        <f>AVERAGE(Datos_originales!$R343:$T343)</f>
        <v>125.06999999999998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0.63</v>
      </c>
      <c r="O238" s="4">
        <v>0</v>
      </c>
      <c r="P238" s="4">
        <v>0.09</v>
      </c>
      <c r="Q238" s="4">
        <v>0</v>
      </c>
      <c r="R238" s="4">
        <v>0</v>
      </c>
      <c r="S238" s="4">
        <v>0.89999999999999991</v>
      </c>
      <c r="T238" s="4">
        <v>0</v>
      </c>
      <c r="U238" s="4">
        <v>5.58</v>
      </c>
      <c r="V238" s="4">
        <v>2.16</v>
      </c>
      <c r="W238" s="4">
        <v>16.29</v>
      </c>
      <c r="X238" s="4">
        <v>8.370000000000001</v>
      </c>
      <c r="Y238" s="4">
        <v>2.79</v>
      </c>
      <c r="Z238" s="4">
        <v>6.21</v>
      </c>
      <c r="AA238" s="4">
        <v>18.809999999999999</v>
      </c>
      <c r="AB238" s="4">
        <v>63.9</v>
      </c>
      <c r="AC238" s="4">
        <v>30.69</v>
      </c>
      <c r="AD238" s="4">
        <v>0.09</v>
      </c>
      <c r="AE238" s="4">
        <v>1.53</v>
      </c>
      <c r="AF238" s="4">
        <v>6.3900000000000006</v>
      </c>
      <c r="AG238" s="4">
        <v>0</v>
      </c>
      <c r="AH238" s="6">
        <f>Datos_originales!$H343/Datos_originales!$E343</f>
        <v>4.7764496310365721E-4</v>
      </c>
      <c r="AI238" s="6">
        <f>Datos_originales!$I343/Datos_originales!$E343</f>
        <v>4.4995540002518429E-4</v>
      </c>
      <c r="AJ238" s="6">
        <f>Datos_originales!$J343/Datos_originales!$E343</f>
        <v>4.7533749951378444E-4</v>
      </c>
      <c r="AK238" s="6">
        <f>Datos_originales!$K343/Datos_originales!$E343</f>
        <v>1.3234951876198646E-3</v>
      </c>
      <c r="AL238" s="6">
        <f>Datos_originales!$L343/Datos_originales!$E343</f>
        <v>1.0080319511186913E-3</v>
      </c>
      <c r="AM238" s="6">
        <f>Datos_originales!$M343/Datos_originales!$E343</f>
        <v>7.4234400062763014E-4</v>
      </c>
      <c r="AN238" s="6">
        <f>Datos_originales!$N343/Datos_originales!$E343</f>
        <v>5.7587698450109665E-4</v>
      </c>
      <c r="AO238" s="6">
        <f>Datos_originales!$O343/Datos_originales!$E343</f>
        <v>6.5828639842512309E-4</v>
      </c>
      <c r="AP238" s="6">
        <f>Datos_originales!$P343/Datos_originales!$E343</f>
        <v>9.5528992620731441E-4</v>
      </c>
      <c r="AQ238" s="6">
        <f>Datos_originales!$Q343/Datos_originales!$E343</f>
        <v>1.1501057807237129E-3</v>
      </c>
      <c r="AR238" s="6">
        <f>Datos_originales!$R343/Datos_originales!$E343</f>
        <v>1.6218172660248403E-4</v>
      </c>
      <c r="AS238" s="6">
        <f>Datos_originales!$S343/Datos_originales!$E343</f>
        <v>9.9814282144780803E-4</v>
      </c>
      <c r="AT238" s="6">
        <f>Datos_originales!$T343/Datos_originales!$E343</f>
        <v>2.1393483854677262E-4</v>
      </c>
      <c r="AU238" s="6">
        <f>Datos_originales!$U343/Datos_originales!$E343</f>
        <v>1.5295187224299307E-3</v>
      </c>
      <c r="AV238" s="6">
        <f>Datos_originales!$V343/Datos_originales!$E343</f>
        <v>9.0089971301745696E-4</v>
      </c>
      <c r="AW238" s="6">
        <f>Datos_originales!$W343/Datos_originales!$E343</f>
        <v>1.8657491312399585E-3</v>
      </c>
      <c r="AX238" s="6">
        <f>Datos_originales!$X343/Datos_originales!$E343</f>
        <v>1.8120181933614934E-3</v>
      </c>
      <c r="AY238" s="6">
        <f>Datos_originales!$Y343/Datos_originales!$E343</f>
        <v>1.6056650208957309E-3</v>
      </c>
      <c r="AZ238" s="6">
        <f>Datos_originales!$Z343/Datos_originales!$E343</f>
        <v>1.1362609991844765E-3</v>
      </c>
      <c r="BA238" s="6">
        <f>Datos_originales!$AA343/Datos_originales!$E343</f>
        <v>9.1012956737694791E-4</v>
      </c>
      <c r="BB238" s="6">
        <f>Datos_originales!$AB343/Datos_originales!$E343</f>
        <v>9.0089971301745696E-4</v>
      </c>
      <c r="BC238" s="6">
        <f>Datos_originales!$AC343/Datos_originales!$E343</f>
        <v>1.4266717738527456E-3</v>
      </c>
      <c r="BD238" s="6">
        <f>Datos_originales!$AD343/Datos_originales!$E343</f>
        <v>1.293498160951519E-3</v>
      </c>
      <c r="BE238" s="6">
        <f>Datos_originales!$AE343/Datos_originales!$E343</f>
        <v>3.2502272851636031E-4</v>
      </c>
      <c r="BF238" s="6">
        <f>Datos_originales!$AF343/Datos_originales!$E343</f>
        <v>1.792899209331119E-3</v>
      </c>
      <c r="BG238" s="6">
        <f>Datos_originales!$AG343/Datos_originales!$E343</f>
        <v>5.4555032017705491E-4</v>
      </c>
    </row>
    <row r="239" spans="1:59" ht="15.75" customHeight="1">
      <c r="A239" s="2">
        <v>51401</v>
      </c>
      <c r="B239" s="3" t="s">
        <v>58</v>
      </c>
      <c r="C239" s="4" t="s">
        <v>366</v>
      </c>
      <c r="D239" s="4" t="str">
        <f>IF(Table_1[[#This Row],[Forest cover 2011]]&lt;1000,"Bosque menor a 1000 ha",Table_1[[#This Row],[Forest cover 2011]])</f>
        <v>Bosque menor a 1000 ha</v>
      </c>
      <c r="E239" s="4">
        <v>0</v>
      </c>
      <c r="F239" s="5">
        <f>AVERAGE(Datos_originales!$H314:$J314)</f>
        <v>541.32000000000005</v>
      </c>
      <c r="G239" s="5">
        <f>AVERAGE(Datos_originales!$R314:$T314)</f>
        <v>938.04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</row>
    <row r="240" spans="1:59" ht="15.75" customHeight="1">
      <c r="A240" s="2">
        <v>51402</v>
      </c>
      <c r="B240" s="3" t="s">
        <v>58</v>
      </c>
      <c r="C240" s="4" t="s">
        <v>367</v>
      </c>
      <c r="D240" s="4" t="str">
        <f>IF(Table_1[[#This Row],[Forest cover 2011]]&lt;1000,"Bosque menor a 1000 ha",Table_1[[#This Row],[Forest cover 2011]])</f>
        <v>Bosque menor a 1000 ha</v>
      </c>
      <c r="E240" s="4">
        <v>0</v>
      </c>
      <c r="F240" s="5">
        <f>AVERAGE(Datos_originales!$H315:$J315)</f>
        <v>2918.5200000000004</v>
      </c>
      <c r="G240" s="5">
        <f>AVERAGE(Datos_originales!$R315:$T315)</f>
        <v>2424.84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</row>
    <row r="241" spans="1:59" ht="15.75" customHeight="1">
      <c r="A241" s="2">
        <v>51501</v>
      </c>
      <c r="B241" s="3" t="s">
        <v>58</v>
      </c>
      <c r="C241" s="4" t="s">
        <v>76</v>
      </c>
      <c r="D241" s="4" t="str">
        <f>IF(Table_1[[#This Row],[Forest cover 2011]]&lt;1000,"Bosque menor a 1000 ha",Table_1[[#This Row],[Forest cover 2011]])</f>
        <v>Bosque menor a 1000 ha</v>
      </c>
      <c r="E241" s="4">
        <v>65.430000000000007</v>
      </c>
      <c r="F241" s="5">
        <f>AVERAGE(Datos_originales!$H16:$J16)</f>
        <v>1095.3300000000002</v>
      </c>
      <c r="G241" s="5">
        <f>AVERAGE(Datos_originales!$R16:$T16)</f>
        <v>1729.2600000000002</v>
      </c>
      <c r="H241" s="4">
        <v>0.72</v>
      </c>
      <c r="I241" s="4">
        <v>0.81</v>
      </c>
      <c r="J241" s="4">
        <v>1.35</v>
      </c>
      <c r="K241" s="4">
        <v>1.53</v>
      </c>
      <c r="L241" s="4">
        <v>0.80999999999999994</v>
      </c>
      <c r="M241" s="4">
        <v>0.72</v>
      </c>
      <c r="N241" s="4">
        <v>1.08</v>
      </c>
      <c r="O241" s="4">
        <v>1.26</v>
      </c>
      <c r="P241" s="4">
        <v>0.09</v>
      </c>
      <c r="Q241" s="4">
        <v>0.27</v>
      </c>
      <c r="R241" s="4">
        <v>0</v>
      </c>
      <c r="S241" s="4">
        <v>0.27</v>
      </c>
      <c r="T241" s="4">
        <v>12.33</v>
      </c>
      <c r="U241" s="4">
        <v>1.26</v>
      </c>
      <c r="V241" s="4">
        <v>1.17</v>
      </c>
      <c r="W241" s="4">
        <v>2.88</v>
      </c>
      <c r="X241" s="4">
        <v>1.53</v>
      </c>
      <c r="Y241" s="4">
        <v>0.99</v>
      </c>
      <c r="Z241" s="4">
        <v>0.81</v>
      </c>
      <c r="AA241" s="4">
        <v>1.17</v>
      </c>
      <c r="AB241" s="4">
        <v>2.25</v>
      </c>
      <c r="AC241" s="4">
        <v>0.18</v>
      </c>
      <c r="AD241" s="4">
        <v>0.36</v>
      </c>
      <c r="AE241" s="4">
        <v>0</v>
      </c>
      <c r="AF241" s="4">
        <v>0.27</v>
      </c>
      <c r="AG241" s="4">
        <v>21.15</v>
      </c>
      <c r="AH241" s="6">
        <f>Datos_originales!$H16/Datos_originales!$E16</f>
        <v>3.1051778188824083E-3</v>
      </c>
      <c r="AI241" s="6">
        <f>Datos_originales!$I16/Datos_originales!$E16</f>
        <v>5.2324665383904432E-3</v>
      </c>
      <c r="AJ241" s="6">
        <f>Datos_originales!$J16/Datos_originales!$E16</f>
        <v>2.9860819057331033E-3</v>
      </c>
      <c r="AK241" s="6">
        <f>Datos_originales!$K16/Datos_originales!$E16</f>
        <v>1.5144409997605674E-3</v>
      </c>
      <c r="AL241" s="6">
        <f>Datos_originales!$L16/Datos_originales!$E16</f>
        <v>2.3254717624830506E-3</v>
      </c>
      <c r="AM241" s="6">
        <f>Datos_originales!$M16/Datos_originales!$E16</f>
        <v>2.9879427793760615E-3</v>
      </c>
      <c r="AN241" s="6">
        <f>Datos_originales!$N16/Datos_originales!$E16</f>
        <v>4.5799201809265406E-3</v>
      </c>
      <c r="AO241" s="6">
        <f>Datos_originales!$O16/Datos_originales!$E16</f>
        <v>4.389490778130516E-3</v>
      </c>
      <c r="AP241" s="6">
        <f>Datos_originales!$P16/Datos_originales!$E16</f>
        <v>3.7878083002407968E-3</v>
      </c>
      <c r="AQ241" s="6">
        <f>Datos_originales!$Q16/Datos_originales!$E16</f>
        <v>3.3647696920750354E-3</v>
      </c>
      <c r="AR241" s="6">
        <f>Datos_originales!$R16/Datos_originales!$E16</f>
        <v>9.5586876126603905E-4</v>
      </c>
      <c r="AS241" s="6">
        <f>Datos_originales!$S16/Datos_originales!$E16</f>
        <v>8.5860709886077299E-3</v>
      </c>
      <c r="AT241" s="6">
        <f>Datos_originales!$T16/Datos_originales!$E16</f>
        <v>8.3354733380227343E-3</v>
      </c>
      <c r="AU241" s="6">
        <f>Datos_originales!$U16/Datos_originales!$E16</f>
        <v>3.6131963234099142E-3</v>
      </c>
      <c r="AV241" s="6">
        <f>Datos_originales!$V16/Datos_originales!$E16</f>
        <v>5.669771844485548E-3</v>
      </c>
      <c r="AW241" s="6">
        <f>Datos_originales!$W16/Datos_originales!$E16</f>
        <v>4.4347720367758255E-3</v>
      </c>
      <c r="AX241" s="6">
        <f>Datos_originales!$X16/Datos_originales!$E16</f>
        <v>1.7448791858801869E-3</v>
      </c>
      <c r="AY241" s="6">
        <f>Datos_originales!$Y16/Datos_originales!$E16</f>
        <v>2.6176289244274399E-3</v>
      </c>
      <c r="AZ241" s="6">
        <f>Datos_originales!$Z16/Datos_originales!$E16</f>
        <v>3.2351288282823016E-3</v>
      </c>
      <c r="BA241" s="6">
        <f>Datos_originales!$AA16/Datos_originales!$E16</f>
        <v>4.8196627352609499E-3</v>
      </c>
      <c r="BB241" s="6">
        <f>Datos_originales!$AB16/Datos_originales!$E16</f>
        <v>4.8956484090150638E-3</v>
      </c>
      <c r="BC241" s="6">
        <f>Datos_originales!$AC16/Datos_originales!$E16</f>
        <v>4.1190438086873022E-3</v>
      </c>
      <c r="BD241" s="6">
        <f>Datos_originales!$AD16/Datos_originales!$E16</f>
        <v>4.0802756077923455E-3</v>
      </c>
      <c r="BE241" s="6">
        <f>Datos_originales!$AE16/Datos_originales!$E16</f>
        <v>1.1515706393837779E-3</v>
      </c>
      <c r="BF241" s="6">
        <f>Datos_originales!$AF16/Datos_originales!$E16</f>
        <v>8.8810194610165569E-3</v>
      </c>
      <c r="BG241" s="6">
        <f>Datos_originales!$AG16/Datos_originales!$E16</f>
        <v>8.3649371707029008E-3</v>
      </c>
    </row>
    <row r="242" spans="1:59" ht="15.75" customHeight="1">
      <c r="A242" s="2">
        <v>51601</v>
      </c>
      <c r="B242" s="3" t="s">
        <v>58</v>
      </c>
      <c r="C242" s="4" t="s">
        <v>368</v>
      </c>
      <c r="D242" s="4" t="str">
        <f>IF(Table_1[[#This Row],[Forest cover 2011]]&lt;1000,"Bosque menor a 1000 ha",Table_1[[#This Row],[Forest cover 2011]])</f>
        <v>Bosque menor a 1000 ha</v>
      </c>
      <c r="E242" s="4">
        <v>0</v>
      </c>
      <c r="F242" s="5">
        <f>AVERAGE(Datos_originales!$H316:$J316)</f>
        <v>168.39</v>
      </c>
      <c r="G242" s="5">
        <f>AVERAGE(Datos_originales!$R316:$T316)</f>
        <v>444.75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6">
        <v>0</v>
      </c>
    </row>
    <row r="243" spans="1:59" ht="15.75" customHeight="1">
      <c r="A243" s="2">
        <v>60101</v>
      </c>
      <c r="B243" s="3" t="s">
        <v>72</v>
      </c>
      <c r="C243" s="4" t="s">
        <v>72</v>
      </c>
      <c r="D243" s="4">
        <f>IF(Table_1[[#This Row],[Forest cover 2011]]&lt;1000,"Bosque menor a 1000 ha",Table_1[[#This Row],[Forest cover 2011]])</f>
        <v>64428.84</v>
      </c>
      <c r="E243" s="4">
        <v>64428.84</v>
      </c>
      <c r="F243" s="5">
        <f>AVERAGE(Datos_originales!$H104:$J104)</f>
        <v>894.06000000000006</v>
      </c>
      <c r="G243" s="5">
        <f>AVERAGE(Datos_originales!$R104:$T104)</f>
        <v>1799.82</v>
      </c>
      <c r="H243" s="4">
        <v>18.18</v>
      </c>
      <c r="I243" s="4">
        <v>29.79</v>
      </c>
      <c r="J243" s="4">
        <v>101.34</v>
      </c>
      <c r="K243" s="4">
        <v>15.48</v>
      </c>
      <c r="L243" s="4">
        <v>14.67</v>
      </c>
      <c r="M243" s="4">
        <v>21.6</v>
      </c>
      <c r="N243" s="4">
        <v>29.97</v>
      </c>
      <c r="O243" s="4">
        <v>23.31</v>
      </c>
      <c r="P243" s="4">
        <v>26.37</v>
      </c>
      <c r="Q243" s="4">
        <v>34.739999999999988</v>
      </c>
      <c r="R243" s="4">
        <v>14.94</v>
      </c>
      <c r="S243" s="4">
        <v>60.75</v>
      </c>
      <c r="T243" s="4">
        <v>844.65</v>
      </c>
      <c r="U243" s="4">
        <v>107.82</v>
      </c>
      <c r="V243" s="4">
        <v>158.85</v>
      </c>
      <c r="W243" s="4">
        <v>378.45</v>
      </c>
      <c r="X243" s="4">
        <v>58.5</v>
      </c>
      <c r="Y243" s="4">
        <v>108.54</v>
      </c>
      <c r="Z243" s="4">
        <v>65.61</v>
      </c>
      <c r="AA243" s="4">
        <v>72.36</v>
      </c>
      <c r="AB243" s="4">
        <v>120.33</v>
      </c>
      <c r="AC243" s="4">
        <v>120.78</v>
      </c>
      <c r="AD243" s="4">
        <v>301.14</v>
      </c>
      <c r="AE243" s="4">
        <v>34.11</v>
      </c>
      <c r="AF243" s="4">
        <v>71.55</v>
      </c>
      <c r="AG243" s="4">
        <v>877.58999999999992</v>
      </c>
      <c r="AH243" s="6">
        <f>Datos_originales!$H104/Datos_originales!$E104</f>
        <v>2.7878385658906227E-4</v>
      </c>
      <c r="AI243" s="6">
        <f>Datos_originales!$I104/Datos_originales!$E104</f>
        <v>3.011658278300159E-4</v>
      </c>
      <c r="AJ243" s="6">
        <f>Datos_originales!$J104/Datos_originales!$E104</f>
        <v>3.8815990472881677E-4</v>
      </c>
      <c r="AK243" s="6">
        <f>Datos_originales!$K104/Datos_originales!$E104</f>
        <v>2.3967225517526234E-4</v>
      </c>
      <c r="AL243" s="6">
        <f>Datos_originales!$L104/Datos_originales!$E104</f>
        <v>4.1872802510289122E-4</v>
      </c>
      <c r="AM243" s="6">
        <f>Datos_originales!$M104/Datos_originales!$E104</f>
        <v>4.2233382888771828E-4</v>
      </c>
      <c r="AN243" s="6">
        <f>Datos_originales!$N104/Datos_originales!$E104</f>
        <v>4.3529523168182643E-4</v>
      </c>
      <c r="AO243" s="6">
        <f>Datos_originales!$O104/Datos_originales!$E104</f>
        <v>5.1676690638764885E-4</v>
      </c>
      <c r="AP243" s="6">
        <f>Datos_originales!$P104/Datos_originales!$E104</f>
        <v>4.8639369432626771E-4</v>
      </c>
      <c r="AQ243" s="6">
        <f>Datos_originales!$Q104/Datos_originales!$E104</f>
        <v>4.8194328785310277E-4</v>
      </c>
      <c r="AR243" s="6">
        <f>Datos_originales!$R104/Datos_originales!$E104</f>
        <v>2.7430096539711511E-4</v>
      </c>
      <c r="AS243" s="6">
        <f>Datos_originales!$S104/Datos_originales!$E104</f>
        <v>1.0530571287634155E-3</v>
      </c>
      <c r="AT243" s="6">
        <f>Datos_originales!$T104/Datos_originales!$E104</f>
        <v>6.2153012446032726E-4</v>
      </c>
      <c r="AU243" s="6">
        <f>Datos_originales!$U104/Datos_originales!$E104</f>
        <v>2.7716286912182922E-3</v>
      </c>
      <c r="AV243" s="6">
        <f>Datos_originales!$V104/Datos_originales!$E104</f>
        <v>2.0844144653803048E-3</v>
      </c>
      <c r="AW243" s="6">
        <f>Datos_originales!$W104/Datos_originales!$E104</f>
        <v>3.1460475599022269E-3</v>
      </c>
      <c r="AX243" s="6">
        <f>Datos_originales!$X104/Datos_originales!$E104</f>
        <v>1.7387120880998565E-3</v>
      </c>
      <c r="AY243" s="6">
        <f>Datos_originales!$Y104/Datos_originales!$E104</f>
        <v>1.2854203222126771E-3</v>
      </c>
      <c r="AZ243" s="6">
        <f>Datos_originales!$Z104/Datos_originales!$E104</f>
        <v>1.0541291244832291E-3</v>
      </c>
      <c r="BA243" s="6">
        <f>Datos_originales!$AA104/Datos_originales!$E104</f>
        <v>1.1196832869857607E-3</v>
      </c>
      <c r="BB243" s="6">
        <f>Datos_originales!$AB104/Datos_originales!$E104</f>
        <v>1.3397997414541232E-3</v>
      </c>
      <c r="BC243" s="6">
        <f>Datos_originales!$AC104/Datos_originales!$E104</f>
        <v>1.2167151419882694E-3</v>
      </c>
      <c r="BD243" s="6">
        <f>Datos_originales!$AD104/Datos_originales!$E104</f>
        <v>1.5572849337011252E-3</v>
      </c>
      <c r="BE243" s="6">
        <f>Datos_originales!$AE104/Datos_originales!$E104</f>
        <v>1.0205399252624075E-3</v>
      </c>
      <c r="BF243" s="6">
        <f>Datos_originales!$AF104/Datos_originales!$E104</f>
        <v>1.9975828120754142E-3</v>
      </c>
      <c r="BG243" s="6">
        <f>Datos_originales!$AG104/Datos_originales!$E104</f>
        <v>6.0919567673871616E-3</v>
      </c>
    </row>
    <row r="244" spans="1:59" ht="15.75" customHeight="1">
      <c r="A244" s="2">
        <v>60201</v>
      </c>
      <c r="B244" s="3" t="s">
        <v>72</v>
      </c>
      <c r="C244" s="4" t="s">
        <v>223</v>
      </c>
      <c r="D244" s="4">
        <f>IF(Table_1[[#This Row],[Forest cover 2011]]&lt;1000,"Bosque menor a 1000 ha",Table_1[[#This Row],[Forest cover 2011]])</f>
        <v>331244.28000000003</v>
      </c>
      <c r="E244" s="4">
        <v>331244.28000000003</v>
      </c>
      <c r="F244" s="5">
        <f>AVERAGE(Datos_originales!$H165:$J165)</f>
        <v>615.92999999999995</v>
      </c>
      <c r="G244" s="5">
        <f>AVERAGE(Datos_originales!$R165:$T165)</f>
        <v>758.96999999999991</v>
      </c>
      <c r="H244" s="4">
        <v>370.98</v>
      </c>
      <c r="I244" s="4">
        <v>840.78</v>
      </c>
      <c r="J244" s="4">
        <v>381.6</v>
      </c>
      <c r="K244" s="4">
        <v>228.15</v>
      </c>
      <c r="L244" s="4">
        <v>235.8</v>
      </c>
      <c r="M244" s="4">
        <v>260.27999999999997</v>
      </c>
      <c r="N244" s="4">
        <v>176.67</v>
      </c>
      <c r="O244" s="4">
        <v>339.3</v>
      </c>
      <c r="P244" s="4">
        <v>595.44000000000005</v>
      </c>
      <c r="Q244" s="4">
        <v>191.43</v>
      </c>
      <c r="R244" s="4">
        <v>275.94</v>
      </c>
      <c r="S244" s="4">
        <v>1275.03</v>
      </c>
      <c r="T244" s="4">
        <v>1111.5899999999999</v>
      </c>
      <c r="U244" s="4">
        <v>513.36</v>
      </c>
      <c r="V244" s="4">
        <v>974.61</v>
      </c>
      <c r="W244" s="4">
        <v>830.16</v>
      </c>
      <c r="X244" s="4">
        <v>299.7</v>
      </c>
      <c r="Y244" s="4">
        <v>342.81</v>
      </c>
      <c r="Z244" s="4">
        <v>315.81</v>
      </c>
      <c r="AA244" s="4">
        <v>223.74</v>
      </c>
      <c r="AB244" s="4">
        <v>458.73</v>
      </c>
      <c r="AC244" s="4">
        <v>689.04</v>
      </c>
      <c r="AD244" s="4">
        <v>661.58999999999992</v>
      </c>
      <c r="AE244" s="4">
        <v>305.27999999999997</v>
      </c>
      <c r="AF244" s="4">
        <v>1320.12</v>
      </c>
      <c r="AG244" s="4">
        <v>1276.47</v>
      </c>
      <c r="AH244" s="6">
        <f>Datos_originales!$H165/Datos_originales!$E165</f>
        <v>9.8272359064342906E-3</v>
      </c>
      <c r="AI244" s="6">
        <f>Datos_originales!$I165/Datos_originales!$E165</f>
        <v>1.1019565418156392E-2</v>
      </c>
      <c r="AJ244" s="6">
        <f>Datos_originales!$J165/Datos_originales!$E165</f>
        <v>1.3011728696386402E-2</v>
      </c>
      <c r="AK244" s="6">
        <f>Datos_originales!$K165/Datos_originales!$E165</f>
        <v>9.8849558689657908E-3</v>
      </c>
      <c r="AL244" s="6">
        <f>Datos_originales!$L165/Datos_originales!$E165</f>
        <v>3.9843265564600185E-3</v>
      </c>
      <c r="AM244" s="6">
        <f>Datos_originales!$M165/Datos_originales!$E165</f>
        <v>6.6130585643231262E-3</v>
      </c>
      <c r="AN244" s="6">
        <f>Datos_originales!$N165/Datos_originales!$E165</f>
        <v>4.9325830837632098E-3</v>
      </c>
      <c r="AO244" s="6">
        <f>Datos_originales!$O165/Datos_originales!$E165</f>
        <v>7.2941541221948104E-3</v>
      </c>
      <c r="AP244" s="6">
        <f>Datos_originales!$P165/Datos_originales!$E165</f>
        <v>1.2154174967346993E-2</v>
      </c>
      <c r="AQ244" s="6">
        <f>Datos_originales!$Q165/Datos_originales!$E165</f>
        <v>1.6577173239046401E-2</v>
      </c>
      <c r="AR244" s="6">
        <f>Datos_originales!$R165/Datos_originales!$E165</f>
        <v>3.8606409224639501E-3</v>
      </c>
      <c r="AS244" s="6">
        <f>Datos_originales!$S165/Datos_originales!$E165</f>
        <v>1.5325474623006189E-2</v>
      </c>
      <c r="AT244" s="6">
        <f>Datos_originales!$T165/Datos_originales!$E165</f>
        <v>2.253552251408367E-2</v>
      </c>
      <c r="AU244" s="6">
        <f>Datos_originales!$U165/Datos_originales!$E165</f>
        <v>1.221849149702495E-2</v>
      </c>
      <c r="AV244" s="6">
        <f>Datos_originales!$V165/Datos_originales!$E165</f>
        <v>1.216077153449345E-2</v>
      </c>
      <c r="AW244" s="6">
        <f>Datos_originales!$W165/Datos_originales!$E165</f>
        <v>1.4271673021359685E-2</v>
      </c>
      <c r="AX244" s="6">
        <f>Datos_originales!$X165/Datos_originales!$E165</f>
        <v>1.1098724223913876E-2</v>
      </c>
      <c r="AY244" s="6">
        <f>Datos_originales!$Y165/Datos_originales!$E165</f>
        <v>5.2657097246592878E-3</v>
      </c>
      <c r="AZ244" s="6">
        <f>Datos_originales!$Z165/Datos_originales!$E165</f>
        <v>7.922477142894839E-3</v>
      </c>
      <c r="BA244" s="6">
        <f>Datos_originales!$AA165/Datos_originales!$E165</f>
        <v>6.2584930802010641E-3</v>
      </c>
      <c r="BB244" s="6">
        <f>Datos_originales!$AB165/Datos_originales!$E165</f>
        <v>8.5540984471680938E-3</v>
      </c>
      <c r="BC244" s="6">
        <f>Datos_originales!$AC165/Datos_originales!$E165</f>
        <v>1.3049658957478527E-2</v>
      </c>
      <c r="BD244" s="6">
        <f>Datos_originales!$AD165/Datos_originales!$E165</f>
        <v>1.738030528912754E-2</v>
      </c>
      <c r="BE244" s="6">
        <f>Datos_originales!$AE165/Datos_originales!$E165</f>
        <v>4.0321516682718314E-3</v>
      </c>
      <c r="BF244" s="6">
        <f>Datos_originales!$AF165/Datos_originales!$E165</f>
        <v>1.7517184057416521E-2</v>
      </c>
      <c r="BG244" s="6">
        <f>Datos_originales!$AG165/Datos_originales!$E165</f>
        <v>2.2629523595920683E-2</v>
      </c>
    </row>
    <row r="245" spans="1:59" ht="15.75" customHeight="1">
      <c r="A245" s="2">
        <v>60202</v>
      </c>
      <c r="B245" s="3" t="s">
        <v>72</v>
      </c>
      <c r="C245" s="4" t="s">
        <v>151</v>
      </c>
      <c r="D245" s="4">
        <f>IF(Table_1[[#This Row],[Forest cover 2011]]&lt;1000,"Bosque menor a 1000 ha",Table_1[[#This Row],[Forest cover 2011]])</f>
        <v>25936.92</v>
      </c>
      <c r="E245" s="4">
        <v>25936.92</v>
      </c>
      <c r="F245" s="5">
        <f>AVERAGE(Datos_originales!$H90:$J90)</f>
        <v>643.23</v>
      </c>
      <c r="G245" s="5">
        <f>AVERAGE(Datos_originales!$R90:$T90)</f>
        <v>2460.27</v>
      </c>
      <c r="H245" s="4">
        <v>108.45</v>
      </c>
      <c r="I245" s="4">
        <v>410.22</v>
      </c>
      <c r="J245" s="4">
        <v>134.46</v>
      </c>
      <c r="K245" s="4">
        <v>66.239999999999995</v>
      </c>
      <c r="L245" s="4">
        <v>54.54</v>
      </c>
      <c r="M245" s="4">
        <v>64.98</v>
      </c>
      <c r="N245" s="4">
        <v>52.74</v>
      </c>
      <c r="O245" s="4">
        <v>71.19</v>
      </c>
      <c r="P245" s="4">
        <v>188.37</v>
      </c>
      <c r="Q245" s="4">
        <v>111.78</v>
      </c>
      <c r="R245" s="4">
        <v>216.81</v>
      </c>
      <c r="S245" s="4">
        <v>471.69000000000011</v>
      </c>
      <c r="T245" s="4">
        <v>405.27</v>
      </c>
      <c r="U245" s="4">
        <v>120.96</v>
      </c>
      <c r="V245" s="4">
        <v>412.92</v>
      </c>
      <c r="W245" s="4">
        <v>137.43</v>
      </c>
      <c r="X245" s="4">
        <v>68.039999999999992</v>
      </c>
      <c r="Y245" s="4">
        <v>61.38</v>
      </c>
      <c r="Z245" s="4">
        <v>65.88</v>
      </c>
      <c r="AA245" s="4">
        <v>63</v>
      </c>
      <c r="AB245" s="4">
        <v>77.400000000000006</v>
      </c>
      <c r="AC245" s="4">
        <v>203.04</v>
      </c>
      <c r="AD245" s="4">
        <v>125.64</v>
      </c>
      <c r="AE245" s="4">
        <v>233.46</v>
      </c>
      <c r="AF245" s="4">
        <v>484.92</v>
      </c>
      <c r="AG245" s="4">
        <v>429.48</v>
      </c>
      <c r="AH245" s="6">
        <f>Datos_originales!$H90/Datos_originales!$E90</f>
        <v>1.2888645512466866E-3</v>
      </c>
      <c r="AI245" s="6">
        <f>Datos_originales!$I90/Datos_originales!$E90</f>
        <v>2.8689170196268838E-3</v>
      </c>
      <c r="AJ245" s="6">
        <f>Datos_originales!$J90/Datos_originales!$E90</f>
        <v>3.1529445781423573E-3</v>
      </c>
      <c r="AK245" s="6">
        <f>Datos_originales!$K90/Datos_originales!$E90</f>
        <v>2.3792848779363436E-3</v>
      </c>
      <c r="AL245" s="6">
        <f>Datos_originales!$L90/Datos_originales!$E90</f>
        <v>2.7594658236083161E-3</v>
      </c>
      <c r="AM245" s="6">
        <f>Datos_originales!$M90/Datos_originales!$E90</f>
        <v>1.6983688703068112E-3</v>
      </c>
      <c r="AN245" s="6">
        <f>Datos_originales!$N90/Datos_originales!$E90</f>
        <v>1.6322207954544679E-3</v>
      </c>
      <c r="AO245" s="6">
        <f>Datos_originales!$O90/Datos_originales!$E90</f>
        <v>2.556929965555265E-3</v>
      </c>
      <c r="AP245" s="6">
        <f>Datos_originales!$P90/Datos_originales!$E90</f>
        <v>4.018325062550847E-3</v>
      </c>
      <c r="AQ245" s="6">
        <f>Datos_originales!$Q90/Datos_originales!$E90</f>
        <v>4.1243665639893977E-3</v>
      </c>
      <c r="AR245" s="6">
        <f>Datos_originales!$R90/Datos_originales!$E90</f>
        <v>8.4151262234836576E-4</v>
      </c>
      <c r="AS245" s="6">
        <f>Datos_originales!$S90/Datos_originales!$E90</f>
        <v>1.7632553581645477E-2</v>
      </c>
      <c r="AT245" s="6">
        <f>Datos_originales!$T90/Datos_originales!$E90</f>
        <v>9.4884980772732257E-3</v>
      </c>
      <c r="AU245" s="6">
        <f>Datos_originales!$U90/Datos_originales!$E90</f>
        <v>1.570164354098146E-3</v>
      </c>
      <c r="AV245" s="6">
        <f>Datos_originales!$V90/Datos_originales!$E90</f>
        <v>3.1884054017745416E-3</v>
      </c>
      <c r="AW245" s="6">
        <f>Datos_originales!$W90/Datos_originales!$E90</f>
        <v>3.5948409957126501E-3</v>
      </c>
      <c r="AX245" s="6">
        <f>Datos_originales!$X90/Datos_originales!$E90</f>
        <v>2.5241968975870952E-3</v>
      </c>
      <c r="AY245" s="6">
        <f>Datos_originales!$Y90/Datos_originales!$E90</f>
        <v>2.8665302334208716E-3</v>
      </c>
      <c r="AZ245" s="6">
        <f>Datos_originales!$Z90/Datos_originales!$E90</f>
        <v>1.7594024032891275E-3</v>
      </c>
      <c r="BA245" s="6">
        <f>Datos_originales!$AA90/Datos_originales!$E90</f>
        <v>1.7195089767029208E-3</v>
      </c>
      <c r="BB245" s="6">
        <f>Datos_originales!$AB90/Datos_originales!$E90</f>
        <v>2.8242500206286524E-3</v>
      </c>
      <c r="BC245" s="6">
        <f>Datos_originales!$AC90/Datos_originales!$E90</f>
        <v>4.1308449836914302E-3</v>
      </c>
      <c r="BD245" s="6">
        <f>Datos_originales!$AD90/Datos_originales!$E90</f>
        <v>4.2072221422838271E-3</v>
      </c>
      <c r="BE245" s="6">
        <f>Datos_originales!$AE90/Datos_originales!$E90</f>
        <v>8.8583865188859563E-4</v>
      </c>
      <c r="BF245" s="6">
        <f>Datos_originales!$AF90/Datos_originales!$E90</f>
        <v>1.7954087780541146E-2</v>
      </c>
      <c r="BG245" s="6">
        <f>Datos_originales!$AG90/Datos_originales!$E90</f>
        <v>1.1063095034325395E-2</v>
      </c>
    </row>
    <row r="246" spans="1:59" ht="15.75" customHeight="1">
      <c r="A246" s="2">
        <v>60301</v>
      </c>
      <c r="B246" s="3" t="s">
        <v>72</v>
      </c>
      <c r="C246" s="4" t="s">
        <v>152</v>
      </c>
      <c r="D246" s="4">
        <f>IF(Table_1[[#This Row],[Forest cover 2011]]&lt;1000,"Bosque menor a 1000 ha",Table_1[[#This Row],[Forest cover 2011]])</f>
        <v>305201.25</v>
      </c>
      <c r="E246" s="4">
        <v>305201.25</v>
      </c>
      <c r="F246" s="5">
        <f>AVERAGE(Datos_originales!$H91:$J91)</f>
        <v>0</v>
      </c>
      <c r="G246" s="5">
        <f>AVERAGE(Datos_originales!$R91:$T91)</f>
        <v>0</v>
      </c>
      <c r="H246" s="4">
        <v>5011.29</v>
      </c>
      <c r="I246" s="4">
        <v>5540.9400000000014</v>
      </c>
      <c r="J246" s="4">
        <v>2147.2199999999998</v>
      </c>
      <c r="K246" s="4">
        <v>1242.9000000000001</v>
      </c>
      <c r="L246" s="4">
        <v>2391.5700000000002</v>
      </c>
      <c r="M246" s="4">
        <v>1894.77</v>
      </c>
      <c r="N246" s="4">
        <v>6275.7</v>
      </c>
      <c r="O246" s="4">
        <v>6332.4</v>
      </c>
      <c r="P246" s="4">
        <v>5341.41</v>
      </c>
      <c r="Q246" s="4">
        <v>6579.81</v>
      </c>
      <c r="R246" s="4">
        <v>9470.07</v>
      </c>
      <c r="S246" s="4">
        <v>7197.48</v>
      </c>
      <c r="T246" s="4">
        <v>4908.42</v>
      </c>
      <c r="U246" s="4">
        <v>5157.18</v>
      </c>
      <c r="V246" s="4">
        <v>5613.21</v>
      </c>
      <c r="W246" s="4">
        <v>2244.96</v>
      </c>
      <c r="X246" s="4">
        <v>1268.0999999999999</v>
      </c>
      <c r="Y246" s="4">
        <v>2414.4299999999998</v>
      </c>
      <c r="Z246" s="4">
        <v>1904.58</v>
      </c>
      <c r="AA246" s="4">
        <v>6321.42</v>
      </c>
      <c r="AB246" s="4">
        <v>6372.09</v>
      </c>
      <c r="AC246" s="4">
        <v>5373</v>
      </c>
      <c r="AD246" s="4">
        <v>6593.85</v>
      </c>
      <c r="AE246" s="4">
        <v>9489.24</v>
      </c>
      <c r="AF246" s="4">
        <v>10318.32</v>
      </c>
      <c r="AG246" s="4">
        <v>5043.1499999999996</v>
      </c>
      <c r="AH246" s="6">
        <f>Datos_originales!$H91/Datos_originales!$E91</f>
        <v>0</v>
      </c>
      <c r="AI246" s="6">
        <f>Datos_originales!$I91/Datos_originales!$E91</f>
        <v>0</v>
      </c>
      <c r="AJ246" s="6">
        <f>Datos_originales!$J91/Datos_originales!$E91</f>
        <v>0</v>
      </c>
      <c r="AK246" s="6">
        <f>Datos_originales!$K91/Datos_originales!$E91</f>
        <v>0</v>
      </c>
      <c r="AL246" s="6">
        <f>Datos_originales!$L91/Datos_originales!$E91</f>
        <v>0</v>
      </c>
      <c r="AM246" s="6">
        <f>Datos_originales!$M91/Datos_originales!$E91</f>
        <v>0</v>
      </c>
      <c r="AN246" s="6">
        <f>Datos_originales!$N91/Datos_originales!$E91</f>
        <v>0</v>
      </c>
      <c r="AO246" s="6">
        <f>Datos_originales!$O91/Datos_originales!$E91</f>
        <v>0</v>
      </c>
      <c r="AP246" s="6">
        <f>Datos_originales!$P91/Datos_originales!$E91</f>
        <v>0</v>
      </c>
      <c r="AQ246" s="6">
        <f>Datos_originales!$Q91/Datos_originales!$E91</f>
        <v>0</v>
      </c>
      <c r="AR246" s="6">
        <f>Datos_originales!$R91/Datos_originales!$E91</f>
        <v>0</v>
      </c>
      <c r="AS246" s="6">
        <f>Datos_originales!$S91/Datos_originales!$E91</f>
        <v>0</v>
      </c>
      <c r="AT246" s="6">
        <f>Datos_originales!$T91/Datos_originales!$E91</f>
        <v>0</v>
      </c>
      <c r="AU246" s="6">
        <f>Datos_originales!$U91/Datos_originales!$E91</f>
        <v>0</v>
      </c>
      <c r="AV246" s="6">
        <f>Datos_originales!$V91/Datos_originales!$E91</f>
        <v>0</v>
      </c>
      <c r="AW246" s="6">
        <f>Datos_originales!$W91/Datos_originales!$E91</f>
        <v>9.9999999999999992E-2</v>
      </c>
      <c r="AX246" s="6">
        <f>Datos_originales!$X91/Datos_originales!$E91</f>
        <v>9.9999999999999992E-2</v>
      </c>
      <c r="AY246" s="6">
        <f>Datos_originales!$Y91/Datos_originales!$E91</f>
        <v>0</v>
      </c>
      <c r="AZ246" s="6">
        <f>Datos_originales!$Z91/Datos_originales!$E91</f>
        <v>0</v>
      </c>
      <c r="BA246" s="6">
        <f>Datos_originales!$AA91/Datos_originales!$E91</f>
        <v>0</v>
      </c>
      <c r="BB246" s="6">
        <f>Datos_originales!$AB91/Datos_originales!$E91</f>
        <v>0</v>
      </c>
      <c r="BC246" s="6">
        <f>Datos_originales!$AC91/Datos_originales!$E91</f>
        <v>0</v>
      </c>
      <c r="BD246" s="6">
        <f>Datos_originales!$AD91/Datos_originales!$E91</f>
        <v>0</v>
      </c>
      <c r="BE246" s="6">
        <f>Datos_originales!$AE91/Datos_originales!$E91</f>
        <v>0</v>
      </c>
      <c r="BF246" s="6">
        <f>Datos_originales!$AF91/Datos_originales!$E91</f>
        <v>0</v>
      </c>
      <c r="BG246" s="6">
        <f>Datos_originales!$AG91/Datos_originales!$E91</f>
        <v>0</v>
      </c>
    </row>
    <row r="247" spans="1:59" ht="15.75" customHeight="1">
      <c r="A247" s="2">
        <v>60302</v>
      </c>
      <c r="B247" s="3" t="s">
        <v>72</v>
      </c>
      <c r="C247" s="4" t="s">
        <v>198</v>
      </c>
      <c r="D247" s="4">
        <f>IF(Table_1[[#This Row],[Forest cover 2011]]&lt;1000,"Bosque menor a 1000 ha",Table_1[[#This Row],[Forest cover 2011]])</f>
        <v>274668.57</v>
      </c>
      <c r="E247" s="4">
        <v>274668.57</v>
      </c>
      <c r="F247" s="5">
        <f>AVERAGE(Datos_originales!$H138:$J138)</f>
        <v>0</v>
      </c>
      <c r="G247" s="5">
        <f>AVERAGE(Datos_originales!$R138:$T138)</f>
        <v>0.24</v>
      </c>
      <c r="H247" s="4">
        <v>1096.2</v>
      </c>
      <c r="I247" s="4">
        <v>1522.8</v>
      </c>
      <c r="J247" s="4">
        <v>1024.92</v>
      </c>
      <c r="K247" s="4">
        <v>769.05</v>
      </c>
      <c r="L247" s="4">
        <v>1033.47</v>
      </c>
      <c r="M247" s="4">
        <v>1087.1099999999999</v>
      </c>
      <c r="N247" s="4">
        <v>592.55999999999995</v>
      </c>
      <c r="O247" s="4">
        <v>815.49</v>
      </c>
      <c r="P247" s="4">
        <v>847.44</v>
      </c>
      <c r="Q247" s="4">
        <v>782.82</v>
      </c>
      <c r="R247" s="4">
        <v>320.67</v>
      </c>
      <c r="S247" s="4">
        <v>2523.5100000000002</v>
      </c>
      <c r="T247" s="4">
        <v>1533.15</v>
      </c>
      <c r="U247" s="4">
        <v>1160.28</v>
      </c>
      <c r="V247" s="4">
        <v>1541.25</v>
      </c>
      <c r="W247" s="4">
        <v>1084.32</v>
      </c>
      <c r="X247" s="4">
        <v>782.81999999999994</v>
      </c>
      <c r="Y247" s="4">
        <v>1049.67</v>
      </c>
      <c r="Z247" s="4">
        <v>1096.1099999999999</v>
      </c>
      <c r="AA247" s="4">
        <v>623.06999999999994</v>
      </c>
      <c r="AB247" s="4">
        <v>881.91</v>
      </c>
      <c r="AC247" s="4">
        <v>868.5</v>
      </c>
      <c r="AD247" s="4">
        <v>822.78</v>
      </c>
      <c r="AE247" s="4">
        <v>334.62</v>
      </c>
      <c r="AF247" s="4">
        <v>2550.33</v>
      </c>
      <c r="AG247" s="4">
        <v>1624.41</v>
      </c>
      <c r="AH247" s="6">
        <f>Datos_originales!$H138/Datos_originales!$E138</f>
        <v>0</v>
      </c>
      <c r="AI247" s="6">
        <f>Datos_originales!$I138/Datos_originales!$E138</f>
        <v>0</v>
      </c>
      <c r="AJ247" s="6">
        <f>Datos_originales!$J138/Datos_originales!$E138</f>
        <v>0</v>
      </c>
      <c r="AK247" s="6">
        <f>Datos_originales!$K138/Datos_originales!$E138</f>
        <v>0</v>
      </c>
      <c r="AL247" s="6">
        <f>Datos_originales!$L138/Datos_originales!$E138</f>
        <v>0</v>
      </c>
      <c r="AM247" s="6">
        <f>Datos_originales!$M138/Datos_originales!$E138</f>
        <v>0</v>
      </c>
      <c r="AN247" s="6">
        <f>Datos_originales!$N138/Datos_originales!$E138</f>
        <v>0</v>
      </c>
      <c r="AO247" s="6">
        <f>Datos_originales!$O138/Datos_originales!$E138</f>
        <v>0</v>
      </c>
      <c r="AP247" s="6">
        <f>Datos_originales!$P138/Datos_originales!$E138</f>
        <v>1.2626262626262625E-3</v>
      </c>
      <c r="AQ247" s="6">
        <f>Datos_originales!$Q138/Datos_originales!$E138</f>
        <v>1.5782828282828283E-3</v>
      </c>
      <c r="AR247" s="6">
        <f>Datos_originales!$R138/Datos_originales!$E138</f>
        <v>1.5782828282828283E-3</v>
      </c>
      <c r="AS247" s="6">
        <f>Datos_originales!$S138/Datos_originales!$E138</f>
        <v>9.46969696969697E-4</v>
      </c>
      <c r="AT247" s="6">
        <f>Datos_originales!$T138/Datos_originales!$E138</f>
        <v>0</v>
      </c>
      <c r="AU247" s="6">
        <f>Datos_originales!$U138/Datos_originales!$E138</f>
        <v>2.840909090909091E-3</v>
      </c>
      <c r="AV247" s="6">
        <f>Datos_originales!$V138/Datos_originales!$E138</f>
        <v>4.734848484848485E-3</v>
      </c>
      <c r="AW247" s="6">
        <f>Datos_originales!$W138/Datos_originales!$E138</f>
        <v>1.9255050505050504E-2</v>
      </c>
      <c r="AX247" s="6">
        <f>Datos_originales!$X138/Datos_originales!$E138</f>
        <v>2.5883838383838384E-2</v>
      </c>
      <c r="AY247" s="6">
        <f>Datos_originales!$Y138/Datos_originales!$E138</f>
        <v>1.9570707070707072E-2</v>
      </c>
      <c r="AZ247" s="6">
        <f>Datos_originales!$Z138/Datos_originales!$E138</f>
        <v>6.0921717171717175E-2</v>
      </c>
      <c r="BA247" s="6">
        <f>Datos_originales!$AA138/Datos_originales!$E138</f>
        <v>5.8396464646464641E-2</v>
      </c>
      <c r="BB247" s="6">
        <f>Datos_originales!$AB138/Datos_originales!$E138</f>
        <v>3.5037878787878785E-2</v>
      </c>
      <c r="BC247" s="6">
        <f>Datos_originales!$AC138/Datos_originales!$E138</f>
        <v>9.7853535353535359E-3</v>
      </c>
      <c r="BD247" s="6">
        <f>Datos_originales!$AD138/Datos_originales!$E138</f>
        <v>1.5782828282828283E-3</v>
      </c>
      <c r="BE247" s="6">
        <f>Datos_originales!$AE138/Datos_originales!$E138</f>
        <v>2.525252525252525E-3</v>
      </c>
      <c r="BF247" s="6">
        <f>Datos_originales!$AF138/Datos_originales!$E138</f>
        <v>4.1035353535353531E-3</v>
      </c>
      <c r="BG247" s="6">
        <f>Datos_originales!$AG138/Datos_originales!$E138</f>
        <v>0</v>
      </c>
    </row>
    <row r="248" spans="1:59" ht="15.75" customHeight="1">
      <c r="A248" s="2">
        <v>60303</v>
      </c>
      <c r="B248" s="3" t="s">
        <v>72</v>
      </c>
      <c r="C248" s="4" t="s">
        <v>208</v>
      </c>
      <c r="D248" s="4">
        <f>IF(Table_1[[#This Row],[Forest cover 2011]]&lt;1000,"Bosque menor a 1000 ha",Table_1[[#This Row],[Forest cover 2011]])</f>
        <v>966590.19</v>
      </c>
      <c r="E248" s="4">
        <v>966590.19</v>
      </c>
      <c r="F248" s="5">
        <f>AVERAGE(Datos_originales!$H148:$J148)</f>
        <v>81.27</v>
      </c>
      <c r="G248" s="5">
        <f>AVERAGE(Datos_originales!$R148:$T148)</f>
        <v>237.36</v>
      </c>
      <c r="H248" s="4">
        <v>1496.52</v>
      </c>
      <c r="I248" s="4">
        <v>2952.54</v>
      </c>
      <c r="J248" s="4">
        <v>3121.74</v>
      </c>
      <c r="K248" s="4">
        <v>2583.81</v>
      </c>
      <c r="L248" s="4">
        <v>1856.97</v>
      </c>
      <c r="M248" s="4">
        <v>2099.34</v>
      </c>
      <c r="N248" s="4">
        <v>2839.23</v>
      </c>
      <c r="O248" s="4">
        <v>3976.29</v>
      </c>
      <c r="P248" s="4">
        <v>3502.8</v>
      </c>
      <c r="Q248" s="4">
        <v>7490.52</v>
      </c>
      <c r="R248" s="4">
        <v>4155.93</v>
      </c>
      <c r="S248" s="4">
        <v>4403.34</v>
      </c>
      <c r="T248" s="4">
        <v>4240.9799999999996</v>
      </c>
      <c r="U248" s="4">
        <v>2158.1999999999998</v>
      </c>
      <c r="V248" s="4">
        <v>3347.64</v>
      </c>
      <c r="W248" s="4">
        <v>4150.08</v>
      </c>
      <c r="X248" s="4">
        <v>2829.87</v>
      </c>
      <c r="Y248" s="4">
        <v>1975.41</v>
      </c>
      <c r="Z248" s="4">
        <v>2167.4699999999998</v>
      </c>
      <c r="AA248" s="4">
        <v>3197.34</v>
      </c>
      <c r="AB248" s="4">
        <v>4435.74</v>
      </c>
      <c r="AC248" s="4">
        <v>3691.71</v>
      </c>
      <c r="AD248" s="4">
        <v>7623.54</v>
      </c>
      <c r="AE248" s="4">
        <v>4530.6900000000014</v>
      </c>
      <c r="AF248" s="4">
        <v>24164.82</v>
      </c>
      <c r="AG248" s="4">
        <v>4737.78</v>
      </c>
      <c r="AH248" s="6">
        <f>Datos_originales!$H148/Datos_originales!$E148</f>
        <v>9.8957978887363241E-4</v>
      </c>
      <c r="AI248" s="6">
        <f>Datos_originales!$I148/Datos_originales!$E148</f>
        <v>5.1320440507119606E-4</v>
      </c>
      <c r="AJ248" s="6">
        <f>Datos_originales!$J148/Datos_originales!$E148</f>
        <v>6.6612490642626383E-4</v>
      </c>
      <c r="AK248" s="6">
        <f>Datos_originales!$K148/Datos_originales!$E148</f>
        <v>8.9110218852455735E-4</v>
      </c>
      <c r="AL248" s="6">
        <f>Datos_originales!$L148/Datos_originales!$E148</f>
        <v>8.2304856226706651E-4</v>
      </c>
      <c r="AM248" s="6">
        <f>Datos_originales!$M148/Datos_originales!$E148</f>
        <v>1.0184025011709228E-3</v>
      </c>
      <c r="AN248" s="6">
        <f>Datos_originales!$N148/Datos_originales!$E148</f>
        <v>1.7021412873344194E-3</v>
      </c>
      <c r="AO248" s="6">
        <f>Datos_originales!$O148/Datos_originales!$E148</f>
        <v>2.2938075203260168E-3</v>
      </c>
      <c r="AP248" s="6">
        <f>Datos_originales!$P148/Datos_originales!$E148</f>
        <v>2.0480138349019024E-3</v>
      </c>
      <c r="AQ248" s="6">
        <f>Datos_originales!$Q148/Datos_originales!$E148</f>
        <v>2.5948447376532707E-3</v>
      </c>
      <c r="AR248" s="6">
        <f>Datos_originales!$R148/Datos_originales!$E148</f>
        <v>1.3114334095267069E-3</v>
      </c>
      <c r="AS248" s="6">
        <f>Datos_originales!$S148/Datos_originales!$E148</f>
        <v>3.7077216846875339E-3</v>
      </c>
      <c r="AT248" s="6">
        <f>Datos_originales!$T148/Datos_originales!$E148</f>
        <v>1.3154365640124417E-3</v>
      </c>
      <c r="AU248" s="6">
        <f>Datos_originales!$U148/Datos_originales!$E148</f>
        <v>4.9406932662938389E-3</v>
      </c>
      <c r="AV248" s="6">
        <f>Datos_originales!$V148/Datos_originales!$E148</f>
        <v>2.8182207579572705E-3</v>
      </c>
      <c r="AW248" s="6">
        <f>Datos_originales!$W148/Datos_originales!$E148</f>
        <v>4.7253235549613096E-3</v>
      </c>
      <c r="AX248" s="6">
        <f>Datos_originales!$X148/Datos_originales!$E148</f>
        <v>2.6869172908251704E-3</v>
      </c>
      <c r="AY248" s="6">
        <f>Datos_originales!$Y148/Datos_originales!$E148</f>
        <v>1.9183116295640962E-3</v>
      </c>
      <c r="AZ248" s="6">
        <f>Datos_originales!$Z148/Datos_originales!$E148</f>
        <v>2.9895557699467167E-3</v>
      </c>
      <c r="BA248" s="6">
        <f>Datos_originales!$AA148/Datos_originales!$E148</f>
        <v>4.2065147336100847E-3</v>
      </c>
      <c r="BB248" s="6">
        <f>Datos_originales!$AB148/Datos_originales!$E148</f>
        <v>5.2369266982382123E-3</v>
      </c>
      <c r="BC248" s="6">
        <f>Datos_originales!$AC148/Datos_originales!$E148</f>
        <v>3.4667317846463009E-3</v>
      </c>
      <c r="BD248" s="6">
        <f>Datos_originales!$AD148/Datos_originales!$E148</f>
        <v>3.9495122156259135E-3</v>
      </c>
      <c r="BE248" s="6">
        <f>Datos_originales!$AE148/Datos_originales!$E148</f>
        <v>2.2537759754686693E-3</v>
      </c>
      <c r="BF248" s="6">
        <f>Datos_originales!$AF148/Datos_originales!$E148</f>
        <v>6.9398686164697781E-3</v>
      </c>
      <c r="BG248" s="6">
        <f>Datos_originales!$AG148/Datos_originales!$E148</f>
        <v>1.4035059626986066E-3</v>
      </c>
    </row>
    <row r="249" spans="1:59" ht="15.75" customHeight="1">
      <c r="A249" s="2">
        <v>60401</v>
      </c>
      <c r="B249" s="3" t="s">
        <v>72</v>
      </c>
      <c r="C249" s="4" t="s">
        <v>111</v>
      </c>
      <c r="D249" s="4">
        <f>IF(Table_1[[#This Row],[Forest cover 2011]]&lt;1000,"Bosque menor a 1000 ha",Table_1[[#This Row],[Forest cover 2011]])</f>
        <v>12931.2</v>
      </c>
      <c r="E249" s="4">
        <v>12931.2</v>
      </c>
      <c r="F249" s="5">
        <f>AVERAGE(Datos_originales!$H50:$J50)</f>
        <v>0</v>
      </c>
      <c r="G249" s="5">
        <f>AVERAGE(Datos_originales!$R50:$T50)</f>
        <v>0</v>
      </c>
      <c r="H249" s="4">
        <v>5.04</v>
      </c>
      <c r="I249" s="4">
        <v>11.16</v>
      </c>
      <c r="J249" s="4">
        <v>47.43</v>
      </c>
      <c r="K249" s="4">
        <v>10.26</v>
      </c>
      <c r="L249" s="4">
        <v>10.62</v>
      </c>
      <c r="M249" s="4">
        <v>14.67</v>
      </c>
      <c r="N249" s="4">
        <v>12.69</v>
      </c>
      <c r="O249" s="4">
        <v>8.1900000000000013</v>
      </c>
      <c r="P249" s="4">
        <v>9.4499999999999993</v>
      </c>
      <c r="Q249" s="4">
        <v>10.98</v>
      </c>
      <c r="R249" s="4">
        <v>1.89</v>
      </c>
      <c r="S249" s="4">
        <v>8.01</v>
      </c>
      <c r="T249" s="4">
        <v>436.14</v>
      </c>
      <c r="U249" s="4">
        <v>48.06</v>
      </c>
      <c r="V249" s="4">
        <v>75.42</v>
      </c>
      <c r="W249" s="4">
        <v>205.56</v>
      </c>
      <c r="X249" s="4">
        <v>41.22</v>
      </c>
      <c r="Y249" s="4">
        <v>52.02</v>
      </c>
      <c r="Z249" s="4">
        <v>30.06</v>
      </c>
      <c r="AA249" s="4">
        <v>70.2</v>
      </c>
      <c r="AB249" s="4">
        <v>107.37</v>
      </c>
      <c r="AC249" s="4">
        <v>77.31</v>
      </c>
      <c r="AD249" s="4">
        <v>162.81</v>
      </c>
      <c r="AE249" s="4">
        <v>5.58</v>
      </c>
      <c r="AF249" s="4">
        <v>18.09</v>
      </c>
      <c r="AG249" s="4">
        <v>459.09</v>
      </c>
      <c r="AH249" s="6" t="e">
        <f>Datos_originales!$H50/Datos_originales!$E50</f>
        <v>#DIV/0!</v>
      </c>
      <c r="AI249" s="6" t="e">
        <f>Datos_originales!$I50/Datos_originales!$E50</f>
        <v>#DIV/0!</v>
      </c>
      <c r="AJ249" s="6" t="e">
        <f>Datos_originales!$J50/Datos_originales!$E50</f>
        <v>#DIV/0!</v>
      </c>
      <c r="AK249" s="6" t="e">
        <f>Datos_originales!$K50/Datos_originales!$E50</f>
        <v>#DIV/0!</v>
      </c>
      <c r="AL249" s="6" t="e">
        <f>Datos_originales!$L50/Datos_originales!$E50</f>
        <v>#DIV/0!</v>
      </c>
      <c r="AM249" s="6" t="e">
        <f>Datos_originales!$M50/Datos_originales!$E50</f>
        <v>#DIV/0!</v>
      </c>
      <c r="AN249" s="6" t="e">
        <f>Datos_originales!$N50/Datos_originales!$E50</f>
        <v>#DIV/0!</v>
      </c>
      <c r="AO249" s="6" t="e">
        <f>Datos_originales!$O50/Datos_originales!$E50</f>
        <v>#DIV/0!</v>
      </c>
      <c r="AP249" s="6" t="e">
        <f>Datos_originales!$P50/Datos_originales!$E50</f>
        <v>#DIV/0!</v>
      </c>
      <c r="AQ249" s="6" t="e">
        <f>Datos_originales!$Q50/Datos_originales!$E50</f>
        <v>#DIV/0!</v>
      </c>
      <c r="AR249" s="6" t="e">
        <f>Datos_originales!$R50/Datos_originales!$E50</f>
        <v>#DIV/0!</v>
      </c>
      <c r="AS249" s="6" t="e">
        <f>Datos_originales!$S50/Datos_originales!$E50</f>
        <v>#DIV/0!</v>
      </c>
      <c r="AT249" s="6" t="e">
        <f>Datos_originales!$T50/Datos_originales!$E50</f>
        <v>#DIV/0!</v>
      </c>
      <c r="AU249" s="6" t="e">
        <f>Datos_originales!$U50/Datos_originales!$E50</f>
        <v>#DIV/0!</v>
      </c>
      <c r="AV249" s="6" t="e">
        <f>Datos_originales!$V50/Datos_originales!$E50</f>
        <v>#DIV/0!</v>
      </c>
      <c r="AW249" s="6" t="e">
        <f>Datos_originales!$W50/Datos_originales!$E50</f>
        <v>#DIV/0!</v>
      </c>
      <c r="AX249" s="6" t="e">
        <f>Datos_originales!$X50/Datos_originales!$E50</f>
        <v>#DIV/0!</v>
      </c>
      <c r="AY249" s="6" t="e">
        <f>Datos_originales!$Y50/Datos_originales!$E50</f>
        <v>#DIV/0!</v>
      </c>
      <c r="AZ249" s="6" t="e">
        <f>Datos_originales!$Z50/Datos_originales!$E50</f>
        <v>#DIV/0!</v>
      </c>
      <c r="BA249" s="6" t="e">
        <f>Datos_originales!$AA50/Datos_originales!$E50</f>
        <v>#DIV/0!</v>
      </c>
      <c r="BB249" s="6" t="e">
        <f>Datos_originales!$AB50/Datos_originales!$E50</f>
        <v>#DIV/0!</v>
      </c>
      <c r="BC249" s="6" t="e">
        <f>Datos_originales!$AC50/Datos_originales!$E50</f>
        <v>#DIV/0!</v>
      </c>
      <c r="BD249" s="6" t="e">
        <f>Datos_originales!$AD50/Datos_originales!$E50</f>
        <v>#DIV/0!</v>
      </c>
      <c r="BE249" s="6" t="e">
        <f>Datos_originales!$AE50/Datos_originales!$E50</f>
        <v>#DIV/0!</v>
      </c>
      <c r="BF249" s="6" t="e">
        <f>Datos_originales!$AF50/Datos_originales!$E50</f>
        <v>#DIV/0!</v>
      </c>
      <c r="BG249" s="6" t="e">
        <f>Datos_originales!$AG50/Datos_originales!$E50</f>
        <v>#DIV/0!</v>
      </c>
    </row>
    <row r="250" spans="1:59" ht="15.75" customHeight="1">
      <c r="A250" s="2">
        <v>60402</v>
      </c>
      <c r="B250" s="3" t="s">
        <v>72</v>
      </c>
      <c r="C250" s="4" t="s">
        <v>73</v>
      </c>
      <c r="D250" s="4" t="str">
        <f>IF(Table_1[[#This Row],[Forest cover 2011]]&lt;1000,"Bosque menor a 1000 ha",Table_1[[#This Row],[Forest cover 2011]])</f>
        <v>Bosque menor a 1000 ha</v>
      </c>
      <c r="E250" s="4">
        <v>16.649999999999999</v>
      </c>
      <c r="F250" s="5">
        <f>AVERAGE(Datos_originales!$H13:$J13)</f>
        <v>12.660000000000002</v>
      </c>
      <c r="G250" s="5">
        <f>AVERAGE(Datos_originales!$R13:$T13)</f>
        <v>107.55</v>
      </c>
      <c r="H250" s="4">
        <v>0.09</v>
      </c>
      <c r="I250" s="4">
        <v>0.18</v>
      </c>
      <c r="J250" s="4">
        <v>0</v>
      </c>
      <c r="K250" s="4">
        <v>0.18</v>
      </c>
      <c r="L250" s="4">
        <v>0.81</v>
      </c>
      <c r="M250" s="4">
        <v>0</v>
      </c>
      <c r="N250" s="4">
        <v>0.45</v>
      </c>
      <c r="O250" s="4">
        <v>0.18</v>
      </c>
      <c r="P250" s="4">
        <v>0</v>
      </c>
      <c r="Q250" s="4">
        <v>0.09</v>
      </c>
      <c r="R250" s="4">
        <v>0</v>
      </c>
      <c r="S250" s="4">
        <v>0</v>
      </c>
      <c r="T250" s="4">
        <v>1.44</v>
      </c>
      <c r="U250" s="4">
        <v>0.09</v>
      </c>
      <c r="V250" s="4">
        <v>0.72</v>
      </c>
      <c r="W250" s="4">
        <v>0.36</v>
      </c>
      <c r="X250" s="4">
        <v>0.45</v>
      </c>
      <c r="Y250" s="4">
        <v>0.9</v>
      </c>
      <c r="Z250" s="4">
        <v>0</v>
      </c>
      <c r="AA250" s="4">
        <v>0.63</v>
      </c>
      <c r="AB250" s="4">
        <v>0.18</v>
      </c>
      <c r="AC250" s="4">
        <v>0</v>
      </c>
      <c r="AD250" s="4">
        <v>0.09</v>
      </c>
      <c r="AE250" s="4">
        <v>0</v>
      </c>
      <c r="AF250" s="4">
        <v>0</v>
      </c>
      <c r="AG250" s="4">
        <v>6.93</v>
      </c>
      <c r="AH250" s="6">
        <f>Datos_originales!$H13/Datos_originales!$E13</f>
        <v>3.5330111026753163E-4</v>
      </c>
      <c r="AI250" s="6">
        <f>Datos_originales!$I13/Datos_originales!$E13</f>
        <v>6.2015620419300763E-4</v>
      </c>
      <c r="AJ250" s="6">
        <f>Datos_originales!$J13/Datos_originales!$E13</f>
        <v>6.1263915929369846E-4</v>
      </c>
      <c r="AK250" s="6">
        <f>Datos_originales!$K13/Datos_originales!$E13</f>
        <v>2.3302839187858468E-4</v>
      </c>
      <c r="AL250" s="6">
        <f>Datos_originales!$L13/Datos_originales!$E13</f>
        <v>1.2778976328825612E-4</v>
      </c>
      <c r="AM250" s="6">
        <f>Datos_originales!$M13/Datos_originales!$E13</f>
        <v>1.7289203268411121E-4</v>
      </c>
      <c r="AN250" s="6">
        <f>Datos_originales!$N13/Datos_originales!$E13</f>
        <v>2.8940622862340355E-4</v>
      </c>
      <c r="AO250" s="6">
        <f>Datos_originales!$O13/Datos_originales!$E13</f>
        <v>2.6685509392547605E-4</v>
      </c>
      <c r="AP250" s="6">
        <f>Datos_originales!$P13/Datos_originales!$E13</f>
        <v>1.1275567348963775E-3</v>
      </c>
      <c r="AQ250" s="6">
        <f>Datos_originales!$Q13/Datos_originales!$E13</f>
        <v>1.0899715103998315E-4</v>
      </c>
      <c r="AR250" s="6">
        <f>Datos_originales!$R13/Datos_originales!$E13</f>
        <v>9.3963061241364784E-5</v>
      </c>
      <c r="AS250" s="6">
        <f>Datos_originales!$S13/Datos_originales!$E13</f>
        <v>1.0580240695777674E-2</v>
      </c>
      <c r="AT250" s="6">
        <f>Datos_originales!$T13/Datos_originales!$E13</f>
        <v>2.8000992249926707E-3</v>
      </c>
      <c r="AU250" s="6">
        <f>Datos_originales!$U13/Datos_originales!$E13</f>
        <v>8.5694311852124684E-4</v>
      </c>
      <c r="AV250" s="6">
        <f>Datos_originales!$V13/Datos_originales!$E13</f>
        <v>2.30021573918861E-3</v>
      </c>
      <c r="AW250" s="6">
        <f>Datos_originales!$W13/Datos_originales!$E13</f>
        <v>9.9638430140343223E-3</v>
      </c>
      <c r="AX250" s="6">
        <f>Datos_originales!$X13/Datos_originales!$E13</f>
        <v>6.5774142868955346E-4</v>
      </c>
      <c r="AY250" s="6">
        <f>Datos_originales!$Y13/Datos_originales!$E13</f>
        <v>3.7209372251580455E-4</v>
      </c>
      <c r="AZ250" s="6">
        <f>Datos_originales!$Z13/Datos_originales!$E13</f>
        <v>5.2243462050198823E-4</v>
      </c>
      <c r="BA250" s="6">
        <f>Datos_originales!$AA13/Datos_originales!$E13</f>
        <v>6.1639768174335304E-4</v>
      </c>
      <c r="BB250" s="6">
        <f>Datos_originales!$AB13/Datos_originales!$E13</f>
        <v>1.1087641226481045E-3</v>
      </c>
      <c r="BC250" s="6">
        <f>Datos_originales!$AC13/Datos_originales!$E13</f>
        <v>1.9168464493238416E-3</v>
      </c>
      <c r="BD250" s="6">
        <f>Datos_originales!$AD13/Datos_originales!$E13</f>
        <v>1.0899715103998315E-4</v>
      </c>
      <c r="BE250" s="6">
        <f>Datos_originales!$AE13/Datos_originales!$E13</f>
        <v>4.7620479437123671E-3</v>
      </c>
      <c r="BF250" s="6">
        <f>Datos_originales!$AF13/Datos_originales!$E13</f>
        <v>1.8721200321729522E-2</v>
      </c>
      <c r="BG250" s="6">
        <f>Datos_originales!$AG13/Datos_originales!$E13</f>
        <v>3.4465650863332604E-3</v>
      </c>
    </row>
    <row r="251" spans="1:59" ht="15.75" customHeight="1">
      <c r="A251" s="2">
        <v>60501</v>
      </c>
      <c r="B251" s="3" t="s">
        <v>72</v>
      </c>
      <c r="C251" s="4" t="s">
        <v>185</v>
      </c>
      <c r="D251" s="4">
        <f>IF(Table_1[[#This Row],[Forest cover 2011]]&lt;1000,"Bosque menor a 1000 ha",Table_1[[#This Row],[Forest cover 2011]])</f>
        <v>58561.11</v>
      </c>
      <c r="E251" s="4">
        <v>58561.11</v>
      </c>
      <c r="F251" s="5">
        <f>AVERAGE(Datos_originales!$H125:$J125)</f>
        <v>0.03</v>
      </c>
      <c r="G251" s="5">
        <f>AVERAGE(Datos_originales!$R125:$T125)</f>
        <v>0.66</v>
      </c>
      <c r="H251" s="4">
        <v>15.48</v>
      </c>
      <c r="I251" s="4">
        <v>41.31</v>
      </c>
      <c r="J251" s="4">
        <v>71.91</v>
      </c>
      <c r="K251" s="4">
        <v>22.68</v>
      </c>
      <c r="L251" s="4">
        <v>30.33</v>
      </c>
      <c r="M251" s="4">
        <v>48.78</v>
      </c>
      <c r="N251" s="4">
        <v>62.73</v>
      </c>
      <c r="O251" s="4">
        <v>53.01</v>
      </c>
      <c r="P251" s="4">
        <v>42.93</v>
      </c>
      <c r="Q251" s="4">
        <v>41.4</v>
      </c>
      <c r="R251" s="4">
        <v>8.1</v>
      </c>
      <c r="S251" s="4">
        <v>200.97</v>
      </c>
      <c r="T251" s="4">
        <v>390.96</v>
      </c>
      <c r="U251" s="4">
        <v>94.05</v>
      </c>
      <c r="V251" s="4">
        <v>131.58000000000001</v>
      </c>
      <c r="W251" s="4">
        <v>450.81</v>
      </c>
      <c r="X251" s="4">
        <v>45.27</v>
      </c>
      <c r="Y251" s="4">
        <v>115.2</v>
      </c>
      <c r="Z251" s="4">
        <v>93.42</v>
      </c>
      <c r="AA251" s="4">
        <v>131.58000000000001</v>
      </c>
      <c r="AB251" s="4">
        <v>159.21</v>
      </c>
      <c r="AC251" s="4">
        <v>119.97</v>
      </c>
      <c r="AD251" s="4">
        <v>204.48</v>
      </c>
      <c r="AE251" s="4">
        <v>15.75</v>
      </c>
      <c r="AF251" s="4">
        <v>224.55</v>
      </c>
      <c r="AG251" s="4">
        <v>420.75</v>
      </c>
      <c r="AH251" s="6">
        <f>Datos_originales!$H125/Datos_originales!$E125</f>
        <v>1.8109380659181453E-4</v>
      </c>
      <c r="AI251" s="6">
        <f>Datos_originales!$I125/Datos_originales!$E125</f>
        <v>0</v>
      </c>
      <c r="AJ251" s="6">
        <f>Datos_originales!$J125/Datos_originales!$E125</f>
        <v>0</v>
      </c>
      <c r="AK251" s="6">
        <f>Datos_originales!$K125/Datos_originales!$E125</f>
        <v>1.2676566461427019E-3</v>
      </c>
      <c r="AL251" s="6">
        <f>Datos_originales!$L125/Datos_originales!$E125</f>
        <v>0</v>
      </c>
      <c r="AM251" s="6">
        <f>Datos_originales!$M125/Datos_originales!$E125</f>
        <v>1.8109380659181453E-4</v>
      </c>
      <c r="AN251" s="6">
        <f>Datos_originales!$N125/Datos_originales!$E125</f>
        <v>0</v>
      </c>
      <c r="AO251" s="6">
        <f>Datos_originales!$O125/Datos_originales!$E125</f>
        <v>0</v>
      </c>
      <c r="AP251" s="6">
        <f>Datos_originales!$P125/Datos_originales!$E125</f>
        <v>3.6218761318362907E-4</v>
      </c>
      <c r="AQ251" s="6">
        <f>Datos_originales!$Q125/Datos_originales!$E125</f>
        <v>1.0865628395508875E-3</v>
      </c>
      <c r="AR251" s="6">
        <f>Datos_originales!$R125/Datos_originales!$E125</f>
        <v>1.2676566461427019E-3</v>
      </c>
      <c r="AS251" s="6">
        <f>Datos_originales!$S125/Datos_originales!$E125</f>
        <v>2.5353132922854038E-3</v>
      </c>
      <c r="AT251" s="6">
        <f>Datos_originales!$T125/Datos_originales!$E125</f>
        <v>1.8109380659181453E-4</v>
      </c>
      <c r="AU251" s="6">
        <f>Datos_originales!$U125/Datos_originales!$E125</f>
        <v>1.6298442593263311E-3</v>
      </c>
      <c r="AV251" s="6">
        <f>Datos_originales!$V125/Datos_originales!$E125</f>
        <v>1.4487504527345163E-3</v>
      </c>
      <c r="AW251" s="6">
        <f>Datos_originales!$W125/Datos_originales!$E125</f>
        <v>2.318000724375226E-2</v>
      </c>
      <c r="AX251" s="6">
        <f>Datos_originales!$X125/Datos_originales!$E125</f>
        <v>8.8735965229989142E-3</v>
      </c>
      <c r="AY251" s="6">
        <f>Datos_originales!$Y125/Datos_originales!$E125</f>
        <v>4.3462513582035499E-3</v>
      </c>
      <c r="AZ251" s="6">
        <f>Datos_originales!$Z125/Datos_originales!$E125</f>
        <v>4.3281419775443683E-2</v>
      </c>
      <c r="BA251" s="6">
        <f>Datos_originales!$AA125/Datos_originales!$E125</f>
        <v>3.0604853314016661E-2</v>
      </c>
      <c r="BB251" s="6">
        <f>Datos_originales!$AB125/Datos_originales!$E125</f>
        <v>6.4288301340094167E-2</v>
      </c>
      <c r="BC251" s="6">
        <f>Datos_originales!$AC125/Datos_originales!$E125</f>
        <v>2.5715320536037665E-2</v>
      </c>
      <c r="BD251" s="6">
        <f>Datos_originales!$AD125/Datos_originales!$E125</f>
        <v>1.0865628395508875E-3</v>
      </c>
      <c r="BE251" s="6">
        <f>Datos_originales!$AE125/Datos_originales!$E125</f>
        <v>1.8109380659181455E-3</v>
      </c>
      <c r="BF251" s="6">
        <f>Datos_originales!$AF125/Datos_originales!$E125</f>
        <v>6.7004708438971388E-3</v>
      </c>
      <c r="BG251" s="6">
        <f>Datos_originales!$AG125/Datos_originales!$E125</f>
        <v>1.8109380659181453E-4</v>
      </c>
    </row>
    <row r="252" spans="1:59" ht="15.75" customHeight="1">
      <c r="A252" s="2">
        <v>60502</v>
      </c>
      <c r="B252" s="3" t="s">
        <v>72</v>
      </c>
      <c r="C252" s="4" t="s">
        <v>80</v>
      </c>
      <c r="D252" s="4" t="str">
        <f>IF(Table_1[[#This Row],[Forest cover 2011]]&lt;1000,"Bosque menor a 1000 ha",Table_1[[#This Row],[Forest cover 2011]])</f>
        <v>Bosque menor a 1000 ha</v>
      </c>
      <c r="E252" s="4">
        <v>559.35</v>
      </c>
      <c r="F252" s="5">
        <f>AVERAGE(Datos_originales!$H21:$J21)</f>
        <v>43.410000000000004</v>
      </c>
      <c r="G252" s="5">
        <f>AVERAGE(Datos_originales!$R21:$T21)</f>
        <v>19.830000000000002</v>
      </c>
      <c r="H252" s="4">
        <v>0.54</v>
      </c>
      <c r="I252" s="4">
        <v>1.53</v>
      </c>
      <c r="J252" s="4">
        <v>4.59</v>
      </c>
      <c r="K252" s="4">
        <v>0.9</v>
      </c>
      <c r="L252" s="4">
        <v>2.97</v>
      </c>
      <c r="M252" s="4">
        <v>3.51</v>
      </c>
      <c r="N252" s="4">
        <v>3.6</v>
      </c>
      <c r="O252" s="4">
        <v>2.4300000000000002</v>
      </c>
      <c r="P252" s="4">
        <v>0.54</v>
      </c>
      <c r="Q252" s="4">
        <v>0.72</v>
      </c>
      <c r="R252" s="4">
        <v>0</v>
      </c>
      <c r="S252" s="4">
        <v>0.99</v>
      </c>
      <c r="T252" s="4">
        <v>12.15</v>
      </c>
      <c r="U252" s="4">
        <v>2.25</v>
      </c>
      <c r="V252" s="4">
        <v>4.8600000000000003</v>
      </c>
      <c r="W252" s="4">
        <v>17.37</v>
      </c>
      <c r="X252" s="4">
        <v>1.8</v>
      </c>
      <c r="Y252" s="4">
        <v>4.32</v>
      </c>
      <c r="Z252" s="4">
        <v>4.95</v>
      </c>
      <c r="AA252" s="4">
        <v>4.8600000000000003</v>
      </c>
      <c r="AB252" s="4">
        <v>4.05</v>
      </c>
      <c r="AC252" s="4">
        <v>1.35</v>
      </c>
      <c r="AD252" s="4">
        <v>3.33</v>
      </c>
      <c r="AE252" s="4">
        <v>0.54</v>
      </c>
      <c r="AF252" s="4">
        <v>1.35</v>
      </c>
      <c r="AG252" s="4">
        <v>105.75</v>
      </c>
      <c r="AH252" s="6">
        <f>Datos_originales!$H21/Datos_originales!$E21</f>
        <v>6.4930877523020449E-4</v>
      </c>
      <c r="AI252" s="6">
        <f>Datos_originales!$I21/Datos_originales!$E21</f>
        <v>9.7173950265616214E-4</v>
      </c>
      <c r="AJ252" s="6">
        <f>Datos_originales!$J21/Datos_originales!$E21</f>
        <v>1.5965880158057767E-3</v>
      </c>
      <c r="AK252" s="6">
        <f>Datos_originales!$K21/Datos_originales!$E21</f>
        <v>1.1607506187334476E-3</v>
      </c>
      <c r="AL252" s="6">
        <f>Datos_originales!$L21/Datos_originales!$E21</f>
        <v>1.1162774149505569E-3</v>
      </c>
      <c r="AM252" s="6">
        <f>Datos_originales!$M21/Datos_originales!$E21</f>
        <v>2.1191481602547426E-3</v>
      </c>
      <c r="AN252" s="6">
        <f>Datos_originales!$N21/Datos_originales!$E21</f>
        <v>2.1991999270639462E-3</v>
      </c>
      <c r="AO252" s="6">
        <f>Datos_originales!$O21/Datos_originales!$E21</f>
        <v>1.6944290641281363E-3</v>
      </c>
      <c r="AP252" s="6">
        <f>Datos_originales!$P21/Datos_originales!$E21</f>
        <v>7.449261633634195E-4</v>
      </c>
      <c r="AQ252" s="6">
        <f>Datos_originales!$Q21/Datos_originales!$E21</f>
        <v>2.5794458194076616E-4</v>
      </c>
      <c r="AR252" s="6">
        <f>Datos_originales!$R21/Datos_originales!$E21</f>
        <v>2.3793164023846536E-4</v>
      </c>
      <c r="AS252" s="6">
        <f>Datos_originales!$S21/Datos_originales!$E21</f>
        <v>2.5349726156247707E-4</v>
      </c>
      <c r="AT252" s="6">
        <f>Datos_originales!$T21/Datos_originales!$E21</f>
        <v>9.7841048322359577E-4</v>
      </c>
      <c r="AU252" s="6">
        <f>Datos_originales!$U21/Datos_originales!$E21</f>
        <v>8.1608328941604462E-4</v>
      </c>
      <c r="AV252" s="6">
        <f>Datos_originales!$V21/Datos_originales!$E21</f>
        <v>1.2830519291363971E-3</v>
      </c>
      <c r="AW252" s="6">
        <f>Datos_originales!$W21/Datos_originales!$E21</f>
        <v>6.8933465863480611E-3</v>
      </c>
      <c r="AX252" s="6">
        <f>Datos_originales!$X21/Datos_originales!$E21</f>
        <v>1.3519853949998779E-3</v>
      </c>
      <c r="AY252" s="6">
        <f>Datos_originales!$Y21/Datos_originales!$E21</f>
        <v>1.26970996800153E-3</v>
      </c>
      <c r="AZ252" s="6">
        <f>Datos_originales!$Z21/Datos_originales!$E21</f>
        <v>2.2948173151971607E-3</v>
      </c>
      <c r="BA252" s="6">
        <f>Datos_originales!$AA21/Datos_originales!$E21</f>
        <v>2.4126713052218213E-3</v>
      </c>
      <c r="BB252" s="6">
        <f>Datos_originales!$AB21/Datos_originales!$E21</f>
        <v>1.9968468498517931E-3</v>
      </c>
      <c r="BC252" s="6">
        <f>Datos_originales!$AC21/Datos_originales!$E21</f>
        <v>9.1170067754925963E-4</v>
      </c>
      <c r="BD252" s="6">
        <f>Datos_originales!$AD21/Datos_originales!$E21</f>
        <v>7.0045295958052881E-4</v>
      </c>
      <c r="BE252" s="6">
        <f>Datos_originales!$AE21/Datos_originales!$E21</f>
        <v>2.801811838322115E-4</v>
      </c>
      <c r="BF252" s="6">
        <f>Datos_originales!$AF21/Datos_originales!$E21</f>
        <v>3.3577268856082492E-4</v>
      </c>
      <c r="BG252" s="6">
        <f>Datos_originales!$AG21/Datos_originales!$E21</f>
        <v>2.0493252303156042E-2</v>
      </c>
    </row>
    <row r="253" spans="1:59" ht="15.75" customHeight="1">
      <c r="A253" s="2">
        <v>60601</v>
      </c>
      <c r="B253" s="3" t="s">
        <v>72</v>
      </c>
      <c r="C253" s="4" t="s">
        <v>164</v>
      </c>
      <c r="D253" s="4">
        <f>IF(Table_1[[#This Row],[Forest cover 2011]]&lt;1000,"Bosque menor a 1000 ha",Table_1[[#This Row],[Forest cover 2011]])</f>
        <v>553532.13</v>
      </c>
      <c r="E253" s="4">
        <v>553532.13</v>
      </c>
      <c r="F253" s="5">
        <f>AVERAGE(Datos_originales!$H152:$J152)</f>
        <v>1733.8500000000001</v>
      </c>
      <c r="G253" s="5">
        <f>AVERAGE(Datos_originales!$R152:$T152)</f>
        <v>1931.9099999999999</v>
      </c>
      <c r="H253" s="4">
        <v>319.68</v>
      </c>
      <c r="I253" s="4">
        <v>493.92</v>
      </c>
      <c r="J253" s="4">
        <v>731.88</v>
      </c>
      <c r="K253" s="4">
        <v>311.39999999999998</v>
      </c>
      <c r="L253" s="4">
        <v>868.5</v>
      </c>
      <c r="M253" s="4">
        <v>1166.94</v>
      </c>
      <c r="N253" s="4">
        <v>629.54999999999995</v>
      </c>
      <c r="O253" s="4">
        <v>802.71</v>
      </c>
      <c r="P253" s="4">
        <v>1457.64</v>
      </c>
      <c r="Q253" s="4">
        <v>1470.42</v>
      </c>
      <c r="R253" s="4">
        <v>1428.3</v>
      </c>
      <c r="S253" s="4">
        <v>5354.1900000000014</v>
      </c>
      <c r="T253" s="4">
        <v>2306.0700000000002</v>
      </c>
      <c r="U253" s="4">
        <v>476.73</v>
      </c>
      <c r="V253" s="4">
        <v>567.72</v>
      </c>
      <c r="W253" s="4">
        <v>987.48</v>
      </c>
      <c r="X253" s="4">
        <v>371.16</v>
      </c>
      <c r="Y253" s="4">
        <v>936.99</v>
      </c>
      <c r="Z253" s="4">
        <v>1207.08</v>
      </c>
      <c r="AA253" s="4">
        <v>691.92000000000007</v>
      </c>
      <c r="AB253" s="4">
        <v>902.07</v>
      </c>
      <c r="AC253" s="4">
        <v>1488.96</v>
      </c>
      <c r="AD253" s="4">
        <v>1534.95</v>
      </c>
      <c r="AE253" s="4">
        <v>2190.96</v>
      </c>
      <c r="AF253" s="4">
        <v>5424.0300000000007</v>
      </c>
      <c r="AG253" s="4">
        <v>2494.98</v>
      </c>
      <c r="AH253" s="6">
        <f>Datos_originales!$H152/Datos_originales!$E152</f>
        <v>1.0633122625525767E-2</v>
      </c>
      <c r="AI253" s="6">
        <f>Datos_originales!$I152/Datos_originales!$E152</f>
        <v>1.2752599568373555E-2</v>
      </c>
      <c r="AJ253" s="6">
        <f>Datos_originales!$J152/Datos_originales!$E152</f>
        <v>1.8766779496358015E-2</v>
      </c>
      <c r="AK253" s="6">
        <f>Datos_originales!$K152/Datos_originales!$E152</f>
        <v>1.194448516621411E-2</v>
      </c>
      <c r="AL253" s="6">
        <f>Datos_originales!$L152/Datos_originales!$E152</f>
        <v>9.4209510222866E-3</v>
      </c>
      <c r="AM253" s="6">
        <f>Datos_originales!$M152/Datos_originales!$E152</f>
        <v>1.2233305837021997E-2</v>
      </c>
      <c r="AN253" s="6">
        <f>Datos_originales!$N152/Datos_originales!$E152</f>
        <v>1.3201146822279743E-2</v>
      </c>
      <c r="AO253" s="6">
        <f>Datos_originales!$O152/Datos_originales!$E152</f>
        <v>1.0525179546536961E-2</v>
      </c>
      <c r="AP253" s="6">
        <f>Datos_originales!$P152/Datos_originales!$E152</f>
        <v>2.1713333814701117E-2</v>
      </c>
      <c r="AQ253" s="6">
        <f>Datos_originales!$Q152/Datos_originales!$E152</f>
        <v>3.0047560595816626E-2</v>
      </c>
      <c r="AR253" s="6">
        <f>Datos_originales!$R152/Datos_originales!$E152</f>
        <v>3.4271927578946142E-3</v>
      </c>
      <c r="AS253" s="6">
        <f>Datos_originales!$S152/Datos_originales!$E152</f>
        <v>2.5557711985984905E-2</v>
      </c>
      <c r="AT253" s="6">
        <f>Datos_originales!$T152/Datos_originales!$E152</f>
        <v>1.7982733483432562E-2</v>
      </c>
      <c r="AU253" s="6">
        <f>Datos_originales!$U152/Datos_originales!$E152</f>
        <v>1.6206778096015371E-2</v>
      </c>
      <c r="AV253" s="6">
        <f>Datos_originales!$V152/Datos_originales!$E152</f>
        <v>1.6171040184728536E-2</v>
      </c>
      <c r="AW253" s="6">
        <f>Datos_originales!$W152/Datos_originales!$E152</f>
        <v>2.2534576429170013E-2</v>
      </c>
      <c r="AX253" s="6">
        <f>Datos_originales!$X152/Datos_originales!$E152</f>
        <v>1.6470071687332662E-2</v>
      </c>
      <c r="AY253" s="6">
        <f>Datos_originales!$Y152/Datos_originales!$E152</f>
        <v>1.0904439013254389E-2</v>
      </c>
      <c r="AZ253" s="6">
        <f>Datos_originales!$Z152/Datos_originales!$E152</f>
        <v>1.3929033260325886E-2</v>
      </c>
      <c r="BA253" s="6">
        <f>Datos_originales!$AA152/Datos_originales!$E152</f>
        <v>1.5734891798003491E-2</v>
      </c>
      <c r="BB253" s="6">
        <f>Datos_originales!$AB152/Datos_originales!$E152</f>
        <v>1.3450582856159283E-2</v>
      </c>
      <c r="BC253" s="6">
        <f>Datos_originales!$AC152/Datos_originales!$E152</f>
        <v>2.37255970236884E-2</v>
      </c>
      <c r="BD253" s="6">
        <f>Datos_originales!$AD152/Datos_originales!$E152</f>
        <v>3.2968587834669133E-2</v>
      </c>
      <c r="BE253" s="6">
        <f>Datos_originales!$AE152/Datos_originales!$E152</f>
        <v>4.7064641129376346E-3</v>
      </c>
      <c r="BF253" s="6">
        <f>Datos_originales!$AF152/Datos_originales!$E152</f>
        <v>3.0436301549201988E-2</v>
      </c>
      <c r="BG253" s="6">
        <f>Datos_originales!$AG152/Datos_originales!$E152</f>
        <v>1.8708431886093797E-2</v>
      </c>
    </row>
    <row r="254" spans="1:59" ht="15.75" customHeight="1">
      <c r="A254" s="2">
        <v>70101</v>
      </c>
      <c r="B254" s="3" t="s">
        <v>83</v>
      </c>
      <c r="C254" s="4" t="s">
        <v>104</v>
      </c>
      <c r="D254" s="4">
        <f>IF(Table_1[[#This Row],[Forest cover 2011]]&lt;1000,"Bosque menor a 1000 ha",Table_1[[#This Row],[Forest cover 2011]])</f>
        <v>23281.02</v>
      </c>
      <c r="E254" s="4">
        <v>23281.02</v>
      </c>
      <c r="F254" s="5">
        <f>AVERAGE(Datos_originales!$H42:$J42)</f>
        <v>0</v>
      </c>
      <c r="G254" s="5">
        <f>AVERAGE(Datos_originales!$R42:$T42)</f>
        <v>0</v>
      </c>
      <c r="H254" s="4">
        <v>2353.9499999999998</v>
      </c>
      <c r="I254" s="4">
        <v>1699.02</v>
      </c>
      <c r="J254" s="4">
        <v>1093.8599999999999</v>
      </c>
      <c r="K254" s="4">
        <v>1085.76</v>
      </c>
      <c r="L254" s="4">
        <v>629.37</v>
      </c>
      <c r="M254" s="4">
        <v>851.22</v>
      </c>
      <c r="N254" s="4">
        <v>431.1</v>
      </c>
      <c r="O254" s="4">
        <v>531.18000000000006</v>
      </c>
      <c r="P254" s="4">
        <v>420.84</v>
      </c>
      <c r="Q254" s="4">
        <v>705.6</v>
      </c>
      <c r="R254" s="4">
        <v>338.4</v>
      </c>
      <c r="S254" s="4">
        <v>1341.54</v>
      </c>
      <c r="T254" s="4">
        <v>914.49</v>
      </c>
      <c r="U254" s="4">
        <v>2459.4299999999998</v>
      </c>
      <c r="V254" s="4">
        <v>1786.23</v>
      </c>
      <c r="W254" s="4">
        <v>1160.28</v>
      </c>
      <c r="X254" s="4">
        <v>1131.8399999999999</v>
      </c>
      <c r="Y254" s="4">
        <v>660.6</v>
      </c>
      <c r="Z254" s="4">
        <v>871.92000000000007</v>
      </c>
      <c r="AA254" s="4">
        <v>517.32000000000005</v>
      </c>
      <c r="AB254" s="4">
        <v>555.21</v>
      </c>
      <c r="AC254" s="4">
        <v>436.23</v>
      </c>
      <c r="AD254" s="4">
        <v>798.12</v>
      </c>
      <c r="AE254" s="4">
        <v>396.27</v>
      </c>
      <c r="AF254" s="4">
        <v>1354.05</v>
      </c>
      <c r="AG254" s="4">
        <v>980.01</v>
      </c>
      <c r="AH254" s="6" t="e">
        <f>Datos_originales!$H42/Datos_originales!$E42</f>
        <v>#DIV/0!</v>
      </c>
      <c r="AI254" s="6" t="e">
        <f>Datos_originales!$I42/Datos_originales!$E42</f>
        <v>#DIV/0!</v>
      </c>
      <c r="AJ254" s="6" t="e">
        <f>Datos_originales!$J42/Datos_originales!$E42</f>
        <v>#DIV/0!</v>
      </c>
      <c r="AK254" s="6" t="e">
        <f>Datos_originales!$K42/Datos_originales!$E42</f>
        <v>#DIV/0!</v>
      </c>
      <c r="AL254" s="6" t="e">
        <f>Datos_originales!$L42/Datos_originales!$E42</f>
        <v>#DIV/0!</v>
      </c>
      <c r="AM254" s="6" t="e">
        <f>Datos_originales!$M42/Datos_originales!$E42</f>
        <v>#DIV/0!</v>
      </c>
      <c r="AN254" s="6" t="e">
        <f>Datos_originales!$N42/Datos_originales!$E42</f>
        <v>#DIV/0!</v>
      </c>
      <c r="AO254" s="6" t="e">
        <f>Datos_originales!$O42/Datos_originales!$E42</f>
        <v>#DIV/0!</v>
      </c>
      <c r="AP254" s="6" t="e">
        <f>Datos_originales!$P42/Datos_originales!$E42</f>
        <v>#DIV/0!</v>
      </c>
      <c r="AQ254" s="6" t="e">
        <f>Datos_originales!$Q42/Datos_originales!$E42</f>
        <v>#DIV/0!</v>
      </c>
      <c r="AR254" s="6" t="e">
        <f>Datos_originales!$R42/Datos_originales!$E42</f>
        <v>#DIV/0!</v>
      </c>
      <c r="AS254" s="6" t="e">
        <f>Datos_originales!$S42/Datos_originales!$E42</f>
        <v>#DIV/0!</v>
      </c>
      <c r="AT254" s="6" t="e">
        <f>Datos_originales!$T42/Datos_originales!$E42</f>
        <v>#DIV/0!</v>
      </c>
      <c r="AU254" s="6" t="e">
        <f>Datos_originales!$U42/Datos_originales!$E42</f>
        <v>#DIV/0!</v>
      </c>
      <c r="AV254" s="6" t="e">
        <f>Datos_originales!$V42/Datos_originales!$E42</f>
        <v>#DIV/0!</v>
      </c>
      <c r="AW254" s="6" t="e">
        <f>Datos_originales!$W42/Datos_originales!$E42</f>
        <v>#DIV/0!</v>
      </c>
      <c r="AX254" s="6" t="e">
        <f>Datos_originales!$X42/Datos_originales!$E42</f>
        <v>#DIV/0!</v>
      </c>
      <c r="AY254" s="6" t="e">
        <f>Datos_originales!$Y42/Datos_originales!$E42</f>
        <v>#DIV/0!</v>
      </c>
      <c r="AZ254" s="6" t="e">
        <f>Datos_originales!$Z42/Datos_originales!$E42</f>
        <v>#DIV/0!</v>
      </c>
      <c r="BA254" s="6" t="e">
        <f>Datos_originales!$AA42/Datos_originales!$E42</f>
        <v>#DIV/0!</v>
      </c>
      <c r="BB254" s="6" t="e">
        <f>Datos_originales!$AB42/Datos_originales!$E42</f>
        <v>#DIV/0!</v>
      </c>
      <c r="BC254" s="6" t="e">
        <f>Datos_originales!$AC42/Datos_originales!$E42</f>
        <v>#DIV/0!</v>
      </c>
      <c r="BD254" s="6" t="e">
        <f>Datos_originales!$AD42/Datos_originales!$E42</f>
        <v>#DIV/0!</v>
      </c>
      <c r="BE254" s="6" t="e">
        <f>Datos_originales!$AE42/Datos_originales!$E42</f>
        <v>#DIV/0!</v>
      </c>
      <c r="BF254" s="6" t="e">
        <f>Datos_originales!$AF42/Datos_originales!$E42</f>
        <v>#DIV/0!</v>
      </c>
      <c r="BG254" s="6" t="e">
        <f>Datos_originales!$AG42/Datos_originales!$E42</f>
        <v>#DIV/0!</v>
      </c>
    </row>
    <row r="255" spans="1:59" ht="15.75" customHeight="1">
      <c r="A255" s="2">
        <v>70102</v>
      </c>
      <c r="B255" s="3" t="s">
        <v>83</v>
      </c>
      <c r="C255" s="4" t="s">
        <v>93</v>
      </c>
      <c r="D255" s="4">
        <f>IF(Table_1[[#This Row],[Forest cover 2011]]&lt;1000,"Bosque menor a 1000 ha",Table_1[[#This Row],[Forest cover 2011]])</f>
        <v>10462.59</v>
      </c>
      <c r="E255" s="4">
        <v>10462.59</v>
      </c>
      <c r="F255" s="5">
        <f>AVERAGE(Datos_originales!$H31:$J31)</f>
        <v>25.439999999999998</v>
      </c>
      <c r="G255" s="5">
        <f>AVERAGE(Datos_originales!$R31:$T31)</f>
        <v>190.98000000000002</v>
      </c>
      <c r="H255" s="4">
        <v>655.74</v>
      </c>
      <c r="I255" s="4">
        <v>648.80999999999995</v>
      </c>
      <c r="J255" s="4">
        <v>530.54999999999995</v>
      </c>
      <c r="K255" s="4">
        <v>625.23</v>
      </c>
      <c r="L255" s="4">
        <v>243.45</v>
      </c>
      <c r="M255" s="4">
        <v>312.83999999999997</v>
      </c>
      <c r="N255" s="4">
        <v>270.54000000000002</v>
      </c>
      <c r="O255" s="4">
        <v>232.02</v>
      </c>
      <c r="P255" s="4">
        <v>92.07</v>
      </c>
      <c r="Q255" s="4">
        <v>217.62</v>
      </c>
      <c r="R255" s="4">
        <v>31.14</v>
      </c>
      <c r="S255" s="4">
        <v>741.15</v>
      </c>
      <c r="T255" s="4">
        <v>695.52</v>
      </c>
      <c r="U255" s="4">
        <v>687.32999999999993</v>
      </c>
      <c r="V255" s="4">
        <v>673.02</v>
      </c>
      <c r="W255" s="4">
        <v>567.45000000000005</v>
      </c>
      <c r="X255" s="4">
        <v>636.57000000000005</v>
      </c>
      <c r="Y255" s="4">
        <v>249.93</v>
      </c>
      <c r="Z255" s="4">
        <v>321.66000000000003</v>
      </c>
      <c r="AA255" s="4">
        <v>298.8</v>
      </c>
      <c r="AB255" s="4">
        <v>241.92</v>
      </c>
      <c r="AC255" s="4">
        <v>93.960000000000008</v>
      </c>
      <c r="AD255" s="4">
        <v>219.24</v>
      </c>
      <c r="AE255" s="4">
        <v>35.729999999999997</v>
      </c>
      <c r="AF255" s="4">
        <v>743.57999999999993</v>
      </c>
      <c r="AG255" s="4">
        <v>700.29</v>
      </c>
      <c r="AH255" s="6">
        <f>Datos_originales!$H31/Datos_originales!$E31</f>
        <v>2.3230957492442294E-4</v>
      </c>
      <c r="AI255" s="6">
        <f>Datos_originales!$I31/Datos_originales!$E31</f>
        <v>2.8834916536671796E-4</v>
      </c>
      <c r="AJ255" s="6">
        <f>Datos_originales!$J31/Datos_originales!$E31</f>
        <v>3.4336985416460759E-4</v>
      </c>
      <c r="AK255" s="6">
        <f>Datos_originales!$K31/Datos_originales!$E31</f>
        <v>2.567632143901517E-4</v>
      </c>
      <c r="AL255" s="6">
        <f>Datos_originales!$L31/Datos_originales!$E31</f>
        <v>3.9635273967368655E-4</v>
      </c>
      <c r="AM255" s="6">
        <f>Datos_originales!$M31/Datos_originales!$E31</f>
        <v>1.6200536146045286E-4</v>
      </c>
      <c r="AN255" s="6">
        <f>Datos_originales!$N31/Datos_originales!$E31</f>
        <v>6.0115197019916468E-4</v>
      </c>
      <c r="AO255" s="6">
        <f>Datos_originales!$O31/Datos_originales!$E31</f>
        <v>4.4220331367192796E-4</v>
      </c>
      <c r="AP255" s="6">
        <f>Datos_originales!$P31/Datos_originales!$E31</f>
        <v>9.3738951285293477E-4</v>
      </c>
      <c r="AQ255" s="6">
        <f>Datos_originales!$Q31/Datos_originales!$E31</f>
        <v>4.819404778037371E-4</v>
      </c>
      <c r="AR255" s="6">
        <f>Datos_originales!$R31/Datos_originales!$E31</f>
        <v>3.5253996896425591E-4</v>
      </c>
      <c r="AS255" s="6">
        <f>Datos_originales!$S31/Datos_originales!$E31</f>
        <v>4.5779250883133003E-3</v>
      </c>
      <c r="AT255" s="6">
        <f>Datos_originales!$T31/Datos_originales!$E31</f>
        <v>1.5558628110069906E-3</v>
      </c>
      <c r="AU255" s="6">
        <f>Datos_originales!$U31/Datos_originales!$E31</f>
        <v>1.2522301209741923E-3</v>
      </c>
      <c r="AV255" s="6">
        <f>Datos_originales!$V31/Datos_originales!$E31</f>
        <v>8.6810420103337004E-4</v>
      </c>
      <c r="AW255" s="6">
        <f>Datos_originales!$W31/Datos_originales!$E31</f>
        <v>1.145245448311629E-3</v>
      </c>
      <c r="AX255" s="6">
        <f>Datos_originales!$X31/Datos_originales!$E31</f>
        <v>4.472978218939549E-4</v>
      </c>
      <c r="AY255" s="6">
        <f>Datos_originales!$Y31/Datos_originales!$E31</f>
        <v>5.3899896989043745E-4</v>
      </c>
      <c r="AZ255" s="6">
        <f>Datos_originales!$Z31/Datos_originales!$E31</f>
        <v>2.1193154203631568E-4</v>
      </c>
      <c r="BA255" s="6">
        <f>Datos_originales!$AA31/Datos_originales!$E31</f>
        <v>8.854255289882613E-4</v>
      </c>
      <c r="BB255" s="6">
        <f>Datos_originales!$AB31/Datos_originales!$E31</f>
        <v>6.0013306855475929E-4</v>
      </c>
      <c r="BC255" s="6">
        <f>Datos_originales!$AC31/Datos_originales!$E31</f>
        <v>1.0708656282700374E-3</v>
      </c>
      <c r="BD255" s="6">
        <f>Datos_originales!$AD31/Datos_originales!$E31</f>
        <v>6.0217087184357007E-4</v>
      </c>
      <c r="BE255" s="6">
        <f>Datos_originales!$AE31/Datos_originales!$E31</f>
        <v>3.8922042816284905E-4</v>
      </c>
      <c r="BF255" s="6">
        <f>Datos_originales!$AF31/Datos_originales!$E31</f>
        <v>5.0680167792722802E-3</v>
      </c>
      <c r="BG255" s="6">
        <f>Datos_originales!$AG31/Datos_originales!$E31</f>
        <v>5.8036637665329523E-3</v>
      </c>
    </row>
    <row r="256" spans="1:59" ht="15.75" customHeight="1">
      <c r="A256" s="2">
        <v>70103</v>
      </c>
      <c r="B256" s="3" t="s">
        <v>83</v>
      </c>
      <c r="C256" s="4" t="s">
        <v>166</v>
      </c>
      <c r="D256" s="4">
        <f>IF(Table_1[[#This Row],[Forest cover 2011]]&lt;1000,"Bosque menor a 1000 ha",Table_1[[#This Row],[Forest cover 2011]])</f>
        <v>58007.79</v>
      </c>
      <c r="E256" s="4">
        <v>58007.79</v>
      </c>
      <c r="F256" s="5">
        <f>AVERAGE(Datos_originales!$H106:$J106)</f>
        <v>19.95</v>
      </c>
      <c r="G256" s="5">
        <f>AVERAGE(Datos_originales!$R106:$T106)</f>
        <v>175.38</v>
      </c>
      <c r="H256" s="4">
        <v>2042.37</v>
      </c>
      <c r="I256" s="4">
        <v>1567.44</v>
      </c>
      <c r="J256" s="4">
        <v>1179.18</v>
      </c>
      <c r="K256" s="4">
        <v>997.65</v>
      </c>
      <c r="L256" s="4">
        <v>1287.0899999999999</v>
      </c>
      <c r="M256" s="4">
        <v>1070.0999999999999</v>
      </c>
      <c r="N256" s="4">
        <v>827.46</v>
      </c>
      <c r="O256" s="4">
        <v>655.29</v>
      </c>
      <c r="P256" s="4">
        <v>478.62</v>
      </c>
      <c r="Q256" s="4">
        <v>1051.92</v>
      </c>
      <c r="R256" s="4">
        <v>181.35</v>
      </c>
      <c r="S256" s="4">
        <v>1981.53</v>
      </c>
      <c r="T256" s="4">
        <v>762.12</v>
      </c>
      <c r="U256" s="4">
        <v>2234.6999999999998</v>
      </c>
      <c r="V256" s="4">
        <v>1665.45</v>
      </c>
      <c r="W256" s="4">
        <v>1302.8399999999999</v>
      </c>
      <c r="X256" s="4">
        <v>1112.4000000000001</v>
      </c>
      <c r="Y256" s="4">
        <v>1331.64</v>
      </c>
      <c r="Z256" s="4">
        <v>1108.6199999999999</v>
      </c>
      <c r="AA256" s="4">
        <v>878.58</v>
      </c>
      <c r="AB256" s="4">
        <v>711.54</v>
      </c>
      <c r="AC256" s="4">
        <v>513.80999999999995</v>
      </c>
      <c r="AD256" s="4">
        <v>1443.24</v>
      </c>
      <c r="AE256" s="4">
        <v>189.99</v>
      </c>
      <c r="AF256" s="4">
        <v>2249.2800000000002</v>
      </c>
      <c r="AG256" s="4">
        <v>769.86</v>
      </c>
      <c r="AH256" s="6">
        <f>Datos_originales!$H106/Datos_originales!$E106</f>
        <v>1.4750533988486922E-4</v>
      </c>
      <c r="AI256" s="6">
        <f>Datos_originales!$I106/Datos_originales!$E106</f>
        <v>1.1493922588431367E-4</v>
      </c>
      <c r="AJ256" s="6">
        <f>Datos_originales!$J106/Datos_originales!$E106</f>
        <v>1.6219201874786485E-4</v>
      </c>
      <c r="AK256" s="6">
        <f>Datos_originales!$K106/Datos_originales!$E106</f>
        <v>1.5452940368891063E-4</v>
      </c>
      <c r="AL256" s="6">
        <f>Datos_originales!$L106/Datos_originales!$E106</f>
        <v>1.1110791835483656E-4</v>
      </c>
      <c r="AM256" s="6">
        <f>Datos_originales!$M106/Datos_originales!$E106</f>
        <v>8.3650214393583833E-5</v>
      </c>
      <c r="AN256" s="6">
        <f>Datos_originales!$N106/Datos_originales!$E106</f>
        <v>2.464807843963616E-4</v>
      </c>
      <c r="AO256" s="6">
        <f>Datos_originales!$O106/Datos_originales!$E106</f>
        <v>1.9028827396403044E-4</v>
      </c>
      <c r="AP256" s="6">
        <f>Datos_originales!$P106/Datos_originales!$E106</f>
        <v>7.1453885424748332E-4</v>
      </c>
      <c r="AQ256" s="6">
        <f>Datos_originales!$Q106/Datos_originales!$E106</f>
        <v>4.9296156879272319E-4</v>
      </c>
      <c r="AR256" s="6">
        <f>Datos_originales!$R106/Datos_originales!$E106</f>
        <v>1.3920417357100214E-4</v>
      </c>
      <c r="AS256" s="6">
        <f>Datos_originales!$S106/Datos_originales!$E106</f>
        <v>4.6933517236094754E-4</v>
      </c>
      <c r="AT256" s="6">
        <f>Datos_originales!$T106/Datos_originales!$E106</f>
        <v>3.1244312902885935E-3</v>
      </c>
      <c r="AU256" s="6">
        <f>Datos_originales!$U106/Datos_originales!$E106</f>
        <v>2.7508788061645743E-3</v>
      </c>
      <c r="AV256" s="6">
        <f>Datos_originales!$V106/Datos_originales!$E106</f>
        <v>2.7719509975766984E-3</v>
      </c>
      <c r="AW256" s="6">
        <f>Datos_originales!$W106/Datos_originales!$E106</f>
        <v>3.9934995482249873E-3</v>
      </c>
      <c r="AX256" s="6">
        <f>Datos_originales!$X106/Datos_originales!$E106</f>
        <v>2.3536999256087792E-3</v>
      </c>
      <c r="AY256" s="6">
        <f>Datos_originales!$Y106/Datos_originales!$E106</f>
        <v>1.1602476301766553E-3</v>
      </c>
      <c r="AZ256" s="6">
        <f>Datos_originales!$Z106/Datos_originales!$E106</f>
        <v>1.1455609513136597E-3</v>
      </c>
      <c r="BA256" s="6">
        <f>Datos_originales!$AA106/Datos_originales!$E106</f>
        <v>1.5401856268498033E-3</v>
      </c>
      <c r="BB256" s="6">
        <f>Datos_originales!$AB106/Datos_originales!$E106</f>
        <v>1.7828351037166878E-3</v>
      </c>
      <c r="BC256" s="6">
        <f>Datos_originales!$AC106/Datos_originales!$E106</f>
        <v>1.7234498370097924E-3</v>
      </c>
      <c r="BD256" s="6">
        <f>Datos_originales!$AD106/Datos_originales!$E106</f>
        <v>3.5382125034721218E-3</v>
      </c>
      <c r="BE256" s="6">
        <f>Datos_originales!$AE106/Datos_originales!$E106</f>
        <v>5.3829870789153574E-4</v>
      </c>
      <c r="BF256" s="6">
        <f>Datos_originales!$AF106/Datos_originales!$E106</f>
        <v>1.1493922588431368E-3</v>
      </c>
      <c r="BG256" s="6">
        <f>Datos_originales!$AG106/Datos_originales!$E106</f>
        <v>6.8778355666663481E-3</v>
      </c>
    </row>
    <row r="257" spans="1:59" ht="15.75" customHeight="1">
      <c r="A257" s="2">
        <v>70104</v>
      </c>
      <c r="B257" s="3" t="s">
        <v>83</v>
      </c>
      <c r="C257" s="4" t="s">
        <v>144</v>
      </c>
      <c r="D257" s="4">
        <f>IF(Table_1[[#This Row],[Forest cover 2011]]&lt;1000,"Bosque menor a 1000 ha",Table_1[[#This Row],[Forest cover 2011]])</f>
        <v>44732.52</v>
      </c>
      <c r="E257" s="4">
        <v>44732.52</v>
      </c>
      <c r="F257" s="5">
        <f>AVERAGE(Datos_originales!$H83:$J83)</f>
        <v>0</v>
      </c>
      <c r="G257" s="5">
        <f>AVERAGE(Datos_originales!$R83:$T83)</f>
        <v>0.69000000000000006</v>
      </c>
      <c r="H257" s="4">
        <v>2208.15</v>
      </c>
      <c r="I257" s="4">
        <v>1671.21</v>
      </c>
      <c r="J257" s="4">
        <v>1476.09</v>
      </c>
      <c r="K257" s="4">
        <v>1052.73</v>
      </c>
      <c r="L257" s="4">
        <v>1196.01</v>
      </c>
      <c r="M257" s="4">
        <v>1003.95</v>
      </c>
      <c r="N257" s="4">
        <v>633.33000000000004</v>
      </c>
      <c r="O257" s="4">
        <v>958.77</v>
      </c>
      <c r="P257" s="4">
        <v>616.23</v>
      </c>
      <c r="Q257" s="4">
        <v>1682.37</v>
      </c>
      <c r="R257" s="4">
        <v>238.41</v>
      </c>
      <c r="S257" s="4">
        <v>2743.56</v>
      </c>
      <c r="T257" s="4">
        <v>845.46</v>
      </c>
      <c r="U257" s="4">
        <v>2218.86</v>
      </c>
      <c r="V257" s="4">
        <v>1681.56</v>
      </c>
      <c r="W257" s="4">
        <v>1497.24</v>
      </c>
      <c r="X257" s="4">
        <v>1068.21</v>
      </c>
      <c r="Y257" s="4">
        <v>1205.46</v>
      </c>
      <c r="Z257" s="4">
        <v>1007.64</v>
      </c>
      <c r="AA257" s="4">
        <v>638.37</v>
      </c>
      <c r="AB257" s="4">
        <v>969.48</v>
      </c>
      <c r="AC257" s="4">
        <v>622.35</v>
      </c>
      <c r="AD257" s="4">
        <v>1803.78</v>
      </c>
      <c r="AE257" s="4">
        <v>239.13</v>
      </c>
      <c r="AF257" s="4">
        <v>2746.62</v>
      </c>
      <c r="AG257" s="4">
        <v>846</v>
      </c>
      <c r="AH257" s="6">
        <f>Datos_originales!$H83/Datos_originales!$E83</f>
        <v>0</v>
      </c>
      <c r="AI257" s="6">
        <f>Datos_originales!$I83/Datos_originales!$E83</f>
        <v>0</v>
      </c>
      <c r="AJ257" s="6">
        <f>Datos_originales!$J83/Datos_originales!$E83</f>
        <v>0</v>
      </c>
      <c r="AK257" s="6">
        <f>Datos_originales!$K83/Datos_originales!$E83</f>
        <v>0</v>
      </c>
      <c r="AL257" s="6">
        <f>Datos_originales!$L83/Datos_originales!$E83</f>
        <v>0</v>
      </c>
      <c r="AM257" s="6">
        <f>Datos_originales!$M83/Datos_originales!$E83</f>
        <v>0</v>
      </c>
      <c r="AN257" s="6">
        <f>Datos_originales!$N83/Datos_originales!$E83</f>
        <v>0</v>
      </c>
      <c r="AO257" s="6">
        <f>Datos_originales!$O83/Datos_originales!$E83</f>
        <v>0</v>
      </c>
      <c r="AP257" s="6">
        <f>Datos_originales!$P83/Datos_originales!$E83</f>
        <v>1.2294074256208509E-3</v>
      </c>
      <c r="AQ257" s="6">
        <f>Datos_originales!$Q83/Datos_originales!$E83</f>
        <v>0</v>
      </c>
      <c r="AR257" s="6">
        <f>Datos_originales!$R83/Datos_originales!$E83</f>
        <v>2.4588148512417015E-4</v>
      </c>
      <c r="AS257" s="6">
        <f>Datos_originales!$S83/Datos_originales!$E83</f>
        <v>9.835259404966806E-4</v>
      </c>
      <c r="AT257" s="6">
        <f>Datos_originales!$T83/Datos_originales!$E83</f>
        <v>4.425866732235063E-3</v>
      </c>
      <c r="AU257" s="6">
        <f>Datos_originales!$U83/Datos_originales!$E83</f>
        <v>2.7292844848782888E-2</v>
      </c>
      <c r="AV257" s="6">
        <f>Datos_originales!$V83/Datos_originales!$E83</f>
        <v>1.1802311285960166E-2</v>
      </c>
      <c r="AW257" s="6">
        <f>Datos_originales!$W83/Datos_originales!$E83</f>
        <v>1.8932874354561102E-2</v>
      </c>
      <c r="AX257" s="6">
        <f>Datos_originales!$X83/Datos_originales!$E83</f>
        <v>1.9670518809933612E-3</v>
      </c>
      <c r="AY257" s="6">
        <f>Datos_originales!$Y83/Datos_originales!$E83</f>
        <v>2.2129333661175315E-3</v>
      </c>
      <c r="AZ257" s="6">
        <f>Datos_originales!$Z83/Datos_originales!$E83</f>
        <v>3.4423407917383822E-3</v>
      </c>
      <c r="BA257" s="6">
        <f>Datos_originales!$AA83/Datos_originales!$E83</f>
        <v>3.1964593066142119E-3</v>
      </c>
      <c r="BB257" s="6">
        <f>Datos_originales!$AB83/Datos_originales!$E83</f>
        <v>9.835259404966806E-4</v>
      </c>
      <c r="BC257" s="6">
        <f>Datos_originales!$AC83/Datos_originales!$E83</f>
        <v>2.950577821490042E-3</v>
      </c>
      <c r="BD257" s="6">
        <f>Datos_originales!$AD83/Datos_originales!$E83</f>
        <v>7.3764445537251051E-4</v>
      </c>
      <c r="BE257" s="6">
        <f>Datos_originales!$AE83/Datos_originales!$E83</f>
        <v>9.835259404966806E-4</v>
      </c>
      <c r="BF257" s="6">
        <f>Datos_originales!$AF83/Datos_originales!$E83</f>
        <v>2.4588148512417018E-3</v>
      </c>
      <c r="BG257" s="6">
        <f>Datos_originales!$AG83/Datos_originales!$E83</f>
        <v>3.4177526432259651E-2</v>
      </c>
    </row>
    <row r="258" spans="1:59" ht="15.75" customHeight="1">
      <c r="A258" s="2">
        <v>70105</v>
      </c>
      <c r="B258" s="3" t="s">
        <v>83</v>
      </c>
      <c r="C258" s="4" t="s">
        <v>179</v>
      </c>
      <c r="D258" s="4">
        <f>IF(Table_1[[#This Row],[Forest cover 2011]]&lt;1000,"Bosque menor a 1000 ha",Table_1[[#This Row],[Forest cover 2011]])</f>
        <v>75341.790000000008</v>
      </c>
      <c r="E258" s="4">
        <v>75341.790000000008</v>
      </c>
      <c r="F258" s="5">
        <f>AVERAGE(Datos_originales!$H119:$J119)</f>
        <v>2.58</v>
      </c>
      <c r="G258" s="5">
        <f>AVERAGE(Datos_originales!$R119:$T119)</f>
        <v>9.6599999999999984</v>
      </c>
      <c r="H258" s="4">
        <v>1470.6</v>
      </c>
      <c r="I258" s="4">
        <v>1468.89</v>
      </c>
      <c r="J258" s="4">
        <v>960.93</v>
      </c>
      <c r="K258" s="4">
        <v>621.45000000000005</v>
      </c>
      <c r="L258" s="4">
        <v>912.69</v>
      </c>
      <c r="M258" s="4">
        <v>1310.94</v>
      </c>
      <c r="N258" s="4">
        <v>756.45</v>
      </c>
      <c r="O258" s="4">
        <v>574.65</v>
      </c>
      <c r="P258" s="4">
        <v>518.30999999999995</v>
      </c>
      <c r="Q258" s="4">
        <v>1376.64</v>
      </c>
      <c r="R258" s="4">
        <v>444.6</v>
      </c>
      <c r="S258" s="4">
        <v>2032.02</v>
      </c>
      <c r="T258" s="4">
        <v>746.01</v>
      </c>
      <c r="U258" s="4">
        <v>1694.79</v>
      </c>
      <c r="V258" s="4">
        <v>1557.72</v>
      </c>
      <c r="W258" s="4">
        <v>1064.25</v>
      </c>
      <c r="X258" s="4">
        <v>678.78</v>
      </c>
      <c r="Y258" s="4">
        <v>952.74</v>
      </c>
      <c r="Z258" s="4">
        <v>1360.08</v>
      </c>
      <c r="AA258" s="4">
        <v>801.09</v>
      </c>
      <c r="AB258" s="4">
        <v>642.24</v>
      </c>
      <c r="AC258" s="4">
        <v>554.04</v>
      </c>
      <c r="AD258" s="4">
        <v>1920.6</v>
      </c>
      <c r="AE258" s="4">
        <v>446.49</v>
      </c>
      <c r="AF258" s="4">
        <v>2285.8200000000002</v>
      </c>
      <c r="AG258" s="4">
        <v>754.83</v>
      </c>
      <c r="AH258" s="6">
        <f>Datos_originales!$H119/Datos_originales!$E119</f>
        <v>1.0200602534220926E-4</v>
      </c>
      <c r="AI258" s="6">
        <f>Datos_originales!$I119/Datos_originales!$E119</f>
        <v>2.794685625813952E-6</v>
      </c>
      <c r="AJ258" s="6">
        <f>Datos_originales!$J119/Datos_originales!$E119</f>
        <v>1.5370770941976738E-5</v>
      </c>
      <c r="AK258" s="6">
        <f>Datos_originales!$K119/Datos_originales!$E119</f>
        <v>5.5893712516279041E-6</v>
      </c>
      <c r="AL258" s="6">
        <f>Datos_originales!$L119/Datos_originales!$E119</f>
        <v>9.7813996903488332E-6</v>
      </c>
      <c r="AM258" s="6">
        <f>Datos_originales!$M119/Datos_originales!$E119</f>
        <v>6.9867140645348807E-6</v>
      </c>
      <c r="AN258" s="6">
        <f>Datos_originales!$N119/Datos_originales!$E119</f>
        <v>0</v>
      </c>
      <c r="AO258" s="6">
        <f>Datos_originales!$O119/Datos_originales!$E119</f>
        <v>5.5893712516279041E-6</v>
      </c>
      <c r="AP258" s="6">
        <f>Datos_originales!$P119/Datos_originales!$E119</f>
        <v>2.794685625813952E-6</v>
      </c>
      <c r="AQ258" s="6">
        <f>Datos_originales!$Q119/Datos_originales!$E119</f>
        <v>1.397342812906976E-6</v>
      </c>
      <c r="AR258" s="6">
        <f>Datos_originales!$R119/Datos_originales!$E119</f>
        <v>1.397342812906976E-6</v>
      </c>
      <c r="AS258" s="6">
        <f>Datos_originales!$S119/Datos_originales!$E119</f>
        <v>3.5911710291709287E-4</v>
      </c>
      <c r="AT258" s="6">
        <f>Datos_originales!$T119/Datos_originales!$E119</f>
        <v>8.9429940026046465E-5</v>
      </c>
      <c r="AU258" s="6">
        <f>Datos_originales!$U119/Datos_originales!$E119</f>
        <v>1.0186629106091855E-3</v>
      </c>
      <c r="AV258" s="6">
        <f>Datos_originales!$V119/Datos_originales!$E119</f>
        <v>8.5237911587325544E-4</v>
      </c>
      <c r="AW258" s="6">
        <f>Datos_originales!$W119/Datos_originales!$E119</f>
        <v>1.1276556500159296E-2</v>
      </c>
      <c r="AX258" s="6">
        <f>Datos_originales!$X119/Datos_originales!$E119</f>
        <v>7.6853854709883686E-4</v>
      </c>
      <c r="AY258" s="6">
        <f>Datos_originales!$Y119/Datos_originales!$E119</f>
        <v>8.4678974462162751E-4</v>
      </c>
      <c r="AZ258" s="6">
        <f>Datos_originales!$Z119/Datos_originales!$E119</f>
        <v>7.5316777615686014E-4</v>
      </c>
      <c r="BA258" s="6">
        <f>Datos_originales!$AA119/Datos_originales!$E119</f>
        <v>1.9688560233859292E-3</v>
      </c>
      <c r="BB258" s="6">
        <f>Datos_originales!$AB119/Datos_originales!$E119</f>
        <v>1.7410891448820924E-3</v>
      </c>
      <c r="BC258" s="6">
        <f>Datos_originales!$AC119/Datos_originales!$E119</f>
        <v>4.8934945308002301E-3</v>
      </c>
      <c r="BD258" s="6">
        <f>Datos_originales!$AD119/Datos_originales!$E119</f>
        <v>2.6549513445232544E-5</v>
      </c>
      <c r="BE258" s="6">
        <f>Datos_originales!$AE119/Datos_originales!$E119</f>
        <v>2.7946856258139523E-5</v>
      </c>
      <c r="BF258" s="6">
        <f>Datos_originales!$AF119/Datos_originales!$E119</f>
        <v>7.2522091989872062E-4</v>
      </c>
      <c r="BG258" s="6">
        <f>Datos_originales!$AG119/Datos_originales!$E119</f>
        <v>2.3195890694255802E-4</v>
      </c>
    </row>
    <row r="259" spans="1:59" ht="15.75" customHeight="1">
      <c r="A259" s="2">
        <v>70201</v>
      </c>
      <c r="B259" s="3" t="s">
        <v>83</v>
      </c>
      <c r="C259" s="4" t="s">
        <v>112</v>
      </c>
      <c r="D259" s="4">
        <f>IF(Table_1[[#This Row],[Forest cover 2011]]&lt;1000,"Bosque menor a 1000 ha",Table_1[[#This Row],[Forest cover 2011]])</f>
        <v>17938.169999999998</v>
      </c>
      <c r="E259" s="4">
        <v>17938.169999999998</v>
      </c>
      <c r="F259" s="5">
        <f>AVERAGE(Datos_originales!$H51:$J51)</f>
        <v>3.5700000000000003</v>
      </c>
      <c r="G259" s="5">
        <f>AVERAGE(Datos_originales!$R51:$T51)</f>
        <v>6.63</v>
      </c>
      <c r="H259" s="4">
        <v>1319.13</v>
      </c>
      <c r="I259" s="4">
        <v>880.2</v>
      </c>
      <c r="J259" s="4">
        <v>618.03</v>
      </c>
      <c r="K259" s="4">
        <v>578.52</v>
      </c>
      <c r="L259" s="4">
        <v>563.94000000000005</v>
      </c>
      <c r="M259" s="4">
        <v>537.66</v>
      </c>
      <c r="N259" s="4">
        <v>331.83</v>
      </c>
      <c r="O259" s="4">
        <v>432.9</v>
      </c>
      <c r="P259" s="4">
        <v>465.84</v>
      </c>
      <c r="Q259" s="4">
        <v>447.39</v>
      </c>
      <c r="R259" s="4">
        <v>101.52</v>
      </c>
      <c r="S259" s="4">
        <v>795.87</v>
      </c>
      <c r="T259" s="4">
        <v>622.16999999999996</v>
      </c>
      <c r="U259" s="4">
        <v>1336.77</v>
      </c>
      <c r="V259" s="4">
        <v>901.98</v>
      </c>
      <c r="W259" s="4">
        <v>633.06000000000006</v>
      </c>
      <c r="X259" s="4">
        <v>594.36</v>
      </c>
      <c r="Y259" s="4">
        <v>569.70000000000005</v>
      </c>
      <c r="Z259" s="4">
        <v>543.87</v>
      </c>
      <c r="AA259" s="4">
        <v>339.48</v>
      </c>
      <c r="AB259" s="4">
        <v>440.64</v>
      </c>
      <c r="AC259" s="4">
        <v>472.86</v>
      </c>
      <c r="AD259" s="4">
        <v>460.17</v>
      </c>
      <c r="AE259" s="4">
        <v>107.55</v>
      </c>
      <c r="AF259" s="4">
        <v>806.49</v>
      </c>
      <c r="AG259" s="4">
        <v>623.79</v>
      </c>
      <c r="AH259" s="6">
        <f>Datos_originales!$H51/Datos_originales!$E51</f>
        <v>3.5938903863432171E-4</v>
      </c>
      <c r="AI259" s="6">
        <f>Datos_originales!$I51/Datos_originales!$E51</f>
        <v>1.0781671159029651E-3</v>
      </c>
      <c r="AJ259" s="6">
        <f>Datos_originales!$J51/Datos_originales!$E51</f>
        <v>2.1263851452530702E-3</v>
      </c>
      <c r="AK259" s="6">
        <f>Datos_originales!$K51/Datos_originales!$E51</f>
        <v>5.9898173105720279E-4</v>
      </c>
      <c r="AL259" s="6">
        <f>Datos_originales!$L51/Datos_originales!$E51</f>
        <v>4.1928721174004196E-4</v>
      </c>
      <c r="AM259" s="6">
        <f>Datos_originales!$M51/Datos_originales!$E51</f>
        <v>9.8831985624438473E-4</v>
      </c>
      <c r="AN259" s="6">
        <f>Datos_originales!$N51/Datos_originales!$E51</f>
        <v>4.1928721174004196E-4</v>
      </c>
      <c r="AO259" s="6">
        <f>Datos_originales!$O51/Datos_originales!$E51</f>
        <v>6.8882899071578312E-4</v>
      </c>
      <c r="AP259" s="6">
        <f>Datos_originales!$P51/Datos_originales!$E51</f>
        <v>1.766996106618748E-3</v>
      </c>
      <c r="AQ259" s="6">
        <f>Datos_originales!$Q51/Datos_originales!$E51</f>
        <v>2.0964360587002098E-4</v>
      </c>
      <c r="AR259" s="6">
        <f>Datos_originales!$R51/Datos_originales!$E51</f>
        <v>1.1979634621144055E-4</v>
      </c>
      <c r="AS259" s="6">
        <f>Datos_originales!$S51/Datos_originales!$E51</f>
        <v>4.7020065887990424E-3</v>
      </c>
      <c r="AT259" s="6">
        <f>Datos_originales!$T51/Datos_originales!$E51</f>
        <v>1.7969451931716084E-3</v>
      </c>
      <c r="AU259" s="6">
        <f>Datos_originales!$U51/Datos_originales!$E51</f>
        <v>7.6370170709793355E-3</v>
      </c>
      <c r="AV259" s="6">
        <f>Datos_originales!$V51/Datos_originales!$E51</f>
        <v>6.8882899071578321E-3</v>
      </c>
      <c r="AW259" s="6">
        <f>Datos_originales!$W51/Datos_originales!$E51</f>
        <v>1.8688230008984726E-2</v>
      </c>
      <c r="AX259" s="6">
        <f>Datos_originales!$X51/Datos_originales!$E51</f>
        <v>4.7918538484576223E-3</v>
      </c>
      <c r="AY259" s="6">
        <f>Datos_originales!$Y51/Datos_originales!$E51</f>
        <v>2.1563342318059301E-3</v>
      </c>
      <c r="AZ259" s="6">
        <f>Datos_originales!$Z51/Datos_originales!$E51</f>
        <v>4.8218029350104823E-3</v>
      </c>
      <c r="BA259" s="6">
        <f>Datos_originales!$AA51/Datos_originales!$E51</f>
        <v>2.2761305780173704E-3</v>
      </c>
      <c r="BB259" s="6">
        <f>Datos_originales!$AB51/Datos_originales!$E51</f>
        <v>6.6187481281820906E-3</v>
      </c>
      <c r="BC259" s="6">
        <f>Datos_originales!$AC51/Datos_originales!$E51</f>
        <v>3.9532794249775389E-3</v>
      </c>
      <c r="BD259" s="6">
        <f>Datos_originales!$AD51/Datos_originales!$E51</f>
        <v>5.3908355795148253E-4</v>
      </c>
      <c r="BE259" s="6">
        <f>Datos_originales!$AE51/Datos_originales!$E51</f>
        <v>2.3959269242288111E-4</v>
      </c>
      <c r="BF259" s="6">
        <f>Datos_originales!$AF51/Datos_originales!$E51</f>
        <v>5.2710392333033844E-3</v>
      </c>
      <c r="BG259" s="6">
        <f>Datos_originales!$AG51/Datos_originales!$E51</f>
        <v>1.4675052410901463E-2</v>
      </c>
    </row>
    <row r="260" spans="1:59" ht="15.75" customHeight="1">
      <c r="A260" s="2">
        <v>70202</v>
      </c>
      <c r="B260" s="3" t="s">
        <v>83</v>
      </c>
      <c r="C260" s="4" t="s">
        <v>99</v>
      </c>
      <c r="D260" s="4">
        <f>IF(Table_1[[#This Row],[Forest cover 2011]]&lt;1000,"Bosque menor a 1000 ha",Table_1[[#This Row],[Forest cover 2011]])</f>
        <v>11630.88</v>
      </c>
      <c r="E260" s="4">
        <v>11630.88</v>
      </c>
      <c r="F260" s="5">
        <f>AVERAGE(Datos_originales!$H37:$J37)</f>
        <v>0</v>
      </c>
      <c r="G260" s="5">
        <f>AVERAGE(Datos_originales!$R37:$T37)</f>
        <v>0</v>
      </c>
      <c r="H260" s="4">
        <v>818.64</v>
      </c>
      <c r="I260" s="4">
        <v>928.89</v>
      </c>
      <c r="J260" s="4">
        <v>568.16999999999996</v>
      </c>
      <c r="K260" s="4">
        <v>326.52</v>
      </c>
      <c r="L260" s="4">
        <v>193.95</v>
      </c>
      <c r="M260" s="4">
        <v>270.54000000000002</v>
      </c>
      <c r="N260" s="4">
        <v>209.61</v>
      </c>
      <c r="O260" s="4">
        <v>273.87</v>
      </c>
      <c r="P260" s="4">
        <v>105.57</v>
      </c>
      <c r="Q260" s="4">
        <v>299.52</v>
      </c>
      <c r="R260" s="4">
        <v>172.8</v>
      </c>
      <c r="S260" s="4">
        <v>672.75</v>
      </c>
      <c r="T260" s="4">
        <v>467.82</v>
      </c>
      <c r="U260" s="4">
        <v>1007.55</v>
      </c>
      <c r="V260" s="4">
        <v>1106.6400000000001</v>
      </c>
      <c r="W260" s="4">
        <v>692.64</v>
      </c>
      <c r="X260" s="4">
        <v>401.85</v>
      </c>
      <c r="Y260" s="4">
        <v>244.08</v>
      </c>
      <c r="Z260" s="4">
        <v>309.06</v>
      </c>
      <c r="AA260" s="4">
        <v>282.33</v>
      </c>
      <c r="AB260" s="4">
        <v>325.8</v>
      </c>
      <c r="AC260" s="4">
        <v>145.62</v>
      </c>
      <c r="AD260" s="4">
        <v>316.44</v>
      </c>
      <c r="AE260" s="4">
        <v>229.23</v>
      </c>
      <c r="AF260" s="4">
        <v>700.47</v>
      </c>
      <c r="AG260" s="4">
        <v>528.84</v>
      </c>
      <c r="AH260" s="6">
        <f>Datos_originales!$H37/Datos_originales!$E37</f>
        <v>0</v>
      </c>
      <c r="AI260" s="6">
        <f>Datos_originales!$I37/Datos_originales!$E37</f>
        <v>0</v>
      </c>
      <c r="AJ260" s="6">
        <f>Datos_originales!$J37/Datos_originales!$E37</f>
        <v>0</v>
      </c>
      <c r="AK260" s="6">
        <f>Datos_originales!$K37/Datos_originales!$E37</f>
        <v>0</v>
      </c>
      <c r="AL260" s="6">
        <f>Datos_originales!$L37/Datos_originales!$E37</f>
        <v>0</v>
      </c>
      <c r="AM260" s="6">
        <f>Datos_originales!$M37/Datos_originales!$E37</f>
        <v>0</v>
      </c>
      <c r="AN260" s="6">
        <f>Datos_originales!$N37/Datos_originales!$E37</f>
        <v>0</v>
      </c>
      <c r="AO260" s="6">
        <f>Datos_originales!$O37/Datos_originales!$E37</f>
        <v>0</v>
      </c>
      <c r="AP260" s="6">
        <f>Datos_originales!$P37/Datos_originales!$E37</f>
        <v>0</v>
      </c>
      <c r="AQ260" s="6">
        <f>Datos_originales!$Q37/Datos_originales!$E37</f>
        <v>0</v>
      </c>
      <c r="AR260" s="6">
        <f>Datos_originales!$R37/Datos_originales!$E37</f>
        <v>0</v>
      </c>
      <c r="AS260" s="6">
        <f>Datos_originales!$S37/Datos_originales!$E37</f>
        <v>0</v>
      </c>
      <c r="AT260" s="6">
        <f>Datos_originales!$T37/Datos_originales!$E37</f>
        <v>0</v>
      </c>
      <c r="AU260" s="6">
        <f>Datos_originales!$U37/Datos_originales!$E37</f>
        <v>0</v>
      </c>
      <c r="AV260" s="6">
        <f>Datos_originales!$V37/Datos_originales!$E37</f>
        <v>0</v>
      </c>
      <c r="AW260" s="6">
        <f>Datos_originales!$W37/Datos_originales!$E37</f>
        <v>0</v>
      </c>
      <c r="AX260" s="6">
        <f>Datos_originales!$X37/Datos_originales!$E37</f>
        <v>0</v>
      </c>
      <c r="AY260" s="6">
        <f>Datos_originales!$Y37/Datos_originales!$E37</f>
        <v>0</v>
      </c>
      <c r="AZ260" s="6">
        <f>Datos_originales!$Z37/Datos_originales!$E37</f>
        <v>0</v>
      </c>
      <c r="BA260" s="6">
        <f>Datos_originales!$AA37/Datos_originales!$E37</f>
        <v>0</v>
      </c>
      <c r="BB260" s="6">
        <f>Datos_originales!$AB37/Datos_originales!$E37</f>
        <v>0</v>
      </c>
      <c r="BC260" s="6">
        <f>Datos_originales!$AC37/Datos_originales!$E37</f>
        <v>0</v>
      </c>
      <c r="BD260" s="6">
        <f>Datos_originales!$AD37/Datos_originales!$E37</f>
        <v>0</v>
      </c>
      <c r="BE260" s="6">
        <f>Datos_originales!$AE37/Datos_originales!$E37</f>
        <v>0</v>
      </c>
      <c r="BF260" s="6">
        <f>Datos_originales!$AF37/Datos_originales!$E37</f>
        <v>0</v>
      </c>
      <c r="BG260" s="6">
        <f>Datos_originales!$AG37/Datos_originales!$E37</f>
        <v>0</v>
      </c>
    </row>
    <row r="261" spans="1:59" ht="15.75" customHeight="1">
      <c r="A261" s="2">
        <v>70301</v>
      </c>
      <c r="B261" s="3" t="s">
        <v>83</v>
      </c>
      <c r="C261" s="4" t="s">
        <v>170</v>
      </c>
      <c r="D261" s="4">
        <f>IF(Table_1[[#This Row],[Forest cover 2011]]&lt;1000,"Bosque menor a 1000 ha",Table_1[[#This Row],[Forest cover 2011]])</f>
        <v>3857761.35</v>
      </c>
      <c r="E261" s="4">
        <v>3857761.35</v>
      </c>
      <c r="F261" s="5">
        <f>AVERAGE(Datos_originales!$H110:$J110)</f>
        <v>0</v>
      </c>
      <c r="G261" s="5">
        <f>AVERAGE(Datos_originales!$R110:$T110)</f>
        <v>0</v>
      </c>
      <c r="H261" s="4">
        <v>12090.78</v>
      </c>
      <c r="I261" s="4">
        <v>11265.48</v>
      </c>
      <c r="J261" s="4">
        <v>9136.26</v>
      </c>
      <c r="K261" s="4">
        <v>16342.83</v>
      </c>
      <c r="L261" s="4">
        <v>23021.73</v>
      </c>
      <c r="M261" s="4">
        <v>34265.79</v>
      </c>
      <c r="N261" s="4">
        <v>44529.84</v>
      </c>
      <c r="O261" s="4">
        <v>40107.96</v>
      </c>
      <c r="P261" s="4">
        <v>44831.61</v>
      </c>
      <c r="Q261" s="4">
        <v>59767.47</v>
      </c>
      <c r="R261" s="4">
        <v>49616.73</v>
      </c>
      <c r="S261" s="4">
        <v>51384.33</v>
      </c>
      <c r="T261" s="4">
        <v>43433.1</v>
      </c>
      <c r="U261" s="4">
        <v>25819.919999999998</v>
      </c>
      <c r="V261" s="4">
        <v>19086.21</v>
      </c>
      <c r="W261" s="4">
        <v>15192.81</v>
      </c>
      <c r="X261" s="4">
        <v>22815</v>
      </c>
      <c r="Y261" s="4">
        <v>29748.51</v>
      </c>
      <c r="Z261" s="4">
        <v>39394.17</v>
      </c>
      <c r="AA261" s="4">
        <v>48826.26</v>
      </c>
      <c r="AB261" s="4">
        <v>45047.519999999997</v>
      </c>
      <c r="AC261" s="4">
        <v>47474.82</v>
      </c>
      <c r="AD261" s="4">
        <v>66432.87</v>
      </c>
      <c r="AE261" s="4">
        <v>53663.22</v>
      </c>
      <c r="AF261" s="4">
        <v>53224.74</v>
      </c>
      <c r="AG261" s="4">
        <v>45511.92</v>
      </c>
      <c r="AH261" s="6" t="e">
        <f>Datos_originales!$H110/Datos_originales!$E110</f>
        <v>#DIV/0!</v>
      </c>
      <c r="AI261" s="6" t="e">
        <f>Datos_originales!$I110/Datos_originales!$E110</f>
        <v>#DIV/0!</v>
      </c>
      <c r="AJ261" s="6" t="e">
        <f>Datos_originales!$J110/Datos_originales!$E110</f>
        <v>#DIV/0!</v>
      </c>
      <c r="AK261" s="6" t="e">
        <f>Datos_originales!$K110/Datos_originales!$E110</f>
        <v>#DIV/0!</v>
      </c>
      <c r="AL261" s="6" t="e">
        <f>Datos_originales!$L110/Datos_originales!$E110</f>
        <v>#DIV/0!</v>
      </c>
      <c r="AM261" s="6" t="e">
        <f>Datos_originales!$M110/Datos_originales!$E110</f>
        <v>#DIV/0!</v>
      </c>
      <c r="AN261" s="6" t="e">
        <f>Datos_originales!$N110/Datos_originales!$E110</f>
        <v>#DIV/0!</v>
      </c>
      <c r="AO261" s="6" t="e">
        <f>Datos_originales!$O110/Datos_originales!$E110</f>
        <v>#DIV/0!</v>
      </c>
      <c r="AP261" s="6" t="e">
        <f>Datos_originales!$P110/Datos_originales!$E110</f>
        <v>#DIV/0!</v>
      </c>
      <c r="AQ261" s="6" t="e">
        <f>Datos_originales!$Q110/Datos_originales!$E110</f>
        <v>#DIV/0!</v>
      </c>
      <c r="AR261" s="6" t="e">
        <f>Datos_originales!$R110/Datos_originales!$E110</f>
        <v>#DIV/0!</v>
      </c>
      <c r="AS261" s="6" t="e">
        <f>Datos_originales!$S110/Datos_originales!$E110</f>
        <v>#DIV/0!</v>
      </c>
      <c r="AT261" s="6" t="e">
        <f>Datos_originales!$T110/Datos_originales!$E110</f>
        <v>#DIV/0!</v>
      </c>
      <c r="AU261" s="6" t="e">
        <f>Datos_originales!$U110/Datos_originales!$E110</f>
        <v>#DIV/0!</v>
      </c>
      <c r="AV261" s="6" t="e">
        <f>Datos_originales!$V110/Datos_originales!$E110</f>
        <v>#DIV/0!</v>
      </c>
      <c r="AW261" s="6" t="e">
        <f>Datos_originales!$W110/Datos_originales!$E110</f>
        <v>#DIV/0!</v>
      </c>
      <c r="AX261" s="6" t="e">
        <f>Datos_originales!$X110/Datos_originales!$E110</f>
        <v>#DIV/0!</v>
      </c>
      <c r="AY261" s="6" t="e">
        <f>Datos_originales!$Y110/Datos_originales!$E110</f>
        <v>#DIV/0!</v>
      </c>
      <c r="AZ261" s="6" t="e">
        <f>Datos_originales!$Z110/Datos_originales!$E110</f>
        <v>#DIV/0!</v>
      </c>
      <c r="BA261" s="6" t="e">
        <f>Datos_originales!$AA110/Datos_originales!$E110</f>
        <v>#DIV/0!</v>
      </c>
      <c r="BB261" s="6" t="e">
        <f>Datos_originales!$AB110/Datos_originales!$E110</f>
        <v>#DIV/0!</v>
      </c>
      <c r="BC261" s="6" t="e">
        <f>Datos_originales!$AC110/Datos_originales!$E110</f>
        <v>#DIV/0!</v>
      </c>
      <c r="BD261" s="6" t="e">
        <f>Datos_originales!$AD110/Datos_originales!$E110</f>
        <v>#DIV/0!</v>
      </c>
      <c r="BE261" s="6" t="e">
        <f>Datos_originales!$AE110/Datos_originales!$E110</f>
        <v>#DIV/0!</v>
      </c>
      <c r="BF261" s="6" t="e">
        <f>Datos_originales!$AF110/Datos_originales!$E110</f>
        <v>#DIV/0!</v>
      </c>
      <c r="BG261" s="6" t="e">
        <f>Datos_originales!$AG110/Datos_originales!$E110</f>
        <v>#DIV/0!</v>
      </c>
    </row>
    <row r="262" spans="1:59" ht="15.75" customHeight="1">
      <c r="A262" s="2">
        <v>70302</v>
      </c>
      <c r="B262" s="3" t="s">
        <v>83</v>
      </c>
      <c r="C262" s="4" t="s">
        <v>159</v>
      </c>
      <c r="D262" s="4">
        <f>IF(Table_1[[#This Row],[Forest cover 2011]]&lt;1000,"Bosque menor a 1000 ha",Table_1[[#This Row],[Forest cover 2011]])</f>
        <v>845629.56</v>
      </c>
      <c r="E262" s="4">
        <v>845629.56</v>
      </c>
      <c r="F262" s="5">
        <f>AVERAGE(Datos_originales!$H98:$J98)</f>
        <v>0</v>
      </c>
      <c r="G262" s="5">
        <f>AVERAGE(Datos_originales!$R98:$T98)</f>
        <v>1.68</v>
      </c>
      <c r="H262" s="4">
        <v>1609.92</v>
      </c>
      <c r="I262" s="4">
        <v>2527.65</v>
      </c>
      <c r="J262" s="4">
        <v>1941.39</v>
      </c>
      <c r="K262" s="4">
        <v>3239.1</v>
      </c>
      <c r="L262" s="4">
        <v>4290.57</v>
      </c>
      <c r="M262" s="4">
        <v>9388.89</v>
      </c>
      <c r="N262" s="4">
        <v>8562.7800000000007</v>
      </c>
      <c r="O262" s="4">
        <v>6967.17</v>
      </c>
      <c r="P262" s="4">
        <v>11306.7</v>
      </c>
      <c r="Q262" s="4">
        <v>18450.900000000001</v>
      </c>
      <c r="R262" s="4">
        <v>15164.91</v>
      </c>
      <c r="S262" s="4">
        <v>21126.240000000002</v>
      </c>
      <c r="T262" s="4">
        <v>12766.86</v>
      </c>
      <c r="U262" s="4">
        <v>3969</v>
      </c>
      <c r="V262" s="4">
        <v>3997.35</v>
      </c>
      <c r="W262" s="4">
        <v>2954.7</v>
      </c>
      <c r="X262" s="4">
        <v>3743.73</v>
      </c>
      <c r="Y262" s="4">
        <v>5428.4400000000014</v>
      </c>
      <c r="Z262" s="4">
        <v>10492.38</v>
      </c>
      <c r="AA262" s="4">
        <v>10658.43</v>
      </c>
      <c r="AB262" s="4">
        <v>8385.2999999999993</v>
      </c>
      <c r="AC262" s="4">
        <v>14034.33</v>
      </c>
      <c r="AD262" s="4">
        <v>46131.39</v>
      </c>
      <c r="AE262" s="4">
        <v>15178.14</v>
      </c>
      <c r="AF262" s="4">
        <v>21341.61</v>
      </c>
      <c r="AG262" s="4">
        <v>12826.8</v>
      </c>
      <c r="AH262" s="6">
        <f>Datos_originales!$H98/Datos_originales!$E98</f>
        <v>0</v>
      </c>
      <c r="AI262" s="6">
        <f>Datos_originales!$I98/Datos_originales!$E98</f>
        <v>0</v>
      </c>
      <c r="AJ262" s="6">
        <f>Datos_originales!$J98/Datos_originales!$E98</f>
        <v>0</v>
      </c>
      <c r="AK262" s="6">
        <f>Datos_originales!$K98/Datos_originales!$E98</f>
        <v>0</v>
      </c>
      <c r="AL262" s="6">
        <f>Datos_originales!$L98/Datos_originales!$E98</f>
        <v>0</v>
      </c>
      <c r="AM262" s="6">
        <f>Datos_originales!$M98/Datos_originales!$E98</f>
        <v>0</v>
      </c>
      <c r="AN262" s="6">
        <f>Datos_originales!$N98/Datos_originales!$E98</f>
        <v>1.11731843575419E-2</v>
      </c>
      <c r="AO262" s="6">
        <f>Datos_originales!$O98/Datos_originales!$E98</f>
        <v>0</v>
      </c>
      <c r="AP262" s="6">
        <f>Datos_originales!$P98/Datos_originales!$E98</f>
        <v>3.9106145251396648E-2</v>
      </c>
      <c r="AQ262" s="6">
        <f>Datos_originales!$Q98/Datos_originales!$E98</f>
        <v>0</v>
      </c>
      <c r="AR262" s="6">
        <f>Datos_originales!$R98/Datos_originales!$E98</f>
        <v>0</v>
      </c>
      <c r="AS262" s="6">
        <f>Datos_originales!$S98/Datos_originales!$E98</f>
        <v>0.3016759776536313</v>
      </c>
      <c r="AT262" s="6">
        <f>Datos_originales!$T98/Datos_originales!$E98</f>
        <v>1.11731843575419E-2</v>
      </c>
      <c r="AU262" s="6">
        <f>Datos_originales!$U98/Datos_originales!$E98</f>
        <v>5.5865921787709499E-3</v>
      </c>
      <c r="AV262" s="6">
        <f>Datos_originales!$V98/Datos_originales!$E98</f>
        <v>1.11731843575419E-2</v>
      </c>
      <c r="AW262" s="6">
        <f>Datos_originales!$W98/Datos_originales!$E98</f>
        <v>1.6759776536312852E-2</v>
      </c>
      <c r="AX262" s="6">
        <f>Datos_originales!$X98/Datos_originales!$E98</f>
        <v>0</v>
      </c>
      <c r="AY262" s="6">
        <f>Datos_originales!$Y98/Datos_originales!$E98</f>
        <v>0</v>
      </c>
      <c r="AZ262" s="6">
        <f>Datos_originales!$Z98/Datos_originales!$E98</f>
        <v>0</v>
      </c>
      <c r="BA262" s="6">
        <f>Datos_originales!$AA98/Datos_originales!$E98</f>
        <v>1.11731843575419E-2</v>
      </c>
      <c r="BB262" s="6">
        <f>Datos_originales!$AB98/Datos_originales!$E98</f>
        <v>1.11731843575419E-2</v>
      </c>
      <c r="BC262" s="6">
        <f>Datos_originales!$AC98/Datos_originales!$E98</f>
        <v>5.5865921787709501E-2</v>
      </c>
      <c r="BD262" s="6">
        <f>Datos_originales!$AD98/Datos_originales!$E98</f>
        <v>0</v>
      </c>
      <c r="BE262" s="6">
        <f>Datos_originales!$AE98/Datos_originales!$E98</f>
        <v>0</v>
      </c>
      <c r="BF262" s="6">
        <f>Datos_originales!$AF98/Datos_originales!$E98</f>
        <v>0.35195530726256985</v>
      </c>
      <c r="BG262" s="6">
        <f>Datos_originales!$AG98/Datos_originales!$E98</f>
        <v>1.11731843575419E-2</v>
      </c>
    </row>
    <row r="263" spans="1:59" ht="15.75" customHeight="1">
      <c r="A263" s="2">
        <v>70303</v>
      </c>
      <c r="B263" s="3" t="s">
        <v>83</v>
      </c>
      <c r="C263" s="4" t="s">
        <v>158</v>
      </c>
      <c r="D263" s="4">
        <f>IF(Table_1[[#This Row],[Forest cover 2011]]&lt;1000,"Bosque menor a 1000 ha",Table_1[[#This Row],[Forest cover 2011]])</f>
        <v>851393.34000000008</v>
      </c>
      <c r="E263" s="4">
        <v>851393.34000000008</v>
      </c>
      <c r="F263" s="5">
        <f>AVERAGE(Datos_originales!$H97:$J97)</f>
        <v>0</v>
      </c>
      <c r="G263" s="5">
        <f>AVERAGE(Datos_originales!$R97:$T97)</f>
        <v>0</v>
      </c>
      <c r="H263" s="4">
        <v>1144.3499999999999</v>
      </c>
      <c r="I263" s="4">
        <v>1875.87</v>
      </c>
      <c r="J263" s="4">
        <v>1704.87</v>
      </c>
      <c r="K263" s="4">
        <v>2495.25</v>
      </c>
      <c r="L263" s="4">
        <v>2436.39</v>
      </c>
      <c r="M263" s="4">
        <v>6142.77</v>
      </c>
      <c r="N263" s="4">
        <v>8386.3799999999992</v>
      </c>
      <c r="O263" s="4">
        <v>6078.42</v>
      </c>
      <c r="P263" s="4">
        <v>6967.5300000000007</v>
      </c>
      <c r="Q263" s="4">
        <v>12028.59</v>
      </c>
      <c r="R263" s="4">
        <v>12857.85</v>
      </c>
      <c r="S263" s="4">
        <v>9932.58</v>
      </c>
      <c r="T263" s="4">
        <v>12071.97</v>
      </c>
      <c r="U263" s="4">
        <v>2091.5100000000002</v>
      </c>
      <c r="V263" s="4">
        <v>2731.86</v>
      </c>
      <c r="W263" s="4">
        <v>2410.02</v>
      </c>
      <c r="X263" s="4">
        <v>2781.36</v>
      </c>
      <c r="Y263" s="4">
        <v>2861.46</v>
      </c>
      <c r="Z263" s="4">
        <v>6510.6</v>
      </c>
      <c r="AA263" s="4">
        <v>9083.43</v>
      </c>
      <c r="AB263" s="4">
        <v>9123.57</v>
      </c>
      <c r="AC263" s="4">
        <v>8968.7699999999986</v>
      </c>
      <c r="AD263" s="4">
        <v>28362.959999999999</v>
      </c>
      <c r="AE263" s="4">
        <v>12900.42</v>
      </c>
      <c r="AF263" s="4">
        <v>10013.67</v>
      </c>
      <c r="AG263" s="4">
        <v>13080.78</v>
      </c>
      <c r="AH263" s="6">
        <f>Datos_originales!$H97/Datos_originales!$E97</f>
        <v>0</v>
      </c>
      <c r="AI263" s="6">
        <f>Datos_originales!$I97/Datos_originales!$E97</f>
        <v>0</v>
      </c>
      <c r="AJ263" s="6">
        <f>Datos_originales!$J97/Datos_originales!$E97</f>
        <v>0</v>
      </c>
      <c r="AK263" s="6">
        <f>Datos_originales!$K97/Datos_originales!$E97</f>
        <v>0</v>
      </c>
      <c r="AL263" s="6">
        <f>Datos_originales!$L97/Datos_originales!$E97</f>
        <v>0</v>
      </c>
      <c r="AM263" s="6">
        <f>Datos_originales!$M97/Datos_originales!$E97</f>
        <v>0</v>
      </c>
      <c r="AN263" s="6">
        <f>Datos_originales!$N97/Datos_originales!$E97</f>
        <v>0</v>
      </c>
      <c r="AO263" s="6">
        <f>Datos_originales!$O97/Datos_originales!$E97</f>
        <v>0</v>
      </c>
      <c r="AP263" s="6">
        <f>Datos_originales!$P97/Datos_originales!$E97</f>
        <v>0</v>
      </c>
      <c r="AQ263" s="6">
        <f>Datos_originales!$Q97/Datos_originales!$E97</f>
        <v>0</v>
      </c>
      <c r="AR263" s="6">
        <f>Datos_originales!$R97/Datos_originales!$E97</f>
        <v>0</v>
      </c>
      <c r="AS263" s="6">
        <f>Datos_originales!$S97/Datos_originales!$E97</f>
        <v>0</v>
      </c>
      <c r="AT263" s="6">
        <f>Datos_originales!$T97/Datos_originales!$E97</f>
        <v>0</v>
      </c>
      <c r="AU263" s="6">
        <f>Datos_originales!$U97/Datos_originales!$E97</f>
        <v>0</v>
      </c>
      <c r="AV263" s="6">
        <f>Datos_originales!$V97/Datos_originales!$E97</f>
        <v>0</v>
      </c>
      <c r="AW263" s="6">
        <f>Datos_originales!$W97/Datos_originales!$E97</f>
        <v>7.0422535211267609E-2</v>
      </c>
      <c r="AX263" s="6">
        <f>Datos_originales!$X97/Datos_originales!$E97</f>
        <v>0</v>
      </c>
      <c r="AY263" s="6">
        <f>Datos_originales!$Y97/Datos_originales!$E97</f>
        <v>0</v>
      </c>
      <c r="AZ263" s="6">
        <f>Datos_originales!$Z97/Datos_originales!$E97</f>
        <v>0</v>
      </c>
      <c r="BA263" s="6">
        <f>Datos_originales!$AA97/Datos_originales!$E97</f>
        <v>0</v>
      </c>
      <c r="BB263" s="6">
        <f>Datos_originales!$AB97/Datos_originales!$E97</f>
        <v>0</v>
      </c>
      <c r="BC263" s="6">
        <f>Datos_originales!$AC97/Datos_originales!$E97</f>
        <v>0</v>
      </c>
      <c r="BD263" s="6">
        <f>Datos_originales!$AD97/Datos_originales!$E97</f>
        <v>0</v>
      </c>
      <c r="BE263" s="6">
        <f>Datos_originales!$AE97/Datos_originales!$E97</f>
        <v>0</v>
      </c>
      <c r="BF263" s="6">
        <f>Datos_originales!$AF97/Datos_originales!$E97</f>
        <v>0</v>
      </c>
      <c r="BG263" s="6">
        <f>Datos_originales!$AG97/Datos_originales!$E97</f>
        <v>0</v>
      </c>
    </row>
    <row r="264" spans="1:59" ht="15.75" customHeight="1">
      <c r="A264" s="2">
        <v>70401</v>
      </c>
      <c r="B264" s="3" t="s">
        <v>83</v>
      </c>
      <c r="C264" s="4" t="s">
        <v>200</v>
      </c>
      <c r="D264" s="4">
        <f>IF(Table_1[[#This Row],[Forest cover 2011]]&lt;1000,"Bosque menor a 1000 ha",Table_1[[#This Row],[Forest cover 2011]])</f>
        <v>224255.07</v>
      </c>
      <c r="E264" s="4">
        <v>224255.07</v>
      </c>
      <c r="F264" s="5">
        <f>AVERAGE(Datos_originales!$H140:$J140)</f>
        <v>1.3499999999999999</v>
      </c>
      <c r="G264" s="5">
        <f>AVERAGE(Datos_originales!$R140:$T140)</f>
        <v>47.13</v>
      </c>
      <c r="H264" s="4">
        <v>2622.51</v>
      </c>
      <c r="I264" s="4">
        <v>1734.48</v>
      </c>
      <c r="J264" s="4">
        <v>1152.72</v>
      </c>
      <c r="K264" s="4">
        <v>1070.46</v>
      </c>
      <c r="L264" s="4">
        <v>1371.78</v>
      </c>
      <c r="M264" s="4">
        <v>1156.23</v>
      </c>
      <c r="N264" s="4">
        <v>667.53</v>
      </c>
      <c r="O264" s="4">
        <v>808.65</v>
      </c>
      <c r="P264" s="4">
        <v>682.83</v>
      </c>
      <c r="Q264" s="4">
        <v>1436.4</v>
      </c>
      <c r="R264" s="4">
        <v>405.9</v>
      </c>
      <c r="S264" s="4">
        <v>3558.6</v>
      </c>
      <c r="T264" s="4">
        <v>1221.1199999999999</v>
      </c>
      <c r="U264" s="4">
        <v>2939.49</v>
      </c>
      <c r="V264" s="4">
        <v>1943.55</v>
      </c>
      <c r="W264" s="4">
        <v>1448.55</v>
      </c>
      <c r="X264" s="4">
        <v>1394.19</v>
      </c>
      <c r="Y264" s="4">
        <v>1550.7</v>
      </c>
      <c r="Z264" s="4">
        <v>1272.1500000000001</v>
      </c>
      <c r="AA264" s="4">
        <v>823.41000000000008</v>
      </c>
      <c r="AB264" s="4">
        <v>988.29</v>
      </c>
      <c r="AC264" s="4">
        <v>821.43</v>
      </c>
      <c r="AD264" s="4">
        <v>1908.09</v>
      </c>
      <c r="AE264" s="4">
        <v>425.52</v>
      </c>
      <c r="AF264" s="4">
        <v>3885.3</v>
      </c>
      <c r="AG264" s="4">
        <v>1256.58</v>
      </c>
      <c r="AH264" s="6">
        <f>Datos_originales!$H140/Datos_originales!$E140</f>
        <v>1.016333938294011E-3</v>
      </c>
      <c r="AI264" s="6">
        <f>Datos_originales!$I140/Datos_originales!$E140</f>
        <v>9.4373865698729579E-4</v>
      </c>
      <c r="AJ264" s="6">
        <f>Datos_originales!$J140/Datos_originales!$E140</f>
        <v>1.3067150635208712E-3</v>
      </c>
      <c r="AK264" s="6">
        <f>Datos_originales!$K140/Datos_originales!$E140</f>
        <v>2.6860254083484573E-3</v>
      </c>
      <c r="AL264" s="6">
        <f>Datos_originales!$L140/Datos_originales!$E140</f>
        <v>1.9600725952813067E-3</v>
      </c>
      <c r="AM264" s="6">
        <f>Datos_originales!$M140/Datos_originales!$E140</f>
        <v>1.6696914700544464E-3</v>
      </c>
      <c r="AN264" s="6">
        <f>Datos_originales!$N140/Datos_originales!$E140</f>
        <v>6.3883847549909252E-3</v>
      </c>
      <c r="AO264" s="6">
        <f>Datos_originales!$O140/Datos_originales!$E140</f>
        <v>6.2431941923774955E-3</v>
      </c>
      <c r="AP264" s="6">
        <f>Datos_originales!$P140/Datos_originales!$E140</f>
        <v>6.0254083484573501E-3</v>
      </c>
      <c r="AQ264" s="6">
        <f>Datos_originales!$Q140/Datos_originales!$E140</f>
        <v>7.5499092558983663E-3</v>
      </c>
      <c r="AR264" s="6">
        <f>Datos_originales!$R140/Datos_originales!$E140</f>
        <v>5.749546279491833E-2</v>
      </c>
      <c r="AS264" s="6">
        <f>Datos_originales!$S140/Datos_originales!$E140</f>
        <v>5.5898366606170605E-2</v>
      </c>
      <c r="AT264" s="6">
        <f>Datos_originales!$T140/Datos_originales!$E140</f>
        <v>6.5335753176043562E-4</v>
      </c>
      <c r="AU264" s="6">
        <f>Datos_originales!$U140/Datos_originales!$E140</f>
        <v>1.1615245009074409E-3</v>
      </c>
      <c r="AV264" s="6">
        <f>Datos_originales!$V140/Datos_originales!$E140</f>
        <v>2.6134301270417425E-3</v>
      </c>
      <c r="AW264" s="6">
        <f>Datos_originales!$W140/Datos_originales!$E140</f>
        <v>1.3938294010889293E-2</v>
      </c>
      <c r="AX264" s="6">
        <f>Datos_originales!$X140/Datos_originales!$E140</f>
        <v>4.1379310344827587E-3</v>
      </c>
      <c r="AY264" s="6">
        <f>Datos_originales!$Y140/Datos_originales!$E140</f>
        <v>7.4047186932849366E-3</v>
      </c>
      <c r="AZ264" s="6">
        <f>Datos_originales!$Z140/Datos_originales!$E140</f>
        <v>1.1542649727767695E-2</v>
      </c>
      <c r="BA264" s="6">
        <f>Datos_originales!$AA140/Datos_originales!$E140</f>
        <v>1.3720508166969148E-2</v>
      </c>
      <c r="BB264" s="6">
        <f>Datos_originales!$AB140/Datos_originales!$E140</f>
        <v>1.2849364791288566E-2</v>
      </c>
      <c r="BC264" s="6">
        <f>Datos_originales!$AC140/Datos_originales!$E140</f>
        <v>1.4373865698729582E-2</v>
      </c>
      <c r="BD264" s="6">
        <f>Datos_originales!$AD140/Datos_originales!$E140</f>
        <v>7.6950998185117961E-3</v>
      </c>
      <c r="BE264" s="6">
        <f>Datos_originales!$AE140/Datos_originales!$E140</f>
        <v>5.843920145190562E-2</v>
      </c>
      <c r="BF264" s="6">
        <f>Datos_originales!$AF140/Datos_originales!$E140</f>
        <v>6.0834845735027225E-2</v>
      </c>
      <c r="BG264" s="6">
        <f>Datos_originales!$AG140/Datos_originales!$E140</f>
        <v>2.7586206896551722E-3</v>
      </c>
    </row>
    <row r="265" spans="1:59" ht="15.75" customHeight="1">
      <c r="A265" s="2">
        <v>70402</v>
      </c>
      <c r="B265" s="3" t="s">
        <v>83</v>
      </c>
      <c r="C265" s="4" t="s">
        <v>123</v>
      </c>
      <c r="D265" s="4">
        <f>IF(Table_1[[#This Row],[Forest cover 2011]]&lt;1000,"Bosque menor a 1000 ha",Table_1[[#This Row],[Forest cover 2011]])</f>
        <v>43491.24</v>
      </c>
      <c r="E265" s="4">
        <v>43491.24</v>
      </c>
      <c r="F265" s="5">
        <f>AVERAGE(Datos_originales!$H62:$J62)</f>
        <v>0.42</v>
      </c>
      <c r="G265" s="5">
        <f>AVERAGE(Datos_originales!$R62:$T62)</f>
        <v>0.56999999999999995</v>
      </c>
      <c r="H265" s="4">
        <v>1689.21</v>
      </c>
      <c r="I265" s="4">
        <v>1039.4100000000001</v>
      </c>
      <c r="J265" s="4">
        <v>881.81999999999994</v>
      </c>
      <c r="K265" s="4">
        <v>628.47</v>
      </c>
      <c r="L265" s="4">
        <v>1713.51</v>
      </c>
      <c r="M265" s="4">
        <v>1228.5899999999999</v>
      </c>
      <c r="N265" s="4">
        <v>523.89</v>
      </c>
      <c r="O265" s="4">
        <v>588.24</v>
      </c>
      <c r="P265" s="4">
        <v>787.23</v>
      </c>
      <c r="Q265" s="4">
        <v>1225.26</v>
      </c>
      <c r="R265" s="4">
        <v>288.89999999999998</v>
      </c>
      <c r="S265" s="4">
        <v>2162.34</v>
      </c>
      <c r="T265" s="4">
        <v>1178.01</v>
      </c>
      <c r="U265" s="4">
        <v>1853.01</v>
      </c>
      <c r="V265" s="4">
        <v>1087.56</v>
      </c>
      <c r="W265" s="4">
        <v>981.45</v>
      </c>
      <c r="X265" s="4">
        <v>679.5</v>
      </c>
      <c r="Y265" s="4">
        <v>1730.25</v>
      </c>
      <c r="Z265" s="4">
        <v>1253.97</v>
      </c>
      <c r="AA265" s="4">
        <v>566.37</v>
      </c>
      <c r="AB265" s="4">
        <v>612.9</v>
      </c>
      <c r="AC265" s="4">
        <v>827.1</v>
      </c>
      <c r="AD265" s="4">
        <v>1502.28</v>
      </c>
      <c r="AE265" s="4">
        <v>300.24</v>
      </c>
      <c r="AF265" s="4">
        <v>2344.3200000000002</v>
      </c>
      <c r="AG265" s="4">
        <v>1198.8</v>
      </c>
      <c r="AH265" s="6">
        <f>Datos_originales!$H62/Datos_originales!$E62</f>
        <v>4.8971596474045055E-4</v>
      </c>
      <c r="AI265" s="6">
        <f>Datos_originales!$I62/Datos_originales!$E62</f>
        <v>7.3457394711067589E-4</v>
      </c>
      <c r="AJ265" s="6">
        <f>Datos_originales!$J62/Datos_originales!$E62</f>
        <v>2.2037218413320275E-3</v>
      </c>
      <c r="AK265" s="6">
        <f>Datos_originales!$K62/Datos_originales!$E62</f>
        <v>9.7943192948090111E-4</v>
      </c>
      <c r="AL265" s="6">
        <f>Datos_originales!$L62/Datos_originales!$E62</f>
        <v>3.4280117531831538E-3</v>
      </c>
      <c r="AM265" s="6">
        <f>Datos_originales!$M62/Datos_originales!$E62</f>
        <v>2.4485798237022528E-4</v>
      </c>
      <c r="AN265" s="6">
        <f>Datos_originales!$N62/Datos_originales!$E62</f>
        <v>2.4485798237022528E-4</v>
      </c>
      <c r="AO265" s="6">
        <f>Datos_originales!$O62/Datos_originales!$E62</f>
        <v>4.8971596474045055E-4</v>
      </c>
      <c r="AP265" s="6">
        <f>Datos_originales!$P62/Datos_originales!$E62</f>
        <v>2.2037218413320275E-3</v>
      </c>
      <c r="AQ265" s="6">
        <f>Datos_originales!$Q62/Datos_originales!$E62</f>
        <v>0</v>
      </c>
      <c r="AR265" s="6">
        <f>Datos_originales!$R62/Datos_originales!$E62</f>
        <v>0</v>
      </c>
      <c r="AS265" s="6">
        <f>Datos_originales!$S62/Datos_originales!$E62</f>
        <v>4.8971596474045055E-4</v>
      </c>
      <c r="AT265" s="6">
        <f>Datos_originales!$T62/Datos_originales!$E62</f>
        <v>4.1625857002938298E-3</v>
      </c>
      <c r="AU265" s="6">
        <f>Datos_originales!$U62/Datos_originales!$E62</f>
        <v>9.5494613124387853E-3</v>
      </c>
      <c r="AV265" s="6">
        <f>Datos_originales!$V62/Datos_originales!$E62</f>
        <v>7.5905974534769835E-3</v>
      </c>
      <c r="AW265" s="6">
        <f>Datos_originales!$W62/Datos_originales!$E62</f>
        <v>1.762977473065622E-2</v>
      </c>
      <c r="AX265" s="6">
        <f>Datos_originales!$X62/Datos_originales!$E62</f>
        <v>2.2037218413320275E-3</v>
      </c>
      <c r="AY265" s="6">
        <f>Datos_originales!$Y62/Datos_originales!$E62</f>
        <v>4.6523016650342796E-3</v>
      </c>
      <c r="AZ265" s="6">
        <f>Datos_originales!$Z62/Datos_originales!$E62</f>
        <v>4.8971596474045055E-4</v>
      </c>
      <c r="BA265" s="6">
        <f>Datos_originales!$AA62/Datos_originales!$E62</f>
        <v>9.7943192948090111E-4</v>
      </c>
      <c r="BB265" s="6">
        <f>Datos_originales!$AB62/Datos_originales!$E62</f>
        <v>4.6523016650342796E-3</v>
      </c>
      <c r="BC265" s="6">
        <f>Datos_originales!$AC62/Datos_originales!$E62</f>
        <v>2.6934378060724778E-3</v>
      </c>
      <c r="BD265" s="6">
        <f>Datos_originales!$AD62/Datos_originales!$E62</f>
        <v>0</v>
      </c>
      <c r="BE265" s="6">
        <f>Datos_originales!$AE62/Datos_originales!$E62</f>
        <v>0</v>
      </c>
      <c r="BF265" s="6">
        <f>Datos_originales!$AF62/Datos_originales!$E62</f>
        <v>4.8971596474045055E-4</v>
      </c>
      <c r="BG265" s="6">
        <f>Datos_originales!$AG62/Datos_originales!$E62</f>
        <v>4.4074436826640551E-3</v>
      </c>
    </row>
    <row r="266" spans="1:59" ht="15.75" customHeight="1">
      <c r="A266" s="2">
        <v>70403</v>
      </c>
      <c r="B266" s="3" t="s">
        <v>83</v>
      </c>
      <c r="C266" s="4" t="s">
        <v>162</v>
      </c>
      <c r="D266" s="4">
        <f>IF(Table_1[[#This Row],[Forest cover 2011]]&lt;1000,"Bosque menor a 1000 ha",Table_1[[#This Row],[Forest cover 2011]])</f>
        <v>704387.7</v>
      </c>
      <c r="E266" s="4">
        <v>704387.7</v>
      </c>
      <c r="F266" s="5">
        <f>AVERAGE(Datos_originales!$H101:$J101)</f>
        <v>0</v>
      </c>
      <c r="G266" s="5">
        <f>AVERAGE(Datos_originales!$R101:$T101)</f>
        <v>0</v>
      </c>
      <c r="H266" s="4">
        <v>9282.15</v>
      </c>
      <c r="I266" s="4">
        <v>4856.8500000000004</v>
      </c>
      <c r="J266" s="4">
        <v>4577.76</v>
      </c>
      <c r="K266" s="4">
        <v>4470.84</v>
      </c>
      <c r="L266" s="4">
        <v>6235.29</v>
      </c>
      <c r="M266" s="4">
        <v>6656.4</v>
      </c>
      <c r="N266" s="4">
        <v>4680.54</v>
      </c>
      <c r="O266" s="4">
        <v>5218.1100000000006</v>
      </c>
      <c r="P266" s="4">
        <v>4751.1900000000014</v>
      </c>
      <c r="Q266" s="4">
        <v>7239.15</v>
      </c>
      <c r="R266" s="4">
        <v>2483.37</v>
      </c>
      <c r="S266" s="4">
        <v>11485.17</v>
      </c>
      <c r="T266" s="4">
        <v>5799.78</v>
      </c>
      <c r="U266" s="4">
        <v>26292.42</v>
      </c>
      <c r="V266" s="4">
        <v>9811.4399999999987</v>
      </c>
      <c r="W266" s="4">
        <v>8741.16</v>
      </c>
      <c r="X266" s="4">
        <v>9024.0299999999988</v>
      </c>
      <c r="Y266" s="4">
        <v>7817.67</v>
      </c>
      <c r="Z266" s="4">
        <v>7818.3899999999994</v>
      </c>
      <c r="AA266" s="4">
        <v>6950.07</v>
      </c>
      <c r="AB266" s="4">
        <v>6980.67</v>
      </c>
      <c r="AC266" s="4">
        <v>6897.0599999999986</v>
      </c>
      <c r="AD266" s="4">
        <v>9634.9500000000007</v>
      </c>
      <c r="AE266" s="4">
        <v>2963.52</v>
      </c>
      <c r="AF266" s="4">
        <v>14889.87</v>
      </c>
      <c r="AG266" s="4">
        <v>10208.879999999999</v>
      </c>
      <c r="AH266" s="6" t="e">
        <f>Datos_originales!$H101/Datos_originales!$E101</f>
        <v>#DIV/0!</v>
      </c>
      <c r="AI266" s="6" t="e">
        <f>Datos_originales!$I101/Datos_originales!$E101</f>
        <v>#DIV/0!</v>
      </c>
      <c r="AJ266" s="6" t="e">
        <f>Datos_originales!$J101/Datos_originales!$E101</f>
        <v>#DIV/0!</v>
      </c>
      <c r="AK266" s="6" t="e">
        <f>Datos_originales!$K101/Datos_originales!$E101</f>
        <v>#DIV/0!</v>
      </c>
      <c r="AL266" s="6" t="e">
        <f>Datos_originales!$L101/Datos_originales!$E101</f>
        <v>#DIV/0!</v>
      </c>
      <c r="AM266" s="6" t="e">
        <f>Datos_originales!$M101/Datos_originales!$E101</f>
        <v>#DIV/0!</v>
      </c>
      <c r="AN266" s="6" t="e">
        <f>Datos_originales!$N101/Datos_originales!$E101</f>
        <v>#DIV/0!</v>
      </c>
      <c r="AO266" s="6" t="e">
        <f>Datos_originales!$O101/Datos_originales!$E101</f>
        <v>#DIV/0!</v>
      </c>
      <c r="AP266" s="6" t="e">
        <f>Datos_originales!$P101/Datos_originales!$E101</f>
        <v>#DIV/0!</v>
      </c>
      <c r="AQ266" s="6" t="e">
        <f>Datos_originales!$Q101/Datos_originales!$E101</f>
        <v>#DIV/0!</v>
      </c>
      <c r="AR266" s="6" t="e">
        <f>Datos_originales!$R101/Datos_originales!$E101</f>
        <v>#DIV/0!</v>
      </c>
      <c r="AS266" s="6" t="e">
        <f>Datos_originales!$S101/Datos_originales!$E101</f>
        <v>#DIV/0!</v>
      </c>
      <c r="AT266" s="6" t="e">
        <f>Datos_originales!$T101/Datos_originales!$E101</f>
        <v>#DIV/0!</v>
      </c>
      <c r="AU266" s="6" t="e">
        <f>Datos_originales!$U101/Datos_originales!$E101</f>
        <v>#DIV/0!</v>
      </c>
      <c r="AV266" s="6" t="e">
        <f>Datos_originales!$V101/Datos_originales!$E101</f>
        <v>#DIV/0!</v>
      </c>
      <c r="AW266" s="6" t="e">
        <f>Datos_originales!$W101/Datos_originales!$E101</f>
        <v>#DIV/0!</v>
      </c>
      <c r="AX266" s="6" t="e">
        <f>Datos_originales!$X101/Datos_originales!$E101</f>
        <v>#DIV/0!</v>
      </c>
      <c r="AY266" s="6" t="e">
        <f>Datos_originales!$Y101/Datos_originales!$E101</f>
        <v>#DIV/0!</v>
      </c>
      <c r="AZ266" s="6" t="e">
        <f>Datos_originales!$Z101/Datos_originales!$E101</f>
        <v>#DIV/0!</v>
      </c>
      <c r="BA266" s="6" t="e">
        <f>Datos_originales!$AA101/Datos_originales!$E101</f>
        <v>#DIV/0!</v>
      </c>
      <c r="BB266" s="6" t="e">
        <f>Datos_originales!$AB101/Datos_originales!$E101</f>
        <v>#DIV/0!</v>
      </c>
      <c r="BC266" s="6" t="e">
        <f>Datos_originales!$AC101/Datos_originales!$E101</f>
        <v>#DIV/0!</v>
      </c>
      <c r="BD266" s="6" t="e">
        <f>Datos_originales!$AD101/Datos_originales!$E101</f>
        <v>#DIV/0!</v>
      </c>
      <c r="BE266" s="6" t="e">
        <f>Datos_originales!$AE101/Datos_originales!$E101</f>
        <v>#DIV/0!</v>
      </c>
      <c r="BF266" s="6" t="e">
        <f>Datos_originales!$AF101/Datos_originales!$E101</f>
        <v>#DIV/0!</v>
      </c>
      <c r="BG266" s="6" t="e">
        <f>Datos_originales!$AG101/Datos_originales!$E101</f>
        <v>#DIV/0!</v>
      </c>
    </row>
    <row r="267" spans="1:59" ht="15.75" customHeight="1">
      <c r="A267" s="2">
        <v>70404</v>
      </c>
      <c r="B267" s="3" t="s">
        <v>83</v>
      </c>
      <c r="C267" s="4" t="s">
        <v>98</v>
      </c>
      <c r="D267" s="4">
        <f>IF(Table_1[[#This Row],[Forest cover 2011]]&lt;1000,"Bosque menor a 1000 ha",Table_1[[#This Row],[Forest cover 2011]])</f>
        <v>66738.78</v>
      </c>
      <c r="E267" s="4">
        <v>66738.78</v>
      </c>
      <c r="F267" s="5">
        <f>AVERAGE(Datos_originales!$H36:$J36)</f>
        <v>0</v>
      </c>
      <c r="G267" s="5">
        <f>AVERAGE(Datos_originales!$R36:$T36)</f>
        <v>0</v>
      </c>
      <c r="H267" s="4">
        <v>1976.49</v>
      </c>
      <c r="I267" s="4">
        <v>1531.98</v>
      </c>
      <c r="J267" s="4">
        <v>1048.23</v>
      </c>
      <c r="K267" s="4">
        <v>971.55</v>
      </c>
      <c r="L267" s="4">
        <v>2396.9699999999998</v>
      </c>
      <c r="M267" s="4">
        <v>846</v>
      </c>
      <c r="N267" s="4">
        <v>616.14</v>
      </c>
      <c r="O267" s="4">
        <v>444.87</v>
      </c>
      <c r="P267" s="4">
        <v>623.97</v>
      </c>
      <c r="Q267" s="4">
        <v>889.92000000000007</v>
      </c>
      <c r="R267" s="4">
        <v>341.82</v>
      </c>
      <c r="S267" s="4">
        <v>1485.36</v>
      </c>
      <c r="T267" s="4">
        <v>2534.13</v>
      </c>
      <c r="U267" s="4">
        <v>2733.12</v>
      </c>
      <c r="V267" s="4">
        <v>2135.34</v>
      </c>
      <c r="W267" s="4">
        <v>1440.9</v>
      </c>
      <c r="X267" s="4">
        <v>1338.48</v>
      </c>
      <c r="Y267" s="4">
        <v>2616.39</v>
      </c>
      <c r="Z267" s="4">
        <v>1088.55</v>
      </c>
      <c r="AA267" s="4">
        <v>977.31</v>
      </c>
      <c r="AB267" s="4">
        <v>937.62</v>
      </c>
      <c r="AC267" s="4">
        <v>1022.22</v>
      </c>
      <c r="AD267" s="4">
        <v>1208.97</v>
      </c>
      <c r="AE267" s="4">
        <v>404.55</v>
      </c>
      <c r="AF267" s="4">
        <v>1871.55</v>
      </c>
      <c r="AG267" s="4">
        <v>3160.44</v>
      </c>
      <c r="AH267" s="6">
        <f>Datos_originales!$H36/Datos_originales!$E36</f>
        <v>0</v>
      </c>
      <c r="AI267" s="6">
        <f>Datos_originales!$I36/Datos_originales!$E36</f>
        <v>0</v>
      </c>
      <c r="AJ267" s="6">
        <f>Datos_originales!$J36/Datos_originales!$E36</f>
        <v>0</v>
      </c>
      <c r="AK267" s="6">
        <f>Datos_originales!$K36/Datos_originales!$E36</f>
        <v>0</v>
      </c>
      <c r="AL267" s="6">
        <f>Datos_originales!$L36/Datos_originales!$E36</f>
        <v>0</v>
      </c>
      <c r="AM267" s="6">
        <f>Datos_originales!$M36/Datos_originales!$E36</f>
        <v>0</v>
      </c>
      <c r="AN267" s="6">
        <f>Datos_originales!$N36/Datos_originales!$E36</f>
        <v>0</v>
      </c>
      <c r="AO267" s="6">
        <f>Datos_originales!$O36/Datos_originales!$E36</f>
        <v>0</v>
      </c>
      <c r="AP267" s="6">
        <f>Datos_originales!$P36/Datos_originales!$E36</f>
        <v>0</v>
      </c>
      <c r="AQ267" s="6">
        <f>Datos_originales!$Q36/Datos_originales!$E36</f>
        <v>0</v>
      </c>
      <c r="AR267" s="6">
        <f>Datos_originales!$R36/Datos_originales!$E36</f>
        <v>0</v>
      </c>
      <c r="AS267" s="6">
        <f>Datos_originales!$S36/Datos_originales!$E36</f>
        <v>0</v>
      </c>
      <c r="AT267" s="6">
        <f>Datos_originales!$T36/Datos_originales!$E36</f>
        <v>0</v>
      </c>
      <c r="AU267" s="6">
        <f>Datos_originales!$U36/Datos_originales!$E36</f>
        <v>0</v>
      </c>
      <c r="AV267" s="6">
        <f>Datos_originales!$V36/Datos_originales!$E36</f>
        <v>0</v>
      </c>
      <c r="AW267" s="6">
        <f>Datos_originales!$W36/Datos_originales!$E36</f>
        <v>0</v>
      </c>
      <c r="AX267" s="6">
        <f>Datos_originales!$X36/Datos_originales!$E36</f>
        <v>0</v>
      </c>
      <c r="AY267" s="6">
        <f>Datos_originales!$Y36/Datos_originales!$E36</f>
        <v>0</v>
      </c>
      <c r="AZ267" s="6">
        <f>Datos_originales!$Z36/Datos_originales!$E36</f>
        <v>0</v>
      </c>
      <c r="BA267" s="6">
        <f>Datos_originales!$AA36/Datos_originales!$E36</f>
        <v>0</v>
      </c>
      <c r="BB267" s="6">
        <f>Datos_originales!$AB36/Datos_originales!$E36</f>
        <v>0</v>
      </c>
      <c r="BC267" s="6">
        <f>Datos_originales!$AC36/Datos_originales!$E36</f>
        <v>0</v>
      </c>
      <c r="BD267" s="6">
        <f>Datos_originales!$AD36/Datos_originales!$E36</f>
        <v>0</v>
      </c>
      <c r="BE267" s="6">
        <f>Datos_originales!$AE36/Datos_originales!$E36</f>
        <v>0</v>
      </c>
      <c r="BF267" s="6">
        <f>Datos_originales!$AF36/Datos_originales!$E36</f>
        <v>0</v>
      </c>
      <c r="BG267" s="6">
        <f>Datos_originales!$AG36/Datos_originales!$E36</f>
        <v>0</v>
      </c>
    </row>
    <row r="268" spans="1:59" ht="15.75" customHeight="1">
      <c r="A268" s="2">
        <v>70501</v>
      </c>
      <c r="B268" s="3" t="s">
        <v>83</v>
      </c>
      <c r="C268" s="4" t="s">
        <v>116</v>
      </c>
      <c r="D268" s="4">
        <f>IF(Table_1[[#This Row],[Forest cover 2011]]&lt;1000,"Bosque menor a 1000 ha",Table_1[[#This Row],[Forest cover 2011]])</f>
        <v>1537017.93</v>
      </c>
      <c r="E268" s="4">
        <v>1537017.93</v>
      </c>
      <c r="F268" s="5">
        <f>AVERAGE(Datos_originales!$H55:$J55)</f>
        <v>5.7600000000000007</v>
      </c>
      <c r="G268" s="5">
        <f>AVERAGE(Datos_originales!$R55:$T55)</f>
        <v>26.099999999999998</v>
      </c>
      <c r="H268" s="4">
        <v>4860.72</v>
      </c>
      <c r="I268" s="4">
        <v>6765.57</v>
      </c>
      <c r="J268" s="4">
        <v>8361.7199999999993</v>
      </c>
      <c r="K268" s="4">
        <v>20469.78</v>
      </c>
      <c r="L268" s="4">
        <v>35641.17</v>
      </c>
      <c r="M268" s="4">
        <v>28642.59</v>
      </c>
      <c r="N268" s="4">
        <v>30788.37</v>
      </c>
      <c r="O268" s="4">
        <v>26914.59</v>
      </c>
      <c r="P268" s="4">
        <v>22511.61</v>
      </c>
      <c r="Q268" s="4">
        <v>28116.54</v>
      </c>
      <c r="R268" s="4">
        <v>17601.03</v>
      </c>
      <c r="S268" s="4">
        <v>22755.69</v>
      </c>
      <c r="T268" s="4">
        <v>27828.09</v>
      </c>
      <c r="U268" s="4">
        <v>5717.07</v>
      </c>
      <c r="V268" s="4">
        <v>8434.619999999999</v>
      </c>
      <c r="W268" s="4">
        <v>10016.1</v>
      </c>
      <c r="X268" s="4">
        <v>20787.57</v>
      </c>
      <c r="Y268" s="4">
        <v>36036.629999999997</v>
      </c>
      <c r="Z268" s="4">
        <v>29143.17</v>
      </c>
      <c r="AA268" s="4">
        <v>31646.16</v>
      </c>
      <c r="AB268" s="4">
        <v>75588.75</v>
      </c>
      <c r="AC268" s="4">
        <v>29845.8</v>
      </c>
      <c r="AD268" s="4">
        <v>43343.37</v>
      </c>
      <c r="AE268" s="4">
        <v>17625.599999999999</v>
      </c>
      <c r="AF268" s="4">
        <v>22902.39</v>
      </c>
      <c r="AG268" s="4">
        <v>49189.41</v>
      </c>
      <c r="AH268" s="6">
        <f>Datos_originales!$H55/Datos_originales!$E55</f>
        <v>3.7314593115457572E-4</v>
      </c>
      <c r="AI268" s="6">
        <f>Datos_originales!$I55/Datos_originales!$E55</f>
        <v>1.2127242762523709E-3</v>
      </c>
      <c r="AJ268" s="6">
        <f>Datos_originales!$J55/Datos_originales!$E55</f>
        <v>1.3992972418296592E-3</v>
      </c>
      <c r="AK268" s="6">
        <f>Datos_originales!$K55/Datos_originales!$E55</f>
        <v>1.8501819086414381E-3</v>
      </c>
      <c r="AL268" s="6">
        <f>Datos_originales!$L55/Datos_originales!$E55</f>
        <v>1.8812774029043193E-3</v>
      </c>
      <c r="AM268" s="6">
        <f>Datos_originales!$M55/Datos_originales!$E55</f>
        <v>1.4614882303554217E-3</v>
      </c>
      <c r="AN268" s="6">
        <f>Datos_originales!$N55/Datos_originales!$E55</f>
        <v>9.9505581641220185E-4</v>
      </c>
      <c r="AO268" s="6">
        <f>Datos_originales!$O55/Datos_originales!$E55</f>
        <v>4.3533691968033832E-4</v>
      </c>
      <c r="AP268" s="6">
        <f>Datos_originales!$P55/Datos_originales!$E55</f>
        <v>3.7936503000715197E-3</v>
      </c>
      <c r="AQ268" s="6">
        <f>Datos_originales!$Q55/Datos_originales!$E55</f>
        <v>2.7985944836593182E-4</v>
      </c>
      <c r="AR268" s="6">
        <f>Datos_originales!$R55/Datos_originales!$E55</f>
        <v>7.1519636804627019E-4</v>
      </c>
      <c r="AS268" s="6">
        <f>Datos_originales!$S55/Datos_originales!$E55</f>
        <v>5.9236916570788896E-3</v>
      </c>
      <c r="AT268" s="6">
        <f>Datos_originales!$T55/Datos_originales!$E55</f>
        <v>6.8876519792282096E-3</v>
      </c>
      <c r="AU268" s="6">
        <f>Datos_originales!$U55/Datos_originales!$E55</f>
        <v>4.0579620013060109E-3</v>
      </c>
      <c r="AV268" s="6">
        <f>Datos_originales!$V55/Datos_originales!$E55</f>
        <v>4.3844646910662644E-3</v>
      </c>
      <c r="AW268" s="6">
        <f>Datos_originales!$W55/Datos_originales!$E55</f>
        <v>8.5512609222923603E-3</v>
      </c>
      <c r="AX268" s="6">
        <f>Datos_originales!$X55/Datos_originales!$E55</f>
        <v>3.0629061848938088E-3</v>
      </c>
      <c r="AY268" s="6">
        <f>Datos_originales!$Y55/Datos_originales!$E55</f>
        <v>2.3632575639789795E-3</v>
      </c>
      <c r="AZ268" s="6">
        <f>Datos_originales!$Z55/Datos_originales!$E55</f>
        <v>2.5498305295562672E-3</v>
      </c>
      <c r="BA268" s="6">
        <f>Datos_originales!$AA55/Datos_originales!$E55</f>
        <v>1.6791566901955908E-3</v>
      </c>
      <c r="BB268" s="6">
        <f>Datos_originales!$AB55/Datos_originales!$E55</f>
        <v>2.1922323455331322E-3</v>
      </c>
      <c r="BC268" s="6">
        <f>Datos_originales!$AC55/Datos_originales!$E55</f>
        <v>5.1618520476382967E-3</v>
      </c>
      <c r="BD268" s="6">
        <f>Datos_originales!$AD55/Datos_originales!$E55</f>
        <v>1.0727945520694051E-3</v>
      </c>
      <c r="BE268" s="6">
        <f>Datos_originales!$AE55/Datos_originales!$E55</f>
        <v>1.1660810348580492E-3</v>
      </c>
      <c r="BF268" s="6">
        <f>Datos_originales!$AF55/Datos_originales!$E55</f>
        <v>6.1258123697876176E-3</v>
      </c>
      <c r="BG268" s="6">
        <f>Datos_originales!$AG55/Datos_originales!$E55</f>
        <v>2.7084175502969619E-2</v>
      </c>
    </row>
    <row r="269" spans="1:59" ht="15.75" customHeight="1">
      <c r="A269" s="2">
        <v>70502</v>
      </c>
      <c r="B269" s="3" t="s">
        <v>83</v>
      </c>
      <c r="C269" s="4" t="s">
        <v>131</v>
      </c>
      <c r="D269" s="4">
        <f>IF(Table_1[[#This Row],[Forest cover 2011]]&lt;1000,"Bosque menor a 1000 ha",Table_1[[#This Row],[Forest cover 2011]])</f>
        <v>707981.4</v>
      </c>
      <c r="E269" s="4">
        <v>707981.4</v>
      </c>
      <c r="F269" s="5">
        <f>AVERAGE(Datos_originales!$H69:$J69)</f>
        <v>0</v>
      </c>
      <c r="G269" s="5">
        <f>AVERAGE(Datos_originales!$R69:$T69)</f>
        <v>0</v>
      </c>
      <c r="H269" s="4">
        <v>25811.55</v>
      </c>
      <c r="I269" s="4">
        <v>20873.25</v>
      </c>
      <c r="J269" s="4">
        <v>26883.72</v>
      </c>
      <c r="K269" s="4">
        <v>35346.06</v>
      </c>
      <c r="L269" s="4">
        <v>30641.759999999998</v>
      </c>
      <c r="M269" s="4">
        <v>33303.69</v>
      </c>
      <c r="N269" s="4">
        <v>29510.37</v>
      </c>
      <c r="O269" s="4">
        <v>28631.97</v>
      </c>
      <c r="P269" s="4">
        <v>18667.169999999998</v>
      </c>
      <c r="Q269" s="4">
        <v>23820.21</v>
      </c>
      <c r="R269" s="4">
        <v>17075.34</v>
      </c>
      <c r="S269" s="4">
        <v>19798.740000000002</v>
      </c>
      <c r="T269" s="4">
        <v>15639.12</v>
      </c>
      <c r="U269" s="4">
        <v>26173.17</v>
      </c>
      <c r="V269" s="4">
        <v>21198.87</v>
      </c>
      <c r="W269" s="4">
        <v>27307.8</v>
      </c>
      <c r="X269" s="4">
        <v>35503.919999999998</v>
      </c>
      <c r="Y269" s="4">
        <v>30874.5</v>
      </c>
      <c r="Z269" s="4">
        <v>33463.800000000003</v>
      </c>
      <c r="AA269" s="4">
        <v>29939.22</v>
      </c>
      <c r="AB269" s="4">
        <v>28790.91</v>
      </c>
      <c r="AC269" s="4">
        <v>18754.740000000002</v>
      </c>
      <c r="AD269" s="4">
        <v>24263.82</v>
      </c>
      <c r="AE269" s="4">
        <v>17122.68</v>
      </c>
      <c r="AF269" s="4">
        <v>20419.830000000002</v>
      </c>
      <c r="AG269" s="4">
        <v>16542.810000000001</v>
      </c>
      <c r="AH269" s="6" t="e">
        <f>Datos_originales!$H69/Datos_originales!$E69</f>
        <v>#DIV/0!</v>
      </c>
      <c r="AI269" s="6" t="e">
        <f>Datos_originales!$I69/Datos_originales!$E69</f>
        <v>#DIV/0!</v>
      </c>
      <c r="AJ269" s="6" t="e">
        <f>Datos_originales!$J69/Datos_originales!$E69</f>
        <v>#DIV/0!</v>
      </c>
      <c r="AK269" s="6" t="e">
        <f>Datos_originales!$K69/Datos_originales!$E69</f>
        <v>#DIV/0!</v>
      </c>
      <c r="AL269" s="6" t="e">
        <f>Datos_originales!$L69/Datos_originales!$E69</f>
        <v>#DIV/0!</v>
      </c>
      <c r="AM269" s="6" t="e">
        <f>Datos_originales!$M69/Datos_originales!$E69</f>
        <v>#DIV/0!</v>
      </c>
      <c r="AN269" s="6" t="e">
        <f>Datos_originales!$N69/Datos_originales!$E69</f>
        <v>#DIV/0!</v>
      </c>
      <c r="AO269" s="6" t="e">
        <f>Datos_originales!$O69/Datos_originales!$E69</f>
        <v>#DIV/0!</v>
      </c>
      <c r="AP269" s="6" t="e">
        <f>Datos_originales!$P69/Datos_originales!$E69</f>
        <v>#DIV/0!</v>
      </c>
      <c r="AQ269" s="6" t="e">
        <f>Datos_originales!$Q69/Datos_originales!$E69</f>
        <v>#DIV/0!</v>
      </c>
      <c r="AR269" s="6" t="e">
        <f>Datos_originales!$R69/Datos_originales!$E69</f>
        <v>#DIV/0!</v>
      </c>
      <c r="AS269" s="6" t="e">
        <f>Datos_originales!$S69/Datos_originales!$E69</f>
        <v>#DIV/0!</v>
      </c>
      <c r="AT269" s="6" t="e">
        <f>Datos_originales!$T69/Datos_originales!$E69</f>
        <v>#DIV/0!</v>
      </c>
      <c r="AU269" s="6" t="e">
        <f>Datos_originales!$U69/Datos_originales!$E69</f>
        <v>#DIV/0!</v>
      </c>
      <c r="AV269" s="6" t="e">
        <f>Datos_originales!$V69/Datos_originales!$E69</f>
        <v>#DIV/0!</v>
      </c>
      <c r="AW269" s="6" t="e">
        <f>Datos_originales!$W69/Datos_originales!$E69</f>
        <v>#DIV/0!</v>
      </c>
      <c r="AX269" s="6" t="e">
        <f>Datos_originales!$X69/Datos_originales!$E69</f>
        <v>#DIV/0!</v>
      </c>
      <c r="AY269" s="6" t="e">
        <f>Datos_originales!$Y69/Datos_originales!$E69</f>
        <v>#DIV/0!</v>
      </c>
      <c r="AZ269" s="6" t="e">
        <f>Datos_originales!$Z69/Datos_originales!$E69</f>
        <v>#DIV/0!</v>
      </c>
      <c r="BA269" s="6" t="e">
        <f>Datos_originales!$AA69/Datos_originales!$E69</f>
        <v>#DIV/0!</v>
      </c>
      <c r="BB269" s="6" t="e">
        <f>Datos_originales!$AB69/Datos_originales!$E69</f>
        <v>#DIV/0!</v>
      </c>
      <c r="BC269" s="6" t="e">
        <f>Datos_originales!$AC69/Datos_originales!$E69</f>
        <v>#DIV/0!</v>
      </c>
      <c r="BD269" s="6" t="e">
        <f>Datos_originales!$AD69/Datos_originales!$E69</f>
        <v>#DIV/0!</v>
      </c>
      <c r="BE269" s="6" t="e">
        <f>Datos_originales!$AE69/Datos_originales!$E69</f>
        <v>#DIV/0!</v>
      </c>
      <c r="BF269" s="6" t="e">
        <f>Datos_originales!$AF69/Datos_originales!$E69</f>
        <v>#DIV/0!</v>
      </c>
      <c r="BG269" s="6" t="e">
        <f>Datos_originales!$AG69/Datos_originales!$E69</f>
        <v>#DIV/0!</v>
      </c>
    </row>
    <row r="270" spans="1:59" ht="15.75" customHeight="1">
      <c r="A270" s="2">
        <v>70503</v>
      </c>
      <c r="B270" s="3" t="s">
        <v>83</v>
      </c>
      <c r="C270" s="4" t="s">
        <v>97</v>
      </c>
      <c r="D270" s="4">
        <f>IF(Table_1[[#This Row],[Forest cover 2011]]&lt;1000,"Bosque menor a 1000 ha",Table_1[[#This Row],[Forest cover 2011]])</f>
        <v>688852.98</v>
      </c>
      <c r="E270" s="4">
        <v>688852.98</v>
      </c>
      <c r="F270" s="5">
        <f>AVERAGE(Datos_originales!$H35:$J35)</f>
        <v>0</v>
      </c>
      <c r="G270" s="5">
        <f>AVERAGE(Datos_originales!$R35:$T35)</f>
        <v>0</v>
      </c>
      <c r="H270" s="4">
        <v>636.66</v>
      </c>
      <c r="I270" s="4">
        <v>889.02</v>
      </c>
      <c r="J270" s="4">
        <v>667.62</v>
      </c>
      <c r="K270" s="4">
        <v>1496.34</v>
      </c>
      <c r="L270" s="4">
        <v>3164.04</v>
      </c>
      <c r="M270" s="4">
        <v>3239.91</v>
      </c>
      <c r="N270" s="4">
        <v>4715.1000000000004</v>
      </c>
      <c r="O270" s="4">
        <v>5131.4399999999996</v>
      </c>
      <c r="P270" s="4">
        <v>2578.9499999999998</v>
      </c>
      <c r="Q270" s="4">
        <v>6086.79</v>
      </c>
      <c r="R270" s="4">
        <v>5740.02</v>
      </c>
      <c r="S270" s="4">
        <v>5859</v>
      </c>
      <c r="T270" s="4">
        <v>15373.26</v>
      </c>
      <c r="U270" s="4">
        <v>724.59</v>
      </c>
      <c r="V270" s="4">
        <v>985.23</v>
      </c>
      <c r="W270" s="4">
        <v>861.21</v>
      </c>
      <c r="X270" s="4">
        <v>1537.47</v>
      </c>
      <c r="Y270" s="4">
        <v>3199.41</v>
      </c>
      <c r="Z270" s="4">
        <v>3275.28</v>
      </c>
      <c r="AA270" s="4">
        <v>4774.8599999999997</v>
      </c>
      <c r="AB270" s="4">
        <v>23846.31</v>
      </c>
      <c r="AC270" s="4">
        <v>6061.23</v>
      </c>
      <c r="AD270" s="4">
        <v>6569.82</v>
      </c>
      <c r="AE270" s="4">
        <v>5756.94</v>
      </c>
      <c r="AF270" s="4">
        <v>6082.92</v>
      </c>
      <c r="AG270" s="4">
        <v>33431.129999999997</v>
      </c>
      <c r="AH270" s="6" t="e">
        <f>Datos_originales!$H35/Datos_originales!$E35</f>
        <v>#DIV/0!</v>
      </c>
      <c r="AI270" s="6" t="e">
        <f>Datos_originales!$I35/Datos_originales!$E35</f>
        <v>#DIV/0!</v>
      </c>
      <c r="AJ270" s="6" t="e">
        <f>Datos_originales!$J35/Datos_originales!$E35</f>
        <v>#DIV/0!</v>
      </c>
      <c r="AK270" s="6" t="e">
        <f>Datos_originales!$K35/Datos_originales!$E35</f>
        <v>#DIV/0!</v>
      </c>
      <c r="AL270" s="6" t="e">
        <f>Datos_originales!$L35/Datos_originales!$E35</f>
        <v>#DIV/0!</v>
      </c>
      <c r="AM270" s="6" t="e">
        <f>Datos_originales!$M35/Datos_originales!$E35</f>
        <v>#DIV/0!</v>
      </c>
      <c r="AN270" s="6" t="e">
        <f>Datos_originales!$N35/Datos_originales!$E35</f>
        <v>#DIV/0!</v>
      </c>
      <c r="AO270" s="6" t="e">
        <f>Datos_originales!$O35/Datos_originales!$E35</f>
        <v>#DIV/0!</v>
      </c>
      <c r="AP270" s="6" t="e">
        <f>Datos_originales!$P35/Datos_originales!$E35</f>
        <v>#DIV/0!</v>
      </c>
      <c r="AQ270" s="6" t="e">
        <f>Datos_originales!$Q35/Datos_originales!$E35</f>
        <v>#DIV/0!</v>
      </c>
      <c r="AR270" s="6" t="e">
        <f>Datos_originales!$R35/Datos_originales!$E35</f>
        <v>#DIV/0!</v>
      </c>
      <c r="AS270" s="6" t="e">
        <f>Datos_originales!$S35/Datos_originales!$E35</f>
        <v>#DIV/0!</v>
      </c>
      <c r="AT270" s="6" t="e">
        <f>Datos_originales!$T35/Datos_originales!$E35</f>
        <v>#DIV/0!</v>
      </c>
      <c r="AU270" s="6" t="e">
        <f>Datos_originales!$U35/Datos_originales!$E35</f>
        <v>#DIV/0!</v>
      </c>
      <c r="AV270" s="6" t="e">
        <f>Datos_originales!$V35/Datos_originales!$E35</f>
        <v>#DIV/0!</v>
      </c>
      <c r="AW270" s="6" t="e">
        <f>Datos_originales!$W35/Datos_originales!$E35</f>
        <v>#DIV/0!</v>
      </c>
      <c r="AX270" s="6" t="e">
        <f>Datos_originales!$X35/Datos_originales!$E35</f>
        <v>#DIV/0!</v>
      </c>
      <c r="AY270" s="6" t="e">
        <f>Datos_originales!$Y35/Datos_originales!$E35</f>
        <v>#DIV/0!</v>
      </c>
      <c r="AZ270" s="6" t="e">
        <f>Datos_originales!$Z35/Datos_originales!$E35</f>
        <v>#DIV/0!</v>
      </c>
      <c r="BA270" s="6" t="e">
        <f>Datos_originales!$AA35/Datos_originales!$E35</f>
        <v>#DIV/0!</v>
      </c>
      <c r="BB270" s="6" t="e">
        <f>Datos_originales!$AB35/Datos_originales!$E35</f>
        <v>#DIV/0!</v>
      </c>
      <c r="BC270" s="6" t="e">
        <f>Datos_originales!$AC35/Datos_originales!$E35</f>
        <v>#DIV/0!</v>
      </c>
      <c r="BD270" s="6" t="e">
        <f>Datos_originales!$AD35/Datos_originales!$E35</f>
        <v>#DIV/0!</v>
      </c>
      <c r="BE270" s="6" t="e">
        <f>Datos_originales!$AE35/Datos_originales!$E35</f>
        <v>#DIV/0!</v>
      </c>
      <c r="BF270" s="6" t="e">
        <f>Datos_originales!$AF35/Datos_originales!$E35</f>
        <v>#DIV/0!</v>
      </c>
      <c r="BG270" s="6" t="e">
        <f>Datos_originales!$AG35/Datos_originales!$E35</f>
        <v>#DIV/0!</v>
      </c>
    </row>
    <row r="271" spans="1:59" ht="15.75" customHeight="1">
      <c r="A271" s="2">
        <v>70601</v>
      </c>
      <c r="B271" s="3" t="s">
        <v>83</v>
      </c>
      <c r="C271" s="4" t="s">
        <v>118</v>
      </c>
      <c r="D271" s="4">
        <f>IF(Table_1[[#This Row],[Forest cover 2011]]&lt;1000,"Bosque menor a 1000 ha",Table_1[[#This Row],[Forest cover 2011]])</f>
        <v>37691.46</v>
      </c>
      <c r="E271" s="4">
        <v>37691.46</v>
      </c>
      <c r="F271" s="5">
        <f>AVERAGE(Datos_originales!$H57:$J57)</f>
        <v>4.8600000000000003</v>
      </c>
      <c r="G271" s="5">
        <f>AVERAGE(Datos_originales!$R57:$T57)</f>
        <v>15.15</v>
      </c>
      <c r="H271" s="4">
        <v>2712.24</v>
      </c>
      <c r="I271" s="4">
        <v>1307.25</v>
      </c>
      <c r="J271" s="4">
        <v>930.6</v>
      </c>
      <c r="K271" s="4">
        <v>998.1</v>
      </c>
      <c r="L271" s="4">
        <v>1262.3399999999999</v>
      </c>
      <c r="M271" s="4">
        <v>939.33</v>
      </c>
      <c r="N271" s="4">
        <v>924.12</v>
      </c>
      <c r="O271" s="4">
        <v>969.21</v>
      </c>
      <c r="P271" s="4">
        <v>406.08</v>
      </c>
      <c r="Q271" s="4">
        <v>1169.0999999999999</v>
      </c>
      <c r="R271" s="4">
        <v>144.54</v>
      </c>
      <c r="S271" s="4">
        <v>1596.33</v>
      </c>
      <c r="T271" s="4">
        <v>1109.1600000000001</v>
      </c>
      <c r="U271" s="4">
        <v>2725.11</v>
      </c>
      <c r="V271" s="4">
        <v>1324.26</v>
      </c>
      <c r="W271" s="4">
        <v>949.59</v>
      </c>
      <c r="X271" s="4">
        <v>1022.4</v>
      </c>
      <c r="Y271" s="4">
        <v>1268.28</v>
      </c>
      <c r="Z271" s="4">
        <v>952.56</v>
      </c>
      <c r="AA271" s="4">
        <v>941.04</v>
      </c>
      <c r="AB271" s="4">
        <v>982.17</v>
      </c>
      <c r="AC271" s="4">
        <v>425.25</v>
      </c>
      <c r="AD271" s="4">
        <v>1258.47</v>
      </c>
      <c r="AE271" s="4">
        <v>154.88999999999999</v>
      </c>
      <c r="AF271" s="4">
        <v>1691.19</v>
      </c>
      <c r="AG271" s="4">
        <v>1113.21</v>
      </c>
      <c r="AH271" s="6">
        <f>Datos_originales!$H57/Datos_originales!$E57</f>
        <v>1.1029286999015846E-3</v>
      </c>
      <c r="AI271" s="6">
        <f>Datos_originales!$I57/Datos_originales!$E57</f>
        <v>9.5021549529982689E-4</v>
      </c>
      <c r="AJ271" s="6">
        <f>Datos_originales!$J57/Datos_originales!$E57</f>
        <v>6.9569348763023041E-4</v>
      </c>
      <c r="AK271" s="6">
        <f>Datos_originales!$K57/Datos_originales!$E57</f>
        <v>6.7872535378559059E-4</v>
      </c>
      <c r="AL271" s="6">
        <f>Datos_originales!$L57/Datos_originales!$E57</f>
        <v>8.9931109376590744E-4</v>
      </c>
      <c r="AM271" s="6">
        <f>Datos_originales!$M57/Datos_originales!$E57</f>
        <v>1.1198968337462246E-3</v>
      </c>
      <c r="AN271" s="6">
        <f>Datos_originales!$N57/Datos_originales!$E57</f>
        <v>9.671836291444666E-4</v>
      </c>
      <c r="AO271" s="6">
        <f>Datos_originales!$O57/Datos_originales!$E57</f>
        <v>4.072352122713544E-4</v>
      </c>
      <c r="AP271" s="6">
        <f>Datos_originales!$P57/Datos_originales!$E57</f>
        <v>5.4298028302847249E-4</v>
      </c>
      <c r="AQ271" s="6">
        <f>Datos_originales!$Q57/Datos_originales!$E57</f>
        <v>5.09044015339193E-5</v>
      </c>
      <c r="AR271" s="6">
        <f>Datos_originales!$R57/Datos_originales!$E57</f>
        <v>2.2058573998031693E-4</v>
      </c>
      <c r="AS271" s="6">
        <f>Datos_originales!$S57/Datos_originales!$E57</f>
        <v>2.4264431397834864E-3</v>
      </c>
      <c r="AT271" s="6">
        <f>Datos_originales!$T57/Datos_originales!$E57</f>
        <v>5.9218787117792781E-3</v>
      </c>
      <c r="AU271" s="6">
        <f>Datos_originales!$U57/Datos_originales!$E57</f>
        <v>1.5661587538602501E-2</v>
      </c>
      <c r="AV271" s="6">
        <f>Datos_originales!$V57/Datos_originales!$E57</f>
        <v>6.4478908609631111E-3</v>
      </c>
      <c r="AW271" s="6">
        <f>Datos_originales!$W57/Datos_originales!$E57</f>
        <v>8.7385889299894763E-3</v>
      </c>
      <c r="AX271" s="6">
        <f>Datos_originales!$X57/Datos_originales!$E57</f>
        <v>4.191129059626022E-3</v>
      </c>
      <c r="AY271" s="6">
        <f>Datos_originales!$Y57/Datos_originales!$E57</f>
        <v>2.5961244782298841E-3</v>
      </c>
      <c r="AZ271" s="6">
        <f>Datos_originales!$Z57/Datos_originales!$E57</f>
        <v>1.6459089829300574E-3</v>
      </c>
      <c r="BA271" s="6">
        <f>Datos_originales!$AA57/Datos_originales!$E57</f>
        <v>2.1888892659585298E-3</v>
      </c>
      <c r="BB271" s="6">
        <f>Datos_originales!$AB57/Datos_originales!$E57</f>
        <v>1.4931957783282993E-3</v>
      </c>
      <c r="BC271" s="6">
        <f>Datos_originales!$AC57/Datos_originales!$E57</f>
        <v>1.9852716598228524E-3</v>
      </c>
      <c r="BD271" s="6">
        <f>Datos_originales!$AD57/Datos_originales!$E57</f>
        <v>3.7329894458207482E-4</v>
      </c>
      <c r="BE271" s="6">
        <f>Datos_originales!$AE57/Datos_originales!$E57</f>
        <v>4.5813961380527368E-4</v>
      </c>
      <c r="BF271" s="6">
        <f>Datos_originales!$AF57/Datos_originales!$E57</f>
        <v>2.8336783520548406E-3</v>
      </c>
      <c r="BG271" s="6">
        <f>Datos_originales!$AG57/Datos_originales!$E57</f>
        <v>3.427563036617233E-2</v>
      </c>
    </row>
    <row r="272" spans="1:59" ht="15.75" customHeight="1">
      <c r="A272" s="2">
        <v>70602</v>
      </c>
      <c r="B272" s="3" t="s">
        <v>83</v>
      </c>
      <c r="C272" s="4" t="s">
        <v>96</v>
      </c>
      <c r="D272" s="4">
        <f>IF(Table_1[[#This Row],[Forest cover 2011]]&lt;1000,"Bosque menor a 1000 ha",Table_1[[#This Row],[Forest cover 2011]])</f>
        <v>189111.87</v>
      </c>
      <c r="E272" s="4">
        <v>189111.87</v>
      </c>
      <c r="F272" s="5">
        <f>AVERAGE(Datos_originales!$H34:$J34)</f>
        <v>0.03</v>
      </c>
      <c r="G272" s="5">
        <f>AVERAGE(Datos_originales!$R34:$T34)</f>
        <v>0.27</v>
      </c>
      <c r="H272" s="4">
        <v>7683.75</v>
      </c>
      <c r="I272" s="4">
        <v>8412.66</v>
      </c>
      <c r="J272" s="4">
        <v>4867.2</v>
      </c>
      <c r="K272" s="4">
        <v>4695.84</v>
      </c>
      <c r="L272" s="4">
        <v>17162.46</v>
      </c>
      <c r="M272" s="4">
        <v>4888.26</v>
      </c>
      <c r="N272" s="4">
        <v>5454.6299999999992</v>
      </c>
      <c r="O272" s="4">
        <v>4664.88</v>
      </c>
      <c r="P272" s="4">
        <v>4332.0599999999986</v>
      </c>
      <c r="Q272" s="4">
        <v>6256.98</v>
      </c>
      <c r="R272" s="4">
        <v>2621.0700000000002</v>
      </c>
      <c r="S272" s="4">
        <v>7557.66</v>
      </c>
      <c r="T272" s="4">
        <v>7092.9</v>
      </c>
      <c r="U272" s="4">
        <v>9718.65</v>
      </c>
      <c r="V272" s="4">
        <v>9067.0499999999993</v>
      </c>
      <c r="W272" s="4">
        <v>5380.47</v>
      </c>
      <c r="X272" s="4">
        <v>5214.42</v>
      </c>
      <c r="Y272" s="4">
        <v>17811</v>
      </c>
      <c r="Z272" s="4">
        <v>5308.38</v>
      </c>
      <c r="AA272" s="4">
        <v>5711.9400000000014</v>
      </c>
      <c r="AB272" s="4">
        <v>4883.3100000000004</v>
      </c>
      <c r="AC272" s="4">
        <v>4621.1400000000003</v>
      </c>
      <c r="AD272" s="4">
        <v>6605.37</v>
      </c>
      <c r="AE272" s="4">
        <v>2672.19</v>
      </c>
      <c r="AF272" s="4">
        <v>8844.84</v>
      </c>
      <c r="AG272" s="4">
        <v>10313.280000000001</v>
      </c>
      <c r="AH272" s="6">
        <f>Datos_originales!$H34/Datos_originales!$E34</f>
        <v>0</v>
      </c>
      <c r="AI272" s="6">
        <f>Datos_originales!$I34/Datos_originales!$E34</f>
        <v>7.3529411764705881E-3</v>
      </c>
      <c r="AJ272" s="6">
        <f>Datos_originales!$J34/Datos_originales!$E34</f>
        <v>0</v>
      </c>
      <c r="AK272" s="6">
        <f>Datos_originales!$K34/Datos_originales!$E34</f>
        <v>0</v>
      </c>
      <c r="AL272" s="6">
        <f>Datos_originales!$L34/Datos_originales!$E34</f>
        <v>0</v>
      </c>
      <c r="AM272" s="6">
        <f>Datos_originales!$M34/Datos_originales!$E34</f>
        <v>0</v>
      </c>
      <c r="AN272" s="6">
        <f>Datos_originales!$N34/Datos_originales!$E34</f>
        <v>7.3529411764705881E-3</v>
      </c>
      <c r="AO272" s="6">
        <f>Datos_originales!$O34/Datos_originales!$E34</f>
        <v>2.2058823529411766E-2</v>
      </c>
      <c r="AP272" s="6">
        <f>Datos_originales!$P34/Datos_originales!$E34</f>
        <v>7.3529411764705881E-3</v>
      </c>
      <c r="AQ272" s="6">
        <f>Datos_originales!$Q34/Datos_originales!$E34</f>
        <v>0</v>
      </c>
      <c r="AR272" s="6">
        <f>Datos_originales!$R34/Datos_originales!$E34</f>
        <v>0</v>
      </c>
      <c r="AS272" s="6">
        <f>Datos_originales!$S34/Datos_originales!$E34</f>
        <v>6.6176470588235295E-2</v>
      </c>
      <c r="AT272" s="6">
        <f>Datos_originales!$T34/Datos_originales!$E34</f>
        <v>0</v>
      </c>
      <c r="AU272" s="6">
        <f>Datos_originales!$U34/Datos_originales!$E34</f>
        <v>0</v>
      </c>
      <c r="AV272" s="6">
        <f>Datos_originales!$V34/Datos_originales!$E34</f>
        <v>2.2058823529411766E-2</v>
      </c>
      <c r="AW272" s="6">
        <f>Datos_originales!$W34/Datos_originales!$E34</f>
        <v>5.1470588235294115E-2</v>
      </c>
      <c r="AX272" s="6">
        <f>Datos_originales!$X34/Datos_originales!$E34</f>
        <v>0</v>
      </c>
      <c r="AY272" s="6">
        <f>Datos_originales!$Y34/Datos_originales!$E34</f>
        <v>0</v>
      </c>
      <c r="AZ272" s="6">
        <f>Datos_originales!$Z34/Datos_originales!$E34</f>
        <v>1.4705882352941176E-2</v>
      </c>
      <c r="BA272" s="6">
        <f>Datos_originales!$AA34/Datos_originales!$E34</f>
        <v>7.3529411764705881E-3</v>
      </c>
      <c r="BB272" s="6">
        <f>Datos_originales!$AB34/Datos_originales!$E34</f>
        <v>0.20588235294117646</v>
      </c>
      <c r="BC272" s="6">
        <f>Datos_originales!$AC34/Datos_originales!$E34</f>
        <v>2.9411764705882353E-2</v>
      </c>
      <c r="BD272" s="6">
        <f>Datos_originales!$AD34/Datos_originales!$E34</f>
        <v>0</v>
      </c>
      <c r="BE272" s="6">
        <f>Datos_originales!$AE34/Datos_originales!$E34</f>
        <v>0</v>
      </c>
      <c r="BF272" s="6">
        <f>Datos_originales!$AF34/Datos_originales!$E34</f>
        <v>8.8235294117647065E-2</v>
      </c>
      <c r="BG272" s="6">
        <f>Datos_originales!$AG34/Datos_originales!$E34</f>
        <v>0</v>
      </c>
    </row>
    <row r="273" spans="1:59" ht="15.75" customHeight="1">
      <c r="A273" s="2">
        <v>70603</v>
      </c>
      <c r="B273" s="3" t="s">
        <v>83</v>
      </c>
      <c r="C273" s="4" t="s">
        <v>95</v>
      </c>
      <c r="D273" s="4">
        <f>IF(Table_1[[#This Row],[Forest cover 2011]]&lt;1000,"Bosque menor a 1000 ha",Table_1[[#This Row],[Forest cover 2011]])</f>
        <v>7991.91</v>
      </c>
      <c r="E273" s="4">
        <v>7991.91</v>
      </c>
      <c r="F273" s="5">
        <f>AVERAGE(Datos_originales!$H33:$J33)</f>
        <v>1.32</v>
      </c>
      <c r="G273" s="5">
        <f>AVERAGE(Datos_originales!$R33:$T33)</f>
        <v>9.6300000000000008</v>
      </c>
      <c r="H273" s="4">
        <v>236.79</v>
      </c>
      <c r="I273" s="4">
        <v>141.57</v>
      </c>
      <c r="J273" s="4">
        <v>193.32</v>
      </c>
      <c r="K273" s="4">
        <v>149.49</v>
      </c>
      <c r="L273" s="4">
        <v>360.63</v>
      </c>
      <c r="M273" s="4">
        <v>360.09</v>
      </c>
      <c r="N273" s="4">
        <v>464.67</v>
      </c>
      <c r="O273" s="4">
        <v>207.81</v>
      </c>
      <c r="P273" s="4">
        <v>66.06</v>
      </c>
      <c r="Q273" s="4">
        <v>246.42</v>
      </c>
      <c r="R273" s="4">
        <v>24.03</v>
      </c>
      <c r="S273" s="4">
        <v>417.78</v>
      </c>
      <c r="T273" s="4">
        <v>462.78</v>
      </c>
      <c r="U273" s="4">
        <v>241.11</v>
      </c>
      <c r="V273" s="4">
        <v>149.94</v>
      </c>
      <c r="W273" s="4">
        <v>205.56</v>
      </c>
      <c r="X273" s="4">
        <v>168.03</v>
      </c>
      <c r="Y273" s="4">
        <v>364.5</v>
      </c>
      <c r="Z273" s="4">
        <v>363.78</v>
      </c>
      <c r="AA273" s="4">
        <v>469.89</v>
      </c>
      <c r="AB273" s="4">
        <v>217.8</v>
      </c>
      <c r="AC273" s="4">
        <v>69.3</v>
      </c>
      <c r="AD273" s="4">
        <v>250.74</v>
      </c>
      <c r="AE273" s="4">
        <v>27.36</v>
      </c>
      <c r="AF273" s="4">
        <v>452.34</v>
      </c>
      <c r="AG273" s="4">
        <v>463.95</v>
      </c>
      <c r="AH273" s="6">
        <f>Datos_originales!$H33/Datos_originales!$E33</f>
        <v>1.6983016983016984E-2</v>
      </c>
      <c r="AI273" s="6">
        <f>Datos_originales!$I33/Datos_originales!$E33</f>
        <v>9.99000999000999E-3</v>
      </c>
      <c r="AJ273" s="6">
        <f>Datos_originales!$J33/Datos_originales!$E33</f>
        <v>1.6983016983016984E-2</v>
      </c>
      <c r="AK273" s="6">
        <f>Datos_originales!$K33/Datos_originales!$E33</f>
        <v>1.898101898101898E-2</v>
      </c>
      <c r="AL273" s="6">
        <f>Datos_originales!$L33/Datos_originales!$E33</f>
        <v>1.3986013986013986E-2</v>
      </c>
      <c r="AM273" s="6">
        <f>Datos_originales!$M33/Datos_originales!$E33</f>
        <v>7.992007992007992E-3</v>
      </c>
      <c r="AN273" s="6">
        <f>Datos_originales!$N33/Datos_originales!$E33</f>
        <v>4.995004995004995E-3</v>
      </c>
      <c r="AO273" s="6">
        <f>Datos_originales!$O33/Datos_originales!$E33</f>
        <v>1.6983016983016984E-2</v>
      </c>
      <c r="AP273" s="6">
        <f>Datos_originales!$P33/Datos_originales!$E33</f>
        <v>1.5984015984015984E-2</v>
      </c>
      <c r="AQ273" s="6">
        <f>Datos_originales!$Q33/Datos_originales!$E33</f>
        <v>8.9910089910089905E-2</v>
      </c>
      <c r="AR273" s="6">
        <f>Datos_originales!$R33/Datos_originales!$E33</f>
        <v>0.11588411588411587</v>
      </c>
      <c r="AS273" s="6">
        <f>Datos_originales!$S33/Datos_originales!$E33</f>
        <v>0.12387612387612387</v>
      </c>
      <c r="AT273" s="6">
        <f>Datos_originales!$T33/Datos_originales!$E33</f>
        <v>8.0919080919080927E-2</v>
      </c>
      <c r="AU273" s="6">
        <f>Datos_originales!$U33/Datos_originales!$E33</f>
        <v>2.6973026973026972E-2</v>
      </c>
      <c r="AV273" s="6">
        <f>Datos_originales!$V33/Datos_originales!$E33</f>
        <v>1.6983016983016984E-2</v>
      </c>
      <c r="AW273" s="6">
        <f>Datos_originales!$W33/Datos_originales!$E33</f>
        <v>3.896103896103896E-2</v>
      </c>
      <c r="AX273" s="6">
        <f>Datos_originales!$X33/Datos_originales!$E33</f>
        <v>2.2977022977022973E-2</v>
      </c>
      <c r="AY273" s="6">
        <f>Datos_originales!$Y33/Datos_originales!$E33</f>
        <v>1.4985014985014986E-2</v>
      </c>
      <c r="AZ273" s="6">
        <f>Datos_originales!$Z33/Datos_originales!$E33</f>
        <v>7.992007992007992E-3</v>
      </c>
      <c r="BA273" s="6">
        <f>Datos_originales!$AA33/Datos_originales!$E33</f>
        <v>9.99000999000999E-3</v>
      </c>
      <c r="BB273" s="6">
        <f>Datos_originales!$AB33/Datos_originales!$E33</f>
        <v>7.1928071928071935E-2</v>
      </c>
      <c r="BC273" s="6">
        <f>Datos_originales!$AC33/Datos_originales!$E33</f>
        <v>2.1978021978021976E-2</v>
      </c>
      <c r="BD273" s="6">
        <f>Datos_originales!$AD33/Datos_originales!$E33</f>
        <v>8.9910089910089905E-2</v>
      </c>
      <c r="BE273" s="6">
        <f>Datos_originales!$AE33/Datos_originales!$E33</f>
        <v>0.11588411588411587</v>
      </c>
      <c r="BF273" s="6">
        <f>Datos_originales!$AF33/Datos_originales!$E33</f>
        <v>0.14385614385614387</v>
      </c>
      <c r="BG273" s="6">
        <f>Datos_originales!$AG33/Datos_originales!$E33</f>
        <v>8.2917082917082927E-2</v>
      </c>
    </row>
    <row r="274" spans="1:59" ht="15.75" customHeight="1">
      <c r="A274" s="2">
        <v>70701</v>
      </c>
      <c r="B274" s="3" t="s">
        <v>83</v>
      </c>
      <c r="C274" s="4" t="s">
        <v>233</v>
      </c>
      <c r="D274" s="4">
        <f>IF(Table_1[[#This Row],[Forest cover 2011]]&lt;1000,"Bosque menor a 1000 ha",Table_1[[#This Row],[Forest cover 2011]])</f>
        <v>95083.29</v>
      </c>
      <c r="E274" s="4">
        <v>95083.29</v>
      </c>
      <c r="F274" s="5">
        <f>AVERAGE(Datos_originales!$H175:$J175)</f>
        <v>0</v>
      </c>
      <c r="G274" s="5">
        <f>AVERAGE(Datos_originales!$R175:$T175)</f>
        <v>0</v>
      </c>
      <c r="H274" s="4">
        <v>726.30000000000007</v>
      </c>
      <c r="I274" s="4">
        <v>685.98</v>
      </c>
      <c r="J274" s="4">
        <v>557.46</v>
      </c>
      <c r="K274" s="4">
        <v>196.83</v>
      </c>
      <c r="L274" s="4">
        <v>295.74</v>
      </c>
      <c r="M274" s="4">
        <v>213.66</v>
      </c>
      <c r="N274" s="4">
        <v>409.5</v>
      </c>
      <c r="O274" s="4">
        <v>128.79</v>
      </c>
      <c r="P274" s="4">
        <v>293.04000000000002</v>
      </c>
      <c r="Q274" s="4">
        <v>220.95</v>
      </c>
      <c r="R274" s="4">
        <v>230.58</v>
      </c>
      <c r="S274" s="4">
        <v>720.9</v>
      </c>
      <c r="T274" s="4">
        <v>259.83</v>
      </c>
      <c r="U274" s="4">
        <v>744.03</v>
      </c>
      <c r="V274" s="4">
        <v>704.88</v>
      </c>
      <c r="W274" s="4">
        <v>604.79999999999995</v>
      </c>
      <c r="X274" s="4">
        <v>213.57</v>
      </c>
      <c r="Y274" s="4">
        <v>304.47000000000003</v>
      </c>
      <c r="Z274" s="4">
        <v>220.86</v>
      </c>
      <c r="AA274" s="4">
        <v>415.71</v>
      </c>
      <c r="AB274" s="4">
        <v>167.13</v>
      </c>
      <c r="AC274" s="4">
        <v>314.91000000000003</v>
      </c>
      <c r="AD274" s="4">
        <v>258.39</v>
      </c>
      <c r="AE274" s="4">
        <v>234.27</v>
      </c>
      <c r="AF274" s="4">
        <v>731.69999999999993</v>
      </c>
      <c r="AG274" s="4">
        <v>264.06</v>
      </c>
      <c r="AH274" s="6" t="e">
        <f>Datos_originales!$H175/Datos_originales!$E175</f>
        <v>#DIV/0!</v>
      </c>
      <c r="AI274" s="6" t="e">
        <f>Datos_originales!$I175/Datos_originales!$E175</f>
        <v>#DIV/0!</v>
      </c>
      <c r="AJ274" s="6" t="e">
        <f>Datos_originales!$J175/Datos_originales!$E175</f>
        <v>#DIV/0!</v>
      </c>
      <c r="AK274" s="6" t="e">
        <f>Datos_originales!$K175/Datos_originales!$E175</f>
        <v>#DIV/0!</v>
      </c>
      <c r="AL274" s="6" t="e">
        <f>Datos_originales!$L175/Datos_originales!$E175</f>
        <v>#DIV/0!</v>
      </c>
      <c r="AM274" s="6" t="e">
        <f>Datos_originales!$M175/Datos_originales!$E175</f>
        <v>#DIV/0!</v>
      </c>
      <c r="AN274" s="6" t="e">
        <f>Datos_originales!$N175/Datos_originales!$E175</f>
        <v>#DIV/0!</v>
      </c>
      <c r="AO274" s="6" t="e">
        <f>Datos_originales!$O175/Datos_originales!$E175</f>
        <v>#DIV/0!</v>
      </c>
      <c r="AP274" s="6" t="e">
        <f>Datos_originales!$P175/Datos_originales!$E175</f>
        <v>#DIV/0!</v>
      </c>
      <c r="AQ274" s="6" t="e">
        <f>Datos_originales!$Q175/Datos_originales!$E175</f>
        <v>#DIV/0!</v>
      </c>
      <c r="AR274" s="6" t="e">
        <f>Datos_originales!$R175/Datos_originales!$E175</f>
        <v>#DIV/0!</v>
      </c>
      <c r="AS274" s="6" t="e">
        <f>Datos_originales!$S175/Datos_originales!$E175</f>
        <v>#DIV/0!</v>
      </c>
      <c r="AT274" s="6" t="e">
        <f>Datos_originales!$T175/Datos_originales!$E175</f>
        <v>#DIV/0!</v>
      </c>
      <c r="AU274" s="6" t="e">
        <f>Datos_originales!$U175/Datos_originales!$E175</f>
        <v>#DIV/0!</v>
      </c>
      <c r="AV274" s="6" t="e">
        <f>Datos_originales!$V175/Datos_originales!$E175</f>
        <v>#DIV/0!</v>
      </c>
      <c r="AW274" s="6" t="e">
        <f>Datos_originales!$W175/Datos_originales!$E175</f>
        <v>#DIV/0!</v>
      </c>
      <c r="AX274" s="6" t="e">
        <f>Datos_originales!$X175/Datos_originales!$E175</f>
        <v>#DIV/0!</v>
      </c>
      <c r="AY274" s="6" t="e">
        <f>Datos_originales!$Y175/Datos_originales!$E175</f>
        <v>#DIV/0!</v>
      </c>
      <c r="AZ274" s="6" t="e">
        <f>Datos_originales!$Z175/Datos_originales!$E175</f>
        <v>#DIV/0!</v>
      </c>
      <c r="BA274" s="6" t="e">
        <f>Datos_originales!$AA175/Datos_originales!$E175</f>
        <v>#DIV/0!</v>
      </c>
      <c r="BB274" s="6" t="e">
        <f>Datos_originales!$AB175/Datos_originales!$E175</f>
        <v>#DIV/0!</v>
      </c>
      <c r="BC274" s="6" t="e">
        <f>Datos_originales!$AC175/Datos_originales!$E175</f>
        <v>#DIV/0!</v>
      </c>
      <c r="BD274" s="6" t="e">
        <f>Datos_originales!$AD175/Datos_originales!$E175</f>
        <v>#DIV/0!</v>
      </c>
      <c r="BE274" s="6" t="e">
        <f>Datos_originales!$AE175/Datos_originales!$E175</f>
        <v>#DIV/0!</v>
      </c>
      <c r="BF274" s="6" t="e">
        <f>Datos_originales!$AF175/Datos_originales!$E175</f>
        <v>#DIV/0!</v>
      </c>
      <c r="BG274" s="6" t="e">
        <f>Datos_originales!$AG175/Datos_originales!$E175</f>
        <v>#DIV/0!</v>
      </c>
    </row>
    <row r="275" spans="1:59" ht="15.75" customHeight="1">
      <c r="A275" s="2">
        <v>70702</v>
      </c>
      <c r="B275" s="3" t="s">
        <v>83</v>
      </c>
      <c r="C275" s="4" t="s">
        <v>141</v>
      </c>
      <c r="D275" s="4">
        <f>IF(Table_1[[#This Row],[Forest cover 2011]]&lt;1000,"Bosque menor a 1000 ha",Table_1[[#This Row],[Forest cover 2011]])</f>
        <v>6326742.8700000001</v>
      </c>
      <c r="E275" s="4">
        <v>6326742.8700000001</v>
      </c>
      <c r="F275" s="5">
        <f>AVERAGE(Datos_originales!$H79:$J79)</f>
        <v>10.41</v>
      </c>
      <c r="G275" s="5">
        <f>AVERAGE(Datos_originales!$R79:$T79)</f>
        <v>100.62</v>
      </c>
      <c r="H275" s="4">
        <v>17151.57</v>
      </c>
      <c r="I275" s="4">
        <v>12673.08</v>
      </c>
      <c r="J275" s="4">
        <v>11278.71</v>
      </c>
      <c r="K275" s="4">
        <v>18254.16</v>
      </c>
      <c r="L275" s="4">
        <v>18608.580000000002</v>
      </c>
      <c r="M275" s="4">
        <v>20119.95</v>
      </c>
      <c r="N275" s="4">
        <v>24153.57</v>
      </c>
      <c r="O275" s="4">
        <v>26660.7</v>
      </c>
      <c r="P275" s="4">
        <v>21047.13</v>
      </c>
      <c r="Q275" s="4">
        <v>28980</v>
      </c>
      <c r="R275" s="4">
        <v>29096.55</v>
      </c>
      <c r="S275" s="4">
        <v>20374.38</v>
      </c>
      <c r="T275" s="4">
        <v>26075.79</v>
      </c>
      <c r="U275" s="4">
        <v>19657.71</v>
      </c>
      <c r="V275" s="4">
        <v>14750.19</v>
      </c>
      <c r="W275" s="4">
        <v>16189.2</v>
      </c>
      <c r="X275" s="4">
        <v>19430.82</v>
      </c>
      <c r="Y275" s="4">
        <v>19277.28</v>
      </c>
      <c r="Z275" s="4">
        <v>21028.59</v>
      </c>
      <c r="AA275" s="4">
        <v>24926.04</v>
      </c>
      <c r="AB275" s="4">
        <v>103411.98</v>
      </c>
      <c r="AC275" s="4">
        <v>63716.49</v>
      </c>
      <c r="AD275" s="4">
        <v>37802.61</v>
      </c>
      <c r="AE275" s="4">
        <v>31498.74</v>
      </c>
      <c r="AF275" s="4">
        <v>22288.41</v>
      </c>
      <c r="AG275" s="4">
        <v>124829.1</v>
      </c>
      <c r="AH275" s="6">
        <f>Datos_originales!$H79/Datos_originales!$E79</f>
        <v>2.06624250731368E-3</v>
      </c>
      <c r="AI275" s="6">
        <f>Datos_originales!$I79/Datos_originales!$E79</f>
        <v>2.5367729792762014E-3</v>
      </c>
      <c r="AJ275" s="6">
        <f>Datos_originales!$J79/Datos_originales!$E79</f>
        <v>2.4958572860620692E-3</v>
      </c>
      <c r="AK275" s="6">
        <f>Datos_originales!$K79/Datos_originales!$E79</f>
        <v>1.5547963421370266E-3</v>
      </c>
      <c r="AL275" s="6">
        <f>Datos_originales!$L79/Datos_originales!$E79</f>
        <v>1.1660972566027701E-3</v>
      </c>
      <c r="AM275" s="6">
        <f>Datos_originales!$M79/Datos_originales!$E79</f>
        <v>1.5138806489228944E-3</v>
      </c>
      <c r="AN275" s="6">
        <f>Datos_originales!$N79/Datos_originales!$E79</f>
        <v>2.4753994394550033E-3</v>
      </c>
      <c r="AO275" s="6">
        <f>Datos_originales!$O79/Datos_originales!$E79</f>
        <v>8.080849409791124E-3</v>
      </c>
      <c r="AP275" s="6">
        <f>Datos_originales!$P79/Datos_originales!$E79</f>
        <v>4.5825576399828151E-3</v>
      </c>
      <c r="AQ275" s="6">
        <f>Datos_originales!$Q79/Datos_originales!$E79</f>
        <v>3.1505083774881855E-3</v>
      </c>
      <c r="AR275" s="6">
        <f>Datos_originales!$R79/Datos_originales!$E79</f>
        <v>4.296147787483889E-3</v>
      </c>
      <c r="AS275" s="6">
        <f>Datos_originales!$S79/Datos_originales!$E79</f>
        <v>5.3967799349440473E-2</v>
      </c>
      <c r="AT275" s="6">
        <f>Datos_originales!$T79/Datos_originales!$E79</f>
        <v>1.0351670383175467E-2</v>
      </c>
      <c r="AU275" s="6">
        <f>Datos_originales!$U79/Datos_originales!$E79</f>
        <v>1.3154395368343527E-2</v>
      </c>
      <c r="AV275" s="6">
        <f>Datos_originales!$V79/Datos_originales!$E79</f>
        <v>1.9332665043677501E-2</v>
      </c>
      <c r="AW275" s="6">
        <f>Datos_originales!$W79/Datos_originales!$E79</f>
        <v>1.970090628260469E-2</v>
      </c>
      <c r="AX275" s="6">
        <f>Datos_originales!$X79/Datos_originales!$E79</f>
        <v>9.6970192917493498E-3</v>
      </c>
      <c r="AY275" s="6">
        <f>Datos_originales!$Y79/Datos_originales!$E79</f>
        <v>3.9688222417708311E-3</v>
      </c>
      <c r="AZ275" s="6">
        <f>Datos_originales!$Z79/Datos_originales!$E79</f>
        <v>4.521184100161617E-3</v>
      </c>
      <c r="BA275" s="6">
        <f>Datos_originales!$AA79/Datos_originales!$E79</f>
        <v>9.4924408256786882E-3</v>
      </c>
      <c r="BB275" s="6">
        <f>Datos_originales!$AB79/Datos_originales!$E79</f>
        <v>2.6083754424009328E-2</v>
      </c>
      <c r="BC275" s="6">
        <f>Datos_originales!$AC79/Datos_originales!$E79</f>
        <v>2.0887461385814529E-2</v>
      </c>
      <c r="BD275" s="6">
        <f>Datos_originales!$AD79/Datos_originales!$E79</f>
        <v>5.9532333626562475E-3</v>
      </c>
      <c r="BE275" s="6">
        <f>Datos_originales!$AE79/Datos_originales!$E79</f>
        <v>4.418894867126287E-3</v>
      </c>
      <c r="BF275" s="6">
        <f>Datos_originales!$AF79/Datos_originales!$E79</f>
        <v>5.8611730529244496E-2</v>
      </c>
      <c r="BG275" s="6">
        <f>Datos_originales!$AG79/Datos_originales!$E79</f>
        <v>3.8828992860211534E-2</v>
      </c>
    </row>
    <row r="276" spans="1:59" ht="15.75" customHeight="1">
      <c r="A276" s="2">
        <v>70703</v>
      </c>
      <c r="B276" s="3" t="s">
        <v>83</v>
      </c>
      <c r="C276" s="4" t="s">
        <v>146</v>
      </c>
      <c r="D276" s="4">
        <f>IF(Table_1[[#This Row],[Forest cover 2011]]&lt;1000,"Bosque menor a 1000 ha",Table_1[[#This Row],[Forest cover 2011]])</f>
        <v>296407.53000000003</v>
      </c>
      <c r="E276" s="4">
        <v>296407.53000000003</v>
      </c>
      <c r="F276" s="5">
        <f>AVERAGE(Datos_originales!$H85:$J85)</f>
        <v>12.03</v>
      </c>
      <c r="G276" s="5">
        <f>AVERAGE(Datos_originales!$R85:$T85)</f>
        <v>69.48</v>
      </c>
      <c r="H276" s="4">
        <v>6098.76</v>
      </c>
      <c r="I276" s="4">
        <v>5035.1400000000003</v>
      </c>
      <c r="J276" s="4">
        <v>4967.6400000000003</v>
      </c>
      <c r="K276" s="4">
        <v>6030.9</v>
      </c>
      <c r="L276" s="4">
        <v>5195.6099999999997</v>
      </c>
      <c r="M276" s="4">
        <v>4967.55</v>
      </c>
      <c r="N276" s="4">
        <v>2803.05</v>
      </c>
      <c r="O276" s="4">
        <v>2971.17</v>
      </c>
      <c r="P276" s="4">
        <v>2837.7</v>
      </c>
      <c r="Q276" s="4">
        <v>6382.8</v>
      </c>
      <c r="R276" s="4">
        <v>2914.2</v>
      </c>
      <c r="S276" s="4">
        <v>5526.72</v>
      </c>
      <c r="T276" s="4">
        <v>5277.33</v>
      </c>
      <c r="U276" s="4">
        <v>6353.82</v>
      </c>
      <c r="V276" s="4">
        <v>5191.6499999999996</v>
      </c>
      <c r="W276" s="4">
        <v>5211.2700000000004</v>
      </c>
      <c r="X276" s="4">
        <v>6127.02</v>
      </c>
      <c r="Y276" s="4">
        <v>5271.03</v>
      </c>
      <c r="Z276" s="4">
        <v>5044.05</v>
      </c>
      <c r="AA276" s="4">
        <v>2956.95</v>
      </c>
      <c r="AB276" s="4">
        <v>3088.26</v>
      </c>
      <c r="AC276" s="4">
        <v>2980.8</v>
      </c>
      <c r="AD276" s="4">
        <v>6573.6900000000014</v>
      </c>
      <c r="AE276" s="4">
        <v>3291.84</v>
      </c>
      <c r="AF276" s="4">
        <v>5694.75</v>
      </c>
      <c r="AG276" s="4">
        <v>5455.89</v>
      </c>
      <c r="AH276" s="6">
        <f>Datos_originales!$H85/Datos_originales!$E85</f>
        <v>7.53391901364622E-4</v>
      </c>
      <c r="AI276" s="6">
        <f>Datos_originales!$I85/Datos_originales!$E85</f>
        <v>8.2545547453862932E-4</v>
      </c>
      <c r="AJ276" s="6">
        <f>Datos_originales!$J85/Datos_originales!$E85</f>
        <v>1.0481974279855611E-3</v>
      </c>
      <c r="AK276" s="6">
        <f>Datos_originales!$K85/Datos_originales!$E85</f>
        <v>5.8961105324187801E-4</v>
      </c>
      <c r="AL276" s="6">
        <f>Datos_originales!$L85/Datos_originales!$E85</f>
        <v>9.4337768518700502E-4</v>
      </c>
      <c r="AM276" s="6">
        <f>Datos_originales!$M85/Datos_originales!$E85</f>
        <v>7.4028943351480249E-4</v>
      </c>
      <c r="AN276" s="6">
        <f>Datos_originales!$N85/Datos_originales!$E85</f>
        <v>5.3064994791769031E-4</v>
      </c>
      <c r="AO276" s="6">
        <f>Datos_originales!$O85/Datos_originales!$E85</f>
        <v>6.8787956211552434E-4</v>
      </c>
      <c r="AP276" s="6">
        <f>Datos_originales!$P85/Datos_originales!$E85</f>
        <v>3.7342033371985612E-4</v>
      </c>
      <c r="AQ276" s="6">
        <f>Datos_originales!$Q85/Datos_originales!$E85</f>
        <v>5.4375241576750982E-4</v>
      </c>
      <c r="AR276" s="6">
        <f>Datos_originales!$R85/Datos_originales!$E85</f>
        <v>4.3893267296895363E-4</v>
      </c>
      <c r="AS276" s="6">
        <f>Datos_originales!$S85/Datos_originales!$E85</f>
        <v>3.7276521032736515E-3</v>
      </c>
      <c r="AT276" s="6">
        <f>Datos_originales!$T85/Datos_originales!$E85</f>
        <v>1.1006072993848389E-2</v>
      </c>
      <c r="AU276" s="6">
        <f>Datos_originales!$U85/Datos_originales!$E85</f>
        <v>1.2512856796577636E-3</v>
      </c>
      <c r="AV276" s="6">
        <f>Datos_originales!$V85/Datos_originales!$E85</f>
        <v>1.5853986098281611E-3</v>
      </c>
      <c r="AW276" s="6">
        <f>Datos_originales!$W85/Datos_originales!$E85</f>
        <v>3.4197441088028926E-3</v>
      </c>
      <c r="AX276" s="6">
        <f>Datos_originales!$X85/Datos_originales!$E85</f>
        <v>7.3373819958989274E-4</v>
      </c>
      <c r="AY276" s="6">
        <f>Datos_originales!$Y85/Datos_originales!$E85</f>
        <v>1.290593083207222E-3</v>
      </c>
      <c r="AZ276" s="6">
        <f>Datos_originales!$Z85/Datos_originales!$E85</f>
        <v>8.6476287808808785E-4</v>
      </c>
      <c r="BA276" s="6">
        <f>Datos_originales!$AA85/Datos_originales!$E85</f>
        <v>6.2891845679133665E-4</v>
      </c>
      <c r="BB276" s="6">
        <f>Datos_originales!$AB85/Datos_originales!$E85</f>
        <v>8.5166041023826823E-4</v>
      </c>
      <c r="BC276" s="6">
        <f>Datos_originales!$AC85/Datos_originales!$E85</f>
        <v>6.6822586034079518E-4</v>
      </c>
      <c r="BD276" s="6">
        <f>Datos_originales!$AD85/Datos_originales!$E85</f>
        <v>7.2063573174007312E-4</v>
      </c>
      <c r="BE276" s="6">
        <f>Datos_originales!$AE85/Datos_originales!$E85</f>
        <v>4.9134254436823178E-4</v>
      </c>
      <c r="BF276" s="6">
        <f>Datos_originales!$AF85/Datos_originales!$E85</f>
        <v>4.0945212030685978E-3</v>
      </c>
      <c r="BG276" s="6">
        <f>Datos_originales!$AG85/Datos_originales!$E85</f>
        <v>1.9044437019712663E-2</v>
      </c>
    </row>
    <row r="277" spans="1:59" ht="15.75" customHeight="1">
      <c r="A277" s="2">
        <v>70704</v>
      </c>
      <c r="B277" s="3" t="s">
        <v>83</v>
      </c>
      <c r="C277" s="4" t="s">
        <v>263</v>
      </c>
      <c r="D277" s="4">
        <f>IF(Table_1[[#This Row],[Forest cover 2011]]&lt;1000,"Bosque menor a 1000 ha",Table_1[[#This Row],[Forest cover 2011]])</f>
        <v>71029.440000000002</v>
      </c>
      <c r="E277" s="4">
        <v>71029.440000000002</v>
      </c>
      <c r="F277" s="5">
        <f>AVERAGE(Datos_originales!$H207:$J207)</f>
        <v>0</v>
      </c>
      <c r="G277" s="5">
        <f>AVERAGE(Datos_originales!$R207:$T207)</f>
        <v>0</v>
      </c>
      <c r="H277" s="4">
        <v>67.680000000000007</v>
      </c>
      <c r="I277" s="4">
        <v>92.34</v>
      </c>
      <c r="J277" s="4">
        <v>152.82</v>
      </c>
      <c r="K277" s="4">
        <v>86.22</v>
      </c>
      <c r="L277" s="4">
        <v>69.66</v>
      </c>
      <c r="M277" s="4">
        <v>190.8</v>
      </c>
      <c r="N277" s="4">
        <v>89.91</v>
      </c>
      <c r="O277" s="4">
        <v>52.29</v>
      </c>
      <c r="P277" s="4">
        <v>84.6</v>
      </c>
      <c r="Q277" s="4">
        <v>271.44</v>
      </c>
      <c r="R277" s="4">
        <v>77.849999999999994</v>
      </c>
      <c r="S277" s="4">
        <v>501.12</v>
      </c>
      <c r="T277" s="4">
        <v>55.98</v>
      </c>
      <c r="U277" s="4">
        <v>144.72</v>
      </c>
      <c r="V277" s="4">
        <v>124.02</v>
      </c>
      <c r="W277" s="4">
        <v>405.63</v>
      </c>
      <c r="X277" s="4">
        <v>116.73</v>
      </c>
      <c r="Y277" s="4">
        <v>124.38</v>
      </c>
      <c r="Z277" s="4">
        <v>255.33</v>
      </c>
      <c r="AA277" s="4">
        <v>111.87</v>
      </c>
      <c r="AB277" s="4">
        <v>286.92</v>
      </c>
      <c r="AC277" s="4">
        <v>125.1</v>
      </c>
      <c r="AD277" s="4">
        <v>947.97</v>
      </c>
      <c r="AE277" s="4">
        <v>85.320000000000007</v>
      </c>
      <c r="AF277" s="4">
        <v>632.43000000000006</v>
      </c>
      <c r="AG277" s="4">
        <v>80.820000000000007</v>
      </c>
      <c r="AH277" s="6">
        <f>Datos_originales!$H207/Datos_originales!$E207</f>
        <v>0</v>
      </c>
      <c r="AI277" s="6">
        <f>Datos_originales!$I207/Datos_originales!$E207</f>
        <v>0</v>
      </c>
      <c r="AJ277" s="6">
        <f>Datos_originales!$J207/Datos_originales!$E207</f>
        <v>0</v>
      </c>
      <c r="AK277" s="6">
        <f>Datos_originales!$K207/Datos_originales!$E207</f>
        <v>0</v>
      </c>
      <c r="AL277" s="6">
        <f>Datos_originales!$L207/Datos_originales!$E207</f>
        <v>0</v>
      </c>
      <c r="AM277" s="6">
        <f>Datos_originales!$M207/Datos_originales!$E207</f>
        <v>0</v>
      </c>
      <c r="AN277" s="6">
        <f>Datos_originales!$N207/Datos_originales!$E207</f>
        <v>0</v>
      </c>
      <c r="AO277" s="6">
        <f>Datos_originales!$O207/Datos_originales!$E207</f>
        <v>0</v>
      </c>
      <c r="AP277" s="6">
        <f>Datos_originales!$P207/Datos_originales!$E207</f>
        <v>0</v>
      </c>
      <c r="AQ277" s="6">
        <f>Datos_originales!$Q207/Datos_originales!$E207</f>
        <v>0</v>
      </c>
      <c r="AR277" s="6">
        <f>Datos_originales!$R207/Datos_originales!$E207</f>
        <v>0</v>
      </c>
      <c r="AS277" s="6">
        <f>Datos_originales!$S207/Datos_originales!$E207</f>
        <v>0</v>
      </c>
      <c r="AT277" s="6">
        <f>Datos_originales!$T207/Datos_originales!$E207</f>
        <v>0</v>
      </c>
      <c r="AU277" s="6">
        <f>Datos_originales!$U207/Datos_originales!$E207</f>
        <v>4.2372881355932203E-3</v>
      </c>
      <c r="AV277" s="6">
        <f>Datos_originales!$V207/Datos_originales!$E207</f>
        <v>1.6949152542372881E-2</v>
      </c>
      <c r="AW277" s="6">
        <f>Datos_originales!$W207/Datos_originales!$E207</f>
        <v>4.2372881355932202E-2</v>
      </c>
      <c r="AX277" s="6">
        <f>Datos_originales!$X207/Datos_originales!$E207</f>
        <v>0</v>
      </c>
      <c r="AY277" s="6">
        <f>Datos_originales!$Y207/Datos_originales!$E207</f>
        <v>0</v>
      </c>
      <c r="AZ277" s="6">
        <f>Datos_originales!$Z207/Datos_originales!$E207</f>
        <v>2.5423728813559327E-2</v>
      </c>
      <c r="BA277" s="6">
        <f>Datos_originales!$AA207/Datos_originales!$E207</f>
        <v>0</v>
      </c>
      <c r="BB277" s="6">
        <f>Datos_originales!$AB207/Datos_originales!$E207</f>
        <v>0</v>
      </c>
      <c r="BC277" s="6">
        <f>Datos_originales!$AC207/Datos_originales!$E207</f>
        <v>0</v>
      </c>
      <c r="BD277" s="6">
        <f>Datos_originales!$AD207/Datos_originales!$E207</f>
        <v>0</v>
      </c>
      <c r="BE277" s="6">
        <f>Datos_originales!$AE207/Datos_originales!$E207</f>
        <v>0</v>
      </c>
      <c r="BF277" s="6">
        <f>Datos_originales!$AF207/Datos_originales!$E207</f>
        <v>0</v>
      </c>
      <c r="BG277" s="6">
        <f>Datos_originales!$AG207/Datos_originales!$E207</f>
        <v>0</v>
      </c>
    </row>
    <row r="278" spans="1:59" ht="15.75" customHeight="1">
      <c r="A278" s="2">
        <v>70705</v>
      </c>
      <c r="B278" s="3" t="s">
        <v>83</v>
      </c>
      <c r="C278" s="4" t="s">
        <v>206</v>
      </c>
      <c r="D278" s="4">
        <f>IF(Table_1[[#This Row],[Forest cover 2011]]&lt;1000,"Bosque menor a 1000 ha",Table_1[[#This Row],[Forest cover 2011]])</f>
        <v>244483.65</v>
      </c>
      <c r="E278" s="4">
        <v>244483.65</v>
      </c>
      <c r="F278" s="5">
        <f>AVERAGE(Datos_originales!$H146:$J146)</f>
        <v>3858.5400000000009</v>
      </c>
      <c r="G278" s="5">
        <f>AVERAGE(Datos_originales!$R146:$T146)</f>
        <v>6189.21</v>
      </c>
      <c r="H278" s="4">
        <v>3366.63</v>
      </c>
      <c r="I278" s="4">
        <v>2041.74</v>
      </c>
      <c r="J278" s="4">
        <v>1271.3399999999999</v>
      </c>
      <c r="K278" s="4">
        <v>1274.04</v>
      </c>
      <c r="L278" s="4">
        <v>1196.3699999999999</v>
      </c>
      <c r="M278" s="4">
        <v>975.51</v>
      </c>
      <c r="N278" s="4">
        <v>1556.55</v>
      </c>
      <c r="O278" s="4">
        <v>1402.38</v>
      </c>
      <c r="P278" s="4">
        <v>1069.6500000000001</v>
      </c>
      <c r="Q278" s="4">
        <v>1287.3599999999999</v>
      </c>
      <c r="R278" s="4">
        <v>1477.26</v>
      </c>
      <c r="S278" s="4">
        <v>2315.0700000000002</v>
      </c>
      <c r="T278" s="4">
        <v>1194.48</v>
      </c>
      <c r="U278" s="4">
        <v>3554.01</v>
      </c>
      <c r="V278" s="4">
        <v>2156.67</v>
      </c>
      <c r="W278" s="4">
        <v>1584.09</v>
      </c>
      <c r="X278" s="4">
        <v>1337.13</v>
      </c>
      <c r="Y278" s="4">
        <v>1277.3699999999999</v>
      </c>
      <c r="Z278" s="4">
        <v>1036.8900000000001</v>
      </c>
      <c r="AA278" s="4">
        <v>1638.27</v>
      </c>
      <c r="AB278" s="4">
        <v>1499.85</v>
      </c>
      <c r="AC278" s="4">
        <v>1120.77</v>
      </c>
      <c r="AD278" s="4">
        <v>1403.55</v>
      </c>
      <c r="AE278" s="4">
        <v>1509.93</v>
      </c>
      <c r="AF278" s="4">
        <v>2467.8000000000002</v>
      </c>
      <c r="AG278" s="4">
        <v>1229.76</v>
      </c>
      <c r="AH278" s="6">
        <f>Datos_originales!$H146/Datos_originales!$E146</f>
        <v>3.5968444812632121E-3</v>
      </c>
      <c r="AI278" s="6">
        <f>Datos_originales!$I146/Datos_originales!$E146</f>
        <v>5.2588673630819815E-3</v>
      </c>
      <c r="AJ278" s="6">
        <f>Datos_originales!$J146/Datos_originales!$E146</f>
        <v>5.315057728990341E-3</v>
      </c>
      <c r="AK278" s="6">
        <f>Datos_originales!$K146/Datos_originales!$E146</f>
        <v>4.3921034246485547E-3</v>
      </c>
      <c r="AL278" s="6">
        <f>Datos_originales!$L146/Datos_originales!$E146</f>
        <v>3.7686107174418971E-3</v>
      </c>
      <c r="AM278" s="6">
        <f>Datos_originales!$M146/Datos_originales!$E146</f>
        <v>5.163013209473607E-3</v>
      </c>
      <c r="AN278" s="6">
        <f>Datos_originales!$N146/Datos_originales!$E146</f>
        <v>4.9410061755415678E-3</v>
      </c>
      <c r="AO278" s="6">
        <f>Datos_originales!$O146/Datos_originales!$E146</f>
        <v>4.0230098446622847E-3</v>
      </c>
      <c r="AP278" s="6">
        <f>Datos_originales!$P146/Datos_originales!$E146</f>
        <v>6.6587787145164726E-3</v>
      </c>
      <c r="AQ278" s="6">
        <f>Datos_originales!$Q146/Datos_originales!$E146</f>
        <v>7.6167693646599401E-3</v>
      </c>
      <c r="AR278" s="6">
        <f>Datos_originales!$R146/Datos_originales!$E146</f>
        <v>1.5810426485979017E-3</v>
      </c>
      <c r="AS278" s="6">
        <f>Datos_originales!$S146/Datos_originales!$E146</f>
        <v>1.4437178014053982E-2</v>
      </c>
      <c r="AT278" s="6">
        <f>Datos_originales!$T146/Datos_originales!$E146</f>
        <v>6.7121044735353845E-3</v>
      </c>
      <c r="AU278" s="6">
        <f>Datos_originales!$U146/Datos_originales!$E146</f>
        <v>1.0901041163409404E-2</v>
      </c>
      <c r="AV278" s="6">
        <f>Datos_originales!$V146/Datos_originales!$E146</f>
        <v>8.3423963251941409E-3</v>
      </c>
      <c r="AW278" s="6">
        <f>Datos_originales!$W146/Datos_originales!$E146</f>
        <v>8.4955426165914272E-3</v>
      </c>
      <c r="AX278" s="6">
        <f>Datos_originales!$X146/Datos_originales!$E146</f>
        <v>7.1860867365505874E-3</v>
      </c>
      <c r="AY278" s="6">
        <f>Datos_originales!$Y146/Datos_originales!$E146</f>
        <v>5.3189139305722857E-3</v>
      </c>
      <c r="AZ278" s="6">
        <f>Datos_originales!$Z146/Datos_originales!$E146</f>
        <v>6.5946555910681116E-3</v>
      </c>
      <c r="BA278" s="6">
        <f>Datos_originales!$AA146/Datos_originales!$E146</f>
        <v>6.958570843215767E-3</v>
      </c>
      <c r="BB278" s="6">
        <f>Datos_originales!$AB146/Datos_originales!$E146</f>
        <v>6.4194738620597033E-3</v>
      </c>
      <c r="BC278" s="6">
        <f>Datos_originales!$AC146/Datos_originales!$E146</f>
        <v>9.6963637892094438E-3</v>
      </c>
      <c r="BD278" s="6">
        <f>Datos_originales!$AD146/Datos_originales!$E146</f>
        <v>8.3306073660721902E-3</v>
      </c>
      <c r="BE278" s="6">
        <f>Datos_originales!$AE146/Datos_originales!$E146</f>
        <v>2.9713685846715545E-3</v>
      </c>
      <c r="BF278" s="6">
        <f>Datos_originales!$AF146/Datos_originales!$E146</f>
        <v>1.7572930963304496E-2</v>
      </c>
      <c r="BG278" s="6">
        <f>Datos_originales!$AG146/Datos_originales!$E146</f>
        <v>1.1741913462649767E-2</v>
      </c>
    </row>
    <row r="279" spans="1:59" ht="15.75" customHeight="1">
      <c r="A279" s="2">
        <v>70706</v>
      </c>
      <c r="B279" s="3" t="s">
        <v>83</v>
      </c>
      <c r="C279" s="4" t="s">
        <v>209</v>
      </c>
      <c r="D279" s="4">
        <f>IF(Table_1[[#This Row],[Forest cover 2011]]&lt;1000,"Bosque menor a 1000 ha",Table_1[[#This Row],[Forest cover 2011]])</f>
        <v>87469.74</v>
      </c>
      <c r="E279" s="4">
        <v>87469.74</v>
      </c>
      <c r="F279" s="5">
        <f>AVERAGE(Datos_originales!$H149:$J149)</f>
        <v>92.82</v>
      </c>
      <c r="G279" s="5">
        <f>AVERAGE(Datos_originales!$R149:$T149)</f>
        <v>216.51000000000002</v>
      </c>
      <c r="H279" s="4">
        <v>413.55</v>
      </c>
      <c r="I279" s="4">
        <v>476.19</v>
      </c>
      <c r="J279" s="4">
        <v>429.93</v>
      </c>
      <c r="K279" s="4">
        <v>237.15</v>
      </c>
      <c r="L279" s="4">
        <v>202.05</v>
      </c>
      <c r="M279" s="4">
        <v>151.29</v>
      </c>
      <c r="N279" s="4">
        <v>192.33</v>
      </c>
      <c r="O279" s="4">
        <v>80.55</v>
      </c>
      <c r="P279" s="4">
        <v>173.52</v>
      </c>
      <c r="Q279" s="4">
        <v>111.24</v>
      </c>
      <c r="R279" s="4">
        <v>195.75</v>
      </c>
      <c r="S279" s="4">
        <v>1053.6300000000001</v>
      </c>
      <c r="T279" s="4">
        <v>393.66</v>
      </c>
      <c r="U279" s="4">
        <v>477.45</v>
      </c>
      <c r="V279" s="4">
        <v>537.57000000000005</v>
      </c>
      <c r="W279" s="4">
        <v>809.46</v>
      </c>
      <c r="X279" s="4">
        <v>309.24</v>
      </c>
      <c r="Y279" s="4">
        <v>277.64999999999998</v>
      </c>
      <c r="Z279" s="4">
        <v>185.49</v>
      </c>
      <c r="AA279" s="4">
        <v>201.51</v>
      </c>
      <c r="AB279" s="4">
        <v>220.59</v>
      </c>
      <c r="AC279" s="4">
        <v>216.81</v>
      </c>
      <c r="AD279" s="4">
        <v>169.65</v>
      </c>
      <c r="AE279" s="4">
        <v>222.21</v>
      </c>
      <c r="AF279" s="4">
        <v>1170.81</v>
      </c>
      <c r="AG279" s="4">
        <v>424.8</v>
      </c>
      <c r="AH279" s="6">
        <f>Datos_originales!$H149/Datos_originales!$E149</f>
        <v>7.7041853081565698E-4</v>
      </c>
      <c r="AI279" s="6">
        <f>Datos_originales!$I149/Datos_originales!$E149</f>
        <v>4.4511865855007346E-4</v>
      </c>
      <c r="AJ279" s="6">
        <f>Datos_originales!$J149/Datos_originales!$E149</f>
        <v>4.6192581861712853E-4</v>
      </c>
      <c r="AK279" s="6">
        <f>Datos_originales!$K149/Datos_originales!$E149</f>
        <v>6.4138291481697545E-4</v>
      </c>
      <c r="AL279" s="6">
        <f>Datos_originales!$L149/Datos_originales!$E149</f>
        <v>4.8307031031439147E-4</v>
      </c>
      <c r="AM279" s="6">
        <f>Datos_originales!$M149/Datos_originales!$E149</f>
        <v>8.9240598291525069E-4</v>
      </c>
      <c r="AN279" s="6">
        <f>Datos_originales!$N149/Datos_originales!$E149</f>
        <v>1.2122841906430746E-3</v>
      </c>
      <c r="AO279" s="6">
        <f>Datos_originales!$O149/Datos_originales!$E149</f>
        <v>9.4391179602396817E-4</v>
      </c>
      <c r="AP279" s="6">
        <f>Datos_originales!$P149/Datos_originales!$E149</f>
        <v>1.043670423518747E-3</v>
      </c>
      <c r="AQ279" s="6">
        <f>Datos_originales!$Q149/Datos_originales!$E149</f>
        <v>5.2535929370891741E-4</v>
      </c>
      <c r="AR279" s="6">
        <f>Datos_originales!$R149/Datos_originales!$E149</f>
        <v>9.4987562701550384E-4</v>
      </c>
      <c r="AS279" s="6">
        <f>Datos_originales!$S149/Datos_originales!$E149</f>
        <v>2.3117977589007469E-3</v>
      </c>
      <c r="AT279" s="6">
        <f>Datos_originales!$T149/Datos_originales!$E149</f>
        <v>6.5114191098494302E-4</v>
      </c>
      <c r="AU279" s="6">
        <f>Datos_originales!$U149/Datos_originales!$E149</f>
        <v>3.3619741798648051E-3</v>
      </c>
      <c r="AV279" s="6">
        <f>Datos_originales!$V149/Datos_originales!$E149</f>
        <v>2.1518586550368347E-3</v>
      </c>
      <c r="AW279" s="6">
        <f>Datos_originales!$W149/Datos_originales!$E149</f>
        <v>2.9998069887424562E-3</v>
      </c>
      <c r="AX279" s="6">
        <f>Datos_originales!$X149/Datos_originales!$E149</f>
        <v>2.0591481914411435E-3</v>
      </c>
      <c r="AY279" s="6">
        <f>Datos_originales!$Y149/Datos_originales!$E149</f>
        <v>1.3874039552127136E-3</v>
      </c>
      <c r="AZ279" s="6">
        <f>Datos_originales!$Z149/Datos_originales!$E149</f>
        <v>2.2337257895570068E-3</v>
      </c>
      <c r="BA279" s="6">
        <f>Datos_originales!$AA149/Datos_originales!$E149</f>
        <v>2.767217580072564E-3</v>
      </c>
      <c r="BB279" s="6">
        <f>Datos_originales!$AB149/Datos_originales!$E149</f>
        <v>3.0740837929097643E-3</v>
      </c>
      <c r="BC279" s="6">
        <f>Datos_originales!$AC149/Datos_originales!$E149</f>
        <v>2.445170706529636E-3</v>
      </c>
      <c r="BD279" s="6">
        <f>Datos_originales!$AD149/Datos_originales!$E149</f>
        <v>2.6311338001747944E-3</v>
      </c>
      <c r="BE279" s="6">
        <f>Datos_originales!$AE149/Datos_originales!$E149</f>
        <v>1.3293921446586845E-3</v>
      </c>
      <c r="BF279" s="6">
        <f>Datos_originales!$AF149/Datos_originales!$E149</f>
        <v>3.9838391023458465E-3</v>
      </c>
      <c r="BG279" s="6">
        <f>Datos_originales!$AG149/Datos_originales!$E149</f>
        <v>6.8367189821150133E-4</v>
      </c>
    </row>
    <row r="280" spans="1:59" ht="15.75" customHeight="1">
      <c r="A280" s="2">
        <v>70707</v>
      </c>
      <c r="B280" s="3" t="s">
        <v>83</v>
      </c>
      <c r="C280" s="4" t="s">
        <v>215</v>
      </c>
      <c r="D280" s="4">
        <f>IF(Table_1[[#This Row],[Forest cover 2011]]&lt;1000,"Bosque menor a 1000 ha",Table_1[[#This Row],[Forest cover 2011]])</f>
        <v>147199.14000000001</v>
      </c>
      <c r="E280" s="4">
        <v>147199.14000000001</v>
      </c>
      <c r="F280" s="5">
        <f>AVERAGE(Datos_originales!$H157:$J157)</f>
        <v>0</v>
      </c>
      <c r="G280" s="5">
        <f>AVERAGE(Datos_originales!$R157:$T157)</f>
        <v>0.38999999999999996</v>
      </c>
      <c r="H280" s="4">
        <v>43.2</v>
      </c>
      <c r="I280" s="4">
        <v>77.22</v>
      </c>
      <c r="J280" s="4">
        <v>90.9</v>
      </c>
      <c r="K280" s="4">
        <v>110.52</v>
      </c>
      <c r="L280" s="4">
        <v>360.18</v>
      </c>
      <c r="M280" s="4">
        <v>324.72000000000003</v>
      </c>
      <c r="N280" s="4">
        <v>348.3</v>
      </c>
      <c r="O280" s="4">
        <v>569.42999999999995</v>
      </c>
      <c r="P280" s="4">
        <v>288.81</v>
      </c>
      <c r="Q280" s="4">
        <v>2776.95</v>
      </c>
      <c r="R280" s="4">
        <v>2023.02</v>
      </c>
      <c r="S280" s="4">
        <v>1288.8</v>
      </c>
      <c r="T280" s="4">
        <v>609.29999999999995</v>
      </c>
      <c r="U280" s="4">
        <v>82.35</v>
      </c>
      <c r="V280" s="4">
        <v>100.35</v>
      </c>
      <c r="W280" s="4">
        <v>344.97</v>
      </c>
      <c r="X280" s="4">
        <v>166.14</v>
      </c>
      <c r="Y280" s="4">
        <v>443.61</v>
      </c>
      <c r="Z280" s="4">
        <v>404.28</v>
      </c>
      <c r="AA280" s="4">
        <v>374.22</v>
      </c>
      <c r="AB280" s="4">
        <v>641.79</v>
      </c>
      <c r="AC280" s="4">
        <v>346.86</v>
      </c>
      <c r="AD280" s="4">
        <v>3685.41</v>
      </c>
      <c r="AE280" s="4">
        <v>2029.41</v>
      </c>
      <c r="AF280" s="4">
        <v>2905.65</v>
      </c>
      <c r="AG280" s="4">
        <v>638.55000000000007</v>
      </c>
      <c r="AH280" s="6">
        <f>Datos_originales!$H157/Datos_originales!$E157</f>
        <v>0</v>
      </c>
      <c r="AI280" s="6">
        <f>Datos_originales!$I157/Datos_originales!$E157</f>
        <v>0</v>
      </c>
      <c r="AJ280" s="6">
        <f>Datos_originales!$J157/Datos_originales!$E157</f>
        <v>0</v>
      </c>
      <c r="AK280" s="6">
        <f>Datos_originales!$K157/Datos_originales!$E157</f>
        <v>0</v>
      </c>
      <c r="AL280" s="6">
        <f>Datos_originales!$L157/Datos_originales!$E157</f>
        <v>0</v>
      </c>
      <c r="AM280" s="6">
        <f>Datos_originales!$M157/Datos_originales!$E157</f>
        <v>3.4567090401583168E-5</v>
      </c>
      <c r="AN280" s="6">
        <f>Datos_originales!$N157/Datos_originales!$E157</f>
        <v>0</v>
      </c>
      <c r="AO280" s="6">
        <f>Datos_originales!$O157/Datos_originales!$E157</f>
        <v>0</v>
      </c>
      <c r="AP280" s="6">
        <f>Datos_originales!$P157/Datos_originales!$E157</f>
        <v>4.3208863001978965E-5</v>
      </c>
      <c r="AQ280" s="6">
        <f>Datos_originales!$Q157/Datos_originales!$E157</f>
        <v>0</v>
      </c>
      <c r="AR280" s="6">
        <f>Datos_originales!$R157/Datos_originales!$E157</f>
        <v>0</v>
      </c>
      <c r="AS280" s="6">
        <f>Datos_originales!$S157/Datos_originales!$E157</f>
        <v>7.7775953403562133E-5</v>
      </c>
      <c r="AT280" s="6">
        <f>Datos_originales!$T157/Datos_originales!$E157</f>
        <v>3.4567090401583168E-5</v>
      </c>
      <c r="AU280" s="6">
        <f>Datos_originales!$U157/Datos_originales!$E157</f>
        <v>8.6417726003957921E-4</v>
      </c>
      <c r="AV280" s="6">
        <f>Datos_originales!$V157/Datos_originales!$E157</f>
        <v>1.1061468928506614E-3</v>
      </c>
      <c r="AW280" s="6">
        <f>Datos_originales!$W157/Datos_originales!$E157</f>
        <v>8.9960852770120201E-3</v>
      </c>
      <c r="AX280" s="6">
        <f>Datos_originales!$X157/Datos_originales!$E157</f>
        <v>7.4319244363403819E-4</v>
      </c>
      <c r="AY280" s="6">
        <f>Datos_originales!$Y157/Datos_originales!$E157</f>
        <v>4.1480508481899809E-4</v>
      </c>
      <c r="AZ280" s="6">
        <f>Datos_originales!$Z157/Datos_originales!$E157</f>
        <v>7.6911776143522557E-4</v>
      </c>
      <c r="BA280" s="6">
        <f>Datos_originales!$AA157/Datos_originales!$E157</f>
        <v>7.8640130663601708E-4</v>
      </c>
      <c r="BB280" s="6">
        <f>Datos_originales!$AB157/Datos_originales!$E157</f>
        <v>2.6270988705203208E-3</v>
      </c>
      <c r="BC280" s="6">
        <f>Datos_originales!$AC157/Datos_originales!$E157</f>
        <v>6.2652851352869498E-3</v>
      </c>
      <c r="BD280" s="6">
        <f>Datos_originales!$AD157/Datos_originales!$E157</f>
        <v>7.7775953403562133E-5</v>
      </c>
      <c r="BE280" s="6">
        <f>Datos_originales!$AE157/Datos_originales!$E157</f>
        <v>3.4567090401583168E-5</v>
      </c>
      <c r="BF280" s="6">
        <f>Datos_originales!$AF157/Datos_originales!$E157</f>
        <v>9.5923675864393297E-4</v>
      </c>
      <c r="BG280" s="6">
        <f>Datos_originales!$AG157/Datos_originales!$E157</f>
        <v>1.4345342516657016E-3</v>
      </c>
    </row>
    <row r="281" spans="1:59" ht="15.75" customHeight="1">
      <c r="A281" s="2">
        <v>70801</v>
      </c>
      <c r="B281" s="3" t="s">
        <v>83</v>
      </c>
      <c r="C281" s="4" t="s">
        <v>216</v>
      </c>
      <c r="D281" s="4">
        <f>IF(Table_1[[#This Row],[Forest cover 2011]]&lt;1000,"Bosque menor a 1000 ha",Table_1[[#This Row],[Forest cover 2011]])</f>
        <v>269921.7</v>
      </c>
      <c r="E281" s="4">
        <v>269921.7</v>
      </c>
      <c r="F281" s="5">
        <f>AVERAGE(Datos_originales!$H158:$J158)</f>
        <v>0.77999999999999992</v>
      </c>
      <c r="G281" s="5">
        <f>AVERAGE(Datos_originales!$R158:$T158)</f>
        <v>1.3499999999999999</v>
      </c>
      <c r="H281" s="4">
        <v>537.21</v>
      </c>
      <c r="I281" s="4">
        <v>833.93999999999994</v>
      </c>
      <c r="J281" s="4">
        <v>548.37</v>
      </c>
      <c r="K281" s="4">
        <v>569.52</v>
      </c>
      <c r="L281" s="4">
        <v>669.51</v>
      </c>
      <c r="M281" s="4">
        <v>724.77</v>
      </c>
      <c r="N281" s="4">
        <v>696.15</v>
      </c>
      <c r="O281" s="4">
        <v>518.4</v>
      </c>
      <c r="P281" s="4">
        <v>999.09</v>
      </c>
      <c r="Q281" s="4">
        <v>1309.5899999999999</v>
      </c>
      <c r="R281" s="4">
        <v>486.72</v>
      </c>
      <c r="S281" s="4">
        <v>2434.23</v>
      </c>
      <c r="T281" s="4">
        <v>1093.23</v>
      </c>
      <c r="U281" s="4">
        <v>726.12</v>
      </c>
      <c r="V281" s="4">
        <v>1041.1199999999999</v>
      </c>
      <c r="W281" s="4">
        <v>1511.01</v>
      </c>
      <c r="X281" s="4">
        <v>707.04</v>
      </c>
      <c r="Y281" s="4">
        <v>789.48</v>
      </c>
      <c r="Z281" s="4">
        <v>842.67</v>
      </c>
      <c r="AA281" s="4">
        <v>820.08</v>
      </c>
      <c r="AB281" s="4">
        <v>816.66000000000008</v>
      </c>
      <c r="AC281" s="4">
        <v>1110.06</v>
      </c>
      <c r="AD281" s="4">
        <v>1590.39</v>
      </c>
      <c r="AE281" s="4">
        <v>670.68000000000006</v>
      </c>
      <c r="AF281" s="4">
        <v>2835.45</v>
      </c>
      <c r="AG281" s="4">
        <v>1157.76</v>
      </c>
      <c r="AH281" s="6">
        <f>Datos_originales!$H158/Datos_originales!$E158</f>
        <v>3.90625E-2</v>
      </c>
      <c r="AI281" s="6">
        <f>Datos_originales!$I158/Datos_originales!$E158</f>
        <v>6.25E-2</v>
      </c>
      <c r="AJ281" s="6">
        <f>Datos_originales!$J158/Datos_originales!$E158</f>
        <v>0</v>
      </c>
      <c r="AK281" s="6">
        <f>Datos_originales!$K158/Datos_originales!$E158</f>
        <v>6.25E-2</v>
      </c>
      <c r="AL281" s="6">
        <f>Datos_originales!$L158/Datos_originales!$E158</f>
        <v>4.296875E-2</v>
      </c>
      <c r="AM281" s="6">
        <f>Datos_originales!$M158/Datos_originales!$E158</f>
        <v>1.1718750000000002E-2</v>
      </c>
      <c r="AN281" s="6">
        <f>Datos_originales!$N158/Datos_originales!$E158</f>
        <v>2.734375E-2</v>
      </c>
      <c r="AO281" s="6">
        <f>Datos_originales!$O158/Datos_originales!$E158</f>
        <v>4.296875E-2</v>
      </c>
      <c r="AP281" s="6">
        <f>Datos_originales!$P158/Datos_originales!$E158</f>
        <v>6.640625E-2</v>
      </c>
      <c r="AQ281" s="6">
        <f>Datos_originales!$Q158/Datos_originales!$E158</f>
        <v>7.421875E-2</v>
      </c>
      <c r="AR281" s="6">
        <f>Datos_originales!$R158/Datos_originales!$E158</f>
        <v>8.984375E-2</v>
      </c>
      <c r="AS281" s="6">
        <f>Datos_originales!$S158/Datos_originales!$E158</f>
        <v>8.59375E-2</v>
      </c>
      <c r="AT281" s="6">
        <f>Datos_originales!$T158/Datos_originales!$E158</f>
        <v>0</v>
      </c>
      <c r="AU281" s="6">
        <f>Datos_originales!$U158/Datos_originales!$E158</f>
        <v>3.90625E-2</v>
      </c>
      <c r="AV281" s="6">
        <f>Datos_originales!$V158/Datos_originales!$E158</f>
        <v>6.25E-2</v>
      </c>
      <c r="AW281" s="6">
        <f>Datos_originales!$W158/Datos_originales!$E158</f>
        <v>0</v>
      </c>
      <c r="AX281" s="6">
        <f>Datos_originales!$X158/Datos_originales!$E158</f>
        <v>7.0312500000000014E-2</v>
      </c>
      <c r="AY281" s="6">
        <f>Datos_originales!$Y158/Datos_originales!$E158</f>
        <v>4.296875E-2</v>
      </c>
      <c r="AZ281" s="6">
        <f>Datos_originales!$Z158/Datos_originales!$E158</f>
        <v>1.1718750000000002E-2</v>
      </c>
      <c r="BA281" s="6">
        <f>Datos_originales!$AA158/Datos_originales!$E158</f>
        <v>3.5156250000000007E-2</v>
      </c>
      <c r="BB281" s="6">
        <f>Datos_originales!$AB158/Datos_originales!$E158</f>
        <v>4.296875E-2</v>
      </c>
      <c r="BC281" s="6">
        <f>Datos_originales!$AC158/Datos_originales!$E158</f>
        <v>6.640625E-2</v>
      </c>
      <c r="BD281" s="6">
        <f>Datos_originales!$AD158/Datos_originales!$E158</f>
        <v>7.421875E-2</v>
      </c>
      <c r="BE281" s="6">
        <f>Datos_originales!$AE158/Datos_originales!$E158</f>
        <v>8.984375E-2</v>
      </c>
      <c r="BF281" s="6">
        <f>Datos_originales!$AF158/Datos_originales!$E158</f>
        <v>0.1484375</v>
      </c>
      <c r="BG281" s="6">
        <f>Datos_originales!$AG158/Datos_originales!$E158</f>
        <v>0</v>
      </c>
    </row>
    <row r="282" spans="1:59" ht="15.75" customHeight="1">
      <c r="A282" s="2">
        <v>70802</v>
      </c>
      <c r="B282" s="3" t="s">
        <v>83</v>
      </c>
      <c r="C282" s="4" t="s">
        <v>247</v>
      </c>
      <c r="D282" s="4">
        <f>IF(Table_1[[#This Row],[Forest cover 2011]]&lt;1000,"Bosque menor a 1000 ha",Table_1[[#This Row],[Forest cover 2011]])</f>
        <v>24363.9</v>
      </c>
      <c r="E282" s="4">
        <v>24363.9</v>
      </c>
      <c r="F282" s="5">
        <f>AVERAGE(Datos_originales!$H190:$J190)</f>
        <v>0</v>
      </c>
      <c r="G282" s="5">
        <f>AVERAGE(Datos_originales!$R190:$T190)</f>
        <v>0</v>
      </c>
      <c r="H282" s="4">
        <v>59.67</v>
      </c>
      <c r="I282" s="4">
        <v>74.34</v>
      </c>
      <c r="J282" s="4">
        <v>49.59</v>
      </c>
      <c r="K282" s="4">
        <v>59.67</v>
      </c>
      <c r="L282" s="4">
        <v>109.62</v>
      </c>
      <c r="M282" s="4">
        <v>101.79</v>
      </c>
      <c r="N282" s="4">
        <v>69.209999999999994</v>
      </c>
      <c r="O282" s="4">
        <v>52.92</v>
      </c>
      <c r="P282" s="4">
        <v>34.65</v>
      </c>
      <c r="Q282" s="4">
        <v>37.53</v>
      </c>
      <c r="R282" s="4">
        <v>125.64</v>
      </c>
      <c r="S282" s="4">
        <v>239.85</v>
      </c>
      <c r="T282" s="4">
        <v>47.52</v>
      </c>
      <c r="U282" s="4">
        <v>108.81</v>
      </c>
      <c r="V282" s="4">
        <v>111.96</v>
      </c>
      <c r="W282" s="4">
        <v>193.05</v>
      </c>
      <c r="X282" s="4">
        <v>85.59</v>
      </c>
      <c r="Y282" s="4">
        <v>123.12</v>
      </c>
      <c r="Z282" s="4">
        <v>133.47</v>
      </c>
      <c r="AA282" s="4">
        <v>88.83</v>
      </c>
      <c r="AB282" s="4">
        <v>77.759999999999991</v>
      </c>
      <c r="AC282" s="4">
        <v>46.62</v>
      </c>
      <c r="AD282" s="4">
        <v>63.09</v>
      </c>
      <c r="AE282" s="4">
        <v>157.77000000000001</v>
      </c>
      <c r="AF282" s="4">
        <v>269.27999999999997</v>
      </c>
      <c r="AG282" s="4">
        <v>48.69</v>
      </c>
      <c r="AH282" s="6" t="e">
        <f>Datos_originales!$H190/Datos_originales!$E190</f>
        <v>#DIV/0!</v>
      </c>
      <c r="AI282" s="6" t="e">
        <f>Datos_originales!$I190/Datos_originales!$E190</f>
        <v>#DIV/0!</v>
      </c>
      <c r="AJ282" s="6" t="e">
        <f>Datos_originales!$J190/Datos_originales!$E190</f>
        <v>#DIV/0!</v>
      </c>
      <c r="AK282" s="6" t="e">
        <f>Datos_originales!$K190/Datos_originales!$E190</f>
        <v>#DIV/0!</v>
      </c>
      <c r="AL282" s="6" t="e">
        <f>Datos_originales!$L190/Datos_originales!$E190</f>
        <v>#DIV/0!</v>
      </c>
      <c r="AM282" s="6" t="e">
        <f>Datos_originales!$M190/Datos_originales!$E190</f>
        <v>#DIV/0!</v>
      </c>
      <c r="AN282" s="6" t="e">
        <f>Datos_originales!$N190/Datos_originales!$E190</f>
        <v>#DIV/0!</v>
      </c>
      <c r="AO282" s="6" t="e">
        <f>Datos_originales!$O190/Datos_originales!$E190</f>
        <v>#DIV/0!</v>
      </c>
      <c r="AP282" s="6" t="e">
        <f>Datos_originales!$P190/Datos_originales!$E190</f>
        <v>#DIV/0!</v>
      </c>
      <c r="AQ282" s="6" t="e">
        <f>Datos_originales!$Q190/Datos_originales!$E190</f>
        <v>#DIV/0!</v>
      </c>
      <c r="AR282" s="6" t="e">
        <f>Datos_originales!$R190/Datos_originales!$E190</f>
        <v>#DIV/0!</v>
      </c>
      <c r="AS282" s="6" t="e">
        <f>Datos_originales!$S190/Datos_originales!$E190</f>
        <v>#DIV/0!</v>
      </c>
      <c r="AT282" s="6" t="e">
        <f>Datos_originales!$T190/Datos_originales!$E190</f>
        <v>#DIV/0!</v>
      </c>
      <c r="AU282" s="6" t="e">
        <f>Datos_originales!$U190/Datos_originales!$E190</f>
        <v>#DIV/0!</v>
      </c>
      <c r="AV282" s="6" t="e">
        <f>Datos_originales!$V190/Datos_originales!$E190</f>
        <v>#DIV/0!</v>
      </c>
      <c r="AW282" s="6" t="e">
        <f>Datos_originales!$W190/Datos_originales!$E190</f>
        <v>#DIV/0!</v>
      </c>
      <c r="AX282" s="6" t="e">
        <f>Datos_originales!$X190/Datos_originales!$E190</f>
        <v>#DIV/0!</v>
      </c>
      <c r="AY282" s="6" t="e">
        <f>Datos_originales!$Y190/Datos_originales!$E190</f>
        <v>#DIV/0!</v>
      </c>
      <c r="AZ282" s="6" t="e">
        <f>Datos_originales!$Z190/Datos_originales!$E190</f>
        <v>#DIV/0!</v>
      </c>
      <c r="BA282" s="6" t="e">
        <f>Datos_originales!$AA190/Datos_originales!$E190</f>
        <v>#DIV/0!</v>
      </c>
      <c r="BB282" s="6" t="e">
        <f>Datos_originales!$AB190/Datos_originales!$E190</f>
        <v>#DIV/0!</v>
      </c>
      <c r="BC282" s="6" t="e">
        <f>Datos_originales!$AC190/Datos_originales!$E190</f>
        <v>#DIV/0!</v>
      </c>
      <c r="BD282" s="6" t="e">
        <f>Datos_originales!$AD190/Datos_originales!$E190</f>
        <v>#DIV/0!</v>
      </c>
      <c r="BE282" s="6" t="e">
        <f>Datos_originales!$AE190/Datos_originales!$E190</f>
        <v>#DIV/0!</v>
      </c>
      <c r="BF282" s="6" t="e">
        <f>Datos_originales!$AF190/Datos_originales!$E190</f>
        <v>#DIV/0!</v>
      </c>
      <c r="BG282" s="6" t="e">
        <f>Datos_originales!$AG190/Datos_originales!$E190</f>
        <v>#DIV/0!</v>
      </c>
    </row>
    <row r="283" spans="1:59" ht="15.75" customHeight="1">
      <c r="A283" s="2">
        <v>70803</v>
      </c>
      <c r="B283" s="3" t="s">
        <v>83</v>
      </c>
      <c r="C283" s="4" t="s">
        <v>240</v>
      </c>
      <c r="D283" s="4">
        <f>IF(Table_1[[#This Row],[Forest cover 2011]]&lt;1000,"Bosque menor a 1000 ha",Table_1[[#This Row],[Forest cover 2011]])</f>
        <v>40236.75</v>
      </c>
      <c r="E283" s="4">
        <v>40236.75</v>
      </c>
      <c r="F283" s="5">
        <f>AVERAGE(Datos_originales!$H183:$J183)</f>
        <v>0</v>
      </c>
      <c r="G283" s="5">
        <f>AVERAGE(Datos_originales!$R183:$T183)</f>
        <v>0</v>
      </c>
      <c r="H283" s="4">
        <v>27.27</v>
      </c>
      <c r="I283" s="4">
        <v>30.06</v>
      </c>
      <c r="J283" s="4">
        <v>32.94</v>
      </c>
      <c r="K283" s="4">
        <v>26.28</v>
      </c>
      <c r="L283" s="4">
        <v>39.69</v>
      </c>
      <c r="M283" s="4">
        <v>31.41</v>
      </c>
      <c r="N283" s="4">
        <v>45.09</v>
      </c>
      <c r="O283" s="4">
        <v>36.630000000000003</v>
      </c>
      <c r="P283" s="4">
        <v>44.19</v>
      </c>
      <c r="Q283" s="4">
        <v>47.61</v>
      </c>
      <c r="R283" s="4">
        <v>117</v>
      </c>
      <c r="S283" s="4">
        <v>412.2</v>
      </c>
      <c r="T283" s="4">
        <v>97.02</v>
      </c>
      <c r="U283" s="4">
        <v>46.26</v>
      </c>
      <c r="V283" s="4">
        <v>46.98</v>
      </c>
      <c r="W283" s="4">
        <v>928.43999999999994</v>
      </c>
      <c r="X283" s="4">
        <v>66.150000000000006</v>
      </c>
      <c r="Y283" s="4">
        <v>60.57</v>
      </c>
      <c r="Z283" s="4">
        <v>42.93</v>
      </c>
      <c r="AA283" s="4">
        <v>55.44</v>
      </c>
      <c r="AB283" s="4">
        <v>208.98</v>
      </c>
      <c r="AC283" s="4">
        <v>86.04</v>
      </c>
      <c r="AD283" s="4">
        <v>48.239999999999988</v>
      </c>
      <c r="AE283" s="4">
        <v>330.3</v>
      </c>
      <c r="AF283" s="4">
        <v>468.36</v>
      </c>
      <c r="AG283" s="4">
        <v>102.51</v>
      </c>
      <c r="AH283" s="6" t="e">
        <f>Datos_originales!$H183/Datos_originales!$E183</f>
        <v>#DIV/0!</v>
      </c>
      <c r="AI283" s="6" t="e">
        <f>Datos_originales!$I183/Datos_originales!$E183</f>
        <v>#DIV/0!</v>
      </c>
      <c r="AJ283" s="6" t="e">
        <f>Datos_originales!$J183/Datos_originales!$E183</f>
        <v>#DIV/0!</v>
      </c>
      <c r="AK283" s="6" t="e">
        <f>Datos_originales!$K183/Datos_originales!$E183</f>
        <v>#DIV/0!</v>
      </c>
      <c r="AL283" s="6" t="e">
        <f>Datos_originales!$L183/Datos_originales!$E183</f>
        <v>#DIV/0!</v>
      </c>
      <c r="AM283" s="6" t="e">
        <f>Datos_originales!$M183/Datos_originales!$E183</f>
        <v>#DIV/0!</v>
      </c>
      <c r="AN283" s="6" t="e">
        <f>Datos_originales!$N183/Datos_originales!$E183</f>
        <v>#DIV/0!</v>
      </c>
      <c r="AO283" s="6" t="e">
        <f>Datos_originales!$O183/Datos_originales!$E183</f>
        <v>#DIV/0!</v>
      </c>
      <c r="AP283" s="6" t="e">
        <f>Datos_originales!$P183/Datos_originales!$E183</f>
        <v>#DIV/0!</v>
      </c>
      <c r="AQ283" s="6" t="e">
        <f>Datos_originales!$Q183/Datos_originales!$E183</f>
        <v>#DIV/0!</v>
      </c>
      <c r="AR283" s="6" t="e">
        <f>Datos_originales!$R183/Datos_originales!$E183</f>
        <v>#DIV/0!</v>
      </c>
      <c r="AS283" s="6" t="e">
        <f>Datos_originales!$S183/Datos_originales!$E183</f>
        <v>#DIV/0!</v>
      </c>
      <c r="AT283" s="6" t="e">
        <f>Datos_originales!$T183/Datos_originales!$E183</f>
        <v>#DIV/0!</v>
      </c>
      <c r="AU283" s="6" t="e">
        <f>Datos_originales!$U183/Datos_originales!$E183</f>
        <v>#DIV/0!</v>
      </c>
      <c r="AV283" s="6" t="e">
        <f>Datos_originales!$V183/Datos_originales!$E183</f>
        <v>#DIV/0!</v>
      </c>
      <c r="AW283" s="6" t="e">
        <f>Datos_originales!$W183/Datos_originales!$E183</f>
        <v>#DIV/0!</v>
      </c>
      <c r="AX283" s="6" t="e">
        <f>Datos_originales!$X183/Datos_originales!$E183</f>
        <v>#DIV/0!</v>
      </c>
      <c r="AY283" s="6" t="e">
        <f>Datos_originales!$Y183/Datos_originales!$E183</f>
        <v>#DIV/0!</v>
      </c>
      <c r="AZ283" s="6" t="e">
        <f>Datos_originales!$Z183/Datos_originales!$E183</f>
        <v>#DIV/0!</v>
      </c>
      <c r="BA283" s="6" t="e">
        <f>Datos_originales!$AA183/Datos_originales!$E183</f>
        <v>#DIV/0!</v>
      </c>
      <c r="BB283" s="6" t="e">
        <f>Datos_originales!$AB183/Datos_originales!$E183</f>
        <v>#DIV/0!</v>
      </c>
      <c r="BC283" s="6" t="e">
        <f>Datos_originales!$AC183/Datos_originales!$E183</f>
        <v>#DIV/0!</v>
      </c>
      <c r="BD283" s="6" t="e">
        <f>Datos_originales!$AD183/Datos_originales!$E183</f>
        <v>#DIV/0!</v>
      </c>
      <c r="BE283" s="6" t="e">
        <f>Datos_originales!$AE183/Datos_originales!$E183</f>
        <v>#DIV/0!</v>
      </c>
      <c r="BF283" s="6" t="e">
        <f>Datos_originales!$AF183/Datos_originales!$E183</f>
        <v>#DIV/0!</v>
      </c>
      <c r="BG283" s="6" t="e">
        <f>Datos_originales!$AG183/Datos_originales!$E183</f>
        <v>#DIV/0!</v>
      </c>
    </row>
    <row r="284" spans="1:59" ht="15.75" customHeight="1">
      <c r="A284" s="2">
        <v>70804</v>
      </c>
      <c r="B284" s="3" t="s">
        <v>83</v>
      </c>
      <c r="C284" s="4" t="s">
        <v>192</v>
      </c>
      <c r="D284" s="4">
        <f>IF(Table_1[[#This Row],[Forest cover 2011]]&lt;1000,"Bosque menor a 1000 ha",Table_1[[#This Row],[Forest cover 2011]])</f>
        <v>102421.89</v>
      </c>
      <c r="E284" s="4">
        <v>102421.89</v>
      </c>
      <c r="F284" s="5">
        <f>AVERAGE(Datos_originales!$H132:$J132)</f>
        <v>0</v>
      </c>
      <c r="G284" s="5">
        <f>AVERAGE(Datos_originales!$R132:$T132)</f>
        <v>0.36000000000000004</v>
      </c>
      <c r="H284" s="4">
        <v>290.52</v>
      </c>
      <c r="I284" s="4">
        <v>333.99</v>
      </c>
      <c r="J284" s="4">
        <v>237.96</v>
      </c>
      <c r="K284" s="4">
        <v>134.55000000000001</v>
      </c>
      <c r="L284" s="4">
        <v>287.27999999999997</v>
      </c>
      <c r="M284" s="4">
        <v>300.77999999999997</v>
      </c>
      <c r="N284" s="4">
        <v>266.31</v>
      </c>
      <c r="O284" s="4">
        <v>221.04</v>
      </c>
      <c r="P284" s="4">
        <v>299.07</v>
      </c>
      <c r="Q284" s="4">
        <v>623.34</v>
      </c>
      <c r="R284" s="4">
        <v>145.16999999999999</v>
      </c>
      <c r="S284" s="4">
        <v>567.63</v>
      </c>
      <c r="T284" s="4">
        <v>663.48</v>
      </c>
      <c r="U284" s="4">
        <v>317.16000000000003</v>
      </c>
      <c r="V284" s="4">
        <v>358.92</v>
      </c>
      <c r="W284" s="4">
        <v>362.34</v>
      </c>
      <c r="X284" s="4">
        <v>150.93</v>
      </c>
      <c r="Y284" s="4">
        <v>308.97000000000003</v>
      </c>
      <c r="Z284" s="4">
        <v>318.95999999999998</v>
      </c>
      <c r="AA284" s="4">
        <v>286.2</v>
      </c>
      <c r="AB284" s="4">
        <v>254.16</v>
      </c>
      <c r="AC284" s="4">
        <v>322.56</v>
      </c>
      <c r="AD284" s="4">
        <v>692.81999999999994</v>
      </c>
      <c r="AE284" s="4">
        <v>147.87</v>
      </c>
      <c r="AF284" s="4">
        <v>622.17000000000007</v>
      </c>
      <c r="AG284" s="4">
        <v>679.77</v>
      </c>
      <c r="AH284" s="6">
        <f>Datos_originales!$H132/Datos_originales!$E132</f>
        <v>0</v>
      </c>
      <c r="AI284" s="6">
        <f>Datos_originales!$I132/Datos_originales!$E132</f>
        <v>0</v>
      </c>
      <c r="AJ284" s="6">
        <f>Datos_originales!$J132/Datos_originales!$E132</f>
        <v>0</v>
      </c>
      <c r="AK284" s="6">
        <f>Datos_originales!$K132/Datos_originales!$E132</f>
        <v>0</v>
      </c>
      <c r="AL284" s="6">
        <f>Datos_originales!$L132/Datos_originales!$E132</f>
        <v>0</v>
      </c>
      <c r="AM284" s="6">
        <f>Datos_originales!$M132/Datos_originales!$E132</f>
        <v>0</v>
      </c>
      <c r="AN284" s="6">
        <f>Datos_originales!$N132/Datos_originales!$E132</f>
        <v>0</v>
      </c>
      <c r="AO284" s="6">
        <f>Datos_originales!$O132/Datos_originales!$E132</f>
        <v>0</v>
      </c>
      <c r="AP284" s="6">
        <f>Datos_originales!$P132/Datos_originales!$E132</f>
        <v>0</v>
      </c>
      <c r="AQ284" s="6">
        <f>Datos_originales!$Q132/Datos_originales!$E132</f>
        <v>0</v>
      </c>
      <c r="AR284" s="6">
        <f>Datos_originales!$R132/Datos_originales!$E132</f>
        <v>0</v>
      </c>
      <c r="AS284" s="6">
        <f>Datos_originales!$S132/Datos_originales!$E132</f>
        <v>1.3015184381778745E-2</v>
      </c>
      <c r="AT284" s="6">
        <f>Datos_originales!$T132/Datos_originales!$E132</f>
        <v>0</v>
      </c>
      <c r="AU284" s="6">
        <f>Datos_originales!$U132/Datos_originales!$E132</f>
        <v>4.3383947939262474E-3</v>
      </c>
      <c r="AV284" s="6">
        <f>Datos_originales!$V132/Datos_originales!$E132</f>
        <v>2.1691973969631237E-3</v>
      </c>
      <c r="AW284" s="6">
        <f>Datos_originales!$W132/Datos_originales!$E132</f>
        <v>1.5184381778741868E-2</v>
      </c>
      <c r="AX284" s="6">
        <f>Datos_originales!$X132/Datos_originales!$E132</f>
        <v>5.4229934924078099E-3</v>
      </c>
      <c r="AY284" s="6">
        <f>Datos_originales!$Y132/Datos_originales!$E132</f>
        <v>6.5075921908893724E-3</v>
      </c>
      <c r="AZ284" s="6">
        <f>Datos_originales!$Z132/Datos_originales!$E132</f>
        <v>1.9522776572668116E-2</v>
      </c>
      <c r="BA284" s="6">
        <f>Datos_originales!$AA132/Datos_originales!$E132</f>
        <v>6.5075921908893719E-2</v>
      </c>
      <c r="BB284" s="6">
        <f>Datos_originales!$AB132/Datos_originales!$E132</f>
        <v>6.5075921908893724E-3</v>
      </c>
      <c r="BC284" s="6">
        <f>Datos_originales!$AC132/Datos_originales!$E132</f>
        <v>6.5075921908893724E-3</v>
      </c>
      <c r="BD284" s="6">
        <f>Datos_originales!$AD132/Datos_originales!$E132</f>
        <v>1.0845986984815619E-3</v>
      </c>
      <c r="BE284" s="6">
        <f>Datos_originales!$AE132/Datos_originales!$E132</f>
        <v>1.0845986984815619E-3</v>
      </c>
      <c r="BF284" s="6">
        <f>Datos_originales!$AF132/Datos_originales!$E132</f>
        <v>3.0368763557483736E-2</v>
      </c>
      <c r="BG284" s="6">
        <f>Datos_originales!$AG132/Datos_originales!$E132</f>
        <v>0</v>
      </c>
    </row>
    <row r="285" spans="1:59" ht="15.75" customHeight="1">
      <c r="A285" s="2">
        <v>70805</v>
      </c>
      <c r="B285" s="3" t="s">
        <v>83</v>
      </c>
      <c r="C285" s="4" t="s">
        <v>212</v>
      </c>
      <c r="D285" s="4">
        <f>IF(Table_1[[#This Row],[Forest cover 2011]]&lt;1000,"Bosque menor a 1000 ha",Table_1[[#This Row],[Forest cover 2011]])</f>
        <v>44864.639999999999</v>
      </c>
      <c r="E285" s="4">
        <v>44864.639999999999</v>
      </c>
      <c r="F285" s="5">
        <f>AVERAGE(Datos_originales!$H154:$J154)</f>
        <v>0.5099999999999999</v>
      </c>
      <c r="G285" s="5">
        <f>AVERAGE(Datos_originales!$R154:$T154)</f>
        <v>9.0599999999999987</v>
      </c>
      <c r="H285" s="4">
        <v>56.43</v>
      </c>
      <c r="I285" s="4">
        <v>64.17</v>
      </c>
      <c r="J285" s="4">
        <v>75.42</v>
      </c>
      <c r="K285" s="4">
        <v>58.41</v>
      </c>
      <c r="L285" s="4">
        <v>47.7</v>
      </c>
      <c r="M285" s="4">
        <v>69.75</v>
      </c>
      <c r="N285" s="4">
        <v>158.04</v>
      </c>
      <c r="O285" s="4">
        <v>97.74</v>
      </c>
      <c r="P285" s="4">
        <v>112.23</v>
      </c>
      <c r="Q285" s="4">
        <v>64.710000000000008</v>
      </c>
      <c r="R285" s="4">
        <v>134.72999999999999</v>
      </c>
      <c r="S285" s="4">
        <v>444.50999999999988</v>
      </c>
      <c r="T285" s="4">
        <v>192.24</v>
      </c>
      <c r="U285" s="4">
        <v>158.85</v>
      </c>
      <c r="V285" s="4">
        <v>183.69</v>
      </c>
      <c r="W285" s="4">
        <v>497.7</v>
      </c>
      <c r="X285" s="4">
        <v>108.36</v>
      </c>
      <c r="Y285" s="4">
        <v>95.039999999999992</v>
      </c>
      <c r="Z285" s="4">
        <v>107.82</v>
      </c>
      <c r="AA285" s="4">
        <v>203.67</v>
      </c>
      <c r="AB285" s="4">
        <v>198.27</v>
      </c>
      <c r="AC285" s="4">
        <v>166.86</v>
      </c>
      <c r="AD285" s="4">
        <v>181.8</v>
      </c>
      <c r="AE285" s="4">
        <v>213.3</v>
      </c>
      <c r="AF285" s="4">
        <v>541.98</v>
      </c>
      <c r="AG285" s="4">
        <v>199.53</v>
      </c>
      <c r="AH285" s="6">
        <f>Datos_originales!$H154/Datos_originales!$E154</f>
        <v>5.4642637153019252E-5</v>
      </c>
      <c r="AI285" s="6">
        <f>Datos_originales!$I154/Datos_originales!$E154</f>
        <v>9.9350249369125903E-6</v>
      </c>
      <c r="AJ285" s="6">
        <f>Datos_originales!$J154/Datos_originales!$E154</f>
        <v>1.9870049873825181E-5</v>
      </c>
      <c r="AK285" s="6">
        <f>Datos_originales!$K154/Datos_originales!$E154</f>
        <v>4.9675124684562952E-6</v>
      </c>
      <c r="AL285" s="6">
        <f>Datos_originales!$L154/Datos_originales!$E154</f>
        <v>4.9675124684562952E-6</v>
      </c>
      <c r="AM285" s="6">
        <f>Datos_originales!$M154/Datos_originales!$E154</f>
        <v>1.3909034911677628E-4</v>
      </c>
      <c r="AN285" s="6">
        <f>Datos_originales!$N154/Datos_originales!$E154</f>
        <v>0</v>
      </c>
      <c r="AO285" s="6">
        <f>Datos_originales!$O154/Datos_originales!$E154</f>
        <v>3.9740099747650361E-5</v>
      </c>
      <c r="AP285" s="6">
        <f>Datos_originales!$P154/Datos_originales!$E154</f>
        <v>2.0366801120670812E-4</v>
      </c>
      <c r="AQ285" s="6">
        <f>Datos_originales!$Q154/Datos_originales!$E154</f>
        <v>9.9350249369125903E-6</v>
      </c>
      <c r="AR285" s="6">
        <f>Datos_originales!$R154/Datos_originales!$E154</f>
        <v>1.8876547380133923E-4</v>
      </c>
      <c r="AS285" s="6">
        <f>Datos_originales!$S154/Datos_originales!$E154</f>
        <v>9.2395731913287084E-4</v>
      </c>
      <c r="AT285" s="6">
        <f>Datos_originales!$T154/Datos_originales!$E154</f>
        <v>3.8746597253959105E-4</v>
      </c>
      <c r="AU285" s="6">
        <f>Datos_originales!$U154/Datos_originales!$E154</f>
        <v>1.1176903054026664E-3</v>
      </c>
      <c r="AV285" s="6">
        <f>Datos_originales!$V154/Datos_originales!$E154</f>
        <v>1.480318715599976E-3</v>
      </c>
      <c r="AW285" s="6">
        <f>Datos_originales!$W154/Datos_originales!$E154</f>
        <v>1.3586146601227969E-2</v>
      </c>
      <c r="AX285" s="6">
        <f>Datos_originales!$X154/Datos_originales!$E154</f>
        <v>1.6045065273113835E-3</v>
      </c>
      <c r="AY285" s="6">
        <f>Datos_originales!$Y154/Datos_originales!$E154</f>
        <v>6.4080910843086205E-4</v>
      </c>
      <c r="AZ285" s="6">
        <f>Datos_originales!$Z154/Datos_originales!$E154</f>
        <v>2.7321318576509625E-3</v>
      </c>
      <c r="BA285" s="6">
        <f>Datos_originales!$AA154/Datos_originales!$E154</f>
        <v>4.5105013213583159E-3</v>
      </c>
      <c r="BB285" s="6">
        <f>Datos_originales!$AB154/Datos_originales!$E154</f>
        <v>6.7210443698213678E-3</v>
      </c>
      <c r="BC285" s="6">
        <f>Datos_originales!$AC154/Datos_originales!$E154</f>
        <v>6.8104595942535808E-3</v>
      </c>
      <c r="BD285" s="6">
        <f>Datos_originales!$AD154/Datos_originales!$E154</f>
        <v>1.092852743060385E-4</v>
      </c>
      <c r="BE285" s="6">
        <f>Datos_originales!$AE154/Datos_originales!$E154</f>
        <v>4.5701114709797915E-4</v>
      </c>
      <c r="BF285" s="6">
        <f>Datos_originales!$AF154/Datos_originales!$E154</f>
        <v>3.7107318139368529E-3</v>
      </c>
      <c r="BG285" s="6">
        <f>Datos_originales!$AG154/Datos_originales!$E154</f>
        <v>4.6694617203489185E-4</v>
      </c>
    </row>
    <row r="286" spans="1:59" ht="15.75" customHeight="1">
      <c r="A286" s="2">
        <v>70901</v>
      </c>
      <c r="B286" s="3" t="s">
        <v>83</v>
      </c>
      <c r="C286" s="4" t="s">
        <v>235</v>
      </c>
      <c r="D286" s="4">
        <f>IF(Table_1[[#This Row],[Forest cover 2011]]&lt;1000,"Bosque menor a 1000 ha",Table_1[[#This Row],[Forest cover 2011]])</f>
        <v>167194.07999999999</v>
      </c>
      <c r="E286" s="4">
        <v>167194.07999999999</v>
      </c>
      <c r="F286" s="5">
        <f>AVERAGE(Datos_originales!$H177:$J177)</f>
        <v>0</v>
      </c>
      <c r="G286" s="5">
        <f>AVERAGE(Datos_originales!$R177:$T177)</f>
        <v>0</v>
      </c>
      <c r="H286" s="4">
        <v>221.85</v>
      </c>
      <c r="I286" s="4">
        <v>360.09</v>
      </c>
      <c r="J286" s="4">
        <v>238.68</v>
      </c>
      <c r="K286" s="4">
        <v>301.5</v>
      </c>
      <c r="L286" s="4">
        <v>314.55</v>
      </c>
      <c r="M286" s="4">
        <v>339.12</v>
      </c>
      <c r="N286" s="4">
        <v>355.59</v>
      </c>
      <c r="O286" s="4">
        <v>197.46</v>
      </c>
      <c r="P286" s="4">
        <v>277.92</v>
      </c>
      <c r="Q286" s="4">
        <v>382.41</v>
      </c>
      <c r="R286" s="4">
        <v>360</v>
      </c>
      <c r="S286" s="4">
        <v>519.48</v>
      </c>
      <c r="T286" s="4">
        <v>437.94</v>
      </c>
      <c r="U286" s="4">
        <v>352.62</v>
      </c>
      <c r="V286" s="4">
        <v>480.87</v>
      </c>
      <c r="W286" s="4">
        <v>530.19000000000005</v>
      </c>
      <c r="X286" s="4">
        <v>388.62</v>
      </c>
      <c r="Y286" s="4">
        <v>415.98</v>
      </c>
      <c r="Z286" s="4">
        <v>449.37</v>
      </c>
      <c r="AA286" s="4">
        <v>420.39</v>
      </c>
      <c r="AB286" s="4">
        <v>287.55</v>
      </c>
      <c r="AC286" s="4">
        <v>354.87</v>
      </c>
      <c r="AD286" s="4">
        <v>522.45000000000005</v>
      </c>
      <c r="AE286" s="4">
        <v>393.48</v>
      </c>
      <c r="AF286" s="4">
        <v>662.4</v>
      </c>
      <c r="AG286" s="4">
        <v>457.65</v>
      </c>
      <c r="AH286" s="6" t="e">
        <f>Datos_originales!$H177/Datos_originales!$E177</f>
        <v>#DIV/0!</v>
      </c>
      <c r="AI286" s="6" t="e">
        <f>Datos_originales!$I177/Datos_originales!$E177</f>
        <v>#DIV/0!</v>
      </c>
      <c r="AJ286" s="6" t="e">
        <f>Datos_originales!$J177/Datos_originales!$E177</f>
        <v>#DIV/0!</v>
      </c>
      <c r="AK286" s="6" t="e">
        <f>Datos_originales!$K177/Datos_originales!$E177</f>
        <v>#DIV/0!</v>
      </c>
      <c r="AL286" s="6" t="e">
        <f>Datos_originales!$L177/Datos_originales!$E177</f>
        <v>#DIV/0!</v>
      </c>
      <c r="AM286" s="6" t="e">
        <f>Datos_originales!$M177/Datos_originales!$E177</f>
        <v>#DIV/0!</v>
      </c>
      <c r="AN286" s="6" t="e">
        <f>Datos_originales!$N177/Datos_originales!$E177</f>
        <v>#DIV/0!</v>
      </c>
      <c r="AO286" s="6" t="e">
        <f>Datos_originales!$O177/Datos_originales!$E177</f>
        <v>#DIV/0!</v>
      </c>
      <c r="AP286" s="6" t="e">
        <f>Datos_originales!$P177/Datos_originales!$E177</f>
        <v>#DIV/0!</v>
      </c>
      <c r="AQ286" s="6" t="e">
        <f>Datos_originales!$Q177/Datos_originales!$E177</f>
        <v>#DIV/0!</v>
      </c>
      <c r="AR286" s="6" t="e">
        <f>Datos_originales!$R177/Datos_originales!$E177</f>
        <v>#DIV/0!</v>
      </c>
      <c r="AS286" s="6" t="e">
        <f>Datos_originales!$S177/Datos_originales!$E177</f>
        <v>#DIV/0!</v>
      </c>
      <c r="AT286" s="6" t="e">
        <f>Datos_originales!$T177/Datos_originales!$E177</f>
        <v>#DIV/0!</v>
      </c>
      <c r="AU286" s="6" t="e">
        <f>Datos_originales!$U177/Datos_originales!$E177</f>
        <v>#DIV/0!</v>
      </c>
      <c r="AV286" s="6" t="e">
        <f>Datos_originales!$V177/Datos_originales!$E177</f>
        <v>#DIV/0!</v>
      </c>
      <c r="AW286" s="6" t="e">
        <f>Datos_originales!$W177/Datos_originales!$E177</f>
        <v>#DIV/0!</v>
      </c>
      <c r="AX286" s="6" t="e">
        <f>Datos_originales!$X177/Datos_originales!$E177</f>
        <v>#DIV/0!</v>
      </c>
      <c r="AY286" s="6" t="e">
        <f>Datos_originales!$Y177/Datos_originales!$E177</f>
        <v>#DIV/0!</v>
      </c>
      <c r="AZ286" s="6" t="e">
        <f>Datos_originales!$Z177/Datos_originales!$E177</f>
        <v>#DIV/0!</v>
      </c>
      <c r="BA286" s="6" t="e">
        <f>Datos_originales!$AA177/Datos_originales!$E177</f>
        <v>#DIV/0!</v>
      </c>
      <c r="BB286" s="6" t="e">
        <f>Datos_originales!$AB177/Datos_originales!$E177</f>
        <v>#DIV/0!</v>
      </c>
      <c r="BC286" s="6" t="e">
        <f>Datos_originales!$AC177/Datos_originales!$E177</f>
        <v>#DIV/0!</v>
      </c>
      <c r="BD286" s="6" t="e">
        <f>Datos_originales!$AD177/Datos_originales!$E177</f>
        <v>#DIV/0!</v>
      </c>
      <c r="BE286" s="6" t="e">
        <f>Datos_originales!$AE177/Datos_originales!$E177</f>
        <v>#DIV/0!</v>
      </c>
      <c r="BF286" s="6" t="e">
        <f>Datos_originales!$AF177/Datos_originales!$E177</f>
        <v>#DIV/0!</v>
      </c>
      <c r="BG286" s="6" t="e">
        <f>Datos_originales!$AG177/Datos_originales!$E177</f>
        <v>#DIV/0!</v>
      </c>
    </row>
    <row r="287" spans="1:59" ht="15.75" customHeight="1">
      <c r="A287" s="2">
        <v>70902</v>
      </c>
      <c r="B287" s="3" t="s">
        <v>83</v>
      </c>
      <c r="C287" s="4" t="s">
        <v>196</v>
      </c>
      <c r="D287" s="4">
        <f>IF(Table_1[[#This Row],[Forest cover 2011]]&lt;1000,"Bosque menor a 1000 ha",Table_1[[#This Row],[Forest cover 2011]])</f>
        <v>75895.11</v>
      </c>
      <c r="E287" s="4">
        <v>75895.11</v>
      </c>
      <c r="F287" s="5">
        <f>AVERAGE(Datos_originales!$H136:$J136)</f>
        <v>0</v>
      </c>
      <c r="G287" s="5">
        <f>AVERAGE(Datos_originales!$R136:$T136)</f>
        <v>0</v>
      </c>
      <c r="H287" s="4">
        <v>362.16</v>
      </c>
      <c r="I287" s="4">
        <v>264.51</v>
      </c>
      <c r="J287" s="4">
        <v>271.89</v>
      </c>
      <c r="K287" s="4">
        <v>132.66</v>
      </c>
      <c r="L287" s="4">
        <v>234.72</v>
      </c>
      <c r="M287" s="4">
        <v>227.97</v>
      </c>
      <c r="N287" s="4">
        <v>312.75</v>
      </c>
      <c r="O287" s="4">
        <v>232.92</v>
      </c>
      <c r="P287" s="4">
        <v>273.95999999999998</v>
      </c>
      <c r="Q287" s="4">
        <v>329.49</v>
      </c>
      <c r="R287" s="4">
        <v>263.25</v>
      </c>
      <c r="S287" s="4">
        <v>579.41999999999996</v>
      </c>
      <c r="T287" s="4">
        <v>452.07</v>
      </c>
      <c r="U287" s="4">
        <v>474.48</v>
      </c>
      <c r="V287" s="4">
        <v>352.8</v>
      </c>
      <c r="W287" s="4">
        <v>671.49</v>
      </c>
      <c r="X287" s="4">
        <v>184.14</v>
      </c>
      <c r="Y287" s="4">
        <v>298.98</v>
      </c>
      <c r="Z287" s="4">
        <v>294.93</v>
      </c>
      <c r="AA287" s="4">
        <v>340.2</v>
      </c>
      <c r="AB287" s="4">
        <v>285.66000000000003</v>
      </c>
      <c r="AC287" s="4">
        <v>311.22000000000003</v>
      </c>
      <c r="AD287" s="4">
        <v>446.76</v>
      </c>
      <c r="AE287" s="4">
        <v>284.04000000000002</v>
      </c>
      <c r="AF287" s="4">
        <v>616.59</v>
      </c>
      <c r="AG287" s="4">
        <v>461.25</v>
      </c>
      <c r="AH287" s="6" t="e">
        <f>Datos_originales!$H136/Datos_originales!$E136</f>
        <v>#DIV/0!</v>
      </c>
      <c r="AI287" s="6" t="e">
        <f>Datos_originales!$I136/Datos_originales!$E136</f>
        <v>#DIV/0!</v>
      </c>
      <c r="AJ287" s="6" t="e">
        <f>Datos_originales!$J136/Datos_originales!$E136</f>
        <v>#DIV/0!</v>
      </c>
      <c r="AK287" s="6" t="e">
        <f>Datos_originales!$K136/Datos_originales!$E136</f>
        <v>#DIV/0!</v>
      </c>
      <c r="AL287" s="6" t="e">
        <f>Datos_originales!$L136/Datos_originales!$E136</f>
        <v>#DIV/0!</v>
      </c>
      <c r="AM287" s="6" t="e">
        <f>Datos_originales!$M136/Datos_originales!$E136</f>
        <v>#DIV/0!</v>
      </c>
      <c r="AN287" s="6" t="e">
        <f>Datos_originales!$N136/Datos_originales!$E136</f>
        <v>#DIV/0!</v>
      </c>
      <c r="AO287" s="6" t="e">
        <f>Datos_originales!$O136/Datos_originales!$E136</f>
        <v>#DIV/0!</v>
      </c>
      <c r="AP287" s="6" t="e">
        <f>Datos_originales!$P136/Datos_originales!$E136</f>
        <v>#DIV/0!</v>
      </c>
      <c r="AQ287" s="6" t="e">
        <f>Datos_originales!$Q136/Datos_originales!$E136</f>
        <v>#DIV/0!</v>
      </c>
      <c r="AR287" s="6" t="e">
        <f>Datos_originales!$R136/Datos_originales!$E136</f>
        <v>#DIV/0!</v>
      </c>
      <c r="AS287" s="6" t="e">
        <f>Datos_originales!$S136/Datos_originales!$E136</f>
        <v>#DIV/0!</v>
      </c>
      <c r="AT287" s="6" t="e">
        <f>Datos_originales!$T136/Datos_originales!$E136</f>
        <v>#DIV/0!</v>
      </c>
      <c r="AU287" s="6" t="e">
        <f>Datos_originales!$U136/Datos_originales!$E136</f>
        <v>#DIV/0!</v>
      </c>
      <c r="AV287" s="6" t="e">
        <f>Datos_originales!$V136/Datos_originales!$E136</f>
        <v>#DIV/0!</v>
      </c>
      <c r="AW287" s="6" t="e">
        <f>Datos_originales!$W136/Datos_originales!$E136</f>
        <v>#DIV/0!</v>
      </c>
      <c r="AX287" s="6" t="e">
        <f>Datos_originales!$X136/Datos_originales!$E136</f>
        <v>#DIV/0!</v>
      </c>
      <c r="AY287" s="6" t="e">
        <f>Datos_originales!$Y136/Datos_originales!$E136</f>
        <v>#DIV/0!</v>
      </c>
      <c r="AZ287" s="6" t="e">
        <f>Datos_originales!$Z136/Datos_originales!$E136</f>
        <v>#DIV/0!</v>
      </c>
      <c r="BA287" s="6" t="e">
        <f>Datos_originales!$AA136/Datos_originales!$E136</f>
        <v>#DIV/0!</v>
      </c>
      <c r="BB287" s="6" t="e">
        <f>Datos_originales!$AB136/Datos_originales!$E136</f>
        <v>#DIV/0!</v>
      </c>
      <c r="BC287" s="6" t="e">
        <f>Datos_originales!$AC136/Datos_originales!$E136</f>
        <v>#DIV/0!</v>
      </c>
      <c r="BD287" s="6" t="e">
        <f>Datos_originales!$AD136/Datos_originales!$E136</f>
        <v>#DIV/0!</v>
      </c>
      <c r="BE287" s="6" t="e">
        <f>Datos_originales!$AE136/Datos_originales!$E136</f>
        <v>#DIV/0!</v>
      </c>
      <c r="BF287" s="6" t="e">
        <f>Datos_originales!$AF136/Datos_originales!$E136</f>
        <v>#DIV/0!</v>
      </c>
      <c r="BG287" s="6" t="e">
        <f>Datos_originales!$AG136/Datos_originales!$E136</f>
        <v>#DIV/0!</v>
      </c>
    </row>
    <row r="288" spans="1:59" ht="15.75" customHeight="1">
      <c r="A288" s="2">
        <v>70903</v>
      </c>
      <c r="B288" s="3" t="s">
        <v>83</v>
      </c>
      <c r="C288" s="4" t="s">
        <v>187</v>
      </c>
      <c r="D288" s="4">
        <f>IF(Table_1[[#This Row],[Forest cover 2011]]&lt;1000,"Bosque menor a 1000 ha",Table_1[[#This Row],[Forest cover 2011]])</f>
        <v>64372.41</v>
      </c>
      <c r="E288" s="4">
        <v>64372.41</v>
      </c>
      <c r="F288" s="5">
        <f>AVERAGE(Datos_originales!$H127:$J127)</f>
        <v>0.03</v>
      </c>
      <c r="G288" s="5">
        <f>AVERAGE(Datos_originales!$R127:$T127)</f>
        <v>4.5</v>
      </c>
      <c r="H288" s="4">
        <v>298.89</v>
      </c>
      <c r="I288" s="4">
        <v>153.36000000000001</v>
      </c>
      <c r="J288" s="4">
        <v>223.47</v>
      </c>
      <c r="K288" s="4">
        <v>203.4</v>
      </c>
      <c r="L288" s="4">
        <v>323.10000000000002</v>
      </c>
      <c r="M288" s="4">
        <v>365.58</v>
      </c>
      <c r="N288" s="4">
        <v>347.58</v>
      </c>
      <c r="O288" s="4">
        <v>212.94</v>
      </c>
      <c r="P288" s="4">
        <v>347.49</v>
      </c>
      <c r="Q288" s="4">
        <v>286.83</v>
      </c>
      <c r="R288" s="4">
        <v>229.32</v>
      </c>
      <c r="S288" s="4">
        <v>461.79</v>
      </c>
      <c r="T288" s="4">
        <v>453.42</v>
      </c>
      <c r="U288" s="4">
        <v>361.89</v>
      </c>
      <c r="V288" s="4">
        <v>200.43</v>
      </c>
      <c r="W288" s="4">
        <v>294.75</v>
      </c>
      <c r="X288" s="4">
        <v>259.64999999999998</v>
      </c>
      <c r="Y288" s="4">
        <v>402.12</v>
      </c>
      <c r="Z288" s="4">
        <v>437.22</v>
      </c>
      <c r="AA288" s="4">
        <v>384.03</v>
      </c>
      <c r="AB288" s="4">
        <v>276.93</v>
      </c>
      <c r="AC288" s="4">
        <v>393.39</v>
      </c>
      <c r="AD288" s="4">
        <v>354.96</v>
      </c>
      <c r="AE288" s="4">
        <v>234.81</v>
      </c>
      <c r="AF288" s="4">
        <v>477.18</v>
      </c>
      <c r="AG288" s="4">
        <v>458.18999999999988</v>
      </c>
      <c r="AH288" s="6">
        <f>Datos_originales!$H127/Datos_originales!$E127</f>
        <v>0</v>
      </c>
      <c r="AI288" s="6">
        <f>Datos_originales!$I127/Datos_originales!$E127</f>
        <v>1.2254901960784314E-3</v>
      </c>
      <c r="AJ288" s="6">
        <f>Datos_originales!$J127/Datos_originales!$E127</f>
        <v>0</v>
      </c>
      <c r="AK288" s="6">
        <f>Datos_originales!$K127/Datos_originales!$E127</f>
        <v>1.2254901960784314E-3</v>
      </c>
      <c r="AL288" s="6">
        <f>Datos_originales!$L127/Datos_originales!$E127</f>
        <v>1.2254901960784314E-3</v>
      </c>
      <c r="AM288" s="6">
        <f>Datos_originales!$M127/Datos_originales!$E127</f>
        <v>2.4509803921568627E-3</v>
      </c>
      <c r="AN288" s="6">
        <f>Datos_originales!$N127/Datos_originales!$E127</f>
        <v>7.352941176470589E-3</v>
      </c>
      <c r="AO288" s="6">
        <f>Datos_originales!$O127/Datos_originales!$E127</f>
        <v>0</v>
      </c>
      <c r="AP288" s="6">
        <f>Datos_originales!$P127/Datos_originales!$E127</f>
        <v>2.4509803921568627E-2</v>
      </c>
      <c r="AQ288" s="6">
        <f>Datos_originales!$Q127/Datos_originales!$E127</f>
        <v>6.7401960784313736E-2</v>
      </c>
      <c r="AR288" s="6">
        <f>Datos_originales!$R127/Datos_originales!$E127</f>
        <v>4.0441176470588237E-2</v>
      </c>
      <c r="AS288" s="6">
        <f>Datos_originales!$S127/Datos_originales!$E127</f>
        <v>0.13970588235294118</v>
      </c>
      <c r="AT288" s="6">
        <f>Datos_originales!$T127/Datos_originales!$E127</f>
        <v>3.6764705882352945E-3</v>
      </c>
      <c r="AU288" s="6">
        <f>Datos_originales!$U127/Datos_originales!$E127</f>
        <v>0</v>
      </c>
      <c r="AV288" s="6">
        <f>Datos_originales!$V127/Datos_originales!$E127</f>
        <v>1.2254901960784314E-3</v>
      </c>
      <c r="AW288" s="6">
        <f>Datos_originales!$W127/Datos_originales!$E127</f>
        <v>3.9215686274509803E-2</v>
      </c>
      <c r="AX288" s="6">
        <f>Datos_originales!$X127/Datos_originales!$E127</f>
        <v>6.1274509803921568E-3</v>
      </c>
      <c r="AY288" s="6">
        <f>Datos_originales!$Y127/Datos_originales!$E127</f>
        <v>1.2254901960784314E-3</v>
      </c>
      <c r="AZ288" s="6">
        <f>Datos_originales!$Z127/Datos_originales!$E127</f>
        <v>4.9019607843137254E-3</v>
      </c>
      <c r="BA288" s="6">
        <f>Datos_originales!$AA127/Datos_originales!$E127</f>
        <v>1.5931372549019607E-2</v>
      </c>
      <c r="BB288" s="6">
        <f>Datos_originales!$AB127/Datos_originales!$E127</f>
        <v>7.352941176470589E-3</v>
      </c>
      <c r="BC288" s="6">
        <f>Datos_originales!$AC127/Datos_originales!$E127</f>
        <v>2.5735294117647058E-2</v>
      </c>
      <c r="BD288" s="6">
        <f>Datos_originales!$AD127/Datos_originales!$E127</f>
        <v>6.8627450980392163E-2</v>
      </c>
      <c r="BE288" s="6">
        <f>Datos_originales!$AE127/Datos_originales!$E127</f>
        <v>4.0441176470588237E-2</v>
      </c>
      <c r="BF288" s="6">
        <f>Datos_originales!$AF127/Datos_originales!$E127</f>
        <v>0.14460784313725489</v>
      </c>
      <c r="BG288" s="6">
        <f>Datos_originales!$AG127/Datos_originales!$E127</f>
        <v>3.6764705882352945E-3</v>
      </c>
    </row>
    <row r="289" spans="1:59" ht="15.75" customHeight="1">
      <c r="A289" s="2">
        <v>70904</v>
      </c>
      <c r="B289" s="3" t="s">
        <v>83</v>
      </c>
      <c r="C289" s="4" t="s">
        <v>231</v>
      </c>
      <c r="D289" s="4">
        <f>IF(Table_1[[#This Row],[Forest cover 2011]]&lt;1000,"Bosque menor a 1000 ha",Table_1[[#This Row],[Forest cover 2011]])</f>
        <v>22582.71</v>
      </c>
      <c r="E289" s="4">
        <v>22582.71</v>
      </c>
      <c r="F289" s="5">
        <f>AVERAGE(Datos_originales!$H173:$J173)</f>
        <v>0</v>
      </c>
      <c r="G289" s="5">
        <f>AVERAGE(Datos_originales!$R173:$T173)</f>
        <v>0</v>
      </c>
      <c r="H289" s="4">
        <v>79.650000000000006</v>
      </c>
      <c r="I289" s="4">
        <v>79.289999999999992</v>
      </c>
      <c r="J289" s="4">
        <v>124.47</v>
      </c>
      <c r="K289" s="4">
        <v>38.79</v>
      </c>
      <c r="L289" s="4">
        <v>54.54</v>
      </c>
      <c r="M289" s="4">
        <v>50.669999999999987</v>
      </c>
      <c r="N289" s="4">
        <v>62.01</v>
      </c>
      <c r="O289" s="4">
        <v>238.23</v>
      </c>
      <c r="P289" s="4">
        <v>34.47</v>
      </c>
      <c r="Q289" s="4">
        <v>29.61</v>
      </c>
      <c r="R289" s="4">
        <v>146.61000000000001</v>
      </c>
      <c r="S289" s="4">
        <v>162.44999999999999</v>
      </c>
      <c r="T289" s="4">
        <v>70.92</v>
      </c>
      <c r="U289" s="4">
        <v>104.22</v>
      </c>
      <c r="V289" s="4">
        <v>96.66</v>
      </c>
      <c r="W289" s="4">
        <v>194.13</v>
      </c>
      <c r="X289" s="4">
        <v>53.28</v>
      </c>
      <c r="Y289" s="4">
        <v>74.34</v>
      </c>
      <c r="Z289" s="4">
        <v>71.37</v>
      </c>
      <c r="AA289" s="4">
        <v>77.040000000000006</v>
      </c>
      <c r="AB289" s="4">
        <v>246.69</v>
      </c>
      <c r="AC289" s="4">
        <v>44.1</v>
      </c>
      <c r="AD289" s="4">
        <v>61.739999999999988</v>
      </c>
      <c r="AE289" s="4">
        <v>151.47</v>
      </c>
      <c r="AF289" s="4">
        <v>171.72</v>
      </c>
      <c r="AG289" s="4">
        <v>71.28</v>
      </c>
      <c r="AH289" s="6" t="e">
        <f>Datos_originales!$H173/Datos_originales!$E173</f>
        <v>#DIV/0!</v>
      </c>
      <c r="AI289" s="6" t="e">
        <f>Datos_originales!$I173/Datos_originales!$E173</f>
        <v>#DIV/0!</v>
      </c>
      <c r="AJ289" s="6" t="e">
        <f>Datos_originales!$J173/Datos_originales!$E173</f>
        <v>#DIV/0!</v>
      </c>
      <c r="AK289" s="6" t="e">
        <f>Datos_originales!$K173/Datos_originales!$E173</f>
        <v>#DIV/0!</v>
      </c>
      <c r="AL289" s="6" t="e">
        <f>Datos_originales!$L173/Datos_originales!$E173</f>
        <v>#DIV/0!</v>
      </c>
      <c r="AM289" s="6" t="e">
        <f>Datos_originales!$M173/Datos_originales!$E173</f>
        <v>#DIV/0!</v>
      </c>
      <c r="AN289" s="6" t="e">
        <f>Datos_originales!$N173/Datos_originales!$E173</f>
        <v>#DIV/0!</v>
      </c>
      <c r="AO289" s="6" t="e">
        <f>Datos_originales!$O173/Datos_originales!$E173</f>
        <v>#DIV/0!</v>
      </c>
      <c r="AP289" s="6" t="e">
        <f>Datos_originales!$P173/Datos_originales!$E173</f>
        <v>#DIV/0!</v>
      </c>
      <c r="AQ289" s="6" t="e">
        <f>Datos_originales!$Q173/Datos_originales!$E173</f>
        <v>#DIV/0!</v>
      </c>
      <c r="AR289" s="6" t="e">
        <f>Datos_originales!$R173/Datos_originales!$E173</f>
        <v>#DIV/0!</v>
      </c>
      <c r="AS289" s="6" t="e">
        <f>Datos_originales!$S173/Datos_originales!$E173</f>
        <v>#DIV/0!</v>
      </c>
      <c r="AT289" s="6" t="e">
        <f>Datos_originales!$T173/Datos_originales!$E173</f>
        <v>#DIV/0!</v>
      </c>
      <c r="AU289" s="6" t="e">
        <f>Datos_originales!$U173/Datos_originales!$E173</f>
        <v>#DIV/0!</v>
      </c>
      <c r="AV289" s="6" t="e">
        <f>Datos_originales!$V173/Datos_originales!$E173</f>
        <v>#DIV/0!</v>
      </c>
      <c r="AW289" s="6" t="e">
        <f>Datos_originales!$W173/Datos_originales!$E173</f>
        <v>#DIV/0!</v>
      </c>
      <c r="AX289" s="6" t="e">
        <f>Datos_originales!$X173/Datos_originales!$E173</f>
        <v>#DIV/0!</v>
      </c>
      <c r="AY289" s="6" t="e">
        <f>Datos_originales!$Y173/Datos_originales!$E173</f>
        <v>#DIV/0!</v>
      </c>
      <c r="AZ289" s="6" t="e">
        <f>Datos_originales!$Z173/Datos_originales!$E173</f>
        <v>#DIV/0!</v>
      </c>
      <c r="BA289" s="6" t="e">
        <f>Datos_originales!$AA173/Datos_originales!$E173</f>
        <v>#DIV/0!</v>
      </c>
      <c r="BB289" s="6" t="e">
        <f>Datos_originales!$AB173/Datos_originales!$E173</f>
        <v>#DIV/0!</v>
      </c>
      <c r="BC289" s="6" t="e">
        <f>Datos_originales!$AC173/Datos_originales!$E173</f>
        <v>#DIV/0!</v>
      </c>
      <c r="BD289" s="6" t="e">
        <f>Datos_originales!$AD173/Datos_originales!$E173</f>
        <v>#DIV/0!</v>
      </c>
      <c r="BE289" s="6" t="e">
        <f>Datos_originales!$AE173/Datos_originales!$E173</f>
        <v>#DIV/0!</v>
      </c>
      <c r="BF289" s="6" t="e">
        <f>Datos_originales!$AF173/Datos_originales!$E173</f>
        <v>#DIV/0!</v>
      </c>
      <c r="BG289" s="6" t="e">
        <f>Datos_originales!$AG173/Datos_originales!$E173</f>
        <v>#DIV/0!</v>
      </c>
    </row>
    <row r="290" spans="1:59" ht="15.75" customHeight="1">
      <c r="A290" s="2">
        <v>71001</v>
      </c>
      <c r="B290" s="3" t="s">
        <v>83</v>
      </c>
      <c r="C290" s="4" t="s">
        <v>107</v>
      </c>
      <c r="D290" s="4">
        <f>IF(Table_1[[#This Row],[Forest cover 2011]]&lt;1000,"Bosque menor a 1000 ha",Table_1[[#This Row],[Forest cover 2011]])</f>
        <v>3696.57</v>
      </c>
      <c r="E290" s="4">
        <v>3696.57</v>
      </c>
      <c r="F290" s="5">
        <f>AVERAGE(Datos_originales!$H45:$J45)</f>
        <v>0</v>
      </c>
      <c r="G290" s="5">
        <f>AVERAGE(Datos_originales!$R45:$T45)</f>
        <v>0</v>
      </c>
      <c r="H290" s="4">
        <v>285.57</v>
      </c>
      <c r="I290" s="4">
        <v>179.01</v>
      </c>
      <c r="J290" s="4">
        <v>122.4</v>
      </c>
      <c r="K290" s="4">
        <v>103.59</v>
      </c>
      <c r="L290" s="4">
        <v>80.37</v>
      </c>
      <c r="M290" s="4">
        <v>130.94999999999999</v>
      </c>
      <c r="N290" s="4">
        <v>87.210000000000008</v>
      </c>
      <c r="O290" s="4">
        <v>58.41</v>
      </c>
      <c r="P290" s="4">
        <v>82.08</v>
      </c>
      <c r="Q290" s="4">
        <v>134.91</v>
      </c>
      <c r="R290" s="4">
        <v>5.58</v>
      </c>
      <c r="S290" s="4">
        <v>157.41</v>
      </c>
      <c r="T290" s="4">
        <v>150.93</v>
      </c>
      <c r="U290" s="4">
        <v>292.23</v>
      </c>
      <c r="V290" s="4">
        <v>189.27</v>
      </c>
      <c r="W290" s="4">
        <v>137.79</v>
      </c>
      <c r="X290" s="4">
        <v>111.06</v>
      </c>
      <c r="Y290" s="4">
        <v>83.25</v>
      </c>
      <c r="Z290" s="4">
        <v>136.53</v>
      </c>
      <c r="AA290" s="4">
        <v>91.62</v>
      </c>
      <c r="AB290" s="4">
        <v>59.85</v>
      </c>
      <c r="AC290" s="4">
        <v>86.13</v>
      </c>
      <c r="AD290" s="4">
        <v>136.26</v>
      </c>
      <c r="AE290" s="4">
        <v>6.48</v>
      </c>
      <c r="AF290" s="4">
        <v>158.04</v>
      </c>
      <c r="AG290" s="4">
        <v>151.19999999999999</v>
      </c>
      <c r="AH290" s="6" t="e">
        <f>Datos_originales!$H45/Datos_originales!$E45</f>
        <v>#DIV/0!</v>
      </c>
      <c r="AI290" s="6" t="e">
        <f>Datos_originales!$I45/Datos_originales!$E45</f>
        <v>#DIV/0!</v>
      </c>
      <c r="AJ290" s="6" t="e">
        <f>Datos_originales!$J45/Datos_originales!$E45</f>
        <v>#DIV/0!</v>
      </c>
      <c r="AK290" s="6" t="e">
        <f>Datos_originales!$K45/Datos_originales!$E45</f>
        <v>#DIV/0!</v>
      </c>
      <c r="AL290" s="6" t="e">
        <f>Datos_originales!$L45/Datos_originales!$E45</f>
        <v>#DIV/0!</v>
      </c>
      <c r="AM290" s="6" t="e">
        <f>Datos_originales!$M45/Datos_originales!$E45</f>
        <v>#DIV/0!</v>
      </c>
      <c r="AN290" s="6" t="e">
        <f>Datos_originales!$N45/Datos_originales!$E45</f>
        <v>#DIV/0!</v>
      </c>
      <c r="AO290" s="6" t="e">
        <f>Datos_originales!$O45/Datos_originales!$E45</f>
        <v>#DIV/0!</v>
      </c>
      <c r="AP290" s="6" t="e">
        <f>Datos_originales!$P45/Datos_originales!$E45</f>
        <v>#DIV/0!</v>
      </c>
      <c r="AQ290" s="6" t="e">
        <f>Datos_originales!$Q45/Datos_originales!$E45</f>
        <v>#DIV/0!</v>
      </c>
      <c r="AR290" s="6" t="e">
        <f>Datos_originales!$R45/Datos_originales!$E45</f>
        <v>#DIV/0!</v>
      </c>
      <c r="AS290" s="6" t="e">
        <f>Datos_originales!$S45/Datos_originales!$E45</f>
        <v>#DIV/0!</v>
      </c>
      <c r="AT290" s="6" t="e">
        <f>Datos_originales!$T45/Datos_originales!$E45</f>
        <v>#DIV/0!</v>
      </c>
      <c r="AU290" s="6" t="e">
        <f>Datos_originales!$U45/Datos_originales!$E45</f>
        <v>#DIV/0!</v>
      </c>
      <c r="AV290" s="6" t="e">
        <f>Datos_originales!$V45/Datos_originales!$E45</f>
        <v>#DIV/0!</v>
      </c>
      <c r="AW290" s="6" t="e">
        <f>Datos_originales!$W45/Datos_originales!$E45</f>
        <v>#DIV/0!</v>
      </c>
      <c r="AX290" s="6" t="e">
        <f>Datos_originales!$X45/Datos_originales!$E45</f>
        <v>#DIV/0!</v>
      </c>
      <c r="AY290" s="6" t="e">
        <f>Datos_originales!$Y45/Datos_originales!$E45</f>
        <v>#DIV/0!</v>
      </c>
      <c r="AZ290" s="6" t="e">
        <f>Datos_originales!$Z45/Datos_originales!$E45</f>
        <v>#DIV/0!</v>
      </c>
      <c r="BA290" s="6" t="e">
        <f>Datos_originales!$AA45/Datos_originales!$E45</f>
        <v>#DIV/0!</v>
      </c>
      <c r="BB290" s="6" t="e">
        <f>Datos_originales!$AB45/Datos_originales!$E45</f>
        <v>#DIV/0!</v>
      </c>
      <c r="BC290" s="6" t="e">
        <f>Datos_originales!$AC45/Datos_originales!$E45</f>
        <v>#DIV/0!</v>
      </c>
      <c r="BD290" s="6" t="e">
        <f>Datos_originales!$AD45/Datos_originales!$E45</f>
        <v>#DIV/0!</v>
      </c>
      <c r="BE290" s="6" t="e">
        <f>Datos_originales!$AE45/Datos_originales!$E45</f>
        <v>#DIV/0!</v>
      </c>
      <c r="BF290" s="6" t="e">
        <f>Datos_originales!$AF45/Datos_originales!$E45</f>
        <v>#DIV/0!</v>
      </c>
      <c r="BG290" s="6" t="e">
        <f>Datos_originales!$AG45/Datos_originales!$E45</f>
        <v>#DIV/0!</v>
      </c>
    </row>
    <row r="291" spans="1:59" ht="15.75" customHeight="1">
      <c r="A291" s="2">
        <v>71002</v>
      </c>
      <c r="B291" s="3" t="s">
        <v>83</v>
      </c>
      <c r="C291" s="4" t="s">
        <v>91</v>
      </c>
      <c r="D291" s="4">
        <f>IF(Table_1[[#This Row],[Forest cover 2011]]&lt;1000,"Bosque menor a 1000 ha",Table_1[[#This Row],[Forest cover 2011]])</f>
        <v>3788.19</v>
      </c>
      <c r="E291" s="4">
        <v>3788.19</v>
      </c>
      <c r="F291" s="5">
        <f>AVERAGE(Datos_originales!$H29:$J29)</f>
        <v>58.26</v>
      </c>
      <c r="G291" s="5">
        <f>AVERAGE(Datos_originales!$R29:$T29)</f>
        <v>120.45</v>
      </c>
      <c r="H291" s="4">
        <v>500.22</v>
      </c>
      <c r="I291" s="4">
        <v>176.4</v>
      </c>
      <c r="J291" s="4">
        <v>114.03</v>
      </c>
      <c r="K291" s="4">
        <v>104.13</v>
      </c>
      <c r="L291" s="4">
        <v>117.09</v>
      </c>
      <c r="M291" s="4">
        <v>104.85</v>
      </c>
      <c r="N291" s="4">
        <v>86.58</v>
      </c>
      <c r="O291" s="4">
        <v>83.25</v>
      </c>
      <c r="P291" s="4">
        <v>69.569999999999993</v>
      </c>
      <c r="Q291" s="4">
        <v>140.76</v>
      </c>
      <c r="R291" s="4">
        <v>15.12</v>
      </c>
      <c r="S291" s="4">
        <v>186.66</v>
      </c>
      <c r="T291" s="4">
        <v>292.58999999999997</v>
      </c>
      <c r="U291" s="4">
        <v>503.28</v>
      </c>
      <c r="V291" s="4">
        <v>181.62</v>
      </c>
      <c r="W291" s="4">
        <v>122.94</v>
      </c>
      <c r="X291" s="4">
        <v>109.8</v>
      </c>
      <c r="Y291" s="4">
        <v>122.22</v>
      </c>
      <c r="Z291" s="4">
        <v>117.36</v>
      </c>
      <c r="AA291" s="4">
        <v>104.94</v>
      </c>
      <c r="AB291" s="4">
        <v>91.53</v>
      </c>
      <c r="AC291" s="4">
        <v>87.03</v>
      </c>
      <c r="AD291" s="4">
        <v>179.01</v>
      </c>
      <c r="AE291" s="4">
        <v>29.7</v>
      </c>
      <c r="AF291" s="4">
        <v>205.29</v>
      </c>
      <c r="AG291" s="4">
        <v>293.22000000000003</v>
      </c>
      <c r="AH291" s="6">
        <f>Datos_originales!$H29/Datos_originales!$E29</f>
        <v>3.0175082203003425E-4</v>
      </c>
      <c r="AI291" s="6">
        <f>Datos_originales!$I29/Datos_originales!$E29</f>
        <v>6.5688262486145036E-4</v>
      </c>
      <c r="AJ291" s="6">
        <f>Datos_originales!$J29/Datos_originales!$E29</f>
        <v>4.8117022972356802E-4</v>
      </c>
      <c r="AK291" s="6">
        <f>Datos_originales!$K29/Datos_originales!$E29</f>
        <v>2.3354179100604615E-4</v>
      </c>
      <c r="AL291" s="6">
        <f>Datos_originales!$L29/Datos_originales!$E29</f>
        <v>6.3834756208319275E-4</v>
      </c>
      <c r="AM291" s="6">
        <f>Datos_originales!$M29/Datos_originales!$E29</f>
        <v>9.2971874895740267E-4</v>
      </c>
      <c r="AN291" s="6">
        <f>Datos_originales!$N29/Datos_originales!$E29</f>
        <v>1.3137652497229007E-3</v>
      </c>
      <c r="AO291" s="6">
        <f>Datos_originales!$O29/Datos_originales!$E29</f>
        <v>4.0406436856601629E-4</v>
      </c>
      <c r="AP291" s="6">
        <f>Datos_originales!$P29/Datos_originales!$E29</f>
        <v>5.9312200890424417E-4</v>
      </c>
      <c r="AQ291" s="6">
        <f>Datos_originales!$Q29/Datos_originales!$E29</f>
        <v>2.4006613310399282E-3</v>
      </c>
      <c r="AR291" s="6">
        <f>Datos_originales!$R29/Datos_originales!$E29</f>
        <v>5.2491297788025604E-4</v>
      </c>
      <c r="AS291" s="6">
        <f>Datos_originales!$S29/Datos_originales!$E29</f>
        <v>5.4344804065851364E-4</v>
      </c>
      <c r="AT291" s="6">
        <f>Datos_originales!$T29/Datos_originales!$E29</f>
        <v>1.9083700636494056E-3</v>
      </c>
      <c r="AU291" s="6">
        <f>Datos_originales!$U29/Datos_originales!$E29</f>
        <v>5.5605188334772885E-4</v>
      </c>
      <c r="AV291" s="6">
        <f>Datos_originales!$V29/Datos_originales!$E29</f>
        <v>8.073873346209024E-4</v>
      </c>
      <c r="AW291" s="6">
        <f>Datos_originales!$W29/Datos_originales!$E29</f>
        <v>9.7568570464748165E-4</v>
      </c>
      <c r="AX291" s="6">
        <f>Datos_originales!$X29/Datos_originales!$E29</f>
        <v>3.4845918023124341E-4</v>
      </c>
      <c r="AY291" s="6">
        <f>Datos_originales!$Y29/Datos_originales!$E29</f>
        <v>8.3926764259950539E-4</v>
      </c>
      <c r="AZ291" s="6">
        <f>Datos_originales!$Z29/Datos_originales!$E29</f>
        <v>1.0935687039172002E-3</v>
      </c>
      <c r="BA291" s="6">
        <f>Datos_originales!$AA29/Datos_originales!$E29</f>
        <v>1.3923539159027133E-3</v>
      </c>
      <c r="BB291" s="6">
        <f>Datos_originales!$AB29/Datos_originales!$E29</f>
        <v>5.0563651259086814E-4</v>
      </c>
      <c r="BC291" s="6">
        <f>Datos_originales!$AC29/Datos_originales!$E29</f>
        <v>7.184190332852658E-4</v>
      </c>
      <c r="BD291" s="6">
        <f>Datos_originales!$AD29/Datos_originales!$E29</f>
        <v>3.0189910253226029E-3</v>
      </c>
      <c r="BE291" s="6">
        <f>Datos_originales!$AE29/Datos_originales!$E29</f>
        <v>6.8060750521762019E-4</v>
      </c>
      <c r="BF291" s="6">
        <f>Datos_originales!$AF29/Datos_originales!$E29</f>
        <v>1.3849398907914102E-3</v>
      </c>
      <c r="BG291" s="6">
        <f>Datos_originales!$AG29/Datos_originales!$E29</f>
        <v>2.2850025393036004E-3</v>
      </c>
    </row>
    <row r="292" spans="1:59" ht="15.75" customHeight="1">
      <c r="A292" s="2">
        <v>71003</v>
      </c>
      <c r="B292" s="3" t="s">
        <v>83</v>
      </c>
      <c r="C292" s="4" t="s">
        <v>84</v>
      </c>
      <c r="D292" s="4">
        <f>IF(Table_1[[#This Row],[Forest cover 2011]]&lt;1000,"Bosque menor a 1000 ha",Table_1[[#This Row],[Forest cover 2011]])</f>
        <v>3309.57</v>
      </c>
      <c r="E292" s="4">
        <v>3309.57</v>
      </c>
      <c r="F292" s="5">
        <f>AVERAGE(Datos_originales!$H24:$J24)</f>
        <v>100.71</v>
      </c>
      <c r="G292" s="5">
        <f>AVERAGE(Datos_originales!$R24:$T24)</f>
        <v>453.57</v>
      </c>
      <c r="H292" s="4">
        <v>433.08</v>
      </c>
      <c r="I292" s="4">
        <v>324.63</v>
      </c>
      <c r="J292" s="4">
        <v>134.91</v>
      </c>
      <c r="K292" s="4">
        <v>71.460000000000008</v>
      </c>
      <c r="L292" s="4">
        <v>199.35</v>
      </c>
      <c r="M292" s="4">
        <v>117.09</v>
      </c>
      <c r="N292" s="4">
        <v>90.27</v>
      </c>
      <c r="O292" s="4">
        <v>103.68</v>
      </c>
      <c r="P292" s="4">
        <v>77.58</v>
      </c>
      <c r="Q292" s="4">
        <v>141.03</v>
      </c>
      <c r="R292" s="4">
        <v>44.37</v>
      </c>
      <c r="S292" s="4">
        <v>272.33999999999997</v>
      </c>
      <c r="T292" s="4">
        <v>294.02999999999997</v>
      </c>
      <c r="U292" s="4">
        <v>443.07</v>
      </c>
      <c r="V292" s="4">
        <v>328.77</v>
      </c>
      <c r="W292" s="4">
        <v>141.12</v>
      </c>
      <c r="X292" s="4">
        <v>78.570000000000007</v>
      </c>
      <c r="Y292" s="4">
        <v>203.4</v>
      </c>
      <c r="Z292" s="4">
        <v>120.51</v>
      </c>
      <c r="AA292" s="4">
        <v>93.15</v>
      </c>
      <c r="AB292" s="4">
        <v>105.84</v>
      </c>
      <c r="AC292" s="4">
        <v>84.78</v>
      </c>
      <c r="AD292" s="4">
        <v>153.81</v>
      </c>
      <c r="AE292" s="4">
        <v>45.72</v>
      </c>
      <c r="AF292" s="4">
        <v>300.60000000000002</v>
      </c>
      <c r="AG292" s="4">
        <v>294.83999999999997</v>
      </c>
      <c r="AH292" s="6">
        <f>Datos_originales!$H24/Datos_originales!$E24</f>
        <v>6.9391418262880391E-4</v>
      </c>
      <c r="AI292" s="6">
        <f>Datos_originales!$I24/Datos_originales!$E24</f>
        <v>9.5356655605053373E-4</v>
      </c>
      <c r="AJ292" s="6">
        <f>Datos_originales!$J24/Datos_originales!$E24</f>
        <v>1.3896377894626374E-3</v>
      </c>
      <c r="AK292" s="6">
        <f>Datos_originales!$K24/Datos_originales!$E24</f>
        <v>9.2009220825748847E-4</v>
      </c>
      <c r="AL292" s="6">
        <f>Datos_originales!$L24/Datos_originales!$E24</f>
        <v>4.5145133915485417E-4</v>
      </c>
      <c r="AM292" s="6">
        <f>Datos_originales!$M24/Datos_originales!$E24</f>
        <v>8.241927253909261E-4</v>
      </c>
      <c r="AN292" s="6">
        <f>Datos_originales!$N24/Datos_originales!$E24</f>
        <v>1.5769131946831881E-3</v>
      </c>
      <c r="AO292" s="6">
        <f>Datos_originales!$O24/Datos_originales!$E24</f>
        <v>1.3733529716173721E-3</v>
      </c>
      <c r="AP292" s="6">
        <f>Datos_originales!$P24/Datos_originales!$E24</f>
        <v>1.6167205271938366E-3</v>
      </c>
      <c r="AQ292" s="6">
        <f>Datos_originales!$Q24/Datos_originales!$E24</f>
        <v>1.190601126909395E-3</v>
      </c>
      <c r="AR292" s="6">
        <f>Datos_originales!$R24/Datos_originales!$E24</f>
        <v>1.6990493285226778E-3</v>
      </c>
      <c r="AS292" s="6">
        <f>Datos_originales!$S24/Datos_originales!$E24</f>
        <v>7.9334204269517362E-3</v>
      </c>
      <c r="AT292" s="6">
        <f>Datos_originales!$T24/Datos_originales!$E24</f>
        <v>4.0458725224459076E-3</v>
      </c>
      <c r="AU292" s="6">
        <f>Datos_originales!$U24/Datos_originales!$E24</f>
        <v>2.38120225381879E-3</v>
      </c>
      <c r="AV292" s="6">
        <f>Datos_originales!$V24/Datos_originales!$E24</f>
        <v>2.9692651204533695E-3</v>
      </c>
      <c r="AW292" s="6">
        <f>Datos_originales!$W24/Datos_originales!$E24</f>
        <v>1.1880679330223539E-2</v>
      </c>
      <c r="AX292" s="6">
        <f>Datos_originales!$X24/Datos_originales!$E24</f>
        <v>1.463824181868846E-3</v>
      </c>
      <c r="AY292" s="6">
        <f>Datos_originales!$Y24/Datos_originales!$E24</f>
        <v>8.0428905913560204E-4</v>
      </c>
      <c r="AZ292" s="6">
        <f>Datos_originales!$Z24/Datos_originales!$E24</f>
        <v>1.1064629013755242E-3</v>
      </c>
      <c r="BA292" s="6">
        <f>Datos_originales!$AA24/Datos_originales!$E24</f>
        <v>1.9957948981475116E-3</v>
      </c>
      <c r="BB292" s="6">
        <f>Datos_originales!$AB24/Datos_originales!$E24</f>
        <v>2.3676315722810691E-3</v>
      </c>
      <c r="BC292" s="6">
        <f>Datos_originales!$AC24/Datos_originales!$E24</f>
        <v>2.247304862646609E-3</v>
      </c>
      <c r="BD292" s="6">
        <f>Datos_originales!$AD24/Datos_originales!$E24</f>
        <v>1.8799917490256253E-3</v>
      </c>
      <c r="BE292" s="6">
        <f>Datos_originales!$AE24/Datos_originales!$E24</f>
        <v>3.2090138276197754E-3</v>
      </c>
      <c r="BF292" s="6">
        <f>Datos_originales!$AF24/Datos_originales!$E24</f>
        <v>1.0381571376356617E-2</v>
      </c>
      <c r="BG292" s="6">
        <f>Datos_originales!$AG24/Datos_originales!$E24</f>
        <v>4.167103944182883E-3</v>
      </c>
    </row>
    <row r="293" spans="1:59" ht="15.75" customHeight="1">
      <c r="A293" s="2">
        <v>71004</v>
      </c>
      <c r="B293" s="3" t="s">
        <v>83</v>
      </c>
      <c r="C293" s="4" t="s">
        <v>113</v>
      </c>
      <c r="D293" s="4">
        <f>IF(Table_1[[#This Row],[Forest cover 2011]]&lt;1000,"Bosque menor a 1000 ha",Table_1[[#This Row],[Forest cover 2011]])</f>
        <v>4884.21</v>
      </c>
      <c r="E293" s="4">
        <v>4884.21</v>
      </c>
      <c r="F293" s="5">
        <f>AVERAGE(Datos_originales!$H52:$J52)</f>
        <v>0.06</v>
      </c>
      <c r="G293" s="5">
        <f>AVERAGE(Datos_originales!$R52:$T52)</f>
        <v>0.87000000000000011</v>
      </c>
      <c r="H293" s="4">
        <v>445.32</v>
      </c>
      <c r="I293" s="4">
        <v>326.97000000000003</v>
      </c>
      <c r="J293" s="4">
        <v>155.97</v>
      </c>
      <c r="K293" s="4">
        <v>141.84</v>
      </c>
      <c r="L293" s="4">
        <v>486.18</v>
      </c>
      <c r="M293" s="4">
        <v>278.10000000000002</v>
      </c>
      <c r="N293" s="4">
        <v>186.21</v>
      </c>
      <c r="O293" s="4">
        <v>95.22</v>
      </c>
      <c r="P293" s="4">
        <v>109.98</v>
      </c>
      <c r="Q293" s="4">
        <v>183.87</v>
      </c>
      <c r="R293" s="4">
        <v>133.38</v>
      </c>
      <c r="S293" s="4">
        <v>379.17</v>
      </c>
      <c r="T293" s="4">
        <v>161.19</v>
      </c>
      <c r="U293" s="4">
        <v>525.6</v>
      </c>
      <c r="V293" s="4">
        <v>356.67</v>
      </c>
      <c r="W293" s="4">
        <v>193.23</v>
      </c>
      <c r="X293" s="4">
        <v>162.72</v>
      </c>
      <c r="Y293" s="4">
        <v>509.22</v>
      </c>
      <c r="Z293" s="4">
        <v>308.79000000000002</v>
      </c>
      <c r="AA293" s="4">
        <v>199.98</v>
      </c>
      <c r="AB293" s="4">
        <v>105.57</v>
      </c>
      <c r="AC293" s="4">
        <v>140.13</v>
      </c>
      <c r="AD293" s="4">
        <v>189.09</v>
      </c>
      <c r="AE293" s="4">
        <v>133.47</v>
      </c>
      <c r="AF293" s="4">
        <v>457.11</v>
      </c>
      <c r="AG293" s="4">
        <v>167.49</v>
      </c>
      <c r="AH293" s="6">
        <f>Datos_originales!$H52/Datos_originales!$E52</f>
        <v>0</v>
      </c>
      <c r="AI293" s="6">
        <f>Datos_originales!$I52/Datos_originales!$E52</f>
        <v>0</v>
      </c>
      <c r="AJ293" s="6">
        <f>Datos_originales!$J52/Datos_originales!$E52</f>
        <v>1.0548523206751056E-3</v>
      </c>
      <c r="AK293" s="6">
        <f>Datos_originales!$K52/Datos_originales!$E52</f>
        <v>0</v>
      </c>
      <c r="AL293" s="6">
        <f>Datos_originales!$L52/Datos_originales!$E52</f>
        <v>0</v>
      </c>
      <c r="AM293" s="6">
        <f>Datos_originales!$M52/Datos_originales!$E52</f>
        <v>0</v>
      </c>
      <c r="AN293" s="6">
        <f>Datos_originales!$N52/Datos_originales!$E52</f>
        <v>0</v>
      </c>
      <c r="AO293" s="6">
        <f>Datos_originales!$O52/Datos_originales!$E52</f>
        <v>3.6919831223628696E-3</v>
      </c>
      <c r="AP293" s="6">
        <f>Datos_originales!$P52/Datos_originales!$E52</f>
        <v>1.0548523206751056E-3</v>
      </c>
      <c r="AQ293" s="6">
        <f>Datos_originales!$Q52/Datos_originales!$E52</f>
        <v>0</v>
      </c>
      <c r="AR293" s="6">
        <f>Datos_originales!$R52/Datos_originales!$E52</f>
        <v>0</v>
      </c>
      <c r="AS293" s="6">
        <f>Datos_originales!$S52/Datos_originales!$E52</f>
        <v>1.0548523206751056E-3</v>
      </c>
      <c r="AT293" s="6">
        <f>Datos_originales!$T52/Datos_originales!$E52</f>
        <v>1.4240506329113925E-2</v>
      </c>
      <c r="AU293" s="6">
        <f>Datos_originales!$U52/Datos_originales!$E52</f>
        <v>1.687763713080169E-2</v>
      </c>
      <c r="AV293" s="6">
        <f>Datos_originales!$V52/Datos_originales!$E52</f>
        <v>4.7468354430379757E-3</v>
      </c>
      <c r="AW293" s="6">
        <f>Datos_originales!$W52/Datos_originales!$E52</f>
        <v>3.2700421940928273E-2</v>
      </c>
      <c r="AX293" s="6">
        <f>Datos_originales!$X52/Datos_originales!$E52</f>
        <v>4.2194092827004225E-3</v>
      </c>
      <c r="AY293" s="6">
        <f>Datos_originales!$Y52/Datos_originales!$E52</f>
        <v>0</v>
      </c>
      <c r="AZ293" s="6">
        <f>Datos_originales!$Z52/Datos_originales!$E52</f>
        <v>1.0021097046413503E-2</v>
      </c>
      <c r="BA293" s="6">
        <f>Datos_originales!$AA52/Datos_originales!$E52</f>
        <v>2.1097046413502112E-3</v>
      </c>
      <c r="BB293" s="6">
        <f>Datos_originales!$AB52/Datos_originales!$E52</f>
        <v>3.5337552742616032E-2</v>
      </c>
      <c r="BC293" s="6">
        <f>Datos_originales!$AC52/Datos_originales!$E52</f>
        <v>1.5822784810126584E-3</v>
      </c>
      <c r="BD293" s="6">
        <f>Datos_originales!$AD52/Datos_originales!$E52</f>
        <v>2.1097046413502112E-3</v>
      </c>
      <c r="BE293" s="6">
        <f>Datos_originales!$AE52/Datos_originales!$E52</f>
        <v>2.637130801687764E-3</v>
      </c>
      <c r="BF293" s="6">
        <f>Datos_originales!$AF52/Datos_originales!$E52</f>
        <v>1.0548523206751056E-3</v>
      </c>
      <c r="BG293" s="6">
        <f>Datos_originales!$AG52/Datos_originales!$E52</f>
        <v>8.2805907172995796E-2</v>
      </c>
    </row>
    <row r="294" spans="1:59" ht="15.75" customHeight="1">
      <c r="A294" s="2">
        <v>71005</v>
      </c>
      <c r="B294" s="3" t="s">
        <v>83</v>
      </c>
      <c r="C294" s="4" t="s">
        <v>102</v>
      </c>
      <c r="D294" s="4">
        <f>IF(Table_1[[#This Row],[Forest cover 2011]]&lt;1000,"Bosque menor a 1000 ha",Table_1[[#This Row],[Forest cover 2011]])</f>
        <v>48195.360000000001</v>
      </c>
      <c r="E294" s="4">
        <v>48195.360000000001</v>
      </c>
      <c r="F294" s="5">
        <f>AVERAGE(Datos_originales!$H40:$J40)</f>
        <v>0</v>
      </c>
      <c r="G294" s="5">
        <f>AVERAGE(Datos_originales!$R40:$T40)</f>
        <v>0</v>
      </c>
      <c r="H294" s="4">
        <v>2547.1799999999998</v>
      </c>
      <c r="I294" s="4">
        <v>1864.98</v>
      </c>
      <c r="J294" s="4">
        <v>773.46</v>
      </c>
      <c r="K294" s="4">
        <v>329.85</v>
      </c>
      <c r="L294" s="4">
        <v>1754.01</v>
      </c>
      <c r="M294" s="4">
        <v>654.48</v>
      </c>
      <c r="N294" s="4">
        <v>652.95000000000005</v>
      </c>
      <c r="O294" s="4">
        <v>348.48</v>
      </c>
      <c r="P294" s="4">
        <v>415.71</v>
      </c>
      <c r="Q294" s="4">
        <v>451.26</v>
      </c>
      <c r="R294" s="4">
        <v>660.33</v>
      </c>
      <c r="S294" s="4">
        <v>999.72</v>
      </c>
      <c r="T294" s="4">
        <v>1389.69</v>
      </c>
      <c r="U294" s="4">
        <v>3596.58</v>
      </c>
      <c r="V294" s="4">
        <v>2199.5100000000002</v>
      </c>
      <c r="W294" s="4">
        <v>1057.23</v>
      </c>
      <c r="X294" s="4">
        <v>669.42</v>
      </c>
      <c r="Y294" s="4">
        <v>2072.34</v>
      </c>
      <c r="Z294" s="4">
        <v>858.78</v>
      </c>
      <c r="AA294" s="4">
        <v>824.4</v>
      </c>
      <c r="AB294" s="4">
        <v>561.6</v>
      </c>
      <c r="AC294" s="4">
        <v>596.06999999999994</v>
      </c>
      <c r="AD294" s="4">
        <v>575.01</v>
      </c>
      <c r="AE294" s="4">
        <v>672.3</v>
      </c>
      <c r="AF294" s="4">
        <v>1230.21</v>
      </c>
      <c r="AG294" s="4">
        <v>2080.5300000000002</v>
      </c>
      <c r="AH294" s="6" t="e">
        <f>Datos_originales!$H40/Datos_originales!$E40</f>
        <v>#DIV/0!</v>
      </c>
      <c r="AI294" s="6" t="e">
        <f>Datos_originales!$I40/Datos_originales!$E40</f>
        <v>#DIV/0!</v>
      </c>
      <c r="AJ294" s="6" t="e">
        <f>Datos_originales!$J40/Datos_originales!$E40</f>
        <v>#DIV/0!</v>
      </c>
      <c r="AK294" s="6" t="e">
        <f>Datos_originales!$K40/Datos_originales!$E40</f>
        <v>#DIV/0!</v>
      </c>
      <c r="AL294" s="6" t="e">
        <f>Datos_originales!$L40/Datos_originales!$E40</f>
        <v>#DIV/0!</v>
      </c>
      <c r="AM294" s="6" t="e">
        <f>Datos_originales!$M40/Datos_originales!$E40</f>
        <v>#DIV/0!</v>
      </c>
      <c r="AN294" s="6" t="e">
        <f>Datos_originales!$N40/Datos_originales!$E40</f>
        <v>#DIV/0!</v>
      </c>
      <c r="AO294" s="6" t="e">
        <f>Datos_originales!$O40/Datos_originales!$E40</f>
        <v>#DIV/0!</v>
      </c>
      <c r="AP294" s="6" t="e">
        <f>Datos_originales!$P40/Datos_originales!$E40</f>
        <v>#DIV/0!</v>
      </c>
      <c r="AQ294" s="6" t="e">
        <f>Datos_originales!$Q40/Datos_originales!$E40</f>
        <v>#DIV/0!</v>
      </c>
      <c r="AR294" s="6" t="e">
        <f>Datos_originales!$R40/Datos_originales!$E40</f>
        <v>#DIV/0!</v>
      </c>
      <c r="AS294" s="6" t="e">
        <f>Datos_originales!$S40/Datos_originales!$E40</f>
        <v>#DIV/0!</v>
      </c>
      <c r="AT294" s="6" t="e">
        <f>Datos_originales!$T40/Datos_originales!$E40</f>
        <v>#DIV/0!</v>
      </c>
      <c r="AU294" s="6" t="e">
        <f>Datos_originales!$U40/Datos_originales!$E40</f>
        <v>#DIV/0!</v>
      </c>
      <c r="AV294" s="6" t="e">
        <f>Datos_originales!$V40/Datos_originales!$E40</f>
        <v>#DIV/0!</v>
      </c>
      <c r="AW294" s="6" t="e">
        <f>Datos_originales!$W40/Datos_originales!$E40</f>
        <v>#DIV/0!</v>
      </c>
      <c r="AX294" s="6" t="e">
        <f>Datos_originales!$X40/Datos_originales!$E40</f>
        <v>#DIV/0!</v>
      </c>
      <c r="AY294" s="6" t="e">
        <f>Datos_originales!$Y40/Datos_originales!$E40</f>
        <v>#DIV/0!</v>
      </c>
      <c r="AZ294" s="6" t="e">
        <f>Datos_originales!$Z40/Datos_originales!$E40</f>
        <v>#DIV/0!</v>
      </c>
      <c r="BA294" s="6" t="e">
        <f>Datos_originales!$AA40/Datos_originales!$E40</f>
        <v>#DIV/0!</v>
      </c>
      <c r="BB294" s="6" t="e">
        <f>Datos_originales!$AB40/Datos_originales!$E40</f>
        <v>#DIV/0!</v>
      </c>
      <c r="BC294" s="6" t="e">
        <f>Datos_originales!$AC40/Datos_originales!$E40</f>
        <v>#DIV/0!</v>
      </c>
      <c r="BD294" s="6" t="e">
        <f>Datos_originales!$AD40/Datos_originales!$E40</f>
        <v>#DIV/0!</v>
      </c>
      <c r="BE294" s="6" t="e">
        <f>Datos_originales!$AE40/Datos_originales!$E40</f>
        <v>#DIV/0!</v>
      </c>
      <c r="BF294" s="6" t="e">
        <f>Datos_originales!$AF40/Datos_originales!$E40</f>
        <v>#DIV/0!</v>
      </c>
      <c r="BG294" s="6" t="e">
        <f>Datos_originales!$AG40/Datos_originales!$E40</f>
        <v>#DIV/0!</v>
      </c>
    </row>
    <row r="295" spans="1:59" ht="15.75" customHeight="1">
      <c r="A295" s="2">
        <v>71101</v>
      </c>
      <c r="B295" s="3" t="s">
        <v>83</v>
      </c>
      <c r="C295" s="4" t="s">
        <v>180</v>
      </c>
      <c r="D295" s="4">
        <f>IF(Table_1[[#This Row],[Forest cover 2011]]&lt;1000,"Bosque menor a 1000 ha",Table_1[[#This Row],[Forest cover 2011]])</f>
        <v>2713543.38</v>
      </c>
      <c r="E295" s="4">
        <v>2713543.38</v>
      </c>
      <c r="F295" s="5">
        <f>AVERAGE(Datos_originales!$H120:$J120)</f>
        <v>19.919999999999998</v>
      </c>
      <c r="G295" s="5">
        <f>AVERAGE(Datos_originales!$R120:$T120)</f>
        <v>79.86</v>
      </c>
      <c r="H295" s="4">
        <v>4595.49</v>
      </c>
      <c r="I295" s="4">
        <v>5604.21</v>
      </c>
      <c r="J295" s="4">
        <v>6115.23</v>
      </c>
      <c r="K295" s="4">
        <v>8079.66</v>
      </c>
      <c r="L295" s="4">
        <v>10206.09</v>
      </c>
      <c r="M295" s="4">
        <v>18001.080000000002</v>
      </c>
      <c r="N295" s="4">
        <v>18982.8</v>
      </c>
      <c r="O295" s="4">
        <v>12270.42</v>
      </c>
      <c r="P295" s="4">
        <v>18318.599999999999</v>
      </c>
      <c r="Q295" s="4">
        <v>26443.89</v>
      </c>
      <c r="R295" s="4">
        <v>20605.41</v>
      </c>
      <c r="S295" s="4">
        <v>30469.41</v>
      </c>
      <c r="T295" s="4">
        <v>24095.16</v>
      </c>
      <c r="U295" s="4">
        <v>8116.11</v>
      </c>
      <c r="V295" s="4">
        <v>8115.3899999999994</v>
      </c>
      <c r="W295" s="4">
        <v>8620.2000000000007</v>
      </c>
      <c r="X295" s="4">
        <v>9669.7800000000007</v>
      </c>
      <c r="Y295" s="4">
        <v>11693.88</v>
      </c>
      <c r="Z295" s="4">
        <v>19015.740000000002</v>
      </c>
      <c r="AA295" s="4">
        <v>19906.740000000002</v>
      </c>
      <c r="AB295" s="4">
        <v>12886.29</v>
      </c>
      <c r="AC295" s="4">
        <v>18592.11</v>
      </c>
      <c r="AD295" s="4">
        <v>29871.54</v>
      </c>
      <c r="AE295" s="4">
        <v>21125.34</v>
      </c>
      <c r="AF295" s="4">
        <v>31114.89</v>
      </c>
      <c r="AG295" s="4">
        <v>24791.67</v>
      </c>
      <c r="AH295" s="6">
        <f>Datos_originales!$H120/Datos_originales!$E120</f>
        <v>2.253958283296691E-4</v>
      </c>
      <c r="AI295" s="6">
        <f>Datos_originales!$I120/Datos_originales!$E120</f>
        <v>1.5888558390452084E-4</v>
      </c>
      <c r="AJ295" s="6">
        <f>Datos_originales!$J120/Datos_originales!$E120</f>
        <v>4.3354825995652204E-4</v>
      </c>
      <c r="AK295" s="6">
        <f>Datos_originales!$K120/Datos_originales!$E120</f>
        <v>1.4533720078087952E-4</v>
      </c>
      <c r="AL295" s="6">
        <f>Datos_originales!$L120/Datos_originales!$E120</f>
        <v>1.4410552958782125E-4</v>
      </c>
      <c r="AM295" s="6">
        <f>Datos_originales!$M120/Datos_originales!$E120</f>
        <v>7.3900271583498075E-5</v>
      </c>
      <c r="AN295" s="6">
        <f>Datos_originales!$N120/Datos_originales!$E120</f>
        <v>1.7489730941427876E-4</v>
      </c>
      <c r="AO295" s="6">
        <f>Datos_originales!$O120/Datos_originales!$E120</f>
        <v>1.2439879049888842E-4</v>
      </c>
      <c r="AP295" s="6">
        <f>Datos_originales!$P120/Datos_originales!$E120</f>
        <v>2.0815243162685291E-4</v>
      </c>
      <c r="AQ295" s="6">
        <f>Datos_originales!$Q120/Datos_originales!$E120</f>
        <v>3.0791779826457529E-5</v>
      </c>
      <c r="AR295" s="6">
        <f>Datos_originales!$R120/Datos_originales!$E120</f>
        <v>2.3894421145331045E-4</v>
      </c>
      <c r="AS295" s="6">
        <f>Datos_originales!$S120/Datos_originales!$E120</f>
        <v>1.4853954588283113E-3</v>
      </c>
      <c r="AT295" s="6">
        <f>Datos_originales!$T120/Datos_originales!$E120</f>
        <v>1.554369045639576E-3</v>
      </c>
      <c r="AU295" s="6">
        <f>Datos_originales!$U120/Datos_originales!$E120</f>
        <v>1.4533720078087954E-3</v>
      </c>
      <c r="AV295" s="6">
        <f>Datos_originales!$V120/Datos_originales!$E120</f>
        <v>2.2071547779604758E-3</v>
      </c>
      <c r="AW295" s="6">
        <f>Datos_originales!$W120/Datos_originales!$E120</f>
        <v>1.4250435703684543E-2</v>
      </c>
      <c r="AX295" s="6">
        <f>Datos_originales!$X120/Datos_originales!$E120</f>
        <v>1.3425216004335483E-3</v>
      </c>
      <c r="AY295" s="6">
        <f>Datos_originales!$Y120/Datos_originales!$E120</f>
        <v>1.1134307585247043E-3</v>
      </c>
      <c r="AZ295" s="6">
        <f>Datos_originales!$Z120/Datos_originales!$E120</f>
        <v>1.1183574432969375E-3</v>
      </c>
      <c r="BA295" s="6">
        <f>Datos_originales!$AA120/Datos_originales!$E120</f>
        <v>9.151316964423179E-4</v>
      </c>
      <c r="BB295" s="6">
        <f>Datos_originales!$AB120/Datos_originales!$E120</f>
        <v>2.9941926703247303E-3</v>
      </c>
      <c r="BC295" s="6">
        <f>Datos_originales!$AC120/Datos_originales!$E120</f>
        <v>3.3427556179602292E-3</v>
      </c>
      <c r="BD295" s="6">
        <f>Datos_originales!$AD120/Datos_originales!$E120</f>
        <v>4.1876820563982244E-5</v>
      </c>
      <c r="BE295" s="6">
        <f>Datos_originales!$AE120/Datos_originales!$E120</f>
        <v>5.9982387101939266E-4</v>
      </c>
      <c r="BF295" s="6">
        <f>Datos_originales!$AF120/Datos_originales!$E120</f>
        <v>3.8625208614308328E-3</v>
      </c>
      <c r="BG295" s="6">
        <f>Datos_originales!$AG120/Datos_originales!$E120</f>
        <v>1.9534305121904657E-3</v>
      </c>
    </row>
    <row r="296" spans="1:59" ht="15.75" customHeight="1">
      <c r="A296" s="2">
        <v>71102</v>
      </c>
      <c r="B296" s="3" t="s">
        <v>83</v>
      </c>
      <c r="C296" s="4" t="s">
        <v>106</v>
      </c>
      <c r="D296" s="4">
        <f>IF(Table_1[[#This Row],[Forest cover 2011]]&lt;1000,"Bosque menor a 1000 ha",Table_1[[#This Row],[Forest cover 2011]])</f>
        <v>144437.94</v>
      </c>
      <c r="E296" s="4">
        <v>144437.94</v>
      </c>
      <c r="F296" s="5">
        <f>AVERAGE(Datos_originales!$H82:$J82)</f>
        <v>84.96</v>
      </c>
      <c r="G296" s="5">
        <f>AVERAGE(Datos_originales!$R82:$T82)</f>
        <v>452.96999999999997</v>
      </c>
      <c r="H296" s="4">
        <v>2101.0500000000002</v>
      </c>
      <c r="I296" s="4">
        <v>1889.28</v>
      </c>
      <c r="J296" s="4">
        <v>1942.02</v>
      </c>
      <c r="K296" s="4">
        <v>1449.63</v>
      </c>
      <c r="L296" s="4">
        <v>1386.63</v>
      </c>
      <c r="M296" s="4">
        <v>2332.17</v>
      </c>
      <c r="N296" s="4">
        <v>1993.14</v>
      </c>
      <c r="O296" s="4">
        <v>3323.07</v>
      </c>
      <c r="P296" s="4">
        <v>2176.11</v>
      </c>
      <c r="Q296" s="4">
        <v>3396.78</v>
      </c>
      <c r="R296" s="4">
        <v>2731.95</v>
      </c>
      <c r="S296" s="4">
        <v>5335.29</v>
      </c>
      <c r="T296" s="4">
        <v>2745.09</v>
      </c>
      <c r="U296" s="4">
        <v>2414.61</v>
      </c>
      <c r="V296" s="4">
        <v>2028.15</v>
      </c>
      <c r="W296" s="4">
        <v>2257.83</v>
      </c>
      <c r="X296" s="4">
        <v>1844.91</v>
      </c>
      <c r="Y296" s="4">
        <v>1671.84</v>
      </c>
      <c r="Z296" s="4">
        <v>2630.52</v>
      </c>
      <c r="AA296" s="4">
        <v>2045.79</v>
      </c>
      <c r="AB296" s="4">
        <v>3344.22</v>
      </c>
      <c r="AC296" s="4">
        <v>2240.37</v>
      </c>
      <c r="AD296" s="4">
        <v>5103.8999999999996</v>
      </c>
      <c r="AE296" s="4">
        <v>2735.1</v>
      </c>
      <c r="AF296" s="4">
        <v>5414.4</v>
      </c>
      <c r="AG296" s="4">
        <v>2750.04</v>
      </c>
      <c r="AH296" s="6">
        <f>Datos_originales!$H82/Datos_originales!$E82</f>
        <v>1.013815876471614E-3</v>
      </c>
      <c r="AI296" s="6">
        <f>Datos_originales!$I82/Datos_originales!$E82</f>
        <v>1.740160332393621E-3</v>
      </c>
      <c r="AJ296" s="6">
        <f>Datos_originales!$J82/Datos_originales!$E82</f>
        <v>2.6734842111113453E-3</v>
      </c>
      <c r="AK296" s="6">
        <f>Datos_originales!$K82/Datos_originales!$E82</f>
        <v>1.4622712925290013E-3</v>
      </c>
      <c r="AL296" s="6">
        <f>Datos_originales!$L82/Datos_originales!$E82</f>
        <v>1.4335241504740402E-3</v>
      </c>
      <c r="AM296" s="6">
        <f>Datos_originales!$M82/Datos_originales!$E82</f>
        <v>9.9656759123863754E-4</v>
      </c>
      <c r="AN296" s="6">
        <f>Datos_originales!$N82/Datos_originales!$E82</f>
        <v>1.0808925412665222E-3</v>
      </c>
      <c r="AO296" s="6">
        <f>Datos_originales!$O82/Datos_originales!$E82</f>
        <v>1.2802060595142497E-3</v>
      </c>
      <c r="AP296" s="6">
        <f>Datos_originales!$P82/Datos_originales!$E82</f>
        <v>1.2667907265552683E-3</v>
      </c>
      <c r="AQ296" s="6">
        <f>Datos_originales!$Q82/Datos_originales!$E82</f>
        <v>2.198198129135995E-3</v>
      </c>
      <c r="AR296" s="6">
        <f>Datos_originales!$R82/Datos_originales!$E82</f>
        <v>3.1832668635526484E-3</v>
      </c>
      <c r="AS296" s="6">
        <f>Datos_originales!$S82/Datos_originales!$E82</f>
        <v>8.0721974890329649E-3</v>
      </c>
      <c r="AT296" s="6">
        <f>Datos_originales!$T82/Datos_originales!$E82</f>
        <v>1.768140883993783E-2</v>
      </c>
      <c r="AU296" s="6">
        <f>Datos_originales!$U82/Datos_originales!$E82</f>
        <v>2.2825230791638797E-3</v>
      </c>
      <c r="AV296" s="6">
        <f>Datos_originales!$V82/Datos_originales!$E82</f>
        <v>3.1219396271687325E-3</v>
      </c>
      <c r="AW296" s="6">
        <f>Datos_originales!$W82/Datos_originales!$E82</f>
        <v>5.6651034609642558E-3</v>
      </c>
      <c r="AX296" s="6">
        <f>Datos_originales!$X82/Datos_originales!$E82</f>
        <v>1.9241420415453696E-3</v>
      </c>
      <c r="AY296" s="6">
        <f>Datos_originales!$Y82/Datos_originales!$E82</f>
        <v>1.7593250937635949E-3</v>
      </c>
      <c r="AZ296" s="6">
        <f>Datos_originales!$Z82/Datos_originales!$E82</f>
        <v>1.1747998719793941E-3</v>
      </c>
      <c r="BA296" s="6">
        <f>Datos_originales!$AA82/Datos_originales!$E82</f>
        <v>1.2207952992673312E-3</v>
      </c>
      <c r="BB296" s="6">
        <f>Datos_originales!$AB82/Datos_originales!$E82</f>
        <v>1.7305779517086341E-3</v>
      </c>
      <c r="BC296" s="6">
        <f>Datos_originales!$AC82/Datos_originales!$E82</f>
        <v>1.5849257652968335E-3</v>
      </c>
      <c r="BD296" s="6">
        <f>Datos_originales!$AD82/Datos_originales!$E82</f>
        <v>2.4032610757947145E-3</v>
      </c>
      <c r="BE296" s="6">
        <f>Datos_originales!$AE82/Datos_originales!$E82</f>
        <v>3.3653320965673994E-3</v>
      </c>
      <c r="BF296" s="6">
        <f>Datos_originales!$AF82/Datos_originales!$E82</f>
        <v>8.6912192812831184E-3</v>
      </c>
      <c r="BG296" s="6">
        <f>Datos_originales!$AG82/Datos_originales!$E82</f>
        <v>2.8314018447999294E-2</v>
      </c>
    </row>
    <row r="297" spans="1:59" ht="15.75" customHeight="1">
      <c r="A297" s="2">
        <v>71103</v>
      </c>
      <c r="B297" s="3" t="s">
        <v>83</v>
      </c>
      <c r="C297" s="4" t="s">
        <v>88</v>
      </c>
      <c r="D297" s="4">
        <f>IF(Table_1[[#This Row],[Forest cover 2011]]&lt;1000,"Bosque menor a 1000 ha",Table_1[[#This Row],[Forest cover 2011]])</f>
        <v>33668.82</v>
      </c>
      <c r="E297" s="4">
        <v>33668.82</v>
      </c>
      <c r="F297" s="5">
        <f>AVERAGE(Datos_originales!$H77:$J77)</f>
        <v>0</v>
      </c>
      <c r="G297" s="5">
        <f>AVERAGE(Datos_originales!$R77:$T77)</f>
        <v>9.0000000000000011E-2</v>
      </c>
      <c r="H297" s="4">
        <v>383.4</v>
      </c>
      <c r="I297" s="4">
        <v>503.1</v>
      </c>
      <c r="J297" s="4">
        <v>609.39</v>
      </c>
      <c r="K297" s="4">
        <v>425.88</v>
      </c>
      <c r="L297" s="4">
        <v>330.48</v>
      </c>
      <c r="M297" s="4">
        <v>300.33</v>
      </c>
      <c r="N297" s="4">
        <v>554.49</v>
      </c>
      <c r="O297" s="4">
        <v>708.66000000000008</v>
      </c>
      <c r="P297" s="4">
        <v>734.4</v>
      </c>
      <c r="Q297" s="4">
        <v>1545.75</v>
      </c>
      <c r="R297" s="4">
        <v>711.63</v>
      </c>
      <c r="S297" s="4">
        <v>1380.69</v>
      </c>
      <c r="T297" s="4">
        <v>686.52</v>
      </c>
      <c r="U297" s="4">
        <v>444.42</v>
      </c>
      <c r="V297" s="4">
        <v>538.02</v>
      </c>
      <c r="W297" s="4">
        <v>722.52</v>
      </c>
      <c r="X297" s="4">
        <v>504.36</v>
      </c>
      <c r="Y297" s="4">
        <v>410.13</v>
      </c>
      <c r="Z297" s="4">
        <v>335.16</v>
      </c>
      <c r="AA297" s="4">
        <v>570.51</v>
      </c>
      <c r="AB297" s="4">
        <v>726.84</v>
      </c>
      <c r="AC297" s="4">
        <v>759.06</v>
      </c>
      <c r="AD297" s="4">
        <v>1866.42</v>
      </c>
      <c r="AE297" s="4">
        <v>715.59</v>
      </c>
      <c r="AF297" s="4">
        <v>1435.05</v>
      </c>
      <c r="AG297" s="4">
        <v>687.24</v>
      </c>
      <c r="AH297" s="6">
        <f>Datos_originales!$H77/Datos_originales!$E77</f>
        <v>0</v>
      </c>
      <c r="AI297" s="6">
        <f>Datos_originales!$I77/Datos_originales!$E77</f>
        <v>0</v>
      </c>
      <c r="AJ297" s="6">
        <f>Datos_originales!$J77/Datos_originales!$E77</f>
        <v>0</v>
      </c>
      <c r="AK297" s="6">
        <f>Datos_originales!$K77/Datos_originales!$E77</f>
        <v>0</v>
      </c>
      <c r="AL297" s="6">
        <f>Datos_originales!$L77/Datos_originales!$E77</f>
        <v>0</v>
      </c>
      <c r="AM297" s="6">
        <f>Datos_originales!$M77/Datos_originales!$E77</f>
        <v>0</v>
      </c>
      <c r="AN297" s="6">
        <f>Datos_originales!$N77/Datos_originales!$E77</f>
        <v>0</v>
      </c>
      <c r="AO297" s="6">
        <f>Datos_originales!$O77/Datos_originales!$E77</f>
        <v>0</v>
      </c>
      <c r="AP297" s="6">
        <f>Datos_originales!$P77/Datos_originales!$E77</f>
        <v>0</v>
      </c>
      <c r="AQ297" s="6">
        <f>Datos_originales!$Q77/Datos_originales!$E77</f>
        <v>0</v>
      </c>
      <c r="AR297" s="6">
        <f>Datos_originales!$R77/Datos_originales!$E77</f>
        <v>0</v>
      </c>
      <c r="AS297" s="6">
        <f>Datos_originales!$S77/Datos_originales!$E77</f>
        <v>3.2967032967032968E-2</v>
      </c>
      <c r="AT297" s="6">
        <f>Datos_originales!$T77/Datos_originales!$E77</f>
        <v>0</v>
      </c>
      <c r="AU297" s="6">
        <f>Datos_originales!$U77/Datos_originales!$E77</f>
        <v>0</v>
      </c>
      <c r="AV297" s="6">
        <f>Datos_originales!$V77/Datos_originales!$E77</f>
        <v>0</v>
      </c>
      <c r="AW297" s="6">
        <f>Datos_originales!$W77/Datos_originales!$E77</f>
        <v>1.098901098901099E-2</v>
      </c>
      <c r="AX297" s="6">
        <f>Datos_originales!$X77/Datos_originales!$E77</f>
        <v>0</v>
      </c>
      <c r="AY297" s="6">
        <f>Datos_originales!$Y77/Datos_originales!$E77</f>
        <v>0</v>
      </c>
      <c r="AZ297" s="6">
        <f>Datos_originales!$Z77/Datos_originales!$E77</f>
        <v>2.197802197802198E-2</v>
      </c>
      <c r="BA297" s="6">
        <f>Datos_originales!$AA77/Datos_originales!$E77</f>
        <v>2.197802197802198E-2</v>
      </c>
      <c r="BB297" s="6">
        <f>Datos_originales!$AB77/Datos_originales!$E77</f>
        <v>3.2967032967032968E-2</v>
      </c>
      <c r="BC297" s="6">
        <f>Datos_originales!$AC77/Datos_originales!$E77</f>
        <v>0.14285714285714285</v>
      </c>
      <c r="BD297" s="6">
        <f>Datos_originales!$AD77/Datos_originales!$E77</f>
        <v>0</v>
      </c>
      <c r="BE297" s="6">
        <f>Datos_originales!$AE77/Datos_originales!$E77</f>
        <v>0</v>
      </c>
      <c r="BF297" s="6">
        <f>Datos_originales!$AF77/Datos_originales!$E77</f>
        <v>3.2967032967032968E-2</v>
      </c>
      <c r="BG297" s="6">
        <f>Datos_originales!$AG77/Datos_originales!$E77</f>
        <v>0</v>
      </c>
    </row>
    <row r="298" spans="1:59" ht="15.75" customHeight="1">
      <c r="A298" s="2">
        <v>71104</v>
      </c>
      <c r="B298" s="3" t="s">
        <v>83</v>
      </c>
      <c r="C298" s="4" t="s">
        <v>117</v>
      </c>
      <c r="D298" s="4">
        <f>IF(Table_1[[#This Row],[Forest cover 2011]]&lt;1000,"Bosque menor a 1000 ha",Table_1[[#This Row],[Forest cover 2011]])</f>
        <v>119226.78</v>
      </c>
      <c r="E298" s="4">
        <v>119226.78</v>
      </c>
      <c r="F298" s="5">
        <f>AVERAGE(Datos_originales!$H56:$J56)</f>
        <v>37.29</v>
      </c>
      <c r="G298" s="5">
        <f>AVERAGE(Datos_originales!$R56:$T56)</f>
        <v>86.40000000000002</v>
      </c>
      <c r="H298" s="4">
        <v>21138.12</v>
      </c>
      <c r="I298" s="4">
        <v>8841.33</v>
      </c>
      <c r="J298" s="4">
        <v>8170.2</v>
      </c>
      <c r="K298" s="4">
        <v>3632.22</v>
      </c>
      <c r="L298" s="4">
        <v>4919.4000000000005</v>
      </c>
      <c r="M298" s="4">
        <v>2968.2</v>
      </c>
      <c r="N298" s="4">
        <v>2700</v>
      </c>
      <c r="O298" s="4">
        <v>4270.2299999999996</v>
      </c>
      <c r="P298" s="4">
        <v>2542.3200000000002</v>
      </c>
      <c r="Q298" s="4">
        <v>4615.7400000000007</v>
      </c>
      <c r="R298" s="4">
        <v>3076.65</v>
      </c>
      <c r="S298" s="4">
        <v>6271.02</v>
      </c>
      <c r="T298" s="4">
        <v>3128.94</v>
      </c>
      <c r="U298" s="4">
        <v>21680.82</v>
      </c>
      <c r="V298" s="4">
        <v>9136.5300000000007</v>
      </c>
      <c r="W298" s="4">
        <v>8329.9500000000007</v>
      </c>
      <c r="X298" s="4">
        <v>3785.13</v>
      </c>
      <c r="Y298" s="4">
        <v>5069.43</v>
      </c>
      <c r="Z298" s="4">
        <v>3045.6</v>
      </c>
      <c r="AA298" s="4">
        <v>2811.87</v>
      </c>
      <c r="AB298" s="4">
        <v>4530.78</v>
      </c>
      <c r="AC298" s="4">
        <v>2660.4</v>
      </c>
      <c r="AD298" s="4">
        <v>4703.8500000000004</v>
      </c>
      <c r="AE298" s="4">
        <v>3190.23</v>
      </c>
      <c r="AF298" s="4">
        <v>6556.68</v>
      </c>
      <c r="AG298" s="4">
        <v>3736.44</v>
      </c>
      <c r="AH298" s="6">
        <f>Datos_originales!$H56/Datos_originales!$E56</f>
        <v>1.0787599223710776E-3</v>
      </c>
      <c r="AI298" s="6">
        <f>Datos_originales!$I56/Datos_originales!$E56</f>
        <v>1.0030116469503484E-3</v>
      </c>
      <c r="AJ298" s="6">
        <f>Datos_originales!$J56/Datos_originales!$E56</f>
        <v>1.1649562357808731E-3</v>
      </c>
      <c r="AK298" s="6">
        <f>Datos_originales!$K56/Datos_originales!$E56</f>
        <v>1.0996559983492099E-3</v>
      </c>
      <c r="AL298" s="6">
        <f>Datos_originales!$L56/Datos_originales!$E56</f>
        <v>9.6644351398861674E-4</v>
      </c>
      <c r="AM298" s="6">
        <f>Datos_originales!$M56/Datos_originales!$E56</f>
        <v>1.5907137838353179E-3</v>
      </c>
      <c r="AN298" s="6">
        <f>Datos_originales!$N56/Datos_originales!$E56</f>
        <v>2.1157276927858911E-3</v>
      </c>
      <c r="AO298" s="6">
        <f>Datos_originales!$O56/Datos_originales!$E56</f>
        <v>1.9955752559116303E-3</v>
      </c>
      <c r="AP298" s="6">
        <f>Datos_originales!$P56/Datos_originales!$E56</f>
        <v>2.928062646435782E-3</v>
      </c>
      <c r="AQ298" s="6">
        <f>Datos_originales!$Q56/Datos_originales!$E56</f>
        <v>6.0859821286310184E-4</v>
      </c>
      <c r="AR298" s="6">
        <f>Datos_originales!$R56/Datos_originales!$E56</f>
        <v>6.7389845029476516E-4</v>
      </c>
      <c r="AS298" s="6">
        <f>Datos_originales!$S56/Datos_originales!$E56</f>
        <v>4.2053352905991161E-3</v>
      </c>
      <c r="AT298" s="6">
        <f>Datos_originales!$T56/Datos_originales!$E56</f>
        <v>2.6433536112337305E-3</v>
      </c>
      <c r="AU298" s="6">
        <f>Datos_originales!$U56/Datos_originales!$E56</f>
        <v>3.1109033112444394E-3</v>
      </c>
      <c r="AV298" s="6">
        <f>Datos_originales!$V56/Datos_originales!$E56</f>
        <v>2.1758039112230211E-3</v>
      </c>
      <c r="AW298" s="6">
        <f>Datos_originales!$W56/Datos_originales!$E56</f>
        <v>3.8396539609818021E-3</v>
      </c>
      <c r="AX298" s="6">
        <f>Datos_originales!$X56/Datos_originales!$E56</f>
        <v>2.1966999872011532E-3</v>
      </c>
      <c r="AY298" s="6">
        <f>Datos_originales!$Y56/Datos_originales!$E56</f>
        <v>1.4339932139993258E-3</v>
      </c>
      <c r="AZ298" s="6">
        <f>Datos_originales!$Z56/Datos_originales!$E56</f>
        <v>1.8101225816057065E-3</v>
      </c>
      <c r="BA298" s="6">
        <f>Datos_originales!$AA56/Datos_originales!$E56</f>
        <v>2.4213328039660751E-3</v>
      </c>
      <c r="BB298" s="6">
        <f>Datos_originales!$AB56/Datos_originales!$E56</f>
        <v>2.5754413643048002E-3</v>
      </c>
      <c r="BC298" s="6">
        <f>Datos_originales!$AC56/Datos_originales!$E56</f>
        <v>3.5732289922606156E-3</v>
      </c>
      <c r="BD298" s="6">
        <f>Datos_originales!$AD56/Datos_originales!$E56</f>
        <v>7.1046658325649669E-4</v>
      </c>
      <c r="BE298" s="6">
        <f>Datos_originales!$AE56/Datos_originales!$E56</f>
        <v>7.0524256426196356E-4</v>
      </c>
      <c r="BF298" s="6">
        <f>Datos_originales!$AF56/Datos_originales!$E56</f>
        <v>4.6624369526207599E-3</v>
      </c>
      <c r="BG298" s="6">
        <f>Datos_originales!$AG56/Datos_originales!$E56</f>
        <v>1.5750417268517187E-2</v>
      </c>
    </row>
    <row r="299" spans="1:59" ht="15.75" customHeight="1">
      <c r="A299" s="2">
        <v>71105</v>
      </c>
      <c r="B299" s="3" t="s">
        <v>83</v>
      </c>
      <c r="C299" s="4" t="s">
        <v>190</v>
      </c>
      <c r="D299" s="4">
        <f>IF(Table_1[[#This Row],[Forest cover 2011]]&lt;1000,"Bosque menor a 1000 ha",Table_1[[#This Row],[Forest cover 2011]])</f>
        <v>168209.19</v>
      </c>
      <c r="E299" s="4">
        <v>168209.19</v>
      </c>
      <c r="F299" s="5">
        <f>AVERAGE(Datos_originales!$H130:$J130)</f>
        <v>0.06</v>
      </c>
      <c r="G299" s="5">
        <f>AVERAGE(Datos_originales!$R130:$T130)</f>
        <v>8.4299999999999979</v>
      </c>
      <c r="H299" s="4">
        <v>134.37</v>
      </c>
      <c r="I299" s="4">
        <v>104.4</v>
      </c>
      <c r="J299" s="4">
        <v>123.75</v>
      </c>
      <c r="K299" s="4">
        <v>105.75</v>
      </c>
      <c r="L299" s="4">
        <v>70.2</v>
      </c>
      <c r="M299" s="4">
        <v>129.69</v>
      </c>
      <c r="N299" s="4">
        <v>252.81</v>
      </c>
      <c r="O299" s="4">
        <v>269.64</v>
      </c>
      <c r="P299" s="4">
        <v>237.33</v>
      </c>
      <c r="Q299" s="4">
        <v>221.94</v>
      </c>
      <c r="R299" s="4">
        <v>720</v>
      </c>
      <c r="S299" s="4">
        <v>2046.15</v>
      </c>
      <c r="T299" s="4">
        <v>1151.6400000000001</v>
      </c>
      <c r="U299" s="4">
        <v>758.25</v>
      </c>
      <c r="V299" s="4">
        <v>1137.69</v>
      </c>
      <c r="W299" s="4">
        <v>2150.1</v>
      </c>
      <c r="X299" s="4">
        <v>1058.31</v>
      </c>
      <c r="Y299" s="4">
        <v>564.92999999999995</v>
      </c>
      <c r="Z299" s="4">
        <v>602.1</v>
      </c>
      <c r="AA299" s="4">
        <v>1090.8900000000001</v>
      </c>
      <c r="AB299" s="4">
        <v>838.08</v>
      </c>
      <c r="AC299" s="4">
        <v>768.78</v>
      </c>
      <c r="AD299" s="4">
        <v>6981.6600000000008</v>
      </c>
      <c r="AE299" s="4">
        <v>721.62</v>
      </c>
      <c r="AF299" s="4">
        <v>2098.98</v>
      </c>
      <c r="AG299" s="4">
        <v>1157.31</v>
      </c>
      <c r="AH299" s="6">
        <f>Datos_originales!$H130/Datos_originales!$E130</f>
        <v>0</v>
      </c>
      <c r="AI299" s="6">
        <f>Datos_originales!$I130/Datos_originales!$E130</f>
        <v>3.4002040122407346E-4</v>
      </c>
      <c r="AJ299" s="6">
        <f>Datos_originales!$J130/Datos_originales!$E130</f>
        <v>0</v>
      </c>
      <c r="AK299" s="6">
        <f>Datos_originales!$K130/Datos_originales!$E130</f>
        <v>0</v>
      </c>
      <c r="AL299" s="6">
        <f>Datos_originales!$L130/Datos_originales!$E130</f>
        <v>3.4002040122407346E-4</v>
      </c>
      <c r="AM299" s="6">
        <f>Datos_originales!$M130/Datos_originales!$E130</f>
        <v>1.7001020061203673E-4</v>
      </c>
      <c r="AN299" s="6">
        <f>Datos_originales!$N130/Datos_originales!$E130</f>
        <v>2.0401224073444408E-3</v>
      </c>
      <c r="AO299" s="6">
        <f>Datos_originales!$O130/Datos_originales!$E130</f>
        <v>1.1900714042842571E-3</v>
      </c>
      <c r="AP299" s="6">
        <f>Datos_originales!$P130/Datos_originales!$E130</f>
        <v>0</v>
      </c>
      <c r="AQ299" s="6">
        <f>Datos_originales!$Q130/Datos_originales!$E130</f>
        <v>5.7803468208092491E-3</v>
      </c>
      <c r="AR299" s="6">
        <f>Datos_originales!$R130/Datos_originales!$E130</f>
        <v>2.8561713702822168E-2</v>
      </c>
      <c r="AS299" s="6">
        <f>Datos_originales!$S130/Datos_originales!$E130</f>
        <v>1.802108126487589E-2</v>
      </c>
      <c r="AT299" s="6">
        <f>Datos_originales!$T130/Datos_originales!$E130</f>
        <v>1.1900714042842571E-3</v>
      </c>
      <c r="AU299" s="6">
        <f>Datos_originales!$U130/Datos_originales!$E130</f>
        <v>2.2101326079564773E-3</v>
      </c>
      <c r="AV299" s="6">
        <f>Datos_originales!$V130/Datos_originales!$E130</f>
        <v>2.2101326079564773E-3</v>
      </c>
      <c r="AW299" s="6">
        <f>Datos_originales!$W130/Datos_originales!$E130</f>
        <v>1.3940836450187011E-2</v>
      </c>
      <c r="AX299" s="6">
        <f>Datos_originales!$X130/Datos_originales!$E130</f>
        <v>2.2101326079564773E-3</v>
      </c>
      <c r="AY299" s="6">
        <f>Datos_originales!$Y130/Datos_originales!$E130</f>
        <v>8.5005100306018361E-4</v>
      </c>
      <c r="AZ299" s="6">
        <f>Datos_originales!$Z130/Datos_originales!$E130</f>
        <v>2.2101326079564773E-3</v>
      </c>
      <c r="BA299" s="6">
        <f>Datos_originales!$AA130/Datos_originales!$E130</f>
        <v>2.3971438286297178E-2</v>
      </c>
      <c r="BB299" s="6">
        <f>Datos_originales!$AB130/Datos_originales!$E130</f>
        <v>3.0771846310778644E-2</v>
      </c>
      <c r="BC299" s="6">
        <f>Datos_originales!$AC130/Datos_originales!$E130</f>
        <v>6.2903774226453586E-3</v>
      </c>
      <c r="BD299" s="6">
        <f>Datos_originales!$AD130/Datos_originales!$E130</f>
        <v>6.6303978238694316E-3</v>
      </c>
      <c r="BE299" s="6">
        <f>Datos_originales!$AE130/Datos_originales!$E130</f>
        <v>3.1451887113226794E-2</v>
      </c>
      <c r="BF299" s="6">
        <f>Datos_originales!$AF130/Datos_originales!$E130</f>
        <v>9.3845630737844271E-2</v>
      </c>
      <c r="BG299" s="6">
        <f>Datos_originales!$AG130/Datos_originales!$E130</f>
        <v>1.5300918055083303E-3</v>
      </c>
    </row>
    <row r="300" spans="1:59" ht="15.75" customHeight="1">
      <c r="A300" s="2">
        <v>71106</v>
      </c>
      <c r="B300" s="3" t="s">
        <v>83</v>
      </c>
      <c r="C300" s="4" t="s">
        <v>135</v>
      </c>
      <c r="D300" s="4">
        <f>IF(Table_1[[#This Row],[Forest cover 2011]]&lt;1000,"Bosque menor a 1000 ha",Table_1[[#This Row],[Forest cover 2011]])</f>
        <v>123518.34</v>
      </c>
      <c r="E300" s="4">
        <v>123518.34</v>
      </c>
      <c r="F300" s="5">
        <f>AVERAGE(Datos_originales!$H72:$J72)</f>
        <v>0</v>
      </c>
      <c r="G300" s="5">
        <f>AVERAGE(Datos_originales!$R72:$T72)</f>
        <v>0</v>
      </c>
      <c r="H300" s="4">
        <v>6118.56</v>
      </c>
      <c r="I300" s="4">
        <v>5441.76</v>
      </c>
      <c r="J300" s="4">
        <v>6902.82</v>
      </c>
      <c r="K300" s="4">
        <v>9030.69</v>
      </c>
      <c r="L300" s="4">
        <v>7889.67</v>
      </c>
      <c r="M300" s="4">
        <v>11116.08</v>
      </c>
      <c r="N300" s="4">
        <v>7031.52</v>
      </c>
      <c r="O300" s="4">
        <v>6243.93</v>
      </c>
      <c r="P300" s="4">
        <v>3253.23</v>
      </c>
      <c r="Q300" s="4">
        <v>4026.6</v>
      </c>
      <c r="R300" s="4">
        <v>3835.71</v>
      </c>
      <c r="S300" s="4">
        <v>4067.82</v>
      </c>
      <c r="T300" s="4">
        <v>2772.36</v>
      </c>
      <c r="U300" s="4">
        <v>6287.49</v>
      </c>
      <c r="V300" s="4">
        <v>5668.29</v>
      </c>
      <c r="W300" s="4">
        <v>7055.55</v>
      </c>
      <c r="X300" s="4">
        <v>9090.36</v>
      </c>
      <c r="Y300" s="4">
        <v>7963.38</v>
      </c>
      <c r="Z300" s="4">
        <v>11136.96</v>
      </c>
      <c r="AA300" s="4">
        <v>7098.48</v>
      </c>
      <c r="AB300" s="4">
        <v>6284.52</v>
      </c>
      <c r="AC300" s="4">
        <v>3270.33</v>
      </c>
      <c r="AD300" s="4">
        <v>4147.1099999999997</v>
      </c>
      <c r="AE300" s="4">
        <v>3865.14</v>
      </c>
      <c r="AF300" s="4">
        <v>4085.46</v>
      </c>
      <c r="AG300" s="4">
        <v>2783.34</v>
      </c>
      <c r="AH300" s="6" t="e">
        <f>Datos_originales!$H72/Datos_originales!$E72</f>
        <v>#DIV/0!</v>
      </c>
      <c r="AI300" s="6" t="e">
        <f>Datos_originales!$I72/Datos_originales!$E72</f>
        <v>#DIV/0!</v>
      </c>
      <c r="AJ300" s="6" t="e">
        <f>Datos_originales!$J72/Datos_originales!$E72</f>
        <v>#DIV/0!</v>
      </c>
      <c r="AK300" s="6" t="e">
        <f>Datos_originales!$K72/Datos_originales!$E72</f>
        <v>#DIV/0!</v>
      </c>
      <c r="AL300" s="6" t="e">
        <f>Datos_originales!$L72/Datos_originales!$E72</f>
        <v>#DIV/0!</v>
      </c>
      <c r="AM300" s="6" t="e">
        <f>Datos_originales!$M72/Datos_originales!$E72</f>
        <v>#DIV/0!</v>
      </c>
      <c r="AN300" s="6" t="e">
        <f>Datos_originales!$N72/Datos_originales!$E72</f>
        <v>#DIV/0!</v>
      </c>
      <c r="AO300" s="6" t="e">
        <f>Datos_originales!$O72/Datos_originales!$E72</f>
        <v>#DIV/0!</v>
      </c>
      <c r="AP300" s="6" t="e">
        <f>Datos_originales!$P72/Datos_originales!$E72</f>
        <v>#DIV/0!</v>
      </c>
      <c r="AQ300" s="6" t="e">
        <f>Datos_originales!$Q72/Datos_originales!$E72</f>
        <v>#DIV/0!</v>
      </c>
      <c r="AR300" s="6" t="e">
        <f>Datos_originales!$R72/Datos_originales!$E72</f>
        <v>#DIV/0!</v>
      </c>
      <c r="AS300" s="6" t="e">
        <f>Datos_originales!$S72/Datos_originales!$E72</f>
        <v>#DIV/0!</v>
      </c>
      <c r="AT300" s="6" t="e">
        <f>Datos_originales!$T72/Datos_originales!$E72</f>
        <v>#DIV/0!</v>
      </c>
      <c r="AU300" s="6" t="e">
        <f>Datos_originales!$U72/Datos_originales!$E72</f>
        <v>#DIV/0!</v>
      </c>
      <c r="AV300" s="6" t="e">
        <f>Datos_originales!$V72/Datos_originales!$E72</f>
        <v>#DIV/0!</v>
      </c>
      <c r="AW300" s="6" t="e">
        <f>Datos_originales!$W72/Datos_originales!$E72</f>
        <v>#DIV/0!</v>
      </c>
      <c r="AX300" s="6" t="e">
        <f>Datos_originales!$X72/Datos_originales!$E72</f>
        <v>#DIV/0!</v>
      </c>
      <c r="AY300" s="6" t="e">
        <f>Datos_originales!$Y72/Datos_originales!$E72</f>
        <v>#DIV/0!</v>
      </c>
      <c r="AZ300" s="6" t="e">
        <f>Datos_originales!$Z72/Datos_originales!$E72</f>
        <v>#DIV/0!</v>
      </c>
      <c r="BA300" s="6" t="e">
        <f>Datos_originales!$AA72/Datos_originales!$E72</f>
        <v>#DIV/0!</v>
      </c>
      <c r="BB300" s="6" t="e">
        <f>Datos_originales!$AB72/Datos_originales!$E72</f>
        <v>#DIV/0!</v>
      </c>
      <c r="BC300" s="6" t="e">
        <f>Datos_originales!$AC72/Datos_originales!$E72</f>
        <v>#DIV/0!</v>
      </c>
      <c r="BD300" s="6" t="e">
        <f>Datos_originales!$AD72/Datos_originales!$E72</f>
        <v>#DIV/0!</v>
      </c>
      <c r="BE300" s="6" t="e">
        <f>Datos_originales!$AE72/Datos_originales!$E72</f>
        <v>#DIV/0!</v>
      </c>
      <c r="BF300" s="6" t="e">
        <f>Datos_originales!$AF72/Datos_originales!$E72</f>
        <v>#DIV/0!</v>
      </c>
      <c r="BG300" s="6" t="e">
        <f>Datos_originales!$AG72/Datos_originales!$E72</f>
        <v>#DIV/0!</v>
      </c>
    </row>
    <row r="301" spans="1:59" ht="15.75" customHeight="1">
      <c r="A301" s="2">
        <v>71201</v>
      </c>
      <c r="B301" s="3" t="s">
        <v>83</v>
      </c>
      <c r="C301" s="4" t="s">
        <v>226</v>
      </c>
      <c r="D301" s="4">
        <f>IF(Table_1[[#This Row],[Forest cover 2011]]&lt;1000,"Bosque menor a 1000 ha",Table_1[[#This Row],[Forest cover 2011]])</f>
        <v>1780795.71</v>
      </c>
      <c r="E301" s="4">
        <v>1780795.71</v>
      </c>
      <c r="F301" s="5">
        <f>AVERAGE(Datos_originales!$H168:$J168)</f>
        <v>0</v>
      </c>
      <c r="G301" s="5">
        <f>AVERAGE(Datos_originales!$R168:$T168)</f>
        <v>0</v>
      </c>
      <c r="H301" s="4">
        <v>1032.1199999999999</v>
      </c>
      <c r="I301" s="4">
        <v>881.73</v>
      </c>
      <c r="J301" s="4">
        <v>604.53</v>
      </c>
      <c r="K301" s="4">
        <v>1923.84</v>
      </c>
      <c r="L301" s="4">
        <v>1314.45</v>
      </c>
      <c r="M301" s="4">
        <v>1469.97</v>
      </c>
      <c r="N301" s="4">
        <v>2311.56</v>
      </c>
      <c r="O301" s="4">
        <v>3261.6</v>
      </c>
      <c r="P301" s="4">
        <v>2534.7600000000002</v>
      </c>
      <c r="Q301" s="4">
        <v>3507.48</v>
      </c>
      <c r="R301" s="4">
        <v>3920.13</v>
      </c>
      <c r="S301" s="4">
        <v>5433.03</v>
      </c>
      <c r="T301" s="4">
        <v>5768.82</v>
      </c>
      <c r="U301" s="4">
        <v>1861.11</v>
      </c>
      <c r="V301" s="4">
        <v>1580.85</v>
      </c>
      <c r="W301" s="4">
        <v>3711.69</v>
      </c>
      <c r="X301" s="4">
        <v>2653.2</v>
      </c>
      <c r="Y301" s="4">
        <v>1751.67</v>
      </c>
      <c r="Z301" s="4">
        <v>1779.3</v>
      </c>
      <c r="AA301" s="4">
        <v>2711.7</v>
      </c>
      <c r="AB301" s="4">
        <v>3590.37</v>
      </c>
      <c r="AC301" s="4">
        <v>3489.75</v>
      </c>
      <c r="AD301" s="4">
        <v>4461.84</v>
      </c>
      <c r="AE301" s="4">
        <v>4317.57</v>
      </c>
      <c r="AF301" s="4">
        <v>6201.27</v>
      </c>
      <c r="AG301" s="4">
        <v>6397.74</v>
      </c>
      <c r="AH301" s="6" t="e">
        <f>Datos_originales!$H168/Datos_originales!$E168</f>
        <v>#DIV/0!</v>
      </c>
      <c r="AI301" s="6" t="e">
        <f>Datos_originales!$I168/Datos_originales!$E168</f>
        <v>#DIV/0!</v>
      </c>
      <c r="AJ301" s="6" t="e">
        <f>Datos_originales!$J168/Datos_originales!$E168</f>
        <v>#DIV/0!</v>
      </c>
      <c r="AK301" s="6" t="e">
        <f>Datos_originales!$K168/Datos_originales!$E168</f>
        <v>#DIV/0!</v>
      </c>
      <c r="AL301" s="6" t="e">
        <f>Datos_originales!$L168/Datos_originales!$E168</f>
        <v>#DIV/0!</v>
      </c>
      <c r="AM301" s="6" t="e">
        <f>Datos_originales!$M168/Datos_originales!$E168</f>
        <v>#DIV/0!</v>
      </c>
      <c r="AN301" s="6" t="e">
        <f>Datos_originales!$N168/Datos_originales!$E168</f>
        <v>#DIV/0!</v>
      </c>
      <c r="AO301" s="6" t="e">
        <f>Datos_originales!$O168/Datos_originales!$E168</f>
        <v>#DIV/0!</v>
      </c>
      <c r="AP301" s="6" t="e">
        <f>Datos_originales!$P168/Datos_originales!$E168</f>
        <v>#DIV/0!</v>
      </c>
      <c r="AQ301" s="6" t="e">
        <f>Datos_originales!$Q168/Datos_originales!$E168</f>
        <v>#DIV/0!</v>
      </c>
      <c r="AR301" s="6" t="e">
        <f>Datos_originales!$R168/Datos_originales!$E168</f>
        <v>#DIV/0!</v>
      </c>
      <c r="AS301" s="6" t="e">
        <f>Datos_originales!$S168/Datos_originales!$E168</f>
        <v>#DIV/0!</v>
      </c>
      <c r="AT301" s="6" t="e">
        <f>Datos_originales!$T168/Datos_originales!$E168</f>
        <v>#DIV/0!</v>
      </c>
      <c r="AU301" s="6" t="e">
        <f>Datos_originales!$U168/Datos_originales!$E168</f>
        <v>#DIV/0!</v>
      </c>
      <c r="AV301" s="6" t="e">
        <f>Datos_originales!$V168/Datos_originales!$E168</f>
        <v>#DIV/0!</v>
      </c>
      <c r="AW301" s="6" t="e">
        <f>Datos_originales!$W168/Datos_originales!$E168</f>
        <v>#DIV/0!</v>
      </c>
      <c r="AX301" s="6" t="e">
        <f>Datos_originales!$X168/Datos_originales!$E168</f>
        <v>#DIV/0!</v>
      </c>
      <c r="AY301" s="6" t="e">
        <f>Datos_originales!$Y168/Datos_originales!$E168</f>
        <v>#DIV/0!</v>
      </c>
      <c r="AZ301" s="6" t="e">
        <f>Datos_originales!$Z168/Datos_originales!$E168</f>
        <v>#DIV/0!</v>
      </c>
      <c r="BA301" s="6" t="e">
        <f>Datos_originales!$AA168/Datos_originales!$E168</f>
        <v>#DIV/0!</v>
      </c>
      <c r="BB301" s="6" t="e">
        <f>Datos_originales!$AB168/Datos_originales!$E168</f>
        <v>#DIV/0!</v>
      </c>
      <c r="BC301" s="6" t="e">
        <f>Datos_originales!$AC168/Datos_originales!$E168</f>
        <v>#DIV/0!</v>
      </c>
      <c r="BD301" s="6" t="e">
        <f>Datos_originales!$AD168/Datos_originales!$E168</f>
        <v>#DIV/0!</v>
      </c>
      <c r="BE301" s="6" t="e">
        <f>Datos_originales!$AE168/Datos_originales!$E168</f>
        <v>#DIV/0!</v>
      </c>
      <c r="BF301" s="6" t="e">
        <f>Datos_originales!$AF168/Datos_originales!$E168</f>
        <v>#DIV/0!</v>
      </c>
      <c r="BG301" s="6" t="e">
        <f>Datos_originales!$AG168/Datos_originales!$E168</f>
        <v>#DIV/0!</v>
      </c>
    </row>
    <row r="302" spans="1:59" ht="15.75" customHeight="1">
      <c r="A302" s="2">
        <v>71301</v>
      </c>
      <c r="B302" s="3" t="s">
        <v>83</v>
      </c>
      <c r="C302" s="4" t="s">
        <v>241</v>
      </c>
      <c r="D302" s="4">
        <f>IF(Table_1[[#This Row],[Forest cover 2011]]&lt;1000,"Bosque menor a 1000 ha",Table_1[[#This Row],[Forest cover 2011]])</f>
        <v>254941.2</v>
      </c>
      <c r="E302" s="4">
        <v>254941.2</v>
      </c>
      <c r="F302" s="5">
        <f>AVERAGE(Datos_originales!$H184:$J184)</f>
        <v>0</v>
      </c>
      <c r="G302" s="5">
        <f>AVERAGE(Datos_originales!$R184:$T184)</f>
        <v>0</v>
      </c>
      <c r="H302" s="4">
        <v>286.38</v>
      </c>
      <c r="I302" s="4">
        <v>201.87</v>
      </c>
      <c r="J302" s="4">
        <v>234.54</v>
      </c>
      <c r="K302" s="4">
        <v>185.94</v>
      </c>
      <c r="L302" s="4">
        <v>218.61</v>
      </c>
      <c r="M302" s="4">
        <v>200.43</v>
      </c>
      <c r="N302" s="4">
        <v>350.28</v>
      </c>
      <c r="O302" s="4">
        <v>262.62</v>
      </c>
      <c r="P302" s="4">
        <v>303.02999999999997</v>
      </c>
      <c r="Q302" s="4">
        <v>291.33</v>
      </c>
      <c r="R302" s="4">
        <v>586.53</v>
      </c>
      <c r="S302" s="4">
        <v>1245.42</v>
      </c>
      <c r="T302" s="4">
        <v>613.79999999999995</v>
      </c>
      <c r="U302" s="4">
        <v>712.8</v>
      </c>
      <c r="V302" s="4">
        <v>754.82999999999993</v>
      </c>
      <c r="W302" s="4">
        <v>1662.84</v>
      </c>
      <c r="X302" s="4">
        <v>597.32999999999993</v>
      </c>
      <c r="Y302" s="4">
        <v>533.06999999999994</v>
      </c>
      <c r="Z302" s="4">
        <v>619.82999999999993</v>
      </c>
      <c r="AA302" s="4">
        <v>845.91</v>
      </c>
      <c r="AB302" s="4">
        <v>832.86</v>
      </c>
      <c r="AC302" s="4">
        <v>576.45000000000005</v>
      </c>
      <c r="AD302" s="4">
        <v>1772.01</v>
      </c>
      <c r="AE302" s="4">
        <v>848.61</v>
      </c>
      <c r="AF302" s="4">
        <v>1421.64</v>
      </c>
      <c r="AG302" s="4">
        <v>646.29</v>
      </c>
      <c r="AH302" s="6" t="e">
        <f>Datos_originales!$H184/Datos_originales!$E184</f>
        <v>#DIV/0!</v>
      </c>
      <c r="AI302" s="6" t="e">
        <f>Datos_originales!$I184/Datos_originales!$E184</f>
        <v>#DIV/0!</v>
      </c>
      <c r="AJ302" s="6" t="e">
        <f>Datos_originales!$J184/Datos_originales!$E184</f>
        <v>#DIV/0!</v>
      </c>
      <c r="AK302" s="6" t="e">
        <f>Datos_originales!$K184/Datos_originales!$E184</f>
        <v>#DIV/0!</v>
      </c>
      <c r="AL302" s="6" t="e">
        <f>Datos_originales!$L184/Datos_originales!$E184</f>
        <v>#DIV/0!</v>
      </c>
      <c r="AM302" s="6" t="e">
        <f>Datos_originales!$M184/Datos_originales!$E184</f>
        <v>#DIV/0!</v>
      </c>
      <c r="AN302" s="6" t="e">
        <f>Datos_originales!$N184/Datos_originales!$E184</f>
        <v>#DIV/0!</v>
      </c>
      <c r="AO302" s="6" t="e">
        <f>Datos_originales!$O184/Datos_originales!$E184</f>
        <v>#DIV/0!</v>
      </c>
      <c r="AP302" s="6" t="e">
        <f>Datos_originales!$P184/Datos_originales!$E184</f>
        <v>#DIV/0!</v>
      </c>
      <c r="AQ302" s="6" t="e">
        <f>Datos_originales!$Q184/Datos_originales!$E184</f>
        <v>#DIV/0!</v>
      </c>
      <c r="AR302" s="6" t="e">
        <f>Datos_originales!$R184/Datos_originales!$E184</f>
        <v>#DIV/0!</v>
      </c>
      <c r="AS302" s="6" t="e">
        <f>Datos_originales!$S184/Datos_originales!$E184</f>
        <v>#DIV/0!</v>
      </c>
      <c r="AT302" s="6" t="e">
        <f>Datos_originales!$T184/Datos_originales!$E184</f>
        <v>#DIV/0!</v>
      </c>
      <c r="AU302" s="6" t="e">
        <f>Datos_originales!$U184/Datos_originales!$E184</f>
        <v>#DIV/0!</v>
      </c>
      <c r="AV302" s="6" t="e">
        <f>Datos_originales!$V184/Datos_originales!$E184</f>
        <v>#DIV/0!</v>
      </c>
      <c r="AW302" s="6" t="e">
        <f>Datos_originales!$W184/Datos_originales!$E184</f>
        <v>#DIV/0!</v>
      </c>
      <c r="AX302" s="6" t="e">
        <f>Datos_originales!$X184/Datos_originales!$E184</f>
        <v>#DIV/0!</v>
      </c>
      <c r="AY302" s="6" t="e">
        <f>Datos_originales!$Y184/Datos_originales!$E184</f>
        <v>#DIV/0!</v>
      </c>
      <c r="AZ302" s="6" t="e">
        <f>Datos_originales!$Z184/Datos_originales!$E184</f>
        <v>#DIV/0!</v>
      </c>
      <c r="BA302" s="6" t="e">
        <f>Datos_originales!$AA184/Datos_originales!$E184</f>
        <v>#DIV/0!</v>
      </c>
      <c r="BB302" s="6" t="e">
        <f>Datos_originales!$AB184/Datos_originales!$E184</f>
        <v>#DIV/0!</v>
      </c>
      <c r="BC302" s="6" t="e">
        <f>Datos_originales!$AC184/Datos_originales!$E184</f>
        <v>#DIV/0!</v>
      </c>
      <c r="BD302" s="6" t="e">
        <f>Datos_originales!$AD184/Datos_originales!$E184</f>
        <v>#DIV/0!</v>
      </c>
      <c r="BE302" s="6" t="e">
        <f>Datos_originales!$AE184/Datos_originales!$E184</f>
        <v>#DIV/0!</v>
      </c>
      <c r="BF302" s="6" t="e">
        <f>Datos_originales!$AF184/Datos_originales!$E184</f>
        <v>#DIV/0!</v>
      </c>
      <c r="BG302" s="6" t="e">
        <f>Datos_originales!$AG184/Datos_originales!$E184</f>
        <v>#DIV/0!</v>
      </c>
    </row>
    <row r="303" spans="1:59" ht="15.75" customHeight="1">
      <c r="A303" s="2">
        <v>71302</v>
      </c>
      <c r="B303" s="3" t="s">
        <v>83</v>
      </c>
      <c r="C303" s="4" t="s">
        <v>189</v>
      </c>
      <c r="D303" s="4">
        <f>IF(Table_1[[#This Row],[Forest cover 2011]]&lt;1000,"Bosque menor a 1000 ha",Table_1[[#This Row],[Forest cover 2011]])</f>
        <v>21281.67</v>
      </c>
      <c r="E303" s="4">
        <v>21281.67</v>
      </c>
      <c r="F303" s="5">
        <f>AVERAGE(Datos_originales!$H129:$J129)</f>
        <v>0.03</v>
      </c>
      <c r="G303" s="5">
        <f>AVERAGE(Datos_originales!$R129:$T129)</f>
        <v>7.7700000000000005</v>
      </c>
      <c r="H303" s="4">
        <v>34.47</v>
      </c>
      <c r="I303" s="4">
        <v>24.93</v>
      </c>
      <c r="J303" s="4">
        <v>22.77</v>
      </c>
      <c r="K303" s="4">
        <v>13.95</v>
      </c>
      <c r="L303" s="4">
        <v>12.78</v>
      </c>
      <c r="M303" s="4">
        <v>16.559999999999999</v>
      </c>
      <c r="N303" s="4">
        <v>19.8</v>
      </c>
      <c r="O303" s="4">
        <v>15.75</v>
      </c>
      <c r="P303" s="4">
        <v>32.4</v>
      </c>
      <c r="Q303" s="4">
        <v>14.67</v>
      </c>
      <c r="R303" s="4">
        <v>52.38</v>
      </c>
      <c r="S303" s="4">
        <v>203.49</v>
      </c>
      <c r="T303" s="4">
        <v>141.38999999999999</v>
      </c>
      <c r="U303" s="4">
        <v>39.96</v>
      </c>
      <c r="V303" s="4">
        <v>32.58</v>
      </c>
      <c r="W303" s="4">
        <v>170.01</v>
      </c>
      <c r="X303" s="4">
        <v>19.260000000000002</v>
      </c>
      <c r="Y303" s="4">
        <v>18.09</v>
      </c>
      <c r="Z303" s="4">
        <v>30.51</v>
      </c>
      <c r="AA303" s="4">
        <v>25.74</v>
      </c>
      <c r="AB303" s="4">
        <v>25.92</v>
      </c>
      <c r="AC303" s="4">
        <v>54.36</v>
      </c>
      <c r="AD303" s="4">
        <v>16.47</v>
      </c>
      <c r="AE303" s="4">
        <v>73.709999999999994</v>
      </c>
      <c r="AF303" s="4">
        <v>254.43</v>
      </c>
      <c r="AG303" s="4">
        <v>146.88</v>
      </c>
      <c r="AH303" s="6">
        <f>Datos_originales!$H129/Datos_originales!$E129</f>
        <v>2.8003360403248392E-4</v>
      </c>
      <c r="AI303" s="6">
        <f>Datos_originales!$I129/Datos_originales!$E129</f>
        <v>0</v>
      </c>
      <c r="AJ303" s="6">
        <f>Datos_originales!$J129/Datos_originales!$E129</f>
        <v>0</v>
      </c>
      <c r="AK303" s="6">
        <f>Datos_originales!$K129/Datos_originales!$E129</f>
        <v>0</v>
      </c>
      <c r="AL303" s="6">
        <f>Datos_originales!$L129/Datos_originales!$E129</f>
        <v>0</v>
      </c>
      <c r="AM303" s="6">
        <f>Datos_originales!$M129/Datos_originales!$E129</f>
        <v>0</v>
      </c>
      <c r="AN303" s="6">
        <f>Datos_originales!$N129/Datos_originales!$E129</f>
        <v>2.8003360403248392E-4</v>
      </c>
      <c r="AO303" s="6">
        <f>Datos_originales!$O129/Datos_originales!$E129</f>
        <v>5.6006720806496785E-4</v>
      </c>
      <c r="AP303" s="6">
        <f>Datos_originales!$P129/Datos_originales!$E129</f>
        <v>2.5203024362923554E-3</v>
      </c>
      <c r="AQ303" s="6">
        <f>Datos_originales!$Q129/Datos_originales!$E129</f>
        <v>1.1761411369364323E-2</v>
      </c>
      <c r="AR303" s="6">
        <f>Datos_originales!$R129/Datos_originales!$E129</f>
        <v>1.1201344161299356E-2</v>
      </c>
      <c r="AS303" s="6">
        <f>Datos_originales!$S129/Datos_originales!$E129</f>
        <v>6.0487258471016526E-2</v>
      </c>
      <c r="AT303" s="6">
        <f>Datos_originales!$T129/Datos_originales!$E129</f>
        <v>8.4010081209745177E-4</v>
      </c>
      <c r="AU303" s="6">
        <f>Datos_originales!$U129/Datos_originales!$E129</f>
        <v>5.0406048725847108E-3</v>
      </c>
      <c r="AV303" s="6">
        <f>Datos_originales!$V129/Datos_originales!$E129</f>
        <v>4.2005040604872592E-3</v>
      </c>
      <c r="AW303" s="6">
        <f>Datos_originales!$W129/Datos_originales!$E129</f>
        <v>2.1842621114533743E-2</v>
      </c>
      <c r="AX303" s="6">
        <f>Datos_originales!$X129/Datos_originales!$E129</f>
        <v>1.7082049845981519E-2</v>
      </c>
      <c r="AY303" s="6">
        <f>Datos_originales!$Y129/Datos_originales!$E129</f>
        <v>3.3604032483898071E-3</v>
      </c>
      <c r="AZ303" s="6">
        <f>Datos_originales!$Z129/Datos_originales!$E129</f>
        <v>1.5961915429851582E-2</v>
      </c>
      <c r="BA303" s="6">
        <f>Datos_originales!$AA129/Datos_originales!$E129</f>
        <v>3.5844301316157942E-2</v>
      </c>
      <c r="BB303" s="6">
        <f>Datos_originales!$AB129/Datos_originales!$E129</f>
        <v>3.3604032483898073E-2</v>
      </c>
      <c r="BC303" s="6">
        <f>Datos_originales!$AC129/Datos_originales!$E129</f>
        <v>1.2041444973396808E-2</v>
      </c>
      <c r="BD303" s="6">
        <f>Datos_originales!$AD129/Datos_originales!$E129</f>
        <v>1.2041444973396808E-2</v>
      </c>
      <c r="BE303" s="6">
        <f>Datos_originales!$AE129/Datos_originales!$E129</f>
        <v>1.2041444973396808E-2</v>
      </c>
      <c r="BF303" s="6">
        <f>Datos_originales!$AF129/Datos_originales!$E129</f>
        <v>0.10249229907588911</v>
      </c>
      <c r="BG303" s="6">
        <f>Datos_originales!$AG129/Datos_originales!$E129</f>
        <v>4.4805376645197428E-3</v>
      </c>
    </row>
    <row r="304" spans="1:59" ht="15.75" customHeight="1">
      <c r="A304" s="2">
        <v>71401</v>
      </c>
      <c r="B304" s="3" t="s">
        <v>83</v>
      </c>
      <c r="C304" s="4" t="s">
        <v>204</v>
      </c>
      <c r="D304" s="4">
        <f>IF(Table_1[[#This Row],[Forest cover 2011]]&lt;1000,"Bosque menor a 1000 ha",Table_1[[#This Row],[Forest cover 2011]])</f>
        <v>959463.72</v>
      </c>
      <c r="E304" s="4">
        <v>959463.72</v>
      </c>
      <c r="F304" s="5">
        <f>AVERAGE(Datos_originales!$H144:$J144)</f>
        <v>3.03</v>
      </c>
      <c r="G304" s="5">
        <f>AVERAGE(Datos_originales!$R144:$T144)</f>
        <v>43.41</v>
      </c>
      <c r="H304" s="4">
        <v>1895.49</v>
      </c>
      <c r="I304" s="4">
        <v>2268</v>
      </c>
      <c r="J304" s="4">
        <v>1760.04</v>
      </c>
      <c r="K304" s="4">
        <v>3131.64</v>
      </c>
      <c r="L304" s="4">
        <v>2266.92</v>
      </c>
      <c r="M304" s="4">
        <v>9053.4599999999991</v>
      </c>
      <c r="N304" s="4">
        <v>6057.45</v>
      </c>
      <c r="O304" s="4">
        <v>4506.4799999999996</v>
      </c>
      <c r="P304" s="4">
        <v>1439.73</v>
      </c>
      <c r="Q304" s="4">
        <v>2540.79</v>
      </c>
      <c r="R304" s="4">
        <v>2586.69</v>
      </c>
      <c r="S304" s="4">
        <v>1984.86</v>
      </c>
      <c r="T304" s="4">
        <v>3012.66</v>
      </c>
      <c r="U304" s="4">
        <v>2914.74</v>
      </c>
      <c r="V304" s="4">
        <v>3950.46</v>
      </c>
      <c r="W304" s="4">
        <v>3979.71</v>
      </c>
      <c r="X304" s="4">
        <v>4850.7299999999996</v>
      </c>
      <c r="Y304" s="4">
        <v>3031.92</v>
      </c>
      <c r="Z304" s="4">
        <v>9565.02</v>
      </c>
      <c r="AA304" s="4">
        <v>6533.01</v>
      </c>
      <c r="AB304" s="4">
        <v>5550.9299999999994</v>
      </c>
      <c r="AC304" s="4">
        <v>2380.9499999999998</v>
      </c>
      <c r="AD304" s="4">
        <v>5156.91</v>
      </c>
      <c r="AE304" s="4">
        <v>2815.83</v>
      </c>
      <c r="AF304" s="4">
        <v>2310.84</v>
      </c>
      <c r="AG304" s="4">
        <v>5229</v>
      </c>
      <c r="AH304" s="6">
        <f>Datos_originales!$H144/Datos_originales!$E144</f>
        <v>1.1364282061480766E-3</v>
      </c>
      <c r="AI304" s="6">
        <f>Datos_originales!$I144/Datos_originales!$E144</f>
        <v>1.5341780782999034E-3</v>
      </c>
      <c r="AJ304" s="6">
        <f>Datos_originales!$J144/Datos_originales!$E144</f>
        <v>3.0683561565998064E-3</v>
      </c>
      <c r="AK304" s="6">
        <f>Datos_originales!$K144/Datos_originales!$E144</f>
        <v>2.4433206432183645E-3</v>
      </c>
      <c r="AL304" s="6">
        <f>Datos_originales!$L144/Datos_originales!$E144</f>
        <v>2.8410705153701912E-3</v>
      </c>
      <c r="AM304" s="6">
        <f>Datos_originales!$M144/Datos_originales!$E144</f>
        <v>1.4205352576850956E-3</v>
      </c>
      <c r="AN304" s="6">
        <f>Datos_originales!$N144/Datos_originales!$E144</f>
        <v>1.5909994886073072E-3</v>
      </c>
      <c r="AO304" s="6">
        <f>Datos_originales!$O144/Datos_originales!$E144</f>
        <v>1.5909994886073072E-3</v>
      </c>
      <c r="AP304" s="6">
        <f>Datos_originales!$P144/Datos_originales!$E144</f>
        <v>1.0796067958406728E-2</v>
      </c>
      <c r="AQ304" s="6">
        <f>Datos_originales!$Q144/Datos_originales!$E144</f>
        <v>1.1818853343939995E-2</v>
      </c>
      <c r="AR304" s="6">
        <f>Datos_originales!$R144/Datos_originales!$E144</f>
        <v>2.0910278993124608E-2</v>
      </c>
      <c r="AS304" s="6">
        <f>Datos_originales!$S144/Datos_originales!$E144</f>
        <v>5.9037445309392582E-2</v>
      </c>
      <c r="AT304" s="6">
        <f>Datos_originales!$T144/Datos_originales!$E144</f>
        <v>2.2728564122961531E-3</v>
      </c>
      <c r="AU304" s="6">
        <f>Datos_originales!$U144/Datos_originales!$E144</f>
        <v>7.8413546224217288E-3</v>
      </c>
      <c r="AV304" s="6">
        <f>Datos_originales!$V144/Datos_originales!$E144</f>
        <v>9.0346042388772096E-3</v>
      </c>
      <c r="AW304" s="6">
        <f>Datos_originales!$W144/Datos_originales!$E144</f>
        <v>2.4262742201261435E-2</v>
      </c>
      <c r="AX304" s="6">
        <f>Datos_originales!$X144/Datos_originales!$E144</f>
        <v>1.6137280527302685E-2</v>
      </c>
      <c r="AY304" s="6">
        <f>Datos_originales!$Y144/Datos_originales!$E144</f>
        <v>1.0000568214103073E-2</v>
      </c>
      <c r="AZ304" s="6">
        <f>Datos_originales!$Z144/Datos_originales!$E144</f>
        <v>2.8751633615546335E-2</v>
      </c>
      <c r="BA304" s="6">
        <f>Datos_originales!$AA144/Datos_originales!$E144</f>
        <v>2.97175975907722E-2</v>
      </c>
      <c r="BB304" s="6">
        <f>Datos_originales!$AB144/Datos_originales!$E144</f>
        <v>4.5116199784078645E-2</v>
      </c>
      <c r="BC304" s="6">
        <f>Datos_originales!$AC144/Datos_originales!$E144</f>
        <v>3.2274561054605369E-2</v>
      </c>
      <c r="BD304" s="6">
        <f>Datos_originales!$AD144/Datos_originales!$E144</f>
        <v>1.2898460139780668E-2</v>
      </c>
      <c r="BE304" s="6">
        <f>Datos_originales!$AE144/Datos_originales!$E144</f>
        <v>2.8069776691857493E-2</v>
      </c>
      <c r="BF304" s="6">
        <f>Datos_originales!$AF144/Datos_originales!$E144</f>
        <v>0.11631342689925563</v>
      </c>
      <c r="BG304" s="6">
        <f>Datos_originales!$AG144/Datos_originales!$E144</f>
        <v>2.7842491050627874E-3</v>
      </c>
    </row>
    <row r="305" spans="1:59" ht="15.75" customHeight="1">
      <c r="A305" s="2">
        <v>71402</v>
      </c>
      <c r="B305" s="3" t="s">
        <v>83</v>
      </c>
      <c r="C305" s="4" t="s">
        <v>239</v>
      </c>
      <c r="D305" s="4">
        <f>IF(Table_1[[#This Row],[Forest cover 2011]]&lt;1000,"Bosque menor a 1000 ha",Table_1[[#This Row],[Forest cover 2011]])</f>
        <v>102474.54</v>
      </c>
      <c r="E305" s="4">
        <v>102474.54</v>
      </c>
      <c r="F305" s="5">
        <f>AVERAGE(Datos_originales!$H181:$J181)</f>
        <v>0</v>
      </c>
      <c r="G305" s="5">
        <f>AVERAGE(Datos_originales!$R181:$T181)</f>
        <v>0</v>
      </c>
      <c r="H305" s="4">
        <v>193.59</v>
      </c>
      <c r="I305" s="4">
        <v>160.83000000000001</v>
      </c>
      <c r="J305" s="4">
        <v>88.11</v>
      </c>
      <c r="K305" s="4">
        <v>57.510000000000012</v>
      </c>
      <c r="L305" s="4">
        <v>119.88</v>
      </c>
      <c r="M305" s="4">
        <v>106.47</v>
      </c>
      <c r="N305" s="4">
        <v>80.19</v>
      </c>
      <c r="O305" s="4">
        <v>93.06</v>
      </c>
      <c r="P305" s="4">
        <v>284.67</v>
      </c>
      <c r="Q305" s="4">
        <v>341.19</v>
      </c>
      <c r="R305" s="4">
        <v>70.38</v>
      </c>
      <c r="S305" s="4">
        <v>136.88999999999999</v>
      </c>
      <c r="T305" s="4">
        <v>198.27</v>
      </c>
      <c r="U305" s="4">
        <v>366.12</v>
      </c>
      <c r="V305" s="4">
        <v>228.87</v>
      </c>
      <c r="W305" s="4">
        <v>225.9</v>
      </c>
      <c r="X305" s="4">
        <v>145.16999999999999</v>
      </c>
      <c r="Y305" s="4">
        <v>218.43</v>
      </c>
      <c r="Z305" s="4">
        <v>135</v>
      </c>
      <c r="AA305" s="4">
        <v>173.16</v>
      </c>
      <c r="AB305" s="4">
        <v>352.44</v>
      </c>
      <c r="AC305" s="4">
        <v>338.94</v>
      </c>
      <c r="AD305" s="4">
        <v>880.02</v>
      </c>
      <c r="AE305" s="4">
        <v>80.010000000000005</v>
      </c>
      <c r="AF305" s="4">
        <v>174.69</v>
      </c>
      <c r="AG305" s="4">
        <v>269.01</v>
      </c>
      <c r="AH305" s="6" t="e">
        <f>Datos_originales!$H181/Datos_originales!$E181</f>
        <v>#DIV/0!</v>
      </c>
      <c r="AI305" s="6" t="e">
        <f>Datos_originales!$I181/Datos_originales!$E181</f>
        <v>#DIV/0!</v>
      </c>
      <c r="AJ305" s="6" t="e">
        <f>Datos_originales!$J181/Datos_originales!$E181</f>
        <v>#DIV/0!</v>
      </c>
      <c r="AK305" s="6" t="e">
        <f>Datos_originales!$K181/Datos_originales!$E181</f>
        <v>#DIV/0!</v>
      </c>
      <c r="AL305" s="6" t="e">
        <f>Datos_originales!$L181/Datos_originales!$E181</f>
        <v>#DIV/0!</v>
      </c>
      <c r="AM305" s="6" t="e">
        <f>Datos_originales!$M181/Datos_originales!$E181</f>
        <v>#DIV/0!</v>
      </c>
      <c r="AN305" s="6" t="e">
        <f>Datos_originales!$N181/Datos_originales!$E181</f>
        <v>#DIV/0!</v>
      </c>
      <c r="AO305" s="6" t="e">
        <f>Datos_originales!$O181/Datos_originales!$E181</f>
        <v>#DIV/0!</v>
      </c>
      <c r="AP305" s="6" t="e">
        <f>Datos_originales!$P181/Datos_originales!$E181</f>
        <v>#DIV/0!</v>
      </c>
      <c r="AQ305" s="6" t="e">
        <f>Datos_originales!$Q181/Datos_originales!$E181</f>
        <v>#DIV/0!</v>
      </c>
      <c r="AR305" s="6" t="e">
        <f>Datos_originales!$R181/Datos_originales!$E181</f>
        <v>#DIV/0!</v>
      </c>
      <c r="AS305" s="6" t="e">
        <f>Datos_originales!$S181/Datos_originales!$E181</f>
        <v>#DIV/0!</v>
      </c>
      <c r="AT305" s="6" t="e">
        <f>Datos_originales!$T181/Datos_originales!$E181</f>
        <v>#DIV/0!</v>
      </c>
      <c r="AU305" s="6" t="e">
        <f>Datos_originales!$U181/Datos_originales!$E181</f>
        <v>#DIV/0!</v>
      </c>
      <c r="AV305" s="6" t="e">
        <f>Datos_originales!$V181/Datos_originales!$E181</f>
        <v>#DIV/0!</v>
      </c>
      <c r="AW305" s="6" t="e">
        <f>Datos_originales!$W181/Datos_originales!$E181</f>
        <v>#DIV/0!</v>
      </c>
      <c r="AX305" s="6" t="e">
        <f>Datos_originales!$X181/Datos_originales!$E181</f>
        <v>#DIV/0!</v>
      </c>
      <c r="AY305" s="6" t="e">
        <f>Datos_originales!$Y181/Datos_originales!$E181</f>
        <v>#DIV/0!</v>
      </c>
      <c r="AZ305" s="6" t="e">
        <f>Datos_originales!$Z181/Datos_originales!$E181</f>
        <v>#DIV/0!</v>
      </c>
      <c r="BA305" s="6" t="e">
        <f>Datos_originales!$AA181/Datos_originales!$E181</f>
        <v>#DIV/0!</v>
      </c>
      <c r="BB305" s="6" t="e">
        <f>Datos_originales!$AB181/Datos_originales!$E181</f>
        <v>#DIV/0!</v>
      </c>
      <c r="BC305" s="6" t="e">
        <f>Datos_originales!$AC181/Datos_originales!$E181</f>
        <v>#DIV/0!</v>
      </c>
      <c r="BD305" s="6" t="e">
        <f>Datos_originales!$AD181/Datos_originales!$E181</f>
        <v>#DIV/0!</v>
      </c>
      <c r="BE305" s="6" t="e">
        <f>Datos_originales!$AE181/Datos_originales!$E181</f>
        <v>#DIV/0!</v>
      </c>
      <c r="BF305" s="6" t="e">
        <f>Datos_originales!$AF181/Datos_originales!$E181</f>
        <v>#DIV/0!</v>
      </c>
      <c r="BG305" s="6" t="e">
        <f>Datos_originales!$AG181/Datos_originales!$E181</f>
        <v>#DIV/0!</v>
      </c>
    </row>
    <row r="306" spans="1:59" ht="15.75" customHeight="1">
      <c r="A306" s="2">
        <v>71403</v>
      </c>
      <c r="B306" s="3" t="s">
        <v>83</v>
      </c>
      <c r="C306" s="4" t="s">
        <v>155</v>
      </c>
      <c r="D306" s="4">
        <f>IF(Table_1[[#This Row],[Forest cover 2011]]&lt;1000,"Bosque menor a 1000 ha",Table_1[[#This Row],[Forest cover 2011]])</f>
        <v>858557.52</v>
      </c>
      <c r="E306" s="4">
        <v>858557.52</v>
      </c>
      <c r="F306" s="5">
        <f>AVERAGE(Datos_originales!$H94:$J94)</f>
        <v>0</v>
      </c>
      <c r="G306" s="5">
        <f>AVERAGE(Datos_originales!$R94:$T94)</f>
        <v>0</v>
      </c>
      <c r="H306" s="4">
        <v>3883.23</v>
      </c>
      <c r="I306" s="4">
        <v>2029.59</v>
      </c>
      <c r="J306" s="4">
        <v>957.15</v>
      </c>
      <c r="K306" s="4">
        <v>1358.91</v>
      </c>
      <c r="L306" s="4">
        <v>8880.84</v>
      </c>
      <c r="M306" s="4">
        <v>12737.97</v>
      </c>
      <c r="N306" s="4">
        <v>14564.52</v>
      </c>
      <c r="O306" s="4">
        <v>21757.05</v>
      </c>
      <c r="P306" s="4">
        <v>12130.2</v>
      </c>
      <c r="Q306" s="4">
        <v>14231.07</v>
      </c>
      <c r="R306" s="4">
        <v>11249.82</v>
      </c>
      <c r="S306" s="4">
        <v>3884.13</v>
      </c>
      <c r="T306" s="4">
        <v>11818.17</v>
      </c>
      <c r="U306" s="4">
        <v>4557.6000000000004</v>
      </c>
      <c r="V306" s="4">
        <v>2531.34</v>
      </c>
      <c r="W306" s="4">
        <v>2362.0500000000002</v>
      </c>
      <c r="X306" s="4">
        <v>1909.08</v>
      </c>
      <c r="Y306" s="4">
        <v>9214.2000000000007</v>
      </c>
      <c r="Z306" s="4">
        <v>13208.31</v>
      </c>
      <c r="AA306" s="4">
        <v>15105.6</v>
      </c>
      <c r="AB306" s="4">
        <v>22836.33</v>
      </c>
      <c r="AC306" s="4">
        <v>12413.88</v>
      </c>
      <c r="AD306" s="4">
        <v>15446.97</v>
      </c>
      <c r="AE306" s="4">
        <v>11805.12</v>
      </c>
      <c r="AF306" s="4">
        <v>3964.14</v>
      </c>
      <c r="AG306" s="4">
        <v>13583.25</v>
      </c>
      <c r="AH306" s="6" t="e">
        <f>Datos_originales!$H94/Datos_originales!$E94</f>
        <v>#DIV/0!</v>
      </c>
      <c r="AI306" s="6" t="e">
        <f>Datos_originales!$I94/Datos_originales!$E94</f>
        <v>#DIV/0!</v>
      </c>
      <c r="AJ306" s="6" t="e">
        <f>Datos_originales!$J94/Datos_originales!$E94</f>
        <v>#DIV/0!</v>
      </c>
      <c r="AK306" s="6" t="e">
        <f>Datos_originales!$K94/Datos_originales!$E94</f>
        <v>#DIV/0!</v>
      </c>
      <c r="AL306" s="6" t="e">
        <f>Datos_originales!$L94/Datos_originales!$E94</f>
        <v>#DIV/0!</v>
      </c>
      <c r="AM306" s="6" t="e">
        <f>Datos_originales!$M94/Datos_originales!$E94</f>
        <v>#DIV/0!</v>
      </c>
      <c r="AN306" s="6" t="e">
        <f>Datos_originales!$N94/Datos_originales!$E94</f>
        <v>#DIV/0!</v>
      </c>
      <c r="AO306" s="6" t="e">
        <f>Datos_originales!$O94/Datos_originales!$E94</f>
        <v>#DIV/0!</v>
      </c>
      <c r="AP306" s="6" t="e">
        <f>Datos_originales!$P94/Datos_originales!$E94</f>
        <v>#DIV/0!</v>
      </c>
      <c r="AQ306" s="6" t="e">
        <f>Datos_originales!$Q94/Datos_originales!$E94</f>
        <v>#DIV/0!</v>
      </c>
      <c r="AR306" s="6" t="e">
        <f>Datos_originales!$R94/Datos_originales!$E94</f>
        <v>#DIV/0!</v>
      </c>
      <c r="AS306" s="6" t="e">
        <f>Datos_originales!$S94/Datos_originales!$E94</f>
        <v>#DIV/0!</v>
      </c>
      <c r="AT306" s="6" t="e">
        <f>Datos_originales!$T94/Datos_originales!$E94</f>
        <v>#DIV/0!</v>
      </c>
      <c r="AU306" s="6" t="e">
        <f>Datos_originales!$U94/Datos_originales!$E94</f>
        <v>#DIV/0!</v>
      </c>
      <c r="AV306" s="6" t="e">
        <f>Datos_originales!$V94/Datos_originales!$E94</f>
        <v>#DIV/0!</v>
      </c>
      <c r="AW306" s="6" t="e">
        <f>Datos_originales!$W94/Datos_originales!$E94</f>
        <v>#DIV/0!</v>
      </c>
      <c r="AX306" s="6" t="e">
        <f>Datos_originales!$X94/Datos_originales!$E94</f>
        <v>#DIV/0!</v>
      </c>
      <c r="AY306" s="6" t="e">
        <f>Datos_originales!$Y94/Datos_originales!$E94</f>
        <v>#DIV/0!</v>
      </c>
      <c r="AZ306" s="6" t="e">
        <f>Datos_originales!$Z94/Datos_originales!$E94</f>
        <v>#DIV/0!</v>
      </c>
      <c r="BA306" s="6" t="e">
        <f>Datos_originales!$AA94/Datos_originales!$E94</f>
        <v>#DIV/0!</v>
      </c>
      <c r="BB306" s="6" t="e">
        <f>Datos_originales!$AB94/Datos_originales!$E94</f>
        <v>#DIV/0!</v>
      </c>
      <c r="BC306" s="6" t="e">
        <f>Datos_originales!$AC94/Datos_originales!$E94</f>
        <v>#DIV/0!</v>
      </c>
      <c r="BD306" s="6" t="e">
        <f>Datos_originales!$AD94/Datos_originales!$E94</f>
        <v>#DIV/0!</v>
      </c>
      <c r="BE306" s="6" t="e">
        <f>Datos_originales!$AE94/Datos_originales!$E94</f>
        <v>#DIV/0!</v>
      </c>
      <c r="BF306" s="6" t="e">
        <f>Datos_originales!$AF94/Datos_originales!$E94</f>
        <v>#DIV/0!</v>
      </c>
      <c r="BG306" s="6" t="e">
        <f>Datos_originales!$AG94/Datos_originales!$E94</f>
        <v>#DIV/0!</v>
      </c>
    </row>
    <row r="307" spans="1:59" ht="15.75" customHeight="1">
      <c r="A307" s="2">
        <v>71501</v>
      </c>
      <c r="B307" s="3" t="s">
        <v>83</v>
      </c>
      <c r="C307" s="4" t="s">
        <v>105</v>
      </c>
      <c r="D307" s="4">
        <f>IF(Table_1[[#This Row],[Forest cover 2011]]&lt;1000,"Bosque menor a 1000 ha",Table_1[[#This Row],[Forest cover 2011]])</f>
        <v>707265.36</v>
      </c>
      <c r="E307" s="4">
        <v>707265.36</v>
      </c>
      <c r="F307" s="5">
        <f>AVERAGE(Datos_originales!$H43:$J43)</f>
        <v>0</v>
      </c>
      <c r="G307" s="5">
        <f>AVERAGE(Datos_originales!$R43:$T43)</f>
        <v>0</v>
      </c>
      <c r="H307" s="4">
        <v>6665.67</v>
      </c>
      <c r="I307" s="4">
        <v>5420.43</v>
      </c>
      <c r="J307" s="4">
        <v>8932.9500000000007</v>
      </c>
      <c r="K307" s="4">
        <v>4007.61</v>
      </c>
      <c r="L307" s="4">
        <v>10606.68</v>
      </c>
      <c r="M307" s="4">
        <v>10287</v>
      </c>
      <c r="N307" s="4">
        <v>7907.58</v>
      </c>
      <c r="O307" s="4">
        <v>9283.41</v>
      </c>
      <c r="P307" s="4">
        <v>10115.73</v>
      </c>
      <c r="Q307" s="4">
        <v>11061.9</v>
      </c>
      <c r="R307" s="4">
        <v>10897.74</v>
      </c>
      <c r="S307" s="4">
        <v>17150.13</v>
      </c>
      <c r="T307" s="4">
        <v>17334.18</v>
      </c>
      <c r="U307" s="4">
        <v>9355.77</v>
      </c>
      <c r="V307" s="4">
        <v>7587.45</v>
      </c>
      <c r="W307" s="4">
        <v>14311.8</v>
      </c>
      <c r="X307" s="4">
        <v>5741.82</v>
      </c>
      <c r="Y307" s="4">
        <v>12599.28</v>
      </c>
      <c r="Z307" s="4">
        <v>15897.33</v>
      </c>
      <c r="AA307" s="4">
        <v>8945.91</v>
      </c>
      <c r="AB307" s="4">
        <v>10971</v>
      </c>
      <c r="AC307" s="4">
        <v>14993.1</v>
      </c>
      <c r="AD307" s="4">
        <v>11292.48</v>
      </c>
      <c r="AE307" s="4">
        <v>11047.41</v>
      </c>
      <c r="AF307" s="4">
        <v>17998.38</v>
      </c>
      <c r="AG307" s="4">
        <v>29664.45</v>
      </c>
      <c r="AH307" s="6" t="e">
        <f>Datos_originales!$H43/Datos_originales!$E43</f>
        <v>#DIV/0!</v>
      </c>
      <c r="AI307" s="6" t="e">
        <f>Datos_originales!$I43/Datos_originales!$E43</f>
        <v>#DIV/0!</v>
      </c>
      <c r="AJ307" s="6" t="e">
        <f>Datos_originales!$J43/Datos_originales!$E43</f>
        <v>#DIV/0!</v>
      </c>
      <c r="AK307" s="6" t="e">
        <f>Datos_originales!$K43/Datos_originales!$E43</f>
        <v>#DIV/0!</v>
      </c>
      <c r="AL307" s="6" t="e">
        <f>Datos_originales!$L43/Datos_originales!$E43</f>
        <v>#DIV/0!</v>
      </c>
      <c r="AM307" s="6" t="e">
        <f>Datos_originales!$M43/Datos_originales!$E43</f>
        <v>#DIV/0!</v>
      </c>
      <c r="AN307" s="6" t="e">
        <f>Datos_originales!$N43/Datos_originales!$E43</f>
        <v>#DIV/0!</v>
      </c>
      <c r="AO307" s="6" t="e">
        <f>Datos_originales!$O43/Datos_originales!$E43</f>
        <v>#DIV/0!</v>
      </c>
      <c r="AP307" s="6" t="e">
        <f>Datos_originales!$P43/Datos_originales!$E43</f>
        <v>#DIV/0!</v>
      </c>
      <c r="AQ307" s="6" t="e">
        <f>Datos_originales!$Q43/Datos_originales!$E43</f>
        <v>#DIV/0!</v>
      </c>
      <c r="AR307" s="6" t="e">
        <f>Datos_originales!$R43/Datos_originales!$E43</f>
        <v>#DIV/0!</v>
      </c>
      <c r="AS307" s="6" t="e">
        <f>Datos_originales!$S43/Datos_originales!$E43</f>
        <v>#DIV/0!</v>
      </c>
      <c r="AT307" s="6" t="e">
        <f>Datos_originales!$T43/Datos_originales!$E43</f>
        <v>#DIV/0!</v>
      </c>
      <c r="AU307" s="6" t="e">
        <f>Datos_originales!$U43/Datos_originales!$E43</f>
        <v>#DIV/0!</v>
      </c>
      <c r="AV307" s="6" t="e">
        <f>Datos_originales!$V43/Datos_originales!$E43</f>
        <v>#DIV/0!</v>
      </c>
      <c r="AW307" s="6" t="e">
        <f>Datos_originales!$W43/Datos_originales!$E43</f>
        <v>#DIV/0!</v>
      </c>
      <c r="AX307" s="6" t="e">
        <f>Datos_originales!$X43/Datos_originales!$E43</f>
        <v>#DIV/0!</v>
      </c>
      <c r="AY307" s="6" t="e">
        <f>Datos_originales!$Y43/Datos_originales!$E43</f>
        <v>#DIV/0!</v>
      </c>
      <c r="AZ307" s="6" t="e">
        <f>Datos_originales!$Z43/Datos_originales!$E43</f>
        <v>#DIV/0!</v>
      </c>
      <c r="BA307" s="6" t="e">
        <f>Datos_originales!$AA43/Datos_originales!$E43</f>
        <v>#DIV/0!</v>
      </c>
      <c r="BB307" s="6" t="e">
        <f>Datos_originales!$AB43/Datos_originales!$E43</f>
        <v>#DIV/0!</v>
      </c>
      <c r="BC307" s="6" t="e">
        <f>Datos_originales!$AC43/Datos_originales!$E43</f>
        <v>#DIV/0!</v>
      </c>
      <c r="BD307" s="6" t="e">
        <f>Datos_originales!$AD43/Datos_originales!$E43</f>
        <v>#DIV/0!</v>
      </c>
      <c r="BE307" s="6" t="e">
        <f>Datos_originales!$AE43/Datos_originales!$E43</f>
        <v>#DIV/0!</v>
      </c>
      <c r="BF307" s="6" t="e">
        <f>Datos_originales!$AF43/Datos_originales!$E43</f>
        <v>#DIV/0!</v>
      </c>
      <c r="BG307" s="6" t="e">
        <f>Datos_originales!$AG43/Datos_originales!$E43</f>
        <v>#DIV/0!</v>
      </c>
    </row>
    <row r="308" spans="1:59" ht="15.75" customHeight="1">
      <c r="A308" s="2">
        <v>71502</v>
      </c>
      <c r="B308" s="3" t="s">
        <v>83</v>
      </c>
      <c r="C308" s="4" t="s">
        <v>186</v>
      </c>
      <c r="D308" s="4">
        <f>IF(Table_1[[#This Row],[Forest cover 2011]]&lt;1000,"Bosque menor a 1000 ha",Table_1[[#This Row],[Forest cover 2011]])</f>
        <v>1533241.71</v>
      </c>
      <c r="E308" s="4">
        <v>1533241.71</v>
      </c>
      <c r="F308" s="5">
        <f>AVERAGE(Datos_originales!$H126:$J126)</f>
        <v>9.0000000000000011E-2</v>
      </c>
      <c r="G308" s="5">
        <f>AVERAGE(Datos_originales!$R126:$T126)</f>
        <v>2.46</v>
      </c>
      <c r="H308" s="4">
        <v>243.54</v>
      </c>
      <c r="I308" s="4">
        <v>270.99</v>
      </c>
      <c r="J308" s="4">
        <v>496.62</v>
      </c>
      <c r="K308" s="4">
        <v>293.49</v>
      </c>
      <c r="L308" s="4">
        <v>654.92999999999995</v>
      </c>
      <c r="M308" s="4">
        <v>497.34</v>
      </c>
      <c r="N308" s="4">
        <v>461.25</v>
      </c>
      <c r="O308" s="4">
        <v>626.57999999999993</v>
      </c>
      <c r="P308" s="4">
        <v>524.61</v>
      </c>
      <c r="Q308" s="4">
        <v>1431.27</v>
      </c>
      <c r="R308" s="4">
        <v>839.97</v>
      </c>
      <c r="S308" s="4">
        <v>3545.19</v>
      </c>
      <c r="T308" s="4">
        <v>3485.16</v>
      </c>
      <c r="U308" s="4">
        <v>5737.68</v>
      </c>
      <c r="V308" s="4">
        <v>4284.8100000000004</v>
      </c>
      <c r="W308" s="4">
        <v>3578.22</v>
      </c>
      <c r="X308" s="4">
        <v>1719</v>
      </c>
      <c r="Y308" s="4">
        <v>2903.31</v>
      </c>
      <c r="Z308" s="4">
        <v>2596.6799999999998</v>
      </c>
      <c r="AA308" s="4">
        <v>1704.69</v>
      </c>
      <c r="AB308" s="4">
        <v>2219.58</v>
      </c>
      <c r="AC308" s="4">
        <v>2632.32</v>
      </c>
      <c r="AD308" s="4">
        <v>1584.81</v>
      </c>
      <c r="AE308" s="4">
        <v>1343.43</v>
      </c>
      <c r="AF308" s="4">
        <v>4910.76</v>
      </c>
      <c r="AG308" s="4">
        <v>10967.31</v>
      </c>
      <c r="AH308" s="6">
        <f>Datos_originales!$H126/Datos_originales!$E126</f>
        <v>4.5882083046570311E-5</v>
      </c>
      <c r="AI308" s="6">
        <f>Datos_originales!$I126/Datos_originales!$E126</f>
        <v>0</v>
      </c>
      <c r="AJ308" s="6">
        <f>Datos_originales!$J126/Datos_originales!$E126</f>
        <v>9.1764166093140622E-5</v>
      </c>
      <c r="AK308" s="6">
        <f>Datos_originales!$K126/Datos_originales!$E126</f>
        <v>4.5882083046570311E-5</v>
      </c>
      <c r="AL308" s="6">
        <f>Datos_originales!$L126/Datos_originales!$E126</f>
        <v>4.5882083046570311E-5</v>
      </c>
      <c r="AM308" s="6">
        <f>Datos_originales!$M126/Datos_originales!$E126</f>
        <v>4.5882083046570311E-5</v>
      </c>
      <c r="AN308" s="6">
        <f>Datos_originales!$N126/Datos_originales!$E126</f>
        <v>0</v>
      </c>
      <c r="AO308" s="6">
        <f>Datos_originales!$O126/Datos_originales!$E126</f>
        <v>0</v>
      </c>
      <c r="AP308" s="6">
        <f>Datos_originales!$P126/Datos_originales!$E126</f>
        <v>5.5058499655884381E-4</v>
      </c>
      <c r="AQ308" s="6">
        <f>Datos_originales!$Q126/Datos_originales!$E126</f>
        <v>4.5882083046570318E-4</v>
      </c>
      <c r="AR308" s="6">
        <f>Datos_originales!$R126/Datos_originales!$E126</f>
        <v>1.8352833218628124E-4</v>
      </c>
      <c r="AS308" s="6">
        <f>Datos_originales!$S126/Datos_originales!$E126</f>
        <v>3.5788024776324842E-3</v>
      </c>
      <c r="AT308" s="6">
        <f>Datos_originales!$T126/Datos_originales!$E126</f>
        <v>0</v>
      </c>
      <c r="AU308" s="6">
        <f>Datos_originales!$U126/Datos_originales!$E126</f>
        <v>2.523514567561367E-3</v>
      </c>
      <c r="AV308" s="6">
        <f>Datos_originales!$V126/Datos_originales!$E126</f>
        <v>1.8352833218628127E-3</v>
      </c>
      <c r="AW308" s="6">
        <f>Datos_originales!$W126/Datos_originales!$E126</f>
        <v>2.367515485203028E-2</v>
      </c>
      <c r="AX308" s="6">
        <f>Datos_originales!$X126/Datos_originales!$E126</f>
        <v>9.1764166093140625E-3</v>
      </c>
      <c r="AY308" s="6">
        <f>Datos_originales!$Y126/Datos_originales!$E126</f>
        <v>4.0835053911447584E-3</v>
      </c>
      <c r="AZ308" s="6">
        <f>Datos_originales!$Z126/Datos_originales!$E126</f>
        <v>1.1332874512502868E-2</v>
      </c>
      <c r="BA308" s="6">
        <f>Datos_originales!$AA126/Datos_originales!$E126</f>
        <v>6.4234916265198437E-3</v>
      </c>
      <c r="BB308" s="6">
        <f>Datos_originales!$AB126/Datos_originales!$E126</f>
        <v>2.8401009405827026E-2</v>
      </c>
      <c r="BC308" s="6">
        <f>Datos_originales!$AC126/Datos_originales!$E126</f>
        <v>2.8263363156687312E-2</v>
      </c>
      <c r="BD308" s="6">
        <f>Datos_originales!$AD126/Datos_originales!$E126</f>
        <v>6.8823124569855479E-4</v>
      </c>
      <c r="BE308" s="6">
        <f>Datos_originales!$AE126/Datos_originales!$E126</f>
        <v>3.211745813259922E-4</v>
      </c>
      <c r="BF308" s="6">
        <f>Datos_originales!$AF126/Datos_originales!$E126</f>
        <v>6.9281945400321175E-3</v>
      </c>
      <c r="BG308" s="6">
        <f>Datos_originales!$AG126/Datos_originales!$E126</f>
        <v>1.8352833218628124E-4</v>
      </c>
    </row>
    <row r="309" spans="1:59" ht="15.75" customHeight="1">
      <c r="A309" s="2">
        <v>71503</v>
      </c>
      <c r="B309" s="3" t="s">
        <v>83</v>
      </c>
      <c r="C309" s="4" t="s">
        <v>80</v>
      </c>
      <c r="D309" s="4">
        <f>IF(Table_1[[#This Row],[Forest cover 2011]]&lt;1000,"Bosque menor a 1000 ha",Table_1[[#This Row],[Forest cover 2011]])</f>
        <v>510386.49</v>
      </c>
      <c r="E309" s="4">
        <v>510386.49</v>
      </c>
      <c r="F309" s="5">
        <f>AVERAGE(Datos_originales!$H46:$J46)</f>
        <v>0</v>
      </c>
      <c r="G309" s="5">
        <f>AVERAGE(Datos_originales!$R46:$T46)</f>
        <v>0</v>
      </c>
      <c r="H309" s="4">
        <v>15236.28</v>
      </c>
      <c r="I309" s="4">
        <v>8314.65</v>
      </c>
      <c r="J309" s="4">
        <v>11244.69</v>
      </c>
      <c r="K309" s="4">
        <v>4313.7</v>
      </c>
      <c r="L309" s="4">
        <v>14021.19</v>
      </c>
      <c r="M309" s="4">
        <v>9323.82</v>
      </c>
      <c r="N309" s="4">
        <v>6845.13</v>
      </c>
      <c r="O309" s="4">
        <v>6126.57</v>
      </c>
      <c r="P309" s="4">
        <v>10240.290000000001</v>
      </c>
      <c r="Q309" s="4">
        <v>11431.53</v>
      </c>
      <c r="R309" s="4">
        <v>11861.73</v>
      </c>
      <c r="S309" s="4">
        <v>15912.45</v>
      </c>
      <c r="T309" s="4">
        <v>15922.53</v>
      </c>
      <c r="U309" s="4">
        <v>23825.52</v>
      </c>
      <c r="V309" s="4">
        <v>13485.96</v>
      </c>
      <c r="W309" s="4">
        <v>14507.01</v>
      </c>
      <c r="X309" s="4">
        <v>6713.1</v>
      </c>
      <c r="Y309" s="4">
        <v>15859.8</v>
      </c>
      <c r="Z309" s="4">
        <v>10500.57</v>
      </c>
      <c r="AA309" s="4">
        <v>8526.7800000000007</v>
      </c>
      <c r="AB309" s="4">
        <v>8269.74</v>
      </c>
      <c r="AC309" s="4">
        <v>12306.96</v>
      </c>
      <c r="AD309" s="4">
        <v>11681.37</v>
      </c>
      <c r="AE309" s="4">
        <v>11948.13</v>
      </c>
      <c r="AF309" s="4">
        <v>16453.53</v>
      </c>
      <c r="AG309" s="4">
        <v>20580.3</v>
      </c>
      <c r="AH309" s="6" t="e">
        <f>Datos_originales!$H46/Datos_originales!$E46</f>
        <v>#DIV/0!</v>
      </c>
      <c r="AI309" s="6" t="e">
        <f>Datos_originales!$I46/Datos_originales!$E46</f>
        <v>#DIV/0!</v>
      </c>
      <c r="AJ309" s="6" t="e">
        <f>Datos_originales!$J46/Datos_originales!$E46</f>
        <v>#DIV/0!</v>
      </c>
      <c r="AK309" s="6" t="e">
        <f>Datos_originales!$K46/Datos_originales!$E46</f>
        <v>#DIV/0!</v>
      </c>
      <c r="AL309" s="6" t="e">
        <f>Datos_originales!$L46/Datos_originales!$E46</f>
        <v>#DIV/0!</v>
      </c>
      <c r="AM309" s="6" t="e">
        <f>Datos_originales!$M46/Datos_originales!$E46</f>
        <v>#DIV/0!</v>
      </c>
      <c r="AN309" s="6" t="e">
        <f>Datos_originales!$N46/Datos_originales!$E46</f>
        <v>#DIV/0!</v>
      </c>
      <c r="AO309" s="6" t="e">
        <f>Datos_originales!$O46/Datos_originales!$E46</f>
        <v>#DIV/0!</v>
      </c>
      <c r="AP309" s="6" t="e">
        <f>Datos_originales!$P46/Datos_originales!$E46</f>
        <v>#DIV/0!</v>
      </c>
      <c r="AQ309" s="6" t="e">
        <f>Datos_originales!$Q46/Datos_originales!$E46</f>
        <v>#DIV/0!</v>
      </c>
      <c r="AR309" s="6" t="e">
        <f>Datos_originales!$R46/Datos_originales!$E46</f>
        <v>#DIV/0!</v>
      </c>
      <c r="AS309" s="6" t="e">
        <f>Datos_originales!$S46/Datos_originales!$E46</f>
        <v>#DIV/0!</v>
      </c>
      <c r="AT309" s="6" t="e">
        <f>Datos_originales!$T46/Datos_originales!$E46</f>
        <v>#DIV/0!</v>
      </c>
      <c r="AU309" s="6" t="e">
        <f>Datos_originales!$U46/Datos_originales!$E46</f>
        <v>#DIV/0!</v>
      </c>
      <c r="AV309" s="6" t="e">
        <f>Datos_originales!$V46/Datos_originales!$E46</f>
        <v>#DIV/0!</v>
      </c>
      <c r="AW309" s="6" t="e">
        <f>Datos_originales!$W46/Datos_originales!$E46</f>
        <v>#DIV/0!</v>
      </c>
      <c r="AX309" s="6" t="e">
        <f>Datos_originales!$X46/Datos_originales!$E46</f>
        <v>#DIV/0!</v>
      </c>
      <c r="AY309" s="6" t="e">
        <f>Datos_originales!$Y46/Datos_originales!$E46</f>
        <v>#DIV/0!</v>
      </c>
      <c r="AZ309" s="6" t="e">
        <f>Datos_originales!$Z46/Datos_originales!$E46</f>
        <v>#DIV/0!</v>
      </c>
      <c r="BA309" s="6" t="e">
        <f>Datos_originales!$AA46/Datos_originales!$E46</f>
        <v>#DIV/0!</v>
      </c>
      <c r="BB309" s="6" t="e">
        <f>Datos_originales!$AB46/Datos_originales!$E46</f>
        <v>#DIV/0!</v>
      </c>
      <c r="BC309" s="6" t="e">
        <f>Datos_originales!$AC46/Datos_originales!$E46</f>
        <v>#DIV/0!</v>
      </c>
      <c r="BD309" s="6" t="e">
        <f>Datos_originales!$AD46/Datos_originales!$E46</f>
        <v>#DIV/0!</v>
      </c>
      <c r="BE309" s="6" t="e">
        <f>Datos_originales!$AE46/Datos_originales!$E46</f>
        <v>#DIV/0!</v>
      </c>
      <c r="BF309" s="6" t="e">
        <f>Datos_originales!$AF46/Datos_originales!$E46</f>
        <v>#DIV/0!</v>
      </c>
      <c r="BG309" s="6" t="e">
        <f>Datos_originales!$AG46/Datos_originales!$E46</f>
        <v>#DIV/0!</v>
      </c>
    </row>
    <row r="310" spans="1:59" ht="15.75" customHeight="1">
      <c r="A310" s="2">
        <v>80101</v>
      </c>
      <c r="B310" s="3" t="s">
        <v>87</v>
      </c>
      <c r="C310" s="4" t="s">
        <v>103</v>
      </c>
      <c r="D310" s="4">
        <f>IF(Table_1[[#This Row],[Forest cover 2011]]&lt;1000,"Bosque menor a 1000 ha",Table_1[[#This Row],[Forest cover 2011]])</f>
        <v>60176.43</v>
      </c>
      <c r="E310" s="4">
        <v>60176.43</v>
      </c>
      <c r="F310" s="5">
        <f>AVERAGE(Datos_originales!$H41:$J41)</f>
        <v>0</v>
      </c>
      <c r="G310" s="5">
        <f>AVERAGE(Datos_originales!$R41:$T41)</f>
        <v>0</v>
      </c>
      <c r="H310" s="4">
        <v>85.77</v>
      </c>
      <c r="I310" s="4">
        <v>75.150000000000006</v>
      </c>
      <c r="J310" s="4">
        <v>98.37</v>
      </c>
      <c r="K310" s="4">
        <v>81.990000000000009</v>
      </c>
      <c r="L310" s="4">
        <v>42.66</v>
      </c>
      <c r="M310" s="4">
        <v>60.21</v>
      </c>
      <c r="N310" s="4">
        <v>67.5</v>
      </c>
      <c r="O310" s="4">
        <v>90.18</v>
      </c>
      <c r="P310" s="4">
        <v>85.68</v>
      </c>
      <c r="Q310" s="4">
        <v>89.19</v>
      </c>
      <c r="R310" s="4">
        <v>59.849999999999987</v>
      </c>
      <c r="S310" s="4">
        <v>235.62</v>
      </c>
      <c r="T310" s="4">
        <v>226.26</v>
      </c>
      <c r="U310" s="4">
        <v>923.49</v>
      </c>
      <c r="V310" s="4">
        <v>576</v>
      </c>
      <c r="W310" s="4">
        <v>782.73</v>
      </c>
      <c r="X310" s="4">
        <v>409.67999999999989</v>
      </c>
      <c r="Y310" s="4">
        <v>167.67</v>
      </c>
      <c r="Z310" s="4">
        <v>219.42</v>
      </c>
      <c r="AA310" s="4">
        <v>207</v>
      </c>
      <c r="AB310" s="4">
        <v>294.66000000000003</v>
      </c>
      <c r="AC310" s="4">
        <v>219.51</v>
      </c>
      <c r="AD310" s="4">
        <v>322.83</v>
      </c>
      <c r="AE310" s="4">
        <v>609.03</v>
      </c>
      <c r="AF310" s="4">
        <v>780.03</v>
      </c>
      <c r="AG310" s="4">
        <v>2544.75</v>
      </c>
      <c r="AH310" s="6" t="e">
        <f>Datos_originales!$H41/Datos_originales!$E41</f>
        <v>#DIV/0!</v>
      </c>
      <c r="AI310" s="6" t="e">
        <f>Datos_originales!$I41/Datos_originales!$E41</f>
        <v>#DIV/0!</v>
      </c>
      <c r="AJ310" s="6" t="e">
        <f>Datos_originales!$J41/Datos_originales!$E41</f>
        <v>#DIV/0!</v>
      </c>
      <c r="AK310" s="6" t="e">
        <f>Datos_originales!$K41/Datos_originales!$E41</f>
        <v>#DIV/0!</v>
      </c>
      <c r="AL310" s="6" t="e">
        <f>Datos_originales!$L41/Datos_originales!$E41</f>
        <v>#DIV/0!</v>
      </c>
      <c r="AM310" s="6" t="e">
        <f>Datos_originales!$M41/Datos_originales!$E41</f>
        <v>#DIV/0!</v>
      </c>
      <c r="AN310" s="6" t="e">
        <f>Datos_originales!$N41/Datos_originales!$E41</f>
        <v>#DIV/0!</v>
      </c>
      <c r="AO310" s="6" t="e">
        <f>Datos_originales!$O41/Datos_originales!$E41</f>
        <v>#DIV/0!</v>
      </c>
      <c r="AP310" s="6" t="e">
        <f>Datos_originales!$P41/Datos_originales!$E41</f>
        <v>#DIV/0!</v>
      </c>
      <c r="AQ310" s="6" t="e">
        <f>Datos_originales!$Q41/Datos_originales!$E41</f>
        <v>#DIV/0!</v>
      </c>
      <c r="AR310" s="6" t="e">
        <f>Datos_originales!$R41/Datos_originales!$E41</f>
        <v>#DIV/0!</v>
      </c>
      <c r="AS310" s="6" t="e">
        <f>Datos_originales!$S41/Datos_originales!$E41</f>
        <v>#DIV/0!</v>
      </c>
      <c r="AT310" s="6" t="e">
        <f>Datos_originales!$T41/Datos_originales!$E41</f>
        <v>#DIV/0!</v>
      </c>
      <c r="AU310" s="6" t="e">
        <f>Datos_originales!$U41/Datos_originales!$E41</f>
        <v>#DIV/0!</v>
      </c>
      <c r="AV310" s="6" t="e">
        <f>Datos_originales!$V41/Datos_originales!$E41</f>
        <v>#DIV/0!</v>
      </c>
      <c r="AW310" s="6" t="e">
        <f>Datos_originales!$W41/Datos_originales!$E41</f>
        <v>#DIV/0!</v>
      </c>
      <c r="AX310" s="6" t="e">
        <f>Datos_originales!$X41/Datos_originales!$E41</f>
        <v>#DIV/0!</v>
      </c>
      <c r="AY310" s="6" t="e">
        <f>Datos_originales!$Y41/Datos_originales!$E41</f>
        <v>#DIV/0!</v>
      </c>
      <c r="AZ310" s="6" t="e">
        <f>Datos_originales!$Z41/Datos_originales!$E41</f>
        <v>#DIV/0!</v>
      </c>
      <c r="BA310" s="6" t="e">
        <f>Datos_originales!$AA41/Datos_originales!$E41</f>
        <v>#DIV/0!</v>
      </c>
      <c r="BB310" s="6" t="e">
        <f>Datos_originales!$AB41/Datos_originales!$E41</f>
        <v>#DIV/0!</v>
      </c>
      <c r="BC310" s="6" t="e">
        <f>Datos_originales!$AC41/Datos_originales!$E41</f>
        <v>#DIV/0!</v>
      </c>
      <c r="BD310" s="6" t="e">
        <f>Datos_originales!$AD41/Datos_originales!$E41</f>
        <v>#DIV/0!</v>
      </c>
      <c r="BE310" s="6" t="e">
        <f>Datos_originales!$AE41/Datos_originales!$E41</f>
        <v>#DIV/0!</v>
      </c>
      <c r="BF310" s="6" t="e">
        <f>Datos_originales!$AF41/Datos_originales!$E41</f>
        <v>#DIV/0!</v>
      </c>
      <c r="BG310" s="6" t="e">
        <f>Datos_originales!$AG41/Datos_originales!$E41</f>
        <v>#DIV/0!</v>
      </c>
    </row>
    <row r="311" spans="1:59" ht="15.75" customHeight="1">
      <c r="A311" s="2">
        <v>80102</v>
      </c>
      <c r="B311" s="3" t="s">
        <v>87</v>
      </c>
      <c r="C311" s="4" t="s">
        <v>106</v>
      </c>
      <c r="D311" s="4">
        <f>IF(Table_1[[#This Row],[Forest cover 2011]]&lt;1000,"Bosque menor a 1000 ha",Table_1[[#This Row],[Forest cover 2011]])</f>
        <v>334434.24</v>
      </c>
      <c r="E311" s="4">
        <v>334434.24</v>
      </c>
      <c r="F311" s="5">
        <f>AVERAGE(Datos_originales!$H44:$J44)</f>
        <v>0.63</v>
      </c>
      <c r="G311" s="5">
        <f>AVERAGE(Datos_originales!$R44:$T44)</f>
        <v>0</v>
      </c>
      <c r="H311" s="4">
        <v>652.5</v>
      </c>
      <c r="I311" s="4">
        <v>462.42</v>
      </c>
      <c r="J311" s="4">
        <v>489.6</v>
      </c>
      <c r="K311" s="4">
        <v>1235.97</v>
      </c>
      <c r="L311" s="4">
        <v>777.24</v>
      </c>
      <c r="M311" s="4">
        <v>2388.6</v>
      </c>
      <c r="N311" s="4">
        <v>2213.2800000000002</v>
      </c>
      <c r="O311" s="4">
        <v>2565.9899999999998</v>
      </c>
      <c r="P311" s="4">
        <v>2011.68</v>
      </c>
      <c r="Q311" s="4">
        <v>1411.02</v>
      </c>
      <c r="R311" s="4">
        <v>1925.19</v>
      </c>
      <c r="S311" s="4">
        <v>4627.17</v>
      </c>
      <c r="T311" s="4">
        <v>3526.92</v>
      </c>
      <c r="U311" s="4">
        <v>7365.6900000000014</v>
      </c>
      <c r="V311" s="4">
        <v>2780.91</v>
      </c>
      <c r="W311" s="4">
        <v>3033.45</v>
      </c>
      <c r="X311" s="4">
        <v>2496.96</v>
      </c>
      <c r="Y311" s="4">
        <v>1256.04</v>
      </c>
      <c r="Z311" s="4">
        <v>3185.1</v>
      </c>
      <c r="AA311" s="4">
        <v>3185.37</v>
      </c>
      <c r="AB311" s="4">
        <v>3984.21</v>
      </c>
      <c r="AC311" s="4">
        <v>3581.1</v>
      </c>
      <c r="AD311" s="4">
        <v>1700.01</v>
      </c>
      <c r="AE311" s="4">
        <v>2290.0500000000002</v>
      </c>
      <c r="AF311" s="4">
        <v>5715.18</v>
      </c>
      <c r="AG311" s="4">
        <v>14024.7</v>
      </c>
      <c r="AH311" s="6">
        <f>Datos_originales!$H44/Datos_originales!$E44</f>
        <v>0</v>
      </c>
      <c r="AI311" s="6">
        <f>Datos_originales!$I44/Datos_originales!$E44</f>
        <v>0</v>
      </c>
      <c r="AJ311" s="6">
        <f>Datos_originales!$J44/Datos_originales!$E44</f>
        <v>0.18103448275862069</v>
      </c>
      <c r="AK311" s="6">
        <f>Datos_originales!$K44/Datos_originales!$E44</f>
        <v>0</v>
      </c>
      <c r="AL311" s="6">
        <f>Datos_originales!$L44/Datos_originales!$E44</f>
        <v>0</v>
      </c>
      <c r="AM311" s="6">
        <f>Datos_originales!$M44/Datos_originales!$E44</f>
        <v>0</v>
      </c>
      <c r="AN311" s="6">
        <f>Datos_originales!$N44/Datos_originales!$E44</f>
        <v>0</v>
      </c>
      <c r="AO311" s="6">
        <f>Datos_originales!$O44/Datos_originales!$E44</f>
        <v>0</v>
      </c>
      <c r="AP311" s="6">
        <f>Datos_originales!$P44/Datos_originales!$E44</f>
        <v>0</v>
      </c>
      <c r="AQ311" s="6">
        <f>Datos_originales!$Q44/Datos_originales!$E44</f>
        <v>0</v>
      </c>
      <c r="AR311" s="6">
        <f>Datos_originales!$R44/Datos_originales!$E44</f>
        <v>0</v>
      </c>
      <c r="AS311" s="6">
        <f>Datos_originales!$S44/Datos_originales!$E44</f>
        <v>0</v>
      </c>
      <c r="AT311" s="6">
        <f>Datos_originales!$T44/Datos_originales!$E44</f>
        <v>0</v>
      </c>
      <c r="AU311" s="6">
        <f>Datos_originales!$U44/Datos_originales!$E44</f>
        <v>0.81896551724137945</v>
      </c>
      <c r="AV311" s="6">
        <f>Datos_originales!$V44/Datos_originales!$E44</f>
        <v>0</v>
      </c>
      <c r="AW311" s="6">
        <f>Datos_originales!$W44/Datos_originales!$E44</f>
        <v>0.18103448275862069</v>
      </c>
      <c r="AX311" s="6">
        <f>Datos_originales!$X44/Datos_originales!$E44</f>
        <v>0</v>
      </c>
      <c r="AY311" s="6">
        <f>Datos_originales!$Y44/Datos_originales!$E44</f>
        <v>0</v>
      </c>
      <c r="AZ311" s="6">
        <f>Datos_originales!$Z44/Datos_originales!$E44</f>
        <v>0</v>
      </c>
      <c r="BA311" s="6">
        <f>Datos_originales!$AA44/Datos_originales!$E44</f>
        <v>0</v>
      </c>
      <c r="BB311" s="6">
        <f>Datos_originales!$AB44/Datos_originales!$E44</f>
        <v>0</v>
      </c>
      <c r="BC311" s="6">
        <f>Datos_originales!$AC44/Datos_originales!$E44</f>
        <v>0</v>
      </c>
      <c r="BD311" s="6">
        <f>Datos_originales!$AD44/Datos_originales!$E44</f>
        <v>0</v>
      </c>
      <c r="BE311" s="6">
        <f>Datos_originales!$AE44/Datos_originales!$E44</f>
        <v>0</v>
      </c>
      <c r="BF311" s="6">
        <f>Datos_originales!$AF44/Datos_originales!$E44</f>
        <v>0</v>
      </c>
      <c r="BG311" s="6">
        <f>Datos_originales!$AG44/Datos_originales!$E44</f>
        <v>0</v>
      </c>
    </row>
    <row r="312" spans="1:59" ht="15.75" customHeight="1">
      <c r="A312" s="2">
        <v>80201</v>
      </c>
      <c r="B312" s="3" t="s">
        <v>87</v>
      </c>
      <c r="C312" s="4" t="s">
        <v>246</v>
      </c>
      <c r="D312" s="4">
        <f>IF(Table_1[[#This Row],[Forest cover 2011]]&lt;1000,"Bosque menor a 1000 ha",Table_1[[#This Row],[Forest cover 2011]])</f>
        <v>1063728</v>
      </c>
      <c r="E312" s="4">
        <v>1063728</v>
      </c>
      <c r="F312" s="5">
        <f>AVERAGE(Datos_originales!$H189:$J189)</f>
        <v>0</v>
      </c>
      <c r="G312" s="5">
        <f>AVERAGE(Datos_originales!$R189:$T189)</f>
        <v>0</v>
      </c>
      <c r="H312" s="4">
        <v>3663.09</v>
      </c>
      <c r="I312" s="4">
        <v>2020.77</v>
      </c>
      <c r="J312" s="4">
        <v>1460.34</v>
      </c>
      <c r="K312" s="4">
        <v>1342.35</v>
      </c>
      <c r="L312" s="4">
        <v>2236.0500000000002</v>
      </c>
      <c r="M312" s="4">
        <v>2471.7600000000002</v>
      </c>
      <c r="N312" s="4">
        <v>1556.37</v>
      </c>
      <c r="O312" s="4">
        <v>1363.77</v>
      </c>
      <c r="P312" s="4">
        <v>1750.59</v>
      </c>
      <c r="Q312" s="4">
        <v>3444.03</v>
      </c>
      <c r="R312" s="4">
        <v>1208.43</v>
      </c>
      <c r="S312" s="4">
        <v>1871.46</v>
      </c>
      <c r="T312" s="4">
        <v>1367.19</v>
      </c>
      <c r="U312" s="4">
        <v>6211.98</v>
      </c>
      <c r="V312" s="4">
        <v>3331.26</v>
      </c>
      <c r="W312" s="4">
        <v>5851.89</v>
      </c>
      <c r="X312" s="4">
        <v>2274.5700000000002</v>
      </c>
      <c r="Y312" s="4">
        <v>2996.01</v>
      </c>
      <c r="Z312" s="4">
        <v>3051.45</v>
      </c>
      <c r="AA312" s="4">
        <v>2088</v>
      </c>
      <c r="AB312" s="4">
        <v>2156.4899999999998</v>
      </c>
      <c r="AC312" s="4">
        <v>2376.9899999999998</v>
      </c>
      <c r="AD312" s="4">
        <v>3754.44</v>
      </c>
      <c r="AE312" s="4">
        <v>1397.43</v>
      </c>
      <c r="AF312" s="4">
        <v>2820.15</v>
      </c>
      <c r="AG312" s="4">
        <v>2405.25</v>
      </c>
      <c r="AH312" s="6" t="e">
        <f>Datos_originales!$H189/Datos_originales!$E189</f>
        <v>#DIV/0!</v>
      </c>
      <c r="AI312" s="6" t="e">
        <f>Datos_originales!$I189/Datos_originales!$E189</f>
        <v>#DIV/0!</v>
      </c>
      <c r="AJ312" s="6" t="e">
        <f>Datos_originales!$J189/Datos_originales!$E189</f>
        <v>#DIV/0!</v>
      </c>
      <c r="AK312" s="6" t="e">
        <f>Datos_originales!$K189/Datos_originales!$E189</f>
        <v>#DIV/0!</v>
      </c>
      <c r="AL312" s="6" t="e">
        <f>Datos_originales!$L189/Datos_originales!$E189</f>
        <v>#DIV/0!</v>
      </c>
      <c r="AM312" s="6" t="e">
        <f>Datos_originales!$M189/Datos_originales!$E189</f>
        <v>#DIV/0!</v>
      </c>
      <c r="AN312" s="6" t="e">
        <f>Datos_originales!$N189/Datos_originales!$E189</f>
        <v>#DIV/0!</v>
      </c>
      <c r="AO312" s="6" t="e">
        <f>Datos_originales!$O189/Datos_originales!$E189</f>
        <v>#DIV/0!</v>
      </c>
      <c r="AP312" s="6" t="e">
        <f>Datos_originales!$P189/Datos_originales!$E189</f>
        <v>#DIV/0!</v>
      </c>
      <c r="AQ312" s="6" t="e">
        <f>Datos_originales!$Q189/Datos_originales!$E189</f>
        <v>#DIV/0!</v>
      </c>
      <c r="AR312" s="6" t="e">
        <f>Datos_originales!$R189/Datos_originales!$E189</f>
        <v>#DIV/0!</v>
      </c>
      <c r="AS312" s="6" t="e">
        <f>Datos_originales!$S189/Datos_originales!$E189</f>
        <v>#DIV/0!</v>
      </c>
      <c r="AT312" s="6" t="e">
        <f>Datos_originales!$T189/Datos_originales!$E189</f>
        <v>#DIV/0!</v>
      </c>
      <c r="AU312" s="6" t="e">
        <f>Datos_originales!$U189/Datos_originales!$E189</f>
        <v>#DIV/0!</v>
      </c>
      <c r="AV312" s="6" t="e">
        <f>Datos_originales!$V189/Datos_originales!$E189</f>
        <v>#DIV/0!</v>
      </c>
      <c r="AW312" s="6" t="e">
        <f>Datos_originales!$W189/Datos_originales!$E189</f>
        <v>#DIV/0!</v>
      </c>
      <c r="AX312" s="6" t="e">
        <f>Datos_originales!$X189/Datos_originales!$E189</f>
        <v>#DIV/0!</v>
      </c>
      <c r="AY312" s="6" t="e">
        <f>Datos_originales!$Y189/Datos_originales!$E189</f>
        <v>#DIV/0!</v>
      </c>
      <c r="AZ312" s="6" t="e">
        <f>Datos_originales!$Z189/Datos_originales!$E189</f>
        <v>#DIV/0!</v>
      </c>
      <c r="BA312" s="6" t="e">
        <f>Datos_originales!$AA189/Datos_originales!$E189</f>
        <v>#DIV/0!</v>
      </c>
      <c r="BB312" s="6" t="e">
        <f>Datos_originales!$AB189/Datos_originales!$E189</f>
        <v>#DIV/0!</v>
      </c>
      <c r="BC312" s="6" t="e">
        <f>Datos_originales!$AC189/Datos_originales!$E189</f>
        <v>#DIV/0!</v>
      </c>
      <c r="BD312" s="6" t="e">
        <f>Datos_originales!$AD189/Datos_originales!$E189</f>
        <v>#DIV/0!</v>
      </c>
      <c r="BE312" s="6" t="e">
        <f>Datos_originales!$AE189/Datos_originales!$E189</f>
        <v>#DIV/0!</v>
      </c>
      <c r="BF312" s="6" t="e">
        <f>Datos_originales!$AF189/Datos_originales!$E189</f>
        <v>#DIV/0!</v>
      </c>
      <c r="BG312" s="6" t="e">
        <f>Datos_originales!$AG189/Datos_originales!$E189</f>
        <v>#DIV/0!</v>
      </c>
    </row>
    <row r="313" spans="1:59" ht="15.75" customHeight="1">
      <c r="A313" s="2">
        <v>80202</v>
      </c>
      <c r="B313" s="3" t="s">
        <v>87</v>
      </c>
      <c r="C313" s="4" t="s">
        <v>221</v>
      </c>
      <c r="D313" s="4">
        <f>IF(Table_1[[#This Row],[Forest cover 2011]]&lt;1000,"Bosque menor a 1000 ha",Table_1[[#This Row],[Forest cover 2011]])</f>
        <v>491534.73</v>
      </c>
      <c r="E313" s="4">
        <v>491534.73</v>
      </c>
      <c r="F313" s="5">
        <f>AVERAGE(Datos_originales!$H163:$J163)</f>
        <v>0</v>
      </c>
      <c r="G313" s="5">
        <f>AVERAGE(Datos_originales!$R163:$T163)</f>
        <v>0</v>
      </c>
      <c r="H313" s="4">
        <v>5037.57</v>
      </c>
      <c r="I313" s="4">
        <v>2055.2399999999998</v>
      </c>
      <c r="J313" s="4">
        <v>2136.87</v>
      </c>
      <c r="K313" s="4">
        <v>1538.1</v>
      </c>
      <c r="L313" s="4">
        <v>2603.16</v>
      </c>
      <c r="M313" s="4">
        <v>3002.4</v>
      </c>
      <c r="N313" s="4">
        <v>1766.07</v>
      </c>
      <c r="O313" s="4">
        <v>941.31</v>
      </c>
      <c r="P313" s="4">
        <v>1881.72</v>
      </c>
      <c r="Q313" s="4">
        <v>3545.82</v>
      </c>
      <c r="R313" s="4">
        <v>482.22</v>
      </c>
      <c r="S313" s="4">
        <v>1036.08</v>
      </c>
      <c r="T313" s="4">
        <v>1319.04</v>
      </c>
      <c r="U313" s="4">
        <v>7356.24</v>
      </c>
      <c r="V313" s="4">
        <v>3266.19</v>
      </c>
      <c r="W313" s="4">
        <v>9524.34</v>
      </c>
      <c r="X313" s="4">
        <v>2156.2199999999998</v>
      </c>
      <c r="Y313" s="4">
        <v>3521.88</v>
      </c>
      <c r="Z313" s="4">
        <v>3422.16</v>
      </c>
      <c r="AA313" s="4">
        <v>2101.9499999999998</v>
      </c>
      <c r="AB313" s="4">
        <v>1298.25</v>
      </c>
      <c r="AC313" s="4">
        <v>2626.47</v>
      </c>
      <c r="AD313" s="4">
        <v>3764.43</v>
      </c>
      <c r="AE313" s="4">
        <v>599.76</v>
      </c>
      <c r="AF313" s="4">
        <v>1899.72</v>
      </c>
      <c r="AG313" s="4">
        <v>1936.62</v>
      </c>
      <c r="AH313" s="6">
        <f>Datos_originales!$H163/Datos_originales!$E163</f>
        <v>0</v>
      </c>
      <c r="AI313" s="6">
        <f>Datos_originales!$I163/Datos_originales!$E163</f>
        <v>0</v>
      </c>
      <c r="AJ313" s="6">
        <f>Datos_originales!$J163/Datos_originales!$E163</f>
        <v>0</v>
      </c>
      <c r="AK313" s="6">
        <f>Datos_originales!$K163/Datos_originales!$E163</f>
        <v>0</v>
      </c>
      <c r="AL313" s="6">
        <f>Datos_originales!$L163/Datos_originales!$E163</f>
        <v>0</v>
      </c>
      <c r="AM313" s="6">
        <f>Datos_originales!$M163/Datos_originales!$E163</f>
        <v>0</v>
      </c>
      <c r="AN313" s="6">
        <f>Datos_originales!$N163/Datos_originales!$E163</f>
        <v>0</v>
      </c>
      <c r="AO313" s="6">
        <f>Datos_originales!$O163/Datos_originales!$E163</f>
        <v>0</v>
      </c>
      <c r="AP313" s="6">
        <f>Datos_originales!$P163/Datos_originales!$E163</f>
        <v>0</v>
      </c>
      <c r="AQ313" s="6">
        <f>Datos_originales!$Q163/Datos_originales!$E163</f>
        <v>0</v>
      </c>
      <c r="AR313" s="6">
        <f>Datos_originales!$R163/Datos_originales!$E163</f>
        <v>0</v>
      </c>
      <c r="AS313" s="6">
        <f>Datos_originales!$S163/Datos_originales!$E163</f>
        <v>0</v>
      </c>
      <c r="AT313" s="6">
        <f>Datos_originales!$T163/Datos_originales!$E163</f>
        <v>0</v>
      </c>
      <c r="AU313" s="6">
        <f>Datos_originales!$U163/Datos_originales!$E163</f>
        <v>0</v>
      </c>
      <c r="AV313" s="6">
        <f>Datos_originales!$V163/Datos_originales!$E163</f>
        <v>0</v>
      </c>
      <c r="AW313" s="6">
        <f>Datos_originales!$W163/Datos_originales!$E163</f>
        <v>2.8571428571428571E-2</v>
      </c>
      <c r="AX313" s="6">
        <f>Datos_originales!$X163/Datos_originales!$E163</f>
        <v>0</v>
      </c>
      <c r="AY313" s="6">
        <f>Datos_originales!$Y163/Datos_originales!$E163</f>
        <v>0</v>
      </c>
      <c r="AZ313" s="6">
        <f>Datos_originales!$Z163/Datos_originales!$E163</f>
        <v>0</v>
      </c>
      <c r="BA313" s="6">
        <f>Datos_originales!$AA163/Datos_originales!$E163</f>
        <v>0</v>
      </c>
      <c r="BB313" s="6">
        <f>Datos_originales!$AB163/Datos_originales!$E163</f>
        <v>0</v>
      </c>
      <c r="BC313" s="6">
        <f>Datos_originales!$AC163/Datos_originales!$E163</f>
        <v>0</v>
      </c>
      <c r="BD313" s="6">
        <f>Datos_originales!$AD163/Datos_originales!$E163</f>
        <v>0</v>
      </c>
      <c r="BE313" s="6">
        <f>Datos_originales!$AE163/Datos_originales!$E163</f>
        <v>0</v>
      </c>
      <c r="BF313" s="6">
        <f>Datos_originales!$AF163/Datos_originales!$E163</f>
        <v>0.05</v>
      </c>
      <c r="BG313" s="6">
        <f>Datos_originales!$AG163/Datos_originales!$E163</f>
        <v>0</v>
      </c>
    </row>
    <row r="314" spans="1:59" ht="15.75" customHeight="1">
      <c r="A314" s="2">
        <v>80301</v>
      </c>
      <c r="B314" s="3" t="s">
        <v>87</v>
      </c>
      <c r="C314" s="4" t="s">
        <v>128</v>
      </c>
      <c r="D314" s="4">
        <f>IF(Table_1[[#This Row],[Forest cover 2011]]&lt;1000,"Bosque menor a 1000 ha",Table_1[[#This Row],[Forest cover 2011]])</f>
        <v>603961.47</v>
      </c>
      <c r="E314" s="4">
        <v>603961.47</v>
      </c>
      <c r="F314" s="5">
        <f>AVERAGE(Datos_originales!$H67:$J67)</f>
        <v>0.77999999999999992</v>
      </c>
      <c r="G314" s="5">
        <f>AVERAGE(Datos_originales!$R67:$T67)</f>
        <v>52.44</v>
      </c>
      <c r="H314" s="4">
        <v>676.17000000000007</v>
      </c>
      <c r="I314" s="4">
        <v>512.91</v>
      </c>
      <c r="J314" s="4">
        <v>434.88</v>
      </c>
      <c r="K314" s="4">
        <v>312.83999999999997</v>
      </c>
      <c r="L314" s="4">
        <v>245.79</v>
      </c>
      <c r="M314" s="4">
        <v>328.32</v>
      </c>
      <c r="N314" s="4">
        <v>336.06</v>
      </c>
      <c r="O314" s="4">
        <v>392.31</v>
      </c>
      <c r="P314" s="4">
        <v>276.93</v>
      </c>
      <c r="Q314" s="4">
        <v>229.41</v>
      </c>
      <c r="R314" s="4">
        <v>735.12</v>
      </c>
      <c r="S314" s="4">
        <v>416.97</v>
      </c>
      <c r="T314" s="4">
        <v>1662.03</v>
      </c>
      <c r="U314" s="4">
        <v>9737.01</v>
      </c>
      <c r="V314" s="4">
        <v>3540.78</v>
      </c>
      <c r="W314" s="4">
        <v>4527.3600000000006</v>
      </c>
      <c r="X314" s="4">
        <v>2651.4</v>
      </c>
      <c r="Y314" s="4">
        <v>1462.5</v>
      </c>
      <c r="Z314" s="4">
        <v>1627.56</v>
      </c>
      <c r="AA314" s="4">
        <v>2100.5100000000002</v>
      </c>
      <c r="AB314" s="4">
        <v>1984.32</v>
      </c>
      <c r="AC314" s="4">
        <v>1984.59</v>
      </c>
      <c r="AD314" s="4">
        <v>1893.51</v>
      </c>
      <c r="AE314" s="4">
        <v>2584.08</v>
      </c>
      <c r="AF314" s="4">
        <v>1852.92</v>
      </c>
      <c r="AG314" s="4">
        <v>14850.81</v>
      </c>
      <c r="AH314" s="6">
        <f>Datos_originales!$H67/Datos_originales!$E67</f>
        <v>1.2780879803813493E-5</v>
      </c>
      <c r="AI314" s="6">
        <f>Datos_originales!$I67/Datos_originales!$E67</f>
        <v>1.5976099754766866E-5</v>
      </c>
      <c r="AJ314" s="6">
        <f>Datos_originales!$J67/Datos_originales!$E67</f>
        <v>1.2780879803813493E-5</v>
      </c>
      <c r="AK314" s="6">
        <f>Datos_originales!$K67/Datos_originales!$E67</f>
        <v>3.9940249386917171E-5</v>
      </c>
      <c r="AL314" s="6">
        <f>Datos_originales!$L67/Datos_originales!$E67</f>
        <v>6.3904399019067467E-6</v>
      </c>
      <c r="AM314" s="6">
        <f>Datos_originales!$M67/Datos_originales!$E67</f>
        <v>6.3904399019067467E-6</v>
      </c>
      <c r="AN314" s="6">
        <f>Datos_originales!$N67/Datos_originales!$E67</f>
        <v>2.8756979558580365E-5</v>
      </c>
      <c r="AO314" s="6">
        <f>Datos_originales!$O67/Datos_originales!$E67</f>
        <v>1.1183269828336808E-5</v>
      </c>
      <c r="AP314" s="6">
        <f>Datos_originales!$P67/Datos_originales!$E67</f>
        <v>3.5147419460487111E-5</v>
      </c>
      <c r="AQ314" s="6">
        <f>Datos_originales!$Q67/Datos_originales!$E67</f>
        <v>6.3904399019067467E-6</v>
      </c>
      <c r="AR314" s="6">
        <f>Datos_originales!$R67/Datos_originales!$E67</f>
        <v>2.1407973671387604E-4</v>
      </c>
      <c r="AS314" s="6">
        <f>Datos_originales!$S67/Datos_originales!$E67</f>
        <v>1.102350883078914E-3</v>
      </c>
      <c r="AT314" s="6">
        <f>Datos_originales!$T67/Datos_originales!$E67</f>
        <v>1.4761916173404587E-3</v>
      </c>
      <c r="AU314" s="6">
        <f>Datos_originales!$U67/Datos_originales!$E67</f>
        <v>5.8871927596315906E-3</v>
      </c>
      <c r="AV314" s="6">
        <f>Datos_originales!$V67/Datos_originales!$E67</f>
        <v>8.1206515053479991E-3</v>
      </c>
      <c r="AW314" s="6">
        <f>Datos_originales!$W67/Datos_originales!$E67</f>
        <v>5.372762347528098E-3</v>
      </c>
      <c r="AX314" s="6">
        <f>Datos_originales!$X67/Datos_originales!$E67</f>
        <v>4.8231845159641172E-3</v>
      </c>
      <c r="AY314" s="6">
        <f>Datos_originales!$Y67/Datos_originales!$E67</f>
        <v>3.1345107718852598E-3</v>
      </c>
      <c r="AZ314" s="6">
        <f>Datos_originales!$Z67/Datos_originales!$E67</f>
        <v>3.1792438511986068E-3</v>
      </c>
      <c r="BA314" s="6">
        <f>Datos_originales!$AA67/Datos_originales!$E67</f>
        <v>4.2799971243020441E-3</v>
      </c>
      <c r="BB314" s="6">
        <f>Datos_originales!$AB67/Datos_originales!$E67</f>
        <v>5.0724116721384809E-3</v>
      </c>
      <c r="BC314" s="6">
        <f>Datos_originales!$AC67/Datos_originales!$E67</f>
        <v>2.9731521643621144E-3</v>
      </c>
      <c r="BD314" s="6">
        <f>Datos_originales!$AD67/Datos_originales!$E67</f>
        <v>5.3008698986316471E-3</v>
      </c>
      <c r="BE314" s="6">
        <f>Datos_originales!$AE67/Datos_originales!$E67</f>
        <v>2.1088451676292267E-3</v>
      </c>
      <c r="BF314" s="6">
        <f>Datos_originales!$AF67/Datos_originales!$E67</f>
        <v>1.4122872183213913E-3</v>
      </c>
      <c r="BG314" s="6">
        <f>Datos_originales!$AG67/Datos_originales!$E67</f>
        <v>1.6087932453050238E-3</v>
      </c>
    </row>
    <row r="315" spans="1:59" ht="15.75" customHeight="1">
      <c r="A315" s="2">
        <v>80302</v>
      </c>
      <c r="B315" s="3" t="s">
        <v>87</v>
      </c>
      <c r="C315" s="4" t="s">
        <v>169</v>
      </c>
      <c r="D315" s="4">
        <f>IF(Table_1[[#This Row],[Forest cover 2011]]&lt;1000,"Bosque menor a 1000 ha",Table_1[[#This Row],[Forest cover 2011]])</f>
        <v>558977.13</v>
      </c>
      <c r="E315" s="4">
        <v>558977.13</v>
      </c>
      <c r="F315" s="5">
        <f>AVERAGE(Datos_originales!$H109:$J109)</f>
        <v>0</v>
      </c>
      <c r="G315" s="5">
        <f>AVERAGE(Datos_originales!$R109:$T109)</f>
        <v>0</v>
      </c>
      <c r="H315" s="4">
        <v>2608.1999999999998</v>
      </c>
      <c r="I315" s="4">
        <v>2687.31</v>
      </c>
      <c r="J315" s="4">
        <v>3460.05</v>
      </c>
      <c r="K315" s="4">
        <v>1977.21</v>
      </c>
      <c r="L315" s="4">
        <v>3133.71</v>
      </c>
      <c r="M315" s="4">
        <v>3203.28</v>
      </c>
      <c r="N315" s="4">
        <v>2623.32</v>
      </c>
      <c r="O315" s="4">
        <v>3605.04</v>
      </c>
      <c r="P315" s="4">
        <v>5488.02</v>
      </c>
      <c r="Q315" s="4">
        <v>4464.09</v>
      </c>
      <c r="R315" s="4">
        <v>1038.5999999999999</v>
      </c>
      <c r="S315" s="4">
        <v>3200.85</v>
      </c>
      <c r="T315" s="4">
        <v>3035.07</v>
      </c>
      <c r="U315" s="4">
        <v>4325.58</v>
      </c>
      <c r="V315" s="4">
        <v>3793.14</v>
      </c>
      <c r="W315" s="4">
        <v>5846.49</v>
      </c>
      <c r="X315" s="4">
        <v>3526.83</v>
      </c>
      <c r="Y315" s="4">
        <v>3967.11</v>
      </c>
      <c r="Z315" s="4">
        <v>3644.82</v>
      </c>
      <c r="AA315" s="4">
        <v>3022.92</v>
      </c>
      <c r="AB315" s="4">
        <v>4491.63</v>
      </c>
      <c r="AC315" s="4">
        <v>6045.66</v>
      </c>
      <c r="AD315" s="4">
        <v>5328.99</v>
      </c>
      <c r="AE315" s="4">
        <v>1588.86</v>
      </c>
      <c r="AF315" s="4">
        <v>3449.79</v>
      </c>
      <c r="AG315" s="4">
        <v>6747.48</v>
      </c>
      <c r="AH315" s="6" t="e">
        <f>Datos_originales!$H109/Datos_originales!$E109</f>
        <v>#DIV/0!</v>
      </c>
      <c r="AI315" s="6" t="e">
        <f>Datos_originales!$I109/Datos_originales!$E109</f>
        <v>#DIV/0!</v>
      </c>
      <c r="AJ315" s="6" t="e">
        <f>Datos_originales!$J109/Datos_originales!$E109</f>
        <v>#DIV/0!</v>
      </c>
      <c r="AK315" s="6" t="e">
        <f>Datos_originales!$K109/Datos_originales!$E109</f>
        <v>#DIV/0!</v>
      </c>
      <c r="AL315" s="6" t="e">
        <f>Datos_originales!$L109/Datos_originales!$E109</f>
        <v>#DIV/0!</v>
      </c>
      <c r="AM315" s="6" t="e">
        <f>Datos_originales!$M109/Datos_originales!$E109</f>
        <v>#DIV/0!</v>
      </c>
      <c r="AN315" s="6" t="e">
        <f>Datos_originales!$N109/Datos_originales!$E109</f>
        <v>#DIV/0!</v>
      </c>
      <c r="AO315" s="6" t="e">
        <f>Datos_originales!$O109/Datos_originales!$E109</f>
        <v>#DIV/0!</v>
      </c>
      <c r="AP315" s="6" t="e">
        <f>Datos_originales!$P109/Datos_originales!$E109</f>
        <v>#DIV/0!</v>
      </c>
      <c r="AQ315" s="6" t="e">
        <f>Datos_originales!$Q109/Datos_originales!$E109</f>
        <v>#DIV/0!</v>
      </c>
      <c r="AR315" s="6" t="e">
        <f>Datos_originales!$R109/Datos_originales!$E109</f>
        <v>#DIV/0!</v>
      </c>
      <c r="AS315" s="6" t="e">
        <f>Datos_originales!$S109/Datos_originales!$E109</f>
        <v>#DIV/0!</v>
      </c>
      <c r="AT315" s="6" t="e">
        <f>Datos_originales!$T109/Datos_originales!$E109</f>
        <v>#DIV/0!</v>
      </c>
      <c r="AU315" s="6" t="e">
        <f>Datos_originales!$U109/Datos_originales!$E109</f>
        <v>#DIV/0!</v>
      </c>
      <c r="AV315" s="6" t="e">
        <f>Datos_originales!$V109/Datos_originales!$E109</f>
        <v>#DIV/0!</v>
      </c>
      <c r="AW315" s="6" t="e">
        <f>Datos_originales!$W109/Datos_originales!$E109</f>
        <v>#DIV/0!</v>
      </c>
      <c r="AX315" s="6" t="e">
        <f>Datos_originales!$X109/Datos_originales!$E109</f>
        <v>#DIV/0!</v>
      </c>
      <c r="AY315" s="6" t="e">
        <f>Datos_originales!$Y109/Datos_originales!$E109</f>
        <v>#DIV/0!</v>
      </c>
      <c r="AZ315" s="6" t="e">
        <f>Datos_originales!$Z109/Datos_originales!$E109</f>
        <v>#DIV/0!</v>
      </c>
      <c r="BA315" s="6" t="e">
        <f>Datos_originales!$AA109/Datos_originales!$E109</f>
        <v>#DIV/0!</v>
      </c>
      <c r="BB315" s="6" t="e">
        <f>Datos_originales!$AB109/Datos_originales!$E109</f>
        <v>#DIV/0!</v>
      </c>
      <c r="BC315" s="6" t="e">
        <f>Datos_originales!$AC109/Datos_originales!$E109</f>
        <v>#DIV/0!</v>
      </c>
      <c r="BD315" s="6" t="e">
        <f>Datos_originales!$AD109/Datos_originales!$E109</f>
        <v>#DIV/0!</v>
      </c>
      <c r="BE315" s="6" t="e">
        <f>Datos_originales!$AE109/Datos_originales!$E109</f>
        <v>#DIV/0!</v>
      </c>
      <c r="BF315" s="6" t="e">
        <f>Datos_originales!$AF109/Datos_originales!$E109</f>
        <v>#DIV/0!</v>
      </c>
      <c r="BG315" s="6" t="e">
        <f>Datos_originales!$AG109/Datos_originales!$E109</f>
        <v>#DIV/0!</v>
      </c>
    </row>
    <row r="316" spans="1:59" ht="15.75" customHeight="1">
      <c r="A316" s="2">
        <v>80303</v>
      </c>
      <c r="B316" s="3" t="s">
        <v>87</v>
      </c>
      <c r="C316" s="4" t="s">
        <v>140</v>
      </c>
      <c r="D316" s="4">
        <f>IF(Table_1[[#This Row],[Forest cover 2011]]&lt;1000,"Bosque menor a 1000 ha",Table_1[[#This Row],[Forest cover 2011]])</f>
        <v>201943.35</v>
      </c>
      <c r="E316" s="4">
        <v>201943.35</v>
      </c>
      <c r="F316" s="5">
        <f>AVERAGE(Datos_originales!$H78:$J78)</f>
        <v>0.03</v>
      </c>
      <c r="G316" s="5">
        <f>AVERAGE(Datos_originales!$R78:$T78)</f>
        <v>4.7699999999999996</v>
      </c>
      <c r="H316" s="4">
        <v>191.07</v>
      </c>
      <c r="I316" s="4">
        <v>142.83000000000001</v>
      </c>
      <c r="J316" s="4">
        <v>171.27</v>
      </c>
      <c r="K316" s="4">
        <v>127.08</v>
      </c>
      <c r="L316" s="4">
        <v>67.5</v>
      </c>
      <c r="M316" s="4">
        <v>115.02</v>
      </c>
      <c r="N316" s="4">
        <v>71.459999999999994</v>
      </c>
      <c r="O316" s="4">
        <v>92.52</v>
      </c>
      <c r="P316" s="4">
        <v>166.77</v>
      </c>
      <c r="Q316" s="4">
        <v>165.87</v>
      </c>
      <c r="R316" s="4">
        <v>420.66</v>
      </c>
      <c r="S316" s="4">
        <v>143.72999999999999</v>
      </c>
      <c r="T316" s="4">
        <v>769.86</v>
      </c>
      <c r="U316" s="4">
        <v>1146.06</v>
      </c>
      <c r="V316" s="4">
        <v>578.97</v>
      </c>
      <c r="W316" s="4">
        <v>1156.1400000000001</v>
      </c>
      <c r="X316" s="4">
        <v>468.17999999999989</v>
      </c>
      <c r="Y316" s="4">
        <v>222.66</v>
      </c>
      <c r="Z316" s="4">
        <v>288.36</v>
      </c>
      <c r="AA316" s="4">
        <v>216.72</v>
      </c>
      <c r="AB316" s="4">
        <v>235.26</v>
      </c>
      <c r="AC316" s="4">
        <v>448.92</v>
      </c>
      <c r="AD316" s="4">
        <v>294.39</v>
      </c>
      <c r="AE316" s="4">
        <v>1116.0899999999999</v>
      </c>
      <c r="AF316" s="4">
        <v>615.42000000000007</v>
      </c>
      <c r="AG316" s="4">
        <v>4005.45</v>
      </c>
      <c r="AH316" s="6">
        <f>Datos_originales!$H78/Datos_originales!$E78</f>
        <v>4.0535062829347385E-4</v>
      </c>
      <c r="AI316" s="6">
        <f>Datos_originales!$I78/Datos_originales!$E78</f>
        <v>0</v>
      </c>
      <c r="AJ316" s="6">
        <f>Datos_originales!$J78/Datos_originales!$E78</f>
        <v>0</v>
      </c>
      <c r="AK316" s="6">
        <f>Datos_originales!$K78/Datos_originales!$E78</f>
        <v>0</v>
      </c>
      <c r="AL316" s="6">
        <f>Datos_originales!$L78/Datos_originales!$E78</f>
        <v>0</v>
      </c>
      <c r="AM316" s="6">
        <f>Datos_originales!$M78/Datos_originales!$E78</f>
        <v>0</v>
      </c>
      <c r="AN316" s="6">
        <f>Datos_originales!$N78/Datos_originales!$E78</f>
        <v>4.0535062829347385E-4</v>
      </c>
      <c r="AO316" s="6">
        <f>Datos_originales!$O78/Datos_originales!$E78</f>
        <v>2.0267531414673691E-3</v>
      </c>
      <c r="AP316" s="6">
        <f>Datos_originales!$P78/Datos_originales!$E78</f>
        <v>3.2428050263477908E-3</v>
      </c>
      <c r="AQ316" s="6">
        <f>Datos_originales!$Q78/Datos_originales!$E78</f>
        <v>1.2160518848804217E-3</v>
      </c>
      <c r="AR316" s="6">
        <f>Datos_originales!$R78/Datos_originales!$E78</f>
        <v>0</v>
      </c>
      <c r="AS316" s="6">
        <f>Datos_originales!$S78/Datos_originales!$E78</f>
        <v>4.7426023510336437E-2</v>
      </c>
      <c r="AT316" s="6">
        <f>Datos_originales!$T78/Datos_originales!$E78</f>
        <v>1.70247263883259E-2</v>
      </c>
      <c r="AU316" s="6">
        <f>Datos_originales!$U78/Datos_originales!$E78</f>
        <v>6.4856100526955816E-3</v>
      </c>
      <c r="AV316" s="6">
        <f>Datos_originales!$V78/Datos_originales!$E78</f>
        <v>8.107012565869477E-4</v>
      </c>
      <c r="AW316" s="6">
        <f>Datos_originales!$W78/Datos_originales!$E78</f>
        <v>1.053911633563032E-2</v>
      </c>
      <c r="AX316" s="6">
        <f>Datos_originales!$X78/Datos_originales!$E78</f>
        <v>1.2160518848804217E-3</v>
      </c>
      <c r="AY316" s="6">
        <f>Datos_originales!$Y78/Datos_originales!$E78</f>
        <v>4.0535062829347385E-4</v>
      </c>
      <c r="AZ316" s="6">
        <f>Datos_originales!$Z78/Datos_originales!$E78</f>
        <v>4.8642075395216866E-3</v>
      </c>
      <c r="BA316" s="6">
        <f>Datos_originales!$AA78/Datos_originales!$E78</f>
        <v>5.6749087961086341E-3</v>
      </c>
      <c r="BB316" s="6">
        <f>Datos_originales!$AB78/Datos_originales!$E78</f>
        <v>2.6753141467369276E-2</v>
      </c>
      <c r="BC316" s="6">
        <f>Datos_originales!$AC78/Datos_originales!$E78</f>
        <v>3.9319010944466964E-2</v>
      </c>
      <c r="BD316" s="6">
        <f>Datos_originales!$AD78/Datos_originales!$E78</f>
        <v>1.2160518848804217E-3</v>
      </c>
      <c r="BE316" s="6">
        <f>Datos_originales!$AE78/Datos_originales!$E78</f>
        <v>0</v>
      </c>
      <c r="BF316" s="6">
        <f>Datos_originales!$AF78/Datos_originales!$E78</f>
        <v>5.3911633563032024E-2</v>
      </c>
      <c r="BG316" s="6">
        <f>Datos_originales!$AG78/Datos_originales!$E78</f>
        <v>1.70247263883259E-2</v>
      </c>
    </row>
    <row r="317" spans="1:59" ht="15.75" customHeight="1">
      <c r="A317" s="2">
        <v>80304</v>
      </c>
      <c r="B317" s="3" t="s">
        <v>87</v>
      </c>
      <c r="C317" s="4" t="s">
        <v>172</v>
      </c>
      <c r="D317" s="4">
        <f>IF(Table_1[[#This Row],[Forest cover 2011]]&lt;1000,"Bosque menor a 1000 ha",Table_1[[#This Row],[Forest cover 2011]])</f>
        <v>206885.16</v>
      </c>
      <c r="E317" s="4">
        <v>206885.16</v>
      </c>
      <c r="F317" s="5">
        <f>AVERAGE(Datos_originales!$H112:$J112)</f>
        <v>0</v>
      </c>
      <c r="G317" s="5">
        <f>AVERAGE(Datos_originales!$R112:$T112)</f>
        <v>0</v>
      </c>
      <c r="H317" s="4">
        <v>891.36</v>
      </c>
      <c r="I317" s="4">
        <v>1391.31</v>
      </c>
      <c r="J317" s="4">
        <v>2228.2199999999998</v>
      </c>
      <c r="K317" s="4">
        <v>1089.45</v>
      </c>
      <c r="L317" s="4">
        <v>1283.58</v>
      </c>
      <c r="M317" s="4">
        <v>1181.8800000000001</v>
      </c>
      <c r="N317" s="4">
        <v>1657.62</v>
      </c>
      <c r="O317" s="4">
        <v>2256.9299999999998</v>
      </c>
      <c r="P317" s="4">
        <v>2179.5300000000002</v>
      </c>
      <c r="Q317" s="4">
        <v>1656.09</v>
      </c>
      <c r="R317" s="4">
        <v>666.09</v>
      </c>
      <c r="S317" s="4">
        <v>1982.61</v>
      </c>
      <c r="T317" s="4">
        <v>1255.1400000000001</v>
      </c>
      <c r="U317" s="4">
        <v>1865.79</v>
      </c>
      <c r="V317" s="4">
        <v>2359.62</v>
      </c>
      <c r="W317" s="4">
        <v>6890.76</v>
      </c>
      <c r="X317" s="4">
        <v>3538.62</v>
      </c>
      <c r="Y317" s="4">
        <v>1912.77</v>
      </c>
      <c r="Z317" s="4">
        <v>1625.31</v>
      </c>
      <c r="AA317" s="4">
        <v>2070.7199999999998</v>
      </c>
      <c r="AB317" s="4">
        <v>2643.75</v>
      </c>
      <c r="AC317" s="4">
        <v>2483.19</v>
      </c>
      <c r="AD317" s="4">
        <v>2354.31</v>
      </c>
      <c r="AE317" s="4">
        <v>774.36</v>
      </c>
      <c r="AF317" s="4">
        <v>2184.0300000000002</v>
      </c>
      <c r="AG317" s="4">
        <v>2426.58</v>
      </c>
      <c r="AH317" s="6" t="e">
        <f>Datos_originales!$H112/Datos_originales!$E112</f>
        <v>#DIV/0!</v>
      </c>
      <c r="AI317" s="6" t="e">
        <f>Datos_originales!$I112/Datos_originales!$E112</f>
        <v>#DIV/0!</v>
      </c>
      <c r="AJ317" s="6" t="e">
        <f>Datos_originales!$J112/Datos_originales!$E112</f>
        <v>#DIV/0!</v>
      </c>
      <c r="AK317" s="6" t="e">
        <f>Datos_originales!$K112/Datos_originales!$E112</f>
        <v>#DIV/0!</v>
      </c>
      <c r="AL317" s="6" t="e">
        <f>Datos_originales!$L112/Datos_originales!$E112</f>
        <v>#DIV/0!</v>
      </c>
      <c r="AM317" s="6" t="e">
        <f>Datos_originales!$M112/Datos_originales!$E112</f>
        <v>#DIV/0!</v>
      </c>
      <c r="AN317" s="6" t="e">
        <f>Datos_originales!$N112/Datos_originales!$E112</f>
        <v>#DIV/0!</v>
      </c>
      <c r="AO317" s="6" t="e">
        <f>Datos_originales!$O112/Datos_originales!$E112</f>
        <v>#DIV/0!</v>
      </c>
      <c r="AP317" s="6" t="e">
        <f>Datos_originales!$P112/Datos_originales!$E112</f>
        <v>#DIV/0!</v>
      </c>
      <c r="AQ317" s="6" t="e">
        <f>Datos_originales!$Q112/Datos_originales!$E112</f>
        <v>#DIV/0!</v>
      </c>
      <c r="AR317" s="6" t="e">
        <f>Datos_originales!$R112/Datos_originales!$E112</f>
        <v>#DIV/0!</v>
      </c>
      <c r="AS317" s="6" t="e">
        <f>Datos_originales!$S112/Datos_originales!$E112</f>
        <v>#DIV/0!</v>
      </c>
      <c r="AT317" s="6" t="e">
        <f>Datos_originales!$T112/Datos_originales!$E112</f>
        <v>#DIV/0!</v>
      </c>
      <c r="AU317" s="6" t="e">
        <f>Datos_originales!$U112/Datos_originales!$E112</f>
        <v>#DIV/0!</v>
      </c>
      <c r="AV317" s="6" t="e">
        <f>Datos_originales!$V112/Datos_originales!$E112</f>
        <v>#DIV/0!</v>
      </c>
      <c r="AW317" s="6" t="e">
        <f>Datos_originales!$W112/Datos_originales!$E112</f>
        <v>#DIV/0!</v>
      </c>
      <c r="AX317" s="6" t="e">
        <f>Datos_originales!$X112/Datos_originales!$E112</f>
        <v>#DIV/0!</v>
      </c>
      <c r="AY317" s="6" t="e">
        <f>Datos_originales!$Y112/Datos_originales!$E112</f>
        <v>#DIV/0!</v>
      </c>
      <c r="AZ317" s="6" t="e">
        <f>Datos_originales!$Z112/Datos_originales!$E112</f>
        <v>#DIV/0!</v>
      </c>
      <c r="BA317" s="6" t="e">
        <f>Datos_originales!$AA112/Datos_originales!$E112</f>
        <v>#DIV/0!</v>
      </c>
      <c r="BB317" s="6" t="e">
        <f>Datos_originales!$AB112/Datos_originales!$E112</f>
        <v>#DIV/0!</v>
      </c>
      <c r="BC317" s="6" t="e">
        <f>Datos_originales!$AC112/Datos_originales!$E112</f>
        <v>#DIV/0!</v>
      </c>
      <c r="BD317" s="6" t="e">
        <f>Datos_originales!$AD112/Datos_originales!$E112</f>
        <v>#DIV/0!</v>
      </c>
      <c r="BE317" s="6" t="e">
        <f>Datos_originales!$AE112/Datos_originales!$E112</f>
        <v>#DIV/0!</v>
      </c>
      <c r="BF317" s="6" t="e">
        <f>Datos_originales!$AF112/Datos_originales!$E112</f>
        <v>#DIV/0!</v>
      </c>
      <c r="BG317" s="6" t="e">
        <f>Datos_originales!$AG112/Datos_originales!$E112</f>
        <v>#DIV/0!</v>
      </c>
    </row>
    <row r="318" spans="1:59" ht="15.75" customHeight="1">
      <c r="A318" s="2">
        <v>80401</v>
      </c>
      <c r="B318" s="3" t="s">
        <v>87</v>
      </c>
      <c r="C318" s="4" t="s">
        <v>154</v>
      </c>
      <c r="D318" s="4">
        <f>IF(Table_1[[#This Row],[Forest cover 2011]]&lt;1000,"Bosque menor a 1000 ha",Table_1[[#This Row],[Forest cover 2011]])</f>
        <v>453998.25</v>
      </c>
      <c r="E318" s="4">
        <v>453998.25</v>
      </c>
      <c r="F318" s="5">
        <f>AVERAGE(Datos_originales!$H93:$J93)</f>
        <v>0</v>
      </c>
      <c r="G318" s="5">
        <f>AVERAGE(Datos_originales!$R93:$T93)</f>
        <v>0.18000000000000002</v>
      </c>
      <c r="H318" s="4">
        <v>1002.51</v>
      </c>
      <c r="I318" s="4">
        <v>761.85</v>
      </c>
      <c r="J318" s="4">
        <v>1061.3699999999999</v>
      </c>
      <c r="K318" s="4">
        <v>494.55</v>
      </c>
      <c r="L318" s="4">
        <v>822.87</v>
      </c>
      <c r="M318" s="4">
        <v>546.84</v>
      </c>
      <c r="N318" s="4">
        <v>520.47</v>
      </c>
      <c r="O318" s="4">
        <v>1875.69</v>
      </c>
      <c r="P318" s="4">
        <v>797.13</v>
      </c>
      <c r="Q318" s="4">
        <v>461.43</v>
      </c>
      <c r="R318" s="4">
        <v>287.01</v>
      </c>
      <c r="S318" s="4">
        <v>504.72</v>
      </c>
      <c r="T318" s="4">
        <v>1070.19</v>
      </c>
      <c r="U318" s="4">
        <v>11979.45</v>
      </c>
      <c r="V318" s="4">
        <v>4686.57</v>
      </c>
      <c r="W318" s="4">
        <v>8220.06</v>
      </c>
      <c r="X318" s="4">
        <v>3505.86</v>
      </c>
      <c r="Y318" s="4">
        <v>3842.91</v>
      </c>
      <c r="Z318" s="4">
        <v>1951.47</v>
      </c>
      <c r="AA318" s="4">
        <v>1638.9</v>
      </c>
      <c r="AB318" s="4">
        <v>5758.74</v>
      </c>
      <c r="AC318" s="4">
        <v>3263.13</v>
      </c>
      <c r="AD318" s="4">
        <v>1290.1500000000001</v>
      </c>
      <c r="AE318" s="4">
        <v>2391.39</v>
      </c>
      <c r="AF318" s="4">
        <v>1475.91</v>
      </c>
      <c r="AG318" s="4">
        <v>7290.8099999999986</v>
      </c>
      <c r="AH318" s="6">
        <f>Datos_originales!$H93/Datos_originales!$E93</f>
        <v>0</v>
      </c>
      <c r="AI318" s="6">
        <f>Datos_originales!$I93/Datos_originales!$E93</f>
        <v>0</v>
      </c>
      <c r="AJ318" s="6">
        <f>Datos_originales!$J93/Datos_originales!$E93</f>
        <v>0</v>
      </c>
      <c r="AK318" s="6">
        <f>Datos_originales!$K93/Datos_originales!$E93</f>
        <v>0</v>
      </c>
      <c r="AL318" s="6">
        <f>Datos_originales!$L93/Datos_originales!$E93</f>
        <v>0</v>
      </c>
      <c r="AM318" s="6">
        <f>Datos_originales!$M93/Datos_originales!$E93</f>
        <v>0</v>
      </c>
      <c r="AN318" s="6">
        <f>Datos_originales!$N93/Datos_originales!$E93</f>
        <v>0</v>
      </c>
      <c r="AO318" s="6">
        <f>Datos_originales!$O93/Datos_originales!$E93</f>
        <v>0</v>
      </c>
      <c r="AP318" s="6">
        <f>Datos_originales!$P93/Datos_originales!$E93</f>
        <v>0</v>
      </c>
      <c r="AQ318" s="6">
        <f>Datos_originales!$Q93/Datos_originales!$E93</f>
        <v>0</v>
      </c>
      <c r="AR318" s="6">
        <f>Datos_originales!$R93/Datos_originales!$E93</f>
        <v>0</v>
      </c>
      <c r="AS318" s="6">
        <f>Datos_originales!$S93/Datos_originales!$E93</f>
        <v>7.3170731707317083E-2</v>
      </c>
      <c r="AT318" s="6">
        <f>Datos_originales!$T93/Datos_originales!$E93</f>
        <v>0</v>
      </c>
      <c r="AU318" s="6">
        <f>Datos_originales!$U93/Datos_originales!$E93</f>
        <v>0</v>
      </c>
      <c r="AV318" s="6">
        <f>Datos_originales!$V93/Datos_originales!$E93</f>
        <v>0</v>
      </c>
      <c r="AW318" s="6">
        <f>Datos_originales!$W93/Datos_originales!$E93</f>
        <v>4.878048780487805E-2</v>
      </c>
      <c r="AX318" s="6">
        <f>Datos_originales!$X93/Datos_originales!$E93</f>
        <v>0</v>
      </c>
      <c r="AY318" s="6">
        <f>Datos_originales!$Y93/Datos_originales!$E93</f>
        <v>0</v>
      </c>
      <c r="AZ318" s="6">
        <f>Datos_originales!$Z93/Datos_originales!$E93</f>
        <v>0</v>
      </c>
      <c r="BA318" s="6">
        <f>Datos_originales!$AA93/Datos_originales!$E93</f>
        <v>2.4390243902439025E-2</v>
      </c>
      <c r="BB318" s="6">
        <f>Datos_originales!$AB93/Datos_originales!$E93</f>
        <v>0</v>
      </c>
      <c r="BC318" s="6">
        <f>Datos_originales!$AC93/Datos_originales!$E93</f>
        <v>0</v>
      </c>
      <c r="BD318" s="6">
        <f>Datos_originales!$AD93/Datos_originales!$E93</f>
        <v>0</v>
      </c>
      <c r="BE318" s="6">
        <f>Datos_originales!$AE93/Datos_originales!$E93</f>
        <v>1.2195121951219513E-2</v>
      </c>
      <c r="BF318" s="6">
        <f>Datos_originales!$AF93/Datos_originales!$E93</f>
        <v>7.3170731707317083E-2</v>
      </c>
      <c r="BG318" s="6">
        <f>Datos_originales!$AG93/Datos_originales!$E93</f>
        <v>0</v>
      </c>
    </row>
    <row r="319" spans="1:59" ht="15.75" customHeight="1">
      <c r="A319" s="2">
        <v>80402</v>
      </c>
      <c r="B319" s="3" t="s">
        <v>87</v>
      </c>
      <c r="C319" s="4" t="s">
        <v>174</v>
      </c>
      <c r="D319" s="4">
        <f>IF(Table_1[[#This Row],[Forest cover 2011]]&lt;1000,"Bosque menor a 1000 ha",Table_1[[#This Row],[Forest cover 2011]])</f>
        <v>554632.11</v>
      </c>
      <c r="E319" s="4">
        <v>554632.11</v>
      </c>
      <c r="F319" s="5">
        <f>AVERAGE(Datos_originales!$H114:$J114)</f>
        <v>0</v>
      </c>
      <c r="G319" s="5">
        <f>AVERAGE(Datos_originales!$R114:$T114)</f>
        <v>0</v>
      </c>
      <c r="H319" s="4">
        <v>235.89</v>
      </c>
      <c r="I319" s="4">
        <v>176.85</v>
      </c>
      <c r="J319" s="4">
        <v>127.71</v>
      </c>
      <c r="K319" s="4">
        <v>103.5</v>
      </c>
      <c r="L319" s="4">
        <v>115.65</v>
      </c>
      <c r="M319" s="4">
        <v>104.04</v>
      </c>
      <c r="N319" s="4">
        <v>73.17</v>
      </c>
      <c r="O319" s="4">
        <v>106.2</v>
      </c>
      <c r="P319" s="4">
        <v>149.85</v>
      </c>
      <c r="Q319" s="4">
        <v>473.04</v>
      </c>
      <c r="R319" s="4">
        <v>508.77</v>
      </c>
      <c r="S319" s="4">
        <v>178.47</v>
      </c>
      <c r="T319" s="4">
        <v>855.72</v>
      </c>
      <c r="U319" s="4">
        <v>4398.57</v>
      </c>
      <c r="V319" s="4">
        <v>2054.4299999999998</v>
      </c>
      <c r="W319" s="4">
        <v>5584.41</v>
      </c>
      <c r="X319" s="4">
        <v>935.19</v>
      </c>
      <c r="Y319" s="4">
        <v>1892.52</v>
      </c>
      <c r="Z319" s="4">
        <v>854.46</v>
      </c>
      <c r="AA319" s="4">
        <v>476.55</v>
      </c>
      <c r="AB319" s="4">
        <v>637.47</v>
      </c>
      <c r="AC319" s="4">
        <v>1409.22</v>
      </c>
      <c r="AD319" s="4">
        <v>903.06</v>
      </c>
      <c r="AE319" s="4">
        <v>1602.63</v>
      </c>
      <c r="AF319" s="4">
        <v>1440.63</v>
      </c>
      <c r="AG319" s="4">
        <v>6385.77</v>
      </c>
      <c r="AH319" s="6" t="e">
        <f>Datos_originales!$H114/Datos_originales!$E114</f>
        <v>#DIV/0!</v>
      </c>
      <c r="AI319" s="6" t="e">
        <f>Datos_originales!$I114/Datos_originales!$E114</f>
        <v>#DIV/0!</v>
      </c>
      <c r="AJ319" s="6" t="e">
        <f>Datos_originales!$J114/Datos_originales!$E114</f>
        <v>#DIV/0!</v>
      </c>
      <c r="AK319" s="6" t="e">
        <f>Datos_originales!$K114/Datos_originales!$E114</f>
        <v>#DIV/0!</v>
      </c>
      <c r="AL319" s="6" t="e">
        <f>Datos_originales!$L114/Datos_originales!$E114</f>
        <v>#DIV/0!</v>
      </c>
      <c r="AM319" s="6" t="e">
        <f>Datos_originales!$M114/Datos_originales!$E114</f>
        <v>#DIV/0!</v>
      </c>
      <c r="AN319" s="6" t="e">
        <f>Datos_originales!$N114/Datos_originales!$E114</f>
        <v>#DIV/0!</v>
      </c>
      <c r="AO319" s="6" t="e">
        <f>Datos_originales!$O114/Datos_originales!$E114</f>
        <v>#DIV/0!</v>
      </c>
      <c r="AP319" s="6" t="e">
        <f>Datos_originales!$P114/Datos_originales!$E114</f>
        <v>#DIV/0!</v>
      </c>
      <c r="AQ319" s="6" t="e">
        <f>Datos_originales!$Q114/Datos_originales!$E114</f>
        <v>#DIV/0!</v>
      </c>
      <c r="AR319" s="6" t="e">
        <f>Datos_originales!$R114/Datos_originales!$E114</f>
        <v>#DIV/0!</v>
      </c>
      <c r="AS319" s="6" t="e">
        <f>Datos_originales!$S114/Datos_originales!$E114</f>
        <v>#DIV/0!</v>
      </c>
      <c r="AT319" s="6" t="e">
        <f>Datos_originales!$T114/Datos_originales!$E114</f>
        <v>#DIV/0!</v>
      </c>
      <c r="AU319" s="6" t="e">
        <f>Datos_originales!$U114/Datos_originales!$E114</f>
        <v>#DIV/0!</v>
      </c>
      <c r="AV319" s="6" t="e">
        <f>Datos_originales!$V114/Datos_originales!$E114</f>
        <v>#DIV/0!</v>
      </c>
      <c r="AW319" s="6" t="e">
        <f>Datos_originales!$W114/Datos_originales!$E114</f>
        <v>#DIV/0!</v>
      </c>
      <c r="AX319" s="6" t="e">
        <f>Datos_originales!$X114/Datos_originales!$E114</f>
        <v>#DIV/0!</v>
      </c>
      <c r="AY319" s="6" t="e">
        <f>Datos_originales!$Y114/Datos_originales!$E114</f>
        <v>#DIV/0!</v>
      </c>
      <c r="AZ319" s="6" t="e">
        <f>Datos_originales!$Z114/Datos_originales!$E114</f>
        <v>#DIV/0!</v>
      </c>
      <c r="BA319" s="6" t="e">
        <f>Datos_originales!$AA114/Datos_originales!$E114</f>
        <v>#DIV/0!</v>
      </c>
      <c r="BB319" s="6" t="e">
        <f>Datos_originales!$AB114/Datos_originales!$E114</f>
        <v>#DIV/0!</v>
      </c>
      <c r="BC319" s="6" t="e">
        <f>Datos_originales!$AC114/Datos_originales!$E114</f>
        <v>#DIV/0!</v>
      </c>
      <c r="BD319" s="6" t="e">
        <f>Datos_originales!$AD114/Datos_originales!$E114</f>
        <v>#DIV/0!</v>
      </c>
      <c r="BE319" s="6" t="e">
        <f>Datos_originales!$AE114/Datos_originales!$E114</f>
        <v>#DIV/0!</v>
      </c>
      <c r="BF319" s="6" t="e">
        <f>Datos_originales!$AF114/Datos_originales!$E114</f>
        <v>#DIV/0!</v>
      </c>
      <c r="BG319" s="6" t="e">
        <f>Datos_originales!$AG114/Datos_originales!$E114</f>
        <v>#DIV/0!</v>
      </c>
    </row>
    <row r="320" spans="1:59" ht="15.75" customHeight="1">
      <c r="A320" s="2">
        <v>80501</v>
      </c>
      <c r="B320" s="3" t="s">
        <v>87</v>
      </c>
      <c r="C320" s="4" t="s">
        <v>173</v>
      </c>
      <c r="D320" s="4">
        <f>IF(Table_1[[#This Row],[Forest cover 2011]]&lt;1000,"Bosque menor a 1000 ha",Table_1[[#This Row],[Forest cover 2011]])</f>
        <v>1079191.8</v>
      </c>
      <c r="E320" s="4">
        <v>1079191.8</v>
      </c>
      <c r="F320" s="5">
        <f>AVERAGE(Datos_originales!$H113:$J113)</f>
        <v>0</v>
      </c>
      <c r="G320" s="5">
        <f>AVERAGE(Datos_originales!$R113:$T113)</f>
        <v>0</v>
      </c>
      <c r="H320" s="4">
        <v>413.28</v>
      </c>
      <c r="I320" s="4">
        <v>603.45000000000005</v>
      </c>
      <c r="J320" s="4">
        <v>488.16</v>
      </c>
      <c r="K320" s="4">
        <v>428.4</v>
      </c>
      <c r="L320" s="4">
        <v>439.11</v>
      </c>
      <c r="M320" s="4">
        <v>862.92</v>
      </c>
      <c r="N320" s="4">
        <v>371.7</v>
      </c>
      <c r="O320" s="4">
        <v>532.35</v>
      </c>
      <c r="P320" s="4">
        <v>894.6</v>
      </c>
      <c r="Q320" s="4">
        <v>1017.81</v>
      </c>
      <c r="R320" s="4">
        <v>517.5</v>
      </c>
      <c r="S320" s="4">
        <v>1803.87</v>
      </c>
      <c r="T320" s="4">
        <v>1322.37</v>
      </c>
      <c r="U320" s="4">
        <v>10452.42</v>
      </c>
      <c r="V320" s="4">
        <v>5697.27</v>
      </c>
      <c r="W320" s="4">
        <v>7201.35</v>
      </c>
      <c r="X320" s="4">
        <v>4242.0599999999986</v>
      </c>
      <c r="Y320" s="4">
        <v>2016.36</v>
      </c>
      <c r="Z320" s="4">
        <v>2693.61</v>
      </c>
      <c r="AA320" s="4">
        <v>2849.13</v>
      </c>
      <c r="AB320" s="4">
        <v>2332.8000000000002</v>
      </c>
      <c r="AC320" s="4">
        <v>2026.26</v>
      </c>
      <c r="AD320" s="4">
        <v>2164.77</v>
      </c>
      <c r="AE320" s="4">
        <v>3260.34</v>
      </c>
      <c r="AF320" s="4">
        <v>4909.5</v>
      </c>
      <c r="AG320" s="4">
        <v>12492.09</v>
      </c>
      <c r="AH320" s="6" t="e">
        <f>Datos_originales!$H113/Datos_originales!$E113</f>
        <v>#DIV/0!</v>
      </c>
      <c r="AI320" s="6" t="e">
        <f>Datos_originales!$I113/Datos_originales!$E113</f>
        <v>#DIV/0!</v>
      </c>
      <c r="AJ320" s="6" t="e">
        <f>Datos_originales!$J113/Datos_originales!$E113</f>
        <v>#DIV/0!</v>
      </c>
      <c r="AK320" s="6" t="e">
        <f>Datos_originales!$K113/Datos_originales!$E113</f>
        <v>#DIV/0!</v>
      </c>
      <c r="AL320" s="6" t="e">
        <f>Datos_originales!$L113/Datos_originales!$E113</f>
        <v>#DIV/0!</v>
      </c>
      <c r="AM320" s="6" t="e">
        <f>Datos_originales!$M113/Datos_originales!$E113</f>
        <v>#DIV/0!</v>
      </c>
      <c r="AN320" s="6" t="e">
        <f>Datos_originales!$N113/Datos_originales!$E113</f>
        <v>#DIV/0!</v>
      </c>
      <c r="AO320" s="6" t="e">
        <f>Datos_originales!$O113/Datos_originales!$E113</f>
        <v>#DIV/0!</v>
      </c>
      <c r="AP320" s="6" t="e">
        <f>Datos_originales!$P113/Datos_originales!$E113</f>
        <v>#DIV/0!</v>
      </c>
      <c r="AQ320" s="6" t="e">
        <f>Datos_originales!$Q113/Datos_originales!$E113</f>
        <v>#DIV/0!</v>
      </c>
      <c r="AR320" s="6" t="e">
        <f>Datos_originales!$R113/Datos_originales!$E113</f>
        <v>#DIV/0!</v>
      </c>
      <c r="AS320" s="6" t="e">
        <f>Datos_originales!$S113/Datos_originales!$E113</f>
        <v>#DIV/0!</v>
      </c>
      <c r="AT320" s="6" t="e">
        <f>Datos_originales!$T113/Datos_originales!$E113</f>
        <v>#DIV/0!</v>
      </c>
      <c r="AU320" s="6" t="e">
        <f>Datos_originales!$U113/Datos_originales!$E113</f>
        <v>#DIV/0!</v>
      </c>
      <c r="AV320" s="6" t="e">
        <f>Datos_originales!$V113/Datos_originales!$E113</f>
        <v>#DIV/0!</v>
      </c>
      <c r="AW320" s="6" t="e">
        <f>Datos_originales!$W113/Datos_originales!$E113</f>
        <v>#DIV/0!</v>
      </c>
      <c r="AX320" s="6" t="e">
        <f>Datos_originales!$X113/Datos_originales!$E113</f>
        <v>#DIV/0!</v>
      </c>
      <c r="AY320" s="6" t="e">
        <f>Datos_originales!$Y113/Datos_originales!$E113</f>
        <v>#DIV/0!</v>
      </c>
      <c r="AZ320" s="6" t="e">
        <f>Datos_originales!$Z113/Datos_originales!$E113</f>
        <v>#DIV/0!</v>
      </c>
      <c r="BA320" s="6" t="e">
        <f>Datos_originales!$AA113/Datos_originales!$E113</f>
        <v>#DIV/0!</v>
      </c>
      <c r="BB320" s="6" t="e">
        <f>Datos_originales!$AB113/Datos_originales!$E113</f>
        <v>#DIV/0!</v>
      </c>
      <c r="BC320" s="6" t="e">
        <f>Datos_originales!$AC113/Datos_originales!$E113</f>
        <v>#DIV/0!</v>
      </c>
      <c r="BD320" s="6" t="e">
        <f>Datos_originales!$AD113/Datos_originales!$E113</f>
        <v>#DIV/0!</v>
      </c>
      <c r="BE320" s="6" t="e">
        <f>Datos_originales!$AE113/Datos_originales!$E113</f>
        <v>#DIV/0!</v>
      </c>
      <c r="BF320" s="6" t="e">
        <f>Datos_originales!$AF113/Datos_originales!$E113</f>
        <v>#DIV/0!</v>
      </c>
      <c r="BG320" s="6" t="e">
        <f>Datos_originales!$AG113/Datos_originales!$E113</f>
        <v>#DIV/0!</v>
      </c>
    </row>
    <row r="321" spans="1:59" ht="15.75" customHeight="1">
      <c r="A321" s="2">
        <v>80601</v>
      </c>
      <c r="B321" s="3" t="s">
        <v>87</v>
      </c>
      <c r="C321" s="4" t="s">
        <v>110</v>
      </c>
      <c r="D321" s="4">
        <f>IF(Table_1[[#This Row],[Forest cover 2011]]&lt;1000,"Bosque menor a 1000 ha",Table_1[[#This Row],[Forest cover 2011]])</f>
        <v>267892.65000000002</v>
      </c>
      <c r="E321" s="4">
        <v>267892.65000000002</v>
      </c>
      <c r="F321" s="5">
        <f>AVERAGE(Datos_originales!$H49:$J49)</f>
        <v>0</v>
      </c>
      <c r="G321" s="5">
        <f>AVERAGE(Datos_originales!$R49:$T49)</f>
        <v>0</v>
      </c>
      <c r="H321" s="4">
        <v>75.510000000000005</v>
      </c>
      <c r="I321" s="4">
        <v>33.659999999999997</v>
      </c>
      <c r="J321" s="4">
        <v>30.96</v>
      </c>
      <c r="K321" s="4">
        <v>14.76</v>
      </c>
      <c r="L321" s="4">
        <v>19.53</v>
      </c>
      <c r="M321" s="4">
        <v>22.41</v>
      </c>
      <c r="N321" s="4">
        <v>28.62</v>
      </c>
      <c r="O321" s="4">
        <v>18.27</v>
      </c>
      <c r="P321" s="4">
        <v>42.39</v>
      </c>
      <c r="Q321" s="4">
        <v>132.47999999999999</v>
      </c>
      <c r="R321" s="4">
        <v>31.77</v>
      </c>
      <c r="S321" s="4">
        <v>194.13</v>
      </c>
      <c r="T321" s="4">
        <v>344.25</v>
      </c>
      <c r="U321" s="4">
        <v>8147.16</v>
      </c>
      <c r="V321" s="4">
        <v>2517.39</v>
      </c>
      <c r="W321" s="4">
        <v>3193.2</v>
      </c>
      <c r="X321" s="4">
        <v>1632.69</v>
      </c>
      <c r="Y321" s="4">
        <v>763.2</v>
      </c>
      <c r="Z321" s="4">
        <v>764.1</v>
      </c>
      <c r="AA321" s="4">
        <v>1235.8800000000001</v>
      </c>
      <c r="AB321" s="4">
        <v>1533.78</v>
      </c>
      <c r="AC321" s="4">
        <v>1239.1199999999999</v>
      </c>
      <c r="AD321" s="4">
        <v>656.91000000000008</v>
      </c>
      <c r="AE321" s="4">
        <v>540.36</v>
      </c>
      <c r="AF321" s="4">
        <v>1326.96</v>
      </c>
      <c r="AG321" s="4">
        <v>10383.84</v>
      </c>
      <c r="AH321" s="6" t="e">
        <f>Datos_originales!$H49/Datos_originales!$E49</f>
        <v>#DIV/0!</v>
      </c>
      <c r="AI321" s="6" t="e">
        <f>Datos_originales!$I49/Datos_originales!$E49</f>
        <v>#DIV/0!</v>
      </c>
      <c r="AJ321" s="6" t="e">
        <f>Datos_originales!$J49/Datos_originales!$E49</f>
        <v>#DIV/0!</v>
      </c>
      <c r="AK321" s="6" t="e">
        <f>Datos_originales!$K49/Datos_originales!$E49</f>
        <v>#DIV/0!</v>
      </c>
      <c r="AL321" s="6" t="e">
        <f>Datos_originales!$L49/Datos_originales!$E49</f>
        <v>#DIV/0!</v>
      </c>
      <c r="AM321" s="6" t="e">
        <f>Datos_originales!$M49/Datos_originales!$E49</f>
        <v>#DIV/0!</v>
      </c>
      <c r="AN321" s="6" t="e">
        <f>Datos_originales!$N49/Datos_originales!$E49</f>
        <v>#DIV/0!</v>
      </c>
      <c r="AO321" s="6" t="e">
        <f>Datos_originales!$O49/Datos_originales!$E49</f>
        <v>#DIV/0!</v>
      </c>
      <c r="AP321" s="6" t="e">
        <f>Datos_originales!$P49/Datos_originales!$E49</f>
        <v>#DIV/0!</v>
      </c>
      <c r="AQ321" s="6" t="e">
        <f>Datos_originales!$Q49/Datos_originales!$E49</f>
        <v>#DIV/0!</v>
      </c>
      <c r="AR321" s="6" t="e">
        <f>Datos_originales!$R49/Datos_originales!$E49</f>
        <v>#DIV/0!</v>
      </c>
      <c r="AS321" s="6" t="e">
        <f>Datos_originales!$S49/Datos_originales!$E49</f>
        <v>#DIV/0!</v>
      </c>
      <c r="AT321" s="6" t="e">
        <f>Datos_originales!$T49/Datos_originales!$E49</f>
        <v>#DIV/0!</v>
      </c>
      <c r="AU321" s="6" t="e">
        <f>Datos_originales!$U49/Datos_originales!$E49</f>
        <v>#DIV/0!</v>
      </c>
      <c r="AV321" s="6" t="e">
        <f>Datos_originales!$V49/Datos_originales!$E49</f>
        <v>#DIV/0!</v>
      </c>
      <c r="AW321" s="6" t="e">
        <f>Datos_originales!$W49/Datos_originales!$E49</f>
        <v>#DIV/0!</v>
      </c>
      <c r="AX321" s="6" t="e">
        <f>Datos_originales!$X49/Datos_originales!$E49</f>
        <v>#DIV/0!</v>
      </c>
      <c r="AY321" s="6" t="e">
        <f>Datos_originales!$Y49/Datos_originales!$E49</f>
        <v>#DIV/0!</v>
      </c>
      <c r="AZ321" s="6" t="e">
        <f>Datos_originales!$Z49/Datos_originales!$E49</f>
        <v>#DIV/0!</v>
      </c>
      <c r="BA321" s="6" t="e">
        <f>Datos_originales!$AA49/Datos_originales!$E49</f>
        <v>#DIV/0!</v>
      </c>
      <c r="BB321" s="6" t="e">
        <f>Datos_originales!$AB49/Datos_originales!$E49</f>
        <v>#DIV/0!</v>
      </c>
      <c r="BC321" s="6" t="e">
        <f>Datos_originales!$AC49/Datos_originales!$E49</f>
        <v>#DIV/0!</v>
      </c>
      <c r="BD321" s="6" t="e">
        <f>Datos_originales!$AD49/Datos_originales!$E49</f>
        <v>#DIV/0!</v>
      </c>
      <c r="BE321" s="6" t="e">
        <f>Datos_originales!$AE49/Datos_originales!$E49</f>
        <v>#DIV/0!</v>
      </c>
      <c r="BF321" s="6" t="e">
        <f>Datos_originales!$AF49/Datos_originales!$E49</f>
        <v>#DIV/0!</v>
      </c>
      <c r="BG321" s="6" t="e">
        <f>Datos_originales!$AG49/Datos_originales!$E49</f>
        <v>#DIV/0!</v>
      </c>
    </row>
    <row r="322" spans="1:59" ht="15.75" customHeight="1">
      <c r="A322" s="2">
        <v>80602</v>
      </c>
      <c r="B322" s="3" t="s">
        <v>87</v>
      </c>
      <c r="C322" s="4" t="s">
        <v>100</v>
      </c>
      <c r="D322" s="4">
        <f>IF(Table_1[[#This Row],[Forest cover 2011]]&lt;1000,"Bosque menor a 1000 ha",Table_1[[#This Row],[Forest cover 2011]])</f>
        <v>485036.55</v>
      </c>
      <c r="E322" s="4">
        <v>485036.55</v>
      </c>
      <c r="F322" s="5">
        <f>AVERAGE(Datos_originales!$H38:$J38)</f>
        <v>0</v>
      </c>
      <c r="G322" s="5">
        <f>AVERAGE(Datos_originales!$R38:$T38)</f>
        <v>0</v>
      </c>
      <c r="H322" s="4">
        <v>2207.52</v>
      </c>
      <c r="I322" s="4">
        <v>1620.54</v>
      </c>
      <c r="J322" s="4">
        <v>4654.4400000000014</v>
      </c>
      <c r="K322" s="4">
        <v>2907.54</v>
      </c>
      <c r="L322" s="4">
        <v>5281.2</v>
      </c>
      <c r="M322" s="4">
        <v>5191.29</v>
      </c>
      <c r="N322" s="4">
        <v>3543.84</v>
      </c>
      <c r="O322" s="4">
        <v>3908.61</v>
      </c>
      <c r="P322" s="4">
        <v>3595.59</v>
      </c>
      <c r="Q322" s="4">
        <v>5459.49</v>
      </c>
      <c r="R322" s="4">
        <v>4716.09</v>
      </c>
      <c r="S322" s="4">
        <v>7590.42</v>
      </c>
      <c r="T322" s="4">
        <v>8829.18</v>
      </c>
      <c r="U322" s="4">
        <v>8475.2099999999991</v>
      </c>
      <c r="V322" s="4">
        <v>4002.03</v>
      </c>
      <c r="W322" s="4">
        <v>7084.62</v>
      </c>
      <c r="X322" s="4">
        <v>4248.54</v>
      </c>
      <c r="Y322" s="4">
        <v>6889.68</v>
      </c>
      <c r="Z322" s="4">
        <v>6253.5599999999986</v>
      </c>
      <c r="AA322" s="4">
        <v>4620.24</v>
      </c>
      <c r="AB322" s="4">
        <v>5135.3999999999996</v>
      </c>
      <c r="AC322" s="4">
        <v>5412.0599999999986</v>
      </c>
      <c r="AD322" s="4">
        <v>6032.79</v>
      </c>
      <c r="AE322" s="4">
        <v>6141.33</v>
      </c>
      <c r="AF322" s="4">
        <v>8202.06</v>
      </c>
      <c r="AG322" s="4">
        <v>21828.15</v>
      </c>
      <c r="AH322" s="6" t="e">
        <f>Datos_originales!$H38/Datos_originales!$E38</f>
        <v>#DIV/0!</v>
      </c>
      <c r="AI322" s="6" t="e">
        <f>Datos_originales!$I38/Datos_originales!$E38</f>
        <v>#DIV/0!</v>
      </c>
      <c r="AJ322" s="6" t="e">
        <f>Datos_originales!$J38/Datos_originales!$E38</f>
        <v>#DIV/0!</v>
      </c>
      <c r="AK322" s="6" t="e">
        <f>Datos_originales!$K38/Datos_originales!$E38</f>
        <v>#DIV/0!</v>
      </c>
      <c r="AL322" s="6" t="e">
        <f>Datos_originales!$L38/Datos_originales!$E38</f>
        <v>#DIV/0!</v>
      </c>
      <c r="AM322" s="6" t="e">
        <f>Datos_originales!$M38/Datos_originales!$E38</f>
        <v>#DIV/0!</v>
      </c>
      <c r="AN322" s="6" t="e">
        <f>Datos_originales!$N38/Datos_originales!$E38</f>
        <v>#DIV/0!</v>
      </c>
      <c r="AO322" s="6" t="e">
        <f>Datos_originales!$O38/Datos_originales!$E38</f>
        <v>#DIV/0!</v>
      </c>
      <c r="AP322" s="6" t="e">
        <f>Datos_originales!$P38/Datos_originales!$E38</f>
        <v>#DIV/0!</v>
      </c>
      <c r="AQ322" s="6" t="e">
        <f>Datos_originales!$Q38/Datos_originales!$E38</f>
        <v>#DIV/0!</v>
      </c>
      <c r="AR322" s="6" t="e">
        <f>Datos_originales!$R38/Datos_originales!$E38</f>
        <v>#DIV/0!</v>
      </c>
      <c r="AS322" s="6" t="e">
        <f>Datos_originales!$S38/Datos_originales!$E38</f>
        <v>#DIV/0!</v>
      </c>
      <c r="AT322" s="6" t="e">
        <f>Datos_originales!$T38/Datos_originales!$E38</f>
        <v>#DIV/0!</v>
      </c>
      <c r="AU322" s="6" t="e">
        <f>Datos_originales!$U38/Datos_originales!$E38</f>
        <v>#DIV/0!</v>
      </c>
      <c r="AV322" s="6" t="e">
        <f>Datos_originales!$V38/Datos_originales!$E38</f>
        <v>#DIV/0!</v>
      </c>
      <c r="AW322" s="6" t="e">
        <f>Datos_originales!$W38/Datos_originales!$E38</f>
        <v>#DIV/0!</v>
      </c>
      <c r="AX322" s="6" t="e">
        <f>Datos_originales!$X38/Datos_originales!$E38</f>
        <v>#DIV/0!</v>
      </c>
      <c r="AY322" s="6" t="e">
        <f>Datos_originales!$Y38/Datos_originales!$E38</f>
        <v>#DIV/0!</v>
      </c>
      <c r="AZ322" s="6" t="e">
        <f>Datos_originales!$Z38/Datos_originales!$E38</f>
        <v>#DIV/0!</v>
      </c>
      <c r="BA322" s="6" t="e">
        <f>Datos_originales!$AA38/Datos_originales!$E38</f>
        <v>#DIV/0!</v>
      </c>
      <c r="BB322" s="6" t="e">
        <f>Datos_originales!$AB38/Datos_originales!$E38</f>
        <v>#DIV/0!</v>
      </c>
      <c r="BC322" s="6" t="e">
        <f>Datos_originales!$AC38/Datos_originales!$E38</f>
        <v>#DIV/0!</v>
      </c>
      <c r="BD322" s="6" t="e">
        <f>Datos_originales!$AD38/Datos_originales!$E38</f>
        <v>#DIV/0!</v>
      </c>
      <c r="BE322" s="6" t="e">
        <f>Datos_originales!$AE38/Datos_originales!$E38</f>
        <v>#DIV/0!</v>
      </c>
      <c r="BF322" s="6" t="e">
        <f>Datos_originales!$AF38/Datos_originales!$E38</f>
        <v>#DIV/0!</v>
      </c>
      <c r="BG322" s="6" t="e">
        <f>Datos_originales!$AG38/Datos_originales!$E38</f>
        <v>#DIV/0!</v>
      </c>
    </row>
    <row r="323" spans="1:59" ht="15.75" customHeight="1">
      <c r="A323" s="2">
        <v>80701</v>
      </c>
      <c r="B323" s="3" t="s">
        <v>87</v>
      </c>
      <c r="C323" s="4" t="s">
        <v>121</v>
      </c>
      <c r="D323" s="4">
        <f>IF(Table_1[[#This Row],[Forest cover 2011]]&lt;1000,"Bosque menor a 1000 ha",Table_1[[#This Row],[Forest cover 2011]])</f>
        <v>265375.17</v>
      </c>
      <c r="E323" s="4">
        <v>265375.17</v>
      </c>
      <c r="F323" s="5">
        <f>AVERAGE(Datos_originales!$H60:$J60)</f>
        <v>46.56</v>
      </c>
      <c r="G323" s="5">
        <f>AVERAGE(Datos_originales!$R60:$T60)</f>
        <v>253.28999999999996</v>
      </c>
      <c r="H323" s="4">
        <v>246.96</v>
      </c>
      <c r="I323" s="4">
        <v>134.72999999999999</v>
      </c>
      <c r="J323" s="4">
        <v>222.48</v>
      </c>
      <c r="K323" s="4">
        <v>124.38</v>
      </c>
      <c r="L323" s="4">
        <v>105.12</v>
      </c>
      <c r="M323" s="4">
        <v>69.39</v>
      </c>
      <c r="N323" s="4">
        <v>78.48</v>
      </c>
      <c r="O323" s="4">
        <v>126.9</v>
      </c>
      <c r="P323" s="4">
        <v>110.52</v>
      </c>
      <c r="Q323" s="4">
        <v>220.41</v>
      </c>
      <c r="R323" s="4">
        <v>105.93</v>
      </c>
      <c r="S323" s="4">
        <v>199.89</v>
      </c>
      <c r="T323" s="4">
        <v>408.15</v>
      </c>
      <c r="U323" s="4">
        <v>4831.83</v>
      </c>
      <c r="V323" s="4">
        <v>2160.63</v>
      </c>
      <c r="W323" s="4">
        <v>4587.93</v>
      </c>
      <c r="X323" s="4">
        <v>1743.66</v>
      </c>
      <c r="Y323" s="4">
        <v>1102.8599999999999</v>
      </c>
      <c r="Z323" s="4">
        <v>1326.24</v>
      </c>
      <c r="AA323" s="4">
        <v>693.27</v>
      </c>
      <c r="AB323" s="4">
        <v>913.05</v>
      </c>
      <c r="AC323" s="4">
        <v>930.32999999999993</v>
      </c>
      <c r="AD323" s="4">
        <v>497.25</v>
      </c>
      <c r="AE323" s="4">
        <v>560.97</v>
      </c>
      <c r="AF323" s="4">
        <v>992.97</v>
      </c>
      <c r="AG323" s="4">
        <v>7752.42</v>
      </c>
      <c r="AH323" s="6">
        <f>Datos_originales!$H60/Datos_originales!$E60</f>
        <v>8.4778329108462327E-4</v>
      </c>
      <c r="AI323" s="6">
        <f>Datos_originales!$I60/Datos_originales!$E60</f>
        <v>9.3374143789439618E-4</v>
      </c>
      <c r="AJ323" s="6">
        <f>Datos_originales!$J60/Datos_originales!$E60</f>
        <v>8.342996602125019E-4</v>
      </c>
      <c r="AK323" s="6">
        <f>Datos_originales!$K60/Datos_originales!$E60</f>
        <v>6.8429426676015314E-4</v>
      </c>
      <c r="AL323" s="6">
        <f>Datos_originales!$L60/Datos_originales!$E60</f>
        <v>4.8203980367833446E-4</v>
      </c>
      <c r="AM323" s="6">
        <f>Datos_originales!$M60/Datos_originales!$E60</f>
        <v>2.6630170972439458E-4</v>
      </c>
      <c r="AN323" s="6">
        <f>Datos_originales!$N60/Datos_originales!$E60</f>
        <v>1.1174559085270481E-3</v>
      </c>
      <c r="AO323" s="6">
        <f>Datos_originales!$O60/Datos_originales!$E60</f>
        <v>6.1350520468151661E-4</v>
      </c>
      <c r="AP323" s="6">
        <f>Datos_originales!$P60/Datos_originales!$E60</f>
        <v>1.5657866350250794E-3</v>
      </c>
      <c r="AQ323" s="6">
        <f>Datos_originales!$Q60/Datos_originales!$E60</f>
        <v>1.1663340704384877E-3</v>
      </c>
      <c r="AR323" s="6">
        <f>Datos_originales!$R60/Datos_originales!$E60</f>
        <v>4.2979073404886465E-4</v>
      </c>
      <c r="AS323" s="6">
        <f>Datos_originales!$S60/Datos_originales!$E60</f>
        <v>7.4345369721158516E-3</v>
      </c>
      <c r="AT323" s="6">
        <f>Datos_originales!$T60/Datos_originales!$E60</f>
        <v>6.3659592255002409E-3</v>
      </c>
      <c r="AU323" s="6">
        <f>Datos_originales!$U60/Datos_originales!$E60</f>
        <v>3.8681166064397821E-3</v>
      </c>
      <c r="AV323" s="6">
        <f>Datos_originales!$V60/Datos_originales!$E60</f>
        <v>2.0326573539722779E-3</v>
      </c>
      <c r="AW323" s="6">
        <f>Datos_originales!$W60/Datos_originales!$E60</f>
        <v>2.7540316056307644E-3</v>
      </c>
      <c r="AX323" s="6">
        <f>Datos_originales!$X60/Datos_originales!$E60</f>
        <v>1.1410522625532604E-3</v>
      </c>
      <c r="AY323" s="6">
        <f>Datos_originales!$Y60/Datos_originales!$E60</f>
        <v>8.0564694460924437E-4</v>
      </c>
      <c r="AZ323" s="6">
        <f>Datos_originales!$Z60/Datos_originales!$E60</f>
        <v>5.7642521978318317E-4</v>
      </c>
      <c r="BA323" s="6">
        <f>Datos_originales!$AA60/Datos_originales!$E60</f>
        <v>1.5961248044873521E-3</v>
      </c>
      <c r="BB323" s="6">
        <f>Datos_originales!$AB60/Datos_originales!$E60</f>
        <v>1.2388085863761394E-3</v>
      </c>
      <c r="BC323" s="6">
        <f>Datos_originales!$AC60/Datos_originales!$E60</f>
        <v>1.9534410225985652E-3</v>
      </c>
      <c r="BD323" s="6">
        <f>Datos_originales!$AD60/Datos_originales!$E60</f>
        <v>1.9601828380346261E-3</v>
      </c>
      <c r="BE323" s="6">
        <f>Datos_originales!$AE60/Datos_originales!$E60</f>
        <v>6.2361792783560753E-4</v>
      </c>
      <c r="BF323" s="6">
        <f>Datos_originales!$AF60/Datos_originales!$E60</f>
        <v>8.5469365190658543E-3</v>
      </c>
      <c r="BG323" s="6">
        <f>Datos_originales!$AG60/Datos_originales!$E60</f>
        <v>1.3797125289898064E-2</v>
      </c>
    </row>
    <row r="324" spans="1:59" ht="15.75" customHeight="1">
      <c r="A324" s="2">
        <v>80702</v>
      </c>
      <c r="B324" s="3" t="s">
        <v>87</v>
      </c>
      <c r="C324" s="4" t="s">
        <v>88</v>
      </c>
      <c r="D324" s="4">
        <f>IF(Table_1[[#This Row],[Forest cover 2011]]&lt;1000,"Bosque menor a 1000 ha",Table_1[[#This Row],[Forest cover 2011]])</f>
        <v>80279.91</v>
      </c>
      <c r="E324" s="4">
        <v>80279.91</v>
      </c>
      <c r="F324" s="5">
        <f>AVERAGE(Datos_originales!$H26:$J26)</f>
        <v>495.27</v>
      </c>
      <c r="G324" s="5">
        <f>AVERAGE(Datos_originales!$R26:$T26)</f>
        <v>1180.8599999999999</v>
      </c>
      <c r="H324" s="4">
        <v>150.84</v>
      </c>
      <c r="I324" s="4">
        <v>139.05000000000001</v>
      </c>
      <c r="J324" s="4">
        <v>158.49</v>
      </c>
      <c r="K324" s="4">
        <v>66.42</v>
      </c>
      <c r="L324" s="4">
        <v>70.739999999999995</v>
      </c>
      <c r="M324" s="4">
        <v>78.47999999999999</v>
      </c>
      <c r="N324" s="4">
        <v>39.869999999999997</v>
      </c>
      <c r="O324" s="4">
        <v>57.6</v>
      </c>
      <c r="P324" s="4">
        <v>63.36</v>
      </c>
      <c r="Q324" s="4">
        <v>59.85</v>
      </c>
      <c r="R324" s="4">
        <v>17.28</v>
      </c>
      <c r="S324" s="4">
        <v>383.49</v>
      </c>
      <c r="T324" s="4">
        <v>260.91000000000003</v>
      </c>
      <c r="U324" s="4">
        <v>2648.07</v>
      </c>
      <c r="V324" s="4">
        <v>1004.31</v>
      </c>
      <c r="W324" s="4">
        <v>1420.02</v>
      </c>
      <c r="X324" s="4">
        <v>585</v>
      </c>
      <c r="Y324" s="4">
        <v>327.96</v>
      </c>
      <c r="Z324" s="4">
        <v>1023.12</v>
      </c>
      <c r="AA324" s="4">
        <v>248.4</v>
      </c>
      <c r="AB324" s="4">
        <v>358.29</v>
      </c>
      <c r="AC324" s="4">
        <v>292.32</v>
      </c>
      <c r="AD324" s="4">
        <v>242.82</v>
      </c>
      <c r="AE324" s="4">
        <v>202.14</v>
      </c>
      <c r="AF324" s="4">
        <v>836.73</v>
      </c>
      <c r="AG324" s="4">
        <v>6733.62</v>
      </c>
      <c r="AH324" s="6">
        <f>Datos_originales!$H26/Datos_originales!$E26</f>
        <v>1.8016953087547172E-3</v>
      </c>
      <c r="AI324" s="6">
        <f>Datos_originales!$I26/Datos_originales!$E26</f>
        <v>2.4097288456286286E-3</v>
      </c>
      <c r="AJ324" s="6">
        <f>Datos_originales!$J26/Datos_originales!$E26</f>
        <v>2.1659746132477913E-3</v>
      </c>
      <c r="AK324" s="6">
        <f>Datos_originales!$K26/Datos_originales!$E26</f>
        <v>1.058071065754539E-3</v>
      </c>
      <c r="AL324" s="6">
        <f>Datos_originales!$L26/Datos_originales!$E26</f>
        <v>1.6560608466190977E-3</v>
      </c>
      <c r="AM324" s="6">
        <f>Datos_originales!$M26/Datos_originales!$E26</f>
        <v>2.8350432827939256E-3</v>
      </c>
      <c r="AN324" s="6">
        <f>Datos_originales!$N26/Datos_originales!$E26</f>
        <v>1.4196462820912491E-3</v>
      </c>
      <c r="AO324" s="6">
        <f>Datos_originales!$O26/Datos_originales!$E26</f>
        <v>3.919382633496003E-3</v>
      </c>
      <c r="AP324" s="6">
        <f>Datos_originales!$P26/Datos_originales!$E26</f>
        <v>2.7245619666910422E-3</v>
      </c>
      <c r="AQ324" s="6">
        <f>Datos_originales!$Q26/Datos_originales!$E26</f>
        <v>2.1455008029210333E-3</v>
      </c>
      <c r="AR324" s="6">
        <f>Datos_originales!$R26/Datos_originales!$E26</f>
        <v>1.2037055278901582E-3</v>
      </c>
      <c r="AS324" s="6">
        <f>Datos_originales!$S26/Datos_originales!$E26</f>
        <v>1.0315710018221692E-2</v>
      </c>
      <c r="AT324" s="6">
        <f>Datos_originales!$T26/Datos_originales!$E26</f>
        <v>3.6860584554325709E-3</v>
      </c>
      <c r="AU324" s="6">
        <f>Datos_originales!$U26/Datos_originales!$E26</f>
        <v>1.9766884423022915E-3</v>
      </c>
      <c r="AV324" s="6">
        <f>Datos_originales!$V26/Datos_originales!$E26</f>
        <v>2.5661796603897052E-3</v>
      </c>
      <c r="AW324" s="6">
        <f>Datos_originales!$W26/Datos_originales!$E26</f>
        <v>3.5489225560740969E-3</v>
      </c>
      <c r="AX324" s="6">
        <f>Datos_originales!$X26/Datos_originales!$E26</f>
        <v>1.2705351351831613E-3</v>
      </c>
      <c r="AY324" s="6">
        <f>Datos_originales!$Y26/Datos_originales!$E26</f>
        <v>1.8047856952191335E-3</v>
      </c>
      <c r="AZ324" s="6">
        <f>Datos_originales!$Z26/Datos_originales!$E26</f>
        <v>2.9617491278349948E-3</v>
      </c>
      <c r="BA324" s="6">
        <f>Datos_originales!$AA26/Datos_originales!$E26</f>
        <v>1.5482836186725786E-3</v>
      </c>
      <c r="BB324" s="6">
        <f>Datos_originales!$AB26/Datos_originales!$E26</f>
        <v>4.0449295836129159E-3</v>
      </c>
      <c r="BC324" s="6">
        <f>Datos_originales!$AC26/Datos_originales!$E26</f>
        <v>2.8095475944624913E-3</v>
      </c>
      <c r="BD324" s="6">
        <f>Datos_originales!$AD26/Datos_originales!$E26</f>
        <v>2.3034968109143178E-3</v>
      </c>
      <c r="BE324" s="6">
        <f>Datos_originales!$AE26/Datos_originales!$E26</f>
        <v>1.2176122669800319E-3</v>
      </c>
      <c r="BF324" s="6">
        <f>Datos_originales!$AF26/Datos_originales!$E26</f>
        <v>1.0703167221197888E-2</v>
      </c>
      <c r="BG324" s="6">
        <f>Datos_originales!$AG26/Datos_originales!$E26</f>
        <v>4.3562860199028615E-3</v>
      </c>
    </row>
    <row r="325" spans="1:59" ht="15.75" customHeight="1">
      <c r="A325" s="2">
        <v>80703</v>
      </c>
      <c r="B325" s="3" t="s">
        <v>87</v>
      </c>
      <c r="C325" s="4" t="s">
        <v>148</v>
      </c>
      <c r="D325" s="4">
        <f>IF(Table_1[[#This Row],[Forest cover 2011]]&lt;1000,"Bosque menor a 1000 ha",Table_1[[#This Row],[Forest cover 2011]])</f>
        <v>85748.400000000009</v>
      </c>
      <c r="E325" s="4">
        <v>85748.400000000009</v>
      </c>
      <c r="F325" s="5">
        <f>AVERAGE(Datos_originales!$H87:$J87)</f>
        <v>74.160000000000011</v>
      </c>
      <c r="G325" s="5">
        <f>AVERAGE(Datos_originales!$R87:$T87)</f>
        <v>809.34</v>
      </c>
      <c r="H325" s="4">
        <v>88.740000000000009</v>
      </c>
      <c r="I325" s="4">
        <v>44.55</v>
      </c>
      <c r="J325" s="4">
        <v>117</v>
      </c>
      <c r="K325" s="4">
        <v>153.99</v>
      </c>
      <c r="L325" s="4">
        <v>125.01</v>
      </c>
      <c r="M325" s="4">
        <v>62.55</v>
      </c>
      <c r="N325" s="4">
        <v>18</v>
      </c>
      <c r="O325" s="4">
        <v>30.42</v>
      </c>
      <c r="P325" s="4">
        <v>118.53</v>
      </c>
      <c r="Q325" s="4">
        <v>191.7</v>
      </c>
      <c r="R325" s="4">
        <v>45.18</v>
      </c>
      <c r="S325" s="4">
        <v>108.9</v>
      </c>
      <c r="T325" s="4">
        <v>394.47</v>
      </c>
      <c r="U325" s="4">
        <v>1965.6</v>
      </c>
      <c r="V325" s="4">
        <v>1055.97</v>
      </c>
      <c r="W325" s="4">
        <v>3889.71</v>
      </c>
      <c r="X325" s="4">
        <v>482.4</v>
      </c>
      <c r="Y325" s="4">
        <v>619.29</v>
      </c>
      <c r="Z325" s="4">
        <v>323.10000000000002</v>
      </c>
      <c r="AA325" s="4">
        <v>230.85</v>
      </c>
      <c r="AB325" s="4">
        <v>269.10000000000002</v>
      </c>
      <c r="AC325" s="4">
        <v>536.94000000000005</v>
      </c>
      <c r="AD325" s="4">
        <v>379.26</v>
      </c>
      <c r="AE325" s="4">
        <v>273.24</v>
      </c>
      <c r="AF325" s="4">
        <v>410.67</v>
      </c>
      <c r="AG325" s="4">
        <v>1529.28</v>
      </c>
      <c r="AH325" s="6">
        <f>Datos_originales!$H87/Datos_originales!$E87</f>
        <v>5.8988137629396235E-4</v>
      </c>
      <c r="AI325" s="6">
        <f>Datos_originales!$I87/Datos_originales!$E87</f>
        <v>9.9992086957147283E-4</v>
      </c>
      <c r="AJ325" s="6">
        <f>Datos_originales!$J87/Datos_originales!$E87</f>
        <v>1.3739919862456927E-3</v>
      </c>
      <c r="AK325" s="6">
        <f>Datos_originales!$K87/Datos_originales!$E87</f>
        <v>8.0089585236659921E-4</v>
      </c>
      <c r="AL325" s="6">
        <f>Datos_originales!$L87/Datos_originales!$E87</f>
        <v>6.9179177666995185E-4</v>
      </c>
      <c r="AM325" s="6">
        <f>Datos_originales!$M87/Datos_originales!$E87</f>
        <v>7.037812355377152E-4</v>
      </c>
      <c r="AN325" s="6">
        <f>Datos_originales!$N87/Datos_originales!$E87</f>
        <v>7.8890639349883575E-4</v>
      </c>
      <c r="AO325" s="6">
        <f>Datos_originales!$O87/Datos_originales!$E87</f>
        <v>3.9325425086264153E-4</v>
      </c>
      <c r="AP325" s="6">
        <f>Datos_originales!$P87/Datos_originales!$E87</f>
        <v>6.9179177666995174E-4</v>
      </c>
      <c r="AQ325" s="6">
        <f>Datos_originales!$Q87/Datos_originales!$E87</f>
        <v>4.9276675946507834E-4</v>
      </c>
      <c r="AR325" s="6">
        <f>Datos_originales!$R87/Datos_originales!$E87</f>
        <v>9.9032930247726207E-4</v>
      </c>
      <c r="AS325" s="6">
        <f>Datos_originales!$S87/Datos_originales!$E87</f>
        <v>1.2112950294101425E-2</v>
      </c>
      <c r="AT325" s="6">
        <f>Datos_originales!$T87/Datos_originales!$E87</f>
        <v>1.9241882536873582E-2</v>
      </c>
      <c r="AU325" s="6">
        <f>Datos_originales!$U87/Datos_originales!$E87</f>
        <v>2.2672066718940707E-3</v>
      </c>
      <c r="AV325" s="6">
        <f>Datos_originales!$V87/Datos_originales!$E87</f>
        <v>2.6772461651715812E-3</v>
      </c>
      <c r="AW325" s="6">
        <f>Datos_originales!$W87/Datos_originales!$E87</f>
        <v>4.221488467339515E-3</v>
      </c>
      <c r="AX325" s="6">
        <f>Datos_originales!$X87/Datos_originales!$E87</f>
        <v>1.4950855208101038E-3</v>
      </c>
      <c r="AY325" s="6">
        <f>Datos_originales!$Y87/Datos_originales!$E87</f>
        <v>9.8673246481693292E-4</v>
      </c>
      <c r="AZ325" s="6">
        <f>Datos_originales!$Z87/Datos_originales!$E87</f>
        <v>8.7163365968640372E-4</v>
      </c>
      <c r="BA325" s="6">
        <f>Datos_originales!$AA87/Datos_originales!$E87</f>
        <v>1.0083134907789071E-3</v>
      </c>
      <c r="BB325" s="6">
        <f>Datos_originales!$AB87/Datos_originales!$E87</f>
        <v>5.7069824210554082E-4</v>
      </c>
      <c r="BC325" s="6">
        <f>Datos_originales!$AC87/Datos_originales!$E87</f>
        <v>8.9441363153515429E-4</v>
      </c>
      <c r="BD325" s="6">
        <f>Datos_originales!$AD87/Datos_originales!$E87</f>
        <v>8.0449269002692836E-4</v>
      </c>
      <c r="BE325" s="6">
        <f>Datos_originales!$AE87/Datos_originales!$E87</f>
        <v>1.1006323240606859E-3</v>
      </c>
      <c r="BF325" s="6">
        <f>Datos_originales!$AF87/Datos_originales!$E87</f>
        <v>1.296180398193908E-2</v>
      </c>
      <c r="BG325" s="6">
        <f>Datos_originales!$AG87/Datos_originales!$E87</f>
        <v>2.9442514141566734E-2</v>
      </c>
    </row>
    <row r="326" spans="1:59" ht="15.75" customHeight="1">
      <c r="A326" s="2">
        <v>80801</v>
      </c>
      <c r="B326" s="3" t="s">
        <v>87</v>
      </c>
      <c r="C326" s="4" t="s">
        <v>136</v>
      </c>
      <c r="D326" s="4">
        <f>IF(Table_1[[#This Row],[Forest cover 2011]]&lt;1000,"Bosque menor a 1000 ha",Table_1[[#This Row],[Forest cover 2011]])</f>
        <v>762624.45</v>
      </c>
      <c r="E326" s="4">
        <v>762624.45</v>
      </c>
      <c r="F326" s="5">
        <f>AVERAGE(Datos_originales!$H73:$J73)</f>
        <v>0</v>
      </c>
      <c r="G326" s="5">
        <f>AVERAGE(Datos_originales!$R73:$T73)</f>
        <v>0</v>
      </c>
      <c r="H326" s="4">
        <v>223.65</v>
      </c>
      <c r="I326" s="4">
        <v>207.36</v>
      </c>
      <c r="J326" s="4">
        <v>427.77</v>
      </c>
      <c r="K326" s="4">
        <v>297.81</v>
      </c>
      <c r="L326" s="4">
        <v>217.71</v>
      </c>
      <c r="M326" s="4">
        <v>363.51</v>
      </c>
      <c r="N326" s="4">
        <v>144</v>
      </c>
      <c r="O326" s="4">
        <v>203.49</v>
      </c>
      <c r="P326" s="4">
        <v>357.75</v>
      </c>
      <c r="Q326" s="4">
        <v>616.68000000000006</v>
      </c>
      <c r="R326" s="4">
        <v>261.89999999999998</v>
      </c>
      <c r="S326" s="4">
        <v>743.49</v>
      </c>
      <c r="T326" s="4">
        <v>501.66</v>
      </c>
      <c r="U326" s="4">
        <v>7223.76</v>
      </c>
      <c r="V326" s="4">
        <v>2466.27</v>
      </c>
      <c r="W326" s="4">
        <v>3128.31</v>
      </c>
      <c r="X326" s="4">
        <v>1683.36</v>
      </c>
      <c r="Y326" s="4">
        <v>1967.85</v>
      </c>
      <c r="Z326" s="4">
        <v>2811.78</v>
      </c>
      <c r="AA326" s="4">
        <v>1242.45</v>
      </c>
      <c r="AB326" s="4">
        <v>2079.09</v>
      </c>
      <c r="AC326" s="4">
        <v>1614.06</v>
      </c>
      <c r="AD326" s="4">
        <v>891.36</v>
      </c>
      <c r="AE326" s="4">
        <v>1069.92</v>
      </c>
      <c r="AF326" s="4">
        <v>2182.59</v>
      </c>
      <c r="AG326" s="4">
        <v>16606.71</v>
      </c>
      <c r="AH326" s="6" t="e">
        <f>Datos_originales!$H73/Datos_originales!$E73</f>
        <v>#DIV/0!</v>
      </c>
      <c r="AI326" s="6" t="e">
        <f>Datos_originales!$I73/Datos_originales!$E73</f>
        <v>#DIV/0!</v>
      </c>
      <c r="AJ326" s="6" t="e">
        <f>Datos_originales!$J73/Datos_originales!$E73</f>
        <v>#DIV/0!</v>
      </c>
      <c r="AK326" s="6" t="e">
        <f>Datos_originales!$K73/Datos_originales!$E73</f>
        <v>#DIV/0!</v>
      </c>
      <c r="AL326" s="6" t="e">
        <f>Datos_originales!$L73/Datos_originales!$E73</f>
        <v>#DIV/0!</v>
      </c>
      <c r="AM326" s="6" t="e">
        <f>Datos_originales!$M73/Datos_originales!$E73</f>
        <v>#DIV/0!</v>
      </c>
      <c r="AN326" s="6" t="e">
        <f>Datos_originales!$N73/Datos_originales!$E73</f>
        <v>#DIV/0!</v>
      </c>
      <c r="AO326" s="6" t="e">
        <f>Datos_originales!$O73/Datos_originales!$E73</f>
        <v>#DIV/0!</v>
      </c>
      <c r="AP326" s="6" t="e">
        <f>Datos_originales!$P73/Datos_originales!$E73</f>
        <v>#DIV/0!</v>
      </c>
      <c r="AQ326" s="6" t="e">
        <f>Datos_originales!$Q73/Datos_originales!$E73</f>
        <v>#DIV/0!</v>
      </c>
      <c r="AR326" s="6" t="e">
        <f>Datos_originales!$R73/Datos_originales!$E73</f>
        <v>#DIV/0!</v>
      </c>
      <c r="AS326" s="6" t="e">
        <f>Datos_originales!$S73/Datos_originales!$E73</f>
        <v>#DIV/0!</v>
      </c>
      <c r="AT326" s="6" t="e">
        <f>Datos_originales!$T73/Datos_originales!$E73</f>
        <v>#DIV/0!</v>
      </c>
      <c r="AU326" s="6" t="e">
        <f>Datos_originales!$U73/Datos_originales!$E73</f>
        <v>#DIV/0!</v>
      </c>
      <c r="AV326" s="6" t="e">
        <f>Datos_originales!$V73/Datos_originales!$E73</f>
        <v>#DIV/0!</v>
      </c>
      <c r="AW326" s="6" t="e">
        <f>Datos_originales!$W73/Datos_originales!$E73</f>
        <v>#DIV/0!</v>
      </c>
      <c r="AX326" s="6" t="e">
        <f>Datos_originales!$X73/Datos_originales!$E73</f>
        <v>#DIV/0!</v>
      </c>
      <c r="AY326" s="6" t="e">
        <f>Datos_originales!$Y73/Datos_originales!$E73</f>
        <v>#DIV/0!</v>
      </c>
      <c r="AZ326" s="6" t="e">
        <f>Datos_originales!$Z73/Datos_originales!$E73</f>
        <v>#DIV/0!</v>
      </c>
      <c r="BA326" s="6" t="e">
        <f>Datos_originales!$AA73/Datos_originales!$E73</f>
        <v>#DIV/0!</v>
      </c>
      <c r="BB326" s="6" t="e">
        <f>Datos_originales!$AB73/Datos_originales!$E73</f>
        <v>#DIV/0!</v>
      </c>
      <c r="BC326" s="6" t="e">
        <f>Datos_originales!$AC73/Datos_originales!$E73</f>
        <v>#DIV/0!</v>
      </c>
      <c r="BD326" s="6" t="e">
        <f>Datos_originales!$AD73/Datos_originales!$E73</f>
        <v>#DIV/0!</v>
      </c>
      <c r="BE326" s="6" t="e">
        <f>Datos_originales!$AE73/Datos_originales!$E73</f>
        <v>#DIV/0!</v>
      </c>
      <c r="BF326" s="6" t="e">
        <f>Datos_originales!$AF73/Datos_originales!$E73</f>
        <v>#DIV/0!</v>
      </c>
      <c r="BG326" s="6" t="e">
        <f>Datos_originales!$AG73/Datos_originales!$E73</f>
        <v>#DIV/0!</v>
      </c>
    </row>
    <row r="327" spans="1:59" ht="15.75" customHeight="1">
      <c r="A327" s="2">
        <v>80802</v>
      </c>
      <c r="B327" s="3" t="s">
        <v>87</v>
      </c>
      <c r="C327" s="4" t="s">
        <v>149</v>
      </c>
      <c r="D327" s="4">
        <f>IF(Table_1[[#This Row],[Forest cover 2011]]&lt;1000,"Bosque menor a 1000 ha",Table_1[[#This Row],[Forest cover 2011]])</f>
        <v>1158756.8400000001</v>
      </c>
      <c r="E327" s="4">
        <v>1158756.8400000001</v>
      </c>
      <c r="F327" s="5">
        <f>AVERAGE(Datos_originales!$H88:$J88)</f>
        <v>7.6499999999999995</v>
      </c>
      <c r="G327" s="5">
        <f>AVERAGE(Datos_originales!$R88:$T88)</f>
        <v>79.050000000000011</v>
      </c>
      <c r="H327" s="4">
        <v>279.45</v>
      </c>
      <c r="I327" s="4">
        <v>141.66</v>
      </c>
      <c r="J327" s="4">
        <v>253.35</v>
      </c>
      <c r="K327" s="4">
        <v>189.27</v>
      </c>
      <c r="L327" s="4">
        <v>137.69999999999999</v>
      </c>
      <c r="M327" s="4">
        <v>276.83999999999997</v>
      </c>
      <c r="N327" s="4">
        <v>307.70999999999998</v>
      </c>
      <c r="O327" s="4">
        <v>383.31</v>
      </c>
      <c r="P327" s="4">
        <v>437.49</v>
      </c>
      <c r="Q327" s="4">
        <v>404.01</v>
      </c>
      <c r="R327" s="4">
        <v>793.71</v>
      </c>
      <c r="S327" s="4">
        <v>1089.54</v>
      </c>
      <c r="T327" s="4">
        <v>1480.59</v>
      </c>
      <c r="U327" s="4">
        <v>8257.68</v>
      </c>
      <c r="V327" s="4">
        <v>3152.34</v>
      </c>
      <c r="W327" s="4">
        <v>2736.9</v>
      </c>
      <c r="X327" s="4">
        <v>1391.76</v>
      </c>
      <c r="Y327" s="4">
        <v>1634.67</v>
      </c>
      <c r="Z327" s="4">
        <v>4236.03</v>
      </c>
      <c r="AA327" s="4">
        <v>1163.8800000000001</v>
      </c>
      <c r="AB327" s="4">
        <v>2065.14</v>
      </c>
      <c r="AC327" s="4">
        <v>2221.29</v>
      </c>
      <c r="AD327" s="4">
        <v>639.54</v>
      </c>
      <c r="AE327" s="4">
        <v>2014.02</v>
      </c>
      <c r="AF327" s="4">
        <v>2198.6999999999998</v>
      </c>
      <c r="AG327" s="4">
        <v>20389.95</v>
      </c>
      <c r="AH327" s="6">
        <f>Datos_originales!$H88/Datos_originales!$E88</f>
        <v>3.7570082654181841E-4</v>
      </c>
      <c r="AI327" s="6">
        <f>Datos_originales!$I88/Datos_originales!$E88</f>
        <v>1.0734309329766239E-4</v>
      </c>
      <c r="AJ327" s="6">
        <f>Datos_originales!$J88/Datos_originales!$E88</f>
        <v>5.6974411057990045E-4</v>
      </c>
      <c r="AK327" s="6">
        <f>Datos_originales!$K88/Datos_originales!$E88</f>
        <v>4.2937237319064957E-4</v>
      </c>
      <c r="AL327" s="6">
        <f>Datos_originales!$L88/Datos_originales!$E88</f>
        <v>6.7708720387756288E-4</v>
      </c>
      <c r="AM327" s="6">
        <f>Datos_originales!$M88/Datos_originales!$E88</f>
        <v>2.2294334761822194E-4</v>
      </c>
      <c r="AN327" s="6">
        <f>Datos_originales!$N88/Datos_originales!$E88</f>
        <v>5.6561553006845191E-4</v>
      </c>
      <c r="AO327" s="6">
        <f>Datos_originales!$O88/Datos_originales!$E88</f>
        <v>3.1790069938153866E-4</v>
      </c>
      <c r="AP327" s="6">
        <f>Datos_originales!$P88/Datos_originales!$E88</f>
        <v>1.8207040055488123E-3</v>
      </c>
      <c r="AQ327" s="6">
        <f>Datos_originales!$Q88/Datos_originales!$E88</f>
        <v>2.8074347477850169E-4</v>
      </c>
      <c r="AR327" s="6">
        <f>Datos_originales!$R88/Datos_originales!$E88</f>
        <v>2.1881476710677335E-4</v>
      </c>
      <c r="AS327" s="6">
        <f>Datos_originales!$S88/Datos_originales!$E88</f>
        <v>8.7154334596678974E-3</v>
      </c>
      <c r="AT327" s="6">
        <f>Datos_originales!$T88/Datos_originales!$E88</f>
        <v>1.944561420892269E-3</v>
      </c>
      <c r="AU327" s="6">
        <f>Datos_originales!$U88/Datos_originales!$E88</f>
        <v>3.6125079475174847E-3</v>
      </c>
      <c r="AV327" s="6">
        <f>Datos_originales!$V88/Datos_originales!$E88</f>
        <v>1.3459172467322287E-3</v>
      </c>
      <c r="AW327" s="6">
        <f>Datos_originales!$W88/Datos_originales!$E88</f>
        <v>4.2194092827004225E-3</v>
      </c>
      <c r="AX327" s="6">
        <f>Datos_originales!$X88/Datos_originales!$E88</f>
        <v>1.1642597042284921E-3</v>
      </c>
      <c r="AY327" s="6">
        <f>Datos_originales!$Y88/Datos_originales!$E88</f>
        <v>1.0693023524651754E-3</v>
      </c>
      <c r="AZ327" s="6">
        <f>Datos_originales!$Z88/Datos_originales!$E88</f>
        <v>6.3992997927452585E-4</v>
      </c>
      <c r="BA327" s="6">
        <f>Datos_originales!$AA88/Datos_originales!$E88</f>
        <v>2.1262189633960054E-3</v>
      </c>
      <c r="BB327" s="6">
        <f>Datos_originales!$AB88/Datos_originales!$E88</f>
        <v>1.1683882847399408E-3</v>
      </c>
      <c r="BC327" s="6">
        <f>Datos_originales!$AC88/Datos_originales!$E88</f>
        <v>2.4276053407317499E-3</v>
      </c>
      <c r="BD327" s="6">
        <f>Datos_originales!$AD88/Datos_originales!$E88</f>
        <v>6.3580139876307732E-4</v>
      </c>
      <c r="BE327" s="6">
        <f>Datos_originales!$AE88/Datos_originales!$E88</f>
        <v>2.8074347477850163E-4</v>
      </c>
      <c r="BF327" s="6">
        <f>Datos_originales!$AF88/Datos_originales!$E88</f>
        <v>9.6608783967896163E-3</v>
      </c>
      <c r="BG327" s="6">
        <f>Datos_originales!$AG88/Datos_originales!$E88</f>
        <v>1.4656460815642368E-2</v>
      </c>
    </row>
    <row r="328" spans="1:59" ht="15.75" customHeight="1">
      <c r="A328" s="2">
        <v>80803</v>
      </c>
      <c r="B328" s="3" t="s">
        <v>87</v>
      </c>
      <c r="C328" s="4" t="s">
        <v>101</v>
      </c>
      <c r="D328" s="4">
        <f>IF(Table_1[[#This Row],[Forest cover 2011]]&lt;1000,"Bosque menor a 1000 ha",Table_1[[#This Row],[Forest cover 2011]])</f>
        <v>116038.53</v>
      </c>
      <c r="E328" s="4">
        <v>116038.53</v>
      </c>
      <c r="F328" s="5">
        <f>AVERAGE(Datos_originales!$H39:$J39)</f>
        <v>0</v>
      </c>
      <c r="G328" s="5">
        <f>AVERAGE(Datos_originales!$R39:$T39)</f>
        <v>0</v>
      </c>
      <c r="H328" s="4">
        <v>56.52</v>
      </c>
      <c r="I328" s="4">
        <v>59.31</v>
      </c>
      <c r="J328" s="4">
        <v>46.71</v>
      </c>
      <c r="K328" s="4">
        <v>27.09</v>
      </c>
      <c r="L328" s="4">
        <v>9.7199999999999989</v>
      </c>
      <c r="M328" s="4">
        <v>28.71</v>
      </c>
      <c r="N328" s="4">
        <v>34.56</v>
      </c>
      <c r="O328" s="4">
        <v>24.57</v>
      </c>
      <c r="P328" s="4">
        <v>21.6</v>
      </c>
      <c r="Q328" s="4">
        <v>59.13</v>
      </c>
      <c r="R328" s="4">
        <v>186.03</v>
      </c>
      <c r="S328" s="4">
        <v>190.53</v>
      </c>
      <c r="T328" s="4">
        <v>599.76</v>
      </c>
      <c r="U328" s="4">
        <v>5345.28</v>
      </c>
      <c r="V328" s="4">
        <v>2118.87</v>
      </c>
      <c r="W328" s="4">
        <v>1430.55</v>
      </c>
      <c r="X328" s="4">
        <v>1072.44</v>
      </c>
      <c r="Y328" s="4">
        <v>642.33000000000004</v>
      </c>
      <c r="Z328" s="4">
        <v>683.28</v>
      </c>
      <c r="AA328" s="4">
        <v>1202.76</v>
      </c>
      <c r="AB328" s="4">
        <v>862.82999999999993</v>
      </c>
      <c r="AC328" s="4">
        <v>1082.07</v>
      </c>
      <c r="AD328" s="4">
        <v>278.37</v>
      </c>
      <c r="AE328" s="4">
        <v>343.89</v>
      </c>
      <c r="AF328" s="4">
        <v>615.87</v>
      </c>
      <c r="AG328" s="4">
        <v>5136.75</v>
      </c>
      <c r="AH328" s="6" t="e">
        <f>Datos_originales!$H39/Datos_originales!$E39</f>
        <v>#DIV/0!</v>
      </c>
      <c r="AI328" s="6" t="e">
        <f>Datos_originales!$I39/Datos_originales!$E39</f>
        <v>#DIV/0!</v>
      </c>
      <c r="AJ328" s="6" t="e">
        <f>Datos_originales!$J39/Datos_originales!$E39</f>
        <v>#DIV/0!</v>
      </c>
      <c r="AK328" s="6" t="e">
        <f>Datos_originales!$K39/Datos_originales!$E39</f>
        <v>#DIV/0!</v>
      </c>
      <c r="AL328" s="6" t="e">
        <f>Datos_originales!$L39/Datos_originales!$E39</f>
        <v>#DIV/0!</v>
      </c>
      <c r="AM328" s="6" t="e">
        <f>Datos_originales!$M39/Datos_originales!$E39</f>
        <v>#DIV/0!</v>
      </c>
      <c r="AN328" s="6" t="e">
        <f>Datos_originales!$N39/Datos_originales!$E39</f>
        <v>#DIV/0!</v>
      </c>
      <c r="AO328" s="6" t="e">
        <f>Datos_originales!$O39/Datos_originales!$E39</f>
        <v>#DIV/0!</v>
      </c>
      <c r="AP328" s="6" t="e">
        <f>Datos_originales!$P39/Datos_originales!$E39</f>
        <v>#DIV/0!</v>
      </c>
      <c r="AQ328" s="6" t="e">
        <f>Datos_originales!$Q39/Datos_originales!$E39</f>
        <v>#DIV/0!</v>
      </c>
      <c r="AR328" s="6" t="e">
        <f>Datos_originales!$R39/Datos_originales!$E39</f>
        <v>#DIV/0!</v>
      </c>
      <c r="AS328" s="6" t="e">
        <f>Datos_originales!$S39/Datos_originales!$E39</f>
        <v>#DIV/0!</v>
      </c>
      <c r="AT328" s="6" t="e">
        <f>Datos_originales!$T39/Datos_originales!$E39</f>
        <v>#DIV/0!</v>
      </c>
      <c r="AU328" s="6" t="e">
        <f>Datos_originales!$U39/Datos_originales!$E39</f>
        <v>#DIV/0!</v>
      </c>
      <c r="AV328" s="6" t="e">
        <f>Datos_originales!$V39/Datos_originales!$E39</f>
        <v>#DIV/0!</v>
      </c>
      <c r="AW328" s="6" t="e">
        <f>Datos_originales!$W39/Datos_originales!$E39</f>
        <v>#DIV/0!</v>
      </c>
      <c r="AX328" s="6" t="e">
        <f>Datos_originales!$X39/Datos_originales!$E39</f>
        <v>#DIV/0!</v>
      </c>
      <c r="AY328" s="6" t="e">
        <f>Datos_originales!$Y39/Datos_originales!$E39</f>
        <v>#DIV/0!</v>
      </c>
      <c r="AZ328" s="6" t="e">
        <f>Datos_originales!$Z39/Datos_originales!$E39</f>
        <v>#DIV/0!</v>
      </c>
      <c r="BA328" s="6" t="e">
        <f>Datos_originales!$AA39/Datos_originales!$E39</f>
        <v>#DIV/0!</v>
      </c>
      <c r="BB328" s="6" t="e">
        <f>Datos_originales!$AB39/Datos_originales!$E39</f>
        <v>#DIV/0!</v>
      </c>
      <c r="BC328" s="6" t="e">
        <f>Datos_originales!$AC39/Datos_originales!$E39</f>
        <v>#DIV/0!</v>
      </c>
      <c r="BD328" s="6" t="e">
        <f>Datos_originales!$AD39/Datos_originales!$E39</f>
        <v>#DIV/0!</v>
      </c>
      <c r="BE328" s="6" t="e">
        <f>Datos_originales!$AE39/Datos_originales!$E39</f>
        <v>#DIV/0!</v>
      </c>
      <c r="BF328" s="6" t="e">
        <f>Datos_originales!$AF39/Datos_originales!$E39</f>
        <v>#DIV/0!</v>
      </c>
      <c r="BG328" s="6" t="e">
        <f>Datos_originales!$AG39/Datos_originales!$E39</f>
        <v>#DIV/0!</v>
      </c>
    </row>
    <row r="329" spans="1:59" ht="15.75" customHeight="1">
      <c r="A329" s="2">
        <v>80901</v>
      </c>
      <c r="B329" s="3" t="s">
        <v>87</v>
      </c>
      <c r="C329" s="4" t="s">
        <v>193</v>
      </c>
      <c r="D329" s="4">
        <f>IF(Table_1[[#This Row],[Forest cover 2011]]&lt;1000,"Bosque menor a 1000 ha",Table_1[[#This Row],[Forest cover 2011]])</f>
        <v>531983.97</v>
      </c>
      <c r="E329" s="4">
        <v>531983.97</v>
      </c>
      <c r="F329" s="5">
        <f>AVERAGE(Datos_originales!$H133:$J133)</f>
        <v>0.63</v>
      </c>
      <c r="G329" s="5">
        <f>AVERAGE(Datos_originales!$R133:$T133)</f>
        <v>13.350000000000001</v>
      </c>
      <c r="H329" s="4">
        <v>120.78</v>
      </c>
      <c r="I329" s="4">
        <v>99.45</v>
      </c>
      <c r="J329" s="4">
        <v>73.260000000000005</v>
      </c>
      <c r="K329" s="4">
        <v>64.44</v>
      </c>
      <c r="L329" s="4">
        <v>192.69</v>
      </c>
      <c r="M329" s="4">
        <v>104.04</v>
      </c>
      <c r="N329" s="4">
        <v>93.69</v>
      </c>
      <c r="O329" s="4">
        <v>81.539999999999992</v>
      </c>
      <c r="P329" s="4">
        <v>407.7</v>
      </c>
      <c r="Q329" s="4">
        <v>447.39</v>
      </c>
      <c r="R329" s="4">
        <v>156.78</v>
      </c>
      <c r="S329" s="4">
        <v>41.4</v>
      </c>
      <c r="T329" s="4">
        <v>467.64</v>
      </c>
      <c r="U329" s="4">
        <v>6079.32</v>
      </c>
      <c r="V329" s="4">
        <v>1829.97</v>
      </c>
      <c r="W329" s="4">
        <v>2131.83</v>
      </c>
      <c r="X329" s="4">
        <v>2277.27</v>
      </c>
      <c r="Y329" s="4">
        <v>2120.04</v>
      </c>
      <c r="Z329" s="4">
        <v>1854.72</v>
      </c>
      <c r="AA329" s="4">
        <v>1359.18</v>
      </c>
      <c r="AB329" s="4">
        <v>2182.3200000000002</v>
      </c>
      <c r="AC329" s="4">
        <v>3096.63</v>
      </c>
      <c r="AD329" s="4">
        <v>1121.1300000000001</v>
      </c>
      <c r="AE329" s="4">
        <v>780.12</v>
      </c>
      <c r="AF329" s="4">
        <v>252.9</v>
      </c>
      <c r="AG329" s="4">
        <v>3450.06</v>
      </c>
      <c r="AH329" s="6">
        <f>Datos_originales!$H133/Datos_originales!$E133</f>
        <v>4.7273873306019544E-4</v>
      </c>
      <c r="AI329" s="6">
        <f>Datos_originales!$I133/Datos_originales!$E133</f>
        <v>1.4182161991805862E-3</v>
      </c>
      <c r="AJ329" s="6">
        <f>Datos_originales!$J133/Datos_originales!$E133</f>
        <v>1.4182161991805862E-3</v>
      </c>
      <c r="AK329" s="6">
        <f>Datos_originales!$K133/Datos_originales!$E133</f>
        <v>1.4182161991805862E-3</v>
      </c>
      <c r="AL329" s="6">
        <f>Datos_originales!$L133/Datos_originales!$E133</f>
        <v>1.5757957768673181E-3</v>
      </c>
      <c r="AM329" s="6">
        <f>Datos_originales!$M133/Datos_originales!$E133</f>
        <v>7.8789788843365907E-4</v>
      </c>
      <c r="AN329" s="6">
        <f>Datos_originales!$N133/Datos_originales!$E133</f>
        <v>1.1818468326504886E-2</v>
      </c>
      <c r="AO329" s="6">
        <f>Datos_originales!$O133/Datos_originales!$E133</f>
        <v>1.8909549322407818E-3</v>
      </c>
      <c r="AP329" s="6">
        <f>Datos_originales!$P133/Datos_originales!$E133</f>
        <v>2.1115663410022061E-2</v>
      </c>
      <c r="AQ329" s="6">
        <f>Datos_originales!$Q133/Datos_originales!$E133</f>
        <v>1.2606366214938545E-2</v>
      </c>
      <c r="AR329" s="6">
        <f>Datos_originales!$R133/Datos_originales!$E133</f>
        <v>3.81342578001891E-2</v>
      </c>
      <c r="AS329" s="6">
        <f>Datos_originales!$S133/Datos_originales!$E133</f>
        <v>2.9782540182792312E-2</v>
      </c>
      <c r="AT329" s="6">
        <f>Datos_originales!$T133/Datos_originales!$E133</f>
        <v>2.2061140876142452E-3</v>
      </c>
      <c r="AU329" s="6">
        <f>Datos_originales!$U133/Datos_originales!$E133</f>
        <v>1.4182161991805862E-3</v>
      </c>
      <c r="AV329" s="6">
        <f>Datos_originales!$V133/Datos_originales!$E133</f>
        <v>6.9335014182161994E-3</v>
      </c>
      <c r="AW329" s="6">
        <f>Datos_originales!$W133/Datos_originales!$E133</f>
        <v>1.8751969744721087E-2</v>
      </c>
      <c r="AX329" s="6">
        <f>Datos_originales!$X133/Datos_originales!$E133</f>
        <v>4.4122281752284904E-3</v>
      </c>
      <c r="AY329" s="6">
        <f>Datos_originales!$Y133/Datos_originales!$E133</f>
        <v>1.134572959344469E-2</v>
      </c>
      <c r="AZ329" s="6">
        <f>Datos_originales!$Z133/Datos_originales!$E133</f>
        <v>1.465490072486606E-2</v>
      </c>
      <c r="BA329" s="6">
        <f>Datos_originales!$AA133/Datos_originales!$E133</f>
        <v>2.521273242987709E-2</v>
      </c>
      <c r="BB329" s="6">
        <f>Datos_originales!$AB133/Datos_originales!$E133</f>
        <v>3.9552473999369682E-2</v>
      </c>
      <c r="BC329" s="6">
        <f>Datos_originales!$AC133/Datos_originales!$E133</f>
        <v>4.3491963441537974E-2</v>
      </c>
      <c r="BD329" s="6">
        <f>Datos_originales!$AD133/Datos_originales!$E133</f>
        <v>1.2606366214938545E-2</v>
      </c>
      <c r="BE329" s="6">
        <f>Datos_originales!$AE133/Datos_originales!$E133</f>
        <v>3.9079735266309486E-2</v>
      </c>
      <c r="BF329" s="6">
        <f>Datos_originales!$AF133/Datos_originales!$E133</f>
        <v>3.3722029624960612E-2</v>
      </c>
      <c r="BG329" s="6">
        <f>Datos_originales!$AG133/Datos_originales!$E133</f>
        <v>2.6788528206744405E-3</v>
      </c>
    </row>
    <row r="330" spans="1:59" ht="15.75" customHeight="1">
      <c r="A330" s="2">
        <v>90101</v>
      </c>
      <c r="B330" s="3" t="s">
        <v>129</v>
      </c>
      <c r="C330" s="4" t="s">
        <v>130</v>
      </c>
      <c r="D330" s="4">
        <f>IF(Table_1[[#This Row],[Forest cover 2011]]&lt;1000,"Bosque menor a 1000 ha",Table_1[[#This Row],[Forest cover 2011]])</f>
        <v>23278.41</v>
      </c>
      <c r="E330" s="4">
        <v>23278.41</v>
      </c>
      <c r="F330" s="5">
        <f>AVERAGE(Datos_originales!$H68:$J68)</f>
        <v>0</v>
      </c>
      <c r="G330" s="5">
        <f>AVERAGE(Datos_originales!$R68:$T68)</f>
        <v>0</v>
      </c>
      <c r="H330" s="4">
        <v>465.21</v>
      </c>
      <c r="I330" s="4">
        <v>407.61</v>
      </c>
      <c r="J330" s="4">
        <v>387.09</v>
      </c>
      <c r="K330" s="4">
        <v>353.34</v>
      </c>
      <c r="L330" s="4">
        <v>437.67</v>
      </c>
      <c r="M330" s="4">
        <v>447.75</v>
      </c>
      <c r="N330" s="4">
        <v>442.26</v>
      </c>
      <c r="O330" s="4">
        <v>244.44</v>
      </c>
      <c r="P330" s="4">
        <v>273.87</v>
      </c>
      <c r="Q330" s="4">
        <v>415.62</v>
      </c>
      <c r="R330" s="4">
        <v>41.4</v>
      </c>
      <c r="S330" s="4">
        <v>660.32999999999993</v>
      </c>
      <c r="T330" s="4">
        <v>549.72</v>
      </c>
      <c r="U330" s="4">
        <v>493.74</v>
      </c>
      <c r="V330" s="4">
        <v>431.82</v>
      </c>
      <c r="W330" s="4">
        <v>409.95</v>
      </c>
      <c r="X330" s="4">
        <v>429.57000000000011</v>
      </c>
      <c r="Y330" s="4">
        <v>460.08</v>
      </c>
      <c r="Z330" s="4">
        <v>461.61</v>
      </c>
      <c r="AA330" s="4">
        <v>446.67</v>
      </c>
      <c r="AB330" s="4">
        <v>264.24</v>
      </c>
      <c r="AC330" s="4">
        <v>282.69</v>
      </c>
      <c r="AD330" s="4">
        <v>417.6</v>
      </c>
      <c r="AE330" s="4">
        <v>41.67</v>
      </c>
      <c r="AF330" s="4">
        <v>677.97</v>
      </c>
      <c r="AG330" s="4">
        <v>558.45000000000005</v>
      </c>
      <c r="AH330" s="6" t="e">
        <f>Datos_originales!$H68/Datos_originales!$E68</f>
        <v>#DIV/0!</v>
      </c>
      <c r="AI330" s="6" t="e">
        <f>Datos_originales!$I68/Datos_originales!$E68</f>
        <v>#DIV/0!</v>
      </c>
      <c r="AJ330" s="6" t="e">
        <f>Datos_originales!$J68/Datos_originales!$E68</f>
        <v>#DIV/0!</v>
      </c>
      <c r="AK330" s="6" t="e">
        <f>Datos_originales!$K68/Datos_originales!$E68</f>
        <v>#DIV/0!</v>
      </c>
      <c r="AL330" s="6" t="e">
        <f>Datos_originales!$L68/Datos_originales!$E68</f>
        <v>#DIV/0!</v>
      </c>
      <c r="AM330" s="6" t="e">
        <f>Datos_originales!$M68/Datos_originales!$E68</f>
        <v>#DIV/0!</v>
      </c>
      <c r="AN330" s="6" t="e">
        <f>Datos_originales!$N68/Datos_originales!$E68</f>
        <v>#DIV/0!</v>
      </c>
      <c r="AO330" s="6" t="e">
        <f>Datos_originales!$O68/Datos_originales!$E68</f>
        <v>#DIV/0!</v>
      </c>
      <c r="AP330" s="6" t="e">
        <f>Datos_originales!$P68/Datos_originales!$E68</f>
        <v>#DIV/0!</v>
      </c>
      <c r="AQ330" s="6" t="e">
        <f>Datos_originales!$Q68/Datos_originales!$E68</f>
        <v>#DIV/0!</v>
      </c>
      <c r="AR330" s="6" t="e">
        <f>Datos_originales!$R68/Datos_originales!$E68</f>
        <v>#DIV/0!</v>
      </c>
      <c r="AS330" s="6" t="e">
        <f>Datos_originales!$S68/Datos_originales!$E68</f>
        <v>#DIV/0!</v>
      </c>
      <c r="AT330" s="6" t="e">
        <f>Datos_originales!$T68/Datos_originales!$E68</f>
        <v>#DIV/0!</v>
      </c>
      <c r="AU330" s="6" t="e">
        <f>Datos_originales!$U68/Datos_originales!$E68</f>
        <v>#DIV/0!</v>
      </c>
      <c r="AV330" s="6" t="e">
        <f>Datos_originales!$V68/Datos_originales!$E68</f>
        <v>#DIV/0!</v>
      </c>
      <c r="AW330" s="6" t="e">
        <f>Datos_originales!$W68/Datos_originales!$E68</f>
        <v>#DIV/0!</v>
      </c>
      <c r="AX330" s="6" t="e">
        <f>Datos_originales!$X68/Datos_originales!$E68</f>
        <v>#DIV/0!</v>
      </c>
      <c r="AY330" s="6" t="e">
        <f>Datos_originales!$Y68/Datos_originales!$E68</f>
        <v>#DIV/0!</v>
      </c>
      <c r="AZ330" s="6" t="e">
        <f>Datos_originales!$Z68/Datos_originales!$E68</f>
        <v>#DIV/0!</v>
      </c>
      <c r="BA330" s="6" t="e">
        <f>Datos_originales!$AA68/Datos_originales!$E68</f>
        <v>#DIV/0!</v>
      </c>
      <c r="BB330" s="6" t="e">
        <f>Datos_originales!$AB68/Datos_originales!$E68</f>
        <v>#DIV/0!</v>
      </c>
      <c r="BC330" s="6" t="e">
        <f>Datos_originales!$AC68/Datos_originales!$E68</f>
        <v>#DIV/0!</v>
      </c>
      <c r="BD330" s="6" t="e">
        <f>Datos_originales!$AD68/Datos_originales!$E68</f>
        <v>#DIV/0!</v>
      </c>
      <c r="BE330" s="6" t="e">
        <f>Datos_originales!$AE68/Datos_originales!$E68</f>
        <v>#DIV/0!</v>
      </c>
      <c r="BF330" s="6" t="e">
        <f>Datos_originales!$AF68/Datos_originales!$E68</f>
        <v>#DIV/0!</v>
      </c>
      <c r="BG330" s="6" t="e">
        <f>Datos_originales!$AG68/Datos_originales!$E68</f>
        <v>#DIV/0!</v>
      </c>
    </row>
    <row r="331" spans="1:59" ht="15.75" customHeight="1">
      <c r="A331" s="2">
        <v>90102</v>
      </c>
      <c r="B331" s="3" t="s">
        <v>129</v>
      </c>
      <c r="C331" s="4" t="s">
        <v>178</v>
      </c>
      <c r="D331" s="4">
        <f>IF(Table_1[[#This Row],[Forest cover 2011]]&lt;1000,"Bosque menor a 1000 ha",Table_1[[#This Row],[Forest cover 2011]])</f>
        <v>76866.75</v>
      </c>
      <c r="E331" s="4">
        <v>76866.75</v>
      </c>
      <c r="F331" s="5">
        <f>AVERAGE(Datos_originales!$H118:$J118)</f>
        <v>5.01</v>
      </c>
      <c r="G331" s="5">
        <f>AVERAGE(Datos_originales!$R118:$T118)</f>
        <v>56.73</v>
      </c>
      <c r="H331" s="4">
        <v>591.84</v>
      </c>
      <c r="I331" s="4">
        <v>511.2</v>
      </c>
      <c r="J331" s="4">
        <v>575.46</v>
      </c>
      <c r="K331" s="4">
        <v>579.69000000000005</v>
      </c>
      <c r="L331" s="4">
        <v>432.9</v>
      </c>
      <c r="M331" s="4">
        <v>569.97</v>
      </c>
      <c r="N331" s="4">
        <v>500.85</v>
      </c>
      <c r="O331" s="4">
        <v>403.56</v>
      </c>
      <c r="P331" s="4">
        <v>529.38</v>
      </c>
      <c r="Q331" s="4">
        <v>729.9</v>
      </c>
      <c r="R331" s="4">
        <v>85.320000000000007</v>
      </c>
      <c r="S331" s="4">
        <v>626.76</v>
      </c>
      <c r="T331" s="4">
        <v>732.68999999999994</v>
      </c>
      <c r="U331" s="4">
        <v>690.39</v>
      </c>
      <c r="V331" s="4">
        <v>593.81999999999994</v>
      </c>
      <c r="W331" s="4">
        <v>662.58</v>
      </c>
      <c r="X331" s="4">
        <v>703.62</v>
      </c>
      <c r="Y331" s="4">
        <v>470.97</v>
      </c>
      <c r="Z331" s="4">
        <v>582.12</v>
      </c>
      <c r="AA331" s="4">
        <v>539.64</v>
      </c>
      <c r="AB331" s="4">
        <v>426.24</v>
      </c>
      <c r="AC331" s="4">
        <v>575.73</v>
      </c>
      <c r="AD331" s="4">
        <v>759.06</v>
      </c>
      <c r="AE331" s="4">
        <v>94.23</v>
      </c>
      <c r="AF331" s="4">
        <v>705.51</v>
      </c>
      <c r="AG331" s="4">
        <v>779.76</v>
      </c>
      <c r="AH331" s="6">
        <f>Datos_originales!$H118/Datos_originales!$E118</f>
        <v>3.7633163501621116E-3</v>
      </c>
      <c r="AI331" s="6">
        <f>Datos_originales!$I118/Datos_originales!$E118</f>
        <v>3.531727651690597E-3</v>
      </c>
      <c r="AJ331" s="6">
        <f>Datos_originales!$J118/Datos_originales!$E118</f>
        <v>2.3737841593330245E-3</v>
      </c>
      <c r="AK331" s="6">
        <f>Datos_originales!$K118/Datos_originales!$E118</f>
        <v>9.9004168596572486E-3</v>
      </c>
      <c r="AL331" s="6">
        <f>Datos_originales!$L118/Datos_originales!$E118</f>
        <v>1.2216303844372393E-2</v>
      </c>
      <c r="AM331" s="6">
        <f>Datos_originales!$M118/Datos_originales!$E118</f>
        <v>1.1463640574339972E-2</v>
      </c>
      <c r="AN331" s="6">
        <f>Datos_originales!$N118/Datos_originales!$E118</f>
        <v>0.11116257526632702</v>
      </c>
      <c r="AO331" s="6">
        <f>Datos_originales!$O118/Datos_originales!$E118</f>
        <v>2.8138026864289022E-2</v>
      </c>
      <c r="AP331" s="6">
        <f>Datos_originales!$P118/Datos_originales!$E118</f>
        <v>1.9627142195460863E-2</v>
      </c>
      <c r="AQ331" s="6">
        <f>Datos_originales!$Q118/Datos_originales!$E118</f>
        <v>2.6980083371931449E-2</v>
      </c>
      <c r="AR331" s="6">
        <f>Datos_originales!$R118/Datos_originales!$E118</f>
        <v>4.869152385363594E-2</v>
      </c>
      <c r="AS331" s="6">
        <f>Datos_originales!$S118/Datos_originales!$E118</f>
        <v>5.662343677628532E-2</v>
      </c>
      <c r="AT331" s="6">
        <f>Datos_originales!$T118/Datos_originales!$E118</f>
        <v>4.1685965724872626E-3</v>
      </c>
      <c r="AU331" s="6">
        <f>Datos_originales!$U118/Datos_originales!$E118</f>
        <v>7.1213524779990735E-3</v>
      </c>
      <c r="AV331" s="6">
        <f>Datos_originales!$V118/Datos_originales!$E118</f>
        <v>1.0132005558128763E-2</v>
      </c>
      <c r="AW331" s="6">
        <f>Datos_originales!$W118/Datos_originales!$E118</f>
        <v>6.6002779064381657E-3</v>
      </c>
      <c r="AX331" s="6">
        <f>Datos_originales!$X118/Datos_originales!$E118</f>
        <v>1.3316350162112089E-2</v>
      </c>
      <c r="AY331" s="6">
        <f>Datos_originales!$Y118/Datos_originales!$E118</f>
        <v>1.6153311718388141E-2</v>
      </c>
      <c r="AZ331" s="6">
        <f>Datos_originales!$Z118/Datos_originales!$E118</f>
        <v>1.8584993052339047E-2</v>
      </c>
      <c r="BA331" s="6">
        <f>Datos_originales!$AA118/Datos_originales!$E118</f>
        <v>0.12285780453913848</v>
      </c>
      <c r="BB331" s="6">
        <f>Datos_originales!$AB118/Datos_originales!$E118</f>
        <v>6.7102825382121353E-2</v>
      </c>
      <c r="BC331" s="6">
        <f>Datos_originales!$AC118/Datos_originales!$E118</f>
        <v>7.0460861509958311E-2</v>
      </c>
      <c r="BD331" s="6">
        <f>Datos_originales!$AD118/Datos_originales!$E118</f>
        <v>2.7501157943492359E-2</v>
      </c>
      <c r="BE331" s="6">
        <f>Datos_originales!$AE118/Datos_originales!$E118</f>
        <v>4.9096804075961085E-2</v>
      </c>
      <c r="BF331" s="6">
        <f>Datos_originales!$AF118/Datos_originales!$E118</f>
        <v>6.4323761000463178E-2</v>
      </c>
      <c r="BG331" s="6">
        <f>Datos_originales!$AG118/Datos_originales!$E118</f>
        <v>4.7475683186660499E-3</v>
      </c>
    </row>
    <row r="332" spans="1:59" ht="15.75" customHeight="1">
      <c r="A332" s="2">
        <v>90103</v>
      </c>
      <c r="B332" s="3" t="s">
        <v>129</v>
      </c>
      <c r="C332" s="4" t="s">
        <v>197</v>
      </c>
      <c r="D332" s="4">
        <f>IF(Table_1[[#This Row],[Forest cover 2011]]&lt;1000,"Bosque menor a 1000 ha",Table_1[[#This Row],[Forest cover 2011]])</f>
        <v>232518.15</v>
      </c>
      <c r="E332" s="4">
        <v>232518.15</v>
      </c>
      <c r="F332" s="5">
        <f>AVERAGE(Datos_originales!$H137:$J137)</f>
        <v>0</v>
      </c>
      <c r="G332" s="5">
        <f>AVERAGE(Datos_originales!$R137:$T137)</f>
        <v>0</v>
      </c>
      <c r="H332" s="4">
        <v>758.7</v>
      </c>
      <c r="I332" s="4">
        <v>793.53</v>
      </c>
      <c r="J332" s="4">
        <v>802.07999999999993</v>
      </c>
      <c r="K332" s="4">
        <v>799.47</v>
      </c>
      <c r="L332" s="4">
        <v>871.2</v>
      </c>
      <c r="M332" s="4">
        <v>1083.24</v>
      </c>
      <c r="N332" s="4">
        <v>1360.98</v>
      </c>
      <c r="O332" s="4">
        <v>970.56</v>
      </c>
      <c r="P332" s="4">
        <v>1095.03</v>
      </c>
      <c r="Q332" s="4">
        <v>886.77</v>
      </c>
      <c r="R332" s="4">
        <v>357.92999999999989</v>
      </c>
      <c r="S332" s="4">
        <v>703.98</v>
      </c>
      <c r="T332" s="4">
        <v>1335.06</v>
      </c>
      <c r="U332" s="4">
        <v>856.53</v>
      </c>
      <c r="V332" s="4">
        <v>858.87</v>
      </c>
      <c r="W332" s="4">
        <v>858.96</v>
      </c>
      <c r="X332" s="4">
        <v>915.93000000000006</v>
      </c>
      <c r="Y332" s="4">
        <v>906.21</v>
      </c>
      <c r="Z332" s="4">
        <v>1101.69</v>
      </c>
      <c r="AA332" s="4">
        <v>1382.85</v>
      </c>
      <c r="AB332" s="4">
        <v>1000.35</v>
      </c>
      <c r="AC332" s="4">
        <v>1126.8</v>
      </c>
      <c r="AD332" s="4">
        <v>912.51</v>
      </c>
      <c r="AE332" s="4">
        <v>374.58</v>
      </c>
      <c r="AF332" s="4">
        <v>781.2</v>
      </c>
      <c r="AG332" s="4">
        <v>1393.47</v>
      </c>
      <c r="AH332" s="6">
        <f>Datos_originales!$H137/Datos_originales!$E137</f>
        <v>0</v>
      </c>
      <c r="AI332" s="6">
        <f>Datos_originales!$I137/Datos_originales!$E137</f>
        <v>0</v>
      </c>
      <c r="AJ332" s="6">
        <f>Datos_originales!$J137/Datos_originales!$E137</f>
        <v>0</v>
      </c>
      <c r="AK332" s="6">
        <f>Datos_originales!$K137/Datos_originales!$E137</f>
        <v>0</v>
      </c>
      <c r="AL332" s="6">
        <f>Datos_originales!$L137/Datos_originales!$E137</f>
        <v>0</v>
      </c>
      <c r="AM332" s="6">
        <f>Datos_originales!$M137/Datos_originales!$E137</f>
        <v>0</v>
      </c>
      <c r="AN332" s="6">
        <f>Datos_originales!$N137/Datos_originales!$E137</f>
        <v>0</v>
      </c>
      <c r="AO332" s="6">
        <f>Datos_originales!$O137/Datos_originales!$E137</f>
        <v>0</v>
      </c>
      <c r="AP332" s="6">
        <f>Datos_originales!$P137/Datos_originales!$E137</f>
        <v>0</v>
      </c>
      <c r="AQ332" s="6">
        <f>Datos_originales!$Q137/Datos_originales!$E137</f>
        <v>0</v>
      </c>
      <c r="AR332" s="6">
        <f>Datos_originales!$R137/Datos_originales!$E137</f>
        <v>0</v>
      </c>
      <c r="AS332" s="6">
        <f>Datos_originales!$S137/Datos_originales!$E137</f>
        <v>0</v>
      </c>
      <c r="AT332" s="6">
        <f>Datos_originales!$T137/Datos_originales!$E137</f>
        <v>0</v>
      </c>
      <c r="AU332" s="6">
        <f>Datos_originales!$U137/Datos_originales!$E137</f>
        <v>0</v>
      </c>
      <c r="AV332" s="6">
        <f>Datos_originales!$V137/Datos_originales!$E137</f>
        <v>0</v>
      </c>
      <c r="AW332" s="6">
        <f>Datos_originales!$W137/Datos_originales!$E137</f>
        <v>4.1237113402061855E-2</v>
      </c>
      <c r="AX332" s="6">
        <f>Datos_originales!$X137/Datos_originales!$E137</f>
        <v>0</v>
      </c>
      <c r="AY332" s="6">
        <f>Datos_originales!$Y137/Datos_originales!$E137</f>
        <v>0</v>
      </c>
      <c r="AZ332" s="6">
        <f>Datos_originales!$Z137/Datos_originales!$E137</f>
        <v>1.0309278350515464E-2</v>
      </c>
      <c r="BA332" s="6">
        <f>Datos_originales!$AA137/Datos_originales!$E137</f>
        <v>0</v>
      </c>
      <c r="BB332" s="6">
        <f>Datos_originales!$AB137/Datos_originales!$E137</f>
        <v>3.0927835051546393E-2</v>
      </c>
      <c r="BC332" s="6">
        <f>Datos_originales!$AC137/Datos_originales!$E137</f>
        <v>0</v>
      </c>
      <c r="BD332" s="6">
        <f>Datos_originales!$AD137/Datos_originales!$E137</f>
        <v>0</v>
      </c>
      <c r="BE332" s="6">
        <f>Datos_originales!$AE137/Datos_originales!$E137</f>
        <v>0</v>
      </c>
      <c r="BF332" s="6">
        <f>Datos_originales!$AF137/Datos_originales!$E137</f>
        <v>0</v>
      </c>
      <c r="BG332" s="6">
        <f>Datos_originales!$AG137/Datos_originales!$E137</f>
        <v>0</v>
      </c>
    </row>
    <row r="333" spans="1:59" ht="15.75" customHeight="1">
      <c r="A333" s="2">
        <v>90104</v>
      </c>
      <c r="B333" s="3" t="s">
        <v>129</v>
      </c>
      <c r="C333" s="4" t="s">
        <v>205</v>
      </c>
      <c r="D333" s="4">
        <f>IF(Table_1[[#This Row],[Forest cover 2011]]&lt;1000,"Bosque menor a 1000 ha",Table_1[[#This Row],[Forest cover 2011]])</f>
        <v>481176.99</v>
      </c>
      <c r="E333" s="4">
        <v>481176.99</v>
      </c>
      <c r="F333" s="5">
        <f>AVERAGE(Datos_originales!$H145:$J145)</f>
        <v>73.38</v>
      </c>
      <c r="G333" s="5">
        <f>AVERAGE(Datos_originales!$R145:$T145)</f>
        <v>219.05999999999997</v>
      </c>
      <c r="H333" s="4">
        <v>1360.71</v>
      </c>
      <c r="I333" s="4">
        <v>1752.39</v>
      </c>
      <c r="J333" s="4">
        <v>980.73</v>
      </c>
      <c r="K333" s="4">
        <v>1263.8699999999999</v>
      </c>
      <c r="L333" s="4">
        <v>1808.46</v>
      </c>
      <c r="M333" s="4">
        <v>2225.25</v>
      </c>
      <c r="N333" s="4">
        <v>1820.88</v>
      </c>
      <c r="O333" s="4">
        <v>1024.6500000000001</v>
      </c>
      <c r="P333" s="4">
        <v>1629.09</v>
      </c>
      <c r="Q333" s="4">
        <v>3184.56</v>
      </c>
      <c r="R333" s="4">
        <v>625.14</v>
      </c>
      <c r="S333" s="4">
        <v>2086.38</v>
      </c>
      <c r="T333" s="4">
        <v>2292.75</v>
      </c>
      <c r="U333" s="4">
        <v>1575.63</v>
      </c>
      <c r="V333" s="4">
        <v>2038.23</v>
      </c>
      <c r="W333" s="4">
        <v>1196.55</v>
      </c>
      <c r="X333" s="4">
        <v>1455.39</v>
      </c>
      <c r="Y333" s="4">
        <v>1941.84</v>
      </c>
      <c r="Z333" s="4">
        <v>2283.21</v>
      </c>
      <c r="AA333" s="4">
        <v>1912.86</v>
      </c>
      <c r="AB333" s="4">
        <v>1122.21</v>
      </c>
      <c r="AC333" s="4">
        <v>1887.48</v>
      </c>
      <c r="AD333" s="4">
        <v>3295.26</v>
      </c>
      <c r="AE333" s="4">
        <v>655.92000000000007</v>
      </c>
      <c r="AF333" s="4">
        <v>2310.12</v>
      </c>
      <c r="AG333" s="4">
        <v>2428.92</v>
      </c>
      <c r="AH333" s="6">
        <f>Datos_originales!$H145/Datos_originales!$E145</f>
        <v>4.4416205977186223E-3</v>
      </c>
      <c r="AI333" s="6">
        <f>Datos_originales!$I145/Datos_originales!$E145</f>
        <v>5.0235441519651796E-3</v>
      </c>
      <c r="AJ333" s="6">
        <f>Datos_originales!$J145/Datos_originales!$E145</f>
        <v>5.0591721246741536E-3</v>
      </c>
      <c r="AK333" s="6">
        <f>Datos_originales!$K145/Datos_originales!$E145</f>
        <v>6.8643227419287805E-3</v>
      </c>
      <c r="AL333" s="6">
        <f>Datos_originales!$L145/Datos_originales!$E145</f>
        <v>6.2942751785852137E-3</v>
      </c>
      <c r="AM333" s="6">
        <f>Datos_originales!$M145/Datos_originales!$E145</f>
        <v>1.2309464570950139E-2</v>
      </c>
      <c r="AN333" s="6">
        <f>Datos_originales!$N145/Datos_originales!$E145</f>
        <v>1.2244146620983689E-2</v>
      </c>
      <c r="AO333" s="6">
        <f>Datos_originales!$O145/Datos_originales!$E145</f>
        <v>1.17037890348976E-2</v>
      </c>
      <c r="AP333" s="6">
        <f>Datos_originales!$P145/Datos_originales!$E145</f>
        <v>1.6216665578034167E-2</v>
      </c>
      <c r="AQ333" s="6">
        <f>Datos_originales!$Q145/Datos_originales!$E145</f>
        <v>9.5245447041987577E-3</v>
      </c>
      <c r="AR333" s="6">
        <f>Datos_originales!$R145/Datos_originales!$E145</f>
        <v>6.9058887100892485E-3</v>
      </c>
      <c r="AS333" s="6">
        <f>Datos_originales!$S145/Datos_originales!$E145</f>
        <v>3.2516463092389272E-2</v>
      </c>
      <c r="AT333" s="6">
        <f>Datos_originales!$T145/Datos_originales!$E145</f>
        <v>3.9368909843415061E-3</v>
      </c>
      <c r="AU333" s="6">
        <f>Datos_originales!$U145/Datos_originales!$E145</f>
        <v>9.1801409680120176E-3</v>
      </c>
      <c r="AV333" s="6">
        <f>Datos_originales!$V145/Datos_originales!$E145</f>
        <v>8.8001092591163069E-3</v>
      </c>
      <c r="AW333" s="6">
        <f>Datos_originales!$W145/Datos_originales!$E145</f>
        <v>8.8416752272767758E-3</v>
      </c>
      <c r="AX333" s="6">
        <f>Datos_originales!$X145/Datos_originales!$E145</f>
        <v>9.8155064813220359E-3</v>
      </c>
      <c r="AY333" s="6">
        <f>Datos_originales!$Y145/Datos_originales!$E145</f>
        <v>9.0376290771761267E-3</v>
      </c>
      <c r="AZ333" s="6">
        <f>Datos_originales!$Z145/Datos_originales!$E145</f>
        <v>1.8235584031542632E-2</v>
      </c>
      <c r="BA333" s="6">
        <f>Datos_originales!$AA145/Datos_originales!$E145</f>
        <v>1.8508731822311424E-2</v>
      </c>
      <c r="BB333" s="6">
        <f>Datos_originales!$AB145/Datos_originales!$E145</f>
        <v>2.0248564489599601E-2</v>
      </c>
      <c r="BC333" s="6">
        <f>Datos_originales!$AC145/Datos_originales!$E145</f>
        <v>2.0741418112073726E-2</v>
      </c>
      <c r="BD333" s="6">
        <f>Datos_originales!$AD145/Datos_originales!$E145</f>
        <v>1.1240625389680953E-2</v>
      </c>
      <c r="BE333" s="6">
        <f>Datos_originales!$AE145/Datos_originales!$E145</f>
        <v>1.1798796962121529E-2</v>
      </c>
      <c r="BF333" s="6">
        <f>Datos_originales!$AF145/Datos_originales!$E145</f>
        <v>3.582392655887226E-2</v>
      </c>
      <c r="BG333" s="6">
        <f>Datos_originales!$AG145/Datos_originales!$E145</f>
        <v>3.9725189570504792E-3</v>
      </c>
    </row>
    <row r="334" spans="1:59" ht="15.75" customHeight="1">
      <c r="A334" s="2">
        <v>90201</v>
      </c>
      <c r="B334" s="3" t="s">
        <v>129</v>
      </c>
      <c r="C334" s="4" t="s">
        <v>260</v>
      </c>
      <c r="D334" s="4">
        <f>IF(Table_1[[#This Row],[Forest cover 2011]]&lt;1000,"Bosque menor a 1000 ha",Table_1[[#This Row],[Forest cover 2011]])</f>
        <v>493769.52</v>
      </c>
      <c r="E334" s="4">
        <v>493769.52</v>
      </c>
      <c r="F334" s="5">
        <f>AVERAGE(Datos_originales!$H204:$J204)</f>
        <v>0</v>
      </c>
      <c r="G334" s="5">
        <f>AVERAGE(Datos_originales!$R204:$T204)</f>
        <v>0</v>
      </c>
      <c r="H334" s="4">
        <v>505.17</v>
      </c>
      <c r="I334" s="4">
        <v>359.55</v>
      </c>
      <c r="J334" s="4">
        <v>307.35000000000002</v>
      </c>
      <c r="K334" s="4">
        <v>437.94</v>
      </c>
      <c r="L334" s="4">
        <v>352.26</v>
      </c>
      <c r="M334" s="4">
        <v>1748.07</v>
      </c>
      <c r="N334" s="4">
        <v>387.80999999999989</v>
      </c>
      <c r="O334" s="4">
        <v>236.88</v>
      </c>
      <c r="P334" s="4">
        <v>451.71</v>
      </c>
      <c r="Q334" s="4">
        <v>962.28</v>
      </c>
      <c r="R334" s="4">
        <v>96.66</v>
      </c>
      <c r="S334" s="4">
        <v>254.88</v>
      </c>
      <c r="T334" s="4">
        <v>354.78</v>
      </c>
      <c r="U334" s="4">
        <v>2741.13</v>
      </c>
      <c r="V334" s="4">
        <v>1685.88</v>
      </c>
      <c r="W334" s="4">
        <v>1121.58</v>
      </c>
      <c r="X334" s="4">
        <v>887.12999999999988</v>
      </c>
      <c r="Y334" s="4">
        <v>707.67000000000007</v>
      </c>
      <c r="Z334" s="4">
        <v>2116.71</v>
      </c>
      <c r="AA334" s="4">
        <v>726.03</v>
      </c>
      <c r="AB334" s="4">
        <v>561.15000000000009</v>
      </c>
      <c r="AC334" s="4">
        <v>1167.93</v>
      </c>
      <c r="AD334" s="4">
        <v>1174.68</v>
      </c>
      <c r="AE334" s="4">
        <v>216.18</v>
      </c>
      <c r="AF334" s="4">
        <v>623.43000000000006</v>
      </c>
      <c r="AG334" s="4">
        <v>627.93000000000006</v>
      </c>
      <c r="AH334" s="6">
        <f>Datos_originales!$H204/Datos_originales!$E204</f>
        <v>0</v>
      </c>
      <c r="AI334" s="6">
        <f>Datos_originales!$I204/Datos_originales!$E204</f>
        <v>0</v>
      </c>
      <c r="AJ334" s="6">
        <f>Datos_originales!$J204/Datos_originales!$E204</f>
        <v>0</v>
      </c>
      <c r="AK334" s="6">
        <f>Datos_originales!$K204/Datos_originales!$E204</f>
        <v>0</v>
      </c>
      <c r="AL334" s="6">
        <f>Datos_originales!$L204/Datos_originales!$E204</f>
        <v>0</v>
      </c>
      <c r="AM334" s="6">
        <f>Datos_originales!$M204/Datos_originales!$E204</f>
        <v>0</v>
      </c>
      <c r="AN334" s="6">
        <f>Datos_originales!$N204/Datos_originales!$E204</f>
        <v>0</v>
      </c>
      <c r="AO334" s="6">
        <f>Datos_originales!$O204/Datos_originales!$E204</f>
        <v>0</v>
      </c>
      <c r="AP334" s="6">
        <f>Datos_originales!$P204/Datos_originales!$E204</f>
        <v>0</v>
      </c>
      <c r="AQ334" s="6">
        <f>Datos_originales!$Q204/Datos_originales!$E204</f>
        <v>0</v>
      </c>
      <c r="AR334" s="6">
        <f>Datos_originales!$R204/Datos_originales!$E204</f>
        <v>0</v>
      </c>
      <c r="AS334" s="6">
        <f>Datos_originales!$S204/Datos_originales!$E204</f>
        <v>0</v>
      </c>
      <c r="AT334" s="6">
        <f>Datos_originales!$T204/Datos_originales!$E204</f>
        <v>0</v>
      </c>
      <c r="AU334" s="6">
        <f>Datos_originales!$U204/Datos_originales!$E204</f>
        <v>0</v>
      </c>
      <c r="AV334" s="6">
        <f>Datos_originales!$V204/Datos_originales!$E204</f>
        <v>0</v>
      </c>
      <c r="AW334" s="6">
        <f>Datos_originales!$W204/Datos_originales!$E204</f>
        <v>0</v>
      </c>
      <c r="AX334" s="6">
        <f>Datos_originales!$X204/Datos_originales!$E204</f>
        <v>0</v>
      </c>
      <c r="AY334" s="6">
        <f>Datos_originales!$Y204/Datos_originales!$E204</f>
        <v>0</v>
      </c>
      <c r="AZ334" s="6">
        <f>Datos_originales!$Z204/Datos_originales!$E204</f>
        <v>0</v>
      </c>
      <c r="BA334" s="6">
        <f>Datos_originales!$AA204/Datos_originales!$E204</f>
        <v>0</v>
      </c>
      <c r="BB334" s="6">
        <f>Datos_originales!$AB204/Datos_originales!$E204</f>
        <v>0</v>
      </c>
      <c r="BC334" s="6">
        <f>Datos_originales!$AC204/Datos_originales!$E204</f>
        <v>0</v>
      </c>
      <c r="BD334" s="6">
        <f>Datos_originales!$AD204/Datos_originales!$E204</f>
        <v>0</v>
      </c>
      <c r="BE334" s="6">
        <f>Datos_originales!$AE204/Datos_originales!$E204</f>
        <v>0</v>
      </c>
      <c r="BF334" s="6">
        <f>Datos_originales!$AF204/Datos_originales!$E204</f>
        <v>0</v>
      </c>
      <c r="BG334" s="6">
        <f>Datos_originales!$AG204/Datos_originales!$E204</f>
        <v>0.83333333333333326</v>
      </c>
    </row>
    <row r="335" spans="1:59" ht="15.75" customHeight="1">
      <c r="A335" s="2">
        <v>90202</v>
      </c>
      <c r="B335" s="3" t="s">
        <v>129</v>
      </c>
      <c r="C335" s="4" t="s">
        <v>102</v>
      </c>
      <c r="D335" s="4">
        <f>IF(Table_1[[#This Row],[Forest cover 2011]]&lt;1000,"Bosque menor a 1000 ha",Table_1[[#This Row],[Forest cover 2011]])</f>
        <v>240183.99</v>
      </c>
      <c r="E335" s="4">
        <v>240183.99</v>
      </c>
      <c r="F335" s="5">
        <f>AVERAGE(Datos_originales!$H182:$J182)</f>
        <v>0</v>
      </c>
      <c r="G335" s="5">
        <f>AVERAGE(Datos_originales!$R182:$T182)</f>
        <v>0</v>
      </c>
      <c r="H335" s="4">
        <v>351</v>
      </c>
      <c r="I335" s="4">
        <v>283.77</v>
      </c>
      <c r="J335" s="4">
        <v>112.5</v>
      </c>
      <c r="K335" s="4">
        <v>74.61</v>
      </c>
      <c r="L335" s="4">
        <v>95.850000000000009</v>
      </c>
      <c r="M335" s="4">
        <v>226.35</v>
      </c>
      <c r="N335" s="4">
        <v>120.87</v>
      </c>
      <c r="O335" s="4">
        <v>88.740000000000009</v>
      </c>
      <c r="P335" s="4">
        <v>248.49</v>
      </c>
      <c r="Q335" s="4">
        <v>576.54</v>
      </c>
      <c r="R335" s="4">
        <v>32.04</v>
      </c>
      <c r="S335" s="4">
        <v>138.33000000000001</v>
      </c>
      <c r="T335" s="4">
        <v>241.65</v>
      </c>
      <c r="U335" s="4">
        <v>1624.5</v>
      </c>
      <c r="V335" s="4">
        <v>1045.6199999999999</v>
      </c>
      <c r="W335" s="4">
        <v>1617.93</v>
      </c>
      <c r="X335" s="4">
        <v>1006.92</v>
      </c>
      <c r="Y335" s="4">
        <v>502.29</v>
      </c>
      <c r="Z335" s="4">
        <v>685.08</v>
      </c>
      <c r="AA335" s="4">
        <v>509.13</v>
      </c>
      <c r="AB335" s="4">
        <v>566.91</v>
      </c>
      <c r="AC335" s="4">
        <v>821.25</v>
      </c>
      <c r="AD335" s="4">
        <v>931.05</v>
      </c>
      <c r="AE335" s="4">
        <v>254.88</v>
      </c>
      <c r="AF335" s="4">
        <v>944.1</v>
      </c>
      <c r="AG335" s="4">
        <v>621.18000000000006</v>
      </c>
      <c r="AH335" s="6" t="e">
        <f>Datos_originales!$H182/Datos_originales!$E182</f>
        <v>#DIV/0!</v>
      </c>
      <c r="AI335" s="6" t="e">
        <f>Datos_originales!$I182/Datos_originales!$E182</f>
        <v>#DIV/0!</v>
      </c>
      <c r="AJ335" s="6" t="e">
        <f>Datos_originales!$J182/Datos_originales!$E182</f>
        <v>#DIV/0!</v>
      </c>
      <c r="AK335" s="6" t="e">
        <f>Datos_originales!$K182/Datos_originales!$E182</f>
        <v>#DIV/0!</v>
      </c>
      <c r="AL335" s="6" t="e">
        <f>Datos_originales!$L182/Datos_originales!$E182</f>
        <v>#DIV/0!</v>
      </c>
      <c r="AM335" s="6" t="e">
        <f>Datos_originales!$M182/Datos_originales!$E182</f>
        <v>#DIV/0!</v>
      </c>
      <c r="AN335" s="6" t="e">
        <f>Datos_originales!$N182/Datos_originales!$E182</f>
        <v>#DIV/0!</v>
      </c>
      <c r="AO335" s="6" t="e">
        <f>Datos_originales!$O182/Datos_originales!$E182</f>
        <v>#DIV/0!</v>
      </c>
      <c r="AP335" s="6" t="e">
        <f>Datos_originales!$P182/Datos_originales!$E182</f>
        <v>#DIV/0!</v>
      </c>
      <c r="AQ335" s="6" t="e">
        <f>Datos_originales!$Q182/Datos_originales!$E182</f>
        <v>#DIV/0!</v>
      </c>
      <c r="AR335" s="6" t="e">
        <f>Datos_originales!$R182/Datos_originales!$E182</f>
        <v>#DIV/0!</v>
      </c>
      <c r="AS335" s="6" t="e">
        <f>Datos_originales!$S182/Datos_originales!$E182</f>
        <v>#DIV/0!</v>
      </c>
      <c r="AT335" s="6" t="e">
        <f>Datos_originales!$T182/Datos_originales!$E182</f>
        <v>#DIV/0!</v>
      </c>
      <c r="AU335" s="6" t="e">
        <f>Datos_originales!$U182/Datos_originales!$E182</f>
        <v>#DIV/0!</v>
      </c>
      <c r="AV335" s="6" t="e">
        <f>Datos_originales!$V182/Datos_originales!$E182</f>
        <v>#DIV/0!</v>
      </c>
      <c r="AW335" s="6" t="e">
        <f>Datos_originales!$W182/Datos_originales!$E182</f>
        <v>#DIV/0!</v>
      </c>
      <c r="AX335" s="6" t="e">
        <f>Datos_originales!$X182/Datos_originales!$E182</f>
        <v>#DIV/0!</v>
      </c>
      <c r="AY335" s="6" t="e">
        <f>Datos_originales!$Y182/Datos_originales!$E182</f>
        <v>#DIV/0!</v>
      </c>
      <c r="AZ335" s="6" t="e">
        <f>Datos_originales!$Z182/Datos_originales!$E182</f>
        <v>#DIV/0!</v>
      </c>
      <c r="BA335" s="6" t="e">
        <f>Datos_originales!$AA182/Datos_originales!$E182</f>
        <v>#DIV/0!</v>
      </c>
      <c r="BB335" s="6" t="e">
        <f>Datos_originales!$AB182/Datos_originales!$E182</f>
        <v>#DIV/0!</v>
      </c>
      <c r="BC335" s="6" t="e">
        <f>Datos_originales!$AC182/Datos_originales!$E182</f>
        <v>#DIV/0!</v>
      </c>
      <c r="BD335" s="6" t="e">
        <f>Datos_originales!$AD182/Datos_originales!$E182</f>
        <v>#DIV/0!</v>
      </c>
      <c r="BE335" s="6" t="e">
        <f>Datos_originales!$AE182/Datos_originales!$E182</f>
        <v>#DIV/0!</v>
      </c>
      <c r="BF335" s="6" t="e">
        <f>Datos_originales!$AF182/Datos_originales!$E182</f>
        <v>#DIV/0!</v>
      </c>
      <c r="BG335" s="6" t="e">
        <f>Datos_originales!$AG182/Datos_originales!$E182</f>
        <v>#DIV/0!</v>
      </c>
    </row>
    <row r="336" spans="1:59" ht="15.75" customHeight="1">
      <c r="A336" s="2">
        <v>90203</v>
      </c>
      <c r="B336" s="3" t="s">
        <v>129</v>
      </c>
      <c r="C336" s="4" t="s">
        <v>243</v>
      </c>
      <c r="D336" s="4">
        <f>IF(Table_1[[#This Row],[Forest cover 2011]]&lt;1000,"Bosque menor a 1000 ha",Table_1[[#This Row],[Forest cover 2011]])</f>
        <v>1144670.3999999999</v>
      </c>
      <c r="E336" s="4">
        <v>1144670.3999999999</v>
      </c>
      <c r="F336" s="5">
        <f>AVERAGE(Datos_originales!$H186:$J186)</f>
        <v>0</v>
      </c>
      <c r="G336" s="5">
        <f>AVERAGE(Datos_originales!$R186:$T186)</f>
        <v>0</v>
      </c>
      <c r="H336" s="4">
        <v>1237.5</v>
      </c>
      <c r="I336" s="4">
        <v>1163.1600000000001</v>
      </c>
      <c r="J336" s="4">
        <v>1274.49</v>
      </c>
      <c r="K336" s="4">
        <v>1031.58</v>
      </c>
      <c r="L336" s="4">
        <v>1504.89</v>
      </c>
      <c r="M336" s="4">
        <v>1506.69</v>
      </c>
      <c r="N336" s="4">
        <v>1235.25</v>
      </c>
      <c r="O336" s="4">
        <v>1031.94</v>
      </c>
      <c r="P336" s="4">
        <v>1720.53</v>
      </c>
      <c r="Q336" s="4">
        <v>1949.31</v>
      </c>
      <c r="R336" s="4">
        <v>397.8</v>
      </c>
      <c r="S336" s="4">
        <v>1661.85</v>
      </c>
      <c r="T336" s="4">
        <v>2422.62</v>
      </c>
      <c r="U336" s="4">
        <v>2373.12</v>
      </c>
      <c r="V336" s="4">
        <v>1731.6</v>
      </c>
      <c r="W336" s="4">
        <v>1939.59</v>
      </c>
      <c r="X336" s="4">
        <v>1656.99</v>
      </c>
      <c r="Y336" s="4">
        <v>1783.08</v>
      </c>
      <c r="Z336" s="4">
        <v>1720.89</v>
      </c>
      <c r="AA336" s="4">
        <v>1474.92</v>
      </c>
      <c r="AB336" s="4">
        <v>1199.8800000000001</v>
      </c>
      <c r="AC336" s="4">
        <v>2027.52</v>
      </c>
      <c r="AD336" s="4">
        <v>2128.86</v>
      </c>
      <c r="AE336" s="4">
        <v>598.04999999999995</v>
      </c>
      <c r="AF336" s="4">
        <v>2015.55</v>
      </c>
      <c r="AG336" s="4">
        <v>2797.47</v>
      </c>
      <c r="AH336" s="6" t="e">
        <f>Datos_originales!$H186/Datos_originales!$E186</f>
        <v>#DIV/0!</v>
      </c>
      <c r="AI336" s="6" t="e">
        <f>Datos_originales!$I186/Datos_originales!$E186</f>
        <v>#DIV/0!</v>
      </c>
      <c r="AJ336" s="6" t="e">
        <f>Datos_originales!$J186/Datos_originales!$E186</f>
        <v>#DIV/0!</v>
      </c>
      <c r="AK336" s="6" t="e">
        <f>Datos_originales!$K186/Datos_originales!$E186</f>
        <v>#DIV/0!</v>
      </c>
      <c r="AL336" s="6" t="e">
        <f>Datos_originales!$L186/Datos_originales!$E186</f>
        <v>#DIV/0!</v>
      </c>
      <c r="AM336" s="6" t="e">
        <f>Datos_originales!$M186/Datos_originales!$E186</f>
        <v>#DIV/0!</v>
      </c>
      <c r="AN336" s="6" t="e">
        <f>Datos_originales!$N186/Datos_originales!$E186</f>
        <v>#DIV/0!</v>
      </c>
      <c r="AO336" s="6" t="e">
        <f>Datos_originales!$O186/Datos_originales!$E186</f>
        <v>#DIV/0!</v>
      </c>
      <c r="AP336" s="6" t="e">
        <f>Datos_originales!$P186/Datos_originales!$E186</f>
        <v>#DIV/0!</v>
      </c>
      <c r="AQ336" s="6" t="e">
        <f>Datos_originales!$Q186/Datos_originales!$E186</f>
        <v>#DIV/0!</v>
      </c>
      <c r="AR336" s="6" t="e">
        <f>Datos_originales!$R186/Datos_originales!$E186</f>
        <v>#DIV/0!</v>
      </c>
      <c r="AS336" s="6" t="e">
        <f>Datos_originales!$S186/Datos_originales!$E186</f>
        <v>#DIV/0!</v>
      </c>
      <c r="AT336" s="6" t="e">
        <f>Datos_originales!$T186/Datos_originales!$E186</f>
        <v>#DIV/0!</v>
      </c>
      <c r="AU336" s="6" t="e">
        <f>Datos_originales!$U186/Datos_originales!$E186</f>
        <v>#DIV/0!</v>
      </c>
      <c r="AV336" s="6" t="e">
        <f>Datos_originales!$V186/Datos_originales!$E186</f>
        <v>#DIV/0!</v>
      </c>
      <c r="AW336" s="6" t="e">
        <f>Datos_originales!$W186/Datos_originales!$E186</f>
        <v>#DIV/0!</v>
      </c>
      <c r="AX336" s="6" t="e">
        <f>Datos_originales!$X186/Datos_originales!$E186</f>
        <v>#DIV/0!</v>
      </c>
      <c r="AY336" s="6" t="e">
        <f>Datos_originales!$Y186/Datos_originales!$E186</f>
        <v>#DIV/0!</v>
      </c>
      <c r="AZ336" s="6" t="e">
        <f>Datos_originales!$Z186/Datos_originales!$E186</f>
        <v>#DIV/0!</v>
      </c>
      <c r="BA336" s="6" t="e">
        <f>Datos_originales!$AA186/Datos_originales!$E186</f>
        <v>#DIV/0!</v>
      </c>
      <c r="BB336" s="6" t="e">
        <f>Datos_originales!$AB186/Datos_originales!$E186</f>
        <v>#DIV/0!</v>
      </c>
      <c r="BC336" s="6" t="e">
        <f>Datos_originales!$AC186/Datos_originales!$E186</f>
        <v>#DIV/0!</v>
      </c>
      <c r="BD336" s="6" t="e">
        <f>Datos_originales!$AD186/Datos_originales!$E186</f>
        <v>#DIV/0!</v>
      </c>
      <c r="BE336" s="6" t="e">
        <f>Datos_originales!$AE186/Datos_originales!$E186</f>
        <v>#DIV/0!</v>
      </c>
      <c r="BF336" s="6" t="e">
        <f>Datos_originales!$AF186/Datos_originales!$E186</f>
        <v>#DIV/0!</v>
      </c>
      <c r="BG336" s="6" t="e">
        <f>Datos_originales!$AG186/Datos_originales!$E186</f>
        <v>#DIV/0!</v>
      </c>
    </row>
    <row r="337" spans="1:59" ht="15.75" customHeight="1">
      <c r="A337" s="2">
        <v>90301</v>
      </c>
      <c r="B337" s="3" t="s">
        <v>129</v>
      </c>
      <c r="C337" s="4" t="s">
        <v>203</v>
      </c>
      <c r="D337" s="4">
        <f>IF(Table_1[[#This Row],[Forest cover 2011]]&lt;1000,"Bosque menor a 1000 ha",Table_1[[#This Row],[Forest cover 2011]])</f>
        <v>109327.14</v>
      </c>
      <c r="E337" s="4">
        <v>109327.14</v>
      </c>
      <c r="F337" s="5">
        <f>AVERAGE(Datos_originales!$H143:$J143)</f>
        <v>3.06</v>
      </c>
      <c r="G337" s="5">
        <f>AVERAGE(Datos_originales!$R143:$T143)</f>
        <v>54.449999999999996</v>
      </c>
      <c r="H337" s="4">
        <v>264.77999999999997</v>
      </c>
      <c r="I337" s="4">
        <v>183.24</v>
      </c>
      <c r="J337" s="4">
        <v>245.16</v>
      </c>
      <c r="K337" s="4">
        <v>192.6</v>
      </c>
      <c r="L337" s="4">
        <v>271.70999999999998</v>
      </c>
      <c r="M337" s="4">
        <v>411.75</v>
      </c>
      <c r="N337" s="4">
        <v>156.15</v>
      </c>
      <c r="O337" s="4">
        <v>99.45</v>
      </c>
      <c r="P337" s="4">
        <v>231.39</v>
      </c>
      <c r="Q337" s="4">
        <v>571.95000000000005</v>
      </c>
      <c r="R337" s="4">
        <v>171.09</v>
      </c>
      <c r="S337" s="4">
        <v>224.46</v>
      </c>
      <c r="T337" s="4">
        <v>417.51</v>
      </c>
      <c r="U337" s="4">
        <v>1185.21</v>
      </c>
      <c r="V337" s="4">
        <v>558.17999999999995</v>
      </c>
      <c r="W337" s="4">
        <v>1971.99</v>
      </c>
      <c r="X337" s="4">
        <v>568.26</v>
      </c>
      <c r="Y337" s="4">
        <v>504.54</v>
      </c>
      <c r="Z337" s="4">
        <v>640.62</v>
      </c>
      <c r="AA337" s="4">
        <v>328.68</v>
      </c>
      <c r="AB337" s="4">
        <v>350.01</v>
      </c>
      <c r="AC337" s="4">
        <v>467.64</v>
      </c>
      <c r="AD337" s="4">
        <v>732.42000000000007</v>
      </c>
      <c r="AE337" s="4">
        <v>231.12</v>
      </c>
      <c r="AF337" s="4">
        <v>547.74</v>
      </c>
      <c r="AG337" s="4">
        <v>597.51</v>
      </c>
      <c r="AH337" s="6">
        <f>Datos_originales!$H143/Datos_originales!$E143</f>
        <v>4.4878563885955647E-3</v>
      </c>
      <c r="AI337" s="6">
        <f>Datos_originales!$I143/Datos_originales!$E143</f>
        <v>1.1351636747624076E-2</v>
      </c>
      <c r="AJ337" s="6">
        <f>Datos_originales!$J143/Datos_originales!$E143</f>
        <v>1.1087645195353747E-2</v>
      </c>
      <c r="AK337" s="6">
        <f>Datos_originales!$K143/Datos_originales!$E143</f>
        <v>2.1647307286166841E-2</v>
      </c>
      <c r="AL337" s="6">
        <f>Datos_originales!$L143/Datos_originales!$E143</f>
        <v>1.5047518479408658E-2</v>
      </c>
      <c r="AM337" s="6">
        <f>Datos_originales!$M143/Datos_originales!$E143</f>
        <v>5.1742344244984161E-2</v>
      </c>
      <c r="AN337" s="6">
        <f>Datos_originales!$N143/Datos_originales!$E143</f>
        <v>0.27455121436114044</v>
      </c>
      <c r="AO337" s="6">
        <f>Datos_originales!$O143/Datos_originales!$E143</f>
        <v>2.191129883843717E-2</v>
      </c>
      <c r="AP337" s="6">
        <f>Datos_originales!$P143/Datos_originales!$E143</f>
        <v>3.2734952481520592E-2</v>
      </c>
      <c r="AQ337" s="6">
        <f>Datos_originales!$Q143/Datos_originales!$E143</f>
        <v>4.0918690601900738E-2</v>
      </c>
      <c r="AR337" s="6">
        <f>Datos_originales!$R143/Datos_originales!$E143</f>
        <v>0.24155227032734955</v>
      </c>
      <c r="AS337" s="6">
        <f>Datos_originales!$S143/Datos_originales!$E143</f>
        <v>0.23600844772967261</v>
      </c>
      <c r="AT337" s="6">
        <f>Datos_originales!$T143/Datos_originales!$E143</f>
        <v>1.5839493136219642E-3</v>
      </c>
      <c r="AU337" s="6">
        <f>Datos_originales!$U143/Datos_originales!$E143</f>
        <v>4.4878563885955647E-3</v>
      </c>
      <c r="AV337" s="6">
        <f>Datos_originales!$V143/Datos_originales!$E143</f>
        <v>1.1351636747624076E-2</v>
      </c>
      <c r="AW337" s="6">
        <f>Datos_originales!$W143/Datos_originales!$E143</f>
        <v>1.1351636747624076E-2</v>
      </c>
      <c r="AX337" s="6">
        <f>Datos_originales!$X143/Datos_originales!$E143</f>
        <v>2.1647307286166841E-2</v>
      </c>
      <c r="AY337" s="6">
        <f>Datos_originales!$Y143/Datos_originales!$E143</f>
        <v>1.5047518479408658E-2</v>
      </c>
      <c r="AZ337" s="6">
        <f>Datos_originales!$Z143/Datos_originales!$E143</f>
        <v>5.1742344244984161E-2</v>
      </c>
      <c r="BA337" s="6">
        <f>Datos_originales!$AA143/Datos_originales!$E143</f>
        <v>0.27613516367476243</v>
      </c>
      <c r="BB337" s="6">
        <f>Datos_originales!$AB143/Datos_originales!$E143</f>
        <v>2.191129883843717E-2</v>
      </c>
      <c r="BC337" s="6">
        <f>Datos_originales!$AC143/Datos_originales!$E143</f>
        <v>3.2734952481520592E-2</v>
      </c>
      <c r="BD337" s="6">
        <f>Datos_originales!$AD143/Datos_originales!$E143</f>
        <v>4.3294614572333683E-2</v>
      </c>
      <c r="BE337" s="6">
        <f>Datos_originales!$AE143/Datos_originales!$E143</f>
        <v>0.24234424498416052</v>
      </c>
      <c r="BF337" s="6">
        <f>Datos_originales!$AF143/Datos_originales!$E143</f>
        <v>0.23627243928194297</v>
      </c>
      <c r="BG337" s="6">
        <f>Datos_originales!$AG143/Datos_originales!$E143</f>
        <v>1.5839493136219642E-3</v>
      </c>
    </row>
    <row r="338" spans="1:59" ht="15.75" customHeight="1">
      <c r="A338" s="2">
        <v>90302</v>
      </c>
      <c r="B338" s="3" t="s">
        <v>129</v>
      </c>
      <c r="C338" s="4" t="s">
        <v>185</v>
      </c>
      <c r="D338" s="4">
        <f>IF(Table_1[[#This Row],[Forest cover 2011]]&lt;1000,"Bosque menor a 1000 ha",Table_1[[#This Row],[Forest cover 2011]])</f>
        <v>286931.43</v>
      </c>
      <c r="E338" s="4">
        <v>286931.43</v>
      </c>
      <c r="F338" s="5">
        <f>AVERAGE(Datos_originales!$H192:$J192)</f>
        <v>0</v>
      </c>
      <c r="G338" s="5">
        <f>AVERAGE(Datos_originales!$R192:$T192)</f>
        <v>0</v>
      </c>
      <c r="H338" s="4">
        <v>276.57</v>
      </c>
      <c r="I338" s="4">
        <v>280.52999999999997</v>
      </c>
      <c r="J338" s="4">
        <v>341.28</v>
      </c>
      <c r="K338" s="4">
        <v>250.56</v>
      </c>
      <c r="L338" s="4">
        <v>248.49</v>
      </c>
      <c r="M338" s="4">
        <v>545.13</v>
      </c>
      <c r="N338" s="4">
        <v>328.23</v>
      </c>
      <c r="O338" s="4">
        <v>237.33</v>
      </c>
      <c r="P338" s="4">
        <v>476.18999999999988</v>
      </c>
      <c r="Q338" s="4">
        <v>637.20000000000005</v>
      </c>
      <c r="R338" s="4">
        <v>152.28</v>
      </c>
      <c r="S338" s="4">
        <v>240.48</v>
      </c>
      <c r="T338" s="4">
        <v>270.81</v>
      </c>
      <c r="U338" s="4">
        <v>1417.59</v>
      </c>
      <c r="V338" s="4">
        <v>926.18999999999994</v>
      </c>
      <c r="W338" s="4">
        <v>2246.04</v>
      </c>
      <c r="X338" s="4">
        <v>790.47</v>
      </c>
      <c r="Y338" s="4">
        <v>587.79</v>
      </c>
      <c r="Z338" s="4">
        <v>820.53</v>
      </c>
      <c r="AA338" s="4">
        <v>556.20000000000005</v>
      </c>
      <c r="AB338" s="4">
        <v>585.09</v>
      </c>
      <c r="AC338" s="4">
        <v>764.81999999999994</v>
      </c>
      <c r="AD338" s="4">
        <v>885.24</v>
      </c>
      <c r="AE338" s="4">
        <v>270.36</v>
      </c>
      <c r="AF338" s="4">
        <v>738.36</v>
      </c>
      <c r="AG338" s="4">
        <v>528.93000000000006</v>
      </c>
      <c r="AH338" s="6" t="e">
        <f>Datos_originales!$H192/Datos_originales!$E192</f>
        <v>#DIV/0!</v>
      </c>
      <c r="AI338" s="6" t="e">
        <f>Datos_originales!$I192/Datos_originales!$E192</f>
        <v>#DIV/0!</v>
      </c>
      <c r="AJ338" s="6" t="e">
        <f>Datos_originales!$J192/Datos_originales!$E192</f>
        <v>#DIV/0!</v>
      </c>
      <c r="AK338" s="6" t="e">
        <f>Datos_originales!$K192/Datos_originales!$E192</f>
        <v>#DIV/0!</v>
      </c>
      <c r="AL338" s="6" t="e">
        <f>Datos_originales!$L192/Datos_originales!$E192</f>
        <v>#DIV/0!</v>
      </c>
      <c r="AM338" s="6" t="e">
        <f>Datos_originales!$M192/Datos_originales!$E192</f>
        <v>#DIV/0!</v>
      </c>
      <c r="AN338" s="6" t="e">
        <f>Datos_originales!$N192/Datos_originales!$E192</f>
        <v>#DIV/0!</v>
      </c>
      <c r="AO338" s="6" t="e">
        <f>Datos_originales!$O192/Datos_originales!$E192</f>
        <v>#DIV/0!</v>
      </c>
      <c r="AP338" s="6" t="e">
        <f>Datos_originales!$P192/Datos_originales!$E192</f>
        <v>#DIV/0!</v>
      </c>
      <c r="AQ338" s="6" t="e">
        <f>Datos_originales!$Q192/Datos_originales!$E192</f>
        <v>#DIV/0!</v>
      </c>
      <c r="AR338" s="6" t="e">
        <f>Datos_originales!$R192/Datos_originales!$E192</f>
        <v>#DIV/0!</v>
      </c>
      <c r="AS338" s="6" t="e">
        <f>Datos_originales!$S192/Datos_originales!$E192</f>
        <v>#DIV/0!</v>
      </c>
      <c r="AT338" s="6" t="e">
        <f>Datos_originales!$T192/Datos_originales!$E192</f>
        <v>#DIV/0!</v>
      </c>
      <c r="AU338" s="6" t="e">
        <f>Datos_originales!$U192/Datos_originales!$E192</f>
        <v>#DIV/0!</v>
      </c>
      <c r="AV338" s="6" t="e">
        <f>Datos_originales!$V192/Datos_originales!$E192</f>
        <v>#DIV/0!</v>
      </c>
      <c r="AW338" s="6" t="e">
        <f>Datos_originales!$W192/Datos_originales!$E192</f>
        <v>#DIV/0!</v>
      </c>
      <c r="AX338" s="6" t="e">
        <f>Datos_originales!$X192/Datos_originales!$E192</f>
        <v>#DIV/0!</v>
      </c>
      <c r="AY338" s="6" t="e">
        <f>Datos_originales!$Y192/Datos_originales!$E192</f>
        <v>#DIV/0!</v>
      </c>
      <c r="AZ338" s="6" t="e">
        <f>Datos_originales!$Z192/Datos_originales!$E192</f>
        <v>#DIV/0!</v>
      </c>
      <c r="BA338" s="6" t="e">
        <f>Datos_originales!$AA192/Datos_originales!$E192</f>
        <v>#DIV/0!</v>
      </c>
      <c r="BB338" s="6" t="e">
        <f>Datos_originales!$AB192/Datos_originales!$E192</f>
        <v>#DIV/0!</v>
      </c>
      <c r="BC338" s="6" t="e">
        <f>Datos_originales!$AC192/Datos_originales!$E192</f>
        <v>#DIV/0!</v>
      </c>
      <c r="BD338" s="6" t="e">
        <f>Datos_originales!$AD192/Datos_originales!$E192</f>
        <v>#DIV/0!</v>
      </c>
      <c r="BE338" s="6" t="e">
        <f>Datos_originales!$AE192/Datos_originales!$E192</f>
        <v>#DIV/0!</v>
      </c>
      <c r="BF338" s="6" t="e">
        <f>Datos_originales!$AF192/Datos_originales!$E192</f>
        <v>#DIV/0!</v>
      </c>
      <c r="BG338" s="6" t="e">
        <f>Datos_originales!$AG192/Datos_originales!$E192</f>
        <v>#DIV/0!</v>
      </c>
    </row>
    <row r="339" spans="1:59" ht="15.75" customHeight="1">
      <c r="A339" s="2">
        <v>90303</v>
      </c>
      <c r="B339" s="3" t="s">
        <v>129</v>
      </c>
      <c r="C339" s="4" t="s">
        <v>266</v>
      </c>
      <c r="D339" s="4">
        <f>IF(Table_1[[#This Row],[Forest cover 2011]]&lt;1000,"Bosque menor a 1000 ha",Table_1[[#This Row],[Forest cover 2011]])</f>
        <v>717293.34</v>
      </c>
      <c r="E339" s="4">
        <v>717293.34</v>
      </c>
      <c r="F339" s="5">
        <f>AVERAGE(Datos_originales!$H210:$J210)</f>
        <v>0.03</v>
      </c>
      <c r="G339" s="5">
        <f>AVERAGE(Datos_originales!$R210:$T210)</f>
        <v>0.06</v>
      </c>
      <c r="H339" s="4">
        <v>309.33</v>
      </c>
      <c r="I339" s="4">
        <v>364.32000000000011</v>
      </c>
      <c r="J339" s="4">
        <v>336.06</v>
      </c>
      <c r="K339" s="4">
        <v>250.92</v>
      </c>
      <c r="L339" s="4">
        <v>735.75</v>
      </c>
      <c r="M339" s="4">
        <v>822.32999999999993</v>
      </c>
      <c r="N339" s="4">
        <v>353.43</v>
      </c>
      <c r="O339" s="4">
        <v>523.53</v>
      </c>
      <c r="P339" s="4">
        <v>524.61</v>
      </c>
      <c r="Q339" s="4">
        <v>1027.26</v>
      </c>
      <c r="R339" s="4">
        <v>270.36</v>
      </c>
      <c r="S339" s="4">
        <v>315.72000000000003</v>
      </c>
      <c r="T339" s="4">
        <v>491.94</v>
      </c>
      <c r="U339" s="4">
        <v>1169.82</v>
      </c>
      <c r="V339" s="4">
        <v>959.67000000000007</v>
      </c>
      <c r="W339" s="4">
        <v>955.62</v>
      </c>
      <c r="X339" s="4">
        <v>455.31</v>
      </c>
      <c r="Y339" s="4">
        <v>969.66</v>
      </c>
      <c r="Z339" s="4">
        <v>1007.19</v>
      </c>
      <c r="AA339" s="4">
        <v>469.53</v>
      </c>
      <c r="AB339" s="4">
        <v>634.95000000000005</v>
      </c>
      <c r="AC339" s="4">
        <v>736.56</v>
      </c>
      <c r="AD339" s="4">
        <v>1205.19</v>
      </c>
      <c r="AE339" s="4">
        <v>371.7</v>
      </c>
      <c r="AF339" s="4">
        <v>553.32000000000005</v>
      </c>
      <c r="AG339" s="4">
        <v>765.45</v>
      </c>
      <c r="AH339" s="6">
        <f>Datos_originales!$H210/Datos_originales!$E210</f>
        <v>0</v>
      </c>
      <c r="AI339" s="6">
        <f>Datos_originales!$I210/Datos_originales!$E210</f>
        <v>2.2727272727272728E-2</v>
      </c>
      <c r="AJ339" s="6">
        <f>Datos_originales!$J210/Datos_originales!$E210</f>
        <v>0</v>
      </c>
      <c r="AK339" s="6">
        <f>Datos_originales!$K210/Datos_originales!$E210</f>
        <v>0</v>
      </c>
      <c r="AL339" s="6">
        <f>Datos_originales!$L210/Datos_originales!$E210</f>
        <v>0</v>
      </c>
      <c r="AM339" s="6">
        <f>Datos_originales!$M210/Datos_originales!$E210</f>
        <v>0</v>
      </c>
      <c r="AN339" s="6">
        <f>Datos_originales!$N210/Datos_originales!$E210</f>
        <v>0.13636363636363638</v>
      </c>
      <c r="AO339" s="6">
        <f>Datos_originales!$O210/Datos_originales!$E210</f>
        <v>0</v>
      </c>
      <c r="AP339" s="6">
        <f>Datos_originales!$P210/Datos_originales!$E210</f>
        <v>0</v>
      </c>
      <c r="AQ339" s="6">
        <f>Datos_originales!$Q210/Datos_originales!$E210</f>
        <v>0</v>
      </c>
      <c r="AR339" s="6">
        <f>Datos_originales!$R210/Datos_originales!$E210</f>
        <v>0</v>
      </c>
      <c r="AS339" s="6">
        <f>Datos_originales!$S210/Datos_originales!$E210</f>
        <v>0</v>
      </c>
      <c r="AT339" s="6">
        <f>Datos_originales!$T210/Datos_originales!$E210</f>
        <v>4.5454545454545456E-2</v>
      </c>
      <c r="AU339" s="6">
        <f>Datos_originales!$U210/Datos_originales!$E210</f>
        <v>9.0909090909090912E-2</v>
      </c>
      <c r="AV339" s="6">
        <f>Datos_originales!$V210/Datos_originales!$E210</f>
        <v>2.2727272727272728E-2</v>
      </c>
      <c r="AW339" s="6">
        <f>Datos_originales!$W210/Datos_originales!$E210</f>
        <v>2.2727272727272728E-2</v>
      </c>
      <c r="AX339" s="6">
        <f>Datos_originales!$X210/Datos_originales!$E210</f>
        <v>0</v>
      </c>
      <c r="AY339" s="6">
        <f>Datos_originales!$Y210/Datos_originales!$E210</f>
        <v>0</v>
      </c>
      <c r="AZ339" s="6">
        <f>Datos_originales!$Z210/Datos_originales!$E210</f>
        <v>0</v>
      </c>
      <c r="BA339" s="6">
        <f>Datos_originales!$AA210/Datos_originales!$E210</f>
        <v>0.13636363636363638</v>
      </c>
      <c r="BB339" s="6">
        <f>Datos_originales!$AB210/Datos_originales!$E210</f>
        <v>0</v>
      </c>
      <c r="BC339" s="6">
        <f>Datos_originales!$AC210/Datos_originales!$E210</f>
        <v>0</v>
      </c>
      <c r="BD339" s="6">
        <f>Datos_originales!$AD210/Datos_originales!$E210</f>
        <v>0</v>
      </c>
      <c r="BE339" s="6">
        <f>Datos_originales!$AE210/Datos_originales!$E210</f>
        <v>0</v>
      </c>
      <c r="BF339" s="6">
        <f>Datos_originales!$AF210/Datos_originales!$E210</f>
        <v>0</v>
      </c>
      <c r="BG339" s="6">
        <f>Datos_originales!$AG210/Datos_originales!$E210</f>
        <v>0.25</v>
      </c>
    </row>
    <row r="340" spans="1:59" ht="15.75" customHeight="1">
      <c r="A340" s="2">
        <v>90401</v>
      </c>
      <c r="B340" s="3" t="s">
        <v>129</v>
      </c>
      <c r="C340" s="4" t="s">
        <v>140</v>
      </c>
      <c r="D340" s="4">
        <f>IF(Table_1[[#This Row],[Forest cover 2011]]&lt;1000,"Bosque menor a 1000 ha",Table_1[[#This Row],[Forest cover 2011]])</f>
        <v>434458.62</v>
      </c>
      <c r="E340" s="4">
        <v>434458.62</v>
      </c>
      <c r="F340" s="5">
        <f>AVERAGE(Datos_originales!$H212:$J212)</f>
        <v>0.33</v>
      </c>
      <c r="G340" s="5">
        <f>AVERAGE(Datos_originales!$R212:$T212)</f>
        <v>0.66</v>
      </c>
      <c r="H340" s="4">
        <v>359.1</v>
      </c>
      <c r="I340" s="4">
        <v>585.18000000000006</v>
      </c>
      <c r="J340" s="4">
        <v>363.24</v>
      </c>
      <c r="K340" s="4">
        <v>311.31</v>
      </c>
      <c r="L340" s="4">
        <v>501.93000000000012</v>
      </c>
      <c r="M340" s="4">
        <v>569.88</v>
      </c>
      <c r="N340" s="4">
        <v>199.53</v>
      </c>
      <c r="O340" s="4">
        <v>138.69</v>
      </c>
      <c r="P340" s="4">
        <v>495.72</v>
      </c>
      <c r="Q340" s="4">
        <v>1002.33</v>
      </c>
      <c r="R340" s="4">
        <v>156.96</v>
      </c>
      <c r="S340" s="4">
        <v>319.41000000000003</v>
      </c>
      <c r="T340" s="4">
        <v>331.29</v>
      </c>
      <c r="U340" s="4">
        <v>540.81000000000006</v>
      </c>
      <c r="V340" s="4">
        <v>742.68000000000006</v>
      </c>
      <c r="W340" s="4">
        <v>483.12</v>
      </c>
      <c r="X340" s="4">
        <v>377.37</v>
      </c>
      <c r="Y340" s="4">
        <v>560.34</v>
      </c>
      <c r="Z340" s="4">
        <v>605.34</v>
      </c>
      <c r="AA340" s="4">
        <v>235.35</v>
      </c>
      <c r="AB340" s="4">
        <v>190.53</v>
      </c>
      <c r="AC340" s="4">
        <v>624.51</v>
      </c>
      <c r="AD340" s="4">
        <v>1069.6500000000001</v>
      </c>
      <c r="AE340" s="4">
        <v>218.88</v>
      </c>
      <c r="AF340" s="4">
        <v>445.23</v>
      </c>
      <c r="AG340" s="4">
        <v>420.39</v>
      </c>
      <c r="AH340" s="6">
        <f>Datos_originales!$H212/Datos_originales!$E212</f>
        <v>2.0227901018137685E-4</v>
      </c>
      <c r="AI340" s="6">
        <f>Datos_originales!$I212/Datos_originales!$E212</f>
        <v>5.3941069381700487E-4</v>
      </c>
      <c r="AJ340" s="6">
        <f>Datos_originales!$J212/Datos_originales!$E212</f>
        <v>0</v>
      </c>
      <c r="AK340" s="6">
        <f>Datos_originales!$K212/Datos_originales!$E212</f>
        <v>2.6970534690850243E-4</v>
      </c>
      <c r="AL340" s="6">
        <f>Datos_originales!$L212/Datos_originales!$E212</f>
        <v>0</v>
      </c>
      <c r="AM340" s="6">
        <f>Datos_originales!$M212/Datos_originales!$E212</f>
        <v>0</v>
      </c>
      <c r="AN340" s="6">
        <f>Datos_originales!$N212/Datos_originales!$E212</f>
        <v>0</v>
      </c>
      <c r="AO340" s="6">
        <f>Datos_originales!$O212/Datos_originales!$E212</f>
        <v>3.371316836356281E-4</v>
      </c>
      <c r="AP340" s="6">
        <f>Datos_originales!$P212/Datos_originales!$E212</f>
        <v>4.7198435708987931E-4</v>
      </c>
      <c r="AQ340" s="6">
        <f>Datos_originales!$Q212/Datos_originales!$E212</f>
        <v>6.7426336727125608E-5</v>
      </c>
      <c r="AR340" s="6">
        <f>Datos_originales!$R212/Datos_originales!$E212</f>
        <v>1.3485267345425122E-4</v>
      </c>
      <c r="AS340" s="6">
        <f>Datos_originales!$S212/Datos_originales!$E212</f>
        <v>1.3485267345425124E-3</v>
      </c>
      <c r="AT340" s="6">
        <f>Datos_originales!$T212/Datos_originales!$E212</f>
        <v>0</v>
      </c>
      <c r="AU340" s="6">
        <f>Datos_originales!$U212/Datos_originales!$E212</f>
        <v>4.8546962443530451E-3</v>
      </c>
      <c r="AV340" s="6">
        <f>Datos_originales!$V212/Datos_originales!$E212</f>
        <v>2.7644798058121503E-3</v>
      </c>
      <c r="AW340" s="6">
        <f>Datos_originales!$W212/Datos_originales!$E212</f>
        <v>1.847481626323242E-2</v>
      </c>
      <c r="AX340" s="6">
        <f>Datos_originales!$X212/Datos_originales!$E212</f>
        <v>1.7530847549052659E-3</v>
      </c>
      <c r="AY340" s="6">
        <f>Datos_originales!$Y212/Datos_originales!$E212</f>
        <v>1.2811003978153866E-3</v>
      </c>
      <c r="AZ340" s="6">
        <f>Datos_originales!$Z212/Datos_originales!$E212</f>
        <v>4.7198435708987926E-4</v>
      </c>
      <c r="BA340" s="6">
        <f>Datos_originales!$AA212/Datos_originales!$E212</f>
        <v>1.550805744723889E-3</v>
      </c>
      <c r="BB340" s="6">
        <f>Datos_originales!$AB212/Datos_originales!$E212</f>
        <v>8.4957184276178276E-3</v>
      </c>
      <c r="BC340" s="6">
        <f>Datos_originales!$AC212/Datos_originales!$E212</f>
        <v>2.5150023599217856E-2</v>
      </c>
      <c r="BD340" s="6">
        <f>Datos_originales!$AD212/Datos_originales!$E212</f>
        <v>1.3485267345425122E-4</v>
      </c>
      <c r="BE340" s="6">
        <f>Datos_originales!$AE212/Datos_originales!$E212</f>
        <v>6.7426336727125608E-4</v>
      </c>
      <c r="BF340" s="6">
        <f>Datos_originales!$AF212/Datos_originales!$E212</f>
        <v>3.5735958465376574E-3</v>
      </c>
      <c r="BG340" s="6">
        <f>Datos_originales!$AG212/Datos_originales!$E212</f>
        <v>0</v>
      </c>
    </row>
    <row r="341" spans="1:59" ht="15.75" customHeight="1">
      <c r="A341" s="2">
        <v>90402</v>
      </c>
      <c r="B341" s="3" t="s">
        <v>129</v>
      </c>
      <c r="C341" s="4" t="s">
        <v>274</v>
      </c>
      <c r="D341" s="4">
        <f>IF(Table_1[[#This Row],[Forest cover 2011]]&lt;1000,"Bosque menor a 1000 ha",Table_1[[#This Row],[Forest cover 2011]])</f>
        <v>538625.16</v>
      </c>
      <c r="E341" s="4">
        <v>538625.16</v>
      </c>
      <c r="F341" s="5">
        <f>AVERAGE(Datos_originales!$H219:$J219)</f>
        <v>3.5700000000000003</v>
      </c>
      <c r="G341" s="5">
        <f>AVERAGE(Datos_originales!$R219:$T219)</f>
        <v>15.719999999999999</v>
      </c>
      <c r="H341" s="4">
        <v>118.17</v>
      </c>
      <c r="I341" s="4">
        <v>226.62</v>
      </c>
      <c r="J341" s="4">
        <v>346.23</v>
      </c>
      <c r="K341" s="4">
        <v>121.14</v>
      </c>
      <c r="L341" s="4">
        <v>134.63999999999999</v>
      </c>
      <c r="M341" s="4">
        <v>237.69</v>
      </c>
      <c r="N341" s="4">
        <v>77.13</v>
      </c>
      <c r="O341" s="4">
        <v>98.72999999999999</v>
      </c>
      <c r="P341" s="4">
        <v>210.33</v>
      </c>
      <c r="Q341" s="4">
        <v>424.44</v>
      </c>
      <c r="R341" s="4">
        <v>52.02</v>
      </c>
      <c r="S341" s="4">
        <v>124.29</v>
      </c>
      <c r="T341" s="4">
        <v>161.37</v>
      </c>
      <c r="U341" s="4">
        <v>497.97</v>
      </c>
      <c r="V341" s="4">
        <v>356.31</v>
      </c>
      <c r="W341" s="4">
        <v>479.7</v>
      </c>
      <c r="X341" s="4">
        <v>237.87</v>
      </c>
      <c r="Y341" s="4">
        <v>324.45</v>
      </c>
      <c r="Z341" s="4">
        <v>301.05</v>
      </c>
      <c r="AA341" s="4">
        <v>128.97</v>
      </c>
      <c r="AB341" s="4">
        <v>148.13999999999999</v>
      </c>
      <c r="AC341" s="4">
        <v>296.82</v>
      </c>
      <c r="AD341" s="4">
        <v>453.42</v>
      </c>
      <c r="AE341" s="4">
        <v>306.63</v>
      </c>
      <c r="AF341" s="4">
        <v>246.69</v>
      </c>
      <c r="AG341" s="4">
        <v>267.3</v>
      </c>
      <c r="AH341" s="6">
        <f>Datos_originales!$H219/Datos_originales!$E219</f>
        <v>7.6717811874583049E-3</v>
      </c>
      <c r="AI341" s="6">
        <f>Datos_originales!$I219/Datos_originales!$E219</f>
        <v>1.6677785190126752E-2</v>
      </c>
      <c r="AJ341" s="6">
        <f>Datos_originales!$J219/Datos_originales!$E219</f>
        <v>1.534356237491661E-2</v>
      </c>
      <c r="AK341" s="6">
        <f>Datos_originales!$K219/Datos_originales!$E219</f>
        <v>9.3395597064709814E-3</v>
      </c>
      <c r="AL341" s="6">
        <f>Datos_originales!$L219/Datos_originales!$E219</f>
        <v>7.3382254836557703E-3</v>
      </c>
      <c r="AM341" s="6">
        <f>Datos_originales!$M219/Datos_originales!$E219</f>
        <v>5.3368912608405599E-3</v>
      </c>
      <c r="AN341" s="6">
        <f>Datos_originales!$N219/Datos_originales!$E219</f>
        <v>7.3382254836557703E-3</v>
      </c>
      <c r="AO341" s="6">
        <f>Datos_originales!$O219/Datos_originales!$E219</f>
        <v>7.0046697798532356E-3</v>
      </c>
      <c r="AP341" s="6">
        <f>Datos_originales!$P219/Datos_originales!$E219</f>
        <v>7.0046697798532356E-3</v>
      </c>
      <c r="AQ341" s="6">
        <f>Datos_originales!$Q219/Datos_originales!$E219</f>
        <v>6.671114076050701E-3</v>
      </c>
      <c r="AR341" s="6">
        <f>Datos_originales!$R219/Datos_originales!$E219</f>
        <v>3.33555703802535E-4</v>
      </c>
      <c r="AS341" s="6">
        <f>Datos_originales!$S219/Datos_originales!$E219</f>
        <v>1.0006671114076052E-2</v>
      </c>
      <c r="AT341" s="6">
        <f>Datos_originales!$T219/Datos_originales!$E219</f>
        <v>0.16444296197464975</v>
      </c>
      <c r="AU341" s="6">
        <f>Datos_originales!$U219/Datos_originales!$E219</f>
        <v>2.1014009339559707E-2</v>
      </c>
      <c r="AV341" s="6">
        <f>Datos_originales!$V219/Datos_originales!$E219</f>
        <v>3.0353569046030687E-2</v>
      </c>
      <c r="AW341" s="6">
        <f>Datos_originales!$W219/Datos_originales!$E219</f>
        <v>4.7698465643762504E-2</v>
      </c>
      <c r="AX341" s="6">
        <f>Datos_originales!$X219/Datos_originales!$E219</f>
        <v>1.5343562374916613E-2</v>
      </c>
      <c r="AY341" s="6">
        <f>Datos_originales!$Y219/Datos_originales!$E219</f>
        <v>1.0340226817878585E-2</v>
      </c>
      <c r="AZ341" s="6">
        <f>Datos_originales!$Z219/Datos_originales!$E219</f>
        <v>8.3388925950633758E-3</v>
      </c>
      <c r="BA341" s="6">
        <f>Datos_originales!$AA219/Datos_originales!$E219</f>
        <v>1.3008672448298866E-2</v>
      </c>
      <c r="BB341" s="6">
        <f>Datos_originales!$AB219/Datos_originales!$E219</f>
        <v>9.673115410273516E-3</v>
      </c>
      <c r="BC341" s="6">
        <f>Datos_originales!$AC219/Datos_originales!$E219</f>
        <v>9.3395597064709814E-3</v>
      </c>
      <c r="BD341" s="6">
        <f>Datos_originales!$AD219/Datos_originales!$E219</f>
        <v>1.4342895263509008E-2</v>
      </c>
      <c r="BE341" s="6">
        <f>Datos_originales!$AE219/Datos_originales!$E219</f>
        <v>2.0013342228152103E-3</v>
      </c>
      <c r="BF341" s="6">
        <f>Datos_originales!$AF219/Datos_originales!$E219</f>
        <v>1.2675116744496331E-2</v>
      </c>
      <c r="BG341" s="6">
        <f>Datos_originales!$AG219/Datos_originales!$E219</f>
        <v>0.34623082054703136</v>
      </c>
    </row>
    <row r="342" spans="1:59" ht="15.75" customHeight="1">
      <c r="A342" s="2">
        <v>90501</v>
      </c>
      <c r="B342" s="3" t="s">
        <v>129</v>
      </c>
      <c r="C342" s="4" t="s">
        <v>270</v>
      </c>
      <c r="D342" s="4">
        <f>IF(Table_1[[#This Row],[Forest cover 2011]]&lt;1000,"Bosque menor a 1000 ha",Table_1[[#This Row],[Forest cover 2011]])</f>
        <v>359182.98</v>
      </c>
      <c r="E342" s="4">
        <v>359182.98</v>
      </c>
      <c r="F342" s="5">
        <f>AVERAGE(Datos_originales!$H215:$J215)</f>
        <v>0.03</v>
      </c>
      <c r="G342" s="5">
        <f>AVERAGE(Datos_originales!$R215:$T215)</f>
        <v>2.5500000000000003</v>
      </c>
      <c r="H342" s="4">
        <v>137.69999999999999</v>
      </c>
      <c r="I342" s="4">
        <v>130.41</v>
      </c>
      <c r="J342" s="4">
        <v>286.92</v>
      </c>
      <c r="K342" s="4">
        <v>212.49</v>
      </c>
      <c r="L342" s="4">
        <v>300.06</v>
      </c>
      <c r="M342" s="4">
        <v>291.33</v>
      </c>
      <c r="N342" s="4">
        <v>234.72</v>
      </c>
      <c r="O342" s="4">
        <v>182.25</v>
      </c>
      <c r="P342" s="4">
        <v>147.87</v>
      </c>
      <c r="Q342" s="4">
        <v>229.41</v>
      </c>
      <c r="R342" s="4">
        <v>34.74</v>
      </c>
      <c r="S342" s="4">
        <v>174.15</v>
      </c>
      <c r="T342" s="4">
        <v>118.53</v>
      </c>
      <c r="U342" s="4">
        <v>195.03</v>
      </c>
      <c r="V342" s="4">
        <v>179.82</v>
      </c>
      <c r="W342" s="4">
        <v>1107.6300000000001</v>
      </c>
      <c r="X342" s="4">
        <v>421.11</v>
      </c>
      <c r="Y342" s="4">
        <v>435.87</v>
      </c>
      <c r="Z342" s="4">
        <v>337.95</v>
      </c>
      <c r="AA342" s="4">
        <v>294.93</v>
      </c>
      <c r="AB342" s="4">
        <v>232.29</v>
      </c>
      <c r="AC342" s="4">
        <v>183.78</v>
      </c>
      <c r="AD342" s="4">
        <v>236.7</v>
      </c>
      <c r="AE342" s="4">
        <v>39.510000000000012</v>
      </c>
      <c r="AF342" s="4">
        <v>229.86</v>
      </c>
      <c r="AG342" s="4">
        <v>232.11</v>
      </c>
      <c r="AH342" s="6">
        <f>Datos_originales!$H215/Datos_originales!$E215</f>
        <v>0</v>
      </c>
      <c r="AI342" s="6">
        <f>Datos_originales!$I215/Datos_originales!$E215</f>
        <v>3.7160906726124119E-4</v>
      </c>
      <c r="AJ342" s="6">
        <f>Datos_originales!$J215/Datos_originales!$E215</f>
        <v>0</v>
      </c>
      <c r="AK342" s="6">
        <f>Datos_originales!$K215/Datos_originales!$E215</f>
        <v>0</v>
      </c>
      <c r="AL342" s="6">
        <f>Datos_originales!$L215/Datos_originales!$E215</f>
        <v>0</v>
      </c>
      <c r="AM342" s="6">
        <f>Datos_originales!$M215/Datos_originales!$E215</f>
        <v>3.7160906726124119E-4</v>
      </c>
      <c r="AN342" s="6">
        <f>Datos_originales!$N215/Datos_originales!$E215</f>
        <v>0</v>
      </c>
      <c r="AO342" s="6">
        <f>Datos_originales!$O215/Datos_originales!$E215</f>
        <v>0</v>
      </c>
      <c r="AP342" s="6">
        <f>Datos_originales!$P215/Datos_originales!$E215</f>
        <v>0</v>
      </c>
      <c r="AQ342" s="6">
        <f>Datos_originales!$Q215/Datos_originales!$E215</f>
        <v>0</v>
      </c>
      <c r="AR342" s="6">
        <f>Datos_originales!$R215/Datos_originales!$E215</f>
        <v>0</v>
      </c>
      <c r="AS342" s="6">
        <f>Datos_originales!$S215/Datos_originales!$E215</f>
        <v>6.3173541434411E-3</v>
      </c>
      <c r="AT342" s="6">
        <f>Datos_originales!$T215/Datos_originales!$E215</f>
        <v>2.52694165737644E-2</v>
      </c>
      <c r="AU342" s="6">
        <f>Datos_originales!$U215/Datos_originales!$E215</f>
        <v>2.9728725380899295E-3</v>
      </c>
      <c r="AV342" s="6">
        <f>Datos_originales!$V215/Datos_originales!$E215</f>
        <v>1.1148272017837235E-3</v>
      </c>
      <c r="AW342" s="6">
        <f>Datos_originales!$W215/Datos_originales!$E215</f>
        <v>9.6618357487922701E-3</v>
      </c>
      <c r="AX342" s="6">
        <f>Datos_originales!$X215/Datos_originales!$E215</f>
        <v>4.459308807134894E-3</v>
      </c>
      <c r="AY342" s="6">
        <f>Datos_originales!$Y215/Datos_originales!$E215</f>
        <v>7.4321813452248237E-4</v>
      </c>
      <c r="AZ342" s="6">
        <f>Datos_originales!$Z215/Datos_originales!$E215</f>
        <v>1.858045336306206E-3</v>
      </c>
      <c r="BA342" s="6">
        <f>Datos_originales!$AA215/Datos_originales!$E215</f>
        <v>4.830917874396135E-3</v>
      </c>
      <c r="BB342" s="6">
        <f>Datos_originales!$AB215/Datos_originales!$E215</f>
        <v>5.5741360089186179E-3</v>
      </c>
      <c r="BC342" s="6">
        <f>Datos_originales!$AC215/Datos_originales!$E215</f>
        <v>3.1586770717205497E-2</v>
      </c>
      <c r="BD342" s="6">
        <f>Datos_originales!$AD215/Datos_originales!$E215</f>
        <v>0</v>
      </c>
      <c r="BE342" s="6">
        <f>Datos_originales!$AE215/Datos_originales!$E215</f>
        <v>3.7160906726124119E-4</v>
      </c>
      <c r="BF342" s="6">
        <f>Datos_originales!$AF215/Datos_originales!$E215</f>
        <v>7.8037904124860641E-3</v>
      </c>
      <c r="BG342" s="6">
        <f>Datos_originales!$AG215/Datos_originales!$E215</f>
        <v>3.9390561129691561E-2</v>
      </c>
    </row>
    <row r="343" spans="1:59" ht="15.75" customHeight="1">
      <c r="A343" s="2">
        <v>90502</v>
      </c>
      <c r="B343" s="3" t="s">
        <v>129</v>
      </c>
      <c r="C343" s="4" t="s">
        <v>273</v>
      </c>
      <c r="D343" s="4">
        <f>IF(Table_1[[#This Row],[Forest cover 2011]]&lt;1000,"Bosque menor a 1000 ha",Table_1[[#This Row],[Forest cover 2011]])</f>
        <v>273027.06</v>
      </c>
      <c r="E343" s="4">
        <v>273027.06</v>
      </c>
      <c r="F343" s="5">
        <f>AVERAGE(Datos_originales!$H218:$J218)</f>
        <v>0.36000000000000004</v>
      </c>
      <c r="G343" s="5">
        <f>AVERAGE(Datos_originales!$R218:$T218)</f>
        <v>4.17</v>
      </c>
      <c r="H343" s="4">
        <v>130.41</v>
      </c>
      <c r="I343" s="4">
        <v>122.85</v>
      </c>
      <c r="J343" s="4">
        <v>129.78</v>
      </c>
      <c r="K343" s="4">
        <v>361.35</v>
      </c>
      <c r="L343" s="4">
        <v>275.22000000000003</v>
      </c>
      <c r="M343" s="4">
        <v>202.68</v>
      </c>
      <c r="N343" s="4">
        <v>157.22999999999999</v>
      </c>
      <c r="O343" s="4">
        <v>179.73</v>
      </c>
      <c r="P343" s="4">
        <v>260.82</v>
      </c>
      <c r="Q343" s="4">
        <v>314.01</v>
      </c>
      <c r="R343" s="4">
        <v>44.28</v>
      </c>
      <c r="S343" s="4">
        <v>272.52</v>
      </c>
      <c r="T343" s="4">
        <v>58.41</v>
      </c>
      <c r="U343" s="4">
        <v>417.6</v>
      </c>
      <c r="V343" s="4">
        <v>245.97</v>
      </c>
      <c r="W343" s="4">
        <v>509.4</v>
      </c>
      <c r="X343" s="4">
        <v>494.73</v>
      </c>
      <c r="Y343" s="4">
        <v>438.39</v>
      </c>
      <c r="Z343" s="4">
        <v>310.23</v>
      </c>
      <c r="AA343" s="4">
        <v>248.49</v>
      </c>
      <c r="AB343" s="4">
        <v>245.97</v>
      </c>
      <c r="AC343" s="4">
        <v>389.52</v>
      </c>
      <c r="AD343" s="4">
        <v>353.16</v>
      </c>
      <c r="AE343" s="4">
        <v>88.740000000000009</v>
      </c>
      <c r="AF343" s="4">
        <v>489.51</v>
      </c>
      <c r="AG343" s="4">
        <v>148.94999999999999</v>
      </c>
      <c r="AH343" s="6">
        <f>Datos_originales!$H218/Datos_originales!$E218</f>
        <v>6.0226149190209241E-5</v>
      </c>
      <c r="AI343" s="6">
        <f>Datos_originales!$I218/Datos_originales!$E218</f>
        <v>0</v>
      </c>
      <c r="AJ343" s="6">
        <f>Datos_originales!$J218/Datos_originales!$E218</f>
        <v>0</v>
      </c>
      <c r="AK343" s="6">
        <f>Datos_originales!$K218/Datos_originales!$E218</f>
        <v>2.0075383063403077E-5</v>
      </c>
      <c r="AL343" s="6">
        <f>Datos_originales!$L218/Datos_originales!$E218</f>
        <v>2.5094228829253849E-5</v>
      </c>
      <c r="AM343" s="6">
        <f>Datos_originales!$M218/Datos_originales!$E218</f>
        <v>0</v>
      </c>
      <c r="AN343" s="6">
        <f>Datos_originales!$N218/Datos_originales!$E218</f>
        <v>1.0037691531701538E-5</v>
      </c>
      <c r="AO343" s="6">
        <f>Datos_originales!$O218/Datos_originales!$E218</f>
        <v>3.011307459510462E-5</v>
      </c>
      <c r="AP343" s="6">
        <f>Datos_originales!$P218/Datos_originales!$E218</f>
        <v>1.505653729755231E-5</v>
      </c>
      <c r="AQ343" s="6">
        <f>Datos_originales!$Q218/Datos_originales!$E218</f>
        <v>0</v>
      </c>
      <c r="AR343" s="6">
        <f>Datos_originales!$R218/Datos_originales!$E218</f>
        <v>7.0263840721910778E-5</v>
      </c>
      <c r="AS343" s="6">
        <f>Datos_originales!$S218/Datos_originales!$E218</f>
        <v>6.1229918343379394E-4</v>
      </c>
      <c r="AT343" s="6">
        <f>Datos_originales!$T218/Datos_originales!$E218</f>
        <v>1.505653729755231E-5</v>
      </c>
      <c r="AU343" s="6">
        <f>Datos_originales!$U218/Datos_originales!$E218</f>
        <v>1.9222179283208448E-3</v>
      </c>
      <c r="AV343" s="6">
        <f>Datos_originales!$V218/Datos_originales!$E218</f>
        <v>1.5959929535405448E-3</v>
      </c>
      <c r="AW343" s="6">
        <f>Datos_originales!$W218/Datos_originales!$E218</f>
        <v>9.2848646668239245E-3</v>
      </c>
      <c r="AX343" s="6">
        <f>Datos_originales!$X218/Datos_originales!$E218</f>
        <v>8.7327916325803396E-4</v>
      </c>
      <c r="AY343" s="6">
        <f>Datos_originales!$Y218/Datos_originales!$E218</f>
        <v>7.4780801911176467E-4</v>
      </c>
      <c r="AZ343" s="6">
        <f>Datos_originales!$Z218/Datos_originales!$E218</f>
        <v>9.6361838704334785E-4</v>
      </c>
      <c r="BA343" s="6">
        <f>Datos_originales!$AA218/Datos_originales!$E218</f>
        <v>7.3275148181421235E-4</v>
      </c>
      <c r="BB343" s="6">
        <f>Datos_originales!$AB218/Datos_originales!$E218</f>
        <v>2.6549694101350571E-3</v>
      </c>
      <c r="BC343" s="6">
        <f>Datos_originales!$AC218/Datos_originales!$E218</f>
        <v>5.01884576585077E-3</v>
      </c>
      <c r="BD343" s="6">
        <f>Datos_originales!$AD218/Datos_originales!$E218</f>
        <v>1.0037691531701539E-4</v>
      </c>
      <c r="BE343" s="6">
        <f>Datos_originales!$AE218/Datos_originales!$E218</f>
        <v>3.262249747803E-4</v>
      </c>
      <c r="BF343" s="6">
        <f>Datos_originales!$AF218/Datos_originales!$E218</f>
        <v>3.9448127719587051E-3</v>
      </c>
      <c r="BG343" s="6">
        <f>Datos_originales!$AG218/Datos_originales!$E218</f>
        <v>2.6097997982424002E-4</v>
      </c>
    </row>
    <row r="344" spans="1:59" ht="15.75" customHeight="1">
      <c r="A344" s="2">
        <v>90503</v>
      </c>
      <c r="B344" s="3" t="s">
        <v>129</v>
      </c>
      <c r="C344" s="4" t="s">
        <v>280</v>
      </c>
      <c r="D344" s="4">
        <f>IF(Table_1[[#This Row],[Forest cover 2011]]&lt;1000,"Bosque menor a 1000 ha",Table_1[[#This Row],[Forest cover 2011]])</f>
        <v>662358.15</v>
      </c>
      <c r="E344" s="4">
        <v>662358.15</v>
      </c>
      <c r="F344" s="5">
        <f>AVERAGE(Datos_originales!$H225:$J225)</f>
        <v>0</v>
      </c>
      <c r="G344" s="5">
        <f>AVERAGE(Datos_originales!$R225:$T225)</f>
        <v>0</v>
      </c>
      <c r="H344" s="4">
        <v>69.84</v>
      </c>
      <c r="I344" s="4">
        <v>57.599999999999987</v>
      </c>
      <c r="J344" s="4">
        <v>62.37</v>
      </c>
      <c r="K344" s="4">
        <v>40.86</v>
      </c>
      <c r="L344" s="4">
        <v>43.92</v>
      </c>
      <c r="M344" s="4">
        <v>91.08</v>
      </c>
      <c r="N344" s="4">
        <v>36.630000000000003</v>
      </c>
      <c r="O344" s="4">
        <v>21.51</v>
      </c>
      <c r="P344" s="4">
        <v>138.69</v>
      </c>
      <c r="Q344" s="4">
        <v>204.93</v>
      </c>
      <c r="R344" s="4">
        <v>38.700000000000003</v>
      </c>
      <c r="S344" s="4">
        <v>117.72</v>
      </c>
      <c r="T344" s="4">
        <v>41.13</v>
      </c>
      <c r="U344" s="4">
        <v>112.95</v>
      </c>
      <c r="V344" s="4">
        <v>74.430000000000007</v>
      </c>
      <c r="W344" s="4">
        <v>119.61</v>
      </c>
      <c r="X344" s="4">
        <v>58.77</v>
      </c>
      <c r="Y344" s="4">
        <v>53.819999999999993</v>
      </c>
      <c r="Z344" s="4">
        <v>97.38</v>
      </c>
      <c r="AA344" s="4">
        <v>52.29</v>
      </c>
      <c r="AB344" s="4">
        <v>39.69</v>
      </c>
      <c r="AC344" s="4">
        <v>167.58</v>
      </c>
      <c r="AD344" s="4">
        <v>223.29</v>
      </c>
      <c r="AE344" s="4">
        <v>48.06</v>
      </c>
      <c r="AF344" s="4">
        <v>145.35</v>
      </c>
      <c r="AG344" s="4">
        <v>151.38</v>
      </c>
      <c r="AH344" s="6" t="e">
        <f>Datos_originales!$H225/Datos_originales!$E225</f>
        <v>#DIV/0!</v>
      </c>
      <c r="AI344" s="6" t="e">
        <f>Datos_originales!$I225/Datos_originales!$E225</f>
        <v>#DIV/0!</v>
      </c>
      <c r="AJ344" s="6" t="e">
        <f>Datos_originales!$J225/Datos_originales!$E225</f>
        <v>#DIV/0!</v>
      </c>
      <c r="AK344" s="6" t="e">
        <f>Datos_originales!$K225/Datos_originales!$E225</f>
        <v>#DIV/0!</v>
      </c>
      <c r="AL344" s="6" t="e">
        <f>Datos_originales!$L225/Datos_originales!$E225</f>
        <v>#DIV/0!</v>
      </c>
      <c r="AM344" s="6" t="e">
        <f>Datos_originales!$M225/Datos_originales!$E225</f>
        <v>#DIV/0!</v>
      </c>
      <c r="AN344" s="6" t="e">
        <f>Datos_originales!$N225/Datos_originales!$E225</f>
        <v>#DIV/0!</v>
      </c>
      <c r="AO344" s="6" t="e">
        <f>Datos_originales!$O225/Datos_originales!$E225</f>
        <v>#DIV/0!</v>
      </c>
      <c r="AP344" s="6" t="e">
        <f>Datos_originales!$P225/Datos_originales!$E225</f>
        <v>#DIV/0!</v>
      </c>
      <c r="AQ344" s="6" t="e">
        <f>Datos_originales!$Q225/Datos_originales!$E225</f>
        <v>#DIV/0!</v>
      </c>
      <c r="AR344" s="6" t="e">
        <f>Datos_originales!$R225/Datos_originales!$E225</f>
        <v>#DIV/0!</v>
      </c>
      <c r="AS344" s="6" t="e">
        <f>Datos_originales!$S225/Datos_originales!$E225</f>
        <v>#DIV/0!</v>
      </c>
      <c r="AT344" s="6" t="e">
        <f>Datos_originales!$T225/Datos_originales!$E225</f>
        <v>#DIV/0!</v>
      </c>
      <c r="AU344" s="6" t="e">
        <f>Datos_originales!$U225/Datos_originales!$E225</f>
        <v>#DIV/0!</v>
      </c>
      <c r="AV344" s="6" t="e">
        <f>Datos_originales!$V225/Datos_originales!$E225</f>
        <v>#DIV/0!</v>
      </c>
      <c r="AW344" s="6" t="e">
        <f>Datos_originales!$W225/Datos_originales!$E225</f>
        <v>#DIV/0!</v>
      </c>
      <c r="AX344" s="6" t="e">
        <f>Datos_originales!$X225/Datos_originales!$E225</f>
        <v>#DIV/0!</v>
      </c>
      <c r="AY344" s="6" t="e">
        <f>Datos_originales!$Y225/Datos_originales!$E225</f>
        <v>#DIV/0!</v>
      </c>
      <c r="AZ344" s="6" t="e">
        <f>Datos_originales!$Z225/Datos_originales!$E225</f>
        <v>#DIV/0!</v>
      </c>
      <c r="BA344" s="6" t="e">
        <f>Datos_originales!$AA225/Datos_originales!$E225</f>
        <v>#DIV/0!</v>
      </c>
      <c r="BB344" s="6" t="e">
        <f>Datos_originales!$AB225/Datos_originales!$E225</f>
        <v>#DIV/0!</v>
      </c>
      <c r="BC344" s="6" t="e">
        <f>Datos_originales!$AC225/Datos_originales!$E225</f>
        <v>#DIV/0!</v>
      </c>
      <c r="BD344" s="6" t="e">
        <f>Datos_originales!$AD225/Datos_originales!$E225</f>
        <v>#DIV/0!</v>
      </c>
      <c r="BE344" s="6" t="e">
        <f>Datos_originales!$AE225/Datos_originales!$E225</f>
        <v>#DIV/0!</v>
      </c>
      <c r="BF344" s="6" t="e">
        <f>Datos_originales!$AF225/Datos_originales!$E225</f>
        <v>#DIV/0!</v>
      </c>
      <c r="BG344" s="6" t="e">
        <f>Datos_originales!$AG225/Datos_originales!$E225</f>
        <v>#DIV/0!</v>
      </c>
    </row>
    <row r="345" spans="1:59" ht="15.75" customHeight="1"/>
    <row r="346" spans="1:59" ht="15.75" customHeight="1"/>
    <row r="347" spans="1:59" ht="15.75" customHeight="1"/>
    <row r="348" spans="1:59" ht="15.75" customHeight="1"/>
    <row r="349" spans="1:59" ht="15.75" customHeight="1"/>
    <row r="350" spans="1:59" ht="15.75" customHeight="1"/>
    <row r="351" spans="1:59" ht="15.75" customHeight="1"/>
    <row r="352" spans="1:59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opLeftCell="F320" workbookViewId="0">
      <selection activeCell="M1" sqref="M1:N344"/>
    </sheetView>
  </sheetViews>
  <sheetFormatPr baseColWidth="10" defaultColWidth="12.6640625" defaultRowHeight="15" customHeight="1"/>
  <cols>
    <col min="1" max="27" width="10.6640625" customWidth="1"/>
  </cols>
  <sheetData>
    <row r="1" spans="1:27" ht="72">
      <c r="A1" s="7" t="s">
        <v>397</v>
      </c>
      <c r="B1" s="7" t="s">
        <v>2</v>
      </c>
      <c r="C1" s="26" t="s">
        <v>422</v>
      </c>
      <c r="D1" s="7" t="s">
        <v>3</v>
      </c>
      <c r="E1" s="7" t="s">
        <v>19</v>
      </c>
      <c r="F1" s="7" t="s">
        <v>20</v>
      </c>
      <c r="G1" s="7" t="s">
        <v>21</v>
      </c>
      <c r="H1" s="8" t="s">
        <v>398</v>
      </c>
      <c r="I1" s="7" t="s">
        <v>29</v>
      </c>
      <c r="J1" s="7" t="s">
        <v>30</v>
      </c>
      <c r="K1" s="7" t="s">
        <v>31</v>
      </c>
      <c r="L1" s="8" t="s">
        <v>399</v>
      </c>
      <c r="M1" s="9" t="s">
        <v>400</v>
      </c>
      <c r="N1" s="9" t="s">
        <v>401</v>
      </c>
      <c r="O1" s="7"/>
      <c r="P1" s="7" t="s">
        <v>1</v>
      </c>
      <c r="Q1" s="7" t="s">
        <v>3</v>
      </c>
      <c r="R1" s="8" t="s">
        <v>398</v>
      </c>
      <c r="S1" s="8" t="s">
        <v>399</v>
      </c>
      <c r="T1" s="9" t="s">
        <v>400</v>
      </c>
      <c r="U1" s="9" t="s">
        <v>401</v>
      </c>
      <c r="V1" s="7"/>
      <c r="W1" s="7"/>
      <c r="X1" s="7"/>
      <c r="Y1" s="7"/>
      <c r="Z1" s="7"/>
      <c r="AA1" s="7"/>
    </row>
    <row r="2" spans="1:27" ht="14.4">
      <c r="A2" s="4">
        <v>10101</v>
      </c>
      <c r="B2" s="4" t="s">
        <v>119</v>
      </c>
      <c r="C2" s="27">
        <f>IF(D2&lt;1000,"Bosque menor a 1000 ha",D2)</f>
        <v>17890.560000000001</v>
      </c>
      <c r="D2" s="4">
        <v>17890.560000000001</v>
      </c>
      <c r="E2" s="4">
        <v>34.56</v>
      </c>
      <c r="F2" s="4">
        <v>19.53</v>
      </c>
      <c r="G2" s="4">
        <v>233.73</v>
      </c>
      <c r="H2" s="4">
        <f t="shared" ref="H2:H256" si="0">AVERAGE(E2:G2)</f>
        <v>95.94</v>
      </c>
      <c r="I2" s="4">
        <v>1.08</v>
      </c>
      <c r="J2" s="4">
        <v>44.64</v>
      </c>
      <c r="K2" s="4">
        <v>527.57999999999993</v>
      </c>
      <c r="L2" s="4">
        <f t="shared" ref="L2:L256" si="1">AVERAGE(I2:K2)</f>
        <v>191.1</v>
      </c>
      <c r="M2" s="10">
        <f>IF(D2&lt;1000,"",(H2/D2)*100)</f>
        <v>0.5362604636188022</v>
      </c>
      <c r="N2" s="10">
        <f>IF(D2&lt;1000,"",(L2/D2)*100)</f>
        <v>1.068161086069972</v>
      </c>
      <c r="P2" s="4" t="s">
        <v>65</v>
      </c>
      <c r="Q2" s="11">
        <f>SUM(D2:D30)</f>
        <v>2722839.75</v>
      </c>
      <c r="R2" s="11">
        <f>SUM(H2:H30)</f>
        <v>7056.5399999999991</v>
      </c>
      <c r="S2" s="11">
        <f>SUM(L2:L30)</f>
        <v>15128.850000000002</v>
      </c>
      <c r="T2" s="10">
        <f>IF(Q2=0,0,(R2/Q2)*100)</f>
        <v>0.25916104684456731</v>
      </c>
      <c r="U2" s="10">
        <f t="shared" ref="U2:U12" si="2">IF(Q2=0,0,(S2/Q2)*100)</f>
        <v>0.55562763104218682</v>
      </c>
    </row>
    <row r="3" spans="1:27" ht="14.4">
      <c r="A3" s="4">
        <v>10102</v>
      </c>
      <c r="B3" s="4" t="s">
        <v>188</v>
      </c>
      <c r="C3" s="28">
        <f>IF(Table_1[[#This Row],[Forest cover 2011]]&lt;1000,"Bosque menor a 1000 ha",Table_1[[#This Row],[Forest cover 2011]])</f>
        <v>1252.8900000000001</v>
      </c>
      <c r="D3" s="4">
        <v>1252.8900000000001</v>
      </c>
      <c r="E3" s="4">
        <v>3.69</v>
      </c>
      <c r="F3" s="4">
        <v>3.96</v>
      </c>
      <c r="G3" s="4">
        <v>24.03</v>
      </c>
      <c r="H3" s="4">
        <f>AVERAGE(E3:G3)</f>
        <v>10.56</v>
      </c>
      <c r="I3" s="4">
        <v>0.18</v>
      </c>
      <c r="J3" s="4">
        <v>2.52</v>
      </c>
      <c r="K3" s="4">
        <v>8.73</v>
      </c>
      <c r="L3" s="4">
        <f t="shared" si="1"/>
        <v>3.81</v>
      </c>
      <c r="M3" s="10">
        <f t="shared" ref="M3:M66" si="3">IF(D3&lt;1000,"",(H3/D3)*100)</f>
        <v>0.84285132773028759</v>
      </c>
      <c r="N3" s="10">
        <f t="shared" ref="N3:N66" si="4">IF(D3&lt;1000,"",(L3/D3)*100)</f>
        <v>0.304096927902689</v>
      </c>
      <c r="P3" s="4" t="s">
        <v>85</v>
      </c>
      <c r="Q3" s="11">
        <f>SUM(D31:D117)</f>
        <v>6682190.1299999999</v>
      </c>
      <c r="R3" s="11">
        <f>SUM(H31:H117)</f>
        <v>22673.07</v>
      </c>
      <c r="S3" s="11">
        <f>SUM(L31:L117)</f>
        <v>37850.85</v>
      </c>
      <c r="T3" s="10">
        <f t="shared" ref="T2:T12" si="5">IF(Q3=0,0,(R3/Q3)*100)</f>
        <v>0.33930596943370722</v>
      </c>
      <c r="U3" s="10">
        <f t="shared" si="2"/>
        <v>0.56644377462513174</v>
      </c>
    </row>
    <row r="4" spans="1:27" ht="14.4">
      <c r="A4" s="4">
        <v>10103</v>
      </c>
      <c r="B4" s="4" t="s">
        <v>284</v>
      </c>
      <c r="C4" s="27">
        <f>IF(Table_1[[#This Row],[Forest cover 2011]]&lt;1000,"Bosque menor a 1000 ha",Table_1[[#This Row],[Forest cover 2011]])</f>
        <v>26070.66</v>
      </c>
      <c r="D4" s="4">
        <v>26070.66</v>
      </c>
      <c r="E4" s="4">
        <v>53.46</v>
      </c>
      <c r="F4" s="4">
        <v>32.49</v>
      </c>
      <c r="G4" s="4">
        <v>270</v>
      </c>
      <c r="H4" s="4">
        <f t="shared" si="0"/>
        <v>118.64999999999999</v>
      </c>
      <c r="I4" s="4">
        <v>1.98</v>
      </c>
      <c r="J4" s="4">
        <v>67.23</v>
      </c>
      <c r="K4" s="4">
        <v>3.51</v>
      </c>
      <c r="L4" s="4">
        <f t="shared" si="1"/>
        <v>24.240000000000006</v>
      </c>
      <c r="M4" s="10">
        <f t="shared" si="3"/>
        <v>0.4551093067839479</v>
      </c>
      <c r="N4" s="10">
        <f t="shared" si="4"/>
        <v>9.2978083408705434E-2</v>
      </c>
      <c r="P4" s="4" t="s">
        <v>132</v>
      </c>
      <c r="Q4" s="11">
        <f>SUM(D118:D165)</f>
        <v>2540511.0000000009</v>
      </c>
      <c r="R4" s="11">
        <f>SUM(H118:H165)</f>
        <v>19222.950000000004</v>
      </c>
      <c r="S4" s="11">
        <f>SUM(L118:L165)</f>
        <v>20813.22</v>
      </c>
      <c r="T4" s="10">
        <f t="shared" si="5"/>
        <v>0.75665683006292817</v>
      </c>
      <c r="U4" s="10">
        <f t="shared" si="2"/>
        <v>0.81925329195583063</v>
      </c>
    </row>
    <row r="5" spans="1:27" ht="14.4">
      <c r="A5" s="4">
        <v>10201</v>
      </c>
      <c r="B5" s="4" t="s">
        <v>236</v>
      </c>
      <c r="C5" s="28">
        <f>IF(Table_1[[#This Row],[Forest cover 2011]]&lt;1000,"Bosque menor a 1000 ha",Table_1[[#This Row],[Forest cover 2011]])</f>
        <v>93727.26</v>
      </c>
      <c r="D5" s="4">
        <v>93727.26</v>
      </c>
      <c r="E5" s="4">
        <v>43.74</v>
      </c>
      <c r="F5" s="4">
        <v>80.460000000000008</v>
      </c>
      <c r="G5" s="4">
        <v>544.41</v>
      </c>
      <c r="H5" s="4">
        <f t="shared" si="0"/>
        <v>222.87</v>
      </c>
      <c r="I5" s="4">
        <v>174.51</v>
      </c>
      <c r="J5" s="4">
        <v>572.30999999999995</v>
      </c>
      <c r="K5" s="4">
        <v>252.36</v>
      </c>
      <c r="L5" s="4">
        <f t="shared" si="1"/>
        <v>333.06</v>
      </c>
      <c r="M5" s="10">
        <f t="shared" si="3"/>
        <v>0.23778567729388442</v>
      </c>
      <c r="N5" s="10">
        <f t="shared" si="4"/>
        <v>0.35535019374299431</v>
      </c>
      <c r="P5" s="4" t="s">
        <v>61</v>
      </c>
      <c r="Q5" s="4">
        <f>SUM(D166:D200)</f>
        <v>0</v>
      </c>
      <c r="R5" s="4">
        <f>SUM(H166:H200)</f>
        <v>0</v>
      </c>
      <c r="S5" s="4">
        <f>SUM(L166:L200)</f>
        <v>0</v>
      </c>
      <c r="T5" s="10">
        <f t="shared" si="5"/>
        <v>0</v>
      </c>
      <c r="U5" s="10">
        <f t="shared" si="2"/>
        <v>0</v>
      </c>
    </row>
    <row r="6" spans="1:27" ht="14.4">
      <c r="A6" s="4">
        <v>10202</v>
      </c>
      <c r="B6" s="4" t="s">
        <v>264</v>
      </c>
      <c r="C6" s="27">
        <f>IF(Table_1[[#This Row],[Forest cover 2011]]&lt;1000,"Bosque menor a 1000 ha",Table_1[[#This Row],[Forest cover 2011]])</f>
        <v>39639.24</v>
      </c>
      <c r="D6" s="4">
        <v>39639.24</v>
      </c>
      <c r="E6" s="4">
        <v>20.52</v>
      </c>
      <c r="F6" s="4">
        <v>43.11</v>
      </c>
      <c r="G6" s="4">
        <v>417.69</v>
      </c>
      <c r="H6" s="4">
        <f t="shared" si="0"/>
        <v>160.44</v>
      </c>
      <c r="I6" s="4">
        <v>169.74</v>
      </c>
      <c r="J6" s="4">
        <v>182.88</v>
      </c>
      <c r="K6" s="4">
        <v>45</v>
      </c>
      <c r="L6" s="4">
        <f t="shared" si="1"/>
        <v>132.54</v>
      </c>
      <c r="M6" s="10">
        <f t="shared" si="3"/>
        <v>0.40475044425675166</v>
      </c>
      <c r="N6" s="10">
        <f t="shared" si="4"/>
        <v>0.33436564374089917</v>
      </c>
      <c r="P6" s="4" t="s">
        <v>402</v>
      </c>
      <c r="Q6" s="4">
        <f>SUM(D201:D242)</f>
        <v>42890.040000000008</v>
      </c>
      <c r="R6" s="4">
        <f>SUM(H201:H242)</f>
        <v>274.32</v>
      </c>
      <c r="S6" s="4">
        <f>SUM(L201:L242)</f>
        <v>240.12</v>
      </c>
      <c r="T6" s="10">
        <f t="shared" si="5"/>
        <v>0.63958905144411138</v>
      </c>
      <c r="U6" s="10">
        <f t="shared" si="2"/>
        <v>0.55985025894123663</v>
      </c>
    </row>
    <row r="7" spans="1:27" ht="14.4">
      <c r="A7" s="4">
        <v>10301</v>
      </c>
      <c r="B7" s="4" t="s">
        <v>276</v>
      </c>
      <c r="C7" s="28">
        <f>IF(Table_1[[#This Row],[Forest cover 2011]]&lt;1000,"Bosque menor a 1000 ha",Table_1[[#This Row],[Forest cover 2011]])</f>
        <v>9395.1</v>
      </c>
      <c r="D7" s="4">
        <v>9395.1</v>
      </c>
      <c r="E7" s="4">
        <v>8.73</v>
      </c>
      <c r="F7" s="4">
        <v>6.93</v>
      </c>
      <c r="G7" s="4">
        <v>143.28</v>
      </c>
      <c r="H7" s="4">
        <f t="shared" si="0"/>
        <v>52.98</v>
      </c>
      <c r="I7" s="4">
        <v>0.80999999999999994</v>
      </c>
      <c r="J7" s="4">
        <v>39.15</v>
      </c>
      <c r="K7" s="4">
        <v>4.32</v>
      </c>
      <c r="L7" s="4">
        <f t="shared" si="1"/>
        <v>14.76</v>
      </c>
      <c r="M7" s="10">
        <f t="shared" si="3"/>
        <v>0.56391097486987896</v>
      </c>
      <c r="N7" s="10">
        <f t="shared" si="4"/>
        <v>0.15710317080180092</v>
      </c>
      <c r="P7" s="4" t="s">
        <v>72</v>
      </c>
      <c r="Q7" s="11">
        <f>SUM(D243:D253)</f>
        <v>2593653.8400000003</v>
      </c>
      <c r="R7" s="11">
        <f>SUM(H243:H253)</f>
        <v>11051.189999999999</v>
      </c>
      <c r="S7" s="11">
        <f>SUM(L243:L253)</f>
        <v>26395.919999999998</v>
      </c>
      <c r="T7" s="10">
        <f t="shared" si="5"/>
        <v>0.42608577249460544</v>
      </c>
      <c r="U7" s="10">
        <f t="shared" si="2"/>
        <v>1.0177117544722158</v>
      </c>
    </row>
    <row r="8" spans="1:27" ht="14.4">
      <c r="A8" s="4">
        <v>10302</v>
      </c>
      <c r="B8" s="4" t="s">
        <v>286</v>
      </c>
      <c r="C8" s="27">
        <f>IF(Table_1[[#This Row],[Forest cover 2011]]&lt;1000,"Bosque menor a 1000 ha",Table_1[[#This Row],[Forest cover 2011]])</f>
        <v>33133.32</v>
      </c>
      <c r="D8" s="4">
        <v>33133.32</v>
      </c>
      <c r="E8" s="4">
        <v>61.38</v>
      </c>
      <c r="F8" s="4">
        <v>25.56</v>
      </c>
      <c r="G8" s="4">
        <v>319.5</v>
      </c>
      <c r="H8" s="4">
        <f t="shared" si="0"/>
        <v>135.47999999999999</v>
      </c>
      <c r="I8" s="4">
        <v>0.45</v>
      </c>
      <c r="J8" s="4">
        <v>52.83</v>
      </c>
      <c r="K8" s="4">
        <v>3.15</v>
      </c>
      <c r="L8" s="4">
        <f t="shared" si="1"/>
        <v>18.809999999999999</v>
      </c>
      <c r="M8" s="10">
        <f t="shared" si="3"/>
        <v>0.40889352470564372</v>
      </c>
      <c r="N8" s="10">
        <f t="shared" si="4"/>
        <v>5.6770646587785342E-2</v>
      </c>
      <c r="P8" s="4" t="s">
        <v>83</v>
      </c>
      <c r="Q8" s="11">
        <f>SUM(D254:D309)</f>
        <v>28178854.469999999</v>
      </c>
      <c r="R8" s="11">
        <f>SUM(H254:H309)</f>
        <v>207751.94999999992</v>
      </c>
      <c r="S8" s="11">
        <f>SUM(L254:L309)</f>
        <v>348136.10999999993</v>
      </c>
      <c r="T8" s="10">
        <f t="shared" si="5"/>
        <v>0.73726187209341132</v>
      </c>
      <c r="U8" s="10">
        <f t="shared" si="2"/>
        <v>1.2354516056379632</v>
      </c>
    </row>
    <row r="9" spans="1:27" ht="14.4">
      <c r="A9" s="4">
        <v>10303</v>
      </c>
      <c r="B9" s="4" t="s">
        <v>262</v>
      </c>
      <c r="C9" s="28">
        <f>IF(Table_1[[#This Row],[Forest cover 2011]]&lt;1000,"Bosque menor a 1000 ha",Table_1[[#This Row],[Forest cover 2011]])</f>
        <v>30785.4</v>
      </c>
      <c r="D9" s="4">
        <v>30785.4</v>
      </c>
      <c r="E9" s="4">
        <v>16.739999999999998</v>
      </c>
      <c r="F9" s="4">
        <v>17.100000000000001</v>
      </c>
      <c r="G9" s="4">
        <v>283.58999999999997</v>
      </c>
      <c r="H9" s="4">
        <f t="shared" si="0"/>
        <v>105.80999999999999</v>
      </c>
      <c r="I9" s="4">
        <v>54.09</v>
      </c>
      <c r="J9" s="4">
        <v>116.73</v>
      </c>
      <c r="K9" s="4">
        <v>36.72</v>
      </c>
      <c r="L9" s="4">
        <f t="shared" si="1"/>
        <v>69.179999999999993</v>
      </c>
      <c r="M9" s="10">
        <f t="shared" si="3"/>
        <v>0.34370188465961132</v>
      </c>
      <c r="N9" s="10">
        <f t="shared" si="4"/>
        <v>0.2247169112631312</v>
      </c>
      <c r="P9" s="4" t="s">
        <v>87</v>
      </c>
      <c r="Q9" s="11">
        <f>SUM(D310:D329)</f>
        <v>9363199.1400000006</v>
      </c>
      <c r="R9" s="11">
        <f>SUM(H310:H329)</f>
        <v>86643.719999999987</v>
      </c>
      <c r="S9" s="11">
        <f>SUM(L310:L329)</f>
        <v>81074.61</v>
      </c>
      <c r="T9" s="10">
        <f t="shared" si="5"/>
        <v>0.92536449032525836</v>
      </c>
      <c r="U9" s="10">
        <f t="shared" si="2"/>
        <v>0.86588578100027458</v>
      </c>
    </row>
    <row r="10" spans="1:27" ht="14.4">
      <c r="A10" s="4">
        <v>10304</v>
      </c>
      <c r="B10" s="4" t="s">
        <v>271</v>
      </c>
      <c r="C10" s="27">
        <f>IF(Table_1[[#This Row],[Forest cover 2011]]&lt;1000,"Bosque menor a 1000 ha",Table_1[[#This Row],[Forest cover 2011]])</f>
        <v>2886.39</v>
      </c>
      <c r="D10" s="4">
        <v>2886.39</v>
      </c>
      <c r="E10" s="4">
        <v>4.8600000000000003</v>
      </c>
      <c r="F10" s="4">
        <v>5.49</v>
      </c>
      <c r="G10" s="4">
        <v>50.58</v>
      </c>
      <c r="H10" s="4">
        <f t="shared" si="0"/>
        <v>20.309999999999999</v>
      </c>
      <c r="I10" s="4">
        <v>0.81</v>
      </c>
      <c r="J10" s="4">
        <v>2.79</v>
      </c>
      <c r="K10" s="4">
        <v>1.62</v>
      </c>
      <c r="L10" s="4">
        <f t="shared" si="1"/>
        <v>1.7400000000000002</v>
      </c>
      <c r="M10" s="10">
        <f t="shared" si="3"/>
        <v>0.70364711629405585</v>
      </c>
      <c r="N10" s="10">
        <f t="shared" si="4"/>
        <v>6.0282913951337148E-2</v>
      </c>
      <c r="P10" s="4" t="s">
        <v>129</v>
      </c>
      <c r="Q10" s="11">
        <f>SUM(D330:D344)</f>
        <v>6073668.0900000008</v>
      </c>
      <c r="R10" s="11">
        <f>SUM(H330:H344)</f>
        <v>14667.12</v>
      </c>
      <c r="S10" s="11">
        <f>SUM(L330:L344)</f>
        <v>9194.5500000000011</v>
      </c>
      <c r="T10" s="10">
        <f t="shared" si="5"/>
        <v>0.24148701876134296</v>
      </c>
      <c r="U10" s="10">
        <f t="shared" si="2"/>
        <v>0.15138380734268936</v>
      </c>
    </row>
    <row r="11" spans="1:27" ht="14.4">
      <c r="A11" s="4">
        <v>10401</v>
      </c>
      <c r="B11" s="4" t="s">
        <v>242</v>
      </c>
      <c r="C11" s="28">
        <f>IF(Table_1[[#This Row],[Forest cover 2011]]&lt;1000,"Bosque menor a 1000 ha",Table_1[[#This Row],[Forest cover 2011]])</f>
        <v>117418.41</v>
      </c>
      <c r="D11" s="4">
        <v>117418.41</v>
      </c>
      <c r="E11" s="4">
        <v>289.89</v>
      </c>
      <c r="F11" s="4">
        <v>340.65</v>
      </c>
      <c r="G11" s="4">
        <v>488.52</v>
      </c>
      <c r="H11" s="4">
        <f t="shared" si="0"/>
        <v>373.02</v>
      </c>
      <c r="I11" s="4">
        <v>247.32</v>
      </c>
      <c r="J11" s="4">
        <v>1132.29</v>
      </c>
      <c r="K11" s="4">
        <v>291.42</v>
      </c>
      <c r="L11" s="4">
        <f t="shared" si="1"/>
        <v>557.01</v>
      </c>
      <c r="M11" s="10">
        <f t="shared" si="3"/>
        <v>0.31768442444417355</v>
      </c>
      <c r="N11" s="10">
        <f t="shared" si="4"/>
        <v>0.47438046555050434</v>
      </c>
      <c r="P11" s="4" t="s">
        <v>403</v>
      </c>
      <c r="Q11" s="11">
        <f t="shared" ref="Q11:S11" si="6">SUM(Q2:Q10)</f>
        <v>58197806.460000001</v>
      </c>
      <c r="R11" s="11">
        <f t="shared" si="6"/>
        <v>369340.85999999987</v>
      </c>
      <c r="S11" s="11">
        <f t="shared" si="6"/>
        <v>538834.23</v>
      </c>
      <c r="T11" s="10">
        <f t="shared" si="5"/>
        <v>0.6346302076760435</v>
      </c>
      <c r="U11" s="10">
        <f t="shared" si="2"/>
        <v>0.92586690594661292</v>
      </c>
    </row>
    <row r="12" spans="1:27" ht="14.4">
      <c r="A12" s="4">
        <v>10402</v>
      </c>
      <c r="B12" s="4" t="s">
        <v>268</v>
      </c>
      <c r="C12" s="27">
        <f>IF(Table_1[[#This Row],[Forest cover 2011]]&lt;1000,"Bosque menor a 1000 ha",Table_1[[#This Row],[Forest cover 2011]])</f>
        <v>22272.39</v>
      </c>
      <c r="D12" s="4">
        <v>22272.39</v>
      </c>
      <c r="E12" s="4">
        <v>16.559999999999999</v>
      </c>
      <c r="F12" s="4">
        <v>18.989999999999998</v>
      </c>
      <c r="G12" s="4">
        <v>294.66000000000003</v>
      </c>
      <c r="H12" s="4">
        <f t="shared" si="0"/>
        <v>110.07000000000001</v>
      </c>
      <c r="I12" s="4">
        <v>40.049999999999997</v>
      </c>
      <c r="J12" s="4">
        <v>133.47</v>
      </c>
      <c r="K12" s="4">
        <v>20.79</v>
      </c>
      <c r="L12" s="4">
        <f t="shared" si="1"/>
        <v>64.77</v>
      </c>
      <c r="M12" s="10">
        <f t="shared" si="3"/>
        <v>0.49419932032440167</v>
      </c>
      <c r="N12" s="10">
        <f t="shared" si="4"/>
        <v>0.29080848530400194</v>
      </c>
      <c r="P12" s="4" t="s">
        <v>404</v>
      </c>
      <c r="Q12" s="5">
        <f>SUM(D246:D248)</f>
        <v>1546460.01</v>
      </c>
      <c r="R12" s="5">
        <f>SUM(H246:H248)</f>
        <v>8819.0399999999991</v>
      </c>
      <c r="S12" s="5">
        <f>SUM(L246:L248)</f>
        <v>20931.12</v>
      </c>
      <c r="T12" s="10">
        <f t="shared" si="5"/>
        <v>0.57027274827494567</v>
      </c>
      <c r="U12" s="10">
        <f t="shared" si="2"/>
        <v>1.3534860173978891</v>
      </c>
    </row>
    <row r="13" spans="1:27" ht="14.4">
      <c r="A13" s="4">
        <v>10403</v>
      </c>
      <c r="B13" s="4" t="s">
        <v>228</v>
      </c>
      <c r="C13" s="28">
        <f>IF(Table_1[[#This Row],[Forest cover 2011]]&lt;1000,"Bosque menor a 1000 ha",Table_1[[#This Row],[Forest cover 2011]])</f>
        <v>23945.58</v>
      </c>
      <c r="D13" s="4">
        <v>23945.58</v>
      </c>
      <c r="E13" s="4">
        <v>20.52</v>
      </c>
      <c r="F13" s="4">
        <v>55.08</v>
      </c>
      <c r="G13" s="4">
        <v>238.59</v>
      </c>
      <c r="H13" s="4">
        <f t="shared" si="0"/>
        <v>104.73</v>
      </c>
      <c r="I13" s="4">
        <v>114.03</v>
      </c>
      <c r="J13" s="4">
        <v>448.29</v>
      </c>
      <c r="K13" s="4">
        <v>82.53</v>
      </c>
      <c r="L13" s="4">
        <f t="shared" si="1"/>
        <v>214.95000000000002</v>
      </c>
      <c r="M13" s="10">
        <f t="shared" si="3"/>
        <v>0.43736672905813934</v>
      </c>
      <c r="N13" s="10">
        <f t="shared" si="4"/>
        <v>0.89766044505917175</v>
      </c>
    </row>
    <row r="14" spans="1:27" ht="14.4">
      <c r="A14" s="4">
        <v>10404</v>
      </c>
      <c r="B14" s="4" t="s">
        <v>254</v>
      </c>
      <c r="C14" s="27">
        <f>IF(Table_1[[#This Row],[Forest cover 2011]]&lt;1000,"Bosque menor a 1000 ha",Table_1[[#This Row],[Forest cover 2011]])</f>
        <v>8220.8700000000008</v>
      </c>
      <c r="D14" s="4">
        <v>8220.8700000000008</v>
      </c>
      <c r="E14" s="4">
        <v>3.6</v>
      </c>
      <c r="F14" s="4">
        <v>3.96</v>
      </c>
      <c r="G14" s="4">
        <v>79.38</v>
      </c>
      <c r="H14" s="4">
        <f t="shared" si="0"/>
        <v>28.98</v>
      </c>
      <c r="I14" s="4">
        <v>14.58</v>
      </c>
      <c r="J14" s="4">
        <v>75.330000000000013</v>
      </c>
      <c r="K14" s="4">
        <v>12.69</v>
      </c>
      <c r="L14" s="4">
        <f t="shared" si="1"/>
        <v>34.200000000000003</v>
      </c>
      <c r="M14" s="10">
        <f t="shared" si="3"/>
        <v>0.35251743428615218</v>
      </c>
      <c r="N14" s="10">
        <f t="shared" si="4"/>
        <v>0.41601436344328513</v>
      </c>
    </row>
    <row r="15" spans="1:27" ht="14.4">
      <c r="A15" s="4">
        <v>10405</v>
      </c>
      <c r="B15" s="4" t="s">
        <v>249</v>
      </c>
      <c r="C15" s="28">
        <f>IF(Table_1[[#This Row],[Forest cover 2011]]&lt;1000,"Bosque menor a 1000 ha",Table_1[[#This Row],[Forest cover 2011]])</f>
        <v>50038.29</v>
      </c>
      <c r="D15" s="4">
        <v>50038.29</v>
      </c>
      <c r="E15" s="4">
        <v>55.8</v>
      </c>
      <c r="F15" s="4">
        <v>89.1</v>
      </c>
      <c r="G15" s="4">
        <v>444.15</v>
      </c>
      <c r="H15" s="4">
        <f t="shared" si="0"/>
        <v>196.35</v>
      </c>
      <c r="I15" s="4">
        <v>100.8</v>
      </c>
      <c r="J15" s="4">
        <v>365.31</v>
      </c>
      <c r="K15" s="4">
        <v>91.08</v>
      </c>
      <c r="L15" s="4">
        <f t="shared" si="1"/>
        <v>185.73000000000002</v>
      </c>
      <c r="M15" s="10">
        <f t="shared" si="3"/>
        <v>0.39239950046254574</v>
      </c>
      <c r="N15" s="10">
        <f t="shared" si="4"/>
        <v>0.37117575360788707</v>
      </c>
    </row>
    <row r="16" spans="1:27" ht="14.4">
      <c r="A16" s="4">
        <v>10501</v>
      </c>
      <c r="B16" s="4" t="s">
        <v>182</v>
      </c>
      <c r="C16" s="27">
        <f>IF(Table_1[[#This Row],[Forest cover 2011]]&lt;1000,"Bosque menor a 1000 ha",Table_1[[#This Row],[Forest cover 2011]])</f>
        <v>290186.28000000003</v>
      </c>
      <c r="D16" s="4">
        <v>290186.28000000003</v>
      </c>
      <c r="E16" s="4">
        <v>1048.5</v>
      </c>
      <c r="F16" s="4">
        <v>1645.29</v>
      </c>
      <c r="G16" s="4">
        <v>1286.9100000000001</v>
      </c>
      <c r="H16" s="4">
        <f t="shared" si="0"/>
        <v>1326.8999999999999</v>
      </c>
      <c r="I16" s="4">
        <v>334.17</v>
      </c>
      <c r="J16" s="4">
        <v>2577.15</v>
      </c>
      <c r="K16" s="4">
        <v>2427.39</v>
      </c>
      <c r="L16" s="4">
        <f t="shared" si="1"/>
        <v>1779.57</v>
      </c>
      <c r="M16" s="10">
        <f t="shared" si="3"/>
        <v>0.45725800682237622</v>
      </c>
      <c r="N16" s="10">
        <f t="shared" si="4"/>
        <v>0.61325090903677448</v>
      </c>
    </row>
    <row r="17" spans="1:14" ht="14.4">
      <c r="A17" s="4">
        <v>10502</v>
      </c>
      <c r="B17" s="4" t="s">
        <v>175</v>
      </c>
      <c r="C17" s="28">
        <f>IF(Table_1[[#This Row],[Forest cover 2011]]&lt;1000,"Bosque menor a 1000 ha",Table_1[[#This Row],[Forest cover 2011]])</f>
        <v>280002.24</v>
      </c>
      <c r="D17" s="4">
        <v>280002.24</v>
      </c>
      <c r="E17" s="4">
        <v>433.8</v>
      </c>
      <c r="F17" s="4">
        <v>544.77</v>
      </c>
      <c r="G17" s="4">
        <v>550.53</v>
      </c>
      <c r="H17" s="4">
        <f t="shared" si="0"/>
        <v>509.7</v>
      </c>
      <c r="I17" s="4">
        <v>572.04</v>
      </c>
      <c r="J17" s="4">
        <v>1921.32</v>
      </c>
      <c r="K17" s="4">
        <v>3200.31</v>
      </c>
      <c r="L17" s="4">
        <f t="shared" si="1"/>
        <v>1897.89</v>
      </c>
      <c r="M17" s="10">
        <f t="shared" si="3"/>
        <v>0.18203425801165019</v>
      </c>
      <c r="N17" s="10">
        <f t="shared" si="4"/>
        <v>0.67781243464338004</v>
      </c>
    </row>
    <row r="18" spans="1:14" ht="14.4">
      <c r="A18" s="4">
        <v>10601</v>
      </c>
      <c r="B18" s="4" t="s">
        <v>272</v>
      </c>
      <c r="C18" s="27">
        <f>IF(Table_1[[#This Row],[Forest cover 2011]]&lt;1000,"Bosque menor a 1000 ha",Table_1[[#This Row],[Forest cover 2011]])</f>
        <v>4594.5</v>
      </c>
      <c r="D18" s="4">
        <v>4594.5</v>
      </c>
      <c r="E18" s="4">
        <v>9.99</v>
      </c>
      <c r="F18" s="4">
        <v>9.629999999999999</v>
      </c>
      <c r="G18" s="4">
        <v>75.42</v>
      </c>
      <c r="H18" s="4">
        <f t="shared" si="0"/>
        <v>31.679999999999996</v>
      </c>
      <c r="I18" s="4">
        <v>3.24</v>
      </c>
      <c r="J18" s="4">
        <v>13.41</v>
      </c>
      <c r="K18" s="4">
        <v>2.52</v>
      </c>
      <c r="L18" s="4">
        <f t="shared" si="1"/>
        <v>6.39</v>
      </c>
      <c r="M18" s="10">
        <f t="shared" si="3"/>
        <v>0.6895200783545542</v>
      </c>
      <c r="N18" s="10">
        <f t="shared" si="4"/>
        <v>0.13907933398628794</v>
      </c>
    </row>
    <row r="19" spans="1:14" ht="14.4">
      <c r="A19" s="4">
        <v>10602</v>
      </c>
      <c r="B19" s="4" t="s">
        <v>285</v>
      </c>
      <c r="C19" s="28" t="str">
        <f>IF(Table_1[[#This Row],[Forest cover 2011]]&lt;1000,"Bosque menor a 1000 ha",Table_1[[#This Row],[Forest cover 2011]])</f>
        <v>Bosque menor a 1000 ha</v>
      </c>
      <c r="D19" s="4">
        <v>694.26</v>
      </c>
      <c r="E19" s="4">
        <v>1.62</v>
      </c>
      <c r="F19" s="4">
        <v>1.44</v>
      </c>
      <c r="G19" s="4">
        <v>14.04</v>
      </c>
      <c r="H19" s="4">
        <f t="shared" si="0"/>
        <v>5.6999999999999993</v>
      </c>
      <c r="I19" s="4">
        <v>0.09</v>
      </c>
      <c r="J19" s="4">
        <v>0.72</v>
      </c>
      <c r="K19" s="4">
        <v>0.09</v>
      </c>
      <c r="L19" s="4">
        <f t="shared" si="1"/>
        <v>0.3</v>
      </c>
      <c r="M19" s="10" t="str">
        <f t="shared" si="3"/>
        <v/>
      </c>
      <c r="N19" s="10" t="str">
        <f t="shared" si="4"/>
        <v/>
      </c>
    </row>
    <row r="20" spans="1:14" ht="14.4">
      <c r="A20" s="4">
        <v>10701</v>
      </c>
      <c r="B20" s="4" t="s">
        <v>66</v>
      </c>
      <c r="C20" s="27" t="str">
        <f>IF(Table_1[[#This Row],[Forest cover 2011]]&lt;1000,"Bosque menor a 1000 ha",Table_1[[#This Row],[Forest cover 2011]])</f>
        <v>Bosque menor a 1000 ha</v>
      </c>
      <c r="D20" s="4">
        <v>0</v>
      </c>
      <c r="E20" s="4">
        <v>0</v>
      </c>
      <c r="F20" s="4">
        <v>0</v>
      </c>
      <c r="G20" s="4">
        <v>0</v>
      </c>
      <c r="H20" s="4">
        <f t="shared" si="0"/>
        <v>0</v>
      </c>
      <c r="I20" s="4">
        <v>0</v>
      </c>
      <c r="J20" s="4">
        <v>0</v>
      </c>
      <c r="K20" s="4">
        <v>0</v>
      </c>
      <c r="L20" s="4">
        <f t="shared" si="1"/>
        <v>0</v>
      </c>
      <c r="M20" s="10" t="str">
        <f t="shared" si="3"/>
        <v/>
      </c>
      <c r="N20" s="10" t="str">
        <f t="shared" si="4"/>
        <v/>
      </c>
    </row>
    <row r="21" spans="1:14" ht="15.75" customHeight="1">
      <c r="A21" s="4">
        <v>10702</v>
      </c>
      <c r="B21" s="4" t="s">
        <v>139</v>
      </c>
      <c r="C21" s="28">
        <f>IF(Table_1[[#This Row],[Forest cover 2011]]&lt;1000,"Bosque menor a 1000 ha",Table_1[[#This Row],[Forest cover 2011]])</f>
        <v>40473.81</v>
      </c>
      <c r="D21" s="4">
        <v>40473.81</v>
      </c>
      <c r="E21" s="4">
        <v>33.03</v>
      </c>
      <c r="F21" s="4">
        <v>51.93</v>
      </c>
      <c r="G21" s="4">
        <v>279</v>
      </c>
      <c r="H21" s="4">
        <f t="shared" si="0"/>
        <v>121.32000000000001</v>
      </c>
      <c r="I21" s="4">
        <v>11.34</v>
      </c>
      <c r="J21" s="4">
        <v>13.59</v>
      </c>
      <c r="K21" s="4">
        <v>829.44</v>
      </c>
      <c r="L21" s="4">
        <f t="shared" si="1"/>
        <v>284.79000000000002</v>
      </c>
      <c r="M21" s="10">
        <f t="shared" si="3"/>
        <v>0.29974939349668345</v>
      </c>
      <c r="N21" s="10">
        <f t="shared" si="4"/>
        <v>0.703640205851636</v>
      </c>
    </row>
    <row r="22" spans="1:14" ht="15.75" customHeight="1">
      <c r="A22" s="4">
        <v>10703</v>
      </c>
      <c r="B22" s="4" t="s">
        <v>181</v>
      </c>
      <c r="C22" s="27">
        <f>IF(Table_1[[#This Row],[Forest cover 2011]]&lt;1000,"Bosque menor a 1000 ha",Table_1[[#This Row],[Forest cover 2011]])</f>
        <v>53681.22</v>
      </c>
      <c r="D22" s="4">
        <v>53681.22</v>
      </c>
      <c r="E22" s="4">
        <v>64.53</v>
      </c>
      <c r="F22" s="4">
        <v>166.86</v>
      </c>
      <c r="G22" s="4">
        <v>259.2</v>
      </c>
      <c r="H22" s="4">
        <f t="shared" si="0"/>
        <v>163.53</v>
      </c>
      <c r="I22" s="4">
        <v>198.18</v>
      </c>
      <c r="J22" s="4">
        <v>669.24</v>
      </c>
      <c r="K22" s="4">
        <v>457.65</v>
      </c>
      <c r="L22" s="4">
        <f t="shared" si="1"/>
        <v>441.69000000000005</v>
      </c>
      <c r="M22" s="10">
        <f t="shared" si="3"/>
        <v>0.30463167565863813</v>
      </c>
      <c r="N22" s="10">
        <f t="shared" si="4"/>
        <v>0.82280171724860207</v>
      </c>
    </row>
    <row r="23" spans="1:14" ht="15.75" customHeight="1">
      <c r="A23" s="4">
        <v>10704</v>
      </c>
      <c r="B23" s="4" t="s">
        <v>229</v>
      </c>
      <c r="C23" s="28">
        <f>IF(Table_1[[#This Row],[Forest cover 2011]]&lt;1000,"Bosque menor a 1000 ha",Table_1[[#This Row],[Forest cover 2011]])</f>
        <v>10740.24</v>
      </c>
      <c r="D23" s="4">
        <v>10740.24</v>
      </c>
      <c r="E23" s="4">
        <v>8.1</v>
      </c>
      <c r="F23" s="4">
        <v>14.13</v>
      </c>
      <c r="G23" s="4">
        <v>106.2</v>
      </c>
      <c r="H23" s="4">
        <f t="shared" si="0"/>
        <v>42.81</v>
      </c>
      <c r="I23" s="4">
        <v>1.62</v>
      </c>
      <c r="J23" s="4">
        <v>5.94</v>
      </c>
      <c r="K23" s="4">
        <v>36.54</v>
      </c>
      <c r="L23" s="4">
        <f t="shared" si="1"/>
        <v>14.700000000000001</v>
      </c>
      <c r="M23" s="10">
        <f t="shared" si="3"/>
        <v>0.39859444481687561</v>
      </c>
      <c r="N23" s="10">
        <f t="shared" si="4"/>
        <v>0.13686844986704208</v>
      </c>
    </row>
    <row r="24" spans="1:14" ht="15.75" customHeight="1">
      <c r="A24" s="4">
        <v>10801</v>
      </c>
      <c r="B24" s="4" t="s">
        <v>218</v>
      </c>
      <c r="C24" s="27">
        <f>IF(Table_1[[#This Row],[Forest cover 2011]]&lt;1000,"Bosque menor a 1000 ha",Table_1[[#This Row],[Forest cover 2011]])</f>
        <v>99479.159999999989</v>
      </c>
      <c r="D24" s="4">
        <v>99479.159999999989</v>
      </c>
      <c r="E24" s="4">
        <v>236.88</v>
      </c>
      <c r="F24" s="4">
        <v>295.38</v>
      </c>
      <c r="G24" s="4">
        <v>1181.8800000000001</v>
      </c>
      <c r="H24" s="4">
        <f t="shared" si="0"/>
        <v>571.38</v>
      </c>
      <c r="I24" s="4">
        <v>319.23</v>
      </c>
      <c r="J24" s="4">
        <v>1032.75</v>
      </c>
      <c r="K24" s="4">
        <v>414.54</v>
      </c>
      <c r="L24" s="4">
        <f t="shared" si="1"/>
        <v>588.84</v>
      </c>
      <c r="M24" s="10">
        <f t="shared" si="3"/>
        <v>0.5743715568165233</v>
      </c>
      <c r="N24" s="10">
        <f t="shared" si="4"/>
        <v>0.59192297160530916</v>
      </c>
    </row>
    <row r="25" spans="1:14" ht="15.75" customHeight="1">
      <c r="A25" s="4">
        <v>10901</v>
      </c>
      <c r="B25" s="4" t="s">
        <v>69</v>
      </c>
      <c r="C25" s="28" t="str">
        <f>IF(Table_1[[#This Row],[Forest cover 2011]]&lt;1000,"Bosque menor a 1000 ha",Table_1[[#This Row],[Forest cover 2011]])</f>
        <v>Bosque menor a 1000 ha</v>
      </c>
      <c r="D25" s="4">
        <v>0</v>
      </c>
      <c r="E25" s="4">
        <v>0</v>
      </c>
      <c r="F25" s="4">
        <v>0</v>
      </c>
      <c r="G25" s="4">
        <v>0</v>
      </c>
      <c r="H25" s="4">
        <f t="shared" si="0"/>
        <v>0</v>
      </c>
      <c r="I25" s="4">
        <v>0</v>
      </c>
      <c r="J25" s="4">
        <v>0</v>
      </c>
      <c r="K25" s="4">
        <v>0</v>
      </c>
      <c r="L25" s="4">
        <f t="shared" si="1"/>
        <v>0</v>
      </c>
      <c r="M25" s="10" t="str">
        <f t="shared" si="3"/>
        <v/>
      </c>
      <c r="N25" s="10" t="str">
        <f t="shared" si="4"/>
        <v/>
      </c>
    </row>
    <row r="26" spans="1:14" ht="15.75" customHeight="1">
      <c r="A26" s="4">
        <v>10902</v>
      </c>
      <c r="B26" s="4" t="s">
        <v>214</v>
      </c>
      <c r="C26" s="27">
        <f>IF(Table_1[[#This Row],[Forest cover 2011]]&lt;1000,"Bosque menor a 1000 ha",Table_1[[#This Row],[Forest cover 2011]])</f>
        <v>232980.57</v>
      </c>
      <c r="D26" s="4">
        <v>232980.57</v>
      </c>
      <c r="E26" s="4">
        <v>460.53</v>
      </c>
      <c r="F26" s="4">
        <v>597.87</v>
      </c>
      <c r="G26" s="4">
        <v>826.83</v>
      </c>
      <c r="H26" s="4">
        <f t="shared" si="0"/>
        <v>628.41</v>
      </c>
      <c r="I26" s="4">
        <v>283.68</v>
      </c>
      <c r="J26" s="4">
        <v>2493.63</v>
      </c>
      <c r="K26" s="4">
        <v>1014.93</v>
      </c>
      <c r="L26" s="4">
        <f t="shared" si="1"/>
        <v>1264.08</v>
      </c>
      <c r="M26" s="10">
        <f t="shared" si="3"/>
        <v>0.26972635529220312</v>
      </c>
      <c r="N26" s="10">
        <f t="shared" si="4"/>
        <v>0.5425688502693593</v>
      </c>
    </row>
    <row r="27" spans="1:14" ht="15.75" customHeight="1">
      <c r="A27" s="4">
        <v>10903</v>
      </c>
      <c r="B27" s="4" t="s">
        <v>71</v>
      </c>
      <c r="C27" s="28" t="str">
        <f>IF(Table_1[[#This Row],[Forest cover 2011]]&lt;1000,"Bosque menor a 1000 ha",Table_1[[#This Row],[Forest cover 2011]])</f>
        <v>Bosque menor a 1000 ha</v>
      </c>
      <c r="D27" s="4">
        <v>0</v>
      </c>
      <c r="E27" s="4">
        <v>0</v>
      </c>
      <c r="F27" s="4">
        <v>0</v>
      </c>
      <c r="G27" s="4">
        <v>0</v>
      </c>
      <c r="H27" s="4">
        <f t="shared" si="0"/>
        <v>0</v>
      </c>
      <c r="I27" s="4">
        <v>0</v>
      </c>
      <c r="J27" s="4">
        <v>0</v>
      </c>
      <c r="K27" s="4">
        <v>0</v>
      </c>
      <c r="L27" s="4">
        <f t="shared" si="1"/>
        <v>0</v>
      </c>
      <c r="M27" s="10" t="str">
        <f t="shared" si="3"/>
        <v/>
      </c>
      <c r="N27" s="10" t="str">
        <f t="shared" si="4"/>
        <v/>
      </c>
    </row>
    <row r="28" spans="1:14" ht="15.75" customHeight="1">
      <c r="A28" s="4">
        <v>11001</v>
      </c>
      <c r="B28" s="4" t="s">
        <v>230</v>
      </c>
      <c r="C28" s="27">
        <f>IF(Table_1[[#This Row],[Forest cover 2011]]&lt;1000,"Bosque menor a 1000 ha",Table_1[[#This Row],[Forest cover 2011]])</f>
        <v>345973.68</v>
      </c>
      <c r="D28" s="4">
        <v>345973.68</v>
      </c>
      <c r="E28" s="4">
        <v>677.97</v>
      </c>
      <c r="F28" s="4">
        <v>1210.5</v>
      </c>
      <c r="G28" s="4">
        <v>1082.52</v>
      </c>
      <c r="H28" s="4">
        <f t="shared" si="0"/>
        <v>990.32999999999993</v>
      </c>
      <c r="I28" s="4">
        <v>412.11</v>
      </c>
      <c r="J28" s="4">
        <v>2467.17</v>
      </c>
      <c r="K28" s="4">
        <v>1100.43</v>
      </c>
      <c r="L28" s="4">
        <f t="shared" si="1"/>
        <v>1326.57</v>
      </c>
      <c r="M28" s="10">
        <f t="shared" si="3"/>
        <v>0.2862443177758493</v>
      </c>
      <c r="N28" s="10">
        <f t="shared" si="4"/>
        <v>0.38343090144891945</v>
      </c>
    </row>
    <row r="29" spans="1:14" ht="15.75" customHeight="1">
      <c r="A29" s="4">
        <v>11002</v>
      </c>
      <c r="B29" s="4" t="s">
        <v>245</v>
      </c>
      <c r="C29" s="28">
        <f>IF(Table_1[[#This Row],[Forest cover 2011]]&lt;1000,"Bosque menor a 1000 ha",Table_1[[#This Row],[Forest cover 2011]])</f>
        <v>121391.55</v>
      </c>
      <c r="D29" s="4">
        <v>121391.55</v>
      </c>
      <c r="E29" s="4">
        <v>67.5</v>
      </c>
      <c r="F29" s="4">
        <v>98.01</v>
      </c>
      <c r="G29" s="4">
        <v>118.44</v>
      </c>
      <c r="H29" s="4">
        <f t="shared" si="0"/>
        <v>94.649999999999991</v>
      </c>
      <c r="I29" s="4">
        <v>82.62</v>
      </c>
      <c r="J29" s="4">
        <v>168.12</v>
      </c>
      <c r="K29" s="4">
        <v>277.38</v>
      </c>
      <c r="L29" s="4">
        <f t="shared" si="1"/>
        <v>176.04</v>
      </c>
      <c r="M29" s="10">
        <f t="shared" si="3"/>
        <v>7.7970830753870415E-2</v>
      </c>
      <c r="N29" s="10">
        <f t="shared" si="4"/>
        <v>0.14501833117708768</v>
      </c>
    </row>
    <row r="30" spans="1:14" ht="15.75" customHeight="1">
      <c r="A30" s="4">
        <v>11003</v>
      </c>
      <c r="B30" s="4" t="s">
        <v>225</v>
      </c>
      <c r="C30" s="27">
        <f>IF(Table_1[[#This Row],[Forest cover 2011]]&lt;1000,"Bosque menor a 1000 ha",Table_1[[#This Row],[Forest cover 2011]])</f>
        <v>765965.88</v>
      </c>
      <c r="D30" s="4">
        <v>765965.88</v>
      </c>
      <c r="E30" s="4">
        <v>781.38</v>
      </c>
      <c r="F30" s="4">
        <v>929.52</v>
      </c>
      <c r="G30" s="4">
        <v>790.92</v>
      </c>
      <c r="H30" s="4">
        <f t="shared" si="0"/>
        <v>833.94</v>
      </c>
      <c r="I30" s="4">
        <v>4392.45</v>
      </c>
      <c r="J30" s="4">
        <v>9302.2199999999993</v>
      </c>
      <c r="K30" s="4">
        <v>2811.6</v>
      </c>
      <c r="L30" s="4">
        <f t="shared" si="1"/>
        <v>5502.0899999999992</v>
      </c>
      <c r="M30" s="10">
        <f t="shared" si="3"/>
        <v>0.10887430129394277</v>
      </c>
      <c r="N30" s="10">
        <f t="shared" si="4"/>
        <v>0.71832050795787394</v>
      </c>
    </row>
    <row r="31" spans="1:14" ht="15.75" customHeight="1">
      <c r="A31" s="4">
        <v>20101</v>
      </c>
      <c r="B31" s="4" t="s">
        <v>199</v>
      </c>
      <c r="C31" s="28">
        <f>IF(Table_1[[#This Row],[Forest cover 2011]]&lt;1000,"Bosque menor a 1000 ha",Table_1[[#This Row],[Forest cover 2011]])</f>
        <v>88330.41</v>
      </c>
      <c r="D31" s="4">
        <v>88330.41</v>
      </c>
      <c r="E31" s="4">
        <v>110.61</v>
      </c>
      <c r="F31" s="4">
        <v>76.680000000000007</v>
      </c>
      <c r="G31" s="4">
        <v>101.16</v>
      </c>
      <c r="H31" s="4">
        <f t="shared" si="0"/>
        <v>96.15000000000002</v>
      </c>
      <c r="I31" s="4">
        <v>34.380000000000003</v>
      </c>
      <c r="J31" s="4">
        <v>447.66</v>
      </c>
      <c r="K31" s="4">
        <v>512.64</v>
      </c>
      <c r="L31" s="4">
        <f t="shared" si="1"/>
        <v>331.56</v>
      </c>
      <c r="M31" s="10">
        <f t="shared" si="3"/>
        <v>0.10885265901063974</v>
      </c>
      <c r="N31" s="10">
        <f t="shared" si="4"/>
        <v>0.37536336579893609</v>
      </c>
    </row>
    <row r="32" spans="1:14" ht="15.75" customHeight="1">
      <c r="A32" s="4">
        <v>20102</v>
      </c>
      <c r="B32" s="4" t="s">
        <v>92</v>
      </c>
      <c r="C32" s="27">
        <f>IF(Table_1[[#This Row],[Forest cover 2011]]&lt;1000,"Bosque menor a 1000 ha",Table_1[[#This Row],[Forest cover 2011]])</f>
        <v>1751.13</v>
      </c>
      <c r="D32" s="4">
        <v>1751.13</v>
      </c>
      <c r="E32" s="4">
        <v>5.67</v>
      </c>
      <c r="F32" s="4">
        <v>23.76</v>
      </c>
      <c r="G32" s="4">
        <v>53.55</v>
      </c>
      <c r="H32" s="4">
        <f t="shared" si="0"/>
        <v>27.659999999999997</v>
      </c>
      <c r="I32" s="4">
        <v>23.13</v>
      </c>
      <c r="J32" s="4">
        <v>152.19</v>
      </c>
      <c r="K32" s="4">
        <v>132.57</v>
      </c>
      <c r="L32" s="4">
        <f t="shared" si="1"/>
        <v>102.63</v>
      </c>
      <c r="M32" s="10">
        <f t="shared" si="3"/>
        <v>1.5795514896095659</v>
      </c>
      <c r="N32" s="10">
        <f t="shared" si="4"/>
        <v>5.8607870346576201</v>
      </c>
    </row>
    <row r="33" spans="1:14" ht="15.75" customHeight="1">
      <c r="A33" s="4">
        <v>20103</v>
      </c>
      <c r="B33" s="4" t="s">
        <v>89</v>
      </c>
      <c r="C33" s="28" t="str">
        <f>IF(Table_1[[#This Row],[Forest cover 2011]]&lt;1000,"Bosque menor a 1000 ha",Table_1[[#This Row],[Forest cover 2011]])</f>
        <v>Bosque menor a 1000 ha</v>
      </c>
      <c r="D33" s="4">
        <v>0</v>
      </c>
      <c r="E33" s="4">
        <v>0</v>
      </c>
      <c r="F33" s="4">
        <v>0</v>
      </c>
      <c r="G33" s="4">
        <v>0</v>
      </c>
      <c r="H33" s="4">
        <f t="shared" si="0"/>
        <v>0</v>
      </c>
      <c r="I33" s="4">
        <v>0</v>
      </c>
      <c r="J33" s="4">
        <v>0</v>
      </c>
      <c r="K33" s="4">
        <v>0</v>
      </c>
      <c r="L33" s="4">
        <f t="shared" si="1"/>
        <v>0</v>
      </c>
      <c r="M33" s="10" t="str">
        <f t="shared" si="3"/>
        <v/>
      </c>
      <c r="N33" s="10" t="str">
        <f t="shared" si="4"/>
        <v/>
      </c>
    </row>
    <row r="34" spans="1:14" ht="15.75" customHeight="1">
      <c r="A34" s="4">
        <v>20104</v>
      </c>
      <c r="B34" s="4" t="s">
        <v>383</v>
      </c>
      <c r="C34" s="27" t="str">
        <f>IF(Table_1[[#This Row],[Forest cover 2011]]&lt;1000,"Bosque menor a 1000 ha",Table_1[[#This Row],[Forest cover 2011]])</f>
        <v>Bosque menor a 1000 ha</v>
      </c>
      <c r="D34" s="4">
        <v>0</v>
      </c>
      <c r="E34" s="4">
        <v>0</v>
      </c>
      <c r="F34" s="4">
        <v>0</v>
      </c>
      <c r="G34" s="4">
        <v>0</v>
      </c>
      <c r="H34" s="4">
        <f t="shared" si="0"/>
        <v>0</v>
      </c>
      <c r="I34" s="4">
        <v>0</v>
      </c>
      <c r="J34" s="4">
        <v>0</v>
      </c>
      <c r="K34" s="4">
        <v>0</v>
      </c>
      <c r="L34" s="4">
        <f t="shared" si="1"/>
        <v>0</v>
      </c>
      <c r="M34" s="10" t="str">
        <f t="shared" si="3"/>
        <v/>
      </c>
      <c r="N34" s="10" t="str">
        <f t="shared" si="4"/>
        <v/>
      </c>
    </row>
    <row r="35" spans="1:14" ht="15.75" customHeight="1">
      <c r="A35" s="4">
        <v>20105</v>
      </c>
      <c r="B35" s="4" t="s">
        <v>288</v>
      </c>
      <c r="C35" s="28" t="str">
        <f>IF(Table_1[[#This Row],[Forest cover 2011]]&lt;1000,"Bosque menor a 1000 ha",Table_1[[#This Row],[Forest cover 2011]])</f>
        <v>Bosque menor a 1000 ha</v>
      </c>
      <c r="D35" s="4">
        <v>0</v>
      </c>
      <c r="E35" s="4">
        <v>0</v>
      </c>
      <c r="F35" s="4">
        <v>0</v>
      </c>
      <c r="G35" s="4">
        <v>0</v>
      </c>
      <c r="H35" s="4">
        <f t="shared" si="0"/>
        <v>0</v>
      </c>
      <c r="I35" s="4">
        <v>0</v>
      </c>
      <c r="J35" s="4">
        <v>0</v>
      </c>
      <c r="K35" s="4">
        <v>0</v>
      </c>
      <c r="L35" s="4">
        <f t="shared" si="1"/>
        <v>0</v>
      </c>
      <c r="M35" s="10" t="str">
        <f t="shared" si="3"/>
        <v/>
      </c>
      <c r="N35" s="10" t="str">
        <f t="shared" si="4"/>
        <v/>
      </c>
    </row>
    <row r="36" spans="1:14" ht="15.75" customHeight="1">
      <c r="A36" s="4">
        <v>20201</v>
      </c>
      <c r="B36" s="4" t="s">
        <v>370</v>
      </c>
      <c r="C36" s="27" t="str">
        <f>IF(Table_1[[#This Row],[Forest cover 2011]]&lt;1000,"Bosque menor a 1000 ha",Table_1[[#This Row],[Forest cover 2011]])</f>
        <v>Bosque menor a 1000 ha</v>
      </c>
      <c r="D36" s="4">
        <v>0</v>
      </c>
      <c r="E36" s="4">
        <v>0</v>
      </c>
      <c r="F36" s="4">
        <v>0</v>
      </c>
      <c r="G36" s="4">
        <v>0</v>
      </c>
      <c r="H36" s="4">
        <f t="shared" si="0"/>
        <v>0</v>
      </c>
      <c r="I36" s="4">
        <v>0</v>
      </c>
      <c r="J36" s="4">
        <v>0</v>
      </c>
      <c r="K36" s="4">
        <v>0</v>
      </c>
      <c r="L36" s="4">
        <f t="shared" si="1"/>
        <v>0</v>
      </c>
      <c r="M36" s="10" t="str">
        <f t="shared" si="3"/>
        <v/>
      </c>
      <c r="N36" s="10" t="str">
        <f t="shared" si="4"/>
        <v/>
      </c>
    </row>
    <row r="37" spans="1:14" ht="15.75" customHeight="1">
      <c r="A37" s="4">
        <v>20202</v>
      </c>
      <c r="B37" s="4" t="s">
        <v>375</v>
      </c>
      <c r="C37" s="28" t="str">
        <f>IF(Table_1[[#This Row],[Forest cover 2011]]&lt;1000,"Bosque menor a 1000 ha",Table_1[[#This Row],[Forest cover 2011]])</f>
        <v>Bosque menor a 1000 ha</v>
      </c>
      <c r="D37" s="4">
        <v>0</v>
      </c>
      <c r="E37" s="4">
        <v>0</v>
      </c>
      <c r="F37" s="4">
        <v>0</v>
      </c>
      <c r="G37" s="4">
        <v>0</v>
      </c>
      <c r="H37" s="4">
        <f t="shared" si="0"/>
        <v>0</v>
      </c>
      <c r="I37" s="4">
        <v>0</v>
      </c>
      <c r="J37" s="4">
        <v>0</v>
      </c>
      <c r="K37" s="4">
        <v>0</v>
      </c>
      <c r="L37" s="4">
        <f t="shared" si="1"/>
        <v>0</v>
      </c>
      <c r="M37" s="10" t="str">
        <f t="shared" si="3"/>
        <v/>
      </c>
      <c r="N37" s="10" t="str">
        <f t="shared" si="4"/>
        <v/>
      </c>
    </row>
    <row r="38" spans="1:14" ht="15.75" customHeight="1">
      <c r="A38" s="4">
        <v>20203</v>
      </c>
      <c r="B38" s="4" t="s">
        <v>289</v>
      </c>
      <c r="C38" s="27" t="str">
        <f>IF(Table_1[[#This Row],[Forest cover 2011]]&lt;1000,"Bosque menor a 1000 ha",Table_1[[#This Row],[Forest cover 2011]])</f>
        <v>Bosque menor a 1000 ha</v>
      </c>
      <c r="D38" s="4">
        <v>0</v>
      </c>
      <c r="E38" s="4">
        <v>0</v>
      </c>
      <c r="F38" s="4">
        <v>0</v>
      </c>
      <c r="G38" s="4">
        <v>0</v>
      </c>
      <c r="H38" s="4">
        <f t="shared" si="0"/>
        <v>0</v>
      </c>
      <c r="I38" s="4">
        <v>0</v>
      </c>
      <c r="J38" s="4">
        <v>0</v>
      </c>
      <c r="K38" s="4">
        <v>0</v>
      </c>
      <c r="L38" s="4">
        <f t="shared" si="1"/>
        <v>0</v>
      </c>
      <c r="M38" s="10" t="str">
        <f t="shared" si="3"/>
        <v/>
      </c>
      <c r="N38" s="10" t="str">
        <f t="shared" si="4"/>
        <v/>
      </c>
    </row>
    <row r="39" spans="1:14" ht="15.75" customHeight="1">
      <c r="A39" s="4">
        <v>20204</v>
      </c>
      <c r="B39" s="4" t="s">
        <v>290</v>
      </c>
      <c r="C39" s="28" t="str">
        <f>IF(Table_1[[#This Row],[Forest cover 2011]]&lt;1000,"Bosque menor a 1000 ha",Table_1[[#This Row],[Forest cover 2011]])</f>
        <v>Bosque menor a 1000 ha</v>
      </c>
      <c r="D39" s="4">
        <v>0</v>
      </c>
      <c r="E39" s="4">
        <v>0</v>
      </c>
      <c r="F39" s="4">
        <v>0</v>
      </c>
      <c r="G39" s="4">
        <v>0</v>
      </c>
      <c r="H39" s="4">
        <f t="shared" si="0"/>
        <v>0</v>
      </c>
      <c r="I39" s="4">
        <v>0</v>
      </c>
      <c r="J39" s="4">
        <v>0</v>
      </c>
      <c r="K39" s="4">
        <v>0</v>
      </c>
      <c r="L39" s="4">
        <f t="shared" si="1"/>
        <v>0</v>
      </c>
      <c r="M39" s="10" t="str">
        <f t="shared" si="3"/>
        <v/>
      </c>
      <c r="N39" s="10" t="str">
        <f t="shared" si="4"/>
        <v/>
      </c>
    </row>
    <row r="40" spans="1:14" ht="15.75" customHeight="1">
      <c r="A40" s="4">
        <v>20205</v>
      </c>
      <c r="B40" s="4" t="s">
        <v>291</v>
      </c>
      <c r="C40" s="27" t="str">
        <f>IF(Table_1[[#This Row],[Forest cover 2011]]&lt;1000,"Bosque menor a 1000 ha",Table_1[[#This Row],[Forest cover 2011]])</f>
        <v>Bosque menor a 1000 ha</v>
      </c>
      <c r="D40" s="4">
        <v>0</v>
      </c>
      <c r="E40" s="4">
        <v>0</v>
      </c>
      <c r="F40" s="4">
        <v>0</v>
      </c>
      <c r="G40" s="4">
        <v>0</v>
      </c>
      <c r="H40" s="4">
        <f t="shared" si="0"/>
        <v>0</v>
      </c>
      <c r="I40" s="4">
        <v>0</v>
      </c>
      <c r="J40" s="4">
        <v>0</v>
      </c>
      <c r="K40" s="4">
        <v>0</v>
      </c>
      <c r="L40" s="4">
        <f t="shared" si="1"/>
        <v>0</v>
      </c>
      <c r="M40" s="10" t="str">
        <f t="shared" si="3"/>
        <v/>
      </c>
      <c r="N40" s="10" t="str">
        <f t="shared" si="4"/>
        <v/>
      </c>
    </row>
    <row r="41" spans="1:14" ht="15.75" customHeight="1">
      <c r="A41" s="4">
        <v>20206</v>
      </c>
      <c r="B41" s="4" t="s">
        <v>292</v>
      </c>
      <c r="C41" s="28" t="str">
        <f>IF(Table_1[[#This Row],[Forest cover 2011]]&lt;1000,"Bosque menor a 1000 ha",Table_1[[#This Row],[Forest cover 2011]])</f>
        <v>Bosque menor a 1000 ha</v>
      </c>
      <c r="D41" s="4">
        <v>0</v>
      </c>
      <c r="E41" s="4">
        <v>0</v>
      </c>
      <c r="F41" s="4">
        <v>0</v>
      </c>
      <c r="G41" s="4">
        <v>0</v>
      </c>
      <c r="H41" s="4">
        <f t="shared" si="0"/>
        <v>0</v>
      </c>
      <c r="I41" s="4">
        <v>0</v>
      </c>
      <c r="J41" s="4">
        <v>0</v>
      </c>
      <c r="K41" s="4">
        <v>0</v>
      </c>
      <c r="L41" s="4">
        <f t="shared" si="1"/>
        <v>0</v>
      </c>
      <c r="M41" s="10" t="str">
        <f t="shared" si="3"/>
        <v/>
      </c>
      <c r="N41" s="10" t="str">
        <f t="shared" si="4"/>
        <v/>
      </c>
    </row>
    <row r="42" spans="1:14" ht="15.75" customHeight="1">
      <c r="A42" s="4">
        <v>20301</v>
      </c>
      <c r="B42" s="4" t="s">
        <v>293</v>
      </c>
      <c r="C42" s="27" t="str">
        <f>IF(Table_1[[#This Row],[Forest cover 2011]]&lt;1000,"Bosque menor a 1000 ha",Table_1[[#This Row],[Forest cover 2011]])</f>
        <v>Bosque menor a 1000 ha</v>
      </c>
      <c r="D42" s="4">
        <v>0</v>
      </c>
      <c r="E42" s="4">
        <v>0</v>
      </c>
      <c r="F42" s="4">
        <v>0</v>
      </c>
      <c r="G42" s="4">
        <v>0</v>
      </c>
      <c r="H42" s="4">
        <f t="shared" si="0"/>
        <v>0</v>
      </c>
      <c r="I42" s="4">
        <v>0</v>
      </c>
      <c r="J42" s="4">
        <v>0</v>
      </c>
      <c r="K42" s="4">
        <v>0</v>
      </c>
      <c r="L42" s="4">
        <f t="shared" si="1"/>
        <v>0</v>
      </c>
      <c r="M42" s="10" t="str">
        <f t="shared" si="3"/>
        <v/>
      </c>
      <c r="N42" s="10" t="str">
        <f t="shared" si="4"/>
        <v/>
      </c>
    </row>
    <row r="43" spans="1:14" ht="15.75" customHeight="1">
      <c r="A43" s="4">
        <v>20302</v>
      </c>
      <c r="B43" s="4" t="s">
        <v>294</v>
      </c>
      <c r="C43" s="28" t="str">
        <f>IF(Table_1[[#This Row],[Forest cover 2011]]&lt;1000,"Bosque menor a 1000 ha",Table_1[[#This Row],[Forest cover 2011]])</f>
        <v>Bosque menor a 1000 ha</v>
      </c>
      <c r="D43" s="4">
        <v>0</v>
      </c>
      <c r="E43" s="4">
        <v>0</v>
      </c>
      <c r="F43" s="4">
        <v>0</v>
      </c>
      <c r="G43" s="4">
        <v>0</v>
      </c>
      <c r="H43" s="4">
        <f t="shared" si="0"/>
        <v>0</v>
      </c>
      <c r="I43" s="4">
        <v>0</v>
      </c>
      <c r="J43" s="4">
        <v>0</v>
      </c>
      <c r="K43" s="4">
        <v>0</v>
      </c>
      <c r="L43" s="4">
        <f t="shared" si="1"/>
        <v>0</v>
      </c>
      <c r="M43" s="10" t="str">
        <f t="shared" si="3"/>
        <v/>
      </c>
      <c r="N43" s="10" t="str">
        <f t="shared" si="4"/>
        <v/>
      </c>
    </row>
    <row r="44" spans="1:14" ht="15.75" customHeight="1">
      <c r="A44" s="4">
        <v>20303</v>
      </c>
      <c r="B44" s="4" t="s">
        <v>382</v>
      </c>
      <c r="C44" s="27" t="str">
        <f>IF(Table_1[[#This Row],[Forest cover 2011]]&lt;1000,"Bosque menor a 1000 ha",Table_1[[#This Row],[Forest cover 2011]])</f>
        <v>Bosque menor a 1000 ha</v>
      </c>
      <c r="D44" s="4">
        <v>0</v>
      </c>
      <c r="E44" s="4">
        <v>0</v>
      </c>
      <c r="F44" s="4">
        <v>0</v>
      </c>
      <c r="G44" s="4">
        <v>0</v>
      </c>
      <c r="H44" s="4">
        <f t="shared" si="0"/>
        <v>0</v>
      </c>
      <c r="I44" s="4">
        <v>0</v>
      </c>
      <c r="J44" s="4">
        <v>0</v>
      </c>
      <c r="K44" s="4">
        <v>0</v>
      </c>
      <c r="L44" s="4">
        <f t="shared" si="1"/>
        <v>0</v>
      </c>
      <c r="M44" s="10" t="str">
        <f t="shared" si="3"/>
        <v/>
      </c>
      <c r="N44" s="10" t="str">
        <f t="shared" si="4"/>
        <v/>
      </c>
    </row>
    <row r="45" spans="1:14" ht="15.75" customHeight="1">
      <c r="A45" s="4">
        <v>20304</v>
      </c>
      <c r="B45" s="4" t="s">
        <v>295</v>
      </c>
      <c r="C45" s="28" t="str">
        <f>IF(Table_1[[#This Row],[Forest cover 2011]]&lt;1000,"Bosque menor a 1000 ha",Table_1[[#This Row],[Forest cover 2011]])</f>
        <v>Bosque menor a 1000 ha</v>
      </c>
      <c r="D45" s="4">
        <v>0</v>
      </c>
      <c r="E45" s="4">
        <v>0</v>
      </c>
      <c r="F45" s="4">
        <v>0</v>
      </c>
      <c r="G45" s="4">
        <v>0</v>
      </c>
      <c r="H45" s="4">
        <f t="shared" si="0"/>
        <v>0</v>
      </c>
      <c r="I45" s="4">
        <v>0</v>
      </c>
      <c r="J45" s="4">
        <v>0</v>
      </c>
      <c r="K45" s="4">
        <v>0</v>
      </c>
      <c r="L45" s="4">
        <f t="shared" si="1"/>
        <v>0</v>
      </c>
      <c r="M45" s="10" t="str">
        <f t="shared" si="3"/>
        <v/>
      </c>
      <c r="N45" s="10" t="str">
        <f t="shared" si="4"/>
        <v/>
      </c>
    </row>
    <row r="46" spans="1:14" ht="15.75" customHeight="1">
      <c r="A46" s="4">
        <v>20305</v>
      </c>
      <c r="B46" s="4" t="s">
        <v>296</v>
      </c>
      <c r="C46" s="27" t="str">
        <f>IF(Table_1[[#This Row],[Forest cover 2011]]&lt;1000,"Bosque menor a 1000 ha",Table_1[[#This Row],[Forest cover 2011]])</f>
        <v>Bosque menor a 1000 ha</v>
      </c>
      <c r="D46" s="4">
        <v>0</v>
      </c>
      <c r="E46" s="4">
        <v>0</v>
      </c>
      <c r="F46" s="4">
        <v>0</v>
      </c>
      <c r="G46" s="4">
        <v>0</v>
      </c>
      <c r="H46" s="4">
        <f t="shared" si="0"/>
        <v>0</v>
      </c>
      <c r="I46" s="4">
        <v>0</v>
      </c>
      <c r="J46" s="4">
        <v>0</v>
      </c>
      <c r="K46" s="4">
        <v>0</v>
      </c>
      <c r="L46" s="4">
        <f t="shared" si="1"/>
        <v>0</v>
      </c>
      <c r="M46" s="10" t="str">
        <f t="shared" si="3"/>
        <v/>
      </c>
      <c r="N46" s="10" t="str">
        <f t="shared" si="4"/>
        <v/>
      </c>
    </row>
    <row r="47" spans="1:14" ht="15.75" customHeight="1">
      <c r="A47" s="4">
        <v>20306</v>
      </c>
      <c r="B47" s="4" t="s">
        <v>297</v>
      </c>
      <c r="C47" s="28" t="str">
        <f>IF(Table_1[[#This Row],[Forest cover 2011]]&lt;1000,"Bosque menor a 1000 ha",Table_1[[#This Row],[Forest cover 2011]])</f>
        <v>Bosque menor a 1000 ha</v>
      </c>
      <c r="D47" s="4">
        <v>0</v>
      </c>
      <c r="E47" s="4">
        <v>0</v>
      </c>
      <c r="F47" s="4">
        <v>0</v>
      </c>
      <c r="G47" s="4">
        <v>0</v>
      </c>
      <c r="H47" s="4">
        <f t="shared" si="0"/>
        <v>0</v>
      </c>
      <c r="I47" s="4">
        <v>0</v>
      </c>
      <c r="J47" s="4">
        <v>0</v>
      </c>
      <c r="K47" s="4">
        <v>0</v>
      </c>
      <c r="L47" s="4">
        <f t="shared" si="1"/>
        <v>0</v>
      </c>
      <c r="M47" s="10" t="str">
        <f t="shared" si="3"/>
        <v/>
      </c>
      <c r="N47" s="10" t="str">
        <f t="shared" si="4"/>
        <v/>
      </c>
    </row>
    <row r="48" spans="1:14" ht="15.75" customHeight="1">
      <c r="A48" s="4">
        <v>20307</v>
      </c>
      <c r="B48" s="4" t="s">
        <v>298</v>
      </c>
      <c r="C48" s="27" t="str">
        <f>IF(Table_1[[#This Row],[Forest cover 2011]]&lt;1000,"Bosque menor a 1000 ha",Table_1[[#This Row],[Forest cover 2011]])</f>
        <v>Bosque menor a 1000 ha</v>
      </c>
      <c r="D48" s="4">
        <v>0</v>
      </c>
      <c r="E48" s="4">
        <v>0</v>
      </c>
      <c r="F48" s="4">
        <v>0</v>
      </c>
      <c r="G48" s="4">
        <v>0</v>
      </c>
      <c r="H48" s="4">
        <f t="shared" si="0"/>
        <v>0</v>
      </c>
      <c r="I48" s="4">
        <v>0</v>
      </c>
      <c r="J48" s="4">
        <v>0</v>
      </c>
      <c r="K48" s="4">
        <v>0</v>
      </c>
      <c r="L48" s="4">
        <f t="shared" si="1"/>
        <v>0</v>
      </c>
      <c r="M48" s="10" t="str">
        <f t="shared" si="3"/>
        <v/>
      </c>
      <c r="N48" s="10" t="str">
        <f t="shared" si="4"/>
        <v/>
      </c>
    </row>
    <row r="49" spans="1:14" ht="15.75" customHeight="1">
      <c r="A49" s="4">
        <v>20308</v>
      </c>
      <c r="B49" s="4" t="s">
        <v>299</v>
      </c>
      <c r="C49" s="28" t="str">
        <f>IF(Table_1[[#This Row],[Forest cover 2011]]&lt;1000,"Bosque menor a 1000 ha",Table_1[[#This Row],[Forest cover 2011]])</f>
        <v>Bosque menor a 1000 ha</v>
      </c>
      <c r="D49" s="4">
        <v>0</v>
      </c>
      <c r="E49" s="4">
        <v>0</v>
      </c>
      <c r="F49" s="4">
        <v>0</v>
      </c>
      <c r="G49" s="4">
        <v>0</v>
      </c>
      <c r="H49" s="4">
        <f t="shared" si="0"/>
        <v>0</v>
      </c>
      <c r="I49" s="4">
        <v>0</v>
      </c>
      <c r="J49" s="4">
        <v>0</v>
      </c>
      <c r="K49" s="4">
        <v>0</v>
      </c>
      <c r="L49" s="4">
        <f t="shared" si="1"/>
        <v>0</v>
      </c>
      <c r="M49" s="10" t="str">
        <f t="shared" si="3"/>
        <v/>
      </c>
      <c r="N49" s="10" t="str">
        <f t="shared" si="4"/>
        <v/>
      </c>
    </row>
    <row r="50" spans="1:14" ht="15.75" customHeight="1">
      <c r="A50" s="4">
        <v>20401</v>
      </c>
      <c r="B50" s="4" t="s">
        <v>300</v>
      </c>
      <c r="C50" s="27" t="str">
        <f>IF(Table_1[[#This Row],[Forest cover 2011]]&lt;1000,"Bosque menor a 1000 ha",Table_1[[#This Row],[Forest cover 2011]])</f>
        <v>Bosque menor a 1000 ha</v>
      </c>
      <c r="D50" s="4">
        <v>0</v>
      </c>
      <c r="E50" s="4">
        <v>0</v>
      </c>
      <c r="F50" s="4">
        <v>0</v>
      </c>
      <c r="G50" s="4">
        <v>0</v>
      </c>
      <c r="H50" s="4">
        <f t="shared" si="0"/>
        <v>0</v>
      </c>
      <c r="I50" s="4">
        <v>0</v>
      </c>
      <c r="J50" s="4">
        <v>0</v>
      </c>
      <c r="K50" s="4">
        <v>0</v>
      </c>
      <c r="L50" s="4">
        <f t="shared" si="1"/>
        <v>0</v>
      </c>
      <c r="M50" s="10" t="str">
        <f t="shared" si="3"/>
        <v/>
      </c>
      <c r="N50" s="10" t="str">
        <f t="shared" si="4"/>
        <v/>
      </c>
    </row>
    <row r="51" spans="1:14" ht="15.75" customHeight="1">
      <c r="A51" s="4">
        <v>20402</v>
      </c>
      <c r="B51" s="4" t="s">
        <v>160</v>
      </c>
      <c r="C51" s="28">
        <f>IF(Table_1[[#This Row],[Forest cover 2011]]&lt;1000,"Bosque menor a 1000 ha",Table_1[[#This Row],[Forest cover 2011]])</f>
        <v>3005.1</v>
      </c>
      <c r="D51" s="4">
        <v>3005.1</v>
      </c>
      <c r="E51" s="4">
        <v>22.95</v>
      </c>
      <c r="F51" s="4">
        <v>20.7</v>
      </c>
      <c r="G51" s="4">
        <v>56.16</v>
      </c>
      <c r="H51" s="4">
        <f t="shared" si="0"/>
        <v>33.270000000000003</v>
      </c>
      <c r="I51" s="4">
        <v>0.72</v>
      </c>
      <c r="J51" s="4">
        <v>15.84</v>
      </c>
      <c r="K51" s="4">
        <v>44.099999999999987</v>
      </c>
      <c r="L51" s="4">
        <f t="shared" si="1"/>
        <v>20.219999999999995</v>
      </c>
      <c r="M51" s="10">
        <f t="shared" si="3"/>
        <v>1.1071178995707298</v>
      </c>
      <c r="N51" s="10">
        <f t="shared" si="4"/>
        <v>0.67285614455425757</v>
      </c>
    </row>
    <row r="52" spans="1:14" ht="15.75" customHeight="1">
      <c r="A52" s="4">
        <v>20403</v>
      </c>
      <c r="B52" s="4" t="s">
        <v>90</v>
      </c>
      <c r="C52" s="27" t="str">
        <f>IF(Table_1[[#This Row],[Forest cover 2011]]&lt;1000,"Bosque menor a 1000 ha",Table_1[[#This Row],[Forest cover 2011]])</f>
        <v>Bosque menor a 1000 ha</v>
      </c>
      <c r="D52" s="4">
        <v>0</v>
      </c>
      <c r="E52" s="4">
        <v>0</v>
      </c>
      <c r="F52" s="4">
        <v>0</v>
      </c>
      <c r="G52" s="4">
        <v>0</v>
      </c>
      <c r="H52" s="4">
        <f t="shared" si="0"/>
        <v>0</v>
      </c>
      <c r="I52" s="4">
        <v>0</v>
      </c>
      <c r="J52" s="4">
        <v>0</v>
      </c>
      <c r="K52" s="4">
        <v>0</v>
      </c>
      <c r="L52" s="4">
        <f t="shared" si="1"/>
        <v>0</v>
      </c>
      <c r="M52" s="10" t="str">
        <f t="shared" si="3"/>
        <v/>
      </c>
      <c r="N52" s="10" t="str">
        <f t="shared" si="4"/>
        <v/>
      </c>
    </row>
    <row r="53" spans="1:14" ht="15.75" customHeight="1">
      <c r="A53" s="4">
        <v>20404</v>
      </c>
      <c r="B53" s="4" t="s">
        <v>301</v>
      </c>
      <c r="C53" s="28" t="str">
        <f>IF(Table_1[[#This Row],[Forest cover 2011]]&lt;1000,"Bosque menor a 1000 ha",Table_1[[#This Row],[Forest cover 2011]])</f>
        <v>Bosque menor a 1000 ha</v>
      </c>
      <c r="D53" s="4">
        <v>0</v>
      </c>
      <c r="E53" s="4">
        <v>0</v>
      </c>
      <c r="F53" s="4">
        <v>0</v>
      </c>
      <c r="G53" s="4">
        <v>0</v>
      </c>
      <c r="H53" s="4">
        <f t="shared" si="0"/>
        <v>0</v>
      </c>
      <c r="I53" s="4">
        <v>0</v>
      </c>
      <c r="J53" s="4">
        <v>0</v>
      </c>
      <c r="K53" s="4">
        <v>0</v>
      </c>
      <c r="L53" s="4">
        <f t="shared" si="1"/>
        <v>0</v>
      </c>
      <c r="M53" s="10" t="str">
        <f t="shared" si="3"/>
        <v/>
      </c>
      <c r="N53" s="10" t="str">
        <f t="shared" si="4"/>
        <v/>
      </c>
    </row>
    <row r="54" spans="1:14" ht="15.75" customHeight="1">
      <c r="A54" s="4">
        <v>20405</v>
      </c>
      <c r="B54" s="4" t="s">
        <v>302</v>
      </c>
      <c r="C54" s="27" t="str">
        <f>IF(Table_1[[#This Row],[Forest cover 2011]]&lt;1000,"Bosque menor a 1000 ha",Table_1[[#This Row],[Forest cover 2011]])</f>
        <v>Bosque menor a 1000 ha</v>
      </c>
      <c r="D54" s="4">
        <v>0</v>
      </c>
      <c r="E54" s="4">
        <v>0</v>
      </c>
      <c r="F54" s="4">
        <v>0</v>
      </c>
      <c r="G54" s="4">
        <v>0</v>
      </c>
      <c r="H54" s="4">
        <f t="shared" si="0"/>
        <v>0</v>
      </c>
      <c r="I54" s="4">
        <v>0</v>
      </c>
      <c r="J54" s="4">
        <v>0</v>
      </c>
      <c r="K54" s="4">
        <v>0</v>
      </c>
      <c r="L54" s="4">
        <f t="shared" si="1"/>
        <v>0</v>
      </c>
      <c r="M54" s="10" t="str">
        <f t="shared" si="3"/>
        <v/>
      </c>
      <c r="N54" s="10" t="str">
        <f t="shared" si="4"/>
        <v/>
      </c>
    </row>
    <row r="55" spans="1:14" ht="15.75" customHeight="1">
      <c r="A55" s="4">
        <v>20501</v>
      </c>
      <c r="B55" s="4" t="s">
        <v>124</v>
      </c>
      <c r="C55" s="28">
        <f>IF(Table_1[[#This Row],[Forest cover 2011]]&lt;1000,"Bosque menor a 1000 ha",Table_1[[#This Row],[Forest cover 2011]])</f>
        <v>5788.62</v>
      </c>
      <c r="D55" s="4">
        <v>5788.62</v>
      </c>
      <c r="E55" s="4">
        <v>23.49</v>
      </c>
      <c r="F55" s="4">
        <v>25.38</v>
      </c>
      <c r="G55" s="4">
        <v>49.5</v>
      </c>
      <c r="H55" s="4">
        <f t="shared" si="0"/>
        <v>32.79</v>
      </c>
      <c r="I55" s="4">
        <v>6.75</v>
      </c>
      <c r="J55" s="4">
        <v>35.46</v>
      </c>
      <c r="K55" s="4">
        <v>156.78</v>
      </c>
      <c r="L55" s="4">
        <f t="shared" si="1"/>
        <v>66.33</v>
      </c>
      <c r="M55" s="10">
        <f t="shared" si="3"/>
        <v>0.56645625382215448</v>
      </c>
      <c r="N55" s="10">
        <f t="shared" si="4"/>
        <v>1.1458689635871762</v>
      </c>
    </row>
    <row r="56" spans="1:14" ht="15.75" customHeight="1">
      <c r="A56" s="4">
        <v>20502</v>
      </c>
      <c r="B56" s="4" t="s">
        <v>157</v>
      </c>
      <c r="C56" s="27">
        <f>IF(Table_1[[#This Row],[Forest cover 2011]]&lt;1000,"Bosque menor a 1000 ha",Table_1[[#This Row],[Forest cover 2011]])</f>
        <v>34456.230000000003</v>
      </c>
      <c r="D56" s="4">
        <v>34456.230000000003</v>
      </c>
      <c r="E56" s="4">
        <v>107.19</v>
      </c>
      <c r="F56" s="4">
        <v>74.97</v>
      </c>
      <c r="G56" s="4">
        <v>132.30000000000001</v>
      </c>
      <c r="H56" s="4">
        <f t="shared" si="0"/>
        <v>104.82000000000001</v>
      </c>
      <c r="I56" s="4">
        <v>24.3</v>
      </c>
      <c r="J56" s="4">
        <v>160.65</v>
      </c>
      <c r="K56" s="4">
        <v>542.70000000000005</v>
      </c>
      <c r="L56" s="4">
        <f t="shared" si="1"/>
        <v>242.55000000000004</v>
      </c>
      <c r="M56" s="10">
        <f t="shared" si="3"/>
        <v>0.30421203944830877</v>
      </c>
      <c r="N56" s="10">
        <f t="shared" si="4"/>
        <v>0.70393655951333045</v>
      </c>
    </row>
    <row r="57" spans="1:14" ht="15.75" customHeight="1">
      <c r="A57" s="4">
        <v>20503</v>
      </c>
      <c r="B57" s="4" t="s">
        <v>114</v>
      </c>
      <c r="C57" s="28">
        <f>IF(Table_1[[#This Row],[Forest cover 2011]]&lt;1000,"Bosque menor a 1000 ha",Table_1[[#This Row],[Forest cover 2011]])</f>
        <v>5304.06</v>
      </c>
      <c r="D57" s="4">
        <v>5304.06</v>
      </c>
      <c r="E57" s="4">
        <v>83.07</v>
      </c>
      <c r="F57" s="4">
        <v>34.200000000000003</v>
      </c>
      <c r="G57" s="4">
        <v>46.349999999999987</v>
      </c>
      <c r="H57" s="4">
        <f t="shared" si="0"/>
        <v>54.539999999999992</v>
      </c>
      <c r="I57" s="4">
        <v>2.4300000000000002</v>
      </c>
      <c r="J57" s="4">
        <v>15.03</v>
      </c>
      <c r="K57" s="4">
        <v>181.8</v>
      </c>
      <c r="L57" s="4">
        <f t="shared" si="1"/>
        <v>66.42</v>
      </c>
      <c r="M57" s="10">
        <f t="shared" si="3"/>
        <v>1.0282689109851697</v>
      </c>
      <c r="N57" s="10">
        <f t="shared" si="4"/>
        <v>1.2522482777344146</v>
      </c>
    </row>
    <row r="58" spans="1:14" ht="15.75" customHeight="1">
      <c r="A58" s="4">
        <v>20601</v>
      </c>
      <c r="B58" s="4" t="s">
        <v>153</v>
      </c>
      <c r="C58" s="27">
        <f>IF(Table_1[[#This Row],[Forest cover 2011]]&lt;1000,"Bosque menor a 1000 ha",Table_1[[#This Row],[Forest cover 2011]])</f>
        <v>57828.959999999999</v>
      </c>
      <c r="D58" s="4">
        <v>57828.959999999999</v>
      </c>
      <c r="E58" s="4">
        <v>330.66</v>
      </c>
      <c r="F58" s="4">
        <v>131.22</v>
      </c>
      <c r="G58" s="4">
        <v>189.18</v>
      </c>
      <c r="H58" s="4">
        <f t="shared" si="0"/>
        <v>217.01999999999998</v>
      </c>
      <c r="I58" s="4">
        <v>32.76</v>
      </c>
      <c r="J58" s="4">
        <v>239.85</v>
      </c>
      <c r="K58" s="4">
        <v>947.06999999999994</v>
      </c>
      <c r="L58" s="4">
        <f t="shared" si="1"/>
        <v>406.55999999999995</v>
      </c>
      <c r="M58" s="10">
        <f t="shared" si="3"/>
        <v>0.3752790989151456</v>
      </c>
      <c r="N58" s="10">
        <f t="shared" si="4"/>
        <v>0.70303875428505014</v>
      </c>
    </row>
    <row r="59" spans="1:14" ht="15.75" customHeight="1">
      <c r="A59" s="4">
        <v>20602</v>
      </c>
      <c r="B59" s="4" t="s">
        <v>183</v>
      </c>
      <c r="C59" s="28">
        <f>IF(Table_1[[#This Row],[Forest cover 2011]]&lt;1000,"Bosque menor a 1000 ha",Table_1[[#This Row],[Forest cover 2011]])</f>
        <v>267264.18</v>
      </c>
      <c r="D59" s="4">
        <v>267264.18</v>
      </c>
      <c r="E59" s="4">
        <v>402.93</v>
      </c>
      <c r="F59" s="4">
        <v>574.20000000000005</v>
      </c>
      <c r="G59" s="4">
        <v>795.06</v>
      </c>
      <c r="H59" s="4">
        <f t="shared" si="0"/>
        <v>590.73</v>
      </c>
      <c r="I59" s="4">
        <v>255.69</v>
      </c>
      <c r="J59" s="4">
        <v>4809.0600000000004</v>
      </c>
      <c r="K59" s="4">
        <v>2025.63</v>
      </c>
      <c r="L59" s="4">
        <f t="shared" si="1"/>
        <v>2363.46</v>
      </c>
      <c r="M59" s="10">
        <f t="shared" si="3"/>
        <v>0.22102849697254603</v>
      </c>
      <c r="N59" s="10">
        <f t="shared" si="4"/>
        <v>0.88431603516790025</v>
      </c>
    </row>
    <row r="60" spans="1:14" ht="15.75" customHeight="1">
      <c r="A60" s="4">
        <v>20603</v>
      </c>
      <c r="B60" s="4" t="s">
        <v>163</v>
      </c>
      <c r="C60" s="27">
        <f>IF(Table_1[[#This Row],[Forest cover 2011]]&lt;1000,"Bosque menor a 1000 ha",Table_1[[#This Row],[Forest cover 2011]])</f>
        <v>53398.080000000002</v>
      </c>
      <c r="D60" s="4">
        <v>53398.080000000002</v>
      </c>
      <c r="E60" s="4">
        <v>206.55</v>
      </c>
      <c r="F60" s="4">
        <v>108.54</v>
      </c>
      <c r="G60" s="4">
        <v>147.06</v>
      </c>
      <c r="H60" s="4">
        <f t="shared" si="0"/>
        <v>154.05000000000001</v>
      </c>
      <c r="I60" s="4">
        <v>33.299999999999997</v>
      </c>
      <c r="J60" s="4">
        <v>456.39</v>
      </c>
      <c r="K60" s="4">
        <v>736.74</v>
      </c>
      <c r="L60" s="4">
        <f t="shared" si="1"/>
        <v>408.81</v>
      </c>
      <c r="M60" s="10">
        <f t="shared" si="3"/>
        <v>0.28849351886809416</v>
      </c>
      <c r="N60" s="10">
        <f t="shared" si="4"/>
        <v>0.76558932455998407</v>
      </c>
    </row>
    <row r="61" spans="1:14" ht="15.75" customHeight="1">
      <c r="A61" s="4">
        <v>20604</v>
      </c>
      <c r="B61" s="4" t="s">
        <v>94</v>
      </c>
      <c r="C61" s="28" t="str">
        <f>IF(Table_1[[#This Row],[Forest cover 2011]]&lt;1000,"Bosque menor a 1000 ha",Table_1[[#This Row],[Forest cover 2011]])</f>
        <v>Bosque menor a 1000 ha</v>
      </c>
      <c r="D61" s="4">
        <v>958.5</v>
      </c>
      <c r="E61" s="4">
        <v>10.71</v>
      </c>
      <c r="F61" s="4">
        <v>5.85</v>
      </c>
      <c r="G61" s="4">
        <v>12.69</v>
      </c>
      <c r="H61" s="4">
        <f t="shared" si="0"/>
        <v>9.75</v>
      </c>
      <c r="I61" s="4">
        <v>0.27</v>
      </c>
      <c r="J61" s="4">
        <v>5.4</v>
      </c>
      <c r="K61" s="4">
        <v>59.94</v>
      </c>
      <c r="L61" s="4">
        <f t="shared" si="1"/>
        <v>21.87</v>
      </c>
      <c r="M61" s="10" t="str">
        <f t="shared" si="3"/>
        <v/>
      </c>
      <c r="N61" s="10" t="str">
        <f t="shared" si="4"/>
        <v/>
      </c>
    </row>
    <row r="62" spans="1:14" ht="15.75" customHeight="1">
      <c r="A62" s="4">
        <v>20605</v>
      </c>
      <c r="B62" s="4" t="s">
        <v>213</v>
      </c>
      <c r="C62" s="27" t="str">
        <f>IF(Table_1[[#This Row],[Forest cover 2011]]&lt;1000,"Bosque menor a 1000 ha",Table_1[[#This Row],[Forest cover 2011]])</f>
        <v>Bosque menor a 1000 ha</v>
      </c>
      <c r="D62" s="4">
        <v>367.56</v>
      </c>
      <c r="E62" s="4">
        <v>3.51</v>
      </c>
      <c r="F62" s="4">
        <v>2.79</v>
      </c>
      <c r="G62" s="4">
        <v>6.48</v>
      </c>
      <c r="H62" s="4">
        <f t="shared" si="0"/>
        <v>4.2600000000000007</v>
      </c>
      <c r="I62" s="4">
        <v>0</v>
      </c>
      <c r="J62" s="4">
        <v>0.18</v>
      </c>
      <c r="K62" s="4">
        <v>1.62</v>
      </c>
      <c r="L62" s="4">
        <f t="shared" si="1"/>
        <v>0.6</v>
      </c>
      <c r="M62" s="10" t="str">
        <f t="shared" si="3"/>
        <v/>
      </c>
      <c r="N62" s="10" t="str">
        <f t="shared" si="4"/>
        <v/>
      </c>
    </row>
    <row r="63" spans="1:14" ht="15.75" customHeight="1">
      <c r="A63" s="4">
        <v>20606</v>
      </c>
      <c r="B63" s="4" t="s">
        <v>194</v>
      </c>
      <c r="C63" s="28">
        <f>IF(Table_1[[#This Row],[Forest cover 2011]]&lt;1000,"Bosque menor a 1000 ha",Table_1[[#This Row],[Forest cover 2011]])</f>
        <v>21546.36</v>
      </c>
      <c r="D63" s="4">
        <v>21546.36</v>
      </c>
      <c r="E63" s="4">
        <v>70.11</v>
      </c>
      <c r="F63" s="4">
        <v>100.35</v>
      </c>
      <c r="G63" s="4">
        <v>122.04</v>
      </c>
      <c r="H63" s="4">
        <f t="shared" si="0"/>
        <v>97.5</v>
      </c>
      <c r="I63" s="4">
        <v>26.01</v>
      </c>
      <c r="J63" s="4">
        <v>597.69000000000005</v>
      </c>
      <c r="K63" s="4">
        <v>136.08000000000001</v>
      </c>
      <c r="L63" s="4">
        <f t="shared" si="1"/>
        <v>253.26000000000002</v>
      </c>
      <c r="M63" s="10">
        <f t="shared" si="3"/>
        <v>0.45251262858320385</v>
      </c>
      <c r="N63" s="10">
        <f t="shared" si="4"/>
        <v>1.1754189570767406</v>
      </c>
    </row>
    <row r="64" spans="1:14" ht="15.75" customHeight="1">
      <c r="A64" s="4">
        <v>20607</v>
      </c>
      <c r="B64" s="4" t="s">
        <v>156</v>
      </c>
      <c r="C64" s="27">
        <f>IF(Table_1[[#This Row],[Forest cover 2011]]&lt;1000,"Bosque menor a 1000 ha",Table_1[[#This Row],[Forest cover 2011]])</f>
        <v>137183.94</v>
      </c>
      <c r="D64" s="4">
        <v>137183.94</v>
      </c>
      <c r="E64" s="4">
        <v>388.8</v>
      </c>
      <c r="F64" s="4">
        <v>410.58</v>
      </c>
      <c r="G64" s="4">
        <v>581.30999999999995</v>
      </c>
      <c r="H64" s="4">
        <f t="shared" si="0"/>
        <v>460.23</v>
      </c>
      <c r="I64" s="4">
        <v>150.47999999999999</v>
      </c>
      <c r="J64" s="4">
        <v>2974.68</v>
      </c>
      <c r="K64" s="4">
        <v>2165.04</v>
      </c>
      <c r="L64" s="4">
        <f t="shared" si="1"/>
        <v>1763.3999999999999</v>
      </c>
      <c r="M64" s="10">
        <f t="shared" si="3"/>
        <v>0.33548387661121265</v>
      </c>
      <c r="N64" s="10">
        <f t="shared" si="4"/>
        <v>1.2854274341442591</v>
      </c>
    </row>
    <row r="65" spans="1:14" ht="15.75" customHeight="1">
      <c r="A65" s="4">
        <v>20608</v>
      </c>
      <c r="B65" s="4" t="s">
        <v>165</v>
      </c>
      <c r="C65" s="28">
        <f>IF(Table_1[[#This Row],[Forest cover 2011]]&lt;1000,"Bosque menor a 1000 ha",Table_1[[#This Row],[Forest cover 2011]])</f>
        <v>122949.99</v>
      </c>
      <c r="D65" s="4">
        <v>122949.99</v>
      </c>
      <c r="E65" s="4">
        <v>733.5</v>
      </c>
      <c r="F65" s="4">
        <v>740.06999999999994</v>
      </c>
      <c r="G65" s="4">
        <v>1042.29</v>
      </c>
      <c r="H65" s="4">
        <f t="shared" si="0"/>
        <v>838.61999999999989</v>
      </c>
      <c r="I65" s="4">
        <v>813.78</v>
      </c>
      <c r="J65" s="4">
        <v>3823.29</v>
      </c>
      <c r="K65" s="4">
        <v>1659.06</v>
      </c>
      <c r="L65" s="4">
        <f t="shared" si="1"/>
        <v>2098.7099999999996</v>
      </c>
      <c r="M65" s="10">
        <f t="shared" si="3"/>
        <v>0.68208220269070363</v>
      </c>
      <c r="N65" s="10">
        <f t="shared" si="4"/>
        <v>1.7069623185817253</v>
      </c>
    </row>
    <row r="66" spans="1:14" ht="15.75" customHeight="1">
      <c r="A66" s="4">
        <v>20701</v>
      </c>
      <c r="B66" s="4" t="s">
        <v>219</v>
      </c>
      <c r="C66" s="27">
        <f>IF(Table_1[[#This Row],[Forest cover 2011]]&lt;1000,"Bosque menor a 1000 ha",Table_1[[#This Row],[Forest cover 2011]])</f>
        <v>1253903.31</v>
      </c>
      <c r="D66" s="4">
        <v>1253903.31</v>
      </c>
      <c r="E66" s="4">
        <v>2612.6999999999998</v>
      </c>
      <c r="F66" s="4">
        <v>2975.4</v>
      </c>
      <c r="G66" s="4">
        <v>5211.18</v>
      </c>
      <c r="H66" s="4">
        <f t="shared" si="0"/>
        <v>3599.76</v>
      </c>
      <c r="I66" s="4">
        <v>1316.7</v>
      </c>
      <c r="J66" s="4">
        <v>1349.28</v>
      </c>
      <c r="K66" s="4">
        <v>5048.7299999999996</v>
      </c>
      <c r="L66" s="4">
        <f t="shared" si="1"/>
        <v>2571.5699999999997</v>
      </c>
      <c r="M66" s="10">
        <f t="shared" si="3"/>
        <v>0.28708433667026528</v>
      </c>
      <c r="N66" s="10">
        <f t="shared" si="4"/>
        <v>0.20508519113806309</v>
      </c>
    </row>
    <row r="67" spans="1:14" ht="15.75" customHeight="1">
      <c r="A67" s="4">
        <v>20702</v>
      </c>
      <c r="B67" s="4" t="s">
        <v>252</v>
      </c>
      <c r="C67" s="28">
        <f>IF(Table_1[[#This Row],[Forest cover 2011]]&lt;1000,"Bosque menor a 1000 ha",Table_1[[#This Row],[Forest cover 2011]])</f>
        <v>56334.15</v>
      </c>
      <c r="D67" s="4">
        <v>56334.15</v>
      </c>
      <c r="E67" s="4">
        <v>331.65</v>
      </c>
      <c r="F67" s="4">
        <v>457.47</v>
      </c>
      <c r="G67" s="4">
        <v>302.67</v>
      </c>
      <c r="H67" s="4">
        <f t="shared" si="0"/>
        <v>363.93</v>
      </c>
      <c r="I67" s="4">
        <v>118.8</v>
      </c>
      <c r="J67" s="4">
        <v>79.56</v>
      </c>
      <c r="K67" s="4">
        <v>90.63000000000001</v>
      </c>
      <c r="L67" s="4">
        <f t="shared" si="1"/>
        <v>96.33</v>
      </c>
      <c r="M67" s="10">
        <f t="shared" ref="M67:M130" si="7">IF(D67&lt;1000,"",(H67/D67)*100)</f>
        <v>0.64602022041692297</v>
      </c>
      <c r="N67" s="10">
        <f t="shared" ref="N67:N130" si="8">IF(D67&lt;1000,"",(L67/D67)*100)</f>
        <v>0.1709975210418547</v>
      </c>
    </row>
    <row r="68" spans="1:14" ht="15.75" customHeight="1">
      <c r="A68" s="4">
        <v>20801</v>
      </c>
      <c r="B68" s="4" t="s">
        <v>303</v>
      </c>
      <c r="C68" s="27" t="str">
        <f>IF(Table_1[[#This Row],[Forest cover 2011]]&lt;1000,"Bosque menor a 1000 ha",Table_1[[#This Row],[Forest cover 2011]])</f>
        <v>Bosque menor a 1000 ha</v>
      </c>
      <c r="D68" s="4">
        <v>0</v>
      </c>
      <c r="E68" s="4">
        <v>0</v>
      </c>
      <c r="F68" s="4">
        <v>0</v>
      </c>
      <c r="G68" s="4">
        <v>0</v>
      </c>
      <c r="H68" s="4">
        <f t="shared" si="0"/>
        <v>0</v>
      </c>
      <c r="I68" s="4">
        <v>0</v>
      </c>
      <c r="J68" s="4">
        <v>0</v>
      </c>
      <c r="K68" s="4">
        <v>0</v>
      </c>
      <c r="L68" s="4">
        <f t="shared" si="1"/>
        <v>0</v>
      </c>
      <c r="M68" s="10" t="str">
        <f t="shared" si="7"/>
        <v/>
      </c>
      <c r="N68" s="10" t="str">
        <f t="shared" si="8"/>
        <v/>
      </c>
    </row>
    <row r="69" spans="1:14" ht="15.75" customHeight="1">
      <c r="A69" s="4">
        <v>20802</v>
      </c>
      <c r="B69" s="4" t="s">
        <v>304</v>
      </c>
      <c r="C69" s="28" t="str">
        <f>IF(Table_1[[#This Row],[Forest cover 2011]]&lt;1000,"Bosque menor a 1000 ha",Table_1[[#This Row],[Forest cover 2011]])</f>
        <v>Bosque menor a 1000 ha</v>
      </c>
      <c r="D69" s="4">
        <v>0</v>
      </c>
      <c r="E69" s="4">
        <v>0</v>
      </c>
      <c r="F69" s="4">
        <v>0</v>
      </c>
      <c r="G69" s="4">
        <v>0</v>
      </c>
      <c r="H69" s="4">
        <f t="shared" si="0"/>
        <v>0</v>
      </c>
      <c r="I69" s="4">
        <v>0</v>
      </c>
      <c r="J69" s="4">
        <v>0</v>
      </c>
      <c r="K69" s="4">
        <v>0</v>
      </c>
      <c r="L69" s="4">
        <f t="shared" si="1"/>
        <v>0</v>
      </c>
      <c r="M69" s="10" t="str">
        <f t="shared" si="7"/>
        <v/>
      </c>
      <c r="N69" s="10" t="str">
        <f t="shared" si="8"/>
        <v/>
      </c>
    </row>
    <row r="70" spans="1:14" ht="15.75" customHeight="1">
      <c r="A70" s="4">
        <v>20803</v>
      </c>
      <c r="B70" s="4" t="s">
        <v>305</v>
      </c>
      <c r="C70" s="27" t="str">
        <f>IF(Table_1[[#This Row],[Forest cover 2011]]&lt;1000,"Bosque menor a 1000 ha",Table_1[[#This Row],[Forest cover 2011]])</f>
        <v>Bosque menor a 1000 ha</v>
      </c>
      <c r="D70" s="4">
        <v>0</v>
      </c>
      <c r="E70" s="4">
        <v>0</v>
      </c>
      <c r="F70" s="4">
        <v>0</v>
      </c>
      <c r="G70" s="4">
        <v>0</v>
      </c>
      <c r="H70" s="4">
        <f t="shared" si="0"/>
        <v>0</v>
      </c>
      <c r="I70" s="4">
        <v>0</v>
      </c>
      <c r="J70" s="4">
        <v>0</v>
      </c>
      <c r="K70" s="4">
        <v>0</v>
      </c>
      <c r="L70" s="4">
        <f t="shared" si="1"/>
        <v>0</v>
      </c>
      <c r="M70" s="10" t="str">
        <f t="shared" si="7"/>
        <v/>
      </c>
      <c r="N70" s="10" t="str">
        <f t="shared" si="8"/>
        <v/>
      </c>
    </row>
    <row r="71" spans="1:14" ht="15.75" customHeight="1">
      <c r="A71" s="4">
        <v>20804</v>
      </c>
      <c r="B71" s="4" t="s">
        <v>306</v>
      </c>
      <c r="C71" s="28" t="str">
        <f>IF(Table_1[[#This Row],[Forest cover 2011]]&lt;1000,"Bosque menor a 1000 ha",Table_1[[#This Row],[Forest cover 2011]])</f>
        <v>Bosque menor a 1000 ha</v>
      </c>
      <c r="D71" s="4">
        <v>0</v>
      </c>
      <c r="E71" s="4">
        <v>0</v>
      </c>
      <c r="F71" s="4">
        <v>0</v>
      </c>
      <c r="G71" s="4">
        <v>0</v>
      </c>
      <c r="H71" s="4">
        <f t="shared" si="0"/>
        <v>0</v>
      </c>
      <c r="I71" s="4">
        <v>0</v>
      </c>
      <c r="J71" s="4">
        <v>0</v>
      </c>
      <c r="K71" s="4">
        <v>0</v>
      </c>
      <c r="L71" s="4">
        <f t="shared" si="1"/>
        <v>0</v>
      </c>
      <c r="M71" s="10" t="str">
        <f t="shared" si="7"/>
        <v/>
      </c>
      <c r="N71" s="10" t="str">
        <f t="shared" si="8"/>
        <v/>
      </c>
    </row>
    <row r="72" spans="1:14" ht="15.75" customHeight="1">
      <c r="A72" s="4">
        <v>20805</v>
      </c>
      <c r="B72" s="4" t="s">
        <v>307</v>
      </c>
      <c r="C72" s="27" t="str">
        <f>IF(Table_1[[#This Row],[Forest cover 2011]]&lt;1000,"Bosque menor a 1000 ha",Table_1[[#This Row],[Forest cover 2011]])</f>
        <v>Bosque menor a 1000 ha</v>
      </c>
      <c r="D72" s="4">
        <v>0</v>
      </c>
      <c r="E72" s="4">
        <v>0</v>
      </c>
      <c r="F72" s="4">
        <v>0</v>
      </c>
      <c r="G72" s="4">
        <v>0</v>
      </c>
      <c r="H72" s="4">
        <f t="shared" si="0"/>
        <v>0</v>
      </c>
      <c r="I72" s="4">
        <v>0</v>
      </c>
      <c r="J72" s="4">
        <v>0</v>
      </c>
      <c r="K72" s="4">
        <v>0</v>
      </c>
      <c r="L72" s="4">
        <f t="shared" si="1"/>
        <v>0</v>
      </c>
      <c r="M72" s="10" t="str">
        <f t="shared" si="7"/>
        <v/>
      </c>
      <c r="N72" s="10" t="str">
        <f t="shared" si="8"/>
        <v/>
      </c>
    </row>
    <row r="73" spans="1:14" ht="15.75" customHeight="1">
      <c r="A73" s="4">
        <v>20806</v>
      </c>
      <c r="B73" s="4" t="s">
        <v>308</v>
      </c>
      <c r="C73" s="28" t="str">
        <f>IF(Table_1[[#This Row],[Forest cover 2011]]&lt;1000,"Bosque menor a 1000 ha",Table_1[[#This Row],[Forest cover 2011]])</f>
        <v>Bosque menor a 1000 ha</v>
      </c>
      <c r="D73" s="4">
        <v>0</v>
      </c>
      <c r="E73" s="4">
        <v>0</v>
      </c>
      <c r="F73" s="4">
        <v>0</v>
      </c>
      <c r="G73" s="4">
        <v>0</v>
      </c>
      <c r="H73" s="4">
        <f t="shared" si="0"/>
        <v>0</v>
      </c>
      <c r="I73" s="4">
        <v>0</v>
      </c>
      <c r="J73" s="4">
        <v>0</v>
      </c>
      <c r="K73" s="4">
        <v>0</v>
      </c>
      <c r="L73" s="4">
        <f t="shared" si="1"/>
        <v>0</v>
      </c>
      <c r="M73" s="10" t="str">
        <f t="shared" si="7"/>
        <v/>
      </c>
      <c r="N73" s="10" t="str">
        <f t="shared" si="8"/>
        <v/>
      </c>
    </row>
    <row r="74" spans="1:14" ht="15.75" customHeight="1">
      <c r="A74" s="4">
        <v>20807</v>
      </c>
      <c r="B74" s="4" t="s">
        <v>309</v>
      </c>
      <c r="C74" s="27" t="str">
        <f>IF(Table_1[[#This Row],[Forest cover 2011]]&lt;1000,"Bosque menor a 1000 ha",Table_1[[#This Row],[Forest cover 2011]])</f>
        <v>Bosque menor a 1000 ha</v>
      </c>
      <c r="D74" s="4">
        <v>0</v>
      </c>
      <c r="E74" s="4">
        <v>0</v>
      </c>
      <c r="F74" s="4">
        <v>0</v>
      </c>
      <c r="G74" s="4">
        <v>0</v>
      </c>
      <c r="H74" s="4">
        <f t="shared" si="0"/>
        <v>0</v>
      </c>
      <c r="I74" s="4">
        <v>0</v>
      </c>
      <c r="J74" s="4">
        <v>0</v>
      </c>
      <c r="K74" s="4">
        <v>0</v>
      </c>
      <c r="L74" s="4">
        <f t="shared" si="1"/>
        <v>0</v>
      </c>
      <c r="M74" s="10" t="str">
        <f t="shared" si="7"/>
        <v/>
      </c>
      <c r="N74" s="10" t="str">
        <f t="shared" si="8"/>
        <v/>
      </c>
    </row>
    <row r="75" spans="1:14" ht="15.75" customHeight="1">
      <c r="A75" s="4">
        <v>20901</v>
      </c>
      <c r="B75" s="4" t="s">
        <v>137</v>
      </c>
      <c r="C75" s="28" t="str">
        <f>IF(Table_1[[#This Row],[Forest cover 2011]]&lt;1000,"Bosque menor a 1000 ha",Table_1[[#This Row],[Forest cover 2011]])</f>
        <v>Bosque menor a 1000 ha</v>
      </c>
      <c r="D75" s="4">
        <v>468.09</v>
      </c>
      <c r="E75" s="4">
        <v>0.54</v>
      </c>
      <c r="F75" s="4">
        <v>0.81</v>
      </c>
      <c r="G75" s="4">
        <v>8.4600000000000009</v>
      </c>
      <c r="H75" s="4">
        <f t="shared" si="0"/>
        <v>3.27</v>
      </c>
      <c r="I75" s="4">
        <v>2.88</v>
      </c>
      <c r="J75" s="4">
        <v>17.37</v>
      </c>
      <c r="K75" s="4">
        <v>9.7199999999999989</v>
      </c>
      <c r="L75" s="4">
        <f t="shared" si="1"/>
        <v>9.99</v>
      </c>
      <c r="M75" s="10" t="str">
        <f t="shared" si="7"/>
        <v/>
      </c>
      <c r="N75" s="10" t="str">
        <f t="shared" si="8"/>
        <v/>
      </c>
    </row>
    <row r="76" spans="1:14" ht="15.75" customHeight="1">
      <c r="A76" s="4">
        <v>20902</v>
      </c>
      <c r="B76" s="4" t="s">
        <v>147</v>
      </c>
      <c r="C76" s="27" t="str">
        <f>IF(Table_1[[#This Row],[Forest cover 2011]]&lt;1000,"Bosque menor a 1000 ha",Table_1[[#This Row],[Forest cover 2011]])</f>
        <v>Bosque menor a 1000 ha</v>
      </c>
      <c r="D76" s="4">
        <v>841.86</v>
      </c>
      <c r="E76" s="4">
        <v>3.87</v>
      </c>
      <c r="F76" s="4">
        <v>3.06</v>
      </c>
      <c r="G76" s="4">
        <v>17.91</v>
      </c>
      <c r="H76" s="4">
        <f t="shared" si="0"/>
        <v>8.2799999999999994</v>
      </c>
      <c r="I76" s="4">
        <v>9.99</v>
      </c>
      <c r="J76" s="4">
        <v>73.08</v>
      </c>
      <c r="K76" s="4">
        <v>15.03</v>
      </c>
      <c r="L76" s="4">
        <f t="shared" si="1"/>
        <v>32.699999999999996</v>
      </c>
      <c r="M76" s="10" t="str">
        <f t="shared" si="7"/>
        <v/>
      </c>
      <c r="N76" s="10" t="str">
        <f t="shared" si="8"/>
        <v/>
      </c>
    </row>
    <row r="77" spans="1:14" ht="15.75" customHeight="1">
      <c r="A77" s="4">
        <v>20903</v>
      </c>
      <c r="B77" s="4" t="s">
        <v>380</v>
      </c>
      <c r="C77" s="28" t="str">
        <f>IF(Table_1[[#This Row],[Forest cover 2011]]&lt;1000,"Bosque menor a 1000 ha",Table_1[[#This Row],[Forest cover 2011]])</f>
        <v>Bosque menor a 1000 ha</v>
      </c>
      <c r="D77" s="4">
        <v>0</v>
      </c>
      <c r="E77" s="4">
        <v>0</v>
      </c>
      <c r="F77" s="4">
        <v>0</v>
      </c>
      <c r="G77" s="4">
        <v>0</v>
      </c>
      <c r="H77" s="4">
        <f t="shared" si="0"/>
        <v>0</v>
      </c>
      <c r="I77" s="4">
        <v>0</v>
      </c>
      <c r="J77" s="4">
        <v>0</v>
      </c>
      <c r="K77" s="4">
        <v>0</v>
      </c>
      <c r="L77" s="4">
        <f t="shared" si="1"/>
        <v>0</v>
      </c>
      <c r="M77" s="10" t="str">
        <f t="shared" si="7"/>
        <v/>
      </c>
      <c r="N77" s="10" t="str">
        <f t="shared" si="8"/>
        <v/>
      </c>
    </row>
    <row r="78" spans="1:14" ht="15.75" customHeight="1">
      <c r="A78" s="4">
        <v>20904</v>
      </c>
      <c r="B78" s="4" t="s">
        <v>150</v>
      </c>
      <c r="C78" s="27" t="str">
        <f>IF(Table_1[[#This Row],[Forest cover 2011]]&lt;1000,"Bosque menor a 1000 ha",Table_1[[#This Row],[Forest cover 2011]])</f>
        <v>Bosque menor a 1000 ha</v>
      </c>
      <c r="D78" s="4">
        <v>0</v>
      </c>
      <c r="E78" s="4">
        <v>0</v>
      </c>
      <c r="F78" s="4">
        <v>0</v>
      </c>
      <c r="G78" s="4">
        <v>0</v>
      </c>
      <c r="H78" s="4">
        <f t="shared" si="0"/>
        <v>0</v>
      </c>
      <c r="I78" s="4">
        <v>0</v>
      </c>
      <c r="J78" s="4">
        <v>0</v>
      </c>
      <c r="K78" s="4">
        <v>0</v>
      </c>
      <c r="L78" s="4">
        <f t="shared" si="1"/>
        <v>0</v>
      </c>
      <c r="M78" s="10" t="str">
        <f t="shared" si="7"/>
        <v/>
      </c>
      <c r="N78" s="10" t="str">
        <f t="shared" si="8"/>
        <v/>
      </c>
    </row>
    <row r="79" spans="1:14" ht="15.75" customHeight="1">
      <c r="A79" s="4">
        <v>20905</v>
      </c>
      <c r="B79" s="4" t="s">
        <v>109</v>
      </c>
      <c r="C79" s="28">
        <f>IF(Table_1[[#This Row],[Forest cover 2011]]&lt;1000,"Bosque menor a 1000 ha",Table_1[[#This Row],[Forest cover 2011]])</f>
        <v>4399.29</v>
      </c>
      <c r="D79" s="4">
        <v>4399.29</v>
      </c>
      <c r="E79" s="4">
        <v>57.87</v>
      </c>
      <c r="F79" s="4">
        <v>85.05</v>
      </c>
      <c r="G79" s="4">
        <v>86.669999999999987</v>
      </c>
      <c r="H79" s="4">
        <f t="shared" si="0"/>
        <v>76.529999999999987</v>
      </c>
      <c r="I79" s="4">
        <v>19.440000000000001</v>
      </c>
      <c r="J79" s="4">
        <v>257.85000000000002</v>
      </c>
      <c r="K79" s="4">
        <v>170.82</v>
      </c>
      <c r="L79" s="4">
        <f t="shared" si="1"/>
        <v>149.37</v>
      </c>
      <c r="M79" s="10">
        <f t="shared" si="7"/>
        <v>1.7395988898208572</v>
      </c>
      <c r="N79" s="10">
        <f t="shared" si="8"/>
        <v>3.3953206085527441</v>
      </c>
    </row>
    <row r="80" spans="1:14" ht="15.75" customHeight="1">
      <c r="A80" s="4">
        <v>21001</v>
      </c>
      <c r="B80" s="4" t="s">
        <v>127</v>
      </c>
      <c r="C80" s="27">
        <f>IF(Table_1[[#This Row],[Forest cover 2011]]&lt;1000,"Bosque menor a 1000 ha",Table_1[[#This Row],[Forest cover 2011]])</f>
        <v>174734.82</v>
      </c>
      <c r="D80" s="4">
        <v>174734.82</v>
      </c>
      <c r="E80" s="4">
        <v>301.05</v>
      </c>
      <c r="F80" s="4">
        <v>299.97000000000003</v>
      </c>
      <c r="G80" s="4">
        <v>621.99</v>
      </c>
      <c r="H80" s="4">
        <f t="shared" si="0"/>
        <v>407.67</v>
      </c>
      <c r="I80" s="4">
        <v>211.68</v>
      </c>
      <c r="J80" s="4">
        <v>762.56999999999994</v>
      </c>
      <c r="K80" s="4">
        <v>4410.18</v>
      </c>
      <c r="L80" s="4">
        <f t="shared" si="1"/>
        <v>1794.8100000000002</v>
      </c>
      <c r="M80" s="10">
        <f t="shared" si="7"/>
        <v>0.23330782038748771</v>
      </c>
      <c r="N80" s="10">
        <f t="shared" si="8"/>
        <v>1.0271621878226675</v>
      </c>
    </row>
    <row r="81" spans="1:14" ht="15.75" customHeight="1">
      <c r="A81" s="4">
        <v>21002</v>
      </c>
      <c r="B81" s="4" t="s">
        <v>125</v>
      </c>
      <c r="C81" s="28">
        <f>IF(Table_1[[#This Row],[Forest cover 2011]]&lt;1000,"Bosque menor a 1000 ha",Table_1[[#This Row],[Forest cover 2011]])</f>
        <v>23813.64</v>
      </c>
      <c r="D81" s="4">
        <v>23813.64</v>
      </c>
      <c r="E81" s="4">
        <v>102.87</v>
      </c>
      <c r="F81" s="4">
        <v>95.76</v>
      </c>
      <c r="G81" s="4">
        <v>163.71</v>
      </c>
      <c r="H81" s="4">
        <f t="shared" si="0"/>
        <v>120.78000000000002</v>
      </c>
      <c r="I81" s="4">
        <v>30.78</v>
      </c>
      <c r="J81" s="4">
        <v>223.02</v>
      </c>
      <c r="K81" s="4">
        <v>633.33000000000004</v>
      </c>
      <c r="L81" s="4">
        <f t="shared" si="1"/>
        <v>295.71000000000004</v>
      </c>
      <c r="M81" s="10">
        <f t="shared" si="7"/>
        <v>0.50718831728370806</v>
      </c>
      <c r="N81" s="10">
        <f t="shared" si="8"/>
        <v>1.241767323265154</v>
      </c>
    </row>
    <row r="82" spans="1:14" ht="15.75" customHeight="1">
      <c r="A82" s="4">
        <v>21003</v>
      </c>
      <c r="B82" s="4" t="s">
        <v>122</v>
      </c>
      <c r="C82" s="27">
        <f>IF(Table_1[[#This Row],[Forest cover 2011]]&lt;1000,"Bosque menor a 1000 ha",Table_1[[#This Row],[Forest cover 2011]])</f>
        <v>46961.19</v>
      </c>
      <c r="D82" s="4">
        <v>46961.19</v>
      </c>
      <c r="E82" s="4">
        <v>107.19</v>
      </c>
      <c r="F82" s="4">
        <v>146.61000000000001</v>
      </c>
      <c r="G82" s="4">
        <v>266.04000000000002</v>
      </c>
      <c r="H82" s="4">
        <f t="shared" si="0"/>
        <v>173.28</v>
      </c>
      <c r="I82" s="4">
        <v>158.04</v>
      </c>
      <c r="J82" s="4">
        <v>408.15</v>
      </c>
      <c r="K82" s="4">
        <v>1329.66</v>
      </c>
      <c r="L82" s="4">
        <f t="shared" si="1"/>
        <v>631.94999999999993</v>
      </c>
      <c r="M82" s="10">
        <f t="shared" si="7"/>
        <v>0.36898553890989561</v>
      </c>
      <c r="N82" s="10">
        <f t="shared" si="8"/>
        <v>1.3456856608616603</v>
      </c>
    </row>
    <row r="83" spans="1:14" ht="15.75" customHeight="1">
      <c r="A83" s="4">
        <v>21004</v>
      </c>
      <c r="B83" s="4" t="s">
        <v>115</v>
      </c>
      <c r="C83" s="28" t="str">
        <f>IF(Table_1[[#This Row],[Forest cover 2011]]&lt;1000,"Bosque menor a 1000 ha",Table_1[[#This Row],[Forest cover 2011]])</f>
        <v>Bosque menor a 1000 ha</v>
      </c>
      <c r="D83" s="4">
        <v>366.03</v>
      </c>
      <c r="E83" s="4">
        <v>9.99</v>
      </c>
      <c r="F83" s="4">
        <v>4.3199999999999994</v>
      </c>
      <c r="G83" s="4">
        <v>6.93</v>
      </c>
      <c r="H83" s="4">
        <f t="shared" si="0"/>
        <v>7.0799999999999992</v>
      </c>
      <c r="I83" s="4">
        <v>0.36</v>
      </c>
      <c r="J83" s="4">
        <v>0.9</v>
      </c>
      <c r="K83" s="4">
        <v>12.51</v>
      </c>
      <c r="L83" s="4">
        <f t="shared" si="1"/>
        <v>4.59</v>
      </c>
      <c r="M83" s="10" t="str">
        <f t="shared" si="7"/>
        <v/>
      </c>
      <c r="N83" s="10" t="str">
        <f t="shared" si="8"/>
        <v/>
      </c>
    </row>
    <row r="84" spans="1:14" ht="15.75" customHeight="1">
      <c r="A84" s="4">
        <v>21005</v>
      </c>
      <c r="B84" s="4" t="s">
        <v>86</v>
      </c>
      <c r="C84" s="27">
        <f>IF(Table_1[[#This Row],[Forest cover 2011]]&lt;1000,"Bosque menor a 1000 ha",Table_1[[#This Row],[Forest cover 2011]])</f>
        <v>1748.52</v>
      </c>
      <c r="D84" s="4">
        <v>1748.52</v>
      </c>
      <c r="E84" s="4">
        <v>14.94</v>
      </c>
      <c r="F84" s="4">
        <v>9.6300000000000008</v>
      </c>
      <c r="G84" s="4">
        <v>18.09</v>
      </c>
      <c r="H84" s="4">
        <f t="shared" si="0"/>
        <v>14.219999999999999</v>
      </c>
      <c r="I84" s="4">
        <v>3.78</v>
      </c>
      <c r="J84" s="4">
        <v>11.97</v>
      </c>
      <c r="K84" s="4">
        <v>152.82</v>
      </c>
      <c r="L84" s="4">
        <f t="shared" si="1"/>
        <v>56.19</v>
      </c>
      <c r="M84" s="10">
        <f t="shared" si="7"/>
        <v>0.8132592135062795</v>
      </c>
      <c r="N84" s="10">
        <f t="shared" si="8"/>
        <v>3.2135749090659527</v>
      </c>
    </row>
    <row r="85" spans="1:14" ht="15.75" customHeight="1">
      <c r="A85" s="4">
        <v>21006</v>
      </c>
      <c r="B85" s="4" t="s">
        <v>143</v>
      </c>
      <c r="C85" s="28">
        <f>IF(Table_1[[#This Row],[Forest cover 2011]]&lt;1000,"Bosque menor a 1000 ha",Table_1[[#This Row],[Forest cover 2011]])</f>
        <v>13737.87</v>
      </c>
      <c r="D85" s="4">
        <v>13737.87</v>
      </c>
      <c r="E85" s="4">
        <v>17.190000000000001</v>
      </c>
      <c r="F85" s="4">
        <v>21.78</v>
      </c>
      <c r="G85" s="4">
        <v>46.98</v>
      </c>
      <c r="H85" s="4">
        <f t="shared" si="0"/>
        <v>28.649999999999995</v>
      </c>
      <c r="I85" s="4">
        <v>6.75</v>
      </c>
      <c r="J85" s="4">
        <v>56.25</v>
      </c>
      <c r="K85" s="4">
        <v>261.63</v>
      </c>
      <c r="L85" s="4">
        <f t="shared" si="1"/>
        <v>108.21</v>
      </c>
      <c r="M85" s="10">
        <f t="shared" si="7"/>
        <v>0.2085476132762939</v>
      </c>
      <c r="N85" s="10">
        <f t="shared" si="8"/>
        <v>0.78767669223831627</v>
      </c>
    </row>
    <row r="86" spans="1:14" ht="15.75" customHeight="1">
      <c r="A86" s="4">
        <v>21101</v>
      </c>
      <c r="B86" s="4" t="s">
        <v>168</v>
      </c>
      <c r="C86" s="27">
        <f>IF(Table_1[[#This Row],[Forest cover 2011]]&lt;1000,"Bosque menor a 1000 ha",Table_1[[#This Row],[Forest cover 2011]])</f>
        <v>18963.09</v>
      </c>
      <c r="D86" s="4">
        <v>18963.09</v>
      </c>
      <c r="E86" s="4">
        <v>53.28</v>
      </c>
      <c r="F86" s="4">
        <v>37.979999999999997</v>
      </c>
      <c r="G86" s="4">
        <v>110.34</v>
      </c>
      <c r="H86" s="4">
        <f t="shared" si="0"/>
        <v>67.2</v>
      </c>
      <c r="I86" s="4">
        <v>16.920000000000002</v>
      </c>
      <c r="J86" s="4">
        <v>1094.31</v>
      </c>
      <c r="K86" s="4">
        <v>241.47</v>
      </c>
      <c r="L86" s="4">
        <f t="shared" si="1"/>
        <v>450.90000000000003</v>
      </c>
      <c r="M86" s="10">
        <f t="shared" si="7"/>
        <v>0.35437262598025959</v>
      </c>
      <c r="N86" s="10">
        <f t="shared" si="8"/>
        <v>2.3777770395014741</v>
      </c>
    </row>
    <row r="87" spans="1:14" ht="15.75" customHeight="1">
      <c r="A87" s="4">
        <v>21102</v>
      </c>
      <c r="B87" s="4" t="s">
        <v>120</v>
      </c>
      <c r="C87" s="28">
        <f>IF(Table_1[[#This Row],[Forest cover 2011]]&lt;1000,"Bosque menor a 1000 ha",Table_1[[#This Row],[Forest cover 2011]])</f>
        <v>75065.94</v>
      </c>
      <c r="D87" s="4">
        <v>75065.94</v>
      </c>
      <c r="E87" s="4">
        <v>170.19</v>
      </c>
      <c r="F87" s="4">
        <v>200.97</v>
      </c>
      <c r="G87" s="4">
        <v>316.89</v>
      </c>
      <c r="H87" s="4">
        <f t="shared" si="0"/>
        <v>229.35</v>
      </c>
      <c r="I87" s="4">
        <v>82.62</v>
      </c>
      <c r="J87" s="4">
        <v>972.99</v>
      </c>
      <c r="K87" s="4">
        <v>2210.13</v>
      </c>
      <c r="L87" s="4">
        <f t="shared" si="1"/>
        <v>1088.5800000000002</v>
      </c>
      <c r="M87" s="10">
        <f t="shared" si="7"/>
        <v>0.30553137681350556</v>
      </c>
      <c r="N87" s="10">
        <f t="shared" si="8"/>
        <v>1.4501650149188834</v>
      </c>
    </row>
    <row r="88" spans="1:14" ht="15.75" customHeight="1">
      <c r="A88" s="4">
        <v>21103</v>
      </c>
      <c r="B88" s="4" t="s">
        <v>161</v>
      </c>
      <c r="C88" s="27">
        <f>IF(Table_1[[#This Row],[Forest cover 2011]]&lt;1000,"Bosque menor a 1000 ha",Table_1[[#This Row],[Forest cover 2011]])</f>
        <v>21799.26</v>
      </c>
      <c r="D88" s="4">
        <v>21799.26</v>
      </c>
      <c r="E88" s="4">
        <v>78.75</v>
      </c>
      <c r="F88" s="4">
        <v>29.34</v>
      </c>
      <c r="G88" s="4">
        <v>91.98</v>
      </c>
      <c r="H88" s="4">
        <f t="shared" si="0"/>
        <v>66.69</v>
      </c>
      <c r="I88" s="4">
        <v>6.1199999999999992</v>
      </c>
      <c r="J88" s="4">
        <v>210.6</v>
      </c>
      <c r="K88" s="4">
        <v>319.5</v>
      </c>
      <c r="L88" s="4">
        <f t="shared" si="1"/>
        <v>178.74</v>
      </c>
      <c r="M88" s="10">
        <f t="shared" si="7"/>
        <v>0.30592781589833784</v>
      </c>
      <c r="N88" s="10">
        <f t="shared" si="8"/>
        <v>0.81993608957368291</v>
      </c>
    </row>
    <row r="89" spans="1:14" ht="15.75" customHeight="1">
      <c r="A89" s="4">
        <v>21104</v>
      </c>
      <c r="B89" s="4" t="s">
        <v>167</v>
      </c>
      <c r="C89" s="28">
        <f>IF(Table_1[[#This Row],[Forest cover 2011]]&lt;1000,"Bosque menor a 1000 ha",Table_1[[#This Row],[Forest cover 2011]])</f>
        <v>348032.16</v>
      </c>
      <c r="D89" s="4">
        <v>348032.16</v>
      </c>
      <c r="E89" s="4">
        <v>1413.36</v>
      </c>
      <c r="F89" s="4">
        <v>1815.93</v>
      </c>
      <c r="G89" s="4">
        <v>2702.16</v>
      </c>
      <c r="H89" s="4">
        <f t="shared" si="0"/>
        <v>1977.1499999999999</v>
      </c>
      <c r="I89" s="4">
        <v>866.52</v>
      </c>
      <c r="J89" s="4">
        <v>4544.1899999999996</v>
      </c>
      <c r="K89" s="4">
        <v>4602.96</v>
      </c>
      <c r="L89" s="4">
        <f t="shared" si="1"/>
        <v>3337.8899999999994</v>
      </c>
      <c r="M89" s="10">
        <f t="shared" si="7"/>
        <v>0.56809405199795326</v>
      </c>
      <c r="N89" s="10">
        <f t="shared" si="8"/>
        <v>0.95907516132991844</v>
      </c>
    </row>
    <row r="90" spans="1:14" ht="15.75" customHeight="1">
      <c r="A90" s="4">
        <v>21105</v>
      </c>
      <c r="B90" s="4" t="s">
        <v>177</v>
      </c>
      <c r="C90" s="27">
        <f>IF(Table_1[[#This Row],[Forest cover 2011]]&lt;1000,"Bosque menor a 1000 ha",Table_1[[#This Row],[Forest cover 2011]])</f>
        <v>263953.26</v>
      </c>
      <c r="D90" s="4">
        <v>263953.26</v>
      </c>
      <c r="E90" s="4">
        <v>414.45</v>
      </c>
      <c r="F90" s="4">
        <v>841.59</v>
      </c>
      <c r="G90" s="4">
        <v>948.87</v>
      </c>
      <c r="H90" s="4">
        <f t="shared" si="0"/>
        <v>734.96999999999991</v>
      </c>
      <c r="I90" s="4">
        <v>233.82</v>
      </c>
      <c r="J90" s="4">
        <v>4739.04</v>
      </c>
      <c r="K90" s="4">
        <v>2920.14</v>
      </c>
      <c r="L90" s="4">
        <f t="shared" si="1"/>
        <v>2631</v>
      </c>
      <c r="M90" s="10">
        <f t="shared" si="7"/>
        <v>0.27844702505284452</v>
      </c>
      <c r="N90" s="10">
        <f t="shared" si="8"/>
        <v>0.99676738222517125</v>
      </c>
    </row>
    <row r="91" spans="1:14" ht="15.75" customHeight="1">
      <c r="A91" s="4">
        <v>21201</v>
      </c>
      <c r="B91" s="4" t="s">
        <v>372</v>
      </c>
      <c r="C91" s="28" t="str">
        <f>IF(Table_1[[#This Row],[Forest cover 2011]]&lt;1000,"Bosque menor a 1000 ha",Table_1[[#This Row],[Forest cover 2011]])</f>
        <v>Bosque menor a 1000 ha</v>
      </c>
      <c r="D91" s="4">
        <v>0</v>
      </c>
      <c r="E91" s="4">
        <v>0</v>
      </c>
      <c r="F91" s="4">
        <v>0</v>
      </c>
      <c r="G91" s="4">
        <v>0</v>
      </c>
      <c r="H91" s="4">
        <f t="shared" si="0"/>
        <v>0</v>
      </c>
      <c r="I91" s="4">
        <v>0</v>
      </c>
      <c r="J91" s="4">
        <v>0</v>
      </c>
      <c r="K91" s="4">
        <v>0</v>
      </c>
      <c r="L91" s="4">
        <f t="shared" si="1"/>
        <v>0</v>
      </c>
      <c r="M91" s="10" t="str">
        <f t="shared" si="7"/>
        <v/>
      </c>
      <c r="N91" s="10" t="str">
        <f t="shared" si="8"/>
        <v/>
      </c>
    </row>
    <row r="92" spans="1:14" ht="15.75" customHeight="1">
      <c r="A92" s="4">
        <v>21202</v>
      </c>
      <c r="B92" s="4" t="s">
        <v>310</v>
      </c>
      <c r="C92" s="27" t="str">
        <f>IF(Table_1[[#This Row],[Forest cover 2011]]&lt;1000,"Bosque menor a 1000 ha",Table_1[[#This Row],[Forest cover 2011]])</f>
        <v>Bosque menor a 1000 ha</v>
      </c>
      <c r="D92" s="4">
        <v>0</v>
      </c>
      <c r="E92" s="4">
        <v>0</v>
      </c>
      <c r="F92" s="4">
        <v>0</v>
      </c>
      <c r="G92" s="4">
        <v>0</v>
      </c>
      <c r="H92" s="4">
        <f t="shared" si="0"/>
        <v>0</v>
      </c>
      <c r="I92" s="4">
        <v>0</v>
      </c>
      <c r="J92" s="4">
        <v>0</v>
      </c>
      <c r="K92" s="4">
        <v>0</v>
      </c>
      <c r="L92" s="4">
        <f t="shared" si="1"/>
        <v>0</v>
      </c>
      <c r="M92" s="10" t="str">
        <f t="shared" si="7"/>
        <v/>
      </c>
      <c r="N92" s="10" t="str">
        <f t="shared" si="8"/>
        <v/>
      </c>
    </row>
    <row r="93" spans="1:14" ht="15.75" customHeight="1">
      <c r="A93" s="4">
        <v>21203</v>
      </c>
      <c r="B93" s="4" t="s">
        <v>379</v>
      </c>
      <c r="C93" s="28" t="str">
        <f>IF(Table_1[[#This Row],[Forest cover 2011]]&lt;1000,"Bosque menor a 1000 ha",Table_1[[#This Row],[Forest cover 2011]])</f>
        <v>Bosque menor a 1000 ha</v>
      </c>
      <c r="D93" s="4">
        <v>0</v>
      </c>
      <c r="E93" s="4">
        <v>0</v>
      </c>
      <c r="F93" s="4">
        <v>0</v>
      </c>
      <c r="G93" s="4">
        <v>0</v>
      </c>
      <c r="H93" s="4">
        <f t="shared" si="0"/>
        <v>0</v>
      </c>
      <c r="I93" s="4">
        <v>0</v>
      </c>
      <c r="J93" s="4">
        <v>0</v>
      </c>
      <c r="K93" s="4">
        <v>0</v>
      </c>
      <c r="L93" s="4">
        <f t="shared" si="1"/>
        <v>0</v>
      </c>
      <c r="M93" s="10" t="str">
        <f t="shared" si="7"/>
        <v/>
      </c>
      <c r="N93" s="10" t="str">
        <f t="shared" si="8"/>
        <v/>
      </c>
    </row>
    <row r="94" spans="1:14" ht="15.75" customHeight="1">
      <c r="A94" s="4">
        <v>21204</v>
      </c>
      <c r="B94" s="4" t="s">
        <v>311</v>
      </c>
      <c r="C94" s="27" t="str">
        <f>IF(Table_1[[#This Row],[Forest cover 2011]]&lt;1000,"Bosque menor a 1000 ha",Table_1[[#This Row],[Forest cover 2011]])</f>
        <v>Bosque menor a 1000 ha</v>
      </c>
      <c r="D94" s="4">
        <v>0</v>
      </c>
      <c r="E94" s="4">
        <v>0</v>
      </c>
      <c r="F94" s="4">
        <v>0</v>
      </c>
      <c r="G94" s="4">
        <v>0</v>
      </c>
      <c r="H94" s="4">
        <f t="shared" si="0"/>
        <v>0</v>
      </c>
      <c r="I94" s="4">
        <v>0</v>
      </c>
      <c r="J94" s="4">
        <v>0</v>
      </c>
      <c r="K94" s="4">
        <v>0</v>
      </c>
      <c r="L94" s="4">
        <f t="shared" si="1"/>
        <v>0</v>
      </c>
      <c r="M94" s="10" t="str">
        <f t="shared" si="7"/>
        <v/>
      </c>
      <c r="N94" s="10" t="str">
        <f t="shared" si="8"/>
        <v/>
      </c>
    </row>
    <row r="95" spans="1:14" ht="15.75" customHeight="1">
      <c r="A95" s="4">
        <v>21301</v>
      </c>
      <c r="B95" s="4" t="s">
        <v>376</v>
      </c>
      <c r="C95" s="28" t="str">
        <f>IF(Table_1[[#This Row],[Forest cover 2011]]&lt;1000,"Bosque menor a 1000 ha",Table_1[[#This Row],[Forest cover 2011]])</f>
        <v>Bosque menor a 1000 ha</v>
      </c>
      <c r="D95" s="4">
        <v>0</v>
      </c>
      <c r="E95" s="4">
        <v>0</v>
      </c>
      <c r="F95" s="4">
        <v>0</v>
      </c>
      <c r="G95" s="4">
        <v>0</v>
      </c>
      <c r="H95" s="4">
        <f t="shared" si="0"/>
        <v>0</v>
      </c>
      <c r="I95" s="4">
        <v>0</v>
      </c>
      <c r="J95" s="4">
        <v>0</v>
      </c>
      <c r="K95" s="4">
        <v>0</v>
      </c>
      <c r="L95" s="4">
        <f t="shared" si="1"/>
        <v>0</v>
      </c>
      <c r="M95" s="10" t="str">
        <f t="shared" si="7"/>
        <v/>
      </c>
      <c r="N95" s="10" t="str">
        <f t="shared" si="8"/>
        <v/>
      </c>
    </row>
    <row r="96" spans="1:14" ht="15.75" customHeight="1">
      <c r="A96" s="4">
        <v>21302</v>
      </c>
      <c r="B96" s="4" t="s">
        <v>312</v>
      </c>
      <c r="C96" s="27" t="str">
        <f>IF(Table_1[[#This Row],[Forest cover 2011]]&lt;1000,"Bosque menor a 1000 ha",Table_1[[#This Row],[Forest cover 2011]])</f>
        <v>Bosque menor a 1000 ha</v>
      </c>
      <c r="D96" s="4">
        <v>0</v>
      </c>
      <c r="E96" s="4">
        <v>0</v>
      </c>
      <c r="F96" s="4">
        <v>0</v>
      </c>
      <c r="G96" s="4">
        <v>0</v>
      </c>
      <c r="H96" s="4">
        <f t="shared" si="0"/>
        <v>0</v>
      </c>
      <c r="I96" s="4">
        <v>0</v>
      </c>
      <c r="J96" s="4">
        <v>0</v>
      </c>
      <c r="K96" s="4">
        <v>0</v>
      </c>
      <c r="L96" s="4">
        <f t="shared" si="1"/>
        <v>0</v>
      </c>
      <c r="M96" s="10" t="str">
        <f t="shared" si="7"/>
        <v/>
      </c>
      <c r="N96" s="10" t="str">
        <f t="shared" si="8"/>
        <v/>
      </c>
    </row>
    <row r="97" spans="1:14" ht="15.75" customHeight="1">
      <c r="A97" s="4">
        <v>21303</v>
      </c>
      <c r="B97" s="4" t="s">
        <v>378</v>
      </c>
      <c r="C97" s="28" t="str">
        <f>IF(Table_1[[#This Row],[Forest cover 2011]]&lt;1000,"Bosque menor a 1000 ha",Table_1[[#This Row],[Forest cover 2011]])</f>
        <v>Bosque menor a 1000 ha</v>
      </c>
      <c r="D97" s="4">
        <v>0</v>
      </c>
      <c r="E97" s="4">
        <v>0</v>
      </c>
      <c r="F97" s="4">
        <v>0</v>
      </c>
      <c r="G97" s="4">
        <v>0</v>
      </c>
      <c r="H97" s="4">
        <f t="shared" si="0"/>
        <v>0</v>
      </c>
      <c r="I97" s="4">
        <v>0</v>
      </c>
      <c r="J97" s="4">
        <v>0</v>
      </c>
      <c r="K97" s="4">
        <v>0</v>
      </c>
      <c r="L97" s="4">
        <f t="shared" si="1"/>
        <v>0</v>
      </c>
      <c r="M97" s="10" t="str">
        <f t="shared" si="7"/>
        <v/>
      </c>
      <c r="N97" s="10" t="str">
        <f t="shared" si="8"/>
        <v/>
      </c>
    </row>
    <row r="98" spans="1:14" ht="15.75" customHeight="1">
      <c r="A98" s="4">
        <v>21304</v>
      </c>
      <c r="B98" s="4" t="s">
        <v>176</v>
      </c>
      <c r="C98" s="27" t="str">
        <f>IF(Table_1[[#This Row],[Forest cover 2011]]&lt;1000,"Bosque menor a 1000 ha",Table_1[[#This Row],[Forest cover 2011]])</f>
        <v>Bosque menor a 1000 ha</v>
      </c>
      <c r="D98" s="4">
        <v>0</v>
      </c>
      <c r="E98" s="4">
        <v>0</v>
      </c>
      <c r="F98" s="4">
        <v>0</v>
      </c>
      <c r="G98" s="4">
        <v>0</v>
      </c>
      <c r="H98" s="4">
        <f t="shared" si="0"/>
        <v>0</v>
      </c>
      <c r="I98" s="4">
        <v>0</v>
      </c>
      <c r="J98" s="4">
        <v>0</v>
      </c>
      <c r="K98" s="4">
        <v>0</v>
      </c>
      <c r="L98" s="4">
        <f t="shared" si="1"/>
        <v>0</v>
      </c>
      <c r="M98" s="10" t="str">
        <f t="shared" si="7"/>
        <v/>
      </c>
      <c r="N98" s="10" t="str">
        <f t="shared" si="8"/>
        <v/>
      </c>
    </row>
    <row r="99" spans="1:14" ht="15.75" customHeight="1">
      <c r="A99" s="4">
        <v>21305</v>
      </c>
      <c r="B99" s="4" t="s">
        <v>313</v>
      </c>
      <c r="C99" s="28" t="str">
        <f>IF(Table_1[[#This Row],[Forest cover 2011]]&lt;1000,"Bosque menor a 1000 ha",Table_1[[#This Row],[Forest cover 2011]])</f>
        <v>Bosque menor a 1000 ha</v>
      </c>
      <c r="D99" s="4">
        <v>0</v>
      </c>
      <c r="E99" s="4">
        <v>0</v>
      </c>
      <c r="F99" s="4">
        <v>0</v>
      </c>
      <c r="G99" s="4">
        <v>0</v>
      </c>
      <c r="H99" s="4">
        <f t="shared" si="0"/>
        <v>0</v>
      </c>
      <c r="I99" s="4">
        <v>0</v>
      </c>
      <c r="J99" s="4">
        <v>0</v>
      </c>
      <c r="K99" s="4">
        <v>0</v>
      </c>
      <c r="L99" s="4">
        <f t="shared" si="1"/>
        <v>0</v>
      </c>
      <c r="M99" s="10" t="str">
        <f t="shared" si="7"/>
        <v/>
      </c>
      <c r="N99" s="10" t="str">
        <f t="shared" si="8"/>
        <v/>
      </c>
    </row>
    <row r="100" spans="1:14" ht="15.75" customHeight="1">
      <c r="A100" s="4">
        <v>21306</v>
      </c>
      <c r="B100" s="4" t="s">
        <v>314</v>
      </c>
      <c r="C100" s="27" t="str">
        <f>IF(Table_1[[#This Row],[Forest cover 2011]]&lt;1000,"Bosque menor a 1000 ha",Table_1[[#This Row],[Forest cover 2011]])</f>
        <v>Bosque menor a 1000 ha</v>
      </c>
      <c r="D100" s="4">
        <v>0</v>
      </c>
      <c r="E100" s="4">
        <v>0</v>
      </c>
      <c r="F100" s="4">
        <v>0</v>
      </c>
      <c r="G100" s="4">
        <v>0</v>
      </c>
      <c r="H100" s="4">
        <f t="shared" si="0"/>
        <v>0</v>
      </c>
      <c r="I100" s="4">
        <v>0</v>
      </c>
      <c r="J100" s="4">
        <v>0</v>
      </c>
      <c r="K100" s="4">
        <v>0</v>
      </c>
      <c r="L100" s="4">
        <f t="shared" si="1"/>
        <v>0</v>
      </c>
      <c r="M100" s="10" t="str">
        <f t="shared" si="7"/>
        <v/>
      </c>
      <c r="N100" s="10" t="str">
        <f t="shared" si="8"/>
        <v/>
      </c>
    </row>
    <row r="101" spans="1:14" ht="15.75" customHeight="1">
      <c r="A101" s="4">
        <v>21307</v>
      </c>
      <c r="B101" s="4" t="s">
        <v>315</v>
      </c>
      <c r="C101" s="28" t="str">
        <f>IF(Table_1[[#This Row],[Forest cover 2011]]&lt;1000,"Bosque menor a 1000 ha",Table_1[[#This Row],[Forest cover 2011]])</f>
        <v>Bosque menor a 1000 ha</v>
      </c>
      <c r="D101" s="4">
        <v>0</v>
      </c>
      <c r="E101" s="4">
        <v>0</v>
      </c>
      <c r="F101" s="4">
        <v>0</v>
      </c>
      <c r="G101" s="4">
        <v>0</v>
      </c>
      <c r="H101" s="4">
        <f t="shared" si="0"/>
        <v>0</v>
      </c>
      <c r="I101" s="4">
        <v>0</v>
      </c>
      <c r="J101" s="4">
        <v>0</v>
      </c>
      <c r="K101" s="4">
        <v>0</v>
      </c>
      <c r="L101" s="4">
        <f t="shared" si="1"/>
        <v>0</v>
      </c>
      <c r="M101" s="10" t="str">
        <f t="shared" si="7"/>
        <v/>
      </c>
      <c r="N101" s="10" t="str">
        <f t="shared" si="8"/>
        <v/>
      </c>
    </row>
    <row r="102" spans="1:14" ht="15.75" customHeight="1">
      <c r="A102" s="4">
        <v>21401</v>
      </c>
      <c r="B102" s="4" t="s">
        <v>222</v>
      </c>
      <c r="C102" s="27">
        <f>IF(Table_1[[#This Row],[Forest cover 2011]]&lt;1000,"Bosque menor a 1000 ha",Table_1[[#This Row],[Forest cover 2011]])</f>
        <v>97249.23000000001</v>
      </c>
      <c r="D102" s="4">
        <v>97249.23000000001</v>
      </c>
      <c r="E102" s="4">
        <v>118.53</v>
      </c>
      <c r="F102" s="4">
        <v>102.33</v>
      </c>
      <c r="G102" s="4">
        <v>192.6</v>
      </c>
      <c r="H102" s="4">
        <f t="shared" si="0"/>
        <v>137.82000000000002</v>
      </c>
      <c r="I102" s="4">
        <v>155.16</v>
      </c>
      <c r="J102" s="4">
        <v>1976.67</v>
      </c>
      <c r="K102" s="4">
        <v>381.96</v>
      </c>
      <c r="L102" s="4">
        <f t="shared" si="1"/>
        <v>837.93</v>
      </c>
      <c r="M102" s="10">
        <f t="shared" si="7"/>
        <v>0.14171834573908709</v>
      </c>
      <c r="N102" s="10">
        <f t="shared" si="8"/>
        <v>0.86163150083553353</v>
      </c>
    </row>
    <row r="103" spans="1:14" ht="15.75" customHeight="1">
      <c r="A103" s="4">
        <v>21402</v>
      </c>
      <c r="B103" s="4" t="s">
        <v>238</v>
      </c>
      <c r="C103" s="28">
        <f>IF(Table_1[[#This Row],[Forest cover 2011]]&lt;1000,"Bosque menor a 1000 ha",Table_1[[#This Row],[Forest cover 2011]])</f>
        <v>59270.67</v>
      </c>
      <c r="D103" s="4">
        <v>59270.67</v>
      </c>
      <c r="E103" s="4">
        <v>78.209999999999994</v>
      </c>
      <c r="F103" s="4">
        <v>41.58</v>
      </c>
      <c r="G103" s="4">
        <v>149.85</v>
      </c>
      <c r="H103" s="4">
        <f t="shared" si="0"/>
        <v>89.88</v>
      </c>
      <c r="I103" s="4">
        <v>46.53</v>
      </c>
      <c r="J103" s="4">
        <v>1142.19</v>
      </c>
      <c r="K103" s="4">
        <v>155.79</v>
      </c>
      <c r="L103" s="4">
        <f t="shared" si="1"/>
        <v>448.17</v>
      </c>
      <c r="M103" s="10">
        <f t="shared" si="7"/>
        <v>0.15164330013478841</v>
      </c>
      <c r="N103" s="10">
        <f t="shared" si="8"/>
        <v>0.7561412752715635</v>
      </c>
    </row>
    <row r="104" spans="1:14" ht="15.75" customHeight="1">
      <c r="A104" s="4">
        <v>21501</v>
      </c>
      <c r="B104" s="4" t="s">
        <v>195</v>
      </c>
      <c r="C104" s="27">
        <f>IF(Table_1[[#This Row],[Forest cover 2011]]&lt;1000,"Bosque menor a 1000 ha",Table_1[[#This Row],[Forest cover 2011]])</f>
        <v>2770533.45</v>
      </c>
      <c r="D104" s="4">
        <v>2770533.45</v>
      </c>
      <c r="E104" s="4">
        <v>7678.89</v>
      </c>
      <c r="F104" s="4">
        <v>5774.9400000000014</v>
      </c>
      <c r="G104" s="4">
        <v>8716.23</v>
      </c>
      <c r="H104" s="4">
        <f t="shared" si="0"/>
        <v>7390.02</v>
      </c>
      <c r="I104" s="4">
        <v>2827.44</v>
      </c>
      <c r="J104" s="4">
        <v>5534.37</v>
      </c>
      <c r="K104" s="4">
        <v>16877.97</v>
      </c>
      <c r="L104" s="4">
        <f t="shared" si="1"/>
        <v>8413.26</v>
      </c>
      <c r="M104" s="10">
        <f t="shared" si="7"/>
        <v>0.26673635721669414</v>
      </c>
      <c r="N104" s="10">
        <f t="shared" si="8"/>
        <v>0.30366931682416609</v>
      </c>
    </row>
    <row r="105" spans="1:14" ht="15.75" customHeight="1">
      <c r="A105" s="4">
        <v>21502</v>
      </c>
      <c r="B105" s="4" t="s">
        <v>210</v>
      </c>
      <c r="C105" s="28">
        <f>IF(Table_1[[#This Row],[Forest cover 2011]]&lt;1000,"Bosque menor a 1000 ha",Table_1[[#This Row],[Forest cover 2011]])</f>
        <v>264913.2</v>
      </c>
      <c r="D105" s="4">
        <v>264913.2</v>
      </c>
      <c r="E105" s="4">
        <v>2191.5</v>
      </c>
      <c r="F105" s="4">
        <v>1751.31</v>
      </c>
      <c r="G105" s="4">
        <v>3904.83</v>
      </c>
      <c r="H105" s="4">
        <f t="shared" si="0"/>
        <v>2615.8799999999997</v>
      </c>
      <c r="I105" s="4">
        <v>739.98</v>
      </c>
      <c r="J105" s="4">
        <v>4072.05</v>
      </c>
      <c r="K105" s="4">
        <v>1196.3699999999999</v>
      </c>
      <c r="L105" s="4">
        <f t="shared" si="1"/>
        <v>2002.8000000000002</v>
      </c>
      <c r="M105" s="10">
        <f t="shared" si="7"/>
        <v>0.98744796408785951</v>
      </c>
      <c r="N105" s="10">
        <f t="shared" si="8"/>
        <v>0.756021217515775</v>
      </c>
    </row>
    <row r="106" spans="1:14" ht="15.75" customHeight="1">
      <c r="A106" s="4">
        <v>21601</v>
      </c>
      <c r="B106" s="4" t="s">
        <v>191</v>
      </c>
      <c r="C106" s="27">
        <f>IF(Table_1[[#This Row],[Forest cover 2011]]&lt;1000,"Bosque menor a 1000 ha",Table_1[[#This Row],[Forest cover 2011]])</f>
        <v>140944.04999999999</v>
      </c>
      <c r="D106" s="4">
        <v>140944.04999999999</v>
      </c>
      <c r="E106" s="4">
        <v>387.72</v>
      </c>
      <c r="F106" s="4">
        <v>390.69</v>
      </c>
      <c r="G106" s="4">
        <v>562.86</v>
      </c>
      <c r="H106" s="4">
        <f t="shared" si="0"/>
        <v>447.09</v>
      </c>
      <c r="I106" s="4">
        <v>75.87</v>
      </c>
      <c r="J106" s="4">
        <v>162</v>
      </c>
      <c r="K106" s="4">
        <v>969.39</v>
      </c>
      <c r="L106" s="4">
        <f t="shared" si="1"/>
        <v>402.42</v>
      </c>
      <c r="M106" s="10">
        <f t="shared" si="7"/>
        <v>0.3172109783988753</v>
      </c>
      <c r="N106" s="10">
        <f t="shared" si="8"/>
        <v>0.28551755111336735</v>
      </c>
    </row>
    <row r="107" spans="1:14" ht="15.75" customHeight="1">
      <c r="A107" s="4">
        <v>21602</v>
      </c>
      <c r="B107" s="4" t="s">
        <v>250</v>
      </c>
      <c r="C107" s="28">
        <f>IF(Table_1[[#This Row],[Forest cover 2011]]&lt;1000,"Bosque menor a 1000 ha",Table_1[[#This Row],[Forest cover 2011]])</f>
        <v>8584.74</v>
      </c>
      <c r="D107" s="4">
        <v>8584.74</v>
      </c>
      <c r="E107" s="4">
        <v>83.7</v>
      </c>
      <c r="F107" s="4">
        <v>97.74</v>
      </c>
      <c r="G107" s="4">
        <v>57.6</v>
      </c>
      <c r="H107" s="4">
        <f t="shared" si="0"/>
        <v>79.679999999999993</v>
      </c>
      <c r="I107" s="4">
        <v>14.94</v>
      </c>
      <c r="J107" s="4">
        <v>15.21</v>
      </c>
      <c r="K107" s="4">
        <v>15.48</v>
      </c>
      <c r="L107" s="4">
        <f t="shared" si="1"/>
        <v>15.209999999999999</v>
      </c>
      <c r="M107" s="10">
        <f t="shared" si="7"/>
        <v>0.92815856974119182</v>
      </c>
      <c r="N107" s="10">
        <f t="shared" si="8"/>
        <v>0.17717484746189166</v>
      </c>
    </row>
    <row r="108" spans="1:14" ht="15.75" customHeight="1">
      <c r="A108" s="4">
        <v>21701</v>
      </c>
      <c r="B108" s="4" t="s">
        <v>316</v>
      </c>
      <c r="C108" s="27" t="str">
        <f>IF(Table_1[[#This Row],[Forest cover 2011]]&lt;1000,"Bosque menor a 1000 ha",Table_1[[#This Row],[Forest cover 2011]])</f>
        <v>Bosque menor a 1000 ha</v>
      </c>
      <c r="D108" s="4">
        <v>0</v>
      </c>
      <c r="E108" s="4">
        <v>0</v>
      </c>
      <c r="F108" s="4">
        <v>0</v>
      </c>
      <c r="G108" s="4">
        <v>0</v>
      </c>
      <c r="H108" s="4">
        <f t="shared" si="0"/>
        <v>0</v>
      </c>
      <c r="I108" s="4">
        <v>0</v>
      </c>
      <c r="J108" s="4">
        <v>0</v>
      </c>
      <c r="K108" s="4">
        <v>0</v>
      </c>
      <c r="L108" s="4">
        <f t="shared" si="1"/>
        <v>0</v>
      </c>
      <c r="M108" s="10" t="str">
        <f t="shared" si="7"/>
        <v/>
      </c>
      <c r="N108" s="10" t="str">
        <f t="shared" si="8"/>
        <v/>
      </c>
    </row>
    <row r="109" spans="1:14" ht="15.75" customHeight="1">
      <c r="A109" s="4">
        <v>21702</v>
      </c>
      <c r="B109" s="4" t="s">
        <v>317</v>
      </c>
      <c r="C109" s="28" t="str">
        <f>IF(Table_1[[#This Row],[Forest cover 2011]]&lt;1000,"Bosque menor a 1000 ha",Table_1[[#This Row],[Forest cover 2011]])</f>
        <v>Bosque menor a 1000 ha</v>
      </c>
      <c r="D109" s="4">
        <v>0</v>
      </c>
      <c r="E109" s="4">
        <v>0</v>
      </c>
      <c r="F109" s="4">
        <v>0</v>
      </c>
      <c r="G109" s="4">
        <v>0</v>
      </c>
      <c r="H109" s="4">
        <f t="shared" si="0"/>
        <v>0</v>
      </c>
      <c r="I109" s="4">
        <v>0</v>
      </c>
      <c r="J109" s="4">
        <v>0</v>
      </c>
      <c r="K109" s="4">
        <v>0</v>
      </c>
      <c r="L109" s="4">
        <f t="shared" si="1"/>
        <v>0</v>
      </c>
      <c r="M109" s="10" t="str">
        <f t="shared" si="7"/>
        <v/>
      </c>
      <c r="N109" s="10" t="str">
        <f t="shared" si="8"/>
        <v/>
      </c>
    </row>
    <row r="110" spans="1:14" ht="15.75" customHeight="1">
      <c r="A110" s="4">
        <v>21703</v>
      </c>
      <c r="B110" s="4" t="s">
        <v>318</v>
      </c>
      <c r="C110" s="27" t="str">
        <f>IF(Table_1[[#This Row],[Forest cover 2011]]&lt;1000,"Bosque menor a 1000 ha",Table_1[[#This Row],[Forest cover 2011]])</f>
        <v>Bosque menor a 1000 ha</v>
      </c>
      <c r="D110" s="4">
        <v>0</v>
      </c>
      <c r="E110" s="4">
        <v>0</v>
      </c>
      <c r="F110" s="4">
        <v>0</v>
      </c>
      <c r="G110" s="4">
        <v>0</v>
      </c>
      <c r="H110" s="4">
        <f t="shared" si="0"/>
        <v>0</v>
      </c>
      <c r="I110" s="4">
        <v>0</v>
      </c>
      <c r="J110" s="4">
        <v>0</v>
      </c>
      <c r="K110" s="4">
        <v>0</v>
      </c>
      <c r="L110" s="4">
        <f t="shared" si="1"/>
        <v>0</v>
      </c>
      <c r="M110" s="10" t="str">
        <f t="shared" si="7"/>
        <v/>
      </c>
      <c r="N110" s="10" t="str">
        <f t="shared" si="8"/>
        <v/>
      </c>
    </row>
    <row r="111" spans="1:14" ht="15.75" customHeight="1">
      <c r="A111" s="4">
        <v>21801</v>
      </c>
      <c r="B111" s="4" t="s">
        <v>319</v>
      </c>
      <c r="C111" s="28" t="str">
        <f>IF(Table_1[[#This Row],[Forest cover 2011]]&lt;1000,"Bosque menor a 1000 ha",Table_1[[#This Row],[Forest cover 2011]])</f>
        <v>Bosque menor a 1000 ha</v>
      </c>
      <c r="D111" s="4">
        <v>0</v>
      </c>
      <c r="E111" s="4">
        <v>0</v>
      </c>
      <c r="F111" s="4">
        <v>0</v>
      </c>
      <c r="G111" s="4">
        <v>0</v>
      </c>
      <c r="H111" s="4">
        <f t="shared" si="0"/>
        <v>0</v>
      </c>
      <c r="I111" s="4">
        <v>0</v>
      </c>
      <c r="J111" s="4">
        <v>0</v>
      </c>
      <c r="K111" s="4">
        <v>0</v>
      </c>
      <c r="L111" s="4">
        <f t="shared" si="1"/>
        <v>0</v>
      </c>
      <c r="M111" s="10" t="str">
        <f t="shared" si="7"/>
        <v/>
      </c>
      <c r="N111" s="10" t="str">
        <f t="shared" si="8"/>
        <v/>
      </c>
    </row>
    <row r="112" spans="1:14" ht="15.75" customHeight="1">
      <c r="A112" s="4">
        <v>21802</v>
      </c>
      <c r="B112" s="4" t="s">
        <v>320</v>
      </c>
      <c r="C112" s="27" t="str">
        <f>IF(Table_1[[#This Row],[Forest cover 2011]]&lt;1000,"Bosque menor a 1000 ha",Table_1[[#This Row],[Forest cover 2011]])</f>
        <v>Bosque menor a 1000 ha</v>
      </c>
      <c r="D112" s="4">
        <v>0</v>
      </c>
      <c r="E112" s="4">
        <v>0</v>
      </c>
      <c r="F112" s="4">
        <v>0</v>
      </c>
      <c r="G112" s="4">
        <v>0</v>
      </c>
      <c r="H112" s="4">
        <f t="shared" si="0"/>
        <v>0</v>
      </c>
      <c r="I112" s="4">
        <v>0</v>
      </c>
      <c r="J112" s="4">
        <v>0</v>
      </c>
      <c r="K112" s="4">
        <v>0</v>
      </c>
      <c r="L112" s="4">
        <f t="shared" si="1"/>
        <v>0</v>
      </c>
      <c r="M112" s="10" t="str">
        <f t="shared" si="7"/>
        <v/>
      </c>
      <c r="N112" s="10" t="str">
        <f t="shared" si="8"/>
        <v/>
      </c>
    </row>
    <row r="113" spans="1:14" ht="15.75" customHeight="1">
      <c r="A113" s="4">
        <v>21803</v>
      </c>
      <c r="B113" s="4" t="s">
        <v>321</v>
      </c>
      <c r="C113" s="28" t="str">
        <f>IF(Table_1[[#This Row],[Forest cover 2011]]&lt;1000,"Bosque menor a 1000 ha",Table_1[[#This Row],[Forest cover 2011]])</f>
        <v>Bosque menor a 1000 ha</v>
      </c>
      <c r="D113" s="4">
        <v>0</v>
      </c>
      <c r="E113" s="4">
        <v>0</v>
      </c>
      <c r="F113" s="4">
        <v>0</v>
      </c>
      <c r="G113" s="4">
        <v>0</v>
      </c>
      <c r="H113" s="4">
        <f t="shared" si="0"/>
        <v>0</v>
      </c>
      <c r="I113" s="4">
        <v>0</v>
      </c>
      <c r="J113" s="4">
        <v>0</v>
      </c>
      <c r="K113" s="4">
        <v>0</v>
      </c>
      <c r="L113" s="4">
        <f t="shared" si="1"/>
        <v>0</v>
      </c>
      <c r="M113" s="10" t="str">
        <f t="shared" si="7"/>
        <v/>
      </c>
      <c r="N113" s="10" t="str">
        <f t="shared" si="8"/>
        <v/>
      </c>
    </row>
    <row r="114" spans="1:14" ht="15.75" customHeight="1">
      <c r="A114" s="4">
        <v>21901</v>
      </c>
      <c r="B114" s="4" t="s">
        <v>322</v>
      </c>
      <c r="C114" s="27" t="str">
        <f>IF(Table_1[[#This Row],[Forest cover 2011]]&lt;1000,"Bosque menor a 1000 ha",Table_1[[#This Row],[Forest cover 2011]])</f>
        <v>Bosque menor a 1000 ha</v>
      </c>
      <c r="D114" s="4">
        <v>0</v>
      </c>
      <c r="E114" s="4">
        <v>0</v>
      </c>
      <c r="F114" s="4">
        <v>0</v>
      </c>
      <c r="G114" s="4">
        <v>0</v>
      </c>
      <c r="H114" s="4">
        <f t="shared" si="0"/>
        <v>0</v>
      </c>
      <c r="I114" s="4">
        <v>0</v>
      </c>
      <c r="J114" s="4">
        <v>0</v>
      </c>
      <c r="K114" s="4">
        <v>0</v>
      </c>
      <c r="L114" s="4">
        <f t="shared" si="1"/>
        <v>0</v>
      </c>
      <c r="M114" s="10" t="str">
        <f t="shared" si="7"/>
        <v/>
      </c>
      <c r="N114" s="10" t="str">
        <f t="shared" si="8"/>
        <v/>
      </c>
    </row>
    <row r="115" spans="1:14" ht="15.75" customHeight="1">
      <c r="A115" s="4">
        <v>21902</v>
      </c>
      <c r="B115" s="4" t="s">
        <v>323</v>
      </c>
      <c r="C115" s="28" t="str">
        <f>IF(Table_1[[#This Row],[Forest cover 2011]]&lt;1000,"Bosque menor a 1000 ha",Table_1[[#This Row],[Forest cover 2011]])</f>
        <v>Bosque menor a 1000 ha</v>
      </c>
      <c r="D115" s="4">
        <v>0</v>
      </c>
      <c r="E115" s="4">
        <v>0</v>
      </c>
      <c r="F115" s="4">
        <v>0</v>
      </c>
      <c r="G115" s="4">
        <v>0</v>
      </c>
      <c r="H115" s="4">
        <f t="shared" si="0"/>
        <v>0</v>
      </c>
      <c r="I115" s="4">
        <v>0</v>
      </c>
      <c r="J115" s="4">
        <v>0</v>
      </c>
      <c r="K115" s="4">
        <v>0</v>
      </c>
      <c r="L115" s="4">
        <f t="shared" si="1"/>
        <v>0</v>
      </c>
      <c r="M115" s="10" t="str">
        <f t="shared" si="7"/>
        <v/>
      </c>
      <c r="N115" s="10" t="str">
        <f t="shared" si="8"/>
        <v/>
      </c>
    </row>
    <row r="116" spans="1:14" ht="15.75" customHeight="1">
      <c r="A116" s="4">
        <v>22001</v>
      </c>
      <c r="B116" s="4" t="s">
        <v>201</v>
      </c>
      <c r="C116" s="27">
        <f>IF(Table_1[[#This Row],[Forest cover 2011]]&lt;1000,"Bosque menor a 1000 ha",Table_1[[#This Row],[Forest cover 2011]])</f>
        <v>141188.94</v>
      </c>
      <c r="D116" s="4">
        <v>141188.94</v>
      </c>
      <c r="E116" s="4">
        <v>387</v>
      </c>
      <c r="F116" s="4">
        <v>386.46</v>
      </c>
      <c r="G116" s="4">
        <v>656.91</v>
      </c>
      <c r="H116" s="4">
        <f t="shared" si="0"/>
        <v>476.78999999999996</v>
      </c>
      <c r="I116" s="4">
        <v>59.22</v>
      </c>
      <c r="J116" s="4">
        <v>6429.42</v>
      </c>
      <c r="K116" s="4">
        <v>780.12</v>
      </c>
      <c r="L116" s="4">
        <f t="shared" si="1"/>
        <v>2422.92</v>
      </c>
      <c r="M116" s="10">
        <f t="shared" si="7"/>
        <v>0.33769642296344171</v>
      </c>
      <c r="N116" s="10">
        <f t="shared" si="8"/>
        <v>1.7160834269313161</v>
      </c>
    </row>
    <row r="117" spans="1:14" ht="15.75" customHeight="1">
      <c r="A117" s="4">
        <v>22002</v>
      </c>
      <c r="B117" s="4" t="s">
        <v>126</v>
      </c>
      <c r="C117" s="28">
        <f>IF(Table_1[[#This Row],[Forest cover 2011]]&lt;1000,"Bosque menor a 1000 ha",Table_1[[#This Row],[Forest cover 2011]])</f>
        <v>94250.25</v>
      </c>
      <c r="D117" s="4">
        <v>94250.25</v>
      </c>
      <c r="E117" s="4">
        <v>623.42999999999995</v>
      </c>
      <c r="F117" s="4">
        <v>882.72</v>
      </c>
      <c r="G117" s="4">
        <v>1000.98</v>
      </c>
      <c r="H117" s="4">
        <f t="shared" si="0"/>
        <v>835.71</v>
      </c>
      <c r="I117" s="4">
        <v>383.13</v>
      </c>
      <c r="J117" s="4">
        <v>2332.62</v>
      </c>
      <c r="K117" s="4">
        <v>2453.94</v>
      </c>
      <c r="L117" s="4">
        <f t="shared" si="1"/>
        <v>1723.2300000000002</v>
      </c>
      <c r="M117" s="10">
        <f t="shared" si="7"/>
        <v>0.88669260824241847</v>
      </c>
      <c r="N117" s="10">
        <f t="shared" si="8"/>
        <v>1.8283558929551913</v>
      </c>
    </row>
    <row r="118" spans="1:14" ht="15.75" customHeight="1">
      <c r="A118" s="4">
        <v>30101</v>
      </c>
      <c r="B118" s="4" t="s">
        <v>132</v>
      </c>
      <c r="C118" s="27">
        <f>IF(Table_1[[#This Row],[Forest cover 2011]]&lt;1000,"Bosque menor a 1000 ha",Table_1[[#This Row],[Forest cover 2011]])</f>
        <v>1554.48</v>
      </c>
      <c r="D118" s="4">
        <v>1554.48</v>
      </c>
      <c r="E118" s="4">
        <v>11.07</v>
      </c>
      <c r="F118" s="4">
        <v>15.75</v>
      </c>
      <c r="G118" s="4">
        <v>10.26</v>
      </c>
      <c r="H118" s="4">
        <f t="shared" si="0"/>
        <v>12.36</v>
      </c>
      <c r="I118" s="4">
        <v>76.319999999999993</v>
      </c>
      <c r="J118" s="4">
        <v>99.990000000000009</v>
      </c>
      <c r="K118" s="4">
        <v>7.3800000000000008</v>
      </c>
      <c r="L118" s="4">
        <f t="shared" si="1"/>
        <v>61.23</v>
      </c>
      <c r="M118" s="10">
        <f t="shared" si="7"/>
        <v>0.79512119808553339</v>
      </c>
      <c r="N118" s="10">
        <f t="shared" si="8"/>
        <v>3.9389377798363432</v>
      </c>
    </row>
    <row r="119" spans="1:14" ht="15.75" customHeight="1">
      <c r="A119" s="4">
        <v>30201</v>
      </c>
      <c r="B119" s="4" t="s">
        <v>279</v>
      </c>
      <c r="C119" s="28">
        <f>IF(Table_1[[#This Row],[Forest cover 2011]]&lt;1000,"Bosque menor a 1000 ha",Table_1[[#This Row],[Forest cover 2011]])</f>
        <v>64407.96</v>
      </c>
      <c r="D119" s="4">
        <v>64407.96</v>
      </c>
      <c r="E119" s="4">
        <v>65.61</v>
      </c>
      <c r="F119" s="4">
        <v>54.9</v>
      </c>
      <c r="G119" s="4">
        <v>726.3</v>
      </c>
      <c r="H119" s="4">
        <f t="shared" si="0"/>
        <v>282.27</v>
      </c>
      <c r="I119" s="4">
        <v>1.8</v>
      </c>
      <c r="J119" s="4">
        <v>46.71</v>
      </c>
      <c r="K119" s="4">
        <v>14.94</v>
      </c>
      <c r="L119" s="4">
        <f t="shared" si="1"/>
        <v>21.15</v>
      </c>
      <c r="M119" s="10">
        <f t="shared" si="7"/>
        <v>0.4382532842213912</v>
      </c>
      <c r="N119" s="10">
        <f t="shared" si="8"/>
        <v>3.2837556103313938E-2</v>
      </c>
    </row>
    <row r="120" spans="1:14" ht="15.75" customHeight="1">
      <c r="A120" s="4">
        <v>30202</v>
      </c>
      <c r="B120" s="4" t="s">
        <v>248</v>
      </c>
      <c r="C120" s="27">
        <f>IF(Table_1[[#This Row],[Forest cover 2011]]&lt;1000,"Bosque menor a 1000 ha",Table_1[[#This Row],[Forest cover 2011]])</f>
        <v>73071.45</v>
      </c>
      <c r="D120" s="4">
        <v>73071.45</v>
      </c>
      <c r="E120" s="4">
        <v>106.2</v>
      </c>
      <c r="F120" s="4">
        <v>161.28</v>
      </c>
      <c r="G120" s="4">
        <v>1041.3</v>
      </c>
      <c r="H120" s="4">
        <f t="shared" si="0"/>
        <v>436.26</v>
      </c>
      <c r="I120" s="4">
        <v>43.83</v>
      </c>
      <c r="J120" s="4">
        <v>282.24</v>
      </c>
      <c r="K120" s="4">
        <v>142.74</v>
      </c>
      <c r="L120" s="4">
        <f t="shared" si="1"/>
        <v>156.27000000000001</v>
      </c>
      <c r="M120" s="10">
        <f t="shared" si="7"/>
        <v>0.59703208298179389</v>
      </c>
      <c r="N120" s="10">
        <f t="shared" si="8"/>
        <v>0.21385917482135636</v>
      </c>
    </row>
    <row r="121" spans="1:14" ht="15.75" customHeight="1">
      <c r="A121" s="4">
        <v>30203</v>
      </c>
      <c r="B121" s="4" t="s">
        <v>258</v>
      </c>
      <c r="C121" s="28">
        <f>IF(Table_1[[#This Row],[Forest cover 2011]]&lt;1000,"Bosque menor a 1000 ha",Table_1[[#This Row],[Forest cover 2011]])</f>
        <v>13046.13</v>
      </c>
      <c r="D121" s="4">
        <v>13046.13</v>
      </c>
      <c r="E121" s="4">
        <v>5.49</v>
      </c>
      <c r="F121" s="4">
        <v>11.07</v>
      </c>
      <c r="G121" s="4">
        <v>147.96</v>
      </c>
      <c r="H121" s="4">
        <f t="shared" si="0"/>
        <v>54.84</v>
      </c>
      <c r="I121" s="4">
        <v>27.63</v>
      </c>
      <c r="J121" s="4">
        <v>39.15</v>
      </c>
      <c r="K121" s="4">
        <v>18.09</v>
      </c>
      <c r="L121" s="4">
        <f t="shared" si="1"/>
        <v>28.290000000000003</v>
      </c>
      <c r="M121" s="10">
        <f t="shared" si="7"/>
        <v>0.42035454192162741</v>
      </c>
      <c r="N121" s="10">
        <f t="shared" si="8"/>
        <v>0.2168459152254347</v>
      </c>
    </row>
    <row r="122" spans="1:14" ht="15.75" customHeight="1">
      <c r="A122" s="4">
        <v>30301</v>
      </c>
      <c r="B122" s="4" t="s">
        <v>138</v>
      </c>
      <c r="C122" s="27">
        <f>IF(Table_1[[#This Row],[Forest cover 2011]]&lt;1000,"Bosque menor a 1000 ha",Table_1[[#This Row],[Forest cover 2011]])</f>
        <v>22230.99</v>
      </c>
      <c r="D122" s="4">
        <v>22230.99</v>
      </c>
      <c r="E122" s="4">
        <v>110.25</v>
      </c>
      <c r="F122" s="4">
        <v>71.099999999999994</v>
      </c>
      <c r="G122" s="4">
        <v>247.68</v>
      </c>
      <c r="H122" s="4">
        <f t="shared" si="0"/>
        <v>143.01</v>
      </c>
      <c r="I122" s="4">
        <v>16.829999999999998</v>
      </c>
      <c r="J122" s="4">
        <v>111.15</v>
      </c>
      <c r="K122" s="4">
        <v>461.07</v>
      </c>
      <c r="L122" s="4">
        <f t="shared" si="1"/>
        <v>196.35</v>
      </c>
      <c r="M122" s="10">
        <f t="shared" si="7"/>
        <v>0.64329118946119801</v>
      </c>
      <c r="N122" s="10">
        <f t="shared" si="8"/>
        <v>0.88322652297536008</v>
      </c>
    </row>
    <row r="123" spans="1:14" ht="15.75" customHeight="1">
      <c r="A123" s="4">
        <v>30302</v>
      </c>
      <c r="B123" s="4" t="s">
        <v>142</v>
      </c>
      <c r="C123" s="28">
        <f>IF(Table_1[[#This Row],[Forest cover 2011]]&lt;1000,"Bosque menor a 1000 ha",Table_1[[#This Row],[Forest cover 2011]])</f>
        <v>7965.4499999999989</v>
      </c>
      <c r="D123" s="4">
        <v>7965.4499999999989</v>
      </c>
      <c r="E123" s="4">
        <v>51.75</v>
      </c>
      <c r="F123" s="4">
        <v>18.63</v>
      </c>
      <c r="G123" s="4">
        <v>98.46</v>
      </c>
      <c r="H123" s="4">
        <f t="shared" si="0"/>
        <v>56.279999999999994</v>
      </c>
      <c r="I123" s="4">
        <v>3.15</v>
      </c>
      <c r="J123" s="4">
        <v>22.5</v>
      </c>
      <c r="K123" s="4">
        <v>153.36000000000001</v>
      </c>
      <c r="L123" s="4">
        <f t="shared" si="1"/>
        <v>59.670000000000009</v>
      </c>
      <c r="M123" s="10">
        <f t="shared" si="7"/>
        <v>0.70655141894054951</v>
      </c>
      <c r="N123" s="10">
        <f t="shared" si="8"/>
        <v>0.74911021976159564</v>
      </c>
    </row>
    <row r="124" spans="1:14" ht="15.75" customHeight="1">
      <c r="A124" s="4">
        <v>30303</v>
      </c>
      <c r="B124" s="4" t="s">
        <v>217</v>
      </c>
      <c r="C124" s="27">
        <f>IF(Table_1[[#This Row],[Forest cover 2011]]&lt;1000,"Bosque menor a 1000 ha",Table_1[[#This Row],[Forest cover 2011]])</f>
        <v>527519.88</v>
      </c>
      <c r="D124" s="4">
        <v>527519.88</v>
      </c>
      <c r="E124" s="4">
        <v>661.86</v>
      </c>
      <c r="F124" s="4">
        <v>600.66</v>
      </c>
      <c r="G124" s="4">
        <v>970.38</v>
      </c>
      <c r="H124" s="4">
        <f t="shared" si="0"/>
        <v>744.30000000000007</v>
      </c>
      <c r="I124" s="4">
        <v>609.57000000000005</v>
      </c>
      <c r="J124" s="4">
        <v>2108.0700000000002</v>
      </c>
      <c r="K124" s="4">
        <v>2199.33</v>
      </c>
      <c r="L124" s="4">
        <f t="shared" si="1"/>
        <v>1638.99</v>
      </c>
      <c r="M124" s="10">
        <f t="shared" si="7"/>
        <v>0.14109420862015665</v>
      </c>
      <c r="N124" s="10">
        <f t="shared" si="8"/>
        <v>0.31069729542704627</v>
      </c>
    </row>
    <row r="125" spans="1:14" ht="15.75" customHeight="1">
      <c r="A125" s="4">
        <v>30401</v>
      </c>
      <c r="B125" s="4" t="s">
        <v>282</v>
      </c>
      <c r="C125" s="28" t="str">
        <f>IF(Table_1[[#This Row],[Forest cover 2011]]&lt;1000,"Bosque menor a 1000 ha",Table_1[[#This Row],[Forest cover 2011]])</f>
        <v>Bosque menor a 1000 ha</v>
      </c>
      <c r="D125" s="4">
        <v>496.98</v>
      </c>
      <c r="E125" s="4">
        <v>0.81</v>
      </c>
      <c r="F125" s="4">
        <v>0.72</v>
      </c>
      <c r="G125" s="4">
        <v>11.52</v>
      </c>
      <c r="H125" s="4">
        <f t="shared" si="0"/>
        <v>4.3499999999999996</v>
      </c>
      <c r="I125" s="4">
        <v>0.9</v>
      </c>
      <c r="J125" s="4">
        <v>3.33</v>
      </c>
      <c r="K125" s="4">
        <v>0.09</v>
      </c>
      <c r="L125" s="4">
        <f t="shared" si="1"/>
        <v>1.4400000000000002</v>
      </c>
      <c r="M125" s="10" t="str">
        <f t="shared" si="7"/>
        <v/>
      </c>
      <c r="N125" s="10" t="str">
        <f t="shared" si="8"/>
        <v/>
      </c>
    </row>
    <row r="126" spans="1:14" ht="15.75" customHeight="1">
      <c r="A126" s="4">
        <v>30402</v>
      </c>
      <c r="B126" s="4" t="s">
        <v>281</v>
      </c>
      <c r="C126" s="27">
        <f>IF(Table_1[[#This Row],[Forest cover 2011]]&lt;1000,"Bosque menor a 1000 ha",Table_1[[#This Row],[Forest cover 2011]])</f>
        <v>1961.55</v>
      </c>
      <c r="D126" s="4">
        <v>1961.55</v>
      </c>
      <c r="E126" s="4">
        <v>4.9499999999999993</v>
      </c>
      <c r="F126" s="4">
        <v>3.6</v>
      </c>
      <c r="G126" s="4">
        <v>46.44</v>
      </c>
      <c r="H126" s="4">
        <f t="shared" si="0"/>
        <v>18.329999999999998</v>
      </c>
      <c r="I126" s="4">
        <v>0.63</v>
      </c>
      <c r="J126" s="4">
        <v>13.59</v>
      </c>
      <c r="K126" s="4">
        <v>0.36</v>
      </c>
      <c r="L126" s="4">
        <f t="shared" si="1"/>
        <v>4.8600000000000003</v>
      </c>
      <c r="M126" s="10">
        <f t="shared" si="7"/>
        <v>0.93446509138181522</v>
      </c>
      <c r="N126" s="10">
        <f t="shared" si="8"/>
        <v>0.24776324845147973</v>
      </c>
    </row>
    <row r="127" spans="1:14" ht="15.75" customHeight="1">
      <c r="A127" s="4">
        <v>30403</v>
      </c>
      <c r="B127" s="4" t="s">
        <v>224</v>
      </c>
      <c r="C127" s="28" t="str">
        <f>IF(Table_1[[#This Row],[Forest cover 2011]]&lt;1000,"Bosque menor a 1000 ha",Table_1[[#This Row],[Forest cover 2011]])</f>
        <v>Bosque menor a 1000 ha</v>
      </c>
      <c r="D127" s="4">
        <v>0</v>
      </c>
      <c r="E127" s="4">
        <v>0</v>
      </c>
      <c r="F127" s="4">
        <v>0</v>
      </c>
      <c r="G127" s="4">
        <v>0</v>
      </c>
      <c r="H127" s="4">
        <f t="shared" si="0"/>
        <v>0</v>
      </c>
      <c r="I127" s="4">
        <v>0</v>
      </c>
      <c r="J127" s="4">
        <v>0</v>
      </c>
      <c r="K127" s="4">
        <v>0</v>
      </c>
      <c r="L127" s="4">
        <f t="shared" si="1"/>
        <v>0</v>
      </c>
      <c r="M127" s="10" t="str">
        <f t="shared" si="7"/>
        <v/>
      </c>
      <c r="N127" s="10" t="str">
        <f t="shared" si="8"/>
        <v/>
      </c>
    </row>
    <row r="128" spans="1:14" ht="15.75" customHeight="1">
      <c r="A128" s="4">
        <v>30404</v>
      </c>
      <c r="B128" s="4" t="s">
        <v>259</v>
      </c>
      <c r="C128" s="27" t="str">
        <f>IF(Table_1[[#This Row],[Forest cover 2011]]&lt;1000,"Bosque menor a 1000 ha",Table_1[[#This Row],[Forest cover 2011]])</f>
        <v>Bosque menor a 1000 ha</v>
      </c>
      <c r="D128" s="4">
        <v>0</v>
      </c>
      <c r="E128" s="4">
        <v>0</v>
      </c>
      <c r="F128" s="4">
        <v>0</v>
      </c>
      <c r="G128" s="4">
        <v>0</v>
      </c>
      <c r="H128" s="4">
        <f t="shared" si="0"/>
        <v>0</v>
      </c>
      <c r="I128" s="4">
        <v>0</v>
      </c>
      <c r="J128" s="4">
        <v>0</v>
      </c>
      <c r="K128" s="4">
        <v>0</v>
      </c>
      <c r="L128" s="4">
        <f t="shared" si="1"/>
        <v>0</v>
      </c>
      <c r="M128" s="10" t="str">
        <f t="shared" si="7"/>
        <v/>
      </c>
      <c r="N128" s="10" t="str">
        <f t="shared" si="8"/>
        <v/>
      </c>
    </row>
    <row r="129" spans="1:14" ht="15.75" customHeight="1">
      <c r="A129" s="4">
        <v>30501</v>
      </c>
      <c r="B129" s="4" t="s">
        <v>211</v>
      </c>
      <c r="C129" s="28" t="str">
        <f>IF(Table_1[[#This Row],[Forest cover 2011]]&lt;1000,"Bosque menor a 1000 ha",Table_1[[#This Row],[Forest cover 2011]])</f>
        <v>Bosque menor a 1000 ha</v>
      </c>
      <c r="D129" s="4">
        <v>321.39</v>
      </c>
      <c r="E129" s="4">
        <v>1.62</v>
      </c>
      <c r="F129" s="4">
        <v>1.35</v>
      </c>
      <c r="G129" s="4">
        <v>7.02</v>
      </c>
      <c r="H129" s="4">
        <f t="shared" si="0"/>
        <v>3.33</v>
      </c>
      <c r="I129" s="4">
        <v>3.87</v>
      </c>
      <c r="J129" s="4">
        <v>32.94</v>
      </c>
      <c r="K129" s="4">
        <v>1.44</v>
      </c>
      <c r="L129" s="4">
        <f t="shared" si="1"/>
        <v>12.749999999999998</v>
      </c>
      <c r="M129" s="10" t="str">
        <f t="shared" si="7"/>
        <v/>
      </c>
      <c r="N129" s="10" t="str">
        <f t="shared" si="8"/>
        <v/>
      </c>
    </row>
    <row r="130" spans="1:14" ht="15.75" customHeight="1">
      <c r="A130" s="4">
        <v>30502</v>
      </c>
      <c r="B130" s="4" t="s">
        <v>255</v>
      </c>
      <c r="C130" s="27" t="str">
        <f>IF(Table_1[[#This Row],[Forest cover 2011]]&lt;1000,"Bosque menor a 1000 ha",Table_1[[#This Row],[Forest cover 2011]])</f>
        <v>Bosque menor a 1000 ha</v>
      </c>
      <c r="D130" s="4">
        <v>529.38</v>
      </c>
      <c r="E130" s="4">
        <v>1.17</v>
      </c>
      <c r="F130" s="4">
        <v>1.17</v>
      </c>
      <c r="G130" s="4">
        <v>7.38</v>
      </c>
      <c r="H130" s="4">
        <f t="shared" si="0"/>
        <v>3.2399999999999998</v>
      </c>
      <c r="I130" s="4">
        <v>16.649999999999999</v>
      </c>
      <c r="J130" s="4">
        <v>49.68</v>
      </c>
      <c r="K130" s="4">
        <v>0.80999999999999994</v>
      </c>
      <c r="L130" s="4">
        <f t="shared" si="1"/>
        <v>22.38</v>
      </c>
      <c r="M130" s="10" t="str">
        <f t="shared" si="7"/>
        <v/>
      </c>
      <c r="N130" s="10" t="str">
        <f t="shared" si="8"/>
        <v/>
      </c>
    </row>
    <row r="131" spans="1:14" ht="15.75" customHeight="1">
      <c r="A131" s="4">
        <v>30601</v>
      </c>
      <c r="B131" s="4" t="s">
        <v>392</v>
      </c>
      <c r="C131" s="28" t="str">
        <f>IF(Table_1[[#This Row],[Forest cover 2011]]&lt;1000,"Bosque menor a 1000 ha",Table_1[[#This Row],[Forest cover 2011]])</f>
        <v>Bosque menor a 1000 ha</v>
      </c>
      <c r="D131" s="4">
        <v>0</v>
      </c>
      <c r="E131" s="4">
        <v>0</v>
      </c>
      <c r="F131" s="4">
        <v>0</v>
      </c>
      <c r="G131" s="4">
        <v>0</v>
      </c>
      <c r="H131" s="4">
        <f t="shared" si="0"/>
        <v>0</v>
      </c>
      <c r="I131" s="4">
        <v>0</v>
      </c>
      <c r="J131" s="4">
        <v>0</v>
      </c>
      <c r="K131" s="4">
        <v>0</v>
      </c>
      <c r="L131" s="4">
        <f t="shared" si="1"/>
        <v>0</v>
      </c>
      <c r="M131" s="10" t="str">
        <f t="shared" ref="M131:M194" si="9">IF(D131&lt;1000,"",(H131/D131)*100)</f>
        <v/>
      </c>
      <c r="N131" s="10" t="str">
        <f t="shared" ref="N131:N194" si="10">IF(D131&lt;1000,"",(L131/D131)*100)</f>
        <v/>
      </c>
    </row>
    <row r="132" spans="1:14" ht="15.75" customHeight="1">
      <c r="A132" s="4">
        <v>30602</v>
      </c>
      <c r="B132" s="4" t="s">
        <v>389</v>
      </c>
      <c r="C132" s="27" t="str">
        <f>IF(Table_1[[#This Row],[Forest cover 2011]]&lt;1000,"Bosque menor a 1000 ha",Table_1[[#This Row],[Forest cover 2011]])</f>
        <v>Bosque menor a 1000 ha</v>
      </c>
      <c r="D132" s="4">
        <v>0</v>
      </c>
      <c r="E132" s="4">
        <v>0</v>
      </c>
      <c r="F132" s="4">
        <v>0</v>
      </c>
      <c r="G132" s="4">
        <v>0</v>
      </c>
      <c r="H132" s="4">
        <f t="shared" si="0"/>
        <v>0</v>
      </c>
      <c r="I132" s="4">
        <v>0</v>
      </c>
      <c r="J132" s="4">
        <v>0</v>
      </c>
      <c r="K132" s="4">
        <v>0</v>
      </c>
      <c r="L132" s="4">
        <f t="shared" si="1"/>
        <v>0</v>
      </c>
      <c r="M132" s="10" t="str">
        <f t="shared" si="9"/>
        <v/>
      </c>
      <c r="N132" s="10" t="str">
        <f t="shared" si="10"/>
        <v/>
      </c>
    </row>
    <row r="133" spans="1:14" ht="15.75" customHeight="1">
      <c r="A133" s="4">
        <v>30701</v>
      </c>
      <c r="B133" s="4" t="s">
        <v>237</v>
      </c>
      <c r="C133" s="28" t="str">
        <f>IF(Table_1[[#This Row],[Forest cover 2011]]&lt;1000,"Bosque menor a 1000 ha",Table_1[[#This Row],[Forest cover 2011]])</f>
        <v>Bosque menor a 1000 ha</v>
      </c>
      <c r="D133" s="4">
        <v>571.14</v>
      </c>
      <c r="E133" s="4">
        <v>0.81</v>
      </c>
      <c r="F133" s="4">
        <v>3.96</v>
      </c>
      <c r="G133" s="4">
        <v>10.71</v>
      </c>
      <c r="H133" s="4">
        <f t="shared" si="0"/>
        <v>5.16</v>
      </c>
      <c r="I133" s="4">
        <v>22.32</v>
      </c>
      <c r="J133" s="4">
        <v>19.260000000000002</v>
      </c>
      <c r="K133" s="4">
        <v>1.53</v>
      </c>
      <c r="L133" s="4">
        <f t="shared" si="1"/>
        <v>14.37</v>
      </c>
      <c r="M133" s="10" t="str">
        <f t="shared" si="9"/>
        <v/>
      </c>
      <c r="N133" s="10" t="str">
        <f t="shared" si="10"/>
        <v/>
      </c>
    </row>
    <row r="134" spans="1:14" ht="15.75" customHeight="1">
      <c r="A134" s="4">
        <v>30702</v>
      </c>
      <c r="B134" s="4" t="s">
        <v>283</v>
      </c>
      <c r="C134" s="27">
        <f>IF(Table_1[[#This Row],[Forest cover 2011]]&lt;1000,"Bosque menor a 1000 ha",Table_1[[#This Row],[Forest cover 2011]])</f>
        <v>1261.3499999999999</v>
      </c>
      <c r="D134" s="4">
        <v>1261.3499999999999</v>
      </c>
      <c r="E134" s="4">
        <v>0.72</v>
      </c>
      <c r="F134" s="4">
        <v>1.17</v>
      </c>
      <c r="G134" s="4">
        <v>30.33</v>
      </c>
      <c r="H134" s="4">
        <f t="shared" si="0"/>
        <v>10.74</v>
      </c>
      <c r="I134" s="4">
        <v>9.9</v>
      </c>
      <c r="J134" s="4">
        <v>6.66</v>
      </c>
      <c r="K134" s="4">
        <v>0.18</v>
      </c>
      <c r="L134" s="4">
        <f t="shared" si="1"/>
        <v>5.580000000000001</v>
      </c>
      <c r="M134" s="10">
        <f t="shared" si="9"/>
        <v>0.85146866452610304</v>
      </c>
      <c r="N134" s="10">
        <f t="shared" si="10"/>
        <v>0.44238316089903684</v>
      </c>
    </row>
    <row r="135" spans="1:14" ht="15.75" customHeight="1">
      <c r="A135" s="4">
        <v>30703</v>
      </c>
      <c r="B135" s="4" t="s">
        <v>267</v>
      </c>
      <c r="C135" s="28" t="str">
        <f>IF(Table_1[[#This Row],[Forest cover 2011]]&lt;1000,"Bosque menor a 1000 ha",Table_1[[#This Row],[Forest cover 2011]])</f>
        <v>Bosque menor a 1000 ha</v>
      </c>
      <c r="D135" s="4">
        <v>0</v>
      </c>
      <c r="E135" s="4">
        <v>0</v>
      </c>
      <c r="F135" s="4">
        <v>0</v>
      </c>
      <c r="G135" s="4">
        <v>0</v>
      </c>
      <c r="H135" s="4">
        <f t="shared" si="0"/>
        <v>0</v>
      </c>
      <c r="I135" s="4">
        <v>0</v>
      </c>
      <c r="J135" s="4">
        <v>0</v>
      </c>
      <c r="K135" s="4">
        <v>0</v>
      </c>
      <c r="L135" s="4">
        <f t="shared" si="1"/>
        <v>0</v>
      </c>
      <c r="M135" s="10" t="str">
        <f t="shared" si="9"/>
        <v/>
      </c>
      <c r="N135" s="10" t="str">
        <f t="shared" si="10"/>
        <v/>
      </c>
    </row>
    <row r="136" spans="1:14" ht="15.75" customHeight="1">
      <c r="A136" s="4">
        <v>30801</v>
      </c>
      <c r="B136" s="4" t="s">
        <v>324</v>
      </c>
      <c r="C136" s="27" t="str">
        <f>IF(Table_1[[#This Row],[Forest cover 2011]]&lt;1000,"Bosque menor a 1000 ha",Table_1[[#This Row],[Forest cover 2011]])</f>
        <v>Bosque menor a 1000 ha</v>
      </c>
      <c r="D136" s="4">
        <v>0</v>
      </c>
      <c r="E136" s="4">
        <v>0</v>
      </c>
      <c r="F136" s="4">
        <v>0</v>
      </c>
      <c r="G136" s="4">
        <v>0</v>
      </c>
      <c r="H136" s="4">
        <f t="shared" si="0"/>
        <v>0</v>
      </c>
      <c r="I136" s="4">
        <v>0</v>
      </c>
      <c r="J136" s="4">
        <v>0</v>
      </c>
      <c r="K136" s="4">
        <v>0</v>
      </c>
      <c r="L136" s="4">
        <f t="shared" si="1"/>
        <v>0</v>
      </c>
      <c r="M136" s="10" t="str">
        <f t="shared" si="9"/>
        <v/>
      </c>
      <c r="N136" s="10" t="str">
        <f t="shared" si="10"/>
        <v/>
      </c>
    </row>
    <row r="137" spans="1:14" ht="15.75" customHeight="1">
      <c r="A137" s="4">
        <v>30802</v>
      </c>
      <c r="B137" s="4" t="s">
        <v>381</v>
      </c>
      <c r="C137" s="28" t="str">
        <f>IF(Table_1[[#This Row],[Forest cover 2011]]&lt;1000,"Bosque menor a 1000 ha",Table_1[[#This Row],[Forest cover 2011]])</f>
        <v>Bosque menor a 1000 ha</v>
      </c>
      <c r="D137" s="4">
        <v>0</v>
      </c>
      <c r="E137" s="4">
        <v>0</v>
      </c>
      <c r="F137" s="4">
        <v>0</v>
      </c>
      <c r="G137" s="4">
        <v>0</v>
      </c>
      <c r="H137" s="4">
        <f t="shared" si="0"/>
        <v>0</v>
      </c>
      <c r="I137" s="4">
        <v>0</v>
      </c>
      <c r="J137" s="4">
        <v>0</v>
      </c>
      <c r="K137" s="4">
        <v>0</v>
      </c>
      <c r="L137" s="4">
        <f t="shared" si="1"/>
        <v>0</v>
      </c>
      <c r="M137" s="10" t="str">
        <f t="shared" si="9"/>
        <v/>
      </c>
      <c r="N137" s="10" t="str">
        <f t="shared" si="10"/>
        <v/>
      </c>
    </row>
    <row r="138" spans="1:14" ht="15.75" customHeight="1">
      <c r="A138" s="4">
        <v>30803</v>
      </c>
      <c r="B138" s="4" t="s">
        <v>391</v>
      </c>
      <c r="C138" s="27" t="str">
        <f>IF(Table_1[[#This Row],[Forest cover 2011]]&lt;1000,"Bosque menor a 1000 ha",Table_1[[#This Row],[Forest cover 2011]])</f>
        <v>Bosque menor a 1000 ha</v>
      </c>
      <c r="D138" s="4">
        <v>0</v>
      </c>
      <c r="E138" s="4">
        <v>0</v>
      </c>
      <c r="F138" s="4">
        <v>0</v>
      </c>
      <c r="G138" s="4">
        <v>0</v>
      </c>
      <c r="H138" s="4">
        <f t="shared" si="0"/>
        <v>0</v>
      </c>
      <c r="I138" s="4">
        <v>0</v>
      </c>
      <c r="J138" s="4">
        <v>0</v>
      </c>
      <c r="K138" s="4">
        <v>0</v>
      </c>
      <c r="L138" s="4">
        <f t="shared" si="1"/>
        <v>0</v>
      </c>
      <c r="M138" s="10" t="str">
        <f t="shared" si="9"/>
        <v/>
      </c>
      <c r="N138" s="10" t="str">
        <f t="shared" si="10"/>
        <v/>
      </c>
    </row>
    <row r="139" spans="1:14" ht="15.75" customHeight="1">
      <c r="A139" s="4">
        <v>30901</v>
      </c>
      <c r="B139" s="4" t="s">
        <v>261</v>
      </c>
      <c r="C139" s="28">
        <f>IF(Table_1[[#This Row],[Forest cover 2011]]&lt;1000,"Bosque menor a 1000 ha",Table_1[[#This Row],[Forest cover 2011]])</f>
        <v>1477.98</v>
      </c>
      <c r="D139" s="4">
        <v>1477.98</v>
      </c>
      <c r="E139" s="4">
        <v>7.47</v>
      </c>
      <c r="F139" s="4">
        <v>9.7200000000000006</v>
      </c>
      <c r="G139" s="4">
        <v>22.05</v>
      </c>
      <c r="H139" s="4">
        <f t="shared" si="0"/>
        <v>13.08</v>
      </c>
      <c r="I139" s="4">
        <v>154.26</v>
      </c>
      <c r="J139" s="4">
        <v>149.49</v>
      </c>
      <c r="K139" s="4">
        <v>1.8</v>
      </c>
      <c r="L139" s="4">
        <f t="shared" si="1"/>
        <v>101.85000000000001</v>
      </c>
      <c r="M139" s="10">
        <f t="shared" si="9"/>
        <v>0.88499167783055255</v>
      </c>
      <c r="N139" s="10">
        <f t="shared" si="10"/>
        <v>6.8911622620062518</v>
      </c>
    </row>
    <row r="140" spans="1:14" ht="15.75" customHeight="1">
      <c r="A140" s="4">
        <v>30902</v>
      </c>
      <c r="B140" s="4" t="s">
        <v>234</v>
      </c>
      <c r="C140" s="27">
        <f>IF(Table_1[[#This Row],[Forest cover 2011]]&lt;1000,"Bosque menor a 1000 ha",Table_1[[#This Row],[Forest cover 2011]])</f>
        <v>1239.75</v>
      </c>
      <c r="D140" s="4">
        <v>1239.75</v>
      </c>
      <c r="E140" s="4">
        <v>1.44</v>
      </c>
      <c r="F140" s="4">
        <v>3.24</v>
      </c>
      <c r="G140" s="4">
        <v>17.28</v>
      </c>
      <c r="H140" s="4">
        <f t="shared" si="0"/>
        <v>7.32</v>
      </c>
      <c r="I140" s="4">
        <v>72.449999999999989</v>
      </c>
      <c r="J140" s="4">
        <v>75.42</v>
      </c>
      <c r="K140" s="4">
        <v>3.42</v>
      </c>
      <c r="L140" s="4">
        <f t="shared" si="1"/>
        <v>50.43</v>
      </c>
      <c r="M140" s="10">
        <f t="shared" si="9"/>
        <v>0.59044162129461586</v>
      </c>
      <c r="N140" s="10">
        <f t="shared" si="10"/>
        <v>4.0677555958862675</v>
      </c>
    </row>
    <row r="141" spans="1:14" ht="15.75" customHeight="1">
      <c r="A141" s="4">
        <v>30903</v>
      </c>
      <c r="B141" s="4" t="s">
        <v>227</v>
      </c>
      <c r="C141" s="28">
        <f>IF(Table_1[[#This Row],[Forest cover 2011]]&lt;1000,"Bosque menor a 1000 ha",Table_1[[#This Row],[Forest cover 2011]])</f>
        <v>1077.1199999999999</v>
      </c>
      <c r="D141" s="4">
        <v>1077.1199999999999</v>
      </c>
      <c r="E141" s="4">
        <v>4.41</v>
      </c>
      <c r="F141" s="4">
        <v>9.4499999999999993</v>
      </c>
      <c r="G141" s="4">
        <v>21.24</v>
      </c>
      <c r="H141" s="4">
        <f t="shared" si="0"/>
        <v>11.699999999999998</v>
      </c>
      <c r="I141" s="4">
        <v>179.82</v>
      </c>
      <c r="J141" s="4">
        <v>225.18</v>
      </c>
      <c r="K141" s="4">
        <v>3.78</v>
      </c>
      <c r="L141" s="4">
        <f t="shared" si="1"/>
        <v>136.26</v>
      </c>
      <c r="M141" s="10">
        <f t="shared" si="9"/>
        <v>1.0862299465240639</v>
      </c>
      <c r="N141" s="10">
        <f t="shared" si="10"/>
        <v>12.650401069518717</v>
      </c>
    </row>
    <row r="142" spans="1:14" ht="15.75" customHeight="1">
      <c r="A142" s="4">
        <v>30904</v>
      </c>
      <c r="B142" s="4" t="s">
        <v>244</v>
      </c>
      <c r="C142" s="27">
        <f>IF(Table_1[[#This Row],[Forest cover 2011]]&lt;1000,"Bosque menor a 1000 ha",Table_1[[#This Row],[Forest cover 2011]])</f>
        <v>1631.61</v>
      </c>
      <c r="D142" s="4">
        <v>1631.61</v>
      </c>
      <c r="E142" s="4">
        <v>2.97</v>
      </c>
      <c r="F142" s="4">
        <v>12.06</v>
      </c>
      <c r="G142" s="4">
        <v>24.12</v>
      </c>
      <c r="H142" s="4">
        <f t="shared" si="0"/>
        <v>13.050000000000002</v>
      </c>
      <c r="I142" s="4">
        <v>140.94</v>
      </c>
      <c r="J142" s="4">
        <v>133.91999999999999</v>
      </c>
      <c r="K142" s="4">
        <v>3.87</v>
      </c>
      <c r="L142" s="4">
        <f t="shared" si="1"/>
        <v>92.910000000000011</v>
      </c>
      <c r="M142" s="10">
        <f t="shared" si="9"/>
        <v>0.79982348723040453</v>
      </c>
      <c r="N142" s="10">
        <f t="shared" si="10"/>
        <v>5.6943754941438218</v>
      </c>
    </row>
    <row r="143" spans="1:14" ht="15.75" customHeight="1">
      <c r="A143" s="4">
        <v>30905</v>
      </c>
      <c r="B143" s="4" t="s">
        <v>253</v>
      </c>
      <c r="C143" s="28" t="str">
        <f>IF(Table_1[[#This Row],[Forest cover 2011]]&lt;1000,"Bosque menor a 1000 ha",Table_1[[#This Row],[Forest cover 2011]])</f>
        <v>Bosque menor a 1000 ha</v>
      </c>
      <c r="D143" s="4">
        <v>340.92</v>
      </c>
      <c r="E143" s="4">
        <v>1.53</v>
      </c>
      <c r="F143" s="4">
        <v>3.87</v>
      </c>
      <c r="G143" s="4">
        <v>3.87</v>
      </c>
      <c r="H143" s="4">
        <f t="shared" si="0"/>
        <v>3.09</v>
      </c>
      <c r="I143" s="4">
        <v>82.62</v>
      </c>
      <c r="J143" s="4">
        <v>80.55</v>
      </c>
      <c r="K143" s="4">
        <v>0.54</v>
      </c>
      <c r="L143" s="4">
        <f t="shared" si="1"/>
        <v>54.57</v>
      </c>
      <c r="M143" s="10" t="str">
        <f t="shared" si="9"/>
        <v/>
      </c>
      <c r="N143" s="10" t="str">
        <f t="shared" si="10"/>
        <v/>
      </c>
    </row>
    <row r="144" spans="1:14" ht="15.75" customHeight="1">
      <c r="A144" s="4">
        <v>31001</v>
      </c>
      <c r="B144" s="4" t="s">
        <v>232</v>
      </c>
      <c r="C144" s="27">
        <f>IF(Table_1[[#This Row],[Forest cover 2011]]&lt;1000,"Bosque menor a 1000 ha",Table_1[[#This Row],[Forest cover 2011]])</f>
        <v>1583.91</v>
      </c>
      <c r="D144" s="4">
        <v>1583.91</v>
      </c>
      <c r="E144" s="4">
        <v>12.42</v>
      </c>
      <c r="F144" s="4">
        <v>14.31</v>
      </c>
      <c r="G144" s="4">
        <v>38.43</v>
      </c>
      <c r="H144" s="4">
        <f t="shared" si="0"/>
        <v>21.72</v>
      </c>
      <c r="I144" s="4">
        <v>44.46</v>
      </c>
      <c r="J144" s="4">
        <v>184.23</v>
      </c>
      <c r="K144" s="4">
        <v>4.41</v>
      </c>
      <c r="L144" s="4">
        <f t="shared" si="1"/>
        <v>77.7</v>
      </c>
      <c r="M144" s="10">
        <f t="shared" si="9"/>
        <v>1.371290035418679</v>
      </c>
      <c r="N144" s="10">
        <f t="shared" si="10"/>
        <v>4.9055817565391973</v>
      </c>
    </row>
    <row r="145" spans="1:14" ht="15.75" customHeight="1">
      <c r="A145" s="4">
        <v>31002</v>
      </c>
      <c r="B145" s="4" t="s">
        <v>220</v>
      </c>
      <c r="C145" s="28">
        <f>IF(Table_1[[#This Row],[Forest cover 2011]]&lt;1000,"Bosque menor a 1000 ha",Table_1[[#This Row],[Forest cover 2011]])</f>
        <v>15156.63</v>
      </c>
      <c r="D145" s="4">
        <v>15156.63</v>
      </c>
      <c r="E145" s="4">
        <v>139.13999999999999</v>
      </c>
      <c r="F145" s="4">
        <v>133.38</v>
      </c>
      <c r="G145" s="4">
        <v>134.01</v>
      </c>
      <c r="H145" s="4">
        <f t="shared" si="0"/>
        <v>135.51</v>
      </c>
      <c r="I145" s="4">
        <v>178.83</v>
      </c>
      <c r="J145" s="4">
        <v>542.97</v>
      </c>
      <c r="K145" s="4">
        <v>60.21</v>
      </c>
      <c r="L145" s="4">
        <f t="shared" si="1"/>
        <v>260.67</v>
      </c>
      <c r="M145" s="10">
        <f t="shared" si="9"/>
        <v>0.89406418181350344</v>
      </c>
      <c r="N145" s="10">
        <f t="shared" si="10"/>
        <v>1.719841415934809</v>
      </c>
    </row>
    <row r="146" spans="1:14" ht="15.75" customHeight="1">
      <c r="A146" s="4">
        <v>31003</v>
      </c>
      <c r="B146" s="4" t="s">
        <v>171</v>
      </c>
      <c r="C146" s="27">
        <f>IF(Table_1[[#This Row],[Forest cover 2011]]&lt;1000,"Bosque menor a 1000 ha",Table_1[[#This Row],[Forest cover 2011]])</f>
        <v>816866.01</v>
      </c>
      <c r="D146" s="4">
        <v>816866.01</v>
      </c>
      <c r="E146" s="4">
        <v>8904.6899999999987</v>
      </c>
      <c r="F146" s="4">
        <v>6814.62</v>
      </c>
      <c r="G146" s="4">
        <v>6939.7199999999993</v>
      </c>
      <c r="H146" s="4">
        <f t="shared" si="0"/>
        <v>7553.0099999999993</v>
      </c>
      <c r="I146" s="4">
        <v>2427.21</v>
      </c>
      <c r="J146" s="4">
        <v>14354.73</v>
      </c>
      <c r="K146" s="4">
        <v>9591.57</v>
      </c>
      <c r="L146" s="4">
        <f t="shared" si="1"/>
        <v>8791.17</v>
      </c>
      <c r="M146" s="10">
        <f t="shared" si="9"/>
        <v>0.92463267017316575</v>
      </c>
      <c r="N146" s="10">
        <f t="shared" si="10"/>
        <v>1.076207100354194</v>
      </c>
    </row>
    <row r="147" spans="1:14" ht="15.75" customHeight="1">
      <c r="A147" s="4">
        <v>31101</v>
      </c>
      <c r="B147" s="4" t="s">
        <v>202</v>
      </c>
      <c r="C147" s="28" t="str">
        <f>IF(Table_1[[#This Row],[Forest cover 2011]]&lt;1000,"Bosque menor a 1000 ha",Table_1[[#This Row],[Forest cover 2011]])</f>
        <v>Bosque menor a 1000 ha</v>
      </c>
      <c r="D147" s="4">
        <v>869.04</v>
      </c>
      <c r="E147" s="4">
        <v>1.62</v>
      </c>
      <c r="F147" s="4">
        <v>0.9</v>
      </c>
      <c r="G147" s="4">
        <v>26.1</v>
      </c>
      <c r="H147" s="4">
        <f t="shared" si="0"/>
        <v>9.5400000000000009</v>
      </c>
      <c r="I147" s="4">
        <v>3.06</v>
      </c>
      <c r="J147" s="4">
        <v>8.2799999999999994</v>
      </c>
      <c r="K147" s="4">
        <v>4.7699999999999996</v>
      </c>
      <c r="L147" s="4">
        <f t="shared" si="1"/>
        <v>5.37</v>
      </c>
      <c r="M147" s="10" t="str">
        <f t="shared" si="9"/>
        <v/>
      </c>
      <c r="N147" s="10" t="str">
        <f t="shared" si="10"/>
        <v/>
      </c>
    </row>
    <row r="148" spans="1:14" ht="15.75" customHeight="1">
      <c r="A148" s="4">
        <v>31201</v>
      </c>
      <c r="B148" s="4" t="s">
        <v>257</v>
      </c>
      <c r="C148" s="27">
        <f>IF(Table_1[[#This Row],[Forest cover 2011]]&lt;1000,"Bosque menor a 1000 ha",Table_1[[#This Row],[Forest cover 2011]])</f>
        <v>112411.35</v>
      </c>
      <c r="D148" s="4">
        <v>112411.35</v>
      </c>
      <c r="E148" s="4">
        <v>555.39</v>
      </c>
      <c r="F148" s="4">
        <v>316.8</v>
      </c>
      <c r="G148" s="4">
        <v>531.18000000000006</v>
      </c>
      <c r="H148" s="4">
        <f t="shared" si="0"/>
        <v>467.79</v>
      </c>
      <c r="I148" s="4">
        <v>253.35</v>
      </c>
      <c r="J148" s="4">
        <v>780.12</v>
      </c>
      <c r="K148" s="4">
        <v>157.77000000000001</v>
      </c>
      <c r="L148" s="4">
        <f t="shared" si="1"/>
        <v>397.08</v>
      </c>
      <c r="M148" s="10">
        <f t="shared" si="9"/>
        <v>0.41614125264041396</v>
      </c>
      <c r="N148" s="10">
        <f t="shared" si="10"/>
        <v>0.35323835182123509</v>
      </c>
    </row>
    <row r="149" spans="1:14" ht="15.75" customHeight="1">
      <c r="A149" s="4">
        <v>31202</v>
      </c>
      <c r="B149" s="4" t="s">
        <v>269</v>
      </c>
      <c r="C149" s="28">
        <f>IF(Table_1[[#This Row],[Forest cover 2011]]&lt;1000,"Bosque menor a 1000 ha",Table_1[[#This Row],[Forest cover 2011]])</f>
        <v>166000.68</v>
      </c>
      <c r="D149" s="4">
        <v>166000.68</v>
      </c>
      <c r="E149" s="4">
        <v>558.08999999999992</v>
      </c>
      <c r="F149" s="4">
        <v>357.21</v>
      </c>
      <c r="G149" s="4">
        <v>497.97</v>
      </c>
      <c r="H149" s="4">
        <f t="shared" si="0"/>
        <v>471.09</v>
      </c>
      <c r="I149" s="4">
        <v>220.68</v>
      </c>
      <c r="J149" s="4">
        <v>661.32</v>
      </c>
      <c r="K149" s="4">
        <v>113.49</v>
      </c>
      <c r="L149" s="4">
        <f t="shared" si="1"/>
        <v>331.83</v>
      </c>
      <c r="M149" s="10">
        <f t="shared" si="9"/>
        <v>0.28378799412146988</v>
      </c>
      <c r="N149" s="10">
        <f t="shared" si="10"/>
        <v>0.19989677150720106</v>
      </c>
    </row>
    <row r="150" spans="1:14" ht="15.75" customHeight="1">
      <c r="A150" s="4">
        <v>31203</v>
      </c>
      <c r="B150" s="4" t="s">
        <v>251</v>
      </c>
      <c r="C150" s="27">
        <f>IF(Table_1[[#This Row],[Forest cover 2011]]&lt;1000,"Bosque menor a 1000 ha",Table_1[[#This Row],[Forest cover 2011]])</f>
        <v>10098.81</v>
      </c>
      <c r="D150" s="4">
        <v>10098.81</v>
      </c>
      <c r="E150" s="4">
        <v>22.95</v>
      </c>
      <c r="F150" s="4">
        <v>19.079999999999998</v>
      </c>
      <c r="G150" s="4">
        <v>167.85</v>
      </c>
      <c r="H150" s="4">
        <f t="shared" si="0"/>
        <v>69.959999999999994</v>
      </c>
      <c r="I150" s="4">
        <v>32.31</v>
      </c>
      <c r="J150" s="4">
        <v>322.02</v>
      </c>
      <c r="K150" s="4">
        <v>17.91</v>
      </c>
      <c r="L150" s="4">
        <f t="shared" si="1"/>
        <v>124.08</v>
      </c>
      <c r="M150" s="10">
        <f t="shared" si="9"/>
        <v>0.69275488894236059</v>
      </c>
      <c r="N150" s="10">
        <f t="shared" si="10"/>
        <v>1.2286596143506019</v>
      </c>
    </row>
    <row r="151" spans="1:14" ht="15.75" customHeight="1">
      <c r="A151" s="4">
        <v>31204</v>
      </c>
      <c r="B151" s="4" t="s">
        <v>133</v>
      </c>
      <c r="C151" s="28">
        <f>IF(Table_1[[#This Row],[Forest cover 2011]]&lt;1000,"Bosque menor a 1000 ha",Table_1[[#This Row],[Forest cover 2011]])</f>
        <v>207111.51</v>
      </c>
      <c r="D151" s="4">
        <v>207111.51</v>
      </c>
      <c r="E151" s="4">
        <v>3354.48</v>
      </c>
      <c r="F151" s="4">
        <v>2905.38</v>
      </c>
      <c r="G151" s="4">
        <v>3168.72</v>
      </c>
      <c r="H151" s="4">
        <f t="shared" si="0"/>
        <v>3142.86</v>
      </c>
      <c r="I151" s="4">
        <v>565.47</v>
      </c>
      <c r="J151" s="4">
        <v>2681.46</v>
      </c>
      <c r="K151" s="4">
        <v>4749.75</v>
      </c>
      <c r="L151" s="4">
        <f t="shared" si="1"/>
        <v>2665.56</v>
      </c>
      <c r="M151" s="10">
        <f t="shared" si="9"/>
        <v>1.5174723992886729</v>
      </c>
      <c r="N151" s="10">
        <f t="shared" si="10"/>
        <v>1.287016834554487</v>
      </c>
    </row>
    <row r="152" spans="1:14" ht="15.75" customHeight="1">
      <c r="A152" s="4">
        <v>31205</v>
      </c>
      <c r="B152" s="4" t="s">
        <v>145</v>
      </c>
      <c r="C152" s="27">
        <f>IF(Table_1[[#This Row],[Forest cover 2011]]&lt;1000,"Bosque menor a 1000 ha",Table_1[[#This Row],[Forest cover 2011]])</f>
        <v>123398.37</v>
      </c>
      <c r="D152" s="4">
        <v>123398.37</v>
      </c>
      <c r="E152" s="4">
        <v>1999.89</v>
      </c>
      <c r="F152" s="4">
        <v>1995.48</v>
      </c>
      <c r="G152" s="4">
        <v>2780.73</v>
      </c>
      <c r="H152" s="4">
        <f t="shared" si="0"/>
        <v>2258.7000000000003</v>
      </c>
      <c r="I152" s="4">
        <v>580.77</v>
      </c>
      <c r="J152" s="4">
        <v>3755.79</v>
      </c>
      <c r="K152" s="4">
        <v>2308.59</v>
      </c>
      <c r="L152" s="4">
        <f t="shared" si="1"/>
        <v>2215.0499999999997</v>
      </c>
      <c r="M152" s="10">
        <f t="shared" si="9"/>
        <v>1.8304131569971307</v>
      </c>
      <c r="N152" s="10">
        <f t="shared" si="10"/>
        <v>1.7950399182744472</v>
      </c>
    </row>
    <row r="153" spans="1:14" ht="15.75" customHeight="1">
      <c r="A153" s="4">
        <v>31206</v>
      </c>
      <c r="B153" s="4" t="s">
        <v>164</v>
      </c>
      <c r="C153" s="28">
        <f>IF(Table_1[[#This Row],[Forest cover 2011]]&lt;1000,"Bosque menor a 1000 ha",Table_1[[#This Row],[Forest cover 2011]])</f>
        <v>171517.41</v>
      </c>
      <c r="D153" s="4">
        <v>171517.41</v>
      </c>
      <c r="E153" s="4">
        <v>2471.31</v>
      </c>
      <c r="F153" s="4">
        <v>1616.58</v>
      </c>
      <c r="G153" s="4">
        <v>1980.09</v>
      </c>
      <c r="H153" s="4">
        <f t="shared" si="0"/>
        <v>2022.6599999999999</v>
      </c>
      <c r="I153" s="4">
        <v>347.67</v>
      </c>
      <c r="J153" s="4">
        <v>3510.54</v>
      </c>
      <c r="K153" s="4">
        <v>2345.85</v>
      </c>
      <c r="L153" s="4">
        <f t="shared" si="1"/>
        <v>2068.02</v>
      </c>
      <c r="M153" s="10">
        <f t="shared" si="9"/>
        <v>1.1792738707983055</v>
      </c>
      <c r="N153" s="10">
        <f t="shared" si="10"/>
        <v>1.205720165667147</v>
      </c>
    </row>
    <row r="154" spans="1:14" ht="15.75" customHeight="1">
      <c r="A154" s="4">
        <v>31301</v>
      </c>
      <c r="B154" s="4" t="s">
        <v>275</v>
      </c>
      <c r="C154" s="27">
        <f>IF(Table_1[[#This Row],[Forest cover 2011]]&lt;1000,"Bosque menor a 1000 ha",Table_1[[#This Row],[Forest cover 2011]])</f>
        <v>18117.72</v>
      </c>
      <c r="D154" s="4">
        <v>18117.72</v>
      </c>
      <c r="E154" s="4">
        <v>20.25</v>
      </c>
      <c r="F154" s="4">
        <v>26.82</v>
      </c>
      <c r="G154" s="4">
        <v>246.15</v>
      </c>
      <c r="H154" s="4">
        <f t="shared" si="0"/>
        <v>97.740000000000009</v>
      </c>
      <c r="I154" s="4">
        <v>8.2799999999999994</v>
      </c>
      <c r="J154" s="4">
        <v>67.23</v>
      </c>
      <c r="K154" s="4">
        <v>8.4600000000000009</v>
      </c>
      <c r="L154" s="4">
        <f t="shared" si="1"/>
        <v>27.99</v>
      </c>
      <c r="M154" s="10">
        <f t="shared" si="9"/>
        <v>0.53947185407435372</v>
      </c>
      <c r="N154" s="10">
        <f t="shared" si="10"/>
        <v>0.15448963776899077</v>
      </c>
    </row>
    <row r="155" spans="1:14" ht="15.75" customHeight="1">
      <c r="A155" s="4">
        <v>31302</v>
      </c>
      <c r="B155" s="4" t="s">
        <v>287</v>
      </c>
      <c r="C155" s="28">
        <f>IF(Table_1[[#This Row],[Forest cover 2011]]&lt;1000,"Bosque menor a 1000 ha",Table_1[[#This Row],[Forest cover 2011]])</f>
        <v>4788.45</v>
      </c>
      <c r="D155" s="4">
        <v>4788.45</v>
      </c>
      <c r="E155" s="4">
        <v>11.52</v>
      </c>
      <c r="F155" s="4">
        <v>17.73</v>
      </c>
      <c r="G155" s="4">
        <v>78.39</v>
      </c>
      <c r="H155" s="4">
        <f t="shared" si="0"/>
        <v>35.880000000000003</v>
      </c>
      <c r="I155" s="4">
        <v>5.67</v>
      </c>
      <c r="J155" s="4">
        <v>31.23</v>
      </c>
      <c r="K155" s="4">
        <v>0.36</v>
      </c>
      <c r="L155" s="4">
        <f t="shared" si="1"/>
        <v>12.42</v>
      </c>
      <c r="M155" s="10">
        <f t="shared" si="9"/>
        <v>0.74930301036869973</v>
      </c>
      <c r="N155" s="10">
        <f t="shared" si="10"/>
        <v>0.25937411897378065</v>
      </c>
    </row>
    <row r="156" spans="1:14" ht="15.75" customHeight="1">
      <c r="A156" s="4">
        <v>31303</v>
      </c>
      <c r="B156" s="4" t="s">
        <v>277</v>
      </c>
      <c r="C156" s="27" t="str">
        <f>IF(Table_1[[#This Row],[Forest cover 2011]]&lt;1000,"Bosque menor a 1000 ha",Table_1[[#This Row],[Forest cover 2011]])</f>
        <v>Bosque menor a 1000 ha</v>
      </c>
      <c r="D156" s="4">
        <v>688.14</v>
      </c>
      <c r="E156" s="4">
        <v>1.26</v>
      </c>
      <c r="F156" s="4">
        <v>2.4300000000000002</v>
      </c>
      <c r="G156" s="4">
        <v>13.41</v>
      </c>
      <c r="H156" s="4">
        <f t="shared" si="0"/>
        <v>5.7</v>
      </c>
      <c r="I156" s="4">
        <v>2.4300000000000002</v>
      </c>
      <c r="J156" s="4">
        <v>28.62</v>
      </c>
      <c r="K156" s="4">
        <v>0.18</v>
      </c>
      <c r="L156" s="4">
        <f t="shared" si="1"/>
        <v>10.41</v>
      </c>
      <c r="M156" s="10" t="str">
        <f t="shared" si="9"/>
        <v/>
      </c>
      <c r="N156" s="10" t="str">
        <f t="shared" si="10"/>
        <v/>
      </c>
    </row>
    <row r="157" spans="1:14" ht="15.75" customHeight="1">
      <c r="A157" s="4">
        <v>31304</v>
      </c>
      <c r="B157" s="4" t="s">
        <v>256</v>
      </c>
      <c r="C157" s="28">
        <f>IF(Table_1[[#This Row],[Forest cover 2011]]&lt;1000,"Bosque menor a 1000 ha",Table_1[[#This Row],[Forest cover 2011]])</f>
        <v>10414.530000000001</v>
      </c>
      <c r="D157" s="4">
        <v>10414.530000000001</v>
      </c>
      <c r="E157" s="4">
        <v>9</v>
      </c>
      <c r="F157" s="4">
        <v>11.52</v>
      </c>
      <c r="G157" s="4">
        <v>93.69</v>
      </c>
      <c r="H157" s="4">
        <f t="shared" si="0"/>
        <v>38.07</v>
      </c>
      <c r="I157" s="4">
        <v>0.36</v>
      </c>
      <c r="J157" s="4">
        <v>9.99</v>
      </c>
      <c r="K157" s="4">
        <v>14.94</v>
      </c>
      <c r="L157" s="4">
        <f t="shared" si="1"/>
        <v>8.43</v>
      </c>
      <c r="M157" s="10">
        <f t="shared" si="9"/>
        <v>0.36554698099674199</v>
      </c>
      <c r="N157" s="10">
        <f t="shared" si="10"/>
        <v>8.0944603357040595E-2</v>
      </c>
    </row>
    <row r="158" spans="1:14" ht="15.75" customHeight="1">
      <c r="A158" s="4">
        <v>31401</v>
      </c>
      <c r="B158" s="4" t="s">
        <v>387</v>
      </c>
      <c r="C158" s="27" t="str">
        <f>IF(Table_1[[#This Row],[Forest cover 2011]]&lt;1000,"Bosque menor a 1000 ha",Table_1[[#This Row],[Forest cover 2011]])</f>
        <v>Bosque menor a 1000 ha</v>
      </c>
      <c r="D158" s="4">
        <v>0</v>
      </c>
      <c r="E158" s="4">
        <v>0</v>
      </c>
      <c r="F158" s="4">
        <v>0</v>
      </c>
      <c r="G158" s="4">
        <v>0</v>
      </c>
      <c r="H158" s="4">
        <f t="shared" si="0"/>
        <v>0</v>
      </c>
      <c r="I158" s="4">
        <v>0</v>
      </c>
      <c r="J158" s="4">
        <v>0</v>
      </c>
      <c r="K158" s="4">
        <v>0</v>
      </c>
      <c r="L158" s="4">
        <f t="shared" si="1"/>
        <v>0</v>
      </c>
      <c r="M158" s="10" t="str">
        <f t="shared" si="9"/>
        <v/>
      </c>
      <c r="N158" s="10" t="str">
        <f t="shared" si="10"/>
        <v/>
      </c>
    </row>
    <row r="159" spans="1:14" ht="15.75" customHeight="1">
      <c r="A159" s="4">
        <v>31402</v>
      </c>
      <c r="B159" s="4" t="s">
        <v>374</v>
      </c>
      <c r="C159" s="28" t="str">
        <f>IF(Table_1[[#This Row],[Forest cover 2011]]&lt;1000,"Bosque menor a 1000 ha",Table_1[[#This Row],[Forest cover 2011]])</f>
        <v>Bosque menor a 1000 ha</v>
      </c>
      <c r="D159" s="4">
        <v>0</v>
      </c>
      <c r="E159" s="4">
        <v>0</v>
      </c>
      <c r="F159" s="4">
        <v>0</v>
      </c>
      <c r="G159" s="4">
        <v>0</v>
      </c>
      <c r="H159" s="4">
        <f t="shared" si="0"/>
        <v>0</v>
      </c>
      <c r="I159" s="4">
        <v>0</v>
      </c>
      <c r="J159" s="4">
        <v>0</v>
      </c>
      <c r="K159" s="4">
        <v>0</v>
      </c>
      <c r="L159" s="4">
        <f t="shared" si="1"/>
        <v>0</v>
      </c>
      <c r="M159" s="10" t="str">
        <f t="shared" si="9"/>
        <v/>
      </c>
      <c r="N159" s="10" t="str">
        <f t="shared" si="10"/>
        <v/>
      </c>
    </row>
    <row r="160" spans="1:14" ht="15.75" customHeight="1">
      <c r="A160" s="4">
        <v>31403</v>
      </c>
      <c r="B160" s="4" t="s">
        <v>393</v>
      </c>
      <c r="C160" s="27" t="str">
        <f>IF(Table_1[[#This Row],[Forest cover 2011]]&lt;1000,"Bosque menor a 1000 ha",Table_1[[#This Row],[Forest cover 2011]])</f>
        <v>Bosque menor a 1000 ha</v>
      </c>
      <c r="D160" s="4">
        <v>478.89</v>
      </c>
      <c r="E160" s="4">
        <v>2.88</v>
      </c>
      <c r="F160" s="4">
        <v>2.4300000000000002</v>
      </c>
      <c r="G160" s="4">
        <v>9.7199999999999989</v>
      </c>
      <c r="H160" s="4">
        <f t="shared" si="0"/>
        <v>5.01</v>
      </c>
      <c r="I160" s="4">
        <v>1.44</v>
      </c>
      <c r="J160" s="4">
        <v>39.510000000000012</v>
      </c>
      <c r="K160" s="4">
        <v>0</v>
      </c>
      <c r="L160" s="4">
        <f t="shared" si="1"/>
        <v>13.650000000000004</v>
      </c>
      <c r="M160" s="10" t="str">
        <f t="shared" si="9"/>
        <v/>
      </c>
      <c r="N160" s="10" t="str">
        <f t="shared" si="10"/>
        <v/>
      </c>
    </row>
    <row r="161" spans="1:14" ht="15.75" customHeight="1">
      <c r="A161" s="4">
        <v>31404</v>
      </c>
      <c r="B161" s="4" t="s">
        <v>377</v>
      </c>
      <c r="C161" s="28" t="str">
        <f>IF(Table_1[[#This Row],[Forest cover 2011]]&lt;1000,"Bosque menor a 1000 ha",Table_1[[#This Row],[Forest cover 2011]])</f>
        <v>Bosque menor a 1000 ha</v>
      </c>
      <c r="D161" s="4">
        <v>0</v>
      </c>
      <c r="E161" s="4">
        <v>0</v>
      </c>
      <c r="F161" s="4">
        <v>0</v>
      </c>
      <c r="G161" s="4">
        <v>0</v>
      </c>
      <c r="H161" s="4">
        <f t="shared" si="0"/>
        <v>0</v>
      </c>
      <c r="I161" s="4">
        <v>0</v>
      </c>
      <c r="J161" s="4">
        <v>0</v>
      </c>
      <c r="K161" s="4">
        <v>0</v>
      </c>
      <c r="L161" s="4">
        <f t="shared" si="1"/>
        <v>0</v>
      </c>
      <c r="M161" s="10" t="str">
        <f t="shared" si="9"/>
        <v/>
      </c>
      <c r="N161" s="10" t="str">
        <f t="shared" si="10"/>
        <v/>
      </c>
    </row>
    <row r="162" spans="1:14" ht="15.75" customHeight="1">
      <c r="A162" s="4">
        <v>31405</v>
      </c>
      <c r="B162" s="4" t="s">
        <v>390</v>
      </c>
      <c r="C162" s="27" t="str">
        <f>IF(Table_1[[#This Row],[Forest cover 2011]]&lt;1000,"Bosque menor a 1000 ha",Table_1[[#This Row],[Forest cover 2011]])</f>
        <v>Bosque menor a 1000 ha</v>
      </c>
      <c r="D162" s="4">
        <v>0</v>
      </c>
      <c r="E162" s="4">
        <v>0</v>
      </c>
      <c r="F162" s="4">
        <v>0</v>
      </c>
      <c r="G162" s="4">
        <v>0</v>
      </c>
      <c r="H162" s="4">
        <f t="shared" si="0"/>
        <v>0</v>
      </c>
      <c r="I162" s="4">
        <v>0</v>
      </c>
      <c r="J162" s="4">
        <v>0</v>
      </c>
      <c r="K162" s="4">
        <v>0</v>
      </c>
      <c r="L162" s="4">
        <f t="shared" si="1"/>
        <v>0</v>
      </c>
      <c r="M162" s="10" t="str">
        <f t="shared" si="9"/>
        <v/>
      </c>
      <c r="N162" s="10" t="str">
        <f t="shared" si="10"/>
        <v/>
      </c>
    </row>
    <row r="163" spans="1:14" ht="15.75" customHeight="1">
      <c r="A163" s="4">
        <v>31501</v>
      </c>
      <c r="B163" s="4" t="s">
        <v>384</v>
      </c>
      <c r="C163" s="28" t="str">
        <f>IF(Table_1[[#This Row],[Forest cover 2011]]&lt;1000,"Bosque menor a 1000 ha",Table_1[[#This Row],[Forest cover 2011]])</f>
        <v>Bosque menor a 1000 ha</v>
      </c>
      <c r="D163" s="4">
        <v>0</v>
      </c>
      <c r="E163" s="4">
        <v>0</v>
      </c>
      <c r="F163" s="4">
        <v>0</v>
      </c>
      <c r="G163" s="4">
        <v>0</v>
      </c>
      <c r="H163" s="4">
        <f t="shared" si="0"/>
        <v>0</v>
      </c>
      <c r="I163" s="4">
        <v>0</v>
      </c>
      <c r="J163" s="4">
        <v>0</v>
      </c>
      <c r="K163" s="4">
        <v>0</v>
      </c>
      <c r="L163" s="4">
        <f t="shared" si="1"/>
        <v>0</v>
      </c>
      <c r="M163" s="10" t="str">
        <f t="shared" si="9"/>
        <v/>
      </c>
      <c r="N163" s="10" t="str">
        <f t="shared" si="10"/>
        <v/>
      </c>
    </row>
    <row r="164" spans="1:14" ht="15.75" customHeight="1">
      <c r="A164" s="4">
        <v>31601</v>
      </c>
      <c r="B164" s="4" t="s">
        <v>265</v>
      </c>
      <c r="C164" s="27">
        <f>IF(Table_1[[#This Row],[Forest cover 2011]]&lt;1000,"Bosque menor a 1000 ha",Table_1[[#This Row],[Forest cover 2011]])</f>
        <v>105730.2</v>
      </c>
      <c r="D164" s="4">
        <v>105730.2</v>
      </c>
      <c r="E164" s="4">
        <v>524.79</v>
      </c>
      <c r="F164" s="4">
        <v>279.27</v>
      </c>
      <c r="G164" s="4">
        <v>281.61</v>
      </c>
      <c r="H164" s="4">
        <f t="shared" si="0"/>
        <v>361.89000000000004</v>
      </c>
      <c r="I164" s="4">
        <v>145.97999999999999</v>
      </c>
      <c r="J164" s="4">
        <v>760.59</v>
      </c>
      <c r="K164" s="4">
        <v>115.74</v>
      </c>
      <c r="L164" s="4">
        <f t="shared" si="1"/>
        <v>340.77000000000004</v>
      </c>
      <c r="M164" s="10">
        <f t="shared" si="9"/>
        <v>0.34227685183608852</v>
      </c>
      <c r="N164" s="10">
        <f t="shared" si="10"/>
        <v>0.32230148056089936</v>
      </c>
    </row>
    <row r="165" spans="1:14" ht="15.75" customHeight="1">
      <c r="A165" s="4">
        <v>31602</v>
      </c>
      <c r="B165" s="4" t="s">
        <v>134</v>
      </c>
      <c r="C165" s="28">
        <f>IF(Table_1[[#This Row],[Forest cover 2011]]&lt;1000,"Bosque menor a 1000 ha",Table_1[[#This Row],[Forest cover 2011]])</f>
        <v>54573.84</v>
      </c>
      <c r="D165" s="4">
        <v>54573.84</v>
      </c>
      <c r="E165" s="4">
        <v>666.81000000000006</v>
      </c>
      <c r="F165" s="4">
        <v>663.66</v>
      </c>
      <c r="G165" s="4">
        <v>778.86</v>
      </c>
      <c r="H165" s="4">
        <f t="shared" si="0"/>
        <v>703.11</v>
      </c>
      <c r="I165" s="4">
        <v>220.05</v>
      </c>
      <c r="J165" s="4">
        <v>955.98</v>
      </c>
      <c r="K165" s="4">
        <v>1234.98</v>
      </c>
      <c r="L165" s="4">
        <f t="shared" si="1"/>
        <v>803.67000000000007</v>
      </c>
      <c r="M165" s="10">
        <f t="shared" si="9"/>
        <v>1.2883645350959361</v>
      </c>
      <c r="N165" s="10">
        <f t="shared" si="10"/>
        <v>1.4726286440536347</v>
      </c>
    </row>
    <row r="166" spans="1:14" ht="15.75" customHeight="1">
      <c r="A166" s="4">
        <v>40101</v>
      </c>
      <c r="B166" s="4" t="s">
        <v>61</v>
      </c>
      <c r="C166" s="27" t="str">
        <f>IF(Table_1[[#This Row],[Forest cover 2011]]&lt;1000,"Bosque menor a 1000 ha",Table_1[[#This Row],[Forest cover 2011]])</f>
        <v>Bosque menor a 1000 ha</v>
      </c>
      <c r="D166" s="4">
        <v>0</v>
      </c>
      <c r="E166" s="4">
        <v>0</v>
      </c>
      <c r="F166" s="4">
        <v>0</v>
      </c>
      <c r="G166" s="4">
        <v>0</v>
      </c>
      <c r="H166" s="4">
        <f t="shared" si="0"/>
        <v>0</v>
      </c>
      <c r="I166" s="4">
        <v>0</v>
      </c>
      <c r="J166" s="4">
        <v>0</v>
      </c>
      <c r="K166" s="4">
        <v>0</v>
      </c>
      <c r="L166" s="4">
        <f t="shared" si="1"/>
        <v>0</v>
      </c>
      <c r="M166" s="10" t="str">
        <f t="shared" si="9"/>
        <v/>
      </c>
      <c r="N166" s="10" t="str">
        <f t="shared" si="10"/>
        <v/>
      </c>
    </row>
    <row r="167" spans="1:14" ht="15.75" customHeight="1">
      <c r="A167" s="4">
        <v>40102</v>
      </c>
      <c r="B167" s="4" t="s">
        <v>325</v>
      </c>
      <c r="C167" s="28" t="str">
        <f>IF(Table_1[[#This Row],[Forest cover 2011]]&lt;1000,"Bosque menor a 1000 ha",Table_1[[#This Row],[Forest cover 2011]])</f>
        <v>Bosque menor a 1000 ha</v>
      </c>
      <c r="D167" s="4">
        <v>0</v>
      </c>
      <c r="E167" s="4">
        <v>0</v>
      </c>
      <c r="F167" s="4">
        <v>0</v>
      </c>
      <c r="G167" s="4">
        <v>0</v>
      </c>
      <c r="H167" s="4">
        <f t="shared" si="0"/>
        <v>0</v>
      </c>
      <c r="I167" s="4">
        <v>0</v>
      </c>
      <c r="J167" s="4">
        <v>0</v>
      </c>
      <c r="K167" s="4">
        <v>0</v>
      </c>
      <c r="L167" s="4">
        <f t="shared" si="1"/>
        <v>0</v>
      </c>
      <c r="M167" s="10" t="str">
        <f t="shared" si="9"/>
        <v/>
      </c>
      <c r="N167" s="10" t="str">
        <f t="shared" si="10"/>
        <v/>
      </c>
    </row>
    <row r="168" spans="1:14" ht="15.75" customHeight="1">
      <c r="A168" s="4">
        <v>40103</v>
      </c>
      <c r="B168" s="4" t="s">
        <v>326</v>
      </c>
      <c r="C168" s="27" t="str">
        <f>IF(Table_1[[#This Row],[Forest cover 2011]]&lt;1000,"Bosque menor a 1000 ha",Table_1[[#This Row],[Forest cover 2011]])</f>
        <v>Bosque menor a 1000 ha</v>
      </c>
      <c r="D168" s="4">
        <v>0</v>
      </c>
      <c r="E168" s="4">
        <v>0</v>
      </c>
      <c r="F168" s="4">
        <v>0</v>
      </c>
      <c r="G168" s="4">
        <v>0</v>
      </c>
      <c r="H168" s="4">
        <f t="shared" si="0"/>
        <v>0</v>
      </c>
      <c r="I168" s="4">
        <v>0</v>
      </c>
      <c r="J168" s="4">
        <v>0</v>
      </c>
      <c r="K168" s="4">
        <v>0</v>
      </c>
      <c r="L168" s="4">
        <f t="shared" si="1"/>
        <v>0</v>
      </c>
      <c r="M168" s="10" t="str">
        <f t="shared" si="9"/>
        <v/>
      </c>
      <c r="N168" s="10" t="str">
        <f t="shared" si="10"/>
        <v/>
      </c>
    </row>
    <row r="169" spans="1:14" ht="15.75" customHeight="1">
      <c r="A169" s="4">
        <v>40104</v>
      </c>
      <c r="B169" s="4" t="s">
        <v>327</v>
      </c>
      <c r="C169" s="28" t="str">
        <f>IF(Table_1[[#This Row],[Forest cover 2011]]&lt;1000,"Bosque menor a 1000 ha",Table_1[[#This Row],[Forest cover 2011]])</f>
        <v>Bosque menor a 1000 ha</v>
      </c>
      <c r="D169" s="4">
        <v>0</v>
      </c>
      <c r="E169" s="4">
        <v>0</v>
      </c>
      <c r="F169" s="4">
        <v>0</v>
      </c>
      <c r="G169" s="4">
        <v>0</v>
      </c>
      <c r="H169" s="4">
        <f t="shared" si="0"/>
        <v>0</v>
      </c>
      <c r="I169" s="4">
        <v>0</v>
      </c>
      <c r="J169" s="4">
        <v>0</v>
      </c>
      <c r="K169" s="4">
        <v>0</v>
      </c>
      <c r="L169" s="4">
        <f t="shared" si="1"/>
        <v>0</v>
      </c>
      <c r="M169" s="10" t="str">
        <f t="shared" si="9"/>
        <v/>
      </c>
      <c r="N169" s="10" t="str">
        <f t="shared" si="10"/>
        <v/>
      </c>
    </row>
    <row r="170" spans="1:14" ht="15.75" customHeight="1">
      <c r="A170" s="4">
        <v>40201</v>
      </c>
      <c r="B170" s="4" t="s">
        <v>62</v>
      </c>
      <c r="C170" s="27" t="str">
        <f>IF(Table_1[[#This Row],[Forest cover 2011]]&lt;1000,"Bosque menor a 1000 ha",Table_1[[#This Row],[Forest cover 2011]])</f>
        <v>Bosque menor a 1000 ha</v>
      </c>
      <c r="D170" s="4">
        <v>0</v>
      </c>
      <c r="E170" s="4">
        <v>0</v>
      </c>
      <c r="F170" s="4">
        <v>0</v>
      </c>
      <c r="G170" s="4">
        <v>0</v>
      </c>
      <c r="H170" s="4">
        <f t="shared" si="0"/>
        <v>0</v>
      </c>
      <c r="I170" s="4">
        <v>0</v>
      </c>
      <c r="J170" s="4">
        <v>0</v>
      </c>
      <c r="K170" s="4">
        <v>0</v>
      </c>
      <c r="L170" s="4">
        <f t="shared" si="1"/>
        <v>0</v>
      </c>
      <c r="M170" s="10" t="str">
        <f t="shared" si="9"/>
        <v/>
      </c>
      <c r="N170" s="10" t="str">
        <f t="shared" si="10"/>
        <v/>
      </c>
    </row>
    <row r="171" spans="1:14" ht="15.75" customHeight="1">
      <c r="A171" s="4">
        <v>40202</v>
      </c>
      <c r="B171" s="4" t="s">
        <v>328</v>
      </c>
      <c r="C171" s="28" t="str">
        <f>IF(Table_1[[#This Row],[Forest cover 2011]]&lt;1000,"Bosque menor a 1000 ha",Table_1[[#This Row],[Forest cover 2011]])</f>
        <v>Bosque menor a 1000 ha</v>
      </c>
      <c r="D171" s="4">
        <v>0</v>
      </c>
      <c r="E171" s="4">
        <v>0</v>
      </c>
      <c r="F171" s="4">
        <v>0</v>
      </c>
      <c r="G171" s="4">
        <v>0</v>
      </c>
      <c r="H171" s="4">
        <f t="shared" si="0"/>
        <v>0</v>
      </c>
      <c r="I171" s="4">
        <v>0</v>
      </c>
      <c r="J171" s="4">
        <v>0</v>
      </c>
      <c r="K171" s="4">
        <v>0</v>
      </c>
      <c r="L171" s="4">
        <f t="shared" si="1"/>
        <v>0</v>
      </c>
      <c r="M171" s="10" t="str">
        <f t="shared" si="9"/>
        <v/>
      </c>
      <c r="N171" s="10" t="str">
        <f t="shared" si="10"/>
        <v/>
      </c>
    </row>
    <row r="172" spans="1:14" ht="15.75" customHeight="1">
      <c r="A172" s="4">
        <v>40301</v>
      </c>
      <c r="B172" s="4" t="s">
        <v>329</v>
      </c>
      <c r="C172" s="27" t="str">
        <f>IF(Table_1[[#This Row],[Forest cover 2011]]&lt;1000,"Bosque menor a 1000 ha",Table_1[[#This Row],[Forest cover 2011]])</f>
        <v>Bosque menor a 1000 ha</v>
      </c>
      <c r="D172" s="4">
        <v>0</v>
      </c>
      <c r="E172" s="4">
        <v>0</v>
      </c>
      <c r="F172" s="4">
        <v>0</v>
      </c>
      <c r="G172" s="4">
        <v>0</v>
      </c>
      <c r="H172" s="4">
        <f t="shared" si="0"/>
        <v>0</v>
      </c>
      <c r="I172" s="4">
        <v>0</v>
      </c>
      <c r="J172" s="4">
        <v>0</v>
      </c>
      <c r="K172" s="4">
        <v>0</v>
      </c>
      <c r="L172" s="4">
        <f t="shared" si="1"/>
        <v>0</v>
      </c>
      <c r="M172" s="10" t="str">
        <f t="shared" si="9"/>
        <v/>
      </c>
      <c r="N172" s="10" t="str">
        <f t="shared" si="10"/>
        <v/>
      </c>
    </row>
    <row r="173" spans="1:14" ht="15.75" customHeight="1">
      <c r="A173" s="4">
        <v>40302</v>
      </c>
      <c r="B173" s="4" t="s">
        <v>330</v>
      </c>
      <c r="C173" s="28" t="str">
        <f>IF(Table_1[[#This Row],[Forest cover 2011]]&lt;1000,"Bosque menor a 1000 ha",Table_1[[#This Row],[Forest cover 2011]])</f>
        <v>Bosque menor a 1000 ha</v>
      </c>
      <c r="D173" s="4">
        <v>0</v>
      </c>
      <c r="E173" s="4">
        <v>0</v>
      </c>
      <c r="F173" s="4">
        <v>0</v>
      </c>
      <c r="G173" s="4">
        <v>0</v>
      </c>
      <c r="H173" s="4">
        <f t="shared" si="0"/>
        <v>0</v>
      </c>
      <c r="I173" s="4">
        <v>0</v>
      </c>
      <c r="J173" s="4">
        <v>0</v>
      </c>
      <c r="K173" s="4">
        <v>0</v>
      </c>
      <c r="L173" s="4">
        <f t="shared" si="1"/>
        <v>0</v>
      </c>
      <c r="M173" s="10" t="str">
        <f t="shared" si="9"/>
        <v/>
      </c>
      <c r="N173" s="10" t="str">
        <f t="shared" si="10"/>
        <v/>
      </c>
    </row>
    <row r="174" spans="1:14" ht="15.75" customHeight="1">
      <c r="A174" s="4">
        <v>40401</v>
      </c>
      <c r="B174" s="4" t="s">
        <v>331</v>
      </c>
      <c r="C174" s="27" t="str">
        <f>IF(Table_1[[#This Row],[Forest cover 2011]]&lt;1000,"Bosque menor a 1000 ha",Table_1[[#This Row],[Forest cover 2011]])</f>
        <v>Bosque menor a 1000 ha</v>
      </c>
      <c r="D174" s="4">
        <v>0</v>
      </c>
      <c r="E174" s="4">
        <v>0</v>
      </c>
      <c r="F174" s="4">
        <v>0</v>
      </c>
      <c r="G174" s="4">
        <v>0</v>
      </c>
      <c r="H174" s="4">
        <f t="shared" si="0"/>
        <v>0</v>
      </c>
      <c r="I174" s="4">
        <v>0</v>
      </c>
      <c r="J174" s="4">
        <v>0</v>
      </c>
      <c r="K174" s="4">
        <v>0</v>
      </c>
      <c r="L174" s="4">
        <f t="shared" si="1"/>
        <v>0</v>
      </c>
      <c r="M174" s="10" t="str">
        <f t="shared" si="9"/>
        <v/>
      </c>
      <c r="N174" s="10" t="str">
        <f t="shared" si="10"/>
        <v/>
      </c>
    </row>
    <row r="175" spans="1:14" ht="15.75" customHeight="1">
      <c r="A175" s="4">
        <v>40402</v>
      </c>
      <c r="B175" s="4" t="s">
        <v>332</v>
      </c>
      <c r="C175" s="28" t="str">
        <f>IF(Table_1[[#This Row],[Forest cover 2011]]&lt;1000,"Bosque menor a 1000 ha",Table_1[[#This Row],[Forest cover 2011]])</f>
        <v>Bosque menor a 1000 ha</v>
      </c>
      <c r="D175" s="4">
        <v>0</v>
      </c>
      <c r="E175" s="4">
        <v>0</v>
      </c>
      <c r="F175" s="4">
        <v>0</v>
      </c>
      <c r="G175" s="4">
        <v>0</v>
      </c>
      <c r="H175" s="4">
        <f t="shared" si="0"/>
        <v>0</v>
      </c>
      <c r="I175" s="4">
        <v>0</v>
      </c>
      <c r="J175" s="4">
        <v>0</v>
      </c>
      <c r="K175" s="4">
        <v>0</v>
      </c>
      <c r="L175" s="4">
        <f t="shared" si="1"/>
        <v>0</v>
      </c>
      <c r="M175" s="10" t="str">
        <f t="shared" si="9"/>
        <v/>
      </c>
      <c r="N175" s="10" t="str">
        <f t="shared" si="10"/>
        <v/>
      </c>
    </row>
    <row r="176" spans="1:14" ht="15.75" customHeight="1">
      <c r="A176" s="4">
        <v>40501</v>
      </c>
      <c r="B176" s="4" t="s">
        <v>333</v>
      </c>
      <c r="C176" s="27" t="str">
        <f>IF(Table_1[[#This Row],[Forest cover 2011]]&lt;1000,"Bosque menor a 1000 ha",Table_1[[#This Row],[Forest cover 2011]])</f>
        <v>Bosque menor a 1000 ha</v>
      </c>
      <c r="D176" s="4">
        <v>0</v>
      </c>
      <c r="E176" s="4">
        <v>0</v>
      </c>
      <c r="F176" s="4">
        <v>0</v>
      </c>
      <c r="G176" s="4">
        <v>0</v>
      </c>
      <c r="H176" s="4">
        <f t="shared" si="0"/>
        <v>0</v>
      </c>
      <c r="I176" s="4">
        <v>0</v>
      </c>
      <c r="J176" s="4">
        <v>0</v>
      </c>
      <c r="K176" s="4">
        <v>0</v>
      </c>
      <c r="L176" s="4">
        <f t="shared" si="1"/>
        <v>0</v>
      </c>
      <c r="M176" s="10" t="str">
        <f t="shared" si="9"/>
        <v/>
      </c>
      <c r="N176" s="10" t="str">
        <f t="shared" si="10"/>
        <v/>
      </c>
    </row>
    <row r="177" spans="1:14" ht="15.75" customHeight="1">
      <c r="A177" s="4">
        <v>40502</v>
      </c>
      <c r="B177" s="4" t="s">
        <v>334</v>
      </c>
      <c r="C177" s="28" t="str">
        <f>IF(Table_1[[#This Row],[Forest cover 2011]]&lt;1000,"Bosque menor a 1000 ha",Table_1[[#This Row],[Forest cover 2011]])</f>
        <v>Bosque menor a 1000 ha</v>
      </c>
      <c r="D177" s="4">
        <v>0</v>
      </c>
      <c r="E177" s="4">
        <v>0</v>
      </c>
      <c r="F177" s="4">
        <v>0</v>
      </c>
      <c r="G177" s="4">
        <v>0</v>
      </c>
      <c r="H177" s="4">
        <f t="shared" si="0"/>
        <v>0</v>
      </c>
      <c r="I177" s="4">
        <v>0</v>
      </c>
      <c r="J177" s="4">
        <v>0</v>
      </c>
      <c r="K177" s="4">
        <v>0</v>
      </c>
      <c r="L177" s="4">
        <f t="shared" si="1"/>
        <v>0</v>
      </c>
      <c r="M177" s="10" t="str">
        <f t="shared" si="9"/>
        <v/>
      </c>
      <c r="N177" s="10" t="str">
        <f t="shared" si="10"/>
        <v/>
      </c>
    </row>
    <row r="178" spans="1:14" ht="15.75" customHeight="1">
      <c r="A178" s="4">
        <v>40503</v>
      </c>
      <c r="B178" s="4" t="s">
        <v>335</v>
      </c>
      <c r="C178" s="27" t="str">
        <f>IF(Table_1[[#This Row],[Forest cover 2011]]&lt;1000,"Bosque menor a 1000 ha",Table_1[[#This Row],[Forest cover 2011]])</f>
        <v>Bosque menor a 1000 ha</v>
      </c>
      <c r="D178" s="4">
        <v>0</v>
      </c>
      <c r="E178" s="4">
        <v>0</v>
      </c>
      <c r="F178" s="4">
        <v>0</v>
      </c>
      <c r="G178" s="4">
        <v>0</v>
      </c>
      <c r="H178" s="4">
        <f t="shared" si="0"/>
        <v>0</v>
      </c>
      <c r="I178" s="4">
        <v>0</v>
      </c>
      <c r="J178" s="4">
        <v>0</v>
      </c>
      <c r="K178" s="4">
        <v>0</v>
      </c>
      <c r="L178" s="4">
        <f t="shared" si="1"/>
        <v>0</v>
      </c>
      <c r="M178" s="10" t="str">
        <f t="shared" si="9"/>
        <v/>
      </c>
      <c r="N178" s="10" t="str">
        <f t="shared" si="10"/>
        <v/>
      </c>
    </row>
    <row r="179" spans="1:14" ht="15.75" customHeight="1">
      <c r="A179" s="4">
        <v>40504</v>
      </c>
      <c r="B179" s="4" t="s">
        <v>336</v>
      </c>
      <c r="C179" s="28" t="str">
        <f>IF(Table_1[[#This Row],[Forest cover 2011]]&lt;1000,"Bosque menor a 1000 ha",Table_1[[#This Row],[Forest cover 2011]])</f>
        <v>Bosque menor a 1000 ha</v>
      </c>
      <c r="D179" s="4">
        <v>0</v>
      </c>
      <c r="E179" s="4">
        <v>0</v>
      </c>
      <c r="F179" s="4">
        <v>0</v>
      </c>
      <c r="G179" s="4">
        <v>0</v>
      </c>
      <c r="H179" s="4">
        <f t="shared" si="0"/>
        <v>0</v>
      </c>
      <c r="I179" s="4">
        <v>0</v>
      </c>
      <c r="J179" s="4">
        <v>0</v>
      </c>
      <c r="K179" s="4">
        <v>0</v>
      </c>
      <c r="L179" s="4">
        <f t="shared" si="1"/>
        <v>0</v>
      </c>
      <c r="M179" s="10" t="str">
        <f t="shared" si="9"/>
        <v/>
      </c>
      <c r="N179" s="10" t="str">
        <f t="shared" si="10"/>
        <v/>
      </c>
    </row>
    <row r="180" spans="1:14" ht="15.75" customHeight="1">
      <c r="A180" s="4">
        <v>40505</v>
      </c>
      <c r="B180" s="4" t="s">
        <v>337</v>
      </c>
      <c r="C180" s="27" t="str">
        <f>IF(Table_1[[#This Row],[Forest cover 2011]]&lt;1000,"Bosque menor a 1000 ha",Table_1[[#This Row],[Forest cover 2011]])</f>
        <v>Bosque menor a 1000 ha</v>
      </c>
      <c r="D180" s="4">
        <v>0</v>
      </c>
      <c r="E180" s="4">
        <v>0</v>
      </c>
      <c r="F180" s="4">
        <v>0</v>
      </c>
      <c r="G180" s="4">
        <v>0</v>
      </c>
      <c r="H180" s="4">
        <f t="shared" si="0"/>
        <v>0</v>
      </c>
      <c r="I180" s="4">
        <v>0</v>
      </c>
      <c r="J180" s="4">
        <v>0</v>
      </c>
      <c r="K180" s="4">
        <v>0</v>
      </c>
      <c r="L180" s="4">
        <f t="shared" si="1"/>
        <v>0</v>
      </c>
      <c r="M180" s="10" t="str">
        <f t="shared" si="9"/>
        <v/>
      </c>
      <c r="N180" s="10" t="str">
        <f t="shared" si="10"/>
        <v/>
      </c>
    </row>
    <row r="181" spans="1:14" ht="15.75" customHeight="1">
      <c r="A181" s="4">
        <v>40601</v>
      </c>
      <c r="B181" s="4" t="s">
        <v>338</v>
      </c>
      <c r="C181" s="28" t="str">
        <f>IF(Table_1[[#This Row],[Forest cover 2011]]&lt;1000,"Bosque menor a 1000 ha",Table_1[[#This Row],[Forest cover 2011]])</f>
        <v>Bosque menor a 1000 ha</v>
      </c>
      <c r="D181" s="4">
        <v>0</v>
      </c>
      <c r="E181" s="4">
        <v>0</v>
      </c>
      <c r="F181" s="4">
        <v>0</v>
      </c>
      <c r="G181" s="4">
        <v>0</v>
      </c>
      <c r="H181" s="4">
        <f t="shared" si="0"/>
        <v>0</v>
      </c>
      <c r="I181" s="4">
        <v>0</v>
      </c>
      <c r="J181" s="4">
        <v>0</v>
      </c>
      <c r="K181" s="4">
        <v>0</v>
      </c>
      <c r="L181" s="4">
        <f t="shared" si="1"/>
        <v>0</v>
      </c>
      <c r="M181" s="10" t="str">
        <f t="shared" si="9"/>
        <v/>
      </c>
      <c r="N181" s="10" t="str">
        <f t="shared" si="10"/>
        <v/>
      </c>
    </row>
    <row r="182" spans="1:14" ht="15.75" customHeight="1">
      <c r="A182" s="4">
        <v>40602</v>
      </c>
      <c r="B182" s="4" t="s">
        <v>339</v>
      </c>
      <c r="C182" s="27" t="str">
        <f>IF(Table_1[[#This Row],[Forest cover 2011]]&lt;1000,"Bosque menor a 1000 ha",Table_1[[#This Row],[Forest cover 2011]])</f>
        <v>Bosque menor a 1000 ha</v>
      </c>
      <c r="D182" s="4">
        <v>0</v>
      </c>
      <c r="E182" s="4">
        <v>0</v>
      </c>
      <c r="F182" s="4">
        <v>0</v>
      </c>
      <c r="G182" s="4">
        <v>0</v>
      </c>
      <c r="H182" s="4">
        <f t="shared" si="0"/>
        <v>0</v>
      </c>
      <c r="I182" s="4">
        <v>0</v>
      </c>
      <c r="J182" s="4">
        <v>0</v>
      </c>
      <c r="K182" s="4">
        <v>0</v>
      </c>
      <c r="L182" s="4">
        <f t="shared" si="1"/>
        <v>0</v>
      </c>
      <c r="M182" s="10" t="str">
        <f t="shared" si="9"/>
        <v/>
      </c>
      <c r="N182" s="10" t="str">
        <f t="shared" si="10"/>
        <v/>
      </c>
    </row>
    <row r="183" spans="1:14" ht="15.75" customHeight="1">
      <c r="A183" s="4">
        <v>40603</v>
      </c>
      <c r="B183" s="4" t="s">
        <v>340</v>
      </c>
      <c r="C183" s="28" t="str">
        <f>IF(Table_1[[#This Row],[Forest cover 2011]]&lt;1000,"Bosque menor a 1000 ha",Table_1[[#This Row],[Forest cover 2011]])</f>
        <v>Bosque menor a 1000 ha</v>
      </c>
      <c r="D183" s="4">
        <v>0</v>
      </c>
      <c r="E183" s="4">
        <v>0</v>
      </c>
      <c r="F183" s="4">
        <v>0</v>
      </c>
      <c r="G183" s="4">
        <v>0</v>
      </c>
      <c r="H183" s="4">
        <f t="shared" si="0"/>
        <v>0</v>
      </c>
      <c r="I183" s="4">
        <v>0</v>
      </c>
      <c r="J183" s="4">
        <v>0</v>
      </c>
      <c r="K183" s="4">
        <v>0</v>
      </c>
      <c r="L183" s="4">
        <f t="shared" si="1"/>
        <v>0</v>
      </c>
      <c r="M183" s="10" t="str">
        <f t="shared" si="9"/>
        <v/>
      </c>
      <c r="N183" s="10" t="str">
        <f t="shared" si="10"/>
        <v/>
      </c>
    </row>
    <row r="184" spans="1:14" ht="15.75" customHeight="1">
      <c r="A184" s="4">
        <v>40701</v>
      </c>
      <c r="B184" s="4" t="s">
        <v>341</v>
      </c>
      <c r="C184" s="27" t="str">
        <f>IF(Table_1[[#This Row],[Forest cover 2011]]&lt;1000,"Bosque menor a 1000 ha",Table_1[[#This Row],[Forest cover 2011]])</f>
        <v>Bosque menor a 1000 ha</v>
      </c>
      <c r="D184" s="4">
        <v>0</v>
      </c>
      <c r="E184" s="4">
        <v>0</v>
      </c>
      <c r="F184" s="4">
        <v>0</v>
      </c>
      <c r="G184" s="4">
        <v>0</v>
      </c>
      <c r="H184" s="4">
        <f t="shared" si="0"/>
        <v>0</v>
      </c>
      <c r="I184" s="4">
        <v>0</v>
      </c>
      <c r="J184" s="4">
        <v>0</v>
      </c>
      <c r="K184" s="4">
        <v>0</v>
      </c>
      <c r="L184" s="4">
        <f t="shared" si="1"/>
        <v>0</v>
      </c>
      <c r="M184" s="10" t="str">
        <f t="shared" si="9"/>
        <v/>
      </c>
      <c r="N184" s="10" t="str">
        <f t="shared" si="10"/>
        <v/>
      </c>
    </row>
    <row r="185" spans="1:14" ht="15.75" customHeight="1">
      <c r="A185" s="4">
        <v>40702</v>
      </c>
      <c r="B185" s="4" t="s">
        <v>342</v>
      </c>
      <c r="C185" s="28" t="str">
        <f>IF(Table_1[[#This Row],[Forest cover 2011]]&lt;1000,"Bosque menor a 1000 ha",Table_1[[#This Row],[Forest cover 2011]])</f>
        <v>Bosque menor a 1000 ha</v>
      </c>
      <c r="D185" s="4">
        <v>0</v>
      </c>
      <c r="E185" s="4">
        <v>0</v>
      </c>
      <c r="F185" s="4">
        <v>0</v>
      </c>
      <c r="G185" s="4">
        <v>0</v>
      </c>
      <c r="H185" s="4">
        <f t="shared" si="0"/>
        <v>0</v>
      </c>
      <c r="I185" s="4">
        <v>0</v>
      </c>
      <c r="J185" s="4">
        <v>0</v>
      </c>
      <c r="K185" s="4">
        <v>0</v>
      </c>
      <c r="L185" s="4">
        <f t="shared" si="1"/>
        <v>0</v>
      </c>
      <c r="M185" s="10" t="str">
        <f t="shared" si="9"/>
        <v/>
      </c>
      <c r="N185" s="10" t="str">
        <f t="shared" si="10"/>
        <v/>
      </c>
    </row>
    <row r="186" spans="1:14" ht="15.75" customHeight="1">
      <c r="A186" s="4">
        <v>40801</v>
      </c>
      <c r="B186" s="4" t="s">
        <v>343</v>
      </c>
      <c r="C186" s="27" t="str">
        <f>IF(Table_1[[#This Row],[Forest cover 2011]]&lt;1000,"Bosque menor a 1000 ha",Table_1[[#This Row],[Forest cover 2011]])</f>
        <v>Bosque menor a 1000 ha</v>
      </c>
      <c r="D186" s="4">
        <v>0</v>
      </c>
      <c r="E186" s="4">
        <v>0</v>
      </c>
      <c r="F186" s="4">
        <v>0</v>
      </c>
      <c r="G186" s="4">
        <v>0</v>
      </c>
      <c r="H186" s="4">
        <f t="shared" si="0"/>
        <v>0</v>
      </c>
      <c r="I186" s="4">
        <v>0</v>
      </c>
      <c r="J186" s="4">
        <v>0</v>
      </c>
      <c r="K186" s="4">
        <v>0</v>
      </c>
      <c r="L186" s="4">
        <f t="shared" si="1"/>
        <v>0</v>
      </c>
      <c r="M186" s="10" t="str">
        <f t="shared" si="9"/>
        <v/>
      </c>
      <c r="N186" s="10" t="str">
        <f t="shared" si="10"/>
        <v/>
      </c>
    </row>
    <row r="187" spans="1:14" ht="15.75" customHeight="1">
      <c r="A187" s="4">
        <v>40802</v>
      </c>
      <c r="B187" s="4" t="s">
        <v>344</v>
      </c>
      <c r="C187" s="28" t="str">
        <f>IF(Table_1[[#This Row],[Forest cover 2011]]&lt;1000,"Bosque menor a 1000 ha",Table_1[[#This Row],[Forest cover 2011]])</f>
        <v>Bosque menor a 1000 ha</v>
      </c>
      <c r="D187" s="4">
        <v>0</v>
      </c>
      <c r="E187" s="4">
        <v>0</v>
      </c>
      <c r="F187" s="4">
        <v>0</v>
      </c>
      <c r="G187" s="4">
        <v>0</v>
      </c>
      <c r="H187" s="4">
        <f t="shared" si="0"/>
        <v>0</v>
      </c>
      <c r="I187" s="4">
        <v>0</v>
      </c>
      <c r="J187" s="4">
        <v>0</v>
      </c>
      <c r="K187" s="4">
        <v>0</v>
      </c>
      <c r="L187" s="4">
        <f t="shared" si="1"/>
        <v>0</v>
      </c>
      <c r="M187" s="10" t="str">
        <f t="shared" si="9"/>
        <v/>
      </c>
      <c r="N187" s="10" t="str">
        <f t="shared" si="10"/>
        <v/>
      </c>
    </row>
    <row r="188" spans="1:14" ht="15.75" customHeight="1">
      <c r="A188" s="4">
        <v>40901</v>
      </c>
      <c r="B188" s="4" t="s">
        <v>345</v>
      </c>
      <c r="C188" s="27" t="str">
        <f>IF(Table_1[[#This Row],[Forest cover 2011]]&lt;1000,"Bosque menor a 1000 ha",Table_1[[#This Row],[Forest cover 2011]])</f>
        <v>Bosque menor a 1000 ha</v>
      </c>
      <c r="D188" s="4">
        <v>0</v>
      </c>
      <c r="E188" s="4">
        <v>0</v>
      </c>
      <c r="F188" s="4">
        <v>0</v>
      </c>
      <c r="G188" s="4">
        <v>0</v>
      </c>
      <c r="H188" s="4">
        <f t="shared" si="0"/>
        <v>0</v>
      </c>
      <c r="I188" s="4">
        <v>0</v>
      </c>
      <c r="J188" s="4">
        <v>0</v>
      </c>
      <c r="K188" s="4">
        <v>0</v>
      </c>
      <c r="L188" s="4">
        <f t="shared" si="1"/>
        <v>0</v>
      </c>
      <c r="M188" s="10" t="str">
        <f t="shared" si="9"/>
        <v/>
      </c>
      <c r="N188" s="10" t="str">
        <f t="shared" si="10"/>
        <v/>
      </c>
    </row>
    <row r="189" spans="1:14" ht="15.75" customHeight="1">
      <c r="A189" s="4">
        <v>40902</v>
      </c>
      <c r="B189" s="4" t="s">
        <v>346</v>
      </c>
      <c r="C189" s="28" t="str">
        <f>IF(Table_1[[#This Row],[Forest cover 2011]]&lt;1000,"Bosque menor a 1000 ha",Table_1[[#This Row],[Forest cover 2011]])</f>
        <v>Bosque menor a 1000 ha</v>
      </c>
      <c r="D189" s="4">
        <v>0</v>
      </c>
      <c r="E189" s="4">
        <v>0</v>
      </c>
      <c r="F189" s="4">
        <v>0</v>
      </c>
      <c r="G189" s="4">
        <v>0</v>
      </c>
      <c r="H189" s="4">
        <f t="shared" si="0"/>
        <v>0</v>
      </c>
      <c r="I189" s="4">
        <v>0</v>
      </c>
      <c r="J189" s="4">
        <v>0</v>
      </c>
      <c r="K189" s="4">
        <v>0</v>
      </c>
      <c r="L189" s="4">
        <f t="shared" si="1"/>
        <v>0</v>
      </c>
      <c r="M189" s="10" t="str">
        <f t="shared" si="9"/>
        <v/>
      </c>
      <c r="N189" s="10" t="str">
        <f t="shared" si="10"/>
        <v/>
      </c>
    </row>
    <row r="190" spans="1:14" ht="15.75" customHeight="1">
      <c r="A190" s="4">
        <v>40903</v>
      </c>
      <c r="B190" s="4" t="s">
        <v>347</v>
      </c>
      <c r="C190" s="27" t="str">
        <f>IF(Table_1[[#This Row],[Forest cover 2011]]&lt;1000,"Bosque menor a 1000 ha",Table_1[[#This Row],[Forest cover 2011]])</f>
        <v>Bosque menor a 1000 ha</v>
      </c>
      <c r="D190" s="4">
        <v>0</v>
      </c>
      <c r="E190" s="4">
        <v>0</v>
      </c>
      <c r="F190" s="4">
        <v>0</v>
      </c>
      <c r="G190" s="4">
        <v>0</v>
      </c>
      <c r="H190" s="4">
        <f t="shared" si="0"/>
        <v>0</v>
      </c>
      <c r="I190" s="4">
        <v>0</v>
      </c>
      <c r="J190" s="4">
        <v>0</v>
      </c>
      <c r="K190" s="4">
        <v>0</v>
      </c>
      <c r="L190" s="4">
        <f t="shared" si="1"/>
        <v>0</v>
      </c>
      <c r="M190" s="10" t="str">
        <f t="shared" si="9"/>
        <v/>
      </c>
      <c r="N190" s="10" t="str">
        <f t="shared" si="10"/>
        <v/>
      </c>
    </row>
    <row r="191" spans="1:14" ht="15.75" customHeight="1">
      <c r="A191" s="4">
        <v>41001</v>
      </c>
      <c r="B191" s="4" t="s">
        <v>348</v>
      </c>
      <c r="C191" s="28" t="str">
        <f>IF(Table_1[[#This Row],[Forest cover 2011]]&lt;1000,"Bosque menor a 1000 ha",Table_1[[#This Row],[Forest cover 2011]])</f>
        <v>Bosque menor a 1000 ha</v>
      </c>
      <c r="D191" s="4">
        <v>0</v>
      </c>
      <c r="E191" s="4">
        <v>0</v>
      </c>
      <c r="F191" s="4">
        <v>0</v>
      </c>
      <c r="G191" s="4">
        <v>0</v>
      </c>
      <c r="H191" s="4">
        <f t="shared" si="0"/>
        <v>0</v>
      </c>
      <c r="I191" s="4">
        <v>0</v>
      </c>
      <c r="J191" s="4">
        <v>0</v>
      </c>
      <c r="K191" s="4">
        <v>0</v>
      </c>
      <c r="L191" s="4">
        <f t="shared" si="1"/>
        <v>0</v>
      </c>
      <c r="M191" s="10" t="str">
        <f t="shared" si="9"/>
        <v/>
      </c>
      <c r="N191" s="10" t="str">
        <f t="shared" si="10"/>
        <v/>
      </c>
    </row>
    <row r="192" spans="1:14" ht="15.75" customHeight="1">
      <c r="A192" s="4">
        <v>41101</v>
      </c>
      <c r="B192" s="4" t="s">
        <v>349</v>
      </c>
      <c r="C192" s="27" t="str">
        <f>IF(Table_1[[#This Row],[Forest cover 2011]]&lt;1000,"Bosque menor a 1000 ha",Table_1[[#This Row],[Forest cover 2011]])</f>
        <v>Bosque menor a 1000 ha</v>
      </c>
      <c r="D192" s="4">
        <v>0</v>
      </c>
      <c r="E192" s="4">
        <v>0</v>
      </c>
      <c r="F192" s="4">
        <v>0</v>
      </c>
      <c r="G192" s="4">
        <v>0</v>
      </c>
      <c r="H192" s="4">
        <f t="shared" si="0"/>
        <v>0</v>
      </c>
      <c r="I192" s="4">
        <v>0</v>
      </c>
      <c r="J192" s="4">
        <v>0</v>
      </c>
      <c r="K192" s="4">
        <v>0</v>
      </c>
      <c r="L192" s="4">
        <f t="shared" si="1"/>
        <v>0</v>
      </c>
      <c r="M192" s="10" t="str">
        <f t="shared" si="9"/>
        <v/>
      </c>
      <c r="N192" s="10" t="str">
        <f t="shared" si="10"/>
        <v/>
      </c>
    </row>
    <row r="193" spans="1:14" ht="15.75" customHeight="1">
      <c r="A193" s="4">
        <v>41201</v>
      </c>
      <c r="B193" s="4" t="s">
        <v>350</v>
      </c>
      <c r="C193" s="28" t="str">
        <f>IF(Table_1[[#This Row],[Forest cover 2011]]&lt;1000,"Bosque menor a 1000 ha",Table_1[[#This Row],[Forest cover 2011]])</f>
        <v>Bosque menor a 1000 ha</v>
      </c>
      <c r="D193" s="4">
        <v>0</v>
      </c>
      <c r="E193" s="4">
        <v>0</v>
      </c>
      <c r="F193" s="4">
        <v>0</v>
      </c>
      <c r="G193" s="4">
        <v>0</v>
      </c>
      <c r="H193" s="4">
        <f t="shared" si="0"/>
        <v>0</v>
      </c>
      <c r="I193" s="4">
        <v>0</v>
      </c>
      <c r="J193" s="4">
        <v>0</v>
      </c>
      <c r="K193" s="4">
        <v>0</v>
      </c>
      <c r="L193" s="4">
        <f t="shared" si="1"/>
        <v>0</v>
      </c>
      <c r="M193" s="10" t="str">
        <f t="shared" si="9"/>
        <v/>
      </c>
      <c r="N193" s="10" t="str">
        <f t="shared" si="10"/>
        <v/>
      </c>
    </row>
    <row r="194" spans="1:14" ht="15.75" customHeight="1">
      <c r="A194" s="4">
        <v>41202</v>
      </c>
      <c r="B194" s="4" t="s">
        <v>351</v>
      </c>
      <c r="C194" s="27" t="str">
        <f>IF(Table_1[[#This Row],[Forest cover 2011]]&lt;1000,"Bosque menor a 1000 ha",Table_1[[#This Row],[Forest cover 2011]])</f>
        <v>Bosque menor a 1000 ha</v>
      </c>
      <c r="D194" s="4">
        <v>0</v>
      </c>
      <c r="E194" s="4">
        <v>0</v>
      </c>
      <c r="F194" s="4">
        <v>0</v>
      </c>
      <c r="G194" s="4">
        <v>0</v>
      </c>
      <c r="H194" s="4">
        <f t="shared" si="0"/>
        <v>0</v>
      </c>
      <c r="I194" s="4">
        <v>0</v>
      </c>
      <c r="J194" s="4">
        <v>0</v>
      </c>
      <c r="K194" s="4">
        <v>0</v>
      </c>
      <c r="L194" s="4">
        <f t="shared" si="1"/>
        <v>0</v>
      </c>
      <c r="M194" s="10" t="str">
        <f t="shared" si="9"/>
        <v/>
      </c>
      <c r="N194" s="10" t="str">
        <f t="shared" si="10"/>
        <v/>
      </c>
    </row>
    <row r="195" spans="1:14" ht="15.75" customHeight="1">
      <c r="A195" s="4">
        <v>41301</v>
      </c>
      <c r="B195" s="4" t="s">
        <v>257</v>
      </c>
      <c r="C195" s="28" t="str">
        <f>IF(Table_1[[#This Row],[Forest cover 2011]]&lt;1000,"Bosque menor a 1000 ha",Table_1[[#This Row],[Forest cover 2011]])</f>
        <v>Bosque menor a 1000 ha</v>
      </c>
      <c r="D195" s="4">
        <v>0</v>
      </c>
      <c r="E195" s="4">
        <v>0</v>
      </c>
      <c r="F195" s="4">
        <v>0</v>
      </c>
      <c r="G195" s="4">
        <v>0</v>
      </c>
      <c r="H195" s="4">
        <f t="shared" si="0"/>
        <v>0</v>
      </c>
      <c r="I195" s="4">
        <v>0</v>
      </c>
      <c r="J195" s="4">
        <v>0</v>
      </c>
      <c r="K195" s="4">
        <v>0</v>
      </c>
      <c r="L195" s="4">
        <f t="shared" si="1"/>
        <v>0</v>
      </c>
      <c r="M195" s="10" t="str">
        <f t="shared" ref="M195:M258" si="11">IF(D195&lt;1000,"",(H195/D195)*100)</f>
        <v/>
      </c>
      <c r="N195" s="10" t="str">
        <f t="shared" ref="N195:N258" si="12">IF(D195&lt;1000,"",(L195/D195)*100)</f>
        <v/>
      </c>
    </row>
    <row r="196" spans="1:14" ht="15.75" customHeight="1">
      <c r="A196" s="4">
        <v>41401</v>
      </c>
      <c r="B196" s="4" t="s">
        <v>64</v>
      </c>
      <c r="C196" s="27" t="str">
        <f>IF(Table_1[[#This Row],[Forest cover 2011]]&lt;1000,"Bosque menor a 1000 ha",Table_1[[#This Row],[Forest cover 2011]])</f>
        <v>Bosque menor a 1000 ha</v>
      </c>
      <c r="D196" s="4">
        <v>0</v>
      </c>
      <c r="E196" s="4">
        <v>0</v>
      </c>
      <c r="F196" s="4">
        <v>0</v>
      </c>
      <c r="G196" s="4">
        <v>0</v>
      </c>
      <c r="H196" s="4">
        <f t="shared" si="0"/>
        <v>0</v>
      </c>
      <c r="I196" s="4">
        <v>0</v>
      </c>
      <c r="J196" s="4">
        <v>0</v>
      </c>
      <c r="K196" s="4">
        <v>0</v>
      </c>
      <c r="L196" s="4">
        <f t="shared" si="1"/>
        <v>0</v>
      </c>
      <c r="M196" s="10" t="str">
        <f t="shared" si="11"/>
        <v/>
      </c>
      <c r="N196" s="10" t="str">
        <f t="shared" si="12"/>
        <v/>
      </c>
    </row>
    <row r="197" spans="1:14" ht="15.75" customHeight="1">
      <c r="A197" s="4">
        <v>41501</v>
      </c>
      <c r="B197" s="4" t="s">
        <v>352</v>
      </c>
      <c r="C197" s="28" t="str">
        <f>IF(Table_1[[#This Row],[Forest cover 2011]]&lt;1000,"Bosque menor a 1000 ha",Table_1[[#This Row],[Forest cover 2011]])</f>
        <v>Bosque menor a 1000 ha</v>
      </c>
      <c r="D197" s="4">
        <v>0</v>
      </c>
      <c r="E197" s="4">
        <v>0</v>
      </c>
      <c r="F197" s="4">
        <v>0</v>
      </c>
      <c r="G197" s="4">
        <v>0</v>
      </c>
      <c r="H197" s="4">
        <f t="shared" si="0"/>
        <v>0</v>
      </c>
      <c r="I197" s="4">
        <v>0</v>
      </c>
      <c r="J197" s="4">
        <v>0</v>
      </c>
      <c r="K197" s="4">
        <v>0</v>
      </c>
      <c r="L197" s="4">
        <f t="shared" si="1"/>
        <v>0</v>
      </c>
      <c r="M197" s="10" t="str">
        <f t="shared" si="11"/>
        <v/>
      </c>
      <c r="N197" s="10" t="str">
        <f t="shared" si="12"/>
        <v/>
      </c>
    </row>
    <row r="198" spans="1:14" ht="15.75" customHeight="1">
      <c r="A198" s="4">
        <v>41502</v>
      </c>
      <c r="B198" s="4" t="s">
        <v>353</v>
      </c>
      <c r="C198" s="27" t="str">
        <f>IF(Table_1[[#This Row],[Forest cover 2011]]&lt;1000,"Bosque menor a 1000 ha",Table_1[[#This Row],[Forest cover 2011]])</f>
        <v>Bosque menor a 1000 ha</v>
      </c>
      <c r="D198" s="4">
        <v>0</v>
      </c>
      <c r="E198" s="4">
        <v>0</v>
      </c>
      <c r="F198" s="4">
        <v>0</v>
      </c>
      <c r="G198" s="4">
        <v>0</v>
      </c>
      <c r="H198" s="4">
        <f t="shared" si="0"/>
        <v>0</v>
      </c>
      <c r="I198" s="4">
        <v>0</v>
      </c>
      <c r="J198" s="4">
        <v>0</v>
      </c>
      <c r="K198" s="4">
        <v>0</v>
      </c>
      <c r="L198" s="4">
        <f t="shared" si="1"/>
        <v>0</v>
      </c>
      <c r="M198" s="10" t="str">
        <f t="shared" si="11"/>
        <v/>
      </c>
      <c r="N198" s="10" t="str">
        <f t="shared" si="12"/>
        <v/>
      </c>
    </row>
    <row r="199" spans="1:14" ht="15.75" customHeight="1">
      <c r="A199" s="4">
        <v>41503</v>
      </c>
      <c r="B199" s="4" t="s">
        <v>354</v>
      </c>
      <c r="C199" s="28" t="str">
        <f>IF(Table_1[[#This Row],[Forest cover 2011]]&lt;1000,"Bosque menor a 1000 ha",Table_1[[#This Row],[Forest cover 2011]])</f>
        <v>Bosque menor a 1000 ha</v>
      </c>
      <c r="D199" s="4">
        <v>0</v>
      </c>
      <c r="E199" s="4">
        <v>0</v>
      </c>
      <c r="F199" s="4">
        <v>0</v>
      </c>
      <c r="G199" s="4">
        <v>0</v>
      </c>
      <c r="H199" s="4">
        <f t="shared" si="0"/>
        <v>0</v>
      </c>
      <c r="I199" s="4">
        <v>0</v>
      </c>
      <c r="J199" s="4">
        <v>0</v>
      </c>
      <c r="K199" s="4">
        <v>0</v>
      </c>
      <c r="L199" s="4">
        <f t="shared" si="1"/>
        <v>0</v>
      </c>
      <c r="M199" s="10" t="str">
        <f t="shared" si="11"/>
        <v/>
      </c>
      <c r="N199" s="10" t="str">
        <f t="shared" si="12"/>
        <v/>
      </c>
    </row>
    <row r="200" spans="1:14" ht="15.75" customHeight="1">
      <c r="A200" s="4">
        <v>41601</v>
      </c>
      <c r="B200" s="4" t="s">
        <v>355</v>
      </c>
      <c r="C200" s="27" t="str">
        <f>IF(Table_1[[#This Row],[Forest cover 2011]]&lt;1000,"Bosque menor a 1000 ha",Table_1[[#This Row],[Forest cover 2011]])</f>
        <v>Bosque menor a 1000 ha</v>
      </c>
      <c r="D200" s="4">
        <v>0</v>
      </c>
      <c r="E200" s="4">
        <v>0</v>
      </c>
      <c r="F200" s="4">
        <v>0</v>
      </c>
      <c r="G200" s="4">
        <v>0</v>
      </c>
      <c r="H200" s="4">
        <f t="shared" si="0"/>
        <v>0</v>
      </c>
      <c r="I200" s="4">
        <v>0</v>
      </c>
      <c r="J200" s="4">
        <v>0</v>
      </c>
      <c r="K200" s="4">
        <v>0</v>
      </c>
      <c r="L200" s="4">
        <f t="shared" si="1"/>
        <v>0</v>
      </c>
      <c r="M200" s="10" t="str">
        <f t="shared" si="11"/>
        <v/>
      </c>
      <c r="N200" s="10" t="str">
        <f t="shared" si="12"/>
        <v/>
      </c>
    </row>
    <row r="201" spans="1:14" ht="15.75" customHeight="1">
      <c r="A201" s="4">
        <v>50101</v>
      </c>
      <c r="B201" s="4" t="s">
        <v>58</v>
      </c>
      <c r="C201" s="28" t="str">
        <f>IF(Table_1[[#This Row],[Forest cover 2011]]&lt;1000,"Bosque menor a 1000 ha",Table_1[[#This Row],[Forest cover 2011]])</f>
        <v>Bosque menor a 1000 ha</v>
      </c>
      <c r="D201" s="4">
        <v>0</v>
      </c>
      <c r="E201" s="4">
        <v>0</v>
      </c>
      <c r="F201" s="4">
        <v>0</v>
      </c>
      <c r="G201" s="4">
        <v>0</v>
      </c>
      <c r="H201" s="4">
        <f t="shared" si="0"/>
        <v>0</v>
      </c>
      <c r="I201" s="4">
        <v>0</v>
      </c>
      <c r="J201" s="4">
        <v>0</v>
      </c>
      <c r="K201" s="4">
        <v>0</v>
      </c>
      <c r="L201" s="4">
        <f t="shared" si="1"/>
        <v>0</v>
      </c>
      <c r="M201" s="10" t="str">
        <f t="shared" si="11"/>
        <v/>
      </c>
      <c r="N201" s="10" t="str">
        <f t="shared" si="12"/>
        <v/>
      </c>
    </row>
    <row r="202" spans="1:14" ht="15.75" customHeight="1">
      <c r="A202" s="4">
        <v>50102</v>
      </c>
      <c r="B202" s="4" t="s">
        <v>60</v>
      </c>
      <c r="C202" s="27" t="str">
        <f>IF(Table_1[[#This Row],[Forest cover 2011]]&lt;1000,"Bosque menor a 1000 ha",Table_1[[#This Row],[Forest cover 2011]])</f>
        <v>Bosque menor a 1000 ha</v>
      </c>
      <c r="D202" s="4">
        <v>0</v>
      </c>
      <c r="E202" s="4">
        <v>0</v>
      </c>
      <c r="F202" s="4">
        <v>0</v>
      </c>
      <c r="G202" s="4">
        <v>0</v>
      </c>
      <c r="H202" s="4">
        <f t="shared" si="0"/>
        <v>0</v>
      </c>
      <c r="I202" s="4">
        <v>0</v>
      </c>
      <c r="J202" s="4">
        <v>0</v>
      </c>
      <c r="K202" s="4">
        <v>0</v>
      </c>
      <c r="L202" s="4">
        <f t="shared" si="1"/>
        <v>0</v>
      </c>
      <c r="M202" s="10" t="str">
        <f t="shared" si="11"/>
        <v/>
      </c>
      <c r="N202" s="10" t="str">
        <f t="shared" si="12"/>
        <v/>
      </c>
    </row>
    <row r="203" spans="1:14" ht="15.75" customHeight="1">
      <c r="A203" s="4">
        <v>50103</v>
      </c>
      <c r="B203" s="4" t="s">
        <v>356</v>
      </c>
      <c r="C203" s="28" t="str">
        <f>IF(Table_1[[#This Row],[Forest cover 2011]]&lt;1000,"Bosque menor a 1000 ha",Table_1[[#This Row],[Forest cover 2011]])</f>
        <v>Bosque menor a 1000 ha</v>
      </c>
      <c r="D203" s="4">
        <v>0</v>
      </c>
      <c r="E203" s="4">
        <v>0</v>
      </c>
      <c r="F203" s="4">
        <v>0</v>
      </c>
      <c r="G203" s="4">
        <v>0</v>
      </c>
      <c r="H203" s="4">
        <f t="shared" si="0"/>
        <v>0</v>
      </c>
      <c r="I203" s="4">
        <v>0</v>
      </c>
      <c r="J203" s="4">
        <v>0</v>
      </c>
      <c r="K203" s="4">
        <v>0</v>
      </c>
      <c r="L203" s="4">
        <f t="shared" si="1"/>
        <v>0</v>
      </c>
      <c r="M203" s="10" t="str">
        <f t="shared" si="11"/>
        <v/>
      </c>
      <c r="N203" s="10" t="str">
        <f t="shared" si="12"/>
        <v/>
      </c>
    </row>
    <row r="204" spans="1:14" ht="15.75" customHeight="1">
      <c r="A204" s="4">
        <v>50104</v>
      </c>
      <c r="B204" s="4" t="s">
        <v>63</v>
      </c>
      <c r="C204" s="27" t="str">
        <f>IF(Table_1[[#This Row],[Forest cover 2011]]&lt;1000,"Bosque menor a 1000 ha",Table_1[[#This Row],[Forest cover 2011]])</f>
        <v>Bosque menor a 1000 ha</v>
      </c>
      <c r="D204" s="4">
        <v>0</v>
      </c>
      <c r="E204" s="4">
        <v>0</v>
      </c>
      <c r="F204" s="4">
        <v>0</v>
      </c>
      <c r="G204" s="4">
        <v>0</v>
      </c>
      <c r="H204" s="4">
        <f t="shared" si="0"/>
        <v>0</v>
      </c>
      <c r="I204" s="4">
        <v>0</v>
      </c>
      <c r="J204" s="4">
        <v>0</v>
      </c>
      <c r="K204" s="4">
        <v>0</v>
      </c>
      <c r="L204" s="4">
        <f t="shared" si="1"/>
        <v>0</v>
      </c>
      <c r="M204" s="10" t="str">
        <f t="shared" si="11"/>
        <v/>
      </c>
      <c r="N204" s="10" t="str">
        <f t="shared" si="12"/>
        <v/>
      </c>
    </row>
    <row r="205" spans="1:14" ht="15.75" customHeight="1">
      <c r="A205" s="4">
        <v>50201</v>
      </c>
      <c r="B205" s="4" t="s">
        <v>371</v>
      </c>
      <c r="C205" s="28" t="str">
        <f>IF(Table_1[[#This Row],[Forest cover 2011]]&lt;1000,"Bosque menor a 1000 ha",Table_1[[#This Row],[Forest cover 2011]])</f>
        <v>Bosque menor a 1000 ha</v>
      </c>
      <c r="D205" s="4">
        <v>0</v>
      </c>
      <c r="E205" s="4">
        <v>0</v>
      </c>
      <c r="F205" s="4">
        <v>0</v>
      </c>
      <c r="G205" s="4">
        <v>0</v>
      </c>
      <c r="H205" s="4">
        <f t="shared" si="0"/>
        <v>0</v>
      </c>
      <c r="I205" s="4">
        <v>0</v>
      </c>
      <c r="J205" s="4">
        <v>0</v>
      </c>
      <c r="K205" s="4">
        <v>0</v>
      </c>
      <c r="L205" s="4">
        <f t="shared" si="1"/>
        <v>0</v>
      </c>
      <c r="M205" s="10" t="str">
        <f t="shared" si="11"/>
        <v/>
      </c>
      <c r="N205" s="10" t="str">
        <f t="shared" si="12"/>
        <v/>
      </c>
    </row>
    <row r="206" spans="1:14" ht="15.75" customHeight="1">
      <c r="A206" s="4">
        <v>50202</v>
      </c>
      <c r="B206" s="4" t="s">
        <v>385</v>
      </c>
      <c r="C206" s="27" t="str">
        <f>IF(Table_1[[#This Row],[Forest cover 2011]]&lt;1000,"Bosque menor a 1000 ha",Table_1[[#This Row],[Forest cover 2011]])</f>
        <v>Bosque menor a 1000 ha</v>
      </c>
      <c r="D206" s="4">
        <v>0</v>
      </c>
      <c r="E206" s="4">
        <v>0</v>
      </c>
      <c r="F206" s="4">
        <v>0</v>
      </c>
      <c r="G206" s="4">
        <v>0</v>
      </c>
      <c r="H206" s="4">
        <f t="shared" si="0"/>
        <v>0</v>
      </c>
      <c r="I206" s="4">
        <v>0</v>
      </c>
      <c r="J206" s="4">
        <v>0</v>
      </c>
      <c r="K206" s="4">
        <v>0</v>
      </c>
      <c r="L206" s="4">
        <f t="shared" si="1"/>
        <v>0</v>
      </c>
      <c r="M206" s="10" t="str">
        <f t="shared" si="11"/>
        <v/>
      </c>
      <c r="N206" s="10" t="str">
        <f t="shared" si="12"/>
        <v/>
      </c>
    </row>
    <row r="207" spans="1:14" ht="15.75" customHeight="1">
      <c r="A207" s="4">
        <v>50203</v>
      </c>
      <c r="B207" s="4" t="s">
        <v>386</v>
      </c>
      <c r="C207" s="28" t="str">
        <f>IF(Table_1[[#This Row],[Forest cover 2011]]&lt;1000,"Bosque menor a 1000 ha",Table_1[[#This Row],[Forest cover 2011]])</f>
        <v>Bosque menor a 1000 ha</v>
      </c>
      <c r="D207" s="4">
        <v>0</v>
      </c>
      <c r="E207" s="4">
        <v>0</v>
      </c>
      <c r="F207" s="4">
        <v>0</v>
      </c>
      <c r="G207" s="4">
        <v>0</v>
      </c>
      <c r="H207" s="4">
        <f t="shared" si="0"/>
        <v>0</v>
      </c>
      <c r="I207" s="4">
        <v>0</v>
      </c>
      <c r="J207" s="4">
        <v>0</v>
      </c>
      <c r="K207" s="4">
        <v>0</v>
      </c>
      <c r="L207" s="4">
        <f t="shared" si="1"/>
        <v>0</v>
      </c>
      <c r="M207" s="10" t="str">
        <f t="shared" si="11"/>
        <v/>
      </c>
      <c r="N207" s="10" t="str">
        <f t="shared" si="12"/>
        <v/>
      </c>
    </row>
    <row r="208" spans="1:14" ht="15.75" customHeight="1">
      <c r="A208" s="4">
        <v>50204</v>
      </c>
      <c r="B208" s="4" t="s">
        <v>357</v>
      </c>
      <c r="C208" s="27" t="str">
        <f>IF(Table_1[[#This Row],[Forest cover 2011]]&lt;1000,"Bosque menor a 1000 ha",Table_1[[#This Row],[Forest cover 2011]])</f>
        <v>Bosque menor a 1000 ha</v>
      </c>
      <c r="D208" s="4">
        <v>0</v>
      </c>
      <c r="E208" s="4">
        <v>0</v>
      </c>
      <c r="F208" s="4">
        <v>0</v>
      </c>
      <c r="G208" s="4">
        <v>0</v>
      </c>
      <c r="H208" s="4">
        <f t="shared" si="0"/>
        <v>0</v>
      </c>
      <c r="I208" s="4">
        <v>0</v>
      </c>
      <c r="J208" s="4">
        <v>0</v>
      </c>
      <c r="K208" s="4">
        <v>0</v>
      </c>
      <c r="L208" s="4">
        <f t="shared" si="1"/>
        <v>0</v>
      </c>
      <c r="M208" s="10" t="str">
        <f t="shared" si="11"/>
        <v/>
      </c>
      <c r="N208" s="10" t="str">
        <f t="shared" si="12"/>
        <v/>
      </c>
    </row>
    <row r="209" spans="1:14" ht="15.75" customHeight="1">
      <c r="A209" s="4">
        <v>50301</v>
      </c>
      <c r="B209" s="4" t="s">
        <v>81</v>
      </c>
      <c r="C209" s="28">
        <f>IF(Table_1[[#This Row],[Forest cover 2011]]&lt;1000,"Bosque menor a 1000 ha",Table_1[[#This Row],[Forest cover 2011]])</f>
        <v>1696.68</v>
      </c>
      <c r="D209" s="4">
        <v>1696.68</v>
      </c>
      <c r="E209" s="4">
        <v>5.58</v>
      </c>
      <c r="F209" s="4">
        <v>2.7</v>
      </c>
      <c r="G209" s="4">
        <v>29.43</v>
      </c>
      <c r="H209" s="4">
        <f t="shared" si="0"/>
        <v>12.57</v>
      </c>
      <c r="I209" s="4">
        <v>0.72</v>
      </c>
      <c r="J209" s="4">
        <v>1.44</v>
      </c>
      <c r="K209" s="4">
        <v>234.63</v>
      </c>
      <c r="L209" s="4">
        <f t="shared" si="1"/>
        <v>78.929999999999993</v>
      </c>
      <c r="M209" s="10">
        <f t="shared" si="11"/>
        <v>0.7408586180069312</v>
      </c>
      <c r="N209" s="10">
        <f t="shared" si="12"/>
        <v>4.6520263102058133</v>
      </c>
    </row>
    <row r="210" spans="1:14" ht="15.75" customHeight="1">
      <c r="A210" s="4">
        <v>50302</v>
      </c>
      <c r="B210" s="4" t="s">
        <v>78</v>
      </c>
      <c r="C210" s="27" t="str">
        <f>IF(Table_1[[#This Row],[Forest cover 2011]]&lt;1000,"Bosque menor a 1000 ha",Table_1[[#This Row],[Forest cover 2011]])</f>
        <v>Bosque menor a 1000 ha</v>
      </c>
      <c r="D210" s="4">
        <v>0</v>
      </c>
      <c r="E210" s="4">
        <v>0</v>
      </c>
      <c r="F210" s="4">
        <v>0</v>
      </c>
      <c r="G210" s="4">
        <v>0</v>
      </c>
      <c r="H210" s="4">
        <f t="shared" si="0"/>
        <v>0</v>
      </c>
      <c r="I210" s="4">
        <v>0</v>
      </c>
      <c r="J210" s="4">
        <v>0</v>
      </c>
      <c r="K210" s="4">
        <v>0</v>
      </c>
      <c r="L210" s="4">
        <f t="shared" si="1"/>
        <v>0</v>
      </c>
      <c r="M210" s="10" t="str">
        <f t="shared" si="11"/>
        <v/>
      </c>
      <c r="N210" s="10" t="str">
        <f t="shared" si="12"/>
        <v/>
      </c>
    </row>
    <row r="211" spans="1:14" ht="15.75" customHeight="1">
      <c r="A211" s="4">
        <v>50303</v>
      </c>
      <c r="B211" s="4" t="s">
        <v>79</v>
      </c>
      <c r="C211" s="28" t="str">
        <f>IF(Table_1[[#This Row],[Forest cover 2011]]&lt;1000,"Bosque menor a 1000 ha",Table_1[[#This Row],[Forest cover 2011]])</f>
        <v>Bosque menor a 1000 ha</v>
      </c>
      <c r="D211" s="4">
        <v>0</v>
      </c>
      <c r="E211" s="4">
        <v>0</v>
      </c>
      <c r="F211" s="4">
        <v>0</v>
      </c>
      <c r="G211" s="4">
        <v>0</v>
      </c>
      <c r="H211" s="4">
        <f t="shared" si="0"/>
        <v>0</v>
      </c>
      <c r="I211" s="4">
        <v>0</v>
      </c>
      <c r="J211" s="4">
        <v>0</v>
      </c>
      <c r="K211" s="4">
        <v>0</v>
      </c>
      <c r="L211" s="4">
        <f t="shared" si="1"/>
        <v>0</v>
      </c>
      <c r="M211" s="10" t="str">
        <f t="shared" si="11"/>
        <v/>
      </c>
      <c r="N211" s="10" t="str">
        <f t="shared" si="12"/>
        <v/>
      </c>
    </row>
    <row r="212" spans="1:14" ht="15.75" customHeight="1">
      <c r="A212" s="4">
        <v>50401</v>
      </c>
      <c r="B212" s="4" t="s">
        <v>396</v>
      </c>
      <c r="C212" s="27">
        <f>IF(Table_1[[#This Row],[Forest cover 2011]]&lt;1000,"Bosque menor a 1000 ha",Table_1[[#This Row],[Forest cover 2011]])</f>
        <v>1334.79</v>
      </c>
      <c r="D212" s="4">
        <v>1334.79</v>
      </c>
      <c r="E212" s="4">
        <v>6.48</v>
      </c>
      <c r="F212" s="4">
        <v>3.69</v>
      </c>
      <c r="G212" s="4">
        <v>24.66</v>
      </c>
      <c r="H212" s="4">
        <f t="shared" si="0"/>
        <v>11.61</v>
      </c>
      <c r="I212" s="4">
        <v>0.89999999999999991</v>
      </c>
      <c r="J212" s="4">
        <v>4.7699999999999996</v>
      </c>
      <c r="K212" s="4">
        <v>0</v>
      </c>
      <c r="L212" s="4">
        <f t="shared" si="1"/>
        <v>1.89</v>
      </c>
      <c r="M212" s="10">
        <f t="shared" si="11"/>
        <v>0.86979974377992042</v>
      </c>
      <c r="N212" s="10">
        <f t="shared" si="12"/>
        <v>0.1415953071269638</v>
      </c>
    </row>
    <row r="213" spans="1:14" ht="15.75" customHeight="1">
      <c r="A213" s="4">
        <v>50402</v>
      </c>
      <c r="B213" s="4" t="s">
        <v>184</v>
      </c>
      <c r="C213" s="28">
        <f>IF(Table_1[[#This Row],[Forest cover 2011]]&lt;1000,"Bosque menor a 1000 ha",Table_1[[#This Row],[Forest cover 2011]])</f>
        <v>7140.42</v>
      </c>
      <c r="D213" s="4">
        <v>7140.42</v>
      </c>
      <c r="E213" s="4">
        <v>17.100000000000001</v>
      </c>
      <c r="F213" s="4">
        <v>9.5399999999999991</v>
      </c>
      <c r="G213" s="4">
        <v>116.46</v>
      </c>
      <c r="H213" s="4">
        <f t="shared" si="0"/>
        <v>47.699999999999996</v>
      </c>
      <c r="I213" s="4">
        <v>3.87</v>
      </c>
      <c r="J213" s="4">
        <v>67.59</v>
      </c>
      <c r="K213" s="4">
        <v>53.55</v>
      </c>
      <c r="L213" s="4">
        <f t="shared" si="1"/>
        <v>41.67</v>
      </c>
      <c r="M213" s="10">
        <f t="shared" si="11"/>
        <v>0.6680279311301015</v>
      </c>
      <c r="N213" s="10">
        <f t="shared" si="12"/>
        <v>0.58357911719478694</v>
      </c>
    </row>
    <row r="214" spans="1:14" ht="15.75" customHeight="1">
      <c r="A214" s="4">
        <v>50403</v>
      </c>
      <c r="B214" s="4" t="s">
        <v>207</v>
      </c>
      <c r="C214" s="27" t="str">
        <f>IF(Table_1[[#This Row],[Forest cover 2011]]&lt;1000,"Bosque menor a 1000 ha",Table_1[[#This Row],[Forest cover 2011]])</f>
        <v>Bosque menor a 1000 ha</v>
      </c>
      <c r="D214" s="4">
        <v>492.66</v>
      </c>
      <c r="E214" s="4">
        <v>4.68</v>
      </c>
      <c r="F214" s="4">
        <v>3.69</v>
      </c>
      <c r="G214" s="4">
        <v>12.24</v>
      </c>
      <c r="H214" s="4">
        <f t="shared" si="0"/>
        <v>6.87</v>
      </c>
      <c r="I214" s="4">
        <v>0.27</v>
      </c>
      <c r="J214" s="4">
        <v>3.42</v>
      </c>
      <c r="K214" s="4">
        <v>2.4300000000000002</v>
      </c>
      <c r="L214" s="4">
        <f t="shared" si="1"/>
        <v>2.04</v>
      </c>
      <c r="M214" s="10" t="str">
        <f t="shared" si="11"/>
        <v/>
      </c>
      <c r="N214" s="10" t="str">
        <f t="shared" si="12"/>
        <v/>
      </c>
    </row>
    <row r="215" spans="1:14" ht="15.75" customHeight="1">
      <c r="A215" s="4">
        <v>50404</v>
      </c>
      <c r="B215" s="4" t="s">
        <v>108</v>
      </c>
      <c r="C215" s="28" t="str">
        <f>IF(Table_1[[#This Row],[Forest cover 2011]]&lt;1000,"Bosque menor a 1000 ha",Table_1[[#This Row],[Forest cover 2011]])</f>
        <v>Bosque menor a 1000 ha</v>
      </c>
      <c r="D215" s="4">
        <v>0</v>
      </c>
      <c r="E215" s="4">
        <v>0</v>
      </c>
      <c r="F215" s="4">
        <v>0</v>
      </c>
      <c r="G215" s="4">
        <v>0</v>
      </c>
      <c r="H215" s="4">
        <f t="shared" si="0"/>
        <v>0</v>
      </c>
      <c r="I215" s="4">
        <v>0</v>
      </c>
      <c r="J215" s="4">
        <v>0</v>
      </c>
      <c r="K215" s="4">
        <v>0</v>
      </c>
      <c r="L215" s="4">
        <f t="shared" si="1"/>
        <v>0</v>
      </c>
      <c r="M215" s="10" t="str">
        <f t="shared" si="11"/>
        <v/>
      </c>
      <c r="N215" s="10" t="str">
        <f t="shared" si="12"/>
        <v/>
      </c>
    </row>
    <row r="216" spans="1:14" ht="15.75" customHeight="1">
      <c r="A216" s="4">
        <v>50405</v>
      </c>
      <c r="B216" s="4" t="s">
        <v>358</v>
      </c>
      <c r="C216" s="27" t="str">
        <f>IF(Table_1[[#This Row],[Forest cover 2011]]&lt;1000,"Bosque menor a 1000 ha",Table_1[[#This Row],[Forest cover 2011]])</f>
        <v>Bosque menor a 1000 ha</v>
      </c>
      <c r="D216" s="4">
        <v>0</v>
      </c>
      <c r="E216" s="4">
        <v>0</v>
      </c>
      <c r="F216" s="4">
        <v>0</v>
      </c>
      <c r="G216" s="4">
        <v>0</v>
      </c>
      <c r="H216" s="4">
        <f t="shared" si="0"/>
        <v>0</v>
      </c>
      <c r="I216" s="4">
        <v>0</v>
      </c>
      <c r="J216" s="4">
        <v>0</v>
      </c>
      <c r="K216" s="4">
        <v>0</v>
      </c>
      <c r="L216" s="4">
        <f t="shared" si="1"/>
        <v>0</v>
      </c>
      <c r="M216" s="10" t="str">
        <f t="shared" si="11"/>
        <v/>
      </c>
      <c r="N216" s="10" t="str">
        <f t="shared" si="12"/>
        <v/>
      </c>
    </row>
    <row r="217" spans="1:14" ht="15.75" customHeight="1">
      <c r="A217" s="4">
        <v>50501</v>
      </c>
      <c r="B217" s="4" t="s">
        <v>102</v>
      </c>
      <c r="C217" s="28">
        <f>IF(Table_1[[#This Row],[Forest cover 2011]]&lt;1000,"Bosque menor a 1000 ha",Table_1[[#This Row],[Forest cover 2011]])</f>
        <v>12536.73</v>
      </c>
      <c r="D217" s="4">
        <v>12536.73</v>
      </c>
      <c r="E217" s="4">
        <v>62.55</v>
      </c>
      <c r="F217" s="4">
        <v>45.72</v>
      </c>
      <c r="G217" s="4">
        <v>197.28</v>
      </c>
      <c r="H217" s="4">
        <f t="shared" si="0"/>
        <v>101.85000000000001</v>
      </c>
      <c r="I217" s="4">
        <v>4.1400000000000006</v>
      </c>
      <c r="J217" s="4">
        <v>105.84</v>
      </c>
      <c r="K217" s="4">
        <v>0.9</v>
      </c>
      <c r="L217" s="4">
        <f t="shared" si="1"/>
        <v>36.96</v>
      </c>
      <c r="M217" s="10">
        <f t="shared" si="11"/>
        <v>0.81241280621023193</v>
      </c>
      <c r="N217" s="10">
        <f t="shared" si="12"/>
        <v>0.29481371936701201</v>
      </c>
    </row>
    <row r="218" spans="1:14" ht="15.75" customHeight="1">
      <c r="A218" s="4">
        <v>50502</v>
      </c>
      <c r="B218" s="4" t="s">
        <v>278</v>
      </c>
      <c r="C218" s="27">
        <f>IF(Table_1[[#This Row],[Forest cover 2011]]&lt;1000,"Bosque menor a 1000 ha",Table_1[[#This Row],[Forest cover 2011]])</f>
        <v>17932.41</v>
      </c>
      <c r="D218" s="4">
        <v>17932.41</v>
      </c>
      <c r="E218" s="4">
        <v>34.47</v>
      </c>
      <c r="F218" s="4">
        <v>28.62</v>
      </c>
      <c r="G218" s="4">
        <v>166.5</v>
      </c>
      <c r="H218" s="4">
        <f t="shared" si="0"/>
        <v>76.53</v>
      </c>
      <c r="I218" s="4">
        <v>5.85</v>
      </c>
      <c r="J218" s="4">
        <v>70.740000000000009</v>
      </c>
      <c r="K218" s="4">
        <v>4.68</v>
      </c>
      <c r="L218" s="4">
        <f t="shared" si="1"/>
        <v>27.090000000000003</v>
      </c>
      <c r="M218" s="10">
        <f t="shared" si="11"/>
        <v>0.42676918495617711</v>
      </c>
      <c r="N218" s="10">
        <f t="shared" si="12"/>
        <v>0.15106725755210818</v>
      </c>
    </row>
    <row r="219" spans="1:14" ht="15.75" customHeight="1">
      <c r="A219" s="4">
        <v>50601</v>
      </c>
      <c r="B219" s="4" t="s">
        <v>75</v>
      </c>
      <c r="C219" s="28" t="str">
        <f>IF(Table_1[[#This Row],[Forest cover 2011]]&lt;1000,"Bosque menor a 1000 ha",Table_1[[#This Row],[Forest cover 2011]])</f>
        <v>Bosque menor a 1000 ha</v>
      </c>
      <c r="D219" s="4">
        <v>0</v>
      </c>
      <c r="E219" s="4">
        <v>0</v>
      </c>
      <c r="F219" s="4">
        <v>0</v>
      </c>
      <c r="G219" s="4">
        <v>0</v>
      </c>
      <c r="H219" s="4">
        <f t="shared" si="0"/>
        <v>0</v>
      </c>
      <c r="I219" s="4">
        <v>0</v>
      </c>
      <c r="J219" s="4">
        <v>0</v>
      </c>
      <c r="K219" s="4">
        <v>0</v>
      </c>
      <c r="L219" s="4">
        <f t="shared" si="1"/>
        <v>0</v>
      </c>
      <c r="M219" s="10" t="str">
        <f t="shared" si="11"/>
        <v/>
      </c>
      <c r="N219" s="10" t="str">
        <f t="shared" si="12"/>
        <v/>
      </c>
    </row>
    <row r="220" spans="1:14" ht="15.75" customHeight="1">
      <c r="A220" s="4">
        <v>50602</v>
      </c>
      <c r="B220" s="4" t="s">
        <v>74</v>
      </c>
      <c r="C220" s="27" t="str">
        <f>IF(Table_1[[#This Row],[Forest cover 2011]]&lt;1000,"Bosque menor a 1000 ha",Table_1[[#This Row],[Forest cover 2011]])</f>
        <v>Bosque menor a 1000 ha</v>
      </c>
      <c r="D220" s="4">
        <v>0</v>
      </c>
      <c r="E220" s="4">
        <v>0</v>
      </c>
      <c r="F220" s="4">
        <v>0</v>
      </c>
      <c r="G220" s="4">
        <v>0</v>
      </c>
      <c r="H220" s="4">
        <f t="shared" si="0"/>
        <v>0</v>
      </c>
      <c r="I220" s="4">
        <v>0</v>
      </c>
      <c r="J220" s="4">
        <v>0</v>
      </c>
      <c r="K220" s="4">
        <v>0</v>
      </c>
      <c r="L220" s="4">
        <f t="shared" si="1"/>
        <v>0</v>
      </c>
      <c r="M220" s="10" t="str">
        <f t="shared" si="11"/>
        <v/>
      </c>
      <c r="N220" s="10" t="str">
        <f t="shared" si="12"/>
        <v/>
      </c>
    </row>
    <row r="221" spans="1:14" ht="15.75" customHeight="1">
      <c r="A221" s="4">
        <v>50701</v>
      </c>
      <c r="B221" s="4" t="s">
        <v>388</v>
      </c>
      <c r="C221" s="28" t="str">
        <f>IF(Table_1[[#This Row],[Forest cover 2011]]&lt;1000,"Bosque menor a 1000 ha",Table_1[[#This Row],[Forest cover 2011]])</f>
        <v>Bosque menor a 1000 ha</v>
      </c>
      <c r="D221" s="4">
        <v>0</v>
      </c>
      <c r="E221" s="4">
        <v>0</v>
      </c>
      <c r="F221" s="4">
        <v>0</v>
      </c>
      <c r="G221" s="4">
        <v>0</v>
      </c>
      <c r="H221" s="4">
        <f t="shared" si="0"/>
        <v>0</v>
      </c>
      <c r="I221" s="4">
        <v>0</v>
      </c>
      <c r="J221" s="4">
        <v>0</v>
      </c>
      <c r="K221" s="4">
        <v>0</v>
      </c>
      <c r="L221" s="4">
        <f t="shared" si="1"/>
        <v>0</v>
      </c>
      <c r="M221" s="10" t="str">
        <f t="shared" si="11"/>
        <v/>
      </c>
      <c r="N221" s="10" t="str">
        <f t="shared" si="12"/>
        <v/>
      </c>
    </row>
    <row r="222" spans="1:14" ht="15.75" customHeight="1">
      <c r="A222" s="4">
        <v>50702</v>
      </c>
      <c r="B222" s="4" t="s">
        <v>373</v>
      </c>
      <c r="C222" s="27" t="str">
        <f>IF(Table_1[[#This Row],[Forest cover 2011]]&lt;1000,"Bosque menor a 1000 ha",Table_1[[#This Row],[Forest cover 2011]])</f>
        <v>Bosque menor a 1000 ha</v>
      </c>
      <c r="D222" s="4">
        <v>0</v>
      </c>
      <c r="E222" s="4">
        <v>0</v>
      </c>
      <c r="F222" s="4">
        <v>0</v>
      </c>
      <c r="G222" s="4">
        <v>0</v>
      </c>
      <c r="H222" s="4">
        <f t="shared" si="0"/>
        <v>0</v>
      </c>
      <c r="I222" s="4">
        <v>0</v>
      </c>
      <c r="J222" s="4">
        <v>0</v>
      </c>
      <c r="K222" s="4">
        <v>0</v>
      </c>
      <c r="L222" s="4">
        <f t="shared" si="1"/>
        <v>0</v>
      </c>
      <c r="M222" s="10" t="str">
        <f t="shared" si="11"/>
        <v/>
      </c>
      <c r="N222" s="10" t="str">
        <f t="shared" si="12"/>
        <v/>
      </c>
    </row>
    <row r="223" spans="1:14" ht="15.75" customHeight="1">
      <c r="A223" s="4">
        <v>50801</v>
      </c>
      <c r="B223" s="4" t="s">
        <v>67</v>
      </c>
      <c r="C223" s="28" t="str">
        <f>IF(Table_1[[#This Row],[Forest cover 2011]]&lt;1000,"Bosque menor a 1000 ha",Table_1[[#This Row],[Forest cover 2011]])</f>
        <v>Bosque menor a 1000 ha</v>
      </c>
      <c r="D223" s="4">
        <v>0</v>
      </c>
      <c r="E223" s="4">
        <v>0</v>
      </c>
      <c r="F223" s="4">
        <v>0</v>
      </c>
      <c r="G223" s="4">
        <v>0</v>
      </c>
      <c r="H223" s="4">
        <f t="shared" si="0"/>
        <v>0</v>
      </c>
      <c r="I223" s="4">
        <v>0</v>
      </c>
      <c r="J223" s="4">
        <v>0</v>
      </c>
      <c r="K223" s="4">
        <v>0</v>
      </c>
      <c r="L223" s="4">
        <f t="shared" si="1"/>
        <v>0</v>
      </c>
      <c r="M223" s="10" t="str">
        <f t="shared" si="11"/>
        <v/>
      </c>
      <c r="N223" s="10" t="str">
        <f t="shared" si="12"/>
        <v/>
      </c>
    </row>
    <row r="224" spans="1:14" ht="15.75" customHeight="1">
      <c r="A224" s="4">
        <v>50802</v>
      </c>
      <c r="B224" s="4" t="s">
        <v>369</v>
      </c>
      <c r="C224" s="27" t="str">
        <f>IF(Table_1[[#This Row],[Forest cover 2011]]&lt;1000,"Bosque menor a 1000 ha",Table_1[[#This Row],[Forest cover 2011]])</f>
        <v>Bosque menor a 1000 ha</v>
      </c>
      <c r="D224" s="4">
        <v>0</v>
      </c>
      <c r="E224" s="4">
        <v>0</v>
      </c>
      <c r="F224" s="4">
        <v>0</v>
      </c>
      <c r="G224" s="4">
        <v>0</v>
      </c>
      <c r="H224" s="4">
        <f t="shared" si="0"/>
        <v>0</v>
      </c>
      <c r="I224" s="4">
        <v>0</v>
      </c>
      <c r="J224" s="4">
        <v>0</v>
      </c>
      <c r="K224" s="4">
        <v>0</v>
      </c>
      <c r="L224" s="4">
        <f t="shared" si="1"/>
        <v>0</v>
      </c>
      <c r="M224" s="10" t="str">
        <f t="shared" si="11"/>
        <v/>
      </c>
      <c r="N224" s="10" t="str">
        <f t="shared" si="12"/>
        <v/>
      </c>
    </row>
    <row r="225" spans="1:14" ht="15.75" customHeight="1">
      <c r="A225" s="4">
        <v>50901</v>
      </c>
      <c r="B225" s="4" t="s">
        <v>359</v>
      </c>
      <c r="C225" s="28" t="str">
        <f>IF(Table_1[[#This Row],[Forest cover 2011]]&lt;1000,"Bosque menor a 1000 ha",Table_1[[#This Row],[Forest cover 2011]])</f>
        <v>Bosque menor a 1000 ha</v>
      </c>
      <c r="D225" s="4">
        <v>0</v>
      </c>
      <c r="E225" s="4">
        <v>0</v>
      </c>
      <c r="F225" s="4">
        <v>0</v>
      </c>
      <c r="G225" s="4">
        <v>0</v>
      </c>
      <c r="H225" s="4">
        <f t="shared" si="0"/>
        <v>0</v>
      </c>
      <c r="I225" s="4">
        <v>0</v>
      </c>
      <c r="J225" s="4">
        <v>0</v>
      </c>
      <c r="K225" s="4">
        <v>0</v>
      </c>
      <c r="L225" s="4">
        <f t="shared" si="1"/>
        <v>0</v>
      </c>
      <c r="M225" s="10" t="str">
        <f t="shared" si="11"/>
        <v/>
      </c>
      <c r="N225" s="10" t="str">
        <f t="shared" si="12"/>
        <v/>
      </c>
    </row>
    <row r="226" spans="1:14" ht="15.75" customHeight="1">
      <c r="A226" s="4">
        <v>50902</v>
      </c>
      <c r="B226" s="4" t="s">
        <v>360</v>
      </c>
      <c r="C226" s="27" t="str">
        <f>IF(Table_1[[#This Row],[Forest cover 2011]]&lt;1000,"Bosque menor a 1000 ha",Table_1[[#This Row],[Forest cover 2011]])</f>
        <v>Bosque menor a 1000 ha</v>
      </c>
      <c r="D226" s="4">
        <v>0</v>
      </c>
      <c r="E226" s="4">
        <v>0</v>
      </c>
      <c r="F226" s="4">
        <v>0</v>
      </c>
      <c r="G226" s="4">
        <v>0</v>
      </c>
      <c r="H226" s="4">
        <f t="shared" si="0"/>
        <v>0</v>
      </c>
      <c r="I226" s="4">
        <v>0</v>
      </c>
      <c r="J226" s="4">
        <v>0</v>
      </c>
      <c r="K226" s="4">
        <v>0</v>
      </c>
      <c r="L226" s="4">
        <f t="shared" si="1"/>
        <v>0</v>
      </c>
      <c r="M226" s="10" t="str">
        <f t="shared" si="11"/>
        <v/>
      </c>
      <c r="N226" s="10" t="str">
        <f t="shared" si="12"/>
        <v/>
      </c>
    </row>
    <row r="227" spans="1:14" ht="15.75" customHeight="1">
      <c r="A227" s="4">
        <v>51001</v>
      </c>
      <c r="B227" s="4" t="s">
        <v>361</v>
      </c>
      <c r="C227" s="28" t="str">
        <f>IF(Table_1[[#This Row],[Forest cover 2011]]&lt;1000,"Bosque menor a 1000 ha",Table_1[[#This Row],[Forest cover 2011]])</f>
        <v>Bosque menor a 1000 ha</v>
      </c>
      <c r="D227" s="4">
        <v>0</v>
      </c>
      <c r="E227" s="4">
        <v>0</v>
      </c>
      <c r="F227" s="4">
        <v>0</v>
      </c>
      <c r="G227" s="4">
        <v>0</v>
      </c>
      <c r="H227" s="4">
        <f t="shared" si="0"/>
        <v>0</v>
      </c>
      <c r="I227" s="4">
        <v>0</v>
      </c>
      <c r="J227" s="4">
        <v>0</v>
      </c>
      <c r="K227" s="4">
        <v>0</v>
      </c>
      <c r="L227" s="4">
        <f t="shared" si="1"/>
        <v>0</v>
      </c>
      <c r="M227" s="10" t="str">
        <f t="shared" si="11"/>
        <v/>
      </c>
      <c r="N227" s="10" t="str">
        <f t="shared" si="12"/>
        <v/>
      </c>
    </row>
    <row r="228" spans="1:14" ht="15.75" customHeight="1">
      <c r="A228" s="4">
        <v>51002</v>
      </c>
      <c r="B228" s="4" t="s">
        <v>362</v>
      </c>
      <c r="C228" s="27" t="str">
        <f>IF(Table_1[[#This Row],[Forest cover 2011]]&lt;1000,"Bosque menor a 1000 ha",Table_1[[#This Row],[Forest cover 2011]])</f>
        <v>Bosque menor a 1000 ha</v>
      </c>
      <c r="D228" s="4">
        <v>0</v>
      </c>
      <c r="E228" s="4">
        <v>0</v>
      </c>
      <c r="F228" s="4">
        <v>0</v>
      </c>
      <c r="G228" s="4">
        <v>0</v>
      </c>
      <c r="H228" s="4">
        <f t="shared" si="0"/>
        <v>0</v>
      </c>
      <c r="I228" s="4">
        <v>0</v>
      </c>
      <c r="J228" s="4">
        <v>0</v>
      </c>
      <c r="K228" s="4">
        <v>0</v>
      </c>
      <c r="L228" s="4">
        <f t="shared" si="1"/>
        <v>0</v>
      </c>
      <c r="M228" s="10" t="str">
        <f t="shared" si="11"/>
        <v/>
      </c>
      <c r="N228" s="10" t="str">
        <f t="shared" si="12"/>
        <v/>
      </c>
    </row>
    <row r="229" spans="1:14" ht="15.75" customHeight="1">
      <c r="A229" s="4">
        <v>51003</v>
      </c>
      <c r="B229" s="4" t="s">
        <v>363</v>
      </c>
      <c r="C229" s="28" t="str">
        <f>IF(Table_1[[#This Row],[Forest cover 2011]]&lt;1000,"Bosque menor a 1000 ha",Table_1[[#This Row],[Forest cover 2011]])</f>
        <v>Bosque menor a 1000 ha</v>
      </c>
      <c r="D229" s="4">
        <v>0</v>
      </c>
      <c r="E229" s="4">
        <v>0</v>
      </c>
      <c r="F229" s="4">
        <v>0</v>
      </c>
      <c r="G229" s="4">
        <v>0</v>
      </c>
      <c r="H229" s="4">
        <f t="shared" si="0"/>
        <v>0</v>
      </c>
      <c r="I229" s="4">
        <v>0</v>
      </c>
      <c r="J229" s="4">
        <v>0</v>
      </c>
      <c r="K229" s="4">
        <v>0</v>
      </c>
      <c r="L229" s="4">
        <f t="shared" si="1"/>
        <v>0</v>
      </c>
      <c r="M229" s="10" t="str">
        <f t="shared" si="11"/>
        <v/>
      </c>
      <c r="N229" s="10" t="str">
        <f t="shared" si="12"/>
        <v/>
      </c>
    </row>
    <row r="230" spans="1:14" ht="15.75" customHeight="1">
      <c r="A230" s="4">
        <v>51101</v>
      </c>
      <c r="B230" s="4" t="s">
        <v>82</v>
      </c>
      <c r="C230" s="27" t="str">
        <f>IF(Table_1[[#This Row],[Forest cover 2011]]&lt;1000,"Bosque menor a 1000 ha",Table_1[[#This Row],[Forest cover 2011]])</f>
        <v>Bosque menor a 1000 ha</v>
      </c>
      <c r="D230" s="4">
        <v>0</v>
      </c>
      <c r="E230" s="4">
        <v>0</v>
      </c>
      <c r="F230" s="4">
        <v>0</v>
      </c>
      <c r="G230" s="4">
        <v>0</v>
      </c>
      <c r="H230" s="4">
        <f t="shared" si="0"/>
        <v>0</v>
      </c>
      <c r="I230" s="4">
        <v>0</v>
      </c>
      <c r="J230" s="4">
        <v>0</v>
      </c>
      <c r="K230" s="4">
        <v>0</v>
      </c>
      <c r="L230" s="4">
        <f t="shared" si="1"/>
        <v>0</v>
      </c>
      <c r="M230" s="10" t="str">
        <f t="shared" si="11"/>
        <v/>
      </c>
      <c r="N230" s="10" t="str">
        <f t="shared" si="12"/>
        <v/>
      </c>
    </row>
    <row r="231" spans="1:14" ht="15.75" customHeight="1">
      <c r="A231" s="4">
        <v>51102</v>
      </c>
      <c r="B231" s="4" t="s">
        <v>70</v>
      </c>
      <c r="C231" s="28" t="str">
        <f>IF(Table_1[[#This Row],[Forest cover 2011]]&lt;1000,"Bosque menor a 1000 ha",Table_1[[#This Row],[Forest cover 2011]])</f>
        <v>Bosque menor a 1000 ha</v>
      </c>
      <c r="D231" s="4">
        <v>0</v>
      </c>
      <c r="E231" s="4">
        <v>0</v>
      </c>
      <c r="F231" s="4">
        <v>0</v>
      </c>
      <c r="G231" s="4">
        <v>0</v>
      </c>
      <c r="H231" s="4">
        <f t="shared" si="0"/>
        <v>0</v>
      </c>
      <c r="I231" s="4">
        <v>0</v>
      </c>
      <c r="J231" s="4">
        <v>0</v>
      </c>
      <c r="K231" s="4">
        <v>0</v>
      </c>
      <c r="L231" s="4">
        <f t="shared" si="1"/>
        <v>0</v>
      </c>
      <c r="M231" s="10" t="str">
        <f t="shared" si="11"/>
        <v/>
      </c>
      <c r="N231" s="10" t="str">
        <f t="shared" si="12"/>
        <v/>
      </c>
    </row>
    <row r="232" spans="1:14" ht="15.75" customHeight="1">
      <c r="A232" s="4">
        <v>51103</v>
      </c>
      <c r="B232" s="4" t="s">
        <v>77</v>
      </c>
      <c r="C232" s="27" t="str">
        <f>IF(Table_1[[#This Row],[Forest cover 2011]]&lt;1000,"Bosque menor a 1000 ha",Table_1[[#This Row],[Forest cover 2011]])</f>
        <v>Bosque menor a 1000 ha</v>
      </c>
      <c r="D232" s="4">
        <v>445.41</v>
      </c>
      <c r="E232" s="4">
        <v>1.62</v>
      </c>
      <c r="F232" s="4">
        <v>1.98</v>
      </c>
      <c r="G232" s="4">
        <v>8.5500000000000007</v>
      </c>
      <c r="H232" s="4">
        <f t="shared" si="0"/>
        <v>4.05</v>
      </c>
      <c r="I232" s="4">
        <v>0.09</v>
      </c>
      <c r="J232" s="4">
        <v>1.98</v>
      </c>
      <c r="K232" s="4">
        <v>143.82</v>
      </c>
      <c r="L232" s="4">
        <f t="shared" si="1"/>
        <v>48.629999999999995</v>
      </c>
      <c r="M232" s="10" t="str">
        <f t="shared" si="11"/>
        <v/>
      </c>
      <c r="N232" s="10" t="str">
        <f t="shared" si="12"/>
        <v/>
      </c>
    </row>
    <row r="233" spans="1:14" ht="15.75" customHeight="1">
      <c r="A233" s="4">
        <v>51201</v>
      </c>
      <c r="B233" s="4" t="s">
        <v>364</v>
      </c>
      <c r="C233" s="28" t="str">
        <f>IF(Table_1[[#This Row],[Forest cover 2011]]&lt;1000,"Bosque menor a 1000 ha",Table_1[[#This Row],[Forest cover 2011]])</f>
        <v>Bosque menor a 1000 ha</v>
      </c>
      <c r="D233" s="4">
        <v>0</v>
      </c>
      <c r="E233" s="4">
        <v>0</v>
      </c>
      <c r="F233" s="4">
        <v>0</v>
      </c>
      <c r="G233" s="4">
        <v>0</v>
      </c>
      <c r="H233" s="4">
        <f t="shared" si="0"/>
        <v>0</v>
      </c>
      <c r="I233" s="4">
        <v>0</v>
      </c>
      <c r="J233" s="4">
        <v>0</v>
      </c>
      <c r="K233" s="4">
        <v>0</v>
      </c>
      <c r="L233" s="4">
        <f t="shared" si="1"/>
        <v>0</v>
      </c>
      <c r="M233" s="10" t="str">
        <f t="shared" si="11"/>
        <v/>
      </c>
      <c r="N233" s="10" t="str">
        <f t="shared" si="12"/>
        <v/>
      </c>
    </row>
    <row r="234" spans="1:14" ht="15.75" customHeight="1">
      <c r="A234" s="4">
        <v>51202</v>
      </c>
      <c r="B234" s="4" t="s">
        <v>68</v>
      </c>
      <c r="C234" s="27" t="str">
        <f>IF(Table_1[[#This Row],[Forest cover 2011]]&lt;1000,"Bosque menor a 1000 ha",Table_1[[#This Row],[Forest cover 2011]])</f>
        <v>Bosque menor a 1000 ha</v>
      </c>
      <c r="D234" s="4">
        <v>0</v>
      </c>
      <c r="E234" s="4">
        <v>0</v>
      </c>
      <c r="F234" s="4">
        <v>0</v>
      </c>
      <c r="G234" s="4">
        <v>0</v>
      </c>
      <c r="H234" s="4">
        <f t="shared" si="0"/>
        <v>0</v>
      </c>
      <c r="I234" s="4">
        <v>0</v>
      </c>
      <c r="J234" s="4">
        <v>0</v>
      </c>
      <c r="K234" s="4">
        <v>0</v>
      </c>
      <c r="L234" s="4">
        <f t="shared" si="1"/>
        <v>0</v>
      </c>
      <c r="M234" s="10" t="str">
        <f t="shared" si="11"/>
        <v/>
      </c>
      <c r="N234" s="10" t="str">
        <f t="shared" si="12"/>
        <v/>
      </c>
    </row>
    <row r="235" spans="1:14" ht="15.75" customHeight="1">
      <c r="A235" s="4">
        <v>51203</v>
      </c>
      <c r="B235" s="4" t="s">
        <v>365</v>
      </c>
      <c r="C235" s="28" t="str">
        <f>IF(Table_1[[#This Row],[Forest cover 2011]]&lt;1000,"Bosque menor a 1000 ha",Table_1[[#This Row],[Forest cover 2011]])</f>
        <v>Bosque menor a 1000 ha</v>
      </c>
      <c r="D235" s="4">
        <v>0</v>
      </c>
      <c r="E235" s="4">
        <v>0</v>
      </c>
      <c r="F235" s="4">
        <v>0</v>
      </c>
      <c r="G235" s="4">
        <v>0</v>
      </c>
      <c r="H235" s="4">
        <f t="shared" si="0"/>
        <v>0</v>
      </c>
      <c r="I235" s="4">
        <v>0</v>
      </c>
      <c r="J235" s="4">
        <v>0</v>
      </c>
      <c r="K235" s="4">
        <v>0</v>
      </c>
      <c r="L235" s="4">
        <f t="shared" si="1"/>
        <v>0</v>
      </c>
      <c r="M235" s="10" t="str">
        <f t="shared" si="11"/>
        <v/>
      </c>
      <c r="N235" s="10" t="str">
        <f t="shared" si="12"/>
        <v/>
      </c>
    </row>
    <row r="236" spans="1:14" ht="15.75" customHeight="1">
      <c r="A236" s="4">
        <v>51204</v>
      </c>
      <c r="B236" s="4" t="s">
        <v>59</v>
      </c>
      <c r="C236" s="27" t="str">
        <f>IF(Table_1[[#This Row],[Forest cover 2011]]&lt;1000,"Bosque menor a 1000 ha",Table_1[[#This Row],[Forest cover 2011]])</f>
        <v>Bosque menor a 1000 ha</v>
      </c>
      <c r="D236" s="4">
        <v>0</v>
      </c>
      <c r="E236" s="4">
        <v>0</v>
      </c>
      <c r="F236" s="4">
        <v>0</v>
      </c>
      <c r="G236" s="4">
        <v>0</v>
      </c>
      <c r="H236" s="4">
        <f t="shared" si="0"/>
        <v>0</v>
      </c>
      <c r="I236" s="4">
        <v>0</v>
      </c>
      <c r="J236" s="4">
        <v>0</v>
      </c>
      <c r="K236" s="4">
        <v>0</v>
      </c>
      <c r="L236" s="4">
        <f t="shared" si="1"/>
        <v>0</v>
      </c>
      <c r="M236" s="10" t="str">
        <f t="shared" si="11"/>
        <v/>
      </c>
      <c r="N236" s="10" t="str">
        <f t="shared" si="12"/>
        <v/>
      </c>
    </row>
    <row r="237" spans="1:14" ht="15.75" customHeight="1">
      <c r="A237" s="4">
        <v>51301</v>
      </c>
      <c r="B237" s="4" t="s">
        <v>394</v>
      </c>
      <c r="C237" s="28" t="str">
        <f>IF(Table_1[[#This Row],[Forest cover 2011]]&lt;1000,"Bosque menor a 1000 ha",Table_1[[#This Row],[Forest cover 2011]])</f>
        <v>Bosque menor a 1000 ha</v>
      </c>
      <c r="D237" s="4">
        <v>561.78</v>
      </c>
      <c r="E237" s="4">
        <v>0.81</v>
      </c>
      <c r="F237" s="4">
        <v>0.27</v>
      </c>
      <c r="G237" s="4">
        <v>14.31</v>
      </c>
      <c r="H237" s="4">
        <f t="shared" si="0"/>
        <v>5.13</v>
      </c>
      <c r="I237" s="4">
        <v>0</v>
      </c>
      <c r="J237" s="4">
        <v>0.81</v>
      </c>
      <c r="K237" s="4">
        <v>0</v>
      </c>
      <c r="L237" s="4">
        <f t="shared" si="1"/>
        <v>0.27</v>
      </c>
      <c r="M237" s="10" t="str">
        <f t="shared" si="11"/>
        <v/>
      </c>
      <c r="N237" s="10" t="str">
        <f t="shared" si="12"/>
        <v/>
      </c>
    </row>
    <row r="238" spans="1:14" ht="15.75" customHeight="1">
      <c r="A238" s="4">
        <v>51302</v>
      </c>
      <c r="B238" s="4" t="s">
        <v>395</v>
      </c>
      <c r="C238" s="27" t="str">
        <f>IF(Table_1[[#This Row],[Forest cover 2011]]&lt;1000,"Bosque menor a 1000 ha",Table_1[[#This Row],[Forest cover 2011]])</f>
        <v>Bosque menor a 1000 ha</v>
      </c>
      <c r="D238" s="4">
        <v>749.16</v>
      </c>
      <c r="E238" s="4">
        <v>5.58</v>
      </c>
      <c r="F238" s="4">
        <v>2.16</v>
      </c>
      <c r="G238" s="4">
        <v>16.29</v>
      </c>
      <c r="H238" s="4">
        <f t="shared" si="0"/>
        <v>8.01</v>
      </c>
      <c r="I238" s="4">
        <v>1.53</v>
      </c>
      <c r="J238" s="4">
        <v>6.3900000000000006</v>
      </c>
      <c r="K238" s="4">
        <v>0</v>
      </c>
      <c r="L238" s="4">
        <f t="shared" si="1"/>
        <v>2.64</v>
      </c>
      <c r="M238" s="10" t="str">
        <f t="shared" si="11"/>
        <v/>
      </c>
      <c r="N238" s="10" t="str">
        <f t="shared" si="12"/>
        <v/>
      </c>
    </row>
    <row r="239" spans="1:14" ht="15.75" customHeight="1">
      <c r="A239" s="4">
        <v>51401</v>
      </c>
      <c r="B239" s="4" t="s">
        <v>366</v>
      </c>
      <c r="C239" s="28" t="str">
        <f>IF(Table_1[[#This Row],[Forest cover 2011]]&lt;1000,"Bosque menor a 1000 ha",Table_1[[#This Row],[Forest cover 2011]])</f>
        <v>Bosque menor a 1000 ha</v>
      </c>
      <c r="D239" s="4">
        <v>0</v>
      </c>
      <c r="E239" s="4">
        <v>0</v>
      </c>
      <c r="F239" s="4">
        <v>0</v>
      </c>
      <c r="G239" s="4">
        <v>0</v>
      </c>
      <c r="H239" s="4">
        <f t="shared" si="0"/>
        <v>0</v>
      </c>
      <c r="I239" s="4">
        <v>0</v>
      </c>
      <c r="J239" s="4">
        <v>0</v>
      </c>
      <c r="K239" s="4">
        <v>0</v>
      </c>
      <c r="L239" s="4">
        <f t="shared" si="1"/>
        <v>0</v>
      </c>
      <c r="M239" s="10" t="str">
        <f t="shared" si="11"/>
        <v/>
      </c>
      <c r="N239" s="10" t="str">
        <f t="shared" si="12"/>
        <v/>
      </c>
    </row>
    <row r="240" spans="1:14" ht="15.75" customHeight="1">
      <c r="A240" s="4">
        <v>51402</v>
      </c>
      <c r="B240" s="4" t="s">
        <v>367</v>
      </c>
      <c r="C240" s="27" t="str">
        <f>IF(Table_1[[#This Row],[Forest cover 2011]]&lt;1000,"Bosque menor a 1000 ha",Table_1[[#This Row],[Forest cover 2011]])</f>
        <v>Bosque menor a 1000 ha</v>
      </c>
      <c r="D240" s="4">
        <v>0</v>
      </c>
      <c r="E240" s="4">
        <v>0</v>
      </c>
      <c r="F240" s="4">
        <v>0</v>
      </c>
      <c r="G240" s="4">
        <v>0</v>
      </c>
      <c r="H240" s="4">
        <f t="shared" si="0"/>
        <v>0</v>
      </c>
      <c r="I240" s="4">
        <v>0</v>
      </c>
      <c r="J240" s="4">
        <v>0</v>
      </c>
      <c r="K240" s="4">
        <v>0</v>
      </c>
      <c r="L240" s="4">
        <f t="shared" si="1"/>
        <v>0</v>
      </c>
      <c r="M240" s="10" t="str">
        <f t="shared" si="11"/>
        <v/>
      </c>
      <c r="N240" s="10" t="str">
        <f t="shared" si="12"/>
        <v/>
      </c>
    </row>
    <row r="241" spans="1:14" ht="15.75" customHeight="1">
      <c r="A241" s="4">
        <v>51501</v>
      </c>
      <c r="B241" s="4" t="s">
        <v>76</v>
      </c>
      <c r="C241" s="28" t="str">
        <f>IF(Table_1[[#This Row],[Forest cover 2011]]&lt;1000,"Bosque menor a 1000 ha",Table_1[[#This Row],[Forest cover 2011]])</f>
        <v>Bosque menor a 1000 ha</v>
      </c>
      <c r="D241" s="4">
        <v>0</v>
      </c>
      <c r="E241" s="4">
        <v>0</v>
      </c>
      <c r="F241" s="4">
        <v>0</v>
      </c>
      <c r="G241" s="4">
        <v>0</v>
      </c>
      <c r="H241" s="4">
        <f t="shared" si="0"/>
        <v>0</v>
      </c>
      <c r="I241" s="4">
        <v>0</v>
      </c>
      <c r="J241" s="4">
        <v>0</v>
      </c>
      <c r="K241" s="4">
        <v>0</v>
      </c>
      <c r="L241" s="4">
        <f t="shared" si="1"/>
        <v>0</v>
      </c>
      <c r="M241" s="10" t="str">
        <f t="shared" si="11"/>
        <v/>
      </c>
      <c r="N241" s="10" t="str">
        <f t="shared" si="12"/>
        <v/>
      </c>
    </row>
    <row r="242" spans="1:14" ht="15.75" customHeight="1">
      <c r="A242" s="4">
        <v>51601</v>
      </c>
      <c r="B242" s="4" t="s">
        <v>368</v>
      </c>
      <c r="C242" s="27" t="str">
        <f>IF(Table_1[[#This Row],[Forest cover 2011]]&lt;1000,"Bosque menor a 1000 ha",Table_1[[#This Row],[Forest cover 2011]])</f>
        <v>Bosque menor a 1000 ha</v>
      </c>
      <c r="D242" s="4">
        <v>0</v>
      </c>
      <c r="E242" s="4">
        <v>0</v>
      </c>
      <c r="F242" s="4">
        <v>0</v>
      </c>
      <c r="G242" s="4">
        <v>0</v>
      </c>
      <c r="H242" s="4">
        <f t="shared" si="0"/>
        <v>0</v>
      </c>
      <c r="I242" s="4">
        <v>0</v>
      </c>
      <c r="J242" s="4">
        <v>0</v>
      </c>
      <c r="K242" s="4">
        <v>0</v>
      </c>
      <c r="L242" s="4">
        <f t="shared" si="1"/>
        <v>0</v>
      </c>
      <c r="M242" s="10" t="str">
        <f t="shared" si="11"/>
        <v/>
      </c>
      <c r="N242" s="10" t="str">
        <f t="shared" si="12"/>
        <v/>
      </c>
    </row>
    <row r="243" spans="1:14" ht="15.75" customHeight="1">
      <c r="A243" s="4">
        <v>60101</v>
      </c>
      <c r="B243" s="4" t="s">
        <v>72</v>
      </c>
      <c r="C243" s="28">
        <f>IF(Table_1[[#This Row],[Forest cover 2011]]&lt;1000,"Bosque menor a 1000 ha",Table_1[[#This Row],[Forest cover 2011]])</f>
        <v>64428.84</v>
      </c>
      <c r="D243" s="4">
        <v>64428.84</v>
      </c>
      <c r="E243" s="4">
        <v>107.82</v>
      </c>
      <c r="F243" s="4">
        <v>158.85</v>
      </c>
      <c r="G243" s="4">
        <v>378.45</v>
      </c>
      <c r="H243" s="4">
        <f t="shared" si="0"/>
        <v>215.03999999999996</v>
      </c>
      <c r="I243" s="4">
        <v>34.11</v>
      </c>
      <c r="J243" s="4">
        <v>71.55</v>
      </c>
      <c r="K243" s="4">
        <v>877.58999999999992</v>
      </c>
      <c r="L243" s="4">
        <f t="shared" si="1"/>
        <v>327.74999999999994</v>
      </c>
      <c r="M243" s="10">
        <f t="shared" si="11"/>
        <v>0.33376357544230184</v>
      </c>
      <c r="N243" s="10">
        <f t="shared" si="12"/>
        <v>0.50870076195691238</v>
      </c>
    </row>
    <row r="244" spans="1:14" ht="15.75" customHeight="1">
      <c r="A244" s="4">
        <v>60201</v>
      </c>
      <c r="B244" s="4" t="s">
        <v>223</v>
      </c>
      <c r="C244" s="27">
        <f>IF(Table_1[[#This Row],[Forest cover 2011]]&lt;1000,"Bosque menor a 1000 ha",Table_1[[#This Row],[Forest cover 2011]])</f>
        <v>331244.28000000003</v>
      </c>
      <c r="D244" s="4">
        <v>331244.28000000003</v>
      </c>
      <c r="E244" s="4">
        <v>513.36</v>
      </c>
      <c r="F244" s="4">
        <v>974.61</v>
      </c>
      <c r="G244" s="4">
        <v>830.16</v>
      </c>
      <c r="H244" s="4">
        <f t="shared" si="0"/>
        <v>772.71</v>
      </c>
      <c r="I244" s="4">
        <v>305.27999999999997</v>
      </c>
      <c r="J244" s="4">
        <v>1320.12</v>
      </c>
      <c r="K244" s="4">
        <v>1276.47</v>
      </c>
      <c r="L244" s="4">
        <f t="shared" si="1"/>
        <v>967.29</v>
      </c>
      <c r="M244" s="10">
        <f t="shared" si="11"/>
        <v>0.23327497157082985</v>
      </c>
      <c r="N244" s="10">
        <f t="shared" si="12"/>
        <v>0.29201711800125268</v>
      </c>
    </row>
    <row r="245" spans="1:14" ht="15.75" customHeight="1">
      <c r="A245" s="4">
        <v>60202</v>
      </c>
      <c r="B245" s="4" t="s">
        <v>151</v>
      </c>
      <c r="C245" s="28">
        <f>IF(Table_1[[#This Row],[Forest cover 2011]]&lt;1000,"Bosque menor a 1000 ha",Table_1[[#This Row],[Forest cover 2011]])</f>
        <v>25936.92</v>
      </c>
      <c r="D245" s="4">
        <v>25936.92</v>
      </c>
      <c r="E245" s="4">
        <v>120.96</v>
      </c>
      <c r="F245" s="4">
        <v>412.92</v>
      </c>
      <c r="G245" s="4">
        <v>137.43</v>
      </c>
      <c r="H245" s="4">
        <f t="shared" si="0"/>
        <v>223.76999999999998</v>
      </c>
      <c r="I245" s="4">
        <v>233.46</v>
      </c>
      <c r="J245" s="4">
        <v>484.92</v>
      </c>
      <c r="K245" s="4">
        <v>429.48</v>
      </c>
      <c r="L245" s="4">
        <f t="shared" si="1"/>
        <v>382.62000000000006</v>
      </c>
      <c r="M245" s="10">
        <f t="shared" si="11"/>
        <v>0.86274700311370822</v>
      </c>
      <c r="N245" s="10">
        <f t="shared" si="12"/>
        <v>1.4751944332634719</v>
      </c>
    </row>
    <row r="246" spans="1:14" ht="15.75" customHeight="1">
      <c r="A246" s="4">
        <v>60301</v>
      </c>
      <c r="B246" s="4" t="s">
        <v>152</v>
      </c>
      <c r="C246" s="27">
        <f>IF(Table_1[[#This Row],[Forest cover 2011]]&lt;1000,"Bosque menor a 1000 ha",Table_1[[#This Row],[Forest cover 2011]])</f>
        <v>305201.25</v>
      </c>
      <c r="D246" s="4">
        <v>305201.25</v>
      </c>
      <c r="E246" s="4">
        <v>5157.18</v>
      </c>
      <c r="F246" s="4">
        <v>5613.21</v>
      </c>
      <c r="G246" s="4">
        <v>2244.96</v>
      </c>
      <c r="H246" s="4">
        <f t="shared" si="0"/>
        <v>4338.45</v>
      </c>
      <c r="I246" s="4">
        <v>9489.24</v>
      </c>
      <c r="J246" s="4">
        <v>10318.32</v>
      </c>
      <c r="K246" s="4">
        <v>5043.1499999999996</v>
      </c>
      <c r="L246" s="4">
        <f t="shared" si="1"/>
        <v>8283.57</v>
      </c>
      <c r="M246" s="10">
        <f t="shared" si="11"/>
        <v>1.4215046629068524</v>
      </c>
      <c r="N246" s="10">
        <f t="shared" si="12"/>
        <v>2.7141337068573601</v>
      </c>
    </row>
    <row r="247" spans="1:14" ht="15.75" customHeight="1">
      <c r="A247" s="4">
        <v>60302</v>
      </c>
      <c r="B247" s="4" t="s">
        <v>198</v>
      </c>
      <c r="C247" s="28">
        <f>IF(Table_1[[#This Row],[Forest cover 2011]]&lt;1000,"Bosque menor a 1000 ha",Table_1[[#This Row],[Forest cover 2011]])</f>
        <v>274668.57</v>
      </c>
      <c r="D247" s="4">
        <v>274668.57</v>
      </c>
      <c r="E247" s="4">
        <v>1160.28</v>
      </c>
      <c r="F247" s="4">
        <v>1541.25</v>
      </c>
      <c r="G247" s="4">
        <v>1084.32</v>
      </c>
      <c r="H247" s="4">
        <f t="shared" si="0"/>
        <v>1261.9499999999998</v>
      </c>
      <c r="I247" s="4">
        <v>334.62</v>
      </c>
      <c r="J247" s="4">
        <v>2550.33</v>
      </c>
      <c r="K247" s="4">
        <v>1624.41</v>
      </c>
      <c r="L247" s="4">
        <f t="shared" si="1"/>
        <v>1503.12</v>
      </c>
      <c r="M247" s="10">
        <f t="shared" si="11"/>
        <v>0.4594446317611075</v>
      </c>
      <c r="N247" s="10">
        <f t="shared" si="12"/>
        <v>0.54724863496394938</v>
      </c>
    </row>
    <row r="248" spans="1:14" ht="15.75" customHeight="1">
      <c r="A248" s="4">
        <v>60303</v>
      </c>
      <c r="B248" s="4" t="s">
        <v>208</v>
      </c>
      <c r="C248" s="27">
        <f>IF(Table_1[[#This Row],[Forest cover 2011]]&lt;1000,"Bosque menor a 1000 ha",Table_1[[#This Row],[Forest cover 2011]])</f>
        <v>966590.19</v>
      </c>
      <c r="D248" s="4">
        <v>966590.19</v>
      </c>
      <c r="E248" s="4">
        <v>2158.1999999999998</v>
      </c>
      <c r="F248" s="4">
        <v>3347.64</v>
      </c>
      <c r="G248" s="4">
        <v>4150.08</v>
      </c>
      <c r="H248" s="4">
        <f t="shared" si="0"/>
        <v>3218.64</v>
      </c>
      <c r="I248" s="4">
        <v>4530.6900000000014</v>
      </c>
      <c r="J248" s="4">
        <v>24164.82</v>
      </c>
      <c r="K248" s="4">
        <v>4737.78</v>
      </c>
      <c r="L248" s="4">
        <f t="shared" si="1"/>
        <v>11144.43</v>
      </c>
      <c r="M248" s="10">
        <f t="shared" si="11"/>
        <v>0.33298910265166254</v>
      </c>
      <c r="N248" s="10">
        <f t="shared" si="12"/>
        <v>1.1529632842642445</v>
      </c>
    </row>
    <row r="249" spans="1:14" ht="15.75" customHeight="1">
      <c r="A249" s="4">
        <v>60401</v>
      </c>
      <c r="B249" s="4" t="s">
        <v>111</v>
      </c>
      <c r="C249" s="28">
        <f>IF(Table_1[[#This Row],[Forest cover 2011]]&lt;1000,"Bosque menor a 1000 ha",Table_1[[#This Row],[Forest cover 2011]])</f>
        <v>12931.2</v>
      </c>
      <c r="D249" s="4">
        <v>12931.2</v>
      </c>
      <c r="E249" s="4">
        <v>48.06</v>
      </c>
      <c r="F249" s="4">
        <v>75.42</v>
      </c>
      <c r="G249" s="4">
        <v>205.56</v>
      </c>
      <c r="H249" s="4">
        <f t="shared" si="0"/>
        <v>109.68</v>
      </c>
      <c r="I249" s="4">
        <v>5.58</v>
      </c>
      <c r="J249" s="4">
        <v>18.09</v>
      </c>
      <c r="K249" s="4">
        <v>459.09</v>
      </c>
      <c r="L249" s="4">
        <f t="shared" si="1"/>
        <v>160.91999999999999</v>
      </c>
      <c r="M249" s="10">
        <f t="shared" si="11"/>
        <v>0.84818114328136607</v>
      </c>
      <c r="N249" s="10">
        <f t="shared" si="12"/>
        <v>1.2444320712694876</v>
      </c>
    </row>
    <row r="250" spans="1:14" ht="15.75" customHeight="1">
      <c r="A250" s="4">
        <v>60402</v>
      </c>
      <c r="B250" s="4" t="s">
        <v>73</v>
      </c>
      <c r="C250" s="27" t="str">
        <f>IF(Table_1[[#This Row],[Forest cover 2011]]&lt;1000,"Bosque menor a 1000 ha",Table_1[[#This Row],[Forest cover 2011]])</f>
        <v>Bosque menor a 1000 ha</v>
      </c>
      <c r="D250" s="4">
        <v>0</v>
      </c>
      <c r="E250" s="4">
        <v>0</v>
      </c>
      <c r="F250" s="4">
        <v>0</v>
      </c>
      <c r="G250" s="4">
        <v>0</v>
      </c>
      <c r="H250" s="4">
        <f t="shared" si="0"/>
        <v>0</v>
      </c>
      <c r="I250" s="4">
        <v>0</v>
      </c>
      <c r="J250" s="4">
        <v>0</v>
      </c>
      <c r="K250" s="4">
        <v>0</v>
      </c>
      <c r="L250" s="4">
        <f t="shared" si="1"/>
        <v>0</v>
      </c>
      <c r="M250" s="10" t="str">
        <f t="shared" si="11"/>
        <v/>
      </c>
      <c r="N250" s="10" t="str">
        <f t="shared" si="12"/>
        <v/>
      </c>
    </row>
    <row r="251" spans="1:14" ht="15.75" customHeight="1">
      <c r="A251" s="4">
        <v>60501</v>
      </c>
      <c r="B251" s="4" t="s">
        <v>185</v>
      </c>
      <c r="C251" s="28">
        <f>IF(Table_1[[#This Row],[Forest cover 2011]]&lt;1000,"Bosque menor a 1000 ha",Table_1[[#This Row],[Forest cover 2011]])</f>
        <v>58561.11</v>
      </c>
      <c r="D251" s="4">
        <v>58561.11</v>
      </c>
      <c r="E251" s="4">
        <v>94.05</v>
      </c>
      <c r="F251" s="4">
        <v>131.58000000000001</v>
      </c>
      <c r="G251" s="4">
        <v>450.81</v>
      </c>
      <c r="H251" s="4">
        <f t="shared" si="0"/>
        <v>225.48000000000002</v>
      </c>
      <c r="I251" s="4">
        <v>15.75</v>
      </c>
      <c r="J251" s="4">
        <v>224.55</v>
      </c>
      <c r="K251" s="4">
        <v>420.75</v>
      </c>
      <c r="L251" s="4">
        <f t="shared" si="1"/>
        <v>220.35</v>
      </c>
      <c r="M251" s="10">
        <f t="shared" si="11"/>
        <v>0.38503368532461218</v>
      </c>
      <c r="N251" s="10">
        <f t="shared" si="12"/>
        <v>0.3762736054695684</v>
      </c>
    </row>
    <row r="252" spans="1:14" ht="15.75" customHeight="1">
      <c r="A252" s="4">
        <v>60502</v>
      </c>
      <c r="B252" s="4" t="s">
        <v>80</v>
      </c>
      <c r="C252" s="27" t="str">
        <f>IF(Table_1[[#This Row],[Forest cover 2011]]&lt;1000,"Bosque menor a 1000 ha",Table_1[[#This Row],[Forest cover 2011]])</f>
        <v>Bosque menor a 1000 ha</v>
      </c>
      <c r="D252" s="4">
        <v>559.35</v>
      </c>
      <c r="E252" s="4">
        <v>2.25</v>
      </c>
      <c r="F252" s="4">
        <v>4.8600000000000003</v>
      </c>
      <c r="G252" s="4">
        <v>17.37</v>
      </c>
      <c r="H252" s="4">
        <f t="shared" si="0"/>
        <v>8.16</v>
      </c>
      <c r="I252" s="4">
        <v>0.54</v>
      </c>
      <c r="J252" s="4">
        <v>1.35</v>
      </c>
      <c r="K252" s="4">
        <v>105.75</v>
      </c>
      <c r="L252" s="4">
        <f t="shared" si="1"/>
        <v>35.880000000000003</v>
      </c>
      <c r="M252" s="10" t="str">
        <f t="shared" si="11"/>
        <v/>
      </c>
      <c r="N252" s="10" t="str">
        <f t="shared" si="12"/>
        <v/>
      </c>
    </row>
    <row r="253" spans="1:14" ht="15.75" customHeight="1">
      <c r="A253" s="4">
        <v>60601</v>
      </c>
      <c r="B253" s="4" t="s">
        <v>164</v>
      </c>
      <c r="C253" s="28">
        <f>IF(Table_1[[#This Row],[Forest cover 2011]]&lt;1000,"Bosque menor a 1000 ha",Table_1[[#This Row],[Forest cover 2011]])</f>
        <v>553532.13</v>
      </c>
      <c r="D253" s="4">
        <v>553532.13</v>
      </c>
      <c r="E253" s="4">
        <v>476.73</v>
      </c>
      <c r="F253" s="4">
        <v>567.72</v>
      </c>
      <c r="G253" s="4">
        <v>987.48</v>
      </c>
      <c r="H253" s="4">
        <f t="shared" si="0"/>
        <v>677.31000000000006</v>
      </c>
      <c r="I253" s="4">
        <v>2190.96</v>
      </c>
      <c r="J253" s="4">
        <v>5424.0300000000007</v>
      </c>
      <c r="K253" s="4">
        <v>2494.98</v>
      </c>
      <c r="L253" s="4">
        <f t="shared" si="1"/>
        <v>3369.9900000000002</v>
      </c>
      <c r="M253" s="10">
        <f t="shared" si="11"/>
        <v>0.1223614607520615</v>
      </c>
      <c r="N253" s="10">
        <f t="shared" si="12"/>
        <v>0.60881560750592745</v>
      </c>
    </row>
    <row r="254" spans="1:14" ht="15.75" customHeight="1">
      <c r="A254" s="4">
        <v>70101</v>
      </c>
      <c r="B254" s="4" t="s">
        <v>104</v>
      </c>
      <c r="C254" s="27">
        <f>IF(Table_1[[#This Row],[Forest cover 2011]]&lt;1000,"Bosque menor a 1000 ha",Table_1[[#This Row],[Forest cover 2011]])</f>
        <v>23281.02</v>
      </c>
      <c r="D254" s="4">
        <v>23281.02</v>
      </c>
      <c r="E254" s="4">
        <v>2459.4299999999998</v>
      </c>
      <c r="F254" s="4">
        <v>1786.23</v>
      </c>
      <c r="G254" s="4">
        <v>1160.28</v>
      </c>
      <c r="H254" s="4">
        <f t="shared" si="0"/>
        <v>1801.9799999999998</v>
      </c>
      <c r="I254" s="4">
        <v>396.27</v>
      </c>
      <c r="J254" s="4">
        <v>1354.05</v>
      </c>
      <c r="K254" s="4">
        <v>980.01</v>
      </c>
      <c r="L254" s="4">
        <f t="shared" si="1"/>
        <v>910.11</v>
      </c>
      <c r="M254" s="10">
        <f t="shared" si="11"/>
        <v>7.7401247883469013</v>
      </c>
      <c r="N254" s="10">
        <f t="shared" si="12"/>
        <v>3.9092359355389066</v>
      </c>
    </row>
    <row r="255" spans="1:14" ht="15.75" customHeight="1">
      <c r="A255" s="4">
        <v>70102</v>
      </c>
      <c r="B255" s="4" t="s">
        <v>93</v>
      </c>
      <c r="C255" s="28">
        <f>IF(Table_1[[#This Row],[Forest cover 2011]]&lt;1000,"Bosque menor a 1000 ha",Table_1[[#This Row],[Forest cover 2011]])</f>
        <v>10462.59</v>
      </c>
      <c r="D255" s="4">
        <v>10462.59</v>
      </c>
      <c r="E255" s="4">
        <v>687.32999999999993</v>
      </c>
      <c r="F255" s="4">
        <v>673.02</v>
      </c>
      <c r="G255" s="4">
        <v>567.45000000000005</v>
      </c>
      <c r="H255" s="4">
        <f t="shared" si="0"/>
        <v>642.6</v>
      </c>
      <c r="I255" s="4">
        <v>35.729999999999997</v>
      </c>
      <c r="J255" s="4">
        <v>743.57999999999993</v>
      </c>
      <c r="K255" s="4">
        <v>700.29</v>
      </c>
      <c r="L255" s="4">
        <f t="shared" si="1"/>
        <v>493.2</v>
      </c>
      <c r="M255" s="10">
        <f t="shared" si="11"/>
        <v>6.1418826504718238</v>
      </c>
      <c r="N255" s="10">
        <f t="shared" si="12"/>
        <v>4.7139379446198308</v>
      </c>
    </row>
    <row r="256" spans="1:14" ht="15.75" customHeight="1">
      <c r="A256" s="4">
        <v>70103</v>
      </c>
      <c r="B256" s="4" t="s">
        <v>166</v>
      </c>
      <c r="C256" s="27">
        <f>IF(Table_1[[#This Row],[Forest cover 2011]]&lt;1000,"Bosque menor a 1000 ha",Table_1[[#This Row],[Forest cover 2011]])</f>
        <v>58007.79</v>
      </c>
      <c r="D256" s="4">
        <v>58007.79</v>
      </c>
      <c r="E256" s="4">
        <v>2234.6999999999998</v>
      </c>
      <c r="F256" s="4">
        <v>1665.45</v>
      </c>
      <c r="G256" s="4">
        <v>1302.8399999999999</v>
      </c>
      <c r="H256" s="4">
        <f t="shared" si="0"/>
        <v>1734.33</v>
      </c>
      <c r="I256" s="4">
        <v>189.99</v>
      </c>
      <c r="J256" s="4">
        <v>2249.2800000000002</v>
      </c>
      <c r="K256" s="4">
        <v>769.86</v>
      </c>
      <c r="L256" s="4">
        <f t="shared" si="1"/>
        <v>1069.7100000000003</v>
      </c>
      <c r="M256" s="10">
        <f t="shared" si="11"/>
        <v>2.9898225738301698</v>
      </c>
      <c r="N256" s="10">
        <f t="shared" si="12"/>
        <v>1.8440799071986715</v>
      </c>
    </row>
    <row r="257" spans="1:14" ht="15.75" customHeight="1">
      <c r="A257" s="4">
        <v>70104</v>
      </c>
      <c r="B257" s="4" t="s">
        <v>144</v>
      </c>
      <c r="C257" s="28">
        <f>IF(Table_1[[#This Row],[Forest cover 2011]]&lt;1000,"Bosque menor a 1000 ha",Table_1[[#This Row],[Forest cover 2011]])</f>
        <v>44732.52</v>
      </c>
      <c r="D257" s="4">
        <v>44732.52</v>
      </c>
      <c r="E257" s="4">
        <v>2218.86</v>
      </c>
      <c r="F257" s="4">
        <v>1681.56</v>
      </c>
      <c r="G257" s="4">
        <v>1497.24</v>
      </c>
      <c r="H257" s="4">
        <f t="shared" ref="H257:H344" si="13">AVERAGE(E257:G257)</f>
        <v>1799.22</v>
      </c>
      <c r="I257" s="4">
        <v>239.13</v>
      </c>
      <c r="J257" s="4">
        <v>2746.62</v>
      </c>
      <c r="K257" s="4">
        <v>846</v>
      </c>
      <c r="L257" s="4">
        <f t="shared" ref="L257:L344" si="14">AVERAGE(I257:K257)</f>
        <v>1277.25</v>
      </c>
      <c r="M257" s="10">
        <f t="shared" si="11"/>
        <v>4.0221744717266095</v>
      </c>
      <c r="N257" s="10">
        <f t="shared" si="12"/>
        <v>2.8553052678454067</v>
      </c>
    </row>
    <row r="258" spans="1:14" ht="15.75" customHeight="1">
      <c r="A258" s="4">
        <v>70105</v>
      </c>
      <c r="B258" s="4" t="s">
        <v>179</v>
      </c>
      <c r="C258" s="27">
        <f>IF(Table_1[[#This Row],[Forest cover 2011]]&lt;1000,"Bosque menor a 1000 ha",Table_1[[#This Row],[Forest cover 2011]])</f>
        <v>75341.790000000008</v>
      </c>
      <c r="D258" s="4">
        <v>75341.790000000008</v>
      </c>
      <c r="E258" s="4">
        <v>1694.79</v>
      </c>
      <c r="F258" s="4">
        <v>1557.72</v>
      </c>
      <c r="G258" s="4">
        <v>1064.25</v>
      </c>
      <c r="H258" s="4">
        <f t="shared" si="13"/>
        <v>1438.92</v>
      </c>
      <c r="I258" s="4">
        <v>446.49</v>
      </c>
      <c r="J258" s="4">
        <v>2285.8200000000002</v>
      </c>
      <c r="K258" s="4">
        <v>754.83</v>
      </c>
      <c r="L258" s="4">
        <f t="shared" si="14"/>
        <v>1162.3800000000001</v>
      </c>
      <c r="M258" s="10">
        <f t="shared" si="11"/>
        <v>1.9098564024029689</v>
      </c>
      <c r="N258" s="10">
        <f t="shared" si="12"/>
        <v>1.5428091103224386</v>
      </c>
    </row>
    <row r="259" spans="1:14" ht="15.75" customHeight="1">
      <c r="A259" s="4">
        <v>70201</v>
      </c>
      <c r="B259" s="4" t="s">
        <v>112</v>
      </c>
      <c r="C259" s="28">
        <f>IF(Table_1[[#This Row],[Forest cover 2011]]&lt;1000,"Bosque menor a 1000 ha",Table_1[[#This Row],[Forest cover 2011]])</f>
        <v>17938.169999999998</v>
      </c>
      <c r="D259" s="4">
        <v>17938.169999999998</v>
      </c>
      <c r="E259" s="4">
        <v>1336.77</v>
      </c>
      <c r="F259" s="4">
        <v>901.98</v>
      </c>
      <c r="G259" s="4">
        <v>633.06000000000006</v>
      </c>
      <c r="H259" s="4">
        <f t="shared" si="13"/>
        <v>957.27</v>
      </c>
      <c r="I259" s="4">
        <v>107.55</v>
      </c>
      <c r="J259" s="4">
        <v>806.49</v>
      </c>
      <c r="K259" s="4">
        <v>623.79</v>
      </c>
      <c r="L259" s="4">
        <f t="shared" si="14"/>
        <v>512.61</v>
      </c>
      <c r="M259" s="10">
        <f t="shared" ref="M259:M322" si="15">IF(D259&lt;1000,"",(H259/D259)*100)</f>
        <v>5.3364975357018025</v>
      </c>
      <c r="N259" s="10">
        <f t="shared" ref="N259:N322" si="16">IF(D259&lt;1000,"",(L259/D259)*100)</f>
        <v>2.8576493588810901</v>
      </c>
    </row>
    <row r="260" spans="1:14" ht="15.75" customHeight="1">
      <c r="A260" s="4">
        <v>70202</v>
      </c>
      <c r="B260" s="4" t="s">
        <v>99</v>
      </c>
      <c r="C260" s="27">
        <f>IF(Table_1[[#This Row],[Forest cover 2011]]&lt;1000,"Bosque menor a 1000 ha",Table_1[[#This Row],[Forest cover 2011]])</f>
        <v>11630.88</v>
      </c>
      <c r="D260" s="4">
        <v>11630.88</v>
      </c>
      <c r="E260" s="4">
        <v>1007.55</v>
      </c>
      <c r="F260" s="4">
        <v>1106.6400000000001</v>
      </c>
      <c r="G260" s="4">
        <v>692.64</v>
      </c>
      <c r="H260" s="4">
        <f t="shared" si="13"/>
        <v>935.61</v>
      </c>
      <c r="I260" s="4">
        <v>229.23</v>
      </c>
      <c r="J260" s="4">
        <v>700.47</v>
      </c>
      <c r="K260" s="4">
        <v>528.84</v>
      </c>
      <c r="L260" s="4">
        <f t="shared" si="14"/>
        <v>486.18</v>
      </c>
      <c r="M260" s="10">
        <f t="shared" si="15"/>
        <v>8.0441892616895707</v>
      </c>
      <c r="N260" s="10">
        <f t="shared" si="16"/>
        <v>4.1800792373405971</v>
      </c>
    </row>
    <row r="261" spans="1:14" ht="15.75" customHeight="1">
      <c r="A261" s="4">
        <v>70301</v>
      </c>
      <c r="B261" s="4" t="s">
        <v>170</v>
      </c>
      <c r="C261" s="28">
        <f>IF(Table_1[[#This Row],[Forest cover 2011]]&lt;1000,"Bosque menor a 1000 ha",Table_1[[#This Row],[Forest cover 2011]])</f>
        <v>3857761.35</v>
      </c>
      <c r="D261" s="4">
        <v>3857761.35</v>
      </c>
      <c r="E261" s="4">
        <v>25819.919999999998</v>
      </c>
      <c r="F261" s="4">
        <v>19086.21</v>
      </c>
      <c r="G261" s="4">
        <v>15192.81</v>
      </c>
      <c r="H261" s="4">
        <f t="shared" si="13"/>
        <v>20032.98</v>
      </c>
      <c r="I261" s="4">
        <v>53663.22</v>
      </c>
      <c r="J261" s="4">
        <v>53224.74</v>
      </c>
      <c r="K261" s="4">
        <v>45511.92</v>
      </c>
      <c r="L261" s="4">
        <f t="shared" si="14"/>
        <v>50799.96</v>
      </c>
      <c r="M261" s="10">
        <f t="shared" si="15"/>
        <v>0.51929028735797766</v>
      </c>
      <c r="N261" s="10">
        <f t="shared" si="16"/>
        <v>1.3168248471357618</v>
      </c>
    </row>
    <row r="262" spans="1:14" ht="15.75" customHeight="1">
      <c r="A262" s="4">
        <v>70302</v>
      </c>
      <c r="B262" s="4" t="s">
        <v>159</v>
      </c>
      <c r="C262" s="27">
        <f>IF(Table_1[[#This Row],[Forest cover 2011]]&lt;1000,"Bosque menor a 1000 ha",Table_1[[#This Row],[Forest cover 2011]])</f>
        <v>845629.56</v>
      </c>
      <c r="D262" s="4">
        <v>845629.56</v>
      </c>
      <c r="E262" s="4">
        <v>3969</v>
      </c>
      <c r="F262" s="4">
        <v>3997.35</v>
      </c>
      <c r="G262" s="4">
        <v>2954.7</v>
      </c>
      <c r="H262" s="4">
        <f t="shared" si="13"/>
        <v>3640.35</v>
      </c>
      <c r="I262" s="4">
        <v>15178.14</v>
      </c>
      <c r="J262" s="4">
        <v>21341.61</v>
      </c>
      <c r="K262" s="4">
        <v>12826.8</v>
      </c>
      <c r="L262" s="4">
        <f t="shared" si="14"/>
        <v>16448.850000000002</v>
      </c>
      <c r="M262" s="10">
        <f t="shared" si="15"/>
        <v>0.43048991806767017</v>
      </c>
      <c r="N262" s="10">
        <f t="shared" si="16"/>
        <v>1.9451602425061869</v>
      </c>
    </row>
    <row r="263" spans="1:14" ht="15.75" customHeight="1">
      <c r="A263" s="4">
        <v>70303</v>
      </c>
      <c r="B263" s="4" t="s">
        <v>158</v>
      </c>
      <c r="C263" s="28">
        <f>IF(Table_1[[#This Row],[Forest cover 2011]]&lt;1000,"Bosque menor a 1000 ha",Table_1[[#This Row],[Forest cover 2011]])</f>
        <v>851393.34000000008</v>
      </c>
      <c r="D263" s="4">
        <v>851393.34000000008</v>
      </c>
      <c r="E263" s="4">
        <v>2091.5100000000002</v>
      </c>
      <c r="F263" s="4">
        <v>2731.86</v>
      </c>
      <c r="G263" s="4">
        <v>2410.02</v>
      </c>
      <c r="H263" s="4">
        <f t="shared" si="13"/>
        <v>2411.1300000000006</v>
      </c>
      <c r="I263" s="4">
        <v>12900.42</v>
      </c>
      <c r="J263" s="4">
        <v>10013.67</v>
      </c>
      <c r="K263" s="4">
        <v>13080.78</v>
      </c>
      <c r="L263" s="4">
        <f t="shared" si="14"/>
        <v>11998.29</v>
      </c>
      <c r="M263" s="10">
        <f t="shared" si="15"/>
        <v>0.28319812790642696</v>
      </c>
      <c r="N263" s="10">
        <f t="shared" si="16"/>
        <v>1.4092534480008969</v>
      </c>
    </row>
    <row r="264" spans="1:14" ht="15.75" customHeight="1">
      <c r="A264" s="4">
        <v>70401</v>
      </c>
      <c r="B264" s="4" t="s">
        <v>200</v>
      </c>
      <c r="C264" s="27">
        <f>IF(Table_1[[#This Row],[Forest cover 2011]]&lt;1000,"Bosque menor a 1000 ha",Table_1[[#This Row],[Forest cover 2011]])</f>
        <v>224255.07</v>
      </c>
      <c r="D264" s="4">
        <v>224255.07</v>
      </c>
      <c r="E264" s="4">
        <v>2939.49</v>
      </c>
      <c r="F264" s="4">
        <v>1943.55</v>
      </c>
      <c r="G264" s="4">
        <v>1448.55</v>
      </c>
      <c r="H264" s="4">
        <f t="shared" si="13"/>
        <v>2110.5300000000002</v>
      </c>
      <c r="I264" s="4">
        <v>425.52</v>
      </c>
      <c r="J264" s="4">
        <v>3885.3</v>
      </c>
      <c r="K264" s="4">
        <v>1256.58</v>
      </c>
      <c r="L264" s="4">
        <f t="shared" si="14"/>
        <v>1855.8</v>
      </c>
      <c r="M264" s="10">
        <f t="shared" si="15"/>
        <v>0.94112922396804677</v>
      </c>
      <c r="N264" s="10">
        <f t="shared" si="16"/>
        <v>0.82753981883218963</v>
      </c>
    </row>
    <row r="265" spans="1:14" ht="15.75" customHeight="1">
      <c r="A265" s="4">
        <v>70402</v>
      </c>
      <c r="B265" s="4" t="s">
        <v>123</v>
      </c>
      <c r="C265" s="28">
        <f>IF(Table_1[[#This Row],[Forest cover 2011]]&lt;1000,"Bosque menor a 1000 ha",Table_1[[#This Row],[Forest cover 2011]])</f>
        <v>43491.24</v>
      </c>
      <c r="D265" s="4">
        <v>43491.24</v>
      </c>
      <c r="E265" s="4">
        <v>1853.01</v>
      </c>
      <c r="F265" s="4">
        <v>1087.56</v>
      </c>
      <c r="G265" s="4">
        <v>981.45</v>
      </c>
      <c r="H265" s="4">
        <f t="shared" si="13"/>
        <v>1307.3399999999999</v>
      </c>
      <c r="I265" s="4">
        <v>300.24</v>
      </c>
      <c r="J265" s="4">
        <v>2344.3200000000002</v>
      </c>
      <c r="K265" s="4">
        <v>1198.8</v>
      </c>
      <c r="L265" s="4">
        <f t="shared" si="14"/>
        <v>1281.1200000000001</v>
      </c>
      <c r="M265" s="10">
        <f t="shared" si="15"/>
        <v>3.0059846534612489</v>
      </c>
      <c r="N265" s="10">
        <f t="shared" si="16"/>
        <v>2.9456966506358526</v>
      </c>
    </row>
    <row r="266" spans="1:14" ht="15.75" customHeight="1">
      <c r="A266" s="4">
        <v>70403</v>
      </c>
      <c r="B266" s="4" t="s">
        <v>162</v>
      </c>
      <c r="C266" s="27">
        <f>IF(Table_1[[#This Row],[Forest cover 2011]]&lt;1000,"Bosque menor a 1000 ha",Table_1[[#This Row],[Forest cover 2011]])</f>
        <v>704387.7</v>
      </c>
      <c r="D266" s="4">
        <v>704387.7</v>
      </c>
      <c r="E266" s="4">
        <v>26292.42</v>
      </c>
      <c r="F266" s="4">
        <v>9811.4399999999987</v>
      </c>
      <c r="G266" s="4">
        <v>8741.16</v>
      </c>
      <c r="H266" s="4">
        <f t="shared" si="13"/>
        <v>14948.340000000002</v>
      </c>
      <c r="I266" s="4">
        <v>2963.52</v>
      </c>
      <c r="J266" s="4">
        <v>14889.87</v>
      </c>
      <c r="K266" s="4">
        <v>10208.879999999999</v>
      </c>
      <c r="L266" s="4">
        <f t="shared" si="14"/>
        <v>9354.0899999999983</v>
      </c>
      <c r="M266" s="10">
        <f t="shared" si="15"/>
        <v>2.1221750464978308</v>
      </c>
      <c r="N266" s="10">
        <f t="shared" si="16"/>
        <v>1.327974636695104</v>
      </c>
    </row>
    <row r="267" spans="1:14" ht="15.75" customHeight="1">
      <c r="A267" s="4">
        <v>70404</v>
      </c>
      <c r="B267" s="4" t="s">
        <v>98</v>
      </c>
      <c r="C267" s="28">
        <f>IF(Table_1[[#This Row],[Forest cover 2011]]&lt;1000,"Bosque menor a 1000 ha",Table_1[[#This Row],[Forest cover 2011]])</f>
        <v>66738.78</v>
      </c>
      <c r="D267" s="4">
        <v>66738.78</v>
      </c>
      <c r="E267" s="4">
        <v>2733.12</v>
      </c>
      <c r="F267" s="4">
        <v>2135.34</v>
      </c>
      <c r="G267" s="4">
        <v>1440.9</v>
      </c>
      <c r="H267" s="4">
        <f t="shared" si="13"/>
        <v>2103.1200000000003</v>
      </c>
      <c r="I267" s="4">
        <v>404.55</v>
      </c>
      <c r="J267" s="4">
        <v>1871.55</v>
      </c>
      <c r="K267" s="4">
        <v>3160.44</v>
      </c>
      <c r="L267" s="4">
        <f t="shared" si="14"/>
        <v>1812.18</v>
      </c>
      <c r="M267" s="10">
        <f t="shared" si="15"/>
        <v>3.1512712698673853</v>
      </c>
      <c r="N267" s="10">
        <f t="shared" si="16"/>
        <v>2.715332824483756</v>
      </c>
    </row>
    <row r="268" spans="1:14" ht="15.75" customHeight="1">
      <c r="A268" s="4">
        <v>70501</v>
      </c>
      <c r="B268" s="4" t="s">
        <v>116</v>
      </c>
      <c r="C268" s="27">
        <f>IF(Table_1[[#This Row],[Forest cover 2011]]&lt;1000,"Bosque menor a 1000 ha",Table_1[[#This Row],[Forest cover 2011]])</f>
        <v>1537017.93</v>
      </c>
      <c r="D268" s="4">
        <v>1537017.93</v>
      </c>
      <c r="E268" s="4">
        <v>5717.07</v>
      </c>
      <c r="F268" s="4">
        <v>8434.619999999999</v>
      </c>
      <c r="G268" s="4">
        <v>10016.1</v>
      </c>
      <c r="H268" s="4">
        <f t="shared" si="13"/>
        <v>8055.93</v>
      </c>
      <c r="I268" s="4">
        <v>17625.599999999999</v>
      </c>
      <c r="J268" s="4">
        <v>22902.39</v>
      </c>
      <c r="K268" s="4">
        <v>49189.41</v>
      </c>
      <c r="L268" s="4">
        <f t="shared" si="14"/>
        <v>29905.8</v>
      </c>
      <c r="M268" s="10">
        <f t="shared" si="15"/>
        <v>0.524127262458155</v>
      </c>
      <c r="N268" s="10">
        <f t="shared" si="16"/>
        <v>1.9457027414117416</v>
      </c>
    </row>
    <row r="269" spans="1:14" ht="15.75" customHeight="1">
      <c r="A269" s="4">
        <v>70502</v>
      </c>
      <c r="B269" s="4" t="s">
        <v>131</v>
      </c>
      <c r="C269" s="28">
        <f>IF(Table_1[[#This Row],[Forest cover 2011]]&lt;1000,"Bosque menor a 1000 ha",Table_1[[#This Row],[Forest cover 2011]])</f>
        <v>707981.4</v>
      </c>
      <c r="D269" s="4">
        <v>707981.4</v>
      </c>
      <c r="E269" s="4">
        <v>26173.17</v>
      </c>
      <c r="F269" s="4">
        <v>21198.87</v>
      </c>
      <c r="G269" s="4">
        <v>27307.8</v>
      </c>
      <c r="H269" s="4">
        <f t="shared" si="13"/>
        <v>24893.279999999999</v>
      </c>
      <c r="I269" s="4">
        <v>17122.68</v>
      </c>
      <c r="J269" s="4">
        <v>20419.830000000002</v>
      </c>
      <c r="K269" s="4">
        <v>16542.810000000001</v>
      </c>
      <c r="L269" s="4">
        <f t="shared" si="14"/>
        <v>18028.440000000002</v>
      </c>
      <c r="M269" s="10">
        <f t="shared" si="15"/>
        <v>3.5160923719182455</v>
      </c>
      <c r="N269" s="10">
        <f t="shared" si="16"/>
        <v>2.5464567289479643</v>
      </c>
    </row>
    <row r="270" spans="1:14" ht="15.75" customHeight="1">
      <c r="A270" s="4">
        <v>70503</v>
      </c>
      <c r="B270" s="4" t="s">
        <v>97</v>
      </c>
      <c r="C270" s="27">
        <f>IF(Table_1[[#This Row],[Forest cover 2011]]&lt;1000,"Bosque menor a 1000 ha",Table_1[[#This Row],[Forest cover 2011]])</f>
        <v>688852.98</v>
      </c>
      <c r="D270" s="4">
        <v>688852.98</v>
      </c>
      <c r="E270" s="4">
        <v>724.59</v>
      </c>
      <c r="F270" s="4">
        <v>985.23</v>
      </c>
      <c r="G270" s="4">
        <v>861.21</v>
      </c>
      <c r="H270" s="4">
        <f t="shared" si="13"/>
        <v>857.0100000000001</v>
      </c>
      <c r="I270" s="4">
        <v>5756.94</v>
      </c>
      <c r="J270" s="4">
        <v>6082.92</v>
      </c>
      <c r="K270" s="4">
        <v>33431.129999999997</v>
      </c>
      <c r="L270" s="4">
        <f t="shared" si="14"/>
        <v>15090.33</v>
      </c>
      <c r="M270" s="10">
        <f t="shared" si="15"/>
        <v>0.12441116245152924</v>
      </c>
      <c r="N270" s="10">
        <f t="shared" si="16"/>
        <v>2.1906459633810398</v>
      </c>
    </row>
    <row r="271" spans="1:14" ht="15.75" customHeight="1">
      <c r="A271" s="4">
        <v>70601</v>
      </c>
      <c r="B271" s="4" t="s">
        <v>118</v>
      </c>
      <c r="C271" s="28">
        <f>IF(Table_1[[#This Row],[Forest cover 2011]]&lt;1000,"Bosque menor a 1000 ha",Table_1[[#This Row],[Forest cover 2011]])</f>
        <v>37691.46</v>
      </c>
      <c r="D271" s="4">
        <v>37691.46</v>
      </c>
      <c r="E271" s="4">
        <v>2725.11</v>
      </c>
      <c r="F271" s="4">
        <v>1324.26</v>
      </c>
      <c r="G271" s="4">
        <v>949.59</v>
      </c>
      <c r="H271" s="4">
        <f t="shared" si="13"/>
        <v>1666.32</v>
      </c>
      <c r="I271" s="4">
        <v>154.88999999999999</v>
      </c>
      <c r="J271" s="4">
        <v>1691.19</v>
      </c>
      <c r="K271" s="4">
        <v>1113.21</v>
      </c>
      <c r="L271" s="4">
        <f t="shared" si="14"/>
        <v>986.43</v>
      </c>
      <c r="M271" s="10">
        <f t="shared" si="15"/>
        <v>4.4209484058192494</v>
      </c>
      <c r="N271" s="10">
        <f t="shared" si="16"/>
        <v>2.6171180421241309</v>
      </c>
    </row>
    <row r="272" spans="1:14" ht="15.75" customHeight="1">
      <c r="A272" s="4">
        <v>70602</v>
      </c>
      <c r="B272" s="4" t="s">
        <v>96</v>
      </c>
      <c r="C272" s="27">
        <f>IF(Table_1[[#This Row],[Forest cover 2011]]&lt;1000,"Bosque menor a 1000 ha",Table_1[[#This Row],[Forest cover 2011]])</f>
        <v>189111.87</v>
      </c>
      <c r="D272" s="4">
        <v>189111.87</v>
      </c>
      <c r="E272" s="4">
        <v>9718.65</v>
      </c>
      <c r="F272" s="4">
        <v>9067.0499999999993</v>
      </c>
      <c r="G272" s="4">
        <v>5380.47</v>
      </c>
      <c r="H272" s="4">
        <f t="shared" si="13"/>
        <v>8055.3899999999994</v>
      </c>
      <c r="I272" s="4">
        <v>2672.19</v>
      </c>
      <c r="J272" s="4">
        <v>8844.84</v>
      </c>
      <c r="K272" s="4">
        <v>10313.280000000001</v>
      </c>
      <c r="L272" s="4">
        <f t="shared" si="14"/>
        <v>7276.77</v>
      </c>
      <c r="M272" s="10">
        <f t="shared" si="15"/>
        <v>4.2595898396012899</v>
      </c>
      <c r="N272" s="10">
        <f t="shared" si="16"/>
        <v>3.847865287356103</v>
      </c>
    </row>
    <row r="273" spans="1:14" ht="15.75" customHeight="1">
      <c r="A273" s="4">
        <v>70603</v>
      </c>
      <c r="B273" s="4" t="s">
        <v>95</v>
      </c>
      <c r="C273" s="28">
        <f>IF(Table_1[[#This Row],[Forest cover 2011]]&lt;1000,"Bosque menor a 1000 ha",Table_1[[#This Row],[Forest cover 2011]])</f>
        <v>7991.91</v>
      </c>
      <c r="D273" s="4">
        <v>7991.91</v>
      </c>
      <c r="E273" s="4">
        <v>241.11</v>
      </c>
      <c r="F273" s="4">
        <v>149.94</v>
      </c>
      <c r="G273" s="4">
        <v>205.56</v>
      </c>
      <c r="H273" s="4">
        <f t="shared" si="13"/>
        <v>198.87</v>
      </c>
      <c r="I273" s="4">
        <v>27.36</v>
      </c>
      <c r="J273" s="4">
        <v>452.34</v>
      </c>
      <c r="K273" s="4">
        <v>463.95</v>
      </c>
      <c r="L273" s="4">
        <f t="shared" si="14"/>
        <v>314.55</v>
      </c>
      <c r="M273" s="10">
        <f t="shared" si="15"/>
        <v>2.4883913857888791</v>
      </c>
      <c r="N273" s="10">
        <f t="shared" si="16"/>
        <v>3.9358551335037557</v>
      </c>
    </row>
    <row r="274" spans="1:14" ht="15.75" customHeight="1">
      <c r="A274" s="4">
        <v>70701</v>
      </c>
      <c r="B274" s="4" t="s">
        <v>233</v>
      </c>
      <c r="C274" s="27">
        <f>IF(Table_1[[#This Row],[Forest cover 2011]]&lt;1000,"Bosque menor a 1000 ha",Table_1[[#This Row],[Forest cover 2011]])</f>
        <v>95083.29</v>
      </c>
      <c r="D274" s="4">
        <v>95083.29</v>
      </c>
      <c r="E274" s="4">
        <v>744.03</v>
      </c>
      <c r="F274" s="4">
        <v>704.88</v>
      </c>
      <c r="G274" s="4">
        <v>604.79999999999995</v>
      </c>
      <c r="H274" s="4">
        <f t="shared" si="13"/>
        <v>684.57</v>
      </c>
      <c r="I274" s="4">
        <v>234.27</v>
      </c>
      <c r="J274" s="4">
        <v>731.69999999999993</v>
      </c>
      <c r="K274" s="4">
        <v>264.06</v>
      </c>
      <c r="L274" s="4">
        <f t="shared" si="14"/>
        <v>410.01</v>
      </c>
      <c r="M274" s="10">
        <f t="shared" si="15"/>
        <v>0.71996877684817184</v>
      </c>
      <c r="N274" s="10">
        <f t="shared" si="16"/>
        <v>0.43121141475016278</v>
      </c>
    </row>
    <row r="275" spans="1:14" ht="15.75" customHeight="1">
      <c r="A275" s="4">
        <v>70702</v>
      </c>
      <c r="B275" s="4" t="s">
        <v>141</v>
      </c>
      <c r="C275" s="28">
        <f>IF(Table_1[[#This Row],[Forest cover 2011]]&lt;1000,"Bosque menor a 1000 ha",Table_1[[#This Row],[Forest cover 2011]])</f>
        <v>6326742.8700000001</v>
      </c>
      <c r="D275" s="4">
        <v>6326742.8700000001</v>
      </c>
      <c r="E275" s="4">
        <v>19657.71</v>
      </c>
      <c r="F275" s="4">
        <v>14750.19</v>
      </c>
      <c r="G275" s="4">
        <v>16189.2</v>
      </c>
      <c r="H275" s="4">
        <f t="shared" si="13"/>
        <v>16865.7</v>
      </c>
      <c r="I275" s="4">
        <v>31498.74</v>
      </c>
      <c r="J275" s="4">
        <v>22288.41</v>
      </c>
      <c r="K275" s="4">
        <v>124829.1</v>
      </c>
      <c r="L275" s="4">
        <f t="shared" si="14"/>
        <v>59538.75</v>
      </c>
      <c r="M275" s="10">
        <f t="shared" si="15"/>
        <v>0.26657792716649475</v>
      </c>
      <c r="N275" s="10">
        <f t="shared" si="16"/>
        <v>0.94106479784913399</v>
      </c>
    </row>
    <row r="276" spans="1:14" ht="15.75" customHeight="1">
      <c r="A276" s="4">
        <v>70703</v>
      </c>
      <c r="B276" s="4" t="s">
        <v>146</v>
      </c>
      <c r="C276" s="27">
        <f>IF(Table_1[[#This Row],[Forest cover 2011]]&lt;1000,"Bosque menor a 1000 ha",Table_1[[#This Row],[Forest cover 2011]])</f>
        <v>296407.53000000003</v>
      </c>
      <c r="D276" s="4">
        <v>296407.53000000003</v>
      </c>
      <c r="E276" s="4">
        <v>6353.82</v>
      </c>
      <c r="F276" s="4">
        <v>5191.6499999999996</v>
      </c>
      <c r="G276" s="4">
        <v>5211.2700000000004</v>
      </c>
      <c r="H276" s="4">
        <f t="shared" si="13"/>
        <v>5585.579999999999</v>
      </c>
      <c r="I276" s="4">
        <v>3291.84</v>
      </c>
      <c r="J276" s="4">
        <v>5694.75</v>
      </c>
      <c r="K276" s="4">
        <v>5455.89</v>
      </c>
      <c r="L276" s="4">
        <f t="shared" si="14"/>
        <v>4814.16</v>
      </c>
      <c r="M276" s="10">
        <f t="shared" si="15"/>
        <v>1.8844258106398302</v>
      </c>
      <c r="N276" s="10">
        <f t="shared" si="16"/>
        <v>1.6241692645257693</v>
      </c>
    </row>
    <row r="277" spans="1:14" ht="15.75" customHeight="1">
      <c r="A277" s="4">
        <v>70704</v>
      </c>
      <c r="B277" s="4" t="s">
        <v>263</v>
      </c>
      <c r="C277" s="28">
        <f>IF(Table_1[[#This Row],[Forest cover 2011]]&lt;1000,"Bosque menor a 1000 ha",Table_1[[#This Row],[Forest cover 2011]])</f>
        <v>71029.440000000002</v>
      </c>
      <c r="D277" s="4">
        <v>71029.440000000002</v>
      </c>
      <c r="E277" s="4">
        <v>144.72</v>
      </c>
      <c r="F277" s="4">
        <v>124.02</v>
      </c>
      <c r="G277" s="4">
        <v>405.63</v>
      </c>
      <c r="H277" s="4">
        <f t="shared" si="13"/>
        <v>224.79</v>
      </c>
      <c r="I277" s="4">
        <v>85.320000000000007</v>
      </c>
      <c r="J277" s="4">
        <v>632.43000000000006</v>
      </c>
      <c r="K277" s="4">
        <v>80.820000000000007</v>
      </c>
      <c r="L277" s="4">
        <f t="shared" si="14"/>
        <v>266.19000000000005</v>
      </c>
      <c r="M277" s="10">
        <f t="shared" si="15"/>
        <v>0.31647440835799917</v>
      </c>
      <c r="N277" s="10">
        <f t="shared" si="16"/>
        <v>0.37476009947424621</v>
      </c>
    </row>
    <row r="278" spans="1:14" ht="15.75" customHeight="1">
      <c r="A278" s="4">
        <v>70705</v>
      </c>
      <c r="B278" s="4" t="s">
        <v>206</v>
      </c>
      <c r="C278" s="27">
        <f>IF(Table_1[[#This Row],[Forest cover 2011]]&lt;1000,"Bosque menor a 1000 ha",Table_1[[#This Row],[Forest cover 2011]])</f>
        <v>244483.65</v>
      </c>
      <c r="D278" s="4">
        <v>244483.65</v>
      </c>
      <c r="E278" s="4">
        <v>3554.01</v>
      </c>
      <c r="F278" s="4">
        <v>2156.67</v>
      </c>
      <c r="G278" s="4">
        <v>1584.09</v>
      </c>
      <c r="H278" s="4">
        <f t="shared" si="13"/>
        <v>2431.59</v>
      </c>
      <c r="I278" s="4">
        <v>1509.93</v>
      </c>
      <c r="J278" s="4">
        <v>2467.8000000000002</v>
      </c>
      <c r="K278" s="4">
        <v>1229.76</v>
      </c>
      <c r="L278" s="4">
        <f t="shared" si="14"/>
        <v>1735.8300000000002</v>
      </c>
      <c r="M278" s="10">
        <f t="shared" si="15"/>
        <v>0.99458184627070156</v>
      </c>
      <c r="N278" s="10">
        <f t="shared" si="16"/>
        <v>0.70999839866592318</v>
      </c>
    </row>
    <row r="279" spans="1:14" ht="15.75" customHeight="1">
      <c r="A279" s="4">
        <v>70706</v>
      </c>
      <c r="B279" s="4" t="s">
        <v>209</v>
      </c>
      <c r="C279" s="28">
        <f>IF(Table_1[[#This Row],[Forest cover 2011]]&lt;1000,"Bosque menor a 1000 ha",Table_1[[#This Row],[Forest cover 2011]])</f>
        <v>87469.74</v>
      </c>
      <c r="D279" s="4">
        <v>87469.74</v>
      </c>
      <c r="E279" s="4">
        <v>477.45</v>
      </c>
      <c r="F279" s="4">
        <v>537.57000000000005</v>
      </c>
      <c r="G279" s="4">
        <v>809.46</v>
      </c>
      <c r="H279" s="4">
        <f t="shared" si="13"/>
        <v>608.16</v>
      </c>
      <c r="I279" s="4">
        <v>222.21</v>
      </c>
      <c r="J279" s="4">
        <v>1170.81</v>
      </c>
      <c r="K279" s="4">
        <v>424.8</v>
      </c>
      <c r="L279" s="4">
        <f t="shared" si="14"/>
        <v>605.93999999999994</v>
      </c>
      <c r="M279" s="10">
        <f t="shared" si="15"/>
        <v>0.6952804478440201</v>
      </c>
      <c r="N279" s="10">
        <f t="shared" si="16"/>
        <v>0.69274242726684665</v>
      </c>
    </row>
    <row r="280" spans="1:14" ht="15.75" customHeight="1">
      <c r="A280" s="4">
        <v>70707</v>
      </c>
      <c r="B280" s="4" t="s">
        <v>215</v>
      </c>
      <c r="C280" s="27">
        <f>IF(Table_1[[#This Row],[Forest cover 2011]]&lt;1000,"Bosque menor a 1000 ha",Table_1[[#This Row],[Forest cover 2011]])</f>
        <v>147199.14000000001</v>
      </c>
      <c r="D280" s="4">
        <v>147199.14000000001</v>
      </c>
      <c r="E280" s="4">
        <v>82.35</v>
      </c>
      <c r="F280" s="4">
        <v>100.35</v>
      </c>
      <c r="G280" s="4">
        <v>344.97</v>
      </c>
      <c r="H280" s="4">
        <f t="shared" si="13"/>
        <v>175.89000000000001</v>
      </c>
      <c r="I280" s="4">
        <v>2029.41</v>
      </c>
      <c r="J280" s="4">
        <v>2905.65</v>
      </c>
      <c r="K280" s="4">
        <v>638.55000000000007</v>
      </c>
      <c r="L280" s="4">
        <f t="shared" si="14"/>
        <v>1857.8700000000001</v>
      </c>
      <c r="M280" s="10">
        <f t="shared" si="15"/>
        <v>0.11949118724470809</v>
      </c>
      <c r="N280" s="10">
        <f t="shared" si="16"/>
        <v>1.2621473196106987</v>
      </c>
    </row>
    <row r="281" spans="1:14" ht="15.75" customHeight="1">
      <c r="A281" s="4">
        <v>70801</v>
      </c>
      <c r="B281" s="4" t="s">
        <v>216</v>
      </c>
      <c r="C281" s="28">
        <f>IF(Table_1[[#This Row],[Forest cover 2011]]&lt;1000,"Bosque menor a 1000 ha",Table_1[[#This Row],[Forest cover 2011]])</f>
        <v>269921.7</v>
      </c>
      <c r="D281" s="4">
        <v>269921.7</v>
      </c>
      <c r="E281" s="4">
        <v>726.12</v>
      </c>
      <c r="F281" s="4">
        <v>1041.1199999999999</v>
      </c>
      <c r="G281" s="4">
        <v>1511.01</v>
      </c>
      <c r="H281" s="4">
        <f t="shared" si="13"/>
        <v>1092.75</v>
      </c>
      <c r="I281" s="4">
        <v>670.68000000000006</v>
      </c>
      <c r="J281" s="4">
        <v>2835.45</v>
      </c>
      <c r="K281" s="4">
        <v>1157.76</v>
      </c>
      <c r="L281" s="4">
        <f t="shared" si="14"/>
        <v>1554.63</v>
      </c>
      <c r="M281" s="10">
        <f t="shared" si="15"/>
        <v>0.40483962571367921</v>
      </c>
      <c r="N281" s="10">
        <f t="shared" si="16"/>
        <v>0.57595591610455932</v>
      </c>
    </row>
    <row r="282" spans="1:14" ht="15.75" customHeight="1">
      <c r="A282" s="4">
        <v>70802</v>
      </c>
      <c r="B282" s="4" t="s">
        <v>247</v>
      </c>
      <c r="C282" s="27">
        <f>IF(Table_1[[#This Row],[Forest cover 2011]]&lt;1000,"Bosque menor a 1000 ha",Table_1[[#This Row],[Forest cover 2011]])</f>
        <v>24363.9</v>
      </c>
      <c r="D282" s="4">
        <v>24363.9</v>
      </c>
      <c r="E282" s="4">
        <v>108.81</v>
      </c>
      <c r="F282" s="4">
        <v>111.96</v>
      </c>
      <c r="G282" s="4">
        <v>193.05</v>
      </c>
      <c r="H282" s="4">
        <f t="shared" si="13"/>
        <v>137.94</v>
      </c>
      <c r="I282" s="4">
        <v>157.77000000000001</v>
      </c>
      <c r="J282" s="4">
        <v>269.27999999999997</v>
      </c>
      <c r="K282" s="4">
        <v>48.69</v>
      </c>
      <c r="L282" s="4">
        <f t="shared" si="14"/>
        <v>158.57999999999998</v>
      </c>
      <c r="M282" s="10">
        <f t="shared" si="15"/>
        <v>0.56616551537315452</v>
      </c>
      <c r="N282" s="10">
        <f t="shared" si="16"/>
        <v>0.65088101658601449</v>
      </c>
    </row>
    <row r="283" spans="1:14" ht="15.75" customHeight="1">
      <c r="A283" s="4">
        <v>70803</v>
      </c>
      <c r="B283" s="4" t="s">
        <v>240</v>
      </c>
      <c r="C283" s="28">
        <f>IF(Table_1[[#This Row],[Forest cover 2011]]&lt;1000,"Bosque menor a 1000 ha",Table_1[[#This Row],[Forest cover 2011]])</f>
        <v>40236.75</v>
      </c>
      <c r="D283" s="4">
        <v>40236.75</v>
      </c>
      <c r="E283" s="4">
        <v>46.26</v>
      </c>
      <c r="F283" s="4">
        <v>46.98</v>
      </c>
      <c r="G283" s="4">
        <v>928.43999999999994</v>
      </c>
      <c r="H283" s="4">
        <f t="shared" si="13"/>
        <v>340.56</v>
      </c>
      <c r="I283" s="4">
        <v>330.3</v>
      </c>
      <c r="J283" s="4">
        <v>468.36</v>
      </c>
      <c r="K283" s="4">
        <v>102.51</v>
      </c>
      <c r="L283" s="4">
        <f t="shared" si="14"/>
        <v>300.39000000000004</v>
      </c>
      <c r="M283" s="10">
        <f t="shared" si="15"/>
        <v>0.84639042666219311</v>
      </c>
      <c r="N283" s="10">
        <f t="shared" si="16"/>
        <v>0.74655631978228876</v>
      </c>
    </row>
    <row r="284" spans="1:14" ht="15.75" customHeight="1">
      <c r="A284" s="4">
        <v>70804</v>
      </c>
      <c r="B284" s="4" t="s">
        <v>192</v>
      </c>
      <c r="C284" s="27">
        <f>IF(Table_1[[#This Row],[Forest cover 2011]]&lt;1000,"Bosque menor a 1000 ha",Table_1[[#This Row],[Forest cover 2011]])</f>
        <v>102421.89</v>
      </c>
      <c r="D284" s="4">
        <v>102421.89</v>
      </c>
      <c r="E284" s="4">
        <v>317.16000000000003</v>
      </c>
      <c r="F284" s="4">
        <v>358.92</v>
      </c>
      <c r="G284" s="4">
        <v>362.34</v>
      </c>
      <c r="H284" s="4">
        <f t="shared" si="13"/>
        <v>346.14000000000004</v>
      </c>
      <c r="I284" s="4">
        <v>147.87</v>
      </c>
      <c r="J284" s="4">
        <v>622.17000000000007</v>
      </c>
      <c r="K284" s="4">
        <v>679.77</v>
      </c>
      <c r="L284" s="4">
        <f t="shared" si="14"/>
        <v>483.27</v>
      </c>
      <c r="M284" s="10">
        <f t="shared" si="15"/>
        <v>0.33795509924685047</v>
      </c>
      <c r="N284" s="10">
        <f t="shared" si="16"/>
        <v>0.47184249382627097</v>
      </c>
    </row>
    <row r="285" spans="1:14" ht="15.75" customHeight="1">
      <c r="A285" s="4">
        <v>70805</v>
      </c>
      <c r="B285" s="4" t="s">
        <v>212</v>
      </c>
      <c r="C285" s="28">
        <f>IF(Table_1[[#This Row],[Forest cover 2011]]&lt;1000,"Bosque menor a 1000 ha",Table_1[[#This Row],[Forest cover 2011]])</f>
        <v>44864.639999999999</v>
      </c>
      <c r="D285" s="4">
        <v>44864.639999999999</v>
      </c>
      <c r="E285" s="4">
        <v>158.85</v>
      </c>
      <c r="F285" s="4">
        <v>183.69</v>
      </c>
      <c r="G285" s="4">
        <v>497.7</v>
      </c>
      <c r="H285" s="4">
        <f t="shared" si="13"/>
        <v>280.08</v>
      </c>
      <c r="I285" s="4">
        <v>213.3</v>
      </c>
      <c r="J285" s="4">
        <v>541.98</v>
      </c>
      <c r="K285" s="4">
        <v>199.53</v>
      </c>
      <c r="L285" s="4">
        <f t="shared" si="14"/>
        <v>318.27</v>
      </c>
      <c r="M285" s="10">
        <f t="shared" si="15"/>
        <v>0.62427782770573881</v>
      </c>
      <c r="N285" s="10">
        <f t="shared" si="16"/>
        <v>0.70940054350151915</v>
      </c>
    </row>
    <row r="286" spans="1:14" ht="15.75" customHeight="1">
      <c r="A286" s="4">
        <v>70901</v>
      </c>
      <c r="B286" s="4" t="s">
        <v>235</v>
      </c>
      <c r="C286" s="27">
        <f>IF(Table_1[[#This Row],[Forest cover 2011]]&lt;1000,"Bosque menor a 1000 ha",Table_1[[#This Row],[Forest cover 2011]])</f>
        <v>167194.07999999999</v>
      </c>
      <c r="D286" s="4">
        <v>167194.07999999999</v>
      </c>
      <c r="E286" s="4">
        <v>352.62</v>
      </c>
      <c r="F286" s="4">
        <v>480.87</v>
      </c>
      <c r="G286" s="4">
        <v>530.19000000000005</v>
      </c>
      <c r="H286" s="4">
        <f t="shared" si="13"/>
        <v>454.56</v>
      </c>
      <c r="I286" s="4">
        <v>393.48</v>
      </c>
      <c r="J286" s="4">
        <v>662.4</v>
      </c>
      <c r="K286" s="4">
        <v>457.65</v>
      </c>
      <c r="L286" s="4">
        <f t="shared" si="14"/>
        <v>504.51000000000005</v>
      </c>
      <c r="M286" s="10">
        <f t="shared" si="15"/>
        <v>0.27187565492749505</v>
      </c>
      <c r="N286" s="10">
        <f t="shared" si="16"/>
        <v>0.30175111463276699</v>
      </c>
    </row>
    <row r="287" spans="1:14" ht="15.75" customHeight="1">
      <c r="A287" s="4">
        <v>70902</v>
      </c>
      <c r="B287" s="4" t="s">
        <v>196</v>
      </c>
      <c r="C287" s="28">
        <f>IF(Table_1[[#This Row],[Forest cover 2011]]&lt;1000,"Bosque menor a 1000 ha",Table_1[[#This Row],[Forest cover 2011]])</f>
        <v>75895.11</v>
      </c>
      <c r="D287" s="4">
        <v>75895.11</v>
      </c>
      <c r="E287" s="4">
        <v>474.48</v>
      </c>
      <c r="F287" s="4">
        <v>352.8</v>
      </c>
      <c r="G287" s="4">
        <v>671.49</v>
      </c>
      <c r="H287" s="4">
        <f t="shared" si="13"/>
        <v>499.59</v>
      </c>
      <c r="I287" s="4">
        <v>284.04000000000002</v>
      </c>
      <c r="J287" s="4">
        <v>616.59</v>
      </c>
      <c r="K287" s="4">
        <v>461.25</v>
      </c>
      <c r="L287" s="4">
        <f t="shared" si="14"/>
        <v>453.96000000000004</v>
      </c>
      <c r="M287" s="10">
        <f t="shared" si="15"/>
        <v>0.65826375375172386</v>
      </c>
      <c r="N287" s="10">
        <f t="shared" si="16"/>
        <v>0.59814130317486858</v>
      </c>
    </row>
    <row r="288" spans="1:14" ht="15.75" customHeight="1">
      <c r="A288" s="4">
        <v>70903</v>
      </c>
      <c r="B288" s="4" t="s">
        <v>187</v>
      </c>
      <c r="C288" s="27">
        <f>IF(Table_1[[#This Row],[Forest cover 2011]]&lt;1000,"Bosque menor a 1000 ha",Table_1[[#This Row],[Forest cover 2011]])</f>
        <v>64372.41</v>
      </c>
      <c r="D288" s="4">
        <v>64372.41</v>
      </c>
      <c r="E288" s="4">
        <v>361.89</v>
      </c>
      <c r="F288" s="4">
        <v>200.43</v>
      </c>
      <c r="G288" s="4">
        <v>294.75</v>
      </c>
      <c r="H288" s="4">
        <f t="shared" si="13"/>
        <v>285.69</v>
      </c>
      <c r="I288" s="4">
        <v>234.81</v>
      </c>
      <c r="J288" s="4">
        <v>477.18</v>
      </c>
      <c r="K288" s="4">
        <v>458.18999999999988</v>
      </c>
      <c r="L288" s="4">
        <f t="shared" si="14"/>
        <v>390.05999999999995</v>
      </c>
      <c r="M288" s="10">
        <f t="shared" si="15"/>
        <v>0.44380814699962295</v>
      </c>
      <c r="N288" s="10">
        <f t="shared" si="16"/>
        <v>0.60594282550552314</v>
      </c>
    </row>
    <row r="289" spans="1:14" ht="15.75" customHeight="1">
      <c r="A289" s="4">
        <v>70904</v>
      </c>
      <c r="B289" s="4" t="s">
        <v>231</v>
      </c>
      <c r="C289" s="28">
        <f>IF(Table_1[[#This Row],[Forest cover 2011]]&lt;1000,"Bosque menor a 1000 ha",Table_1[[#This Row],[Forest cover 2011]])</f>
        <v>22582.71</v>
      </c>
      <c r="D289" s="4">
        <v>22582.71</v>
      </c>
      <c r="E289" s="4">
        <v>104.22</v>
      </c>
      <c r="F289" s="4">
        <v>96.66</v>
      </c>
      <c r="G289" s="4">
        <v>194.13</v>
      </c>
      <c r="H289" s="4">
        <f t="shared" si="13"/>
        <v>131.66999999999999</v>
      </c>
      <c r="I289" s="4">
        <v>151.47</v>
      </c>
      <c r="J289" s="4">
        <v>171.72</v>
      </c>
      <c r="K289" s="4">
        <v>71.28</v>
      </c>
      <c r="L289" s="4">
        <f t="shared" si="14"/>
        <v>131.49</v>
      </c>
      <c r="M289" s="10">
        <f t="shared" si="15"/>
        <v>0.58305668363097252</v>
      </c>
      <c r="N289" s="10">
        <f t="shared" si="16"/>
        <v>0.58225961366018519</v>
      </c>
    </row>
    <row r="290" spans="1:14" ht="15.75" customHeight="1">
      <c r="A290" s="4">
        <v>71001</v>
      </c>
      <c r="B290" s="4" t="s">
        <v>107</v>
      </c>
      <c r="C290" s="27">
        <f>IF(Table_1[[#This Row],[Forest cover 2011]]&lt;1000,"Bosque menor a 1000 ha",Table_1[[#This Row],[Forest cover 2011]])</f>
        <v>3696.57</v>
      </c>
      <c r="D290" s="4">
        <v>3696.57</v>
      </c>
      <c r="E290" s="4">
        <v>292.23</v>
      </c>
      <c r="F290" s="4">
        <v>189.27</v>
      </c>
      <c r="G290" s="4">
        <v>137.79</v>
      </c>
      <c r="H290" s="4">
        <f t="shared" si="13"/>
        <v>206.42999999999998</v>
      </c>
      <c r="I290" s="4">
        <v>6.48</v>
      </c>
      <c r="J290" s="4">
        <v>158.04</v>
      </c>
      <c r="K290" s="4">
        <v>151.19999999999999</v>
      </c>
      <c r="L290" s="4">
        <f t="shared" si="14"/>
        <v>105.24</v>
      </c>
      <c r="M290" s="10">
        <f t="shared" si="15"/>
        <v>5.5843660474439814</v>
      </c>
      <c r="N290" s="10">
        <f t="shared" si="16"/>
        <v>2.84696353646759</v>
      </c>
    </row>
    <row r="291" spans="1:14" ht="15.75" customHeight="1">
      <c r="A291" s="4">
        <v>71002</v>
      </c>
      <c r="B291" s="4" t="s">
        <v>91</v>
      </c>
      <c r="C291" s="28">
        <f>IF(Table_1[[#This Row],[Forest cover 2011]]&lt;1000,"Bosque menor a 1000 ha",Table_1[[#This Row],[Forest cover 2011]])</f>
        <v>3788.19</v>
      </c>
      <c r="D291" s="4">
        <v>3788.19</v>
      </c>
      <c r="E291" s="4">
        <v>503.28</v>
      </c>
      <c r="F291" s="4">
        <v>181.62</v>
      </c>
      <c r="G291" s="4">
        <v>122.94</v>
      </c>
      <c r="H291" s="4">
        <f t="shared" si="13"/>
        <v>269.27999999999997</v>
      </c>
      <c r="I291" s="4">
        <v>29.7</v>
      </c>
      <c r="J291" s="4">
        <v>205.29</v>
      </c>
      <c r="K291" s="4">
        <v>293.22000000000003</v>
      </c>
      <c r="L291" s="4">
        <f t="shared" si="14"/>
        <v>176.07000000000002</v>
      </c>
      <c r="M291" s="10">
        <f t="shared" si="15"/>
        <v>7.1084079732009213</v>
      </c>
      <c r="N291" s="10">
        <f t="shared" si="16"/>
        <v>4.6478661313186516</v>
      </c>
    </row>
    <row r="292" spans="1:14" ht="15.75" customHeight="1">
      <c r="A292" s="4">
        <v>71003</v>
      </c>
      <c r="B292" s="4" t="s">
        <v>84</v>
      </c>
      <c r="C292" s="27">
        <f>IF(Table_1[[#This Row],[Forest cover 2011]]&lt;1000,"Bosque menor a 1000 ha",Table_1[[#This Row],[Forest cover 2011]])</f>
        <v>3309.57</v>
      </c>
      <c r="D292" s="4">
        <v>3309.57</v>
      </c>
      <c r="E292" s="4">
        <v>443.07</v>
      </c>
      <c r="F292" s="4">
        <v>328.77</v>
      </c>
      <c r="G292" s="4">
        <v>141.12</v>
      </c>
      <c r="H292" s="4">
        <f t="shared" si="13"/>
        <v>304.32</v>
      </c>
      <c r="I292" s="4">
        <v>45.72</v>
      </c>
      <c r="J292" s="4">
        <v>300.60000000000002</v>
      </c>
      <c r="K292" s="4">
        <v>294.83999999999997</v>
      </c>
      <c r="L292" s="4">
        <f t="shared" si="14"/>
        <v>213.72000000000003</v>
      </c>
      <c r="M292" s="10">
        <f t="shared" si="15"/>
        <v>9.1951522403212493</v>
      </c>
      <c r="N292" s="10">
        <f t="shared" si="16"/>
        <v>6.4576364905410673</v>
      </c>
    </row>
    <row r="293" spans="1:14" ht="15.75" customHeight="1">
      <c r="A293" s="4">
        <v>71004</v>
      </c>
      <c r="B293" s="4" t="s">
        <v>113</v>
      </c>
      <c r="C293" s="28">
        <f>IF(Table_1[[#This Row],[Forest cover 2011]]&lt;1000,"Bosque menor a 1000 ha",Table_1[[#This Row],[Forest cover 2011]])</f>
        <v>4884.21</v>
      </c>
      <c r="D293" s="4">
        <v>4884.21</v>
      </c>
      <c r="E293" s="4">
        <v>525.6</v>
      </c>
      <c r="F293" s="4">
        <v>356.67</v>
      </c>
      <c r="G293" s="4">
        <v>193.23</v>
      </c>
      <c r="H293" s="4">
        <f t="shared" si="13"/>
        <v>358.5</v>
      </c>
      <c r="I293" s="4">
        <v>133.47</v>
      </c>
      <c r="J293" s="4">
        <v>457.11</v>
      </c>
      <c r="K293" s="4">
        <v>167.49</v>
      </c>
      <c r="L293" s="4">
        <f t="shared" si="14"/>
        <v>252.69000000000003</v>
      </c>
      <c r="M293" s="10">
        <f t="shared" si="15"/>
        <v>7.3399792392219014</v>
      </c>
      <c r="N293" s="10">
        <f t="shared" si="16"/>
        <v>5.1736104712942321</v>
      </c>
    </row>
    <row r="294" spans="1:14" ht="15.75" customHeight="1">
      <c r="A294" s="4">
        <v>71005</v>
      </c>
      <c r="B294" s="4" t="s">
        <v>102</v>
      </c>
      <c r="C294" s="27">
        <f>IF(Table_1[[#This Row],[Forest cover 2011]]&lt;1000,"Bosque menor a 1000 ha",Table_1[[#This Row],[Forest cover 2011]])</f>
        <v>48195.360000000001</v>
      </c>
      <c r="D294" s="4">
        <v>48195.360000000001</v>
      </c>
      <c r="E294" s="4">
        <v>3596.58</v>
      </c>
      <c r="F294" s="4">
        <v>2199.5100000000002</v>
      </c>
      <c r="G294" s="4">
        <v>1057.23</v>
      </c>
      <c r="H294" s="4">
        <f t="shared" si="13"/>
        <v>2284.44</v>
      </c>
      <c r="I294" s="4">
        <v>672.3</v>
      </c>
      <c r="J294" s="4">
        <v>1230.21</v>
      </c>
      <c r="K294" s="4">
        <v>2080.5300000000002</v>
      </c>
      <c r="L294" s="4">
        <f t="shared" si="14"/>
        <v>1327.68</v>
      </c>
      <c r="M294" s="10">
        <f t="shared" si="15"/>
        <v>4.739958369436394</v>
      </c>
      <c r="N294" s="10">
        <f t="shared" si="16"/>
        <v>2.7547880127879529</v>
      </c>
    </row>
    <row r="295" spans="1:14" ht="15.75" customHeight="1">
      <c r="A295" s="4">
        <v>71101</v>
      </c>
      <c r="B295" s="4" t="s">
        <v>180</v>
      </c>
      <c r="C295" s="28">
        <f>IF(Table_1[[#This Row],[Forest cover 2011]]&lt;1000,"Bosque menor a 1000 ha",Table_1[[#This Row],[Forest cover 2011]])</f>
        <v>2713543.38</v>
      </c>
      <c r="D295" s="4">
        <v>2713543.38</v>
      </c>
      <c r="E295" s="4">
        <v>8116.11</v>
      </c>
      <c r="F295" s="4">
        <v>8115.3899999999994</v>
      </c>
      <c r="G295" s="4">
        <v>8620.2000000000007</v>
      </c>
      <c r="H295" s="4">
        <f t="shared" si="13"/>
        <v>8283.9</v>
      </c>
      <c r="I295" s="4">
        <v>21125.34</v>
      </c>
      <c r="J295" s="4">
        <v>31114.89</v>
      </c>
      <c r="K295" s="4">
        <v>24791.67</v>
      </c>
      <c r="L295" s="4">
        <f t="shared" si="14"/>
        <v>25677.3</v>
      </c>
      <c r="M295" s="10">
        <f t="shared" si="15"/>
        <v>0.30527980724597814</v>
      </c>
      <c r="N295" s="10">
        <f t="shared" si="16"/>
        <v>0.94626458486910203</v>
      </c>
    </row>
    <row r="296" spans="1:14" ht="15.75" customHeight="1">
      <c r="A296" s="4">
        <v>71102</v>
      </c>
      <c r="B296" s="4" t="s">
        <v>106</v>
      </c>
      <c r="C296" s="27">
        <f>IF(Table_1[[#This Row],[Forest cover 2011]]&lt;1000,"Bosque menor a 1000 ha",Table_1[[#This Row],[Forest cover 2011]])</f>
        <v>144437.94</v>
      </c>
      <c r="D296" s="4">
        <v>144437.94</v>
      </c>
      <c r="E296" s="4">
        <v>2414.61</v>
      </c>
      <c r="F296" s="4">
        <v>2028.15</v>
      </c>
      <c r="G296" s="4">
        <v>2257.83</v>
      </c>
      <c r="H296" s="4">
        <f t="shared" si="13"/>
        <v>2233.5300000000002</v>
      </c>
      <c r="I296" s="4">
        <v>2735.1</v>
      </c>
      <c r="J296" s="4">
        <v>5414.4</v>
      </c>
      <c r="K296" s="4">
        <v>2750.04</v>
      </c>
      <c r="L296" s="4">
        <f t="shared" si="14"/>
        <v>3633.1800000000003</v>
      </c>
      <c r="M296" s="10">
        <f t="shared" si="15"/>
        <v>1.5463596337638159</v>
      </c>
      <c r="N296" s="10">
        <f t="shared" si="16"/>
        <v>2.5153917315630507</v>
      </c>
    </row>
    <row r="297" spans="1:14" ht="15.75" customHeight="1">
      <c r="A297" s="4">
        <v>71103</v>
      </c>
      <c r="B297" s="4" t="s">
        <v>88</v>
      </c>
      <c r="C297" s="28">
        <f>IF(Table_1[[#This Row],[Forest cover 2011]]&lt;1000,"Bosque menor a 1000 ha",Table_1[[#This Row],[Forest cover 2011]])</f>
        <v>33668.82</v>
      </c>
      <c r="D297" s="4">
        <v>33668.82</v>
      </c>
      <c r="E297" s="4">
        <v>444.42</v>
      </c>
      <c r="F297" s="4">
        <v>538.02</v>
      </c>
      <c r="G297" s="4">
        <v>722.52</v>
      </c>
      <c r="H297" s="4">
        <f t="shared" si="13"/>
        <v>568.32000000000005</v>
      </c>
      <c r="I297" s="4">
        <v>715.59</v>
      </c>
      <c r="J297" s="4">
        <v>1435.05</v>
      </c>
      <c r="K297" s="4">
        <v>687.24</v>
      </c>
      <c r="L297" s="4">
        <f t="shared" si="14"/>
        <v>945.96</v>
      </c>
      <c r="M297" s="10">
        <f t="shared" si="15"/>
        <v>1.6879712446114834</v>
      </c>
      <c r="N297" s="10">
        <f t="shared" si="16"/>
        <v>2.8096024749308115</v>
      </c>
    </row>
    <row r="298" spans="1:14" ht="15.75" customHeight="1">
      <c r="A298" s="4">
        <v>71104</v>
      </c>
      <c r="B298" s="4" t="s">
        <v>117</v>
      </c>
      <c r="C298" s="27">
        <f>IF(Table_1[[#This Row],[Forest cover 2011]]&lt;1000,"Bosque menor a 1000 ha",Table_1[[#This Row],[Forest cover 2011]])</f>
        <v>119226.78</v>
      </c>
      <c r="D298" s="4">
        <v>119226.78</v>
      </c>
      <c r="E298" s="4">
        <v>21680.82</v>
      </c>
      <c r="F298" s="4">
        <v>9136.5300000000007</v>
      </c>
      <c r="G298" s="4">
        <v>8329.9500000000007</v>
      </c>
      <c r="H298" s="4">
        <f t="shared" si="13"/>
        <v>13049.1</v>
      </c>
      <c r="I298" s="4">
        <v>3190.23</v>
      </c>
      <c r="J298" s="4">
        <v>6556.68</v>
      </c>
      <c r="K298" s="4">
        <v>3736.44</v>
      </c>
      <c r="L298" s="4">
        <f t="shared" si="14"/>
        <v>4494.45</v>
      </c>
      <c r="M298" s="10">
        <f t="shared" si="15"/>
        <v>10.944772642522091</v>
      </c>
      <c r="N298" s="10">
        <f t="shared" si="16"/>
        <v>3.7696648353666853</v>
      </c>
    </row>
    <row r="299" spans="1:14" ht="15.75" customHeight="1">
      <c r="A299" s="4">
        <v>71105</v>
      </c>
      <c r="B299" s="4" t="s">
        <v>190</v>
      </c>
      <c r="C299" s="28">
        <f>IF(Table_1[[#This Row],[Forest cover 2011]]&lt;1000,"Bosque menor a 1000 ha",Table_1[[#This Row],[Forest cover 2011]])</f>
        <v>168209.19</v>
      </c>
      <c r="D299" s="4">
        <v>168209.19</v>
      </c>
      <c r="E299" s="4">
        <v>758.25</v>
      </c>
      <c r="F299" s="4">
        <v>1137.69</v>
      </c>
      <c r="G299" s="4">
        <v>2150.1</v>
      </c>
      <c r="H299" s="4">
        <f t="shared" si="13"/>
        <v>1348.68</v>
      </c>
      <c r="I299" s="4">
        <v>721.62</v>
      </c>
      <c r="J299" s="4">
        <v>2098.98</v>
      </c>
      <c r="K299" s="4">
        <v>1157.31</v>
      </c>
      <c r="L299" s="4">
        <f t="shared" si="14"/>
        <v>1325.97</v>
      </c>
      <c r="M299" s="10">
        <f t="shared" si="15"/>
        <v>0.80178734586380218</v>
      </c>
      <c r="N299" s="10">
        <f t="shared" si="16"/>
        <v>0.78828629993402854</v>
      </c>
    </row>
    <row r="300" spans="1:14" ht="15.75" customHeight="1">
      <c r="A300" s="4">
        <v>71106</v>
      </c>
      <c r="B300" s="4" t="s">
        <v>135</v>
      </c>
      <c r="C300" s="27">
        <f>IF(Table_1[[#This Row],[Forest cover 2011]]&lt;1000,"Bosque menor a 1000 ha",Table_1[[#This Row],[Forest cover 2011]])</f>
        <v>123518.34</v>
      </c>
      <c r="D300" s="4">
        <v>123518.34</v>
      </c>
      <c r="E300" s="4">
        <v>6287.49</v>
      </c>
      <c r="F300" s="4">
        <v>5668.29</v>
      </c>
      <c r="G300" s="4">
        <v>7055.55</v>
      </c>
      <c r="H300" s="4">
        <f t="shared" si="13"/>
        <v>6337.11</v>
      </c>
      <c r="I300" s="4">
        <v>3865.14</v>
      </c>
      <c r="J300" s="4">
        <v>4085.46</v>
      </c>
      <c r="K300" s="4">
        <v>2783.34</v>
      </c>
      <c r="L300" s="4">
        <f t="shared" si="14"/>
        <v>3577.98</v>
      </c>
      <c r="M300" s="10">
        <f t="shared" si="15"/>
        <v>5.1305012680707982</v>
      </c>
      <c r="N300" s="10">
        <f t="shared" si="16"/>
        <v>2.8967196288421624</v>
      </c>
    </row>
    <row r="301" spans="1:14" ht="15.75" customHeight="1">
      <c r="A301" s="4">
        <v>71201</v>
      </c>
      <c r="B301" s="4" t="s">
        <v>226</v>
      </c>
      <c r="C301" s="28">
        <f>IF(Table_1[[#This Row],[Forest cover 2011]]&lt;1000,"Bosque menor a 1000 ha",Table_1[[#This Row],[Forest cover 2011]])</f>
        <v>1780795.71</v>
      </c>
      <c r="D301" s="4">
        <v>1780795.71</v>
      </c>
      <c r="E301" s="4">
        <v>1861.11</v>
      </c>
      <c r="F301" s="4">
        <v>1580.85</v>
      </c>
      <c r="G301" s="4">
        <v>3711.69</v>
      </c>
      <c r="H301" s="4">
        <f t="shared" si="13"/>
        <v>2384.5499999999997</v>
      </c>
      <c r="I301" s="4">
        <v>4317.57</v>
      </c>
      <c r="J301" s="4">
        <v>6201.27</v>
      </c>
      <c r="K301" s="4">
        <v>6397.74</v>
      </c>
      <c r="L301" s="4">
        <f t="shared" si="14"/>
        <v>5638.8600000000006</v>
      </c>
      <c r="M301" s="10">
        <f t="shared" si="15"/>
        <v>0.13390362446459397</v>
      </c>
      <c r="N301" s="10">
        <f t="shared" si="16"/>
        <v>0.3166483369392214</v>
      </c>
    </row>
    <row r="302" spans="1:14" ht="15.75" customHeight="1">
      <c r="A302" s="4">
        <v>71301</v>
      </c>
      <c r="B302" s="4" t="s">
        <v>241</v>
      </c>
      <c r="C302" s="27">
        <f>IF(Table_1[[#This Row],[Forest cover 2011]]&lt;1000,"Bosque menor a 1000 ha",Table_1[[#This Row],[Forest cover 2011]])</f>
        <v>254941.2</v>
      </c>
      <c r="D302" s="4">
        <v>254941.2</v>
      </c>
      <c r="E302" s="4">
        <v>712.8</v>
      </c>
      <c r="F302" s="4">
        <v>754.82999999999993</v>
      </c>
      <c r="G302" s="4">
        <v>1662.84</v>
      </c>
      <c r="H302" s="4">
        <f t="shared" si="13"/>
        <v>1043.49</v>
      </c>
      <c r="I302" s="4">
        <v>848.61</v>
      </c>
      <c r="J302" s="4">
        <v>1421.64</v>
      </c>
      <c r="K302" s="4">
        <v>646.29</v>
      </c>
      <c r="L302" s="4">
        <f t="shared" si="14"/>
        <v>972.18</v>
      </c>
      <c r="M302" s="10">
        <f t="shared" si="15"/>
        <v>0.4093061458877576</v>
      </c>
      <c r="N302" s="10">
        <f t="shared" si="16"/>
        <v>0.38133499018597222</v>
      </c>
    </row>
    <row r="303" spans="1:14" ht="15.75" customHeight="1">
      <c r="A303" s="4">
        <v>71302</v>
      </c>
      <c r="B303" s="4" t="s">
        <v>189</v>
      </c>
      <c r="C303" s="28">
        <f>IF(Table_1[[#This Row],[Forest cover 2011]]&lt;1000,"Bosque menor a 1000 ha",Table_1[[#This Row],[Forest cover 2011]])</f>
        <v>21281.67</v>
      </c>
      <c r="D303" s="4">
        <v>21281.67</v>
      </c>
      <c r="E303" s="4">
        <v>39.96</v>
      </c>
      <c r="F303" s="4">
        <v>32.58</v>
      </c>
      <c r="G303" s="4">
        <v>170.01</v>
      </c>
      <c r="H303" s="4">
        <f t="shared" si="13"/>
        <v>80.849999999999994</v>
      </c>
      <c r="I303" s="4">
        <v>73.709999999999994</v>
      </c>
      <c r="J303" s="4">
        <v>254.43</v>
      </c>
      <c r="K303" s="4">
        <v>146.88</v>
      </c>
      <c r="L303" s="4">
        <f t="shared" si="14"/>
        <v>158.34</v>
      </c>
      <c r="M303" s="10">
        <f t="shared" si="15"/>
        <v>0.37990439660045477</v>
      </c>
      <c r="N303" s="10">
        <f t="shared" si="16"/>
        <v>0.74402055853699467</v>
      </c>
    </row>
    <row r="304" spans="1:14" ht="15.75" customHeight="1">
      <c r="A304" s="4">
        <v>71401</v>
      </c>
      <c r="B304" s="4" t="s">
        <v>204</v>
      </c>
      <c r="C304" s="27">
        <f>IF(Table_1[[#This Row],[Forest cover 2011]]&lt;1000,"Bosque menor a 1000 ha",Table_1[[#This Row],[Forest cover 2011]])</f>
        <v>959463.72</v>
      </c>
      <c r="D304" s="4">
        <v>959463.72</v>
      </c>
      <c r="E304" s="4">
        <v>2914.74</v>
      </c>
      <c r="F304" s="4">
        <v>3950.46</v>
      </c>
      <c r="G304" s="4">
        <v>3979.71</v>
      </c>
      <c r="H304" s="4">
        <f t="shared" si="13"/>
        <v>3614.97</v>
      </c>
      <c r="I304" s="4">
        <v>2815.83</v>
      </c>
      <c r="J304" s="4">
        <v>2310.84</v>
      </c>
      <c r="K304" s="4">
        <v>5229</v>
      </c>
      <c r="L304" s="4">
        <f t="shared" si="14"/>
        <v>3451.89</v>
      </c>
      <c r="M304" s="10">
        <f t="shared" si="15"/>
        <v>0.37676984805637048</v>
      </c>
      <c r="N304" s="10">
        <f t="shared" si="16"/>
        <v>0.35977285311006862</v>
      </c>
    </row>
    <row r="305" spans="1:14" ht="15.75" customHeight="1">
      <c r="A305" s="4">
        <v>71402</v>
      </c>
      <c r="B305" s="4" t="s">
        <v>239</v>
      </c>
      <c r="C305" s="28">
        <f>IF(Table_1[[#This Row],[Forest cover 2011]]&lt;1000,"Bosque menor a 1000 ha",Table_1[[#This Row],[Forest cover 2011]])</f>
        <v>102474.54</v>
      </c>
      <c r="D305" s="4">
        <v>102474.54</v>
      </c>
      <c r="E305" s="4">
        <v>366.12</v>
      </c>
      <c r="F305" s="4">
        <v>228.87</v>
      </c>
      <c r="G305" s="4">
        <v>225.9</v>
      </c>
      <c r="H305" s="4">
        <f t="shared" si="13"/>
        <v>273.63</v>
      </c>
      <c r="I305" s="4">
        <v>80.010000000000005</v>
      </c>
      <c r="J305" s="4">
        <v>174.69</v>
      </c>
      <c r="K305" s="4">
        <v>269.01</v>
      </c>
      <c r="L305" s="4">
        <f t="shared" si="14"/>
        <v>174.57000000000002</v>
      </c>
      <c r="M305" s="10">
        <f t="shared" si="15"/>
        <v>0.26702242332583292</v>
      </c>
      <c r="N305" s="10">
        <f t="shared" si="16"/>
        <v>0.17035450952012082</v>
      </c>
    </row>
    <row r="306" spans="1:14" ht="15.75" customHeight="1">
      <c r="A306" s="4">
        <v>71403</v>
      </c>
      <c r="B306" s="4" t="s">
        <v>155</v>
      </c>
      <c r="C306" s="27">
        <f>IF(Table_1[[#This Row],[Forest cover 2011]]&lt;1000,"Bosque menor a 1000 ha",Table_1[[#This Row],[Forest cover 2011]])</f>
        <v>858557.52</v>
      </c>
      <c r="D306" s="4">
        <v>858557.52</v>
      </c>
      <c r="E306" s="4">
        <v>4557.6000000000004</v>
      </c>
      <c r="F306" s="4">
        <v>2531.34</v>
      </c>
      <c r="G306" s="4">
        <v>2362.0500000000002</v>
      </c>
      <c r="H306" s="4">
        <f t="shared" si="13"/>
        <v>3150.3300000000004</v>
      </c>
      <c r="I306" s="4">
        <v>11805.12</v>
      </c>
      <c r="J306" s="4">
        <v>3964.14</v>
      </c>
      <c r="K306" s="4">
        <v>13583.25</v>
      </c>
      <c r="L306" s="4">
        <f t="shared" si="14"/>
        <v>9784.17</v>
      </c>
      <c r="M306" s="10">
        <f t="shared" si="15"/>
        <v>0.36693289926573591</v>
      </c>
      <c r="N306" s="10">
        <f t="shared" si="16"/>
        <v>1.1396056492522482</v>
      </c>
    </row>
    <row r="307" spans="1:14" ht="15.75" customHeight="1">
      <c r="A307" s="4">
        <v>71501</v>
      </c>
      <c r="B307" s="4" t="s">
        <v>105</v>
      </c>
      <c r="C307" s="28">
        <f>IF(Table_1[[#This Row],[Forest cover 2011]]&lt;1000,"Bosque menor a 1000 ha",Table_1[[#This Row],[Forest cover 2011]])</f>
        <v>707265.36</v>
      </c>
      <c r="D307" s="4">
        <v>707265.36</v>
      </c>
      <c r="E307" s="4">
        <v>9355.77</v>
      </c>
      <c r="F307" s="4">
        <v>7587.45</v>
      </c>
      <c r="G307" s="4">
        <v>14311.8</v>
      </c>
      <c r="H307" s="4">
        <f t="shared" si="13"/>
        <v>10418.34</v>
      </c>
      <c r="I307" s="4">
        <v>11047.41</v>
      </c>
      <c r="J307" s="4">
        <v>17998.38</v>
      </c>
      <c r="K307" s="4">
        <v>29664.45</v>
      </c>
      <c r="L307" s="4">
        <f t="shared" si="14"/>
        <v>19570.080000000002</v>
      </c>
      <c r="M307" s="10">
        <f t="shared" si="15"/>
        <v>1.4730454210283959</v>
      </c>
      <c r="N307" s="10">
        <f t="shared" si="16"/>
        <v>2.7670067144246966</v>
      </c>
    </row>
    <row r="308" spans="1:14" ht="15.75" customHeight="1">
      <c r="A308" s="4">
        <v>71502</v>
      </c>
      <c r="B308" s="4" t="s">
        <v>186</v>
      </c>
      <c r="C308" s="27">
        <f>IF(Table_1[[#This Row],[Forest cover 2011]]&lt;1000,"Bosque menor a 1000 ha",Table_1[[#This Row],[Forest cover 2011]])</f>
        <v>1533241.71</v>
      </c>
      <c r="D308" s="4">
        <v>1533241.71</v>
      </c>
      <c r="E308" s="4">
        <v>5737.68</v>
      </c>
      <c r="F308" s="4">
        <v>4284.8100000000004</v>
      </c>
      <c r="G308" s="4">
        <v>3578.22</v>
      </c>
      <c r="H308" s="4">
        <f t="shared" si="13"/>
        <v>4533.5700000000006</v>
      </c>
      <c r="I308" s="4">
        <v>1343.43</v>
      </c>
      <c r="J308" s="4">
        <v>4910.76</v>
      </c>
      <c r="K308" s="4">
        <v>10967.31</v>
      </c>
      <c r="L308" s="4">
        <f t="shared" si="14"/>
        <v>5740.5</v>
      </c>
      <c r="M308" s="10">
        <f t="shared" si="15"/>
        <v>0.29568527717655169</v>
      </c>
      <c r="N308" s="10">
        <f t="shared" si="16"/>
        <v>0.37440280697816397</v>
      </c>
    </row>
    <row r="309" spans="1:14" ht="15.75" customHeight="1">
      <c r="A309" s="4">
        <v>71503</v>
      </c>
      <c r="B309" s="4" t="s">
        <v>80</v>
      </c>
      <c r="C309" s="28">
        <f>IF(Table_1[[#This Row],[Forest cover 2011]]&lt;1000,"Bosque menor a 1000 ha",Table_1[[#This Row],[Forest cover 2011]])</f>
        <v>510386.49</v>
      </c>
      <c r="D309" s="4">
        <v>510386.49</v>
      </c>
      <c r="E309" s="4">
        <v>23825.52</v>
      </c>
      <c r="F309" s="4">
        <v>13485.96</v>
      </c>
      <c r="G309" s="4">
        <v>14507.01</v>
      </c>
      <c r="H309" s="4">
        <f t="shared" si="13"/>
        <v>17272.829999999998</v>
      </c>
      <c r="I309" s="4">
        <v>11948.13</v>
      </c>
      <c r="J309" s="4">
        <v>16453.53</v>
      </c>
      <c r="K309" s="4">
        <v>20580.3</v>
      </c>
      <c r="L309" s="4">
        <f t="shared" si="14"/>
        <v>16327.319999999998</v>
      </c>
      <c r="M309" s="10">
        <f t="shared" si="15"/>
        <v>3.3842647363177658</v>
      </c>
      <c r="N309" s="10">
        <f t="shared" si="16"/>
        <v>3.1990110083047063</v>
      </c>
    </row>
    <row r="310" spans="1:14" ht="15.75" customHeight="1">
      <c r="A310" s="4">
        <v>80101</v>
      </c>
      <c r="B310" s="4" t="s">
        <v>103</v>
      </c>
      <c r="C310" s="27">
        <f>IF(Table_1[[#This Row],[Forest cover 2011]]&lt;1000,"Bosque menor a 1000 ha",Table_1[[#This Row],[Forest cover 2011]])</f>
        <v>60176.43</v>
      </c>
      <c r="D310" s="4">
        <v>60176.43</v>
      </c>
      <c r="E310" s="4">
        <v>923.49</v>
      </c>
      <c r="F310" s="4">
        <v>576</v>
      </c>
      <c r="G310" s="4">
        <v>782.73</v>
      </c>
      <c r="H310" s="4">
        <f t="shared" si="13"/>
        <v>760.74000000000012</v>
      </c>
      <c r="I310" s="4">
        <v>609.03</v>
      </c>
      <c r="J310" s="4">
        <v>780.03</v>
      </c>
      <c r="K310" s="4">
        <v>2544.75</v>
      </c>
      <c r="L310" s="4">
        <f t="shared" si="14"/>
        <v>1311.27</v>
      </c>
      <c r="M310" s="10">
        <f t="shared" si="15"/>
        <v>1.2641826708563473</v>
      </c>
      <c r="N310" s="10">
        <f t="shared" si="16"/>
        <v>2.1790425254539025</v>
      </c>
    </row>
    <row r="311" spans="1:14" ht="15.75" customHeight="1">
      <c r="A311" s="4">
        <v>80102</v>
      </c>
      <c r="B311" s="4" t="s">
        <v>106</v>
      </c>
      <c r="C311" s="28">
        <f>IF(Table_1[[#This Row],[Forest cover 2011]]&lt;1000,"Bosque menor a 1000 ha",Table_1[[#This Row],[Forest cover 2011]])</f>
        <v>334434.24</v>
      </c>
      <c r="D311" s="4">
        <v>334434.24</v>
      </c>
      <c r="E311" s="4">
        <v>7365.6900000000014</v>
      </c>
      <c r="F311" s="4">
        <v>2780.91</v>
      </c>
      <c r="G311" s="4">
        <v>3033.45</v>
      </c>
      <c r="H311" s="4">
        <f t="shared" si="13"/>
        <v>4393.3500000000013</v>
      </c>
      <c r="I311" s="4">
        <v>2290.0500000000002</v>
      </c>
      <c r="J311" s="4">
        <v>5715.18</v>
      </c>
      <c r="K311" s="4">
        <v>14024.7</v>
      </c>
      <c r="L311" s="4">
        <f t="shared" si="14"/>
        <v>7343.31</v>
      </c>
      <c r="M311" s="10">
        <f t="shared" si="15"/>
        <v>1.3136663279453686</v>
      </c>
      <c r="N311" s="10">
        <f t="shared" si="16"/>
        <v>2.1957410820136123</v>
      </c>
    </row>
    <row r="312" spans="1:14" ht="15.75" customHeight="1">
      <c r="A312" s="4">
        <v>80201</v>
      </c>
      <c r="B312" s="4" t="s">
        <v>246</v>
      </c>
      <c r="C312" s="27">
        <f>IF(Table_1[[#This Row],[Forest cover 2011]]&lt;1000,"Bosque menor a 1000 ha",Table_1[[#This Row],[Forest cover 2011]])</f>
        <v>1063728</v>
      </c>
      <c r="D312" s="4">
        <v>1063728</v>
      </c>
      <c r="E312" s="4">
        <v>6211.98</v>
      </c>
      <c r="F312" s="4">
        <v>3331.26</v>
      </c>
      <c r="G312" s="4">
        <v>5851.89</v>
      </c>
      <c r="H312" s="4">
        <f t="shared" si="13"/>
        <v>5131.71</v>
      </c>
      <c r="I312" s="4">
        <v>1397.43</v>
      </c>
      <c r="J312" s="4">
        <v>2820.15</v>
      </c>
      <c r="K312" s="4">
        <v>2405.25</v>
      </c>
      <c r="L312" s="4">
        <f t="shared" si="14"/>
        <v>2207.61</v>
      </c>
      <c r="M312" s="10">
        <f t="shared" si="15"/>
        <v>0.48242689860565857</v>
      </c>
      <c r="N312" s="10">
        <f t="shared" si="16"/>
        <v>0.20753519696764589</v>
      </c>
    </row>
    <row r="313" spans="1:14" ht="15.75" customHeight="1">
      <c r="A313" s="4">
        <v>80202</v>
      </c>
      <c r="B313" s="4" t="s">
        <v>221</v>
      </c>
      <c r="C313" s="28">
        <f>IF(Table_1[[#This Row],[Forest cover 2011]]&lt;1000,"Bosque menor a 1000 ha",Table_1[[#This Row],[Forest cover 2011]])</f>
        <v>491534.73</v>
      </c>
      <c r="D313" s="4">
        <v>491534.73</v>
      </c>
      <c r="E313" s="4">
        <v>7356.24</v>
      </c>
      <c r="F313" s="4">
        <v>3266.19</v>
      </c>
      <c r="G313" s="4">
        <v>9524.34</v>
      </c>
      <c r="H313" s="4">
        <f t="shared" si="13"/>
        <v>6715.59</v>
      </c>
      <c r="I313" s="4">
        <v>599.76</v>
      </c>
      <c r="J313" s="4">
        <v>1899.72</v>
      </c>
      <c r="K313" s="4">
        <v>1936.62</v>
      </c>
      <c r="L313" s="4">
        <f t="shared" si="14"/>
        <v>1478.7</v>
      </c>
      <c r="M313" s="10">
        <f t="shared" si="15"/>
        <v>1.3662493390853583</v>
      </c>
      <c r="N313" s="10">
        <f t="shared" si="16"/>
        <v>0.30083326970608976</v>
      </c>
    </row>
    <row r="314" spans="1:14" ht="15.75" customHeight="1">
      <c r="A314" s="4">
        <v>80301</v>
      </c>
      <c r="B314" s="4" t="s">
        <v>128</v>
      </c>
      <c r="C314" s="27">
        <f>IF(Table_1[[#This Row],[Forest cover 2011]]&lt;1000,"Bosque menor a 1000 ha",Table_1[[#This Row],[Forest cover 2011]])</f>
        <v>603961.47</v>
      </c>
      <c r="D314" s="4">
        <v>603961.47</v>
      </c>
      <c r="E314" s="4">
        <v>9737.01</v>
      </c>
      <c r="F314" s="4">
        <v>3540.78</v>
      </c>
      <c r="G314" s="4">
        <v>4527.3600000000006</v>
      </c>
      <c r="H314" s="4">
        <f t="shared" si="13"/>
        <v>5935.05</v>
      </c>
      <c r="I314" s="4">
        <v>2584.08</v>
      </c>
      <c r="J314" s="4">
        <v>1852.92</v>
      </c>
      <c r="K314" s="4">
        <v>14850.81</v>
      </c>
      <c r="L314" s="4">
        <f t="shared" si="14"/>
        <v>6429.2699999999995</v>
      </c>
      <c r="M314" s="10">
        <f t="shared" si="15"/>
        <v>0.98268685914682607</v>
      </c>
      <c r="N314" s="10">
        <f t="shared" si="16"/>
        <v>1.0645165824899394</v>
      </c>
    </row>
    <row r="315" spans="1:14" ht="15.75" customHeight="1">
      <c r="A315" s="4">
        <v>80302</v>
      </c>
      <c r="B315" s="4" t="s">
        <v>169</v>
      </c>
      <c r="C315" s="28">
        <f>IF(Table_1[[#This Row],[Forest cover 2011]]&lt;1000,"Bosque menor a 1000 ha",Table_1[[#This Row],[Forest cover 2011]])</f>
        <v>558977.13</v>
      </c>
      <c r="D315" s="4">
        <v>558977.13</v>
      </c>
      <c r="E315" s="4">
        <v>4325.58</v>
      </c>
      <c r="F315" s="4">
        <v>3793.14</v>
      </c>
      <c r="G315" s="4">
        <v>5846.49</v>
      </c>
      <c r="H315" s="4">
        <f t="shared" si="13"/>
        <v>4655.07</v>
      </c>
      <c r="I315" s="4">
        <v>1588.86</v>
      </c>
      <c r="J315" s="4">
        <v>3449.79</v>
      </c>
      <c r="K315" s="4">
        <v>6747.48</v>
      </c>
      <c r="L315" s="4">
        <f t="shared" si="14"/>
        <v>3928.7099999999996</v>
      </c>
      <c r="M315" s="10">
        <f t="shared" si="15"/>
        <v>0.8327836239024663</v>
      </c>
      <c r="N315" s="10">
        <f t="shared" si="16"/>
        <v>0.70283913046675084</v>
      </c>
    </row>
    <row r="316" spans="1:14" ht="15.75" customHeight="1">
      <c r="A316" s="4">
        <v>80303</v>
      </c>
      <c r="B316" s="4" t="s">
        <v>140</v>
      </c>
      <c r="C316" s="27">
        <f>IF(Table_1[[#This Row],[Forest cover 2011]]&lt;1000,"Bosque menor a 1000 ha",Table_1[[#This Row],[Forest cover 2011]])</f>
        <v>201943.35</v>
      </c>
      <c r="D316" s="4">
        <v>201943.35</v>
      </c>
      <c r="E316" s="4">
        <v>1146.06</v>
      </c>
      <c r="F316" s="4">
        <v>578.97</v>
      </c>
      <c r="G316" s="4">
        <v>1156.1400000000001</v>
      </c>
      <c r="H316" s="4">
        <f t="shared" si="13"/>
        <v>960.39</v>
      </c>
      <c r="I316" s="4">
        <v>1116.0899999999999</v>
      </c>
      <c r="J316" s="4">
        <v>615.42000000000007</v>
      </c>
      <c r="K316" s="4">
        <v>4005.45</v>
      </c>
      <c r="L316" s="4">
        <f t="shared" si="14"/>
        <v>1912.32</v>
      </c>
      <c r="M316" s="10">
        <f t="shared" si="15"/>
        <v>0.47557396665946167</v>
      </c>
      <c r="N316" s="10">
        <f t="shared" si="16"/>
        <v>0.94695863963829463</v>
      </c>
    </row>
    <row r="317" spans="1:14" ht="15.75" customHeight="1">
      <c r="A317" s="4">
        <v>80304</v>
      </c>
      <c r="B317" s="4" t="s">
        <v>172</v>
      </c>
      <c r="C317" s="28">
        <f>IF(Table_1[[#This Row],[Forest cover 2011]]&lt;1000,"Bosque menor a 1000 ha",Table_1[[#This Row],[Forest cover 2011]])</f>
        <v>206885.16</v>
      </c>
      <c r="D317" s="4">
        <v>206885.16</v>
      </c>
      <c r="E317" s="4">
        <v>1865.79</v>
      </c>
      <c r="F317" s="4">
        <v>2359.62</v>
      </c>
      <c r="G317" s="4">
        <v>6890.76</v>
      </c>
      <c r="H317" s="4">
        <f t="shared" si="13"/>
        <v>3705.39</v>
      </c>
      <c r="I317" s="4">
        <v>774.36</v>
      </c>
      <c r="J317" s="4">
        <v>2184.0300000000002</v>
      </c>
      <c r="K317" s="4">
        <v>2426.58</v>
      </c>
      <c r="L317" s="4">
        <f t="shared" si="14"/>
        <v>1794.99</v>
      </c>
      <c r="M317" s="10">
        <f t="shared" si="15"/>
        <v>1.7910371145035247</v>
      </c>
      <c r="N317" s="10">
        <f t="shared" si="16"/>
        <v>0.86762627150250904</v>
      </c>
    </row>
    <row r="318" spans="1:14" ht="15.75" customHeight="1">
      <c r="A318" s="4">
        <v>80401</v>
      </c>
      <c r="B318" s="4" t="s">
        <v>154</v>
      </c>
      <c r="C318" s="27">
        <f>IF(Table_1[[#This Row],[Forest cover 2011]]&lt;1000,"Bosque menor a 1000 ha",Table_1[[#This Row],[Forest cover 2011]])</f>
        <v>453998.25</v>
      </c>
      <c r="D318" s="4">
        <v>453998.25</v>
      </c>
      <c r="E318" s="4">
        <v>11979.45</v>
      </c>
      <c r="F318" s="4">
        <v>4686.57</v>
      </c>
      <c r="G318" s="4">
        <v>8220.06</v>
      </c>
      <c r="H318" s="4">
        <f t="shared" si="13"/>
        <v>8295.36</v>
      </c>
      <c r="I318" s="4">
        <v>2391.39</v>
      </c>
      <c r="J318" s="4">
        <v>1475.91</v>
      </c>
      <c r="K318" s="4">
        <v>7290.8099999999986</v>
      </c>
      <c r="L318" s="4">
        <f t="shared" si="14"/>
        <v>3719.3699999999994</v>
      </c>
      <c r="M318" s="10">
        <f t="shared" si="15"/>
        <v>1.8271788492576788</v>
      </c>
      <c r="N318" s="10">
        <f t="shared" si="16"/>
        <v>0.81924765128499943</v>
      </c>
    </row>
    <row r="319" spans="1:14" ht="15.75" customHeight="1">
      <c r="A319" s="4">
        <v>80402</v>
      </c>
      <c r="B319" s="4" t="s">
        <v>174</v>
      </c>
      <c r="C319" s="28">
        <f>IF(Table_1[[#This Row],[Forest cover 2011]]&lt;1000,"Bosque menor a 1000 ha",Table_1[[#This Row],[Forest cover 2011]])</f>
        <v>554632.11</v>
      </c>
      <c r="D319" s="4">
        <v>554632.11</v>
      </c>
      <c r="E319" s="4">
        <v>4398.57</v>
      </c>
      <c r="F319" s="4">
        <v>2054.4299999999998</v>
      </c>
      <c r="G319" s="4">
        <v>5584.41</v>
      </c>
      <c r="H319" s="4">
        <f t="shared" si="13"/>
        <v>4012.47</v>
      </c>
      <c r="I319" s="4">
        <v>1602.63</v>
      </c>
      <c r="J319" s="4">
        <v>1440.63</v>
      </c>
      <c r="K319" s="4">
        <v>6385.77</v>
      </c>
      <c r="L319" s="4">
        <f t="shared" si="14"/>
        <v>3143.01</v>
      </c>
      <c r="M319" s="10">
        <f t="shared" si="15"/>
        <v>0.72344711524184924</v>
      </c>
      <c r="N319" s="10">
        <f t="shared" si="16"/>
        <v>0.56668374285073397</v>
      </c>
    </row>
    <row r="320" spans="1:14" ht="15.75" customHeight="1">
      <c r="A320" s="4">
        <v>80501</v>
      </c>
      <c r="B320" s="4" t="s">
        <v>173</v>
      </c>
      <c r="C320" s="27">
        <f>IF(Table_1[[#This Row],[Forest cover 2011]]&lt;1000,"Bosque menor a 1000 ha",Table_1[[#This Row],[Forest cover 2011]])</f>
        <v>1079191.8</v>
      </c>
      <c r="D320" s="4">
        <v>1079191.8</v>
      </c>
      <c r="E320" s="4">
        <v>10452.42</v>
      </c>
      <c r="F320" s="4">
        <v>5697.27</v>
      </c>
      <c r="G320" s="4">
        <v>7201.35</v>
      </c>
      <c r="H320" s="4">
        <f t="shared" si="13"/>
        <v>7783.68</v>
      </c>
      <c r="I320" s="4">
        <v>3260.34</v>
      </c>
      <c r="J320" s="4">
        <v>4909.5</v>
      </c>
      <c r="K320" s="4">
        <v>12492.09</v>
      </c>
      <c r="L320" s="4">
        <f t="shared" si="14"/>
        <v>6887.31</v>
      </c>
      <c r="M320" s="10">
        <f t="shared" si="15"/>
        <v>0.72125084716173715</v>
      </c>
      <c r="N320" s="10">
        <f t="shared" si="16"/>
        <v>0.63819146883806943</v>
      </c>
    </row>
    <row r="321" spans="1:14" ht="15.75" customHeight="1">
      <c r="A321" s="4">
        <v>80601</v>
      </c>
      <c r="B321" s="4" t="s">
        <v>110</v>
      </c>
      <c r="C321" s="28">
        <f>IF(Table_1[[#This Row],[Forest cover 2011]]&lt;1000,"Bosque menor a 1000 ha",Table_1[[#This Row],[Forest cover 2011]])</f>
        <v>267892.65000000002</v>
      </c>
      <c r="D321" s="4">
        <v>267892.65000000002</v>
      </c>
      <c r="E321" s="4">
        <v>8147.16</v>
      </c>
      <c r="F321" s="4">
        <v>2517.39</v>
      </c>
      <c r="G321" s="4">
        <v>3193.2</v>
      </c>
      <c r="H321" s="4">
        <f t="shared" si="13"/>
        <v>4619.25</v>
      </c>
      <c r="I321" s="4">
        <v>540.36</v>
      </c>
      <c r="J321" s="4">
        <v>1326.96</v>
      </c>
      <c r="K321" s="4">
        <v>10383.84</v>
      </c>
      <c r="L321" s="4">
        <f t="shared" si="14"/>
        <v>4083.72</v>
      </c>
      <c r="M321" s="10">
        <f t="shared" si="15"/>
        <v>1.7242914279283137</v>
      </c>
      <c r="N321" s="10">
        <f t="shared" si="16"/>
        <v>1.5243867272954297</v>
      </c>
    </row>
    <row r="322" spans="1:14" ht="15.75" customHeight="1">
      <c r="A322" s="4">
        <v>80602</v>
      </c>
      <c r="B322" s="4" t="s">
        <v>100</v>
      </c>
      <c r="C322" s="27">
        <f>IF(Table_1[[#This Row],[Forest cover 2011]]&lt;1000,"Bosque menor a 1000 ha",Table_1[[#This Row],[Forest cover 2011]])</f>
        <v>485036.55</v>
      </c>
      <c r="D322" s="4">
        <v>485036.55</v>
      </c>
      <c r="E322" s="4">
        <v>8475.2099999999991</v>
      </c>
      <c r="F322" s="4">
        <v>4002.03</v>
      </c>
      <c r="G322" s="4">
        <v>7084.62</v>
      </c>
      <c r="H322" s="4">
        <f t="shared" si="13"/>
        <v>6520.62</v>
      </c>
      <c r="I322" s="4">
        <v>6141.33</v>
      </c>
      <c r="J322" s="4">
        <v>8202.06</v>
      </c>
      <c r="K322" s="4">
        <v>21828.15</v>
      </c>
      <c r="L322" s="4">
        <f t="shared" si="14"/>
        <v>12057.18</v>
      </c>
      <c r="M322" s="10">
        <f t="shared" si="15"/>
        <v>1.3443564201501927</v>
      </c>
      <c r="N322" s="10">
        <f t="shared" si="16"/>
        <v>2.4858291607096414</v>
      </c>
    </row>
    <row r="323" spans="1:14" ht="15.75" customHeight="1">
      <c r="A323" s="4">
        <v>80701</v>
      </c>
      <c r="B323" s="4" t="s">
        <v>121</v>
      </c>
      <c r="C323" s="28">
        <f>IF(Table_1[[#This Row],[Forest cover 2011]]&lt;1000,"Bosque menor a 1000 ha",Table_1[[#This Row],[Forest cover 2011]])</f>
        <v>265375.17</v>
      </c>
      <c r="D323" s="4">
        <v>265375.17</v>
      </c>
      <c r="E323" s="4">
        <v>4831.83</v>
      </c>
      <c r="F323" s="4">
        <v>2160.63</v>
      </c>
      <c r="G323" s="4">
        <v>4587.93</v>
      </c>
      <c r="H323" s="4">
        <f t="shared" si="13"/>
        <v>3860.1299999999997</v>
      </c>
      <c r="I323" s="4">
        <v>560.97</v>
      </c>
      <c r="J323" s="4">
        <v>992.97</v>
      </c>
      <c r="K323" s="4">
        <v>7752.42</v>
      </c>
      <c r="L323" s="4">
        <f t="shared" si="14"/>
        <v>3102.1200000000003</v>
      </c>
      <c r="M323" s="10">
        <f t="shared" ref="M323:M344" si="17">IF(D323&lt;1000,"",(H323/D323)*100)</f>
        <v>1.4545935100107519</v>
      </c>
      <c r="N323" s="10">
        <f t="shared" ref="N323:N344" si="18">IF(D323&lt;1000,"",(L323/D323)*100)</f>
        <v>1.1689563872912452</v>
      </c>
    </row>
    <row r="324" spans="1:14" ht="15.75" customHeight="1">
      <c r="A324" s="4">
        <v>80702</v>
      </c>
      <c r="B324" s="4" t="s">
        <v>88</v>
      </c>
      <c r="C324" s="27">
        <f>IF(Table_1[[#This Row],[Forest cover 2011]]&lt;1000,"Bosque menor a 1000 ha",Table_1[[#This Row],[Forest cover 2011]])</f>
        <v>80279.91</v>
      </c>
      <c r="D324" s="4">
        <v>80279.91</v>
      </c>
      <c r="E324" s="4">
        <v>2648.07</v>
      </c>
      <c r="F324" s="4">
        <v>1004.31</v>
      </c>
      <c r="G324" s="4">
        <v>1420.02</v>
      </c>
      <c r="H324" s="4">
        <f t="shared" si="13"/>
        <v>1690.8</v>
      </c>
      <c r="I324" s="4">
        <v>202.14</v>
      </c>
      <c r="J324" s="4">
        <v>836.73</v>
      </c>
      <c r="K324" s="4">
        <v>6733.62</v>
      </c>
      <c r="L324" s="4">
        <f t="shared" si="14"/>
        <v>2590.83</v>
      </c>
      <c r="M324" s="10">
        <f t="shared" si="17"/>
        <v>2.1061309112080466</v>
      </c>
      <c r="N324" s="10">
        <f t="shared" si="18"/>
        <v>3.2272457704548994</v>
      </c>
    </row>
    <row r="325" spans="1:14" ht="15.75" customHeight="1">
      <c r="A325" s="4">
        <v>80703</v>
      </c>
      <c r="B325" s="4" t="s">
        <v>148</v>
      </c>
      <c r="C325" s="28">
        <f>IF(Table_1[[#This Row],[Forest cover 2011]]&lt;1000,"Bosque menor a 1000 ha",Table_1[[#This Row],[Forest cover 2011]])</f>
        <v>85748.400000000009</v>
      </c>
      <c r="D325" s="4">
        <v>85748.400000000009</v>
      </c>
      <c r="E325" s="4">
        <v>1965.6</v>
      </c>
      <c r="F325" s="4">
        <v>1055.97</v>
      </c>
      <c r="G325" s="4">
        <v>3889.71</v>
      </c>
      <c r="H325" s="4">
        <f t="shared" si="13"/>
        <v>2303.7599999999998</v>
      </c>
      <c r="I325" s="4">
        <v>273.24</v>
      </c>
      <c r="J325" s="4">
        <v>410.67</v>
      </c>
      <c r="K325" s="4">
        <v>1529.28</v>
      </c>
      <c r="L325" s="4">
        <f t="shared" si="14"/>
        <v>737.73</v>
      </c>
      <c r="M325" s="10">
        <f t="shared" si="17"/>
        <v>2.6866507130162192</v>
      </c>
      <c r="N325" s="10">
        <f t="shared" si="18"/>
        <v>0.86034258365170657</v>
      </c>
    </row>
    <row r="326" spans="1:14" ht="15.75" customHeight="1">
      <c r="A326" s="4">
        <v>80801</v>
      </c>
      <c r="B326" s="4" t="s">
        <v>136</v>
      </c>
      <c r="C326" s="27">
        <f>IF(Table_1[[#This Row],[Forest cover 2011]]&lt;1000,"Bosque menor a 1000 ha",Table_1[[#This Row],[Forest cover 2011]])</f>
        <v>762624.45</v>
      </c>
      <c r="D326" s="4">
        <v>762624.45</v>
      </c>
      <c r="E326" s="4">
        <v>7223.76</v>
      </c>
      <c r="F326" s="4">
        <v>2466.27</v>
      </c>
      <c r="G326" s="4">
        <v>3128.31</v>
      </c>
      <c r="H326" s="4">
        <f t="shared" si="13"/>
        <v>4272.78</v>
      </c>
      <c r="I326" s="4">
        <v>1069.92</v>
      </c>
      <c r="J326" s="4">
        <v>2182.59</v>
      </c>
      <c r="K326" s="4">
        <v>16606.71</v>
      </c>
      <c r="L326" s="4">
        <f t="shared" si="14"/>
        <v>6619.7400000000007</v>
      </c>
      <c r="M326" s="10">
        <f t="shared" si="17"/>
        <v>0.56027314623862379</v>
      </c>
      <c r="N326" s="10">
        <f t="shared" si="18"/>
        <v>0.86802095054780914</v>
      </c>
    </row>
    <row r="327" spans="1:14" ht="15.75" customHeight="1">
      <c r="A327" s="4">
        <v>80802</v>
      </c>
      <c r="B327" s="4" t="s">
        <v>149</v>
      </c>
      <c r="C327" s="28">
        <f>IF(Table_1[[#This Row],[Forest cover 2011]]&lt;1000,"Bosque menor a 1000 ha",Table_1[[#This Row],[Forest cover 2011]])</f>
        <v>1158756.8400000001</v>
      </c>
      <c r="D327" s="4">
        <v>1158756.8400000001</v>
      </c>
      <c r="E327" s="4">
        <v>8257.68</v>
      </c>
      <c r="F327" s="4">
        <v>3152.34</v>
      </c>
      <c r="G327" s="4">
        <v>2736.9</v>
      </c>
      <c r="H327" s="4">
        <f t="shared" si="13"/>
        <v>4715.6400000000003</v>
      </c>
      <c r="I327" s="4">
        <v>2014.02</v>
      </c>
      <c r="J327" s="4">
        <v>2198.6999999999998</v>
      </c>
      <c r="K327" s="4">
        <v>20389.95</v>
      </c>
      <c r="L327" s="4">
        <f t="shared" si="14"/>
        <v>8200.89</v>
      </c>
      <c r="M327" s="10">
        <f t="shared" si="17"/>
        <v>0.40695682107041548</v>
      </c>
      <c r="N327" s="10">
        <f t="shared" si="18"/>
        <v>0.70773174465144895</v>
      </c>
    </row>
    <row r="328" spans="1:14" ht="15.75" customHeight="1">
      <c r="A328" s="4">
        <v>80803</v>
      </c>
      <c r="B328" s="4" t="s">
        <v>101</v>
      </c>
      <c r="C328" s="27">
        <f>IF(Table_1[[#This Row],[Forest cover 2011]]&lt;1000,"Bosque menor a 1000 ha",Table_1[[#This Row],[Forest cover 2011]])</f>
        <v>116038.53</v>
      </c>
      <c r="D328" s="4">
        <v>116038.53</v>
      </c>
      <c r="E328" s="4">
        <v>5345.28</v>
      </c>
      <c r="F328" s="4">
        <v>2118.87</v>
      </c>
      <c r="G328" s="4">
        <v>1430.55</v>
      </c>
      <c r="H328" s="4">
        <f t="shared" si="13"/>
        <v>2964.8999999999996</v>
      </c>
      <c r="I328" s="4">
        <v>343.89</v>
      </c>
      <c r="J328" s="4">
        <v>615.87</v>
      </c>
      <c r="K328" s="4">
        <v>5136.75</v>
      </c>
      <c r="L328" s="4">
        <f t="shared" si="14"/>
        <v>2032.17</v>
      </c>
      <c r="M328" s="10">
        <f t="shared" si="17"/>
        <v>2.5550995863184407</v>
      </c>
      <c r="N328" s="10">
        <f t="shared" si="18"/>
        <v>1.7512889899587665</v>
      </c>
    </row>
    <row r="329" spans="1:14" ht="15.75" customHeight="1">
      <c r="A329" s="4">
        <v>80901</v>
      </c>
      <c r="B329" s="4" t="s">
        <v>193</v>
      </c>
      <c r="C329" s="28">
        <f>IF(Table_1[[#This Row],[Forest cover 2011]]&lt;1000,"Bosque menor a 1000 ha",Table_1[[#This Row],[Forest cover 2011]])</f>
        <v>531983.97</v>
      </c>
      <c r="D329" s="4">
        <v>531983.97</v>
      </c>
      <c r="E329" s="4">
        <v>6079.32</v>
      </c>
      <c r="F329" s="4">
        <v>1829.97</v>
      </c>
      <c r="G329" s="4">
        <v>2131.83</v>
      </c>
      <c r="H329" s="4">
        <f t="shared" si="13"/>
        <v>3347.0399999999995</v>
      </c>
      <c r="I329" s="4">
        <v>780.12</v>
      </c>
      <c r="J329" s="4">
        <v>252.9</v>
      </c>
      <c r="K329" s="4">
        <v>3450.06</v>
      </c>
      <c r="L329" s="4">
        <f t="shared" si="14"/>
        <v>1494.36</v>
      </c>
      <c r="M329" s="10">
        <f t="shared" si="17"/>
        <v>0.62916181478174982</v>
      </c>
      <c r="N329" s="10">
        <f t="shared" si="18"/>
        <v>0.28090320089907972</v>
      </c>
    </row>
    <row r="330" spans="1:14" ht="15.75" customHeight="1">
      <c r="A330" s="4">
        <v>90101</v>
      </c>
      <c r="B330" s="4" t="s">
        <v>130</v>
      </c>
      <c r="C330" s="27">
        <f>IF(Table_1[[#This Row],[Forest cover 2011]]&lt;1000,"Bosque menor a 1000 ha",Table_1[[#This Row],[Forest cover 2011]])</f>
        <v>23278.41</v>
      </c>
      <c r="D330" s="4">
        <v>23278.41</v>
      </c>
      <c r="E330" s="4">
        <v>493.74</v>
      </c>
      <c r="F330" s="4">
        <v>431.82</v>
      </c>
      <c r="G330" s="4">
        <v>409.95</v>
      </c>
      <c r="H330" s="4">
        <f t="shared" si="13"/>
        <v>445.17</v>
      </c>
      <c r="I330" s="4">
        <v>41.67</v>
      </c>
      <c r="J330" s="4">
        <v>677.97</v>
      </c>
      <c r="K330" s="4">
        <v>558.45000000000005</v>
      </c>
      <c r="L330" s="4">
        <f t="shared" si="14"/>
        <v>426.03000000000003</v>
      </c>
      <c r="M330" s="10">
        <f t="shared" si="17"/>
        <v>1.9123728811375005</v>
      </c>
      <c r="N330" s="10">
        <f t="shared" si="18"/>
        <v>1.8301507706067557</v>
      </c>
    </row>
    <row r="331" spans="1:14" ht="15.75" customHeight="1">
      <c r="A331" s="4">
        <v>90102</v>
      </c>
      <c r="B331" s="4" t="s">
        <v>178</v>
      </c>
      <c r="C331" s="28">
        <f>IF(Table_1[[#This Row],[Forest cover 2011]]&lt;1000,"Bosque menor a 1000 ha",Table_1[[#This Row],[Forest cover 2011]])</f>
        <v>76866.75</v>
      </c>
      <c r="D331" s="4">
        <v>76866.75</v>
      </c>
      <c r="E331" s="4">
        <v>690.39</v>
      </c>
      <c r="F331" s="4">
        <v>593.81999999999994</v>
      </c>
      <c r="G331" s="4">
        <v>662.58</v>
      </c>
      <c r="H331" s="4">
        <f t="shared" si="13"/>
        <v>648.92999999999995</v>
      </c>
      <c r="I331" s="4">
        <v>94.23</v>
      </c>
      <c r="J331" s="4">
        <v>705.51</v>
      </c>
      <c r="K331" s="4">
        <v>779.76</v>
      </c>
      <c r="L331" s="4">
        <f t="shared" si="14"/>
        <v>526.5</v>
      </c>
      <c r="M331" s="10">
        <f t="shared" si="17"/>
        <v>0.84422718535647723</v>
      </c>
      <c r="N331" s="10">
        <f t="shared" si="18"/>
        <v>0.68495155577671751</v>
      </c>
    </row>
    <row r="332" spans="1:14" ht="15.75" customHeight="1">
      <c r="A332" s="4">
        <v>90103</v>
      </c>
      <c r="B332" s="4" t="s">
        <v>197</v>
      </c>
      <c r="C332" s="27">
        <f>IF(Table_1[[#This Row],[Forest cover 2011]]&lt;1000,"Bosque menor a 1000 ha",Table_1[[#This Row],[Forest cover 2011]])</f>
        <v>232518.15</v>
      </c>
      <c r="D332" s="4">
        <v>232518.15</v>
      </c>
      <c r="E332" s="4">
        <v>856.53</v>
      </c>
      <c r="F332" s="4">
        <v>858.87</v>
      </c>
      <c r="G332" s="4">
        <v>858.96</v>
      </c>
      <c r="H332" s="4">
        <f t="shared" si="13"/>
        <v>858.12</v>
      </c>
      <c r="I332" s="4">
        <v>374.58</v>
      </c>
      <c r="J332" s="4">
        <v>781.2</v>
      </c>
      <c r="K332" s="4">
        <v>1393.47</v>
      </c>
      <c r="L332" s="4">
        <f t="shared" si="14"/>
        <v>849.75</v>
      </c>
      <c r="M332" s="10">
        <f t="shared" si="17"/>
        <v>0.36905506086299072</v>
      </c>
      <c r="N332" s="10">
        <f t="shared" si="18"/>
        <v>0.36545534187331186</v>
      </c>
    </row>
    <row r="333" spans="1:14" ht="15.75" customHeight="1">
      <c r="A333" s="4">
        <v>90104</v>
      </c>
      <c r="B333" s="4" t="s">
        <v>205</v>
      </c>
      <c r="C333" s="28">
        <f>IF(Table_1[[#This Row],[Forest cover 2011]]&lt;1000,"Bosque menor a 1000 ha",Table_1[[#This Row],[Forest cover 2011]])</f>
        <v>481176.99</v>
      </c>
      <c r="D333" s="4">
        <v>481176.99</v>
      </c>
      <c r="E333" s="4">
        <v>1575.63</v>
      </c>
      <c r="F333" s="4">
        <v>2038.23</v>
      </c>
      <c r="G333" s="4">
        <v>1196.55</v>
      </c>
      <c r="H333" s="4">
        <f t="shared" si="13"/>
        <v>1603.47</v>
      </c>
      <c r="I333" s="4">
        <v>655.92000000000007</v>
      </c>
      <c r="J333" s="4">
        <v>2310.12</v>
      </c>
      <c r="K333" s="4">
        <v>2428.92</v>
      </c>
      <c r="L333" s="4">
        <f t="shared" si="14"/>
        <v>1798.32</v>
      </c>
      <c r="M333" s="10">
        <f t="shared" si="17"/>
        <v>0.33323912683355872</v>
      </c>
      <c r="N333" s="10">
        <f t="shared" si="18"/>
        <v>0.37373358189883521</v>
      </c>
    </row>
    <row r="334" spans="1:14" ht="15.75" customHeight="1">
      <c r="A334" s="4">
        <v>90201</v>
      </c>
      <c r="B334" s="4" t="s">
        <v>260</v>
      </c>
      <c r="C334" s="27">
        <f>IF(Table_1[[#This Row],[Forest cover 2011]]&lt;1000,"Bosque menor a 1000 ha",Table_1[[#This Row],[Forest cover 2011]])</f>
        <v>493769.52</v>
      </c>
      <c r="D334" s="4">
        <v>493769.52</v>
      </c>
      <c r="E334" s="4">
        <v>2741.13</v>
      </c>
      <c r="F334" s="4">
        <v>1685.88</v>
      </c>
      <c r="G334" s="4">
        <v>1121.58</v>
      </c>
      <c r="H334" s="4">
        <f t="shared" si="13"/>
        <v>1849.53</v>
      </c>
      <c r="I334" s="4">
        <v>216.18</v>
      </c>
      <c r="J334" s="4">
        <v>623.43000000000006</v>
      </c>
      <c r="K334" s="4">
        <v>627.93000000000006</v>
      </c>
      <c r="L334" s="4">
        <f t="shared" si="14"/>
        <v>489.18000000000006</v>
      </c>
      <c r="M334" s="10">
        <f t="shared" si="17"/>
        <v>0.37457354597343312</v>
      </c>
      <c r="N334" s="10">
        <f t="shared" si="18"/>
        <v>9.9070513708501104E-2</v>
      </c>
    </row>
    <row r="335" spans="1:14" ht="15.75" customHeight="1">
      <c r="A335" s="4">
        <v>90202</v>
      </c>
      <c r="B335" s="4" t="s">
        <v>102</v>
      </c>
      <c r="C335" s="28">
        <f>IF(Table_1[[#This Row],[Forest cover 2011]]&lt;1000,"Bosque menor a 1000 ha",Table_1[[#This Row],[Forest cover 2011]])</f>
        <v>240183.99</v>
      </c>
      <c r="D335" s="4">
        <v>240183.99</v>
      </c>
      <c r="E335" s="4">
        <v>1624.5</v>
      </c>
      <c r="F335" s="4">
        <v>1045.6199999999999</v>
      </c>
      <c r="G335" s="4">
        <v>1617.93</v>
      </c>
      <c r="H335" s="4">
        <f t="shared" si="13"/>
        <v>1429.3500000000001</v>
      </c>
      <c r="I335" s="4">
        <v>254.88</v>
      </c>
      <c r="J335" s="4">
        <v>944.1</v>
      </c>
      <c r="K335" s="4">
        <v>621.18000000000006</v>
      </c>
      <c r="L335" s="4">
        <f t="shared" si="14"/>
        <v>606.72</v>
      </c>
      <c r="M335" s="10">
        <f t="shared" si="17"/>
        <v>0.59510627665066274</v>
      </c>
      <c r="N335" s="10">
        <f t="shared" si="18"/>
        <v>0.25260634566025825</v>
      </c>
    </row>
    <row r="336" spans="1:14" ht="15.75" customHeight="1">
      <c r="A336" s="4">
        <v>90203</v>
      </c>
      <c r="B336" s="4" t="s">
        <v>243</v>
      </c>
      <c r="C336" s="27">
        <f>IF(Table_1[[#This Row],[Forest cover 2011]]&lt;1000,"Bosque menor a 1000 ha",Table_1[[#This Row],[Forest cover 2011]])</f>
        <v>1144670.3999999999</v>
      </c>
      <c r="D336" s="4">
        <v>1144670.3999999999</v>
      </c>
      <c r="E336" s="4">
        <v>2373.12</v>
      </c>
      <c r="F336" s="4">
        <v>1731.6</v>
      </c>
      <c r="G336" s="4">
        <v>1939.59</v>
      </c>
      <c r="H336" s="4">
        <f t="shared" si="13"/>
        <v>2014.7699999999998</v>
      </c>
      <c r="I336" s="4">
        <v>598.04999999999995</v>
      </c>
      <c r="J336" s="4">
        <v>2015.55</v>
      </c>
      <c r="K336" s="4">
        <v>2797.47</v>
      </c>
      <c r="L336" s="4">
        <f t="shared" si="14"/>
        <v>1803.6899999999998</v>
      </c>
      <c r="M336" s="10">
        <f t="shared" si="17"/>
        <v>0.17601311259555588</v>
      </c>
      <c r="N336" s="10">
        <f t="shared" si="18"/>
        <v>0.15757286988464103</v>
      </c>
    </row>
    <row r="337" spans="1:15" ht="15.75" customHeight="1">
      <c r="A337" s="4">
        <v>90301</v>
      </c>
      <c r="B337" s="4" t="s">
        <v>203</v>
      </c>
      <c r="C337" s="28">
        <f>IF(Table_1[[#This Row],[Forest cover 2011]]&lt;1000,"Bosque menor a 1000 ha",Table_1[[#This Row],[Forest cover 2011]])</f>
        <v>109327.14</v>
      </c>
      <c r="D337" s="4">
        <v>109327.14</v>
      </c>
      <c r="E337" s="4">
        <v>1185.21</v>
      </c>
      <c r="F337" s="4">
        <v>558.17999999999995</v>
      </c>
      <c r="G337" s="4">
        <v>1971.99</v>
      </c>
      <c r="H337" s="4">
        <f t="shared" si="13"/>
        <v>1238.46</v>
      </c>
      <c r="I337" s="4">
        <v>231.12</v>
      </c>
      <c r="J337" s="4">
        <v>547.74</v>
      </c>
      <c r="K337" s="4">
        <v>597.51</v>
      </c>
      <c r="L337" s="4">
        <f t="shared" si="14"/>
        <v>458.78999999999996</v>
      </c>
      <c r="M337" s="10">
        <f t="shared" si="17"/>
        <v>1.1328019739654764</v>
      </c>
      <c r="N337" s="10">
        <f t="shared" si="18"/>
        <v>0.41964877156760894</v>
      </c>
    </row>
    <row r="338" spans="1:15" ht="15.75" customHeight="1">
      <c r="A338" s="4">
        <v>90302</v>
      </c>
      <c r="B338" s="4" t="s">
        <v>185</v>
      </c>
      <c r="C338" s="27">
        <f>IF(Table_1[[#This Row],[Forest cover 2011]]&lt;1000,"Bosque menor a 1000 ha",Table_1[[#This Row],[Forest cover 2011]])</f>
        <v>286931.43</v>
      </c>
      <c r="D338" s="4">
        <v>286931.43</v>
      </c>
      <c r="E338" s="4">
        <v>1417.59</v>
      </c>
      <c r="F338" s="4">
        <v>926.18999999999994</v>
      </c>
      <c r="G338" s="4">
        <v>2246.04</v>
      </c>
      <c r="H338" s="4">
        <f t="shared" si="13"/>
        <v>1529.9399999999998</v>
      </c>
      <c r="I338" s="4">
        <v>270.36</v>
      </c>
      <c r="J338" s="4">
        <v>738.36</v>
      </c>
      <c r="K338" s="4">
        <v>528.93000000000006</v>
      </c>
      <c r="L338" s="4">
        <f t="shared" si="14"/>
        <v>512.55000000000007</v>
      </c>
      <c r="M338" s="10">
        <f t="shared" si="17"/>
        <v>0.53320753324234993</v>
      </c>
      <c r="N338" s="10">
        <f t="shared" si="18"/>
        <v>0.17863152879417918</v>
      </c>
    </row>
    <row r="339" spans="1:15" ht="15.75" customHeight="1">
      <c r="A339" s="4">
        <v>90303</v>
      </c>
      <c r="B339" s="4" t="s">
        <v>266</v>
      </c>
      <c r="C339" s="28">
        <f>IF(Table_1[[#This Row],[Forest cover 2011]]&lt;1000,"Bosque menor a 1000 ha",Table_1[[#This Row],[Forest cover 2011]])</f>
        <v>717293.34</v>
      </c>
      <c r="D339" s="4">
        <v>717293.34</v>
      </c>
      <c r="E339" s="4">
        <v>1169.82</v>
      </c>
      <c r="F339" s="4">
        <v>959.67000000000007</v>
      </c>
      <c r="G339" s="4">
        <v>955.62</v>
      </c>
      <c r="H339" s="4">
        <f t="shared" si="13"/>
        <v>1028.3699999999999</v>
      </c>
      <c r="I339" s="4">
        <v>371.7</v>
      </c>
      <c r="J339" s="4">
        <v>553.32000000000005</v>
      </c>
      <c r="K339" s="4">
        <v>765.45</v>
      </c>
      <c r="L339" s="4">
        <f t="shared" si="14"/>
        <v>563.49</v>
      </c>
      <c r="M339" s="10">
        <f t="shared" si="17"/>
        <v>0.14336812328412252</v>
      </c>
      <c r="N339" s="10">
        <f t="shared" si="18"/>
        <v>7.8557818479117622E-2</v>
      </c>
    </row>
    <row r="340" spans="1:15" ht="15.75" customHeight="1">
      <c r="A340" s="4">
        <v>90401</v>
      </c>
      <c r="B340" s="4" t="s">
        <v>140</v>
      </c>
      <c r="C340" s="27">
        <f>IF(Table_1[[#This Row],[Forest cover 2011]]&lt;1000,"Bosque menor a 1000 ha",Table_1[[#This Row],[Forest cover 2011]])</f>
        <v>434458.62</v>
      </c>
      <c r="D340" s="4">
        <v>434458.62</v>
      </c>
      <c r="E340" s="4">
        <v>540.81000000000006</v>
      </c>
      <c r="F340" s="4">
        <v>742.68000000000006</v>
      </c>
      <c r="G340" s="4">
        <v>483.12</v>
      </c>
      <c r="H340" s="4">
        <f t="shared" si="13"/>
        <v>588.87</v>
      </c>
      <c r="I340" s="4">
        <v>218.88</v>
      </c>
      <c r="J340" s="4">
        <v>445.23</v>
      </c>
      <c r="K340" s="4">
        <v>420.39</v>
      </c>
      <c r="L340" s="4">
        <f t="shared" si="14"/>
        <v>361.5</v>
      </c>
      <c r="M340" s="10">
        <f t="shared" si="17"/>
        <v>0.13554110170492187</v>
      </c>
      <c r="N340" s="10">
        <f t="shared" si="18"/>
        <v>8.3207003695771997E-2</v>
      </c>
    </row>
    <row r="341" spans="1:15" ht="15.75" customHeight="1">
      <c r="A341" s="4">
        <v>90402</v>
      </c>
      <c r="B341" s="4" t="s">
        <v>274</v>
      </c>
      <c r="C341" s="28">
        <f>IF(Table_1[[#This Row],[Forest cover 2011]]&lt;1000,"Bosque menor a 1000 ha",Table_1[[#This Row],[Forest cover 2011]])</f>
        <v>538625.16</v>
      </c>
      <c r="D341" s="4">
        <v>538625.16</v>
      </c>
      <c r="E341" s="4">
        <v>497.97</v>
      </c>
      <c r="F341" s="4">
        <v>356.31</v>
      </c>
      <c r="G341" s="4">
        <v>479.7</v>
      </c>
      <c r="H341" s="4">
        <f t="shared" si="13"/>
        <v>444.66</v>
      </c>
      <c r="I341" s="4">
        <v>306.63</v>
      </c>
      <c r="J341" s="4">
        <v>246.69</v>
      </c>
      <c r="K341" s="4">
        <v>267.3</v>
      </c>
      <c r="L341" s="4">
        <f t="shared" si="14"/>
        <v>273.53999999999996</v>
      </c>
      <c r="M341" s="10">
        <f t="shared" si="17"/>
        <v>8.2554628528678453E-2</v>
      </c>
      <c r="N341" s="10">
        <f t="shared" si="18"/>
        <v>5.0784853793313323E-2</v>
      </c>
    </row>
    <row r="342" spans="1:15" ht="15.75" customHeight="1">
      <c r="A342" s="4">
        <v>90501</v>
      </c>
      <c r="B342" s="4" t="s">
        <v>270</v>
      </c>
      <c r="C342" s="27">
        <f>IF(Table_1[[#This Row],[Forest cover 2011]]&lt;1000,"Bosque menor a 1000 ha",Table_1[[#This Row],[Forest cover 2011]])</f>
        <v>359182.98</v>
      </c>
      <c r="D342" s="4">
        <v>359182.98</v>
      </c>
      <c r="E342" s="4">
        <v>195.03</v>
      </c>
      <c r="F342" s="4">
        <v>179.82</v>
      </c>
      <c r="G342" s="4">
        <v>1107.6300000000001</v>
      </c>
      <c r="H342" s="4">
        <f t="shared" si="13"/>
        <v>494.16</v>
      </c>
      <c r="I342" s="4">
        <v>39.510000000000012</v>
      </c>
      <c r="J342" s="4">
        <v>229.86</v>
      </c>
      <c r="K342" s="4">
        <v>232.11</v>
      </c>
      <c r="L342" s="4">
        <f t="shared" si="14"/>
        <v>167.16</v>
      </c>
      <c r="M342" s="10">
        <f t="shared" si="17"/>
        <v>0.137578901984721</v>
      </c>
      <c r="N342" s="10">
        <f t="shared" si="18"/>
        <v>4.6538953488274977E-2</v>
      </c>
    </row>
    <row r="343" spans="1:15" ht="15.75" customHeight="1">
      <c r="A343" s="4">
        <v>90502</v>
      </c>
      <c r="B343" s="4" t="s">
        <v>273</v>
      </c>
      <c r="C343" s="28">
        <f>IF(Table_1[[#This Row],[Forest cover 2011]]&lt;1000,"Bosque menor a 1000 ha",Table_1[[#This Row],[Forest cover 2011]])</f>
        <v>273027.06</v>
      </c>
      <c r="D343" s="4">
        <v>273027.06</v>
      </c>
      <c r="E343" s="4">
        <v>417.6</v>
      </c>
      <c r="F343" s="4">
        <v>245.97</v>
      </c>
      <c r="G343" s="4">
        <v>509.4</v>
      </c>
      <c r="H343" s="4">
        <f t="shared" si="13"/>
        <v>390.99</v>
      </c>
      <c r="I343" s="4">
        <v>88.740000000000009</v>
      </c>
      <c r="J343" s="4">
        <v>489.51</v>
      </c>
      <c r="K343" s="4">
        <v>148.94999999999999</v>
      </c>
      <c r="L343" s="4">
        <f t="shared" si="14"/>
        <v>242.4</v>
      </c>
      <c r="M343" s="10">
        <f t="shared" si="17"/>
        <v>0.14320558555624488</v>
      </c>
      <c r="N343" s="10">
        <f t="shared" si="18"/>
        <v>8.8782408600817805E-2</v>
      </c>
    </row>
    <row r="344" spans="1:15" ht="15.75" customHeight="1">
      <c r="A344" s="4">
        <v>90503</v>
      </c>
      <c r="B344" s="4" t="s">
        <v>280</v>
      </c>
      <c r="C344" s="27">
        <f>IF(Table_1[[#This Row],[Forest cover 2011]]&lt;1000,"Bosque menor a 1000 ha",Table_1[[#This Row],[Forest cover 2011]])</f>
        <v>662358.15</v>
      </c>
      <c r="D344" s="4">
        <v>662358.15</v>
      </c>
      <c r="E344" s="4">
        <v>112.95</v>
      </c>
      <c r="F344" s="4">
        <v>74.430000000000007</v>
      </c>
      <c r="G344" s="4">
        <v>119.61</v>
      </c>
      <c r="H344" s="4">
        <f t="shared" si="13"/>
        <v>102.33</v>
      </c>
      <c r="I344" s="4">
        <v>48.06</v>
      </c>
      <c r="J344" s="4">
        <v>145.35</v>
      </c>
      <c r="K344" s="4">
        <v>151.38</v>
      </c>
      <c r="L344" s="4">
        <f t="shared" si="14"/>
        <v>114.92999999999999</v>
      </c>
      <c r="M344" s="10">
        <f t="shared" si="17"/>
        <v>1.5449345644799568E-2</v>
      </c>
      <c r="N344" s="10">
        <f t="shared" si="18"/>
        <v>1.7351639743543576E-2</v>
      </c>
    </row>
    <row r="345" spans="1:15" ht="15.75" customHeight="1"/>
    <row r="346" spans="1:15" ht="15.75" customHeight="1">
      <c r="L346" s="12" t="s">
        <v>405</v>
      </c>
      <c r="M346" s="13">
        <f>AVERAGE(M2:M344)</f>
        <v>1.1735625533680769</v>
      </c>
      <c r="O346" s="14">
        <f>+M346+M347</f>
        <v>2.5715673634145473</v>
      </c>
    </row>
    <row r="347" spans="1:15" ht="15.75" customHeight="1">
      <c r="L347" s="12" t="s">
        <v>406</v>
      </c>
      <c r="M347" s="13">
        <f>+STDEVA(M2:M344)</f>
        <v>1.3980048100464706</v>
      </c>
      <c r="O347" s="14">
        <f>+M346-M347</f>
        <v>-0.22444225667839368</v>
      </c>
    </row>
    <row r="348" spans="1:15" ht="15.75" customHeight="1">
      <c r="L348" s="12" t="s">
        <v>407</v>
      </c>
      <c r="M348" s="13">
        <f>MIN(M2:M344)</f>
        <v>1.5449345644799568E-2</v>
      </c>
    </row>
    <row r="349" spans="1:15" ht="15.75" customHeight="1">
      <c r="L349" s="12" t="s">
        <v>408</v>
      </c>
      <c r="M349" s="13">
        <f>MAX(M2:M344)</f>
        <v>10.944772642522091</v>
      </c>
    </row>
    <row r="350" spans="1:15" ht="15.75" customHeight="1">
      <c r="L350" s="12" t="s">
        <v>409</v>
      </c>
      <c r="M350" s="12">
        <v>343</v>
      </c>
    </row>
    <row r="351" spans="1:15" ht="15.75" customHeight="1"/>
    <row r="352" spans="1:15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N1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Z1000"/>
  <sheetViews>
    <sheetView tabSelected="1" topLeftCell="A219" workbookViewId="0">
      <selection activeCell="C243" sqref="C243"/>
    </sheetView>
  </sheetViews>
  <sheetFormatPr baseColWidth="10" defaultColWidth="12.6640625" defaultRowHeight="15" customHeight="1"/>
  <cols>
    <col min="1" max="1" width="10.6640625" customWidth="1"/>
    <col min="2" max="2" width="11.109375" customWidth="1"/>
    <col min="3" max="4" width="42.33203125" customWidth="1"/>
    <col min="5" max="26" width="10.6640625" customWidth="1"/>
  </cols>
  <sheetData>
    <row r="1" spans="1:26" ht="72">
      <c r="A1" s="31" t="s">
        <v>397</v>
      </c>
      <c r="B1" s="32" t="s">
        <v>2</v>
      </c>
      <c r="C1" s="32" t="s">
        <v>400</v>
      </c>
      <c r="D1" s="33" t="s">
        <v>401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4">
      <c r="A2" s="29">
        <v>10101</v>
      </c>
      <c r="B2" s="12" t="s">
        <v>119</v>
      </c>
      <c r="C2" s="16">
        <v>0.5362604636188022</v>
      </c>
      <c r="D2" s="30">
        <v>1.068161086069972</v>
      </c>
    </row>
    <row r="3" spans="1:26" ht="14.4">
      <c r="A3" s="29">
        <v>10102</v>
      </c>
      <c r="B3" s="12" t="s">
        <v>188</v>
      </c>
      <c r="C3" s="16">
        <v>0.84285132773028759</v>
      </c>
      <c r="D3" s="30">
        <v>0.304096927902689</v>
      </c>
    </row>
    <row r="4" spans="1:26" ht="14.4">
      <c r="A4" s="29">
        <v>10103</v>
      </c>
      <c r="B4" s="12" t="s">
        <v>284</v>
      </c>
      <c r="C4" s="16">
        <v>0.4551093067839479</v>
      </c>
      <c r="D4" s="30">
        <v>9.2978083408705434E-2</v>
      </c>
    </row>
    <row r="5" spans="1:26" ht="14.4">
      <c r="A5" s="29">
        <v>10201</v>
      </c>
      <c r="B5" s="12" t="s">
        <v>236</v>
      </c>
      <c r="C5" s="16">
        <v>0.23778567729388442</v>
      </c>
      <c r="D5" s="30">
        <v>0.35535019374299431</v>
      </c>
    </row>
    <row r="6" spans="1:26" ht="14.4">
      <c r="A6" s="29">
        <v>10202</v>
      </c>
      <c r="B6" s="12" t="s">
        <v>264</v>
      </c>
      <c r="C6" s="16">
        <v>0.40475044425675166</v>
      </c>
      <c r="D6" s="30">
        <v>0.33436564374089917</v>
      </c>
    </row>
    <row r="7" spans="1:26" ht="14.4">
      <c r="A7" s="29">
        <v>10301</v>
      </c>
      <c r="B7" s="12" t="s">
        <v>276</v>
      </c>
      <c r="C7" s="16">
        <v>0.56391097486987896</v>
      </c>
      <c r="D7" s="30">
        <v>0.15710317080180092</v>
      </c>
    </row>
    <row r="8" spans="1:26" ht="14.4">
      <c r="A8" s="29">
        <v>10302</v>
      </c>
      <c r="B8" s="12" t="s">
        <v>286</v>
      </c>
      <c r="C8" s="16">
        <v>0.40889352470564372</v>
      </c>
      <c r="D8" s="30">
        <v>5.6770646587785342E-2</v>
      </c>
    </row>
    <row r="9" spans="1:26" ht="14.4">
      <c r="A9" s="29">
        <v>10303</v>
      </c>
      <c r="B9" s="12" t="s">
        <v>262</v>
      </c>
      <c r="C9" s="16">
        <v>0.34370188465961132</v>
      </c>
      <c r="D9" s="30">
        <v>0.2247169112631312</v>
      </c>
    </row>
    <row r="10" spans="1:26" ht="14.4">
      <c r="A10" s="29">
        <v>10304</v>
      </c>
      <c r="B10" s="12" t="s">
        <v>271</v>
      </c>
      <c r="C10" s="16">
        <v>0.70364711629405585</v>
      </c>
      <c r="D10" s="30">
        <v>6.0282913951337148E-2</v>
      </c>
    </row>
    <row r="11" spans="1:26" ht="14.4">
      <c r="A11" s="29">
        <v>10401</v>
      </c>
      <c r="B11" s="12" t="s">
        <v>242</v>
      </c>
      <c r="C11" s="16">
        <v>0.31768442444417355</v>
      </c>
      <c r="D11" s="30">
        <v>0.47438046555050434</v>
      </c>
    </row>
    <row r="12" spans="1:26" ht="14.4">
      <c r="A12" s="29">
        <v>10402</v>
      </c>
      <c r="B12" s="12" t="s">
        <v>268</v>
      </c>
      <c r="C12" s="16">
        <v>0.49419932032440167</v>
      </c>
      <c r="D12" s="30">
        <v>0.29080848530400194</v>
      </c>
    </row>
    <row r="13" spans="1:26" ht="14.4">
      <c r="A13" s="29">
        <v>10403</v>
      </c>
      <c r="B13" s="12" t="s">
        <v>228</v>
      </c>
      <c r="C13" s="16">
        <v>0.43736672905813934</v>
      </c>
      <c r="D13" s="30">
        <v>0.89766044505917175</v>
      </c>
    </row>
    <row r="14" spans="1:26" ht="14.4">
      <c r="A14" s="29">
        <v>10404</v>
      </c>
      <c r="B14" s="12" t="s">
        <v>254</v>
      </c>
      <c r="C14" s="16">
        <v>0.35251743428615218</v>
      </c>
      <c r="D14" s="30">
        <v>0.41601436344328513</v>
      </c>
    </row>
    <row r="15" spans="1:26" ht="14.4">
      <c r="A15" s="29">
        <v>10405</v>
      </c>
      <c r="B15" s="12" t="s">
        <v>249</v>
      </c>
      <c r="C15" s="16">
        <v>0.39239950046254574</v>
      </c>
      <c r="D15" s="30">
        <v>0.37117575360788707</v>
      </c>
    </row>
    <row r="16" spans="1:26" ht="14.4">
      <c r="A16" s="29">
        <v>10501</v>
      </c>
      <c r="B16" s="12" t="s">
        <v>182</v>
      </c>
      <c r="C16" s="16">
        <v>0.45725800682237622</v>
      </c>
      <c r="D16" s="30">
        <v>0.61325090903677448</v>
      </c>
    </row>
    <row r="17" spans="1:4" ht="14.4">
      <c r="A17" s="29">
        <v>10502</v>
      </c>
      <c r="B17" s="12" t="s">
        <v>175</v>
      </c>
      <c r="C17" s="16">
        <v>0.18203425801165019</v>
      </c>
      <c r="D17" s="30">
        <v>0.67781243464338004</v>
      </c>
    </row>
    <row r="18" spans="1:4" ht="14.4">
      <c r="A18" s="29">
        <v>10601</v>
      </c>
      <c r="B18" s="12" t="s">
        <v>272</v>
      </c>
      <c r="C18" s="16">
        <v>0.6895200783545542</v>
      </c>
      <c r="D18" s="30">
        <v>0.13907933398628794</v>
      </c>
    </row>
    <row r="19" spans="1:4" ht="14.4">
      <c r="A19" s="29">
        <v>10602</v>
      </c>
      <c r="B19" s="12" t="s">
        <v>285</v>
      </c>
      <c r="C19" s="16"/>
      <c r="D19" s="30"/>
    </row>
    <row r="20" spans="1:4" ht="14.4">
      <c r="A20" s="29">
        <v>10701</v>
      </c>
      <c r="B20" s="12" t="s">
        <v>66</v>
      </c>
      <c r="C20" s="16"/>
      <c r="D20" s="30"/>
    </row>
    <row r="21" spans="1:4" ht="15.75" customHeight="1">
      <c r="A21" s="29">
        <v>10702</v>
      </c>
      <c r="B21" s="12" t="s">
        <v>139</v>
      </c>
      <c r="C21" s="16">
        <v>0.29974939349668345</v>
      </c>
      <c r="D21" s="30">
        <v>0.703640205851636</v>
      </c>
    </row>
    <row r="22" spans="1:4" ht="15.75" customHeight="1">
      <c r="A22" s="29">
        <v>10703</v>
      </c>
      <c r="B22" s="12" t="s">
        <v>181</v>
      </c>
      <c r="C22" s="16">
        <v>0.30463167565863813</v>
      </c>
      <c r="D22" s="30">
        <v>0.82280171724860207</v>
      </c>
    </row>
    <row r="23" spans="1:4" ht="15.75" customHeight="1">
      <c r="A23" s="29">
        <v>10704</v>
      </c>
      <c r="B23" s="12" t="s">
        <v>229</v>
      </c>
      <c r="C23" s="16">
        <v>0.39859444481687561</v>
      </c>
      <c r="D23" s="30">
        <v>0.13686844986704208</v>
      </c>
    </row>
    <row r="24" spans="1:4" ht="15.75" customHeight="1">
      <c r="A24" s="29">
        <v>10801</v>
      </c>
      <c r="B24" s="12" t="s">
        <v>218</v>
      </c>
      <c r="C24" s="16">
        <v>0.5743715568165233</v>
      </c>
      <c r="D24" s="30">
        <v>0.59192297160530916</v>
      </c>
    </row>
    <row r="25" spans="1:4" ht="15.75" customHeight="1">
      <c r="A25" s="29">
        <v>10901</v>
      </c>
      <c r="B25" s="12" t="s">
        <v>69</v>
      </c>
      <c r="C25" s="16"/>
      <c r="D25" s="30"/>
    </row>
    <row r="26" spans="1:4" ht="15.75" customHeight="1">
      <c r="A26" s="29">
        <v>10902</v>
      </c>
      <c r="B26" s="12" t="s">
        <v>214</v>
      </c>
      <c r="C26" s="16">
        <v>0.26972635529220312</v>
      </c>
      <c r="D26" s="30">
        <v>0.5425688502693593</v>
      </c>
    </row>
    <row r="27" spans="1:4" ht="15.75" customHeight="1">
      <c r="A27" s="29">
        <v>10903</v>
      </c>
      <c r="B27" s="12" t="s">
        <v>71</v>
      </c>
      <c r="C27" s="16"/>
      <c r="D27" s="30"/>
    </row>
    <row r="28" spans="1:4" ht="15.75" customHeight="1">
      <c r="A28" s="29">
        <v>11001</v>
      </c>
      <c r="B28" s="12" t="s">
        <v>230</v>
      </c>
      <c r="C28" s="16">
        <v>0.2862443177758493</v>
      </c>
      <c r="D28" s="30">
        <v>0.38343090144891945</v>
      </c>
    </row>
    <row r="29" spans="1:4" ht="15.75" customHeight="1">
      <c r="A29" s="29">
        <v>11002</v>
      </c>
      <c r="B29" s="12" t="s">
        <v>245</v>
      </c>
      <c r="C29" s="16">
        <v>7.7970830753870415E-2</v>
      </c>
      <c r="D29" s="30">
        <v>0.14501833117708768</v>
      </c>
    </row>
    <row r="30" spans="1:4" ht="15.75" customHeight="1">
      <c r="A30" s="29">
        <v>11003</v>
      </c>
      <c r="B30" s="12" t="s">
        <v>225</v>
      </c>
      <c r="C30" s="16">
        <v>0.10887430129394277</v>
      </c>
      <c r="D30" s="30">
        <v>0.71832050795787394</v>
      </c>
    </row>
    <row r="31" spans="1:4" ht="15.75" customHeight="1">
      <c r="A31" s="29">
        <v>20101</v>
      </c>
      <c r="B31" s="12" t="s">
        <v>199</v>
      </c>
      <c r="C31" s="16">
        <v>0.10885265901063974</v>
      </c>
      <c r="D31" s="30">
        <v>0.37536336579893609</v>
      </c>
    </row>
    <row r="32" spans="1:4" ht="15.75" customHeight="1">
      <c r="A32" s="29">
        <v>20102</v>
      </c>
      <c r="B32" s="12" t="s">
        <v>92</v>
      </c>
      <c r="C32" s="16">
        <v>1.5795514896095659</v>
      </c>
      <c r="D32" s="30">
        <v>5.8607870346576201</v>
      </c>
    </row>
    <row r="33" spans="1:4" ht="15.75" customHeight="1">
      <c r="A33" s="29">
        <v>20103</v>
      </c>
      <c r="B33" s="12" t="s">
        <v>89</v>
      </c>
      <c r="C33" s="16"/>
      <c r="D33" s="30"/>
    </row>
    <row r="34" spans="1:4" ht="15.75" customHeight="1">
      <c r="A34" s="29">
        <v>20104</v>
      </c>
      <c r="B34" s="12" t="s">
        <v>383</v>
      </c>
      <c r="C34" s="16"/>
      <c r="D34" s="30"/>
    </row>
    <row r="35" spans="1:4" ht="15.75" customHeight="1">
      <c r="A35" s="29">
        <v>20105</v>
      </c>
      <c r="B35" s="12" t="s">
        <v>288</v>
      </c>
      <c r="C35" s="16"/>
      <c r="D35" s="30"/>
    </row>
    <row r="36" spans="1:4" ht="15.75" customHeight="1">
      <c r="A36" s="29">
        <v>20201</v>
      </c>
      <c r="B36" s="12" t="s">
        <v>370</v>
      </c>
      <c r="C36" s="16"/>
      <c r="D36" s="30"/>
    </row>
    <row r="37" spans="1:4" ht="15.75" customHeight="1">
      <c r="A37" s="29">
        <v>20202</v>
      </c>
      <c r="B37" s="12" t="s">
        <v>375</v>
      </c>
      <c r="C37" s="16"/>
      <c r="D37" s="30"/>
    </row>
    <row r="38" spans="1:4" ht="15.75" customHeight="1">
      <c r="A38" s="29">
        <v>20203</v>
      </c>
      <c r="B38" s="12" t="s">
        <v>289</v>
      </c>
      <c r="C38" s="16"/>
      <c r="D38" s="30"/>
    </row>
    <row r="39" spans="1:4" ht="15.75" customHeight="1">
      <c r="A39" s="29">
        <v>20204</v>
      </c>
      <c r="B39" s="12" t="s">
        <v>290</v>
      </c>
      <c r="C39" s="16"/>
      <c r="D39" s="30"/>
    </row>
    <row r="40" spans="1:4" ht="15.75" customHeight="1">
      <c r="A40" s="29">
        <v>20205</v>
      </c>
      <c r="B40" s="12" t="s">
        <v>291</v>
      </c>
      <c r="C40" s="16"/>
      <c r="D40" s="30"/>
    </row>
    <row r="41" spans="1:4" ht="15.75" customHeight="1">
      <c r="A41" s="29">
        <v>20206</v>
      </c>
      <c r="B41" s="12" t="s">
        <v>292</v>
      </c>
      <c r="C41" s="16"/>
      <c r="D41" s="30"/>
    </row>
    <row r="42" spans="1:4" ht="15.75" customHeight="1">
      <c r="A42" s="29">
        <v>20301</v>
      </c>
      <c r="B42" s="12" t="s">
        <v>293</v>
      </c>
      <c r="C42" s="16"/>
      <c r="D42" s="30"/>
    </row>
    <row r="43" spans="1:4" ht="15.75" customHeight="1">
      <c r="A43" s="29">
        <v>20302</v>
      </c>
      <c r="B43" s="12" t="s">
        <v>294</v>
      </c>
      <c r="C43" s="16"/>
      <c r="D43" s="30"/>
    </row>
    <row r="44" spans="1:4" ht="15.75" customHeight="1">
      <c r="A44" s="29">
        <v>20303</v>
      </c>
      <c r="B44" s="12" t="s">
        <v>382</v>
      </c>
      <c r="C44" s="16"/>
      <c r="D44" s="30"/>
    </row>
    <row r="45" spans="1:4" ht="15.75" customHeight="1">
      <c r="A45" s="29">
        <v>20304</v>
      </c>
      <c r="B45" s="12" t="s">
        <v>295</v>
      </c>
      <c r="C45" s="16"/>
      <c r="D45" s="30"/>
    </row>
    <row r="46" spans="1:4" ht="15.75" customHeight="1">
      <c r="A46" s="29">
        <v>20305</v>
      </c>
      <c r="B46" s="12" t="s">
        <v>296</v>
      </c>
      <c r="C46" s="16"/>
      <c r="D46" s="30"/>
    </row>
    <row r="47" spans="1:4" ht="15.75" customHeight="1">
      <c r="A47" s="29">
        <v>20306</v>
      </c>
      <c r="B47" s="12" t="s">
        <v>297</v>
      </c>
      <c r="C47" s="16"/>
      <c r="D47" s="30"/>
    </row>
    <row r="48" spans="1:4" ht="15.75" customHeight="1">
      <c r="A48" s="29">
        <v>20307</v>
      </c>
      <c r="B48" s="12" t="s">
        <v>298</v>
      </c>
      <c r="C48" s="16"/>
      <c r="D48" s="30"/>
    </row>
    <row r="49" spans="1:4" ht="15.75" customHeight="1">
      <c r="A49" s="29">
        <v>20308</v>
      </c>
      <c r="B49" s="12" t="s">
        <v>299</v>
      </c>
      <c r="C49" s="16"/>
      <c r="D49" s="30"/>
    </row>
    <row r="50" spans="1:4" ht="15.75" customHeight="1">
      <c r="A50" s="29">
        <v>20401</v>
      </c>
      <c r="B50" s="12" t="s">
        <v>300</v>
      </c>
      <c r="C50" s="16"/>
      <c r="D50" s="30"/>
    </row>
    <row r="51" spans="1:4" ht="15.75" customHeight="1">
      <c r="A51" s="29">
        <v>20402</v>
      </c>
      <c r="B51" s="12" t="s">
        <v>160</v>
      </c>
      <c r="C51" s="16">
        <v>1.1071178995707298</v>
      </c>
      <c r="D51" s="30">
        <v>0.67285614455425757</v>
      </c>
    </row>
    <row r="52" spans="1:4" ht="15.75" customHeight="1">
      <c r="A52" s="29">
        <v>20403</v>
      </c>
      <c r="B52" s="12" t="s">
        <v>90</v>
      </c>
      <c r="C52" s="16"/>
      <c r="D52" s="30"/>
    </row>
    <row r="53" spans="1:4" ht="15.75" customHeight="1">
      <c r="A53" s="29">
        <v>20404</v>
      </c>
      <c r="B53" s="12" t="s">
        <v>301</v>
      </c>
      <c r="C53" s="16"/>
      <c r="D53" s="30"/>
    </row>
    <row r="54" spans="1:4" ht="15.75" customHeight="1">
      <c r="A54" s="29">
        <v>20405</v>
      </c>
      <c r="B54" s="12" t="s">
        <v>302</v>
      </c>
      <c r="C54" s="16"/>
      <c r="D54" s="30"/>
    </row>
    <row r="55" spans="1:4" ht="15.75" customHeight="1">
      <c r="A55" s="29">
        <v>20501</v>
      </c>
      <c r="B55" s="12" t="s">
        <v>124</v>
      </c>
      <c r="C55" s="16">
        <v>0.56645625382215448</v>
      </c>
      <c r="D55" s="30">
        <v>1.1458689635871762</v>
      </c>
    </row>
    <row r="56" spans="1:4" ht="15.75" customHeight="1">
      <c r="A56" s="29">
        <v>20502</v>
      </c>
      <c r="B56" s="12" t="s">
        <v>157</v>
      </c>
      <c r="C56" s="16">
        <v>0.30421203944830877</v>
      </c>
      <c r="D56" s="30">
        <v>0.70393655951333045</v>
      </c>
    </row>
    <row r="57" spans="1:4" ht="15.75" customHeight="1">
      <c r="A57" s="29">
        <v>20503</v>
      </c>
      <c r="B57" s="12" t="s">
        <v>114</v>
      </c>
      <c r="C57" s="16">
        <v>1.0282689109851697</v>
      </c>
      <c r="D57" s="30">
        <v>1.2522482777344146</v>
      </c>
    </row>
    <row r="58" spans="1:4" ht="15.75" customHeight="1">
      <c r="A58" s="29">
        <v>20601</v>
      </c>
      <c r="B58" s="12" t="s">
        <v>153</v>
      </c>
      <c r="C58" s="16">
        <v>0.3752790989151456</v>
      </c>
      <c r="D58" s="30">
        <v>0.70303875428505014</v>
      </c>
    </row>
    <row r="59" spans="1:4" ht="15.75" customHeight="1">
      <c r="A59" s="29">
        <v>20602</v>
      </c>
      <c r="B59" s="12" t="s">
        <v>183</v>
      </c>
      <c r="C59" s="16">
        <v>0.22102849697254603</v>
      </c>
      <c r="D59" s="30">
        <v>0.88431603516790025</v>
      </c>
    </row>
    <row r="60" spans="1:4" ht="15.75" customHeight="1">
      <c r="A60" s="29">
        <v>20603</v>
      </c>
      <c r="B60" s="12" t="s">
        <v>163</v>
      </c>
      <c r="C60" s="16">
        <v>0.28849351886809416</v>
      </c>
      <c r="D60" s="30">
        <v>0.76558932455998407</v>
      </c>
    </row>
    <row r="61" spans="1:4" ht="15.75" customHeight="1">
      <c r="A61" s="29">
        <v>20604</v>
      </c>
      <c r="B61" s="12" t="s">
        <v>94</v>
      </c>
      <c r="C61" s="16"/>
      <c r="D61" s="30"/>
    </row>
    <row r="62" spans="1:4" ht="15.75" customHeight="1">
      <c r="A62" s="29">
        <v>20605</v>
      </c>
      <c r="B62" s="12" t="s">
        <v>213</v>
      </c>
      <c r="C62" s="16"/>
      <c r="D62" s="30"/>
    </row>
    <row r="63" spans="1:4" ht="15.75" customHeight="1">
      <c r="A63" s="29">
        <v>20606</v>
      </c>
      <c r="B63" s="12" t="s">
        <v>194</v>
      </c>
      <c r="C63" s="16">
        <v>0.45251262858320385</v>
      </c>
      <c r="D63" s="30">
        <v>1.1754189570767406</v>
      </c>
    </row>
    <row r="64" spans="1:4" ht="15.75" customHeight="1">
      <c r="A64" s="29">
        <v>20607</v>
      </c>
      <c r="B64" s="12" t="s">
        <v>156</v>
      </c>
      <c r="C64" s="16">
        <v>0.33548387661121265</v>
      </c>
      <c r="D64" s="30">
        <v>1.2854274341442591</v>
      </c>
    </row>
    <row r="65" spans="1:4" ht="15.75" customHeight="1">
      <c r="A65" s="29">
        <v>20608</v>
      </c>
      <c r="B65" s="12" t="s">
        <v>165</v>
      </c>
      <c r="C65" s="16">
        <v>0.68208220269070363</v>
      </c>
      <c r="D65" s="30">
        <v>1.7069623185817253</v>
      </c>
    </row>
    <row r="66" spans="1:4" ht="15.75" customHeight="1">
      <c r="A66" s="29">
        <v>20701</v>
      </c>
      <c r="B66" s="12" t="s">
        <v>219</v>
      </c>
      <c r="C66" s="16">
        <v>0.28708433667026528</v>
      </c>
      <c r="D66" s="30">
        <v>0.20508519113806309</v>
      </c>
    </row>
    <row r="67" spans="1:4" ht="15.75" customHeight="1">
      <c r="A67" s="29">
        <v>20702</v>
      </c>
      <c r="B67" s="12" t="s">
        <v>252</v>
      </c>
      <c r="C67" s="16">
        <v>0.64602022041692297</v>
      </c>
      <c r="D67" s="30">
        <v>0.1709975210418547</v>
      </c>
    </row>
    <row r="68" spans="1:4" ht="15.75" customHeight="1">
      <c r="A68" s="29">
        <v>20801</v>
      </c>
      <c r="B68" s="12" t="s">
        <v>303</v>
      </c>
      <c r="C68" s="16"/>
      <c r="D68" s="30"/>
    </row>
    <row r="69" spans="1:4" ht="15.75" customHeight="1">
      <c r="A69" s="29">
        <v>20802</v>
      </c>
      <c r="B69" s="12" t="s">
        <v>304</v>
      </c>
      <c r="C69" s="16"/>
      <c r="D69" s="30"/>
    </row>
    <row r="70" spans="1:4" ht="15.75" customHeight="1">
      <c r="A70" s="29">
        <v>20803</v>
      </c>
      <c r="B70" s="12" t="s">
        <v>305</v>
      </c>
      <c r="C70" s="16"/>
      <c r="D70" s="30"/>
    </row>
    <row r="71" spans="1:4" ht="15.75" customHeight="1">
      <c r="A71" s="29">
        <v>20804</v>
      </c>
      <c r="B71" s="12" t="s">
        <v>306</v>
      </c>
      <c r="C71" s="16"/>
      <c r="D71" s="30"/>
    </row>
    <row r="72" spans="1:4" ht="15.75" customHeight="1">
      <c r="A72" s="29">
        <v>20805</v>
      </c>
      <c r="B72" s="12" t="s">
        <v>307</v>
      </c>
      <c r="C72" s="16"/>
      <c r="D72" s="30"/>
    </row>
    <row r="73" spans="1:4" ht="15.75" customHeight="1">
      <c r="A73" s="29">
        <v>20806</v>
      </c>
      <c r="B73" s="12" t="s">
        <v>308</v>
      </c>
      <c r="C73" s="16"/>
      <c r="D73" s="30"/>
    </row>
    <row r="74" spans="1:4" ht="15.75" customHeight="1">
      <c r="A74" s="29">
        <v>20807</v>
      </c>
      <c r="B74" s="12" t="s">
        <v>309</v>
      </c>
      <c r="C74" s="16"/>
      <c r="D74" s="30"/>
    </row>
    <row r="75" spans="1:4" ht="15.75" customHeight="1">
      <c r="A75" s="29">
        <v>20901</v>
      </c>
      <c r="B75" s="12" t="s">
        <v>137</v>
      </c>
      <c r="C75" s="16"/>
      <c r="D75" s="30"/>
    </row>
    <row r="76" spans="1:4" ht="15.75" customHeight="1">
      <c r="A76" s="29">
        <v>20902</v>
      </c>
      <c r="B76" s="12" t="s">
        <v>147</v>
      </c>
      <c r="C76" s="16"/>
      <c r="D76" s="30"/>
    </row>
    <row r="77" spans="1:4" ht="15.75" customHeight="1">
      <c r="A77" s="29">
        <v>20903</v>
      </c>
      <c r="B77" s="12" t="s">
        <v>380</v>
      </c>
      <c r="C77" s="16"/>
      <c r="D77" s="30"/>
    </row>
    <row r="78" spans="1:4" ht="15.75" customHeight="1">
      <c r="A78" s="29">
        <v>20904</v>
      </c>
      <c r="B78" s="12" t="s">
        <v>150</v>
      </c>
      <c r="C78" s="16"/>
      <c r="D78" s="30"/>
    </row>
    <row r="79" spans="1:4" ht="15.75" customHeight="1">
      <c r="A79" s="29">
        <v>20905</v>
      </c>
      <c r="B79" s="12" t="s">
        <v>109</v>
      </c>
      <c r="C79" s="16">
        <v>1.7395988898208572</v>
      </c>
      <c r="D79" s="30">
        <v>3.3953206085527441</v>
      </c>
    </row>
    <row r="80" spans="1:4" ht="15.75" customHeight="1">
      <c r="A80" s="29">
        <v>21001</v>
      </c>
      <c r="B80" s="12" t="s">
        <v>127</v>
      </c>
      <c r="C80" s="16">
        <v>0.23330782038748771</v>
      </c>
      <c r="D80" s="30">
        <v>1.0271621878226675</v>
      </c>
    </row>
    <row r="81" spans="1:4" ht="15.75" customHeight="1">
      <c r="A81" s="29">
        <v>21002</v>
      </c>
      <c r="B81" s="12" t="s">
        <v>125</v>
      </c>
      <c r="C81" s="16">
        <v>0.50718831728370806</v>
      </c>
      <c r="D81" s="30">
        <v>1.241767323265154</v>
      </c>
    </row>
    <row r="82" spans="1:4" ht="15.75" customHeight="1">
      <c r="A82" s="29">
        <v>21003</v>
      </c>
      <c r="B82" s="12" t="s">
        <v>122</v>
      </c>
      <c r="C82" s="16">
        <v>0.36898553890989561</v>
      </c>
      <c r="D82" s="30">
        <v>1.3456856608616603</v>
      </c>
    </row>
    <row r="83" spans="1:4" ht="15.75" customHeight="1">
      <c r="A83" s="29">
        <v>21004</v>
      </c>
      <c r="B83" s="12" t="s">
        <v>115</v>
      </c>
      <c r="C83" s="16"/>
      <c r="D83" s="30"/>
    </row>
    <row r="84" spans="1:4" ht="15.75" customHeight="1">
      <c r="A84" s="29">
        <v>21005</v>
      </c>
      <c r="B84" s="12" t="s">
        <v>86</v>
      </c>
      <c r="C84" s="16">
        <v>0.8132592135062795</v>
      </c>
      <c r="D84" s="30">
        <v>3.2135749090659527</v>
      </c>
    </row>
    <row r="85" spans="1:4" ht="15.75" customHeight="1">
      <c r="A85" s="29">
        <v>21006</v>
      </c>
      <c r="B85" s="12" t="s">
        <v>143</v>
      </c>
      <c r="C85" s="16">
        <v>0.2085476132762939</v>
      </c>
      <c r="D85" s="30">
        <v>0.78767669223831627</v>
      </c>
    </row>
    <row r="86" spans="1:4" ht="15.75" customHeight="1">
      <c r="A86" s="29">
        <v>21101</v>
      </c>
      <c r="B86" s="12" t="s">
        <v>168</v>
      </c>
      <c r="C86" s="16">
        <v>0.35437262598025959</v>
      </c>
      <c r="D86" s="30">
        <v>2.3777770395014741</v>
      </c>
    </row>
    <row r="87" spans="1:4" ht="15.75" customHeight="1">
      <c r="A87" s="29">
        <v>21102</v>
      </c>
      <c r="B87" s="12" t="s">
        <v>120</v>
      </c>
      <c r="C87" s="16">
        <v>0.30553137681350556</v>
      </c>
      <c r="D87" s="30">
        <v>1.4501650149188834</v>
      </c>
    </row>
    <row r="88" spans="1:4" ht="15.75" customHeight="1">
      <c r="A88" s="29">
        <v>21103</v>
      </c>
      <c r="B88" s="12" t="s">
        <v>161</v>
      </c>
      <c r="C88" s="16">
        <v>0.30592781589833784</v>
      </c>
      <c r="D88" s="30">
        <v>0.81993608957368291</v>
      </c>
    </row>
    <row r="89" spans="1:4" ht="15.75" customHeight="1">
      <c r="A89" s="29">
        <v>21104</v>
      </c>
      <c r="B89" s="12" t="s">
        <v>167</v>
      </c>
      <c r="C89" s="16">
        <v>0.56809405199795326</v>
      </c>
      <c r="D89" s="30">
        <v>0.95907516132991844</v>
      </c>
    </row>
    <row r="90" spans="1:4" ht="15.75" customHeight="1">
      <c r="A90" s="29">
        <v>21105</v>
      </c>
      <c r="B90" s="12" t="s">
        <v>177</v>
      </c>
      <c r="C90" s="16">
        <v>0.27844702505284452</v>
      </c>
      <c r="D90" s="30">
        <v>0.99676738222517125</v>
      </c>
    </row>
    <row r="91" spans="1:4" ht="15.75" customHeight="1">
      <c r="A91" s="29">
        <v>21201</v>
      </c>
      <c r="B91" s="12" t="s">
        <v>372</v>
      </c>
      <c r="C91" s="16"/>
      <c r="D91" s="30"/>
    </row>
    <row r="92" spans="1:4" ht="15.75" customHeight="1">
      <c r="A92" s="29">
        <v>21202</v>
      </c>
      <c r="B92" s="12" t="s">
        <v>310</v>
      </c>
      <c r="C92" s="16"/>
      <c r="D92" s="30"/>
    </row>
    <row r="93" spans="1:4" ht="15.75" customHeight="1">
      <c r="A93" s="29">
        <v>21203</v>
      </c>
      <c r="B93" s="12" t="s">
        <v>379</v>
      </c>
      <c r="C93" s="16"/>
      <c r="D93" s="30"/>
    </row>
    <row r="94" spans="1:4" ht="15.75" customHeight="1">
      <c r="A94" s="29">
        <v>21204</v>
      </c>
      <c r="B94" s="12" t="s">
        <v>311</v>
      </c>
      <c r="C94" s="16"/>
      <c r="D94" s="30"/>
    </row>
    <row r="95" spans="1:4" ht="15.75" customHeight="1">
      <c r="A95" s="29">
        <v>21301</v>
      </c>
      <c r="B95" s="12" t="s">
        <v>376</v>
      </c>
      <c r="C95" s="16"/>
      <c r="D95" s="30"/>
    </row>
    <row r="96" spans="1:4" ht="15.75" customHeight="1">
      <c r="A96" s="29">
        <v>21302</v>
      </c>
      <c r="B96" s="12" t="s">
        <v>312</v>
      </c>
      <c r="C96" s="16"/>
      <c r="D96" s="30"/>
    </row>
    <row r="97" spans="1:4" ht="15.75" customHeight="1">
      <c r="A97" s="29">
        <v>21303</v>
      </c>
      <c r="B97" s="12" t="s">
        <v>378</v>
      </c>
      <c r="C97" s="16"/>
      <c r="D97" s="30"/>
    </row>
    <row r="98" spans="1:4" ht="15.75" customHeight="1">
      <c r="A98" s="29">
        <v>21304</v>
      </c>
      <c r="B98" s="12" t="s">
        <v>176</v>
      </c>
      <c r="C98" s="16"/>
      <c r="D98" s="30"/>
    </row>
    <row r="99" spans="1:4" ht="15.75" customHeight="1">
      <c r="A99" s="29">
        <v>21305</v>
      </c>
      <c r="B99" s="12" t="s">
        <v>313</v>
      </c>
      <c r="C99" s="16"/>
      <c r="D99" s="30"/>
    </row>
    <row r="100" spans="1:4" ht="15.75" customHeight="1">
      <c r="A100" s="29">
        <v>21306</v>
      </c>
      <c r="B100" s="12" t="s">
        <v>314</v>
      </c>
      <c r="C100" s="16"/>
      <c r="D100" s="30"/>
    </row>
    <row r="101" spans="1:4" ht="15.75" customHeight="1">
      <c r="A101" s="29">
        <v>21307</v>
      </c>
      <c r="B101" s="12" t="s">
        <v>315</v>
      </c>
      <c r="C101" s="16"/>
      <c r="D101" s="30"/>
    </row>
    <row r="102" spans="1:4" ht="15.75" customHeight="1">
      <c r="A102" s="29">
        <v>21401</v>
      </c>
      <c r="B102" s="12" t="s">
        <v>222</v>
      </c>
      <c r="C102" s="16">
        <v>0.14171834573908709</v>
      </c>
      <c r="D102" s="30">
        <v>0.86163150083553353</v>
      </c>
    </row>
    <row r="103" spans="1:4" ht="15.75" customHeight="1">
      <c r="A103" s="29">
        <v>21402</v>
      </c>
      <c r="B103" s="12" t="s">
        <v>238</v>
      </c>
      <c r="C103" s="16">
        <v>0.15164330013478841</v>
      </c>
      <c r="D103" s="30">
        <v>0.7561412752715635</v>
      </c>
    </row>
    <row r="104" spans="1:4" ht="15.75" customHeight="1">
      <c r="A104" s="29">
        <v>21501</v>
      </c>
      <c r="B104" s="12" t="s">
        <v>195</v>
      </c>
      <c r="C104" s="16">
        <v>0.26673635721669414</v>
      </c>
      <c r="D104" s="30">
        <v>0.30366931682416609</v>
      </c>
    </row>
    <row r="105" spans="1:4" ht="15.75" customHeight="1">
      <c r="A105" s="29">
        <v>21502</v>
      </c>
      <c r="B105" s="12" t="s">
        <v>210</v>
      </c>
      <c r="C105" s="16">
        <v>0.98744796408785951</v>
      </c>
      <c r="D105" s="30">
        <v>0.756021217515775</v>
      </c>
    </row>
    <row r="106" spans="1:4" ht="15.75" customHeight="1">
      <c r="A106" s="29">
        <v>21601</v>
      </c>
      <c r="B106" s="12" t="s">
        <v>191</v>
      </c>
      <c r="C106" s="16">
        <v>0.3172109783988753</v>
      </c>
      <c r="D106" s="30">
        <v>0.28551755111336735</v>
      </c>
    </row>
    <row r="107" spans="1:4" ht="15.75" customHeight="1">
      <c r="A107" s="29">
        <v>21602</v>
      </c>
      <c r="B107" s="12" t="s">
        <v>250</v>
      </c>
      <c r="C107" s="16">
        <v>0.92815856974119182</v>
      </c>
      <c r="D107" s="30">
        <v>0.17717484746189166</v>
      </c>
    </row>
    <row r="108" spans="1:4" ht="15.75" customHeight="1">
      <c r="A108" s="29">
        <v>21701</v>
      </c>
      <c r="B108" s="12" t="s">
        <v>316</v>
      </c>
      <c r="C108" s="16"/>
      <c r="D108" s="30"/>
    </row>
    <row r="109" spans="1:4" ht="15.75" customHeight="1">
      <c r="A109" s="29">
        <v>21702</v>
      </c>
      <c r="B109" s="12" t="s">
        <v>317</v>
      </c>
      <c r="C109" s="16"/>
      <c r="D109" s="30"/>
    </row>
    <row r="110" spans="1:4" ht="15.75" customHeight="1">
      <c r="A110" s="29">
        <v>21703</v>
      </c>
      <c r="B110" s="12" t="s">
        <v>318</v>
      </c>
      <c r="C110" s="16"/>
      <c r="D110" s="30"/>
    </row>
    <row r="111" spans="1:4" ht="15.75" customHeight="1">
      <c r="A111" s="29">
        <v>21801</v>
      </c>
      <c r="B111" s="12" t="s">
        <v>319</v>
      </c>
      <c r="C111" s="16"/>
      <c r="D111" s="30"/>
    </row>
    <row r="112" spans="1:4" ht="15.75" customHeight="1">
      <c r="A112" s="29">
        <v>21802</v>
      </c>
      <c r="B112" s="12" t="s">
        <v>320</v>
      </c>
      <c r="C112" s="16"/>
      <c r="D112" s="30"/>
    </row>
    <row r="113" spans="1:4" ht="15.75" customHeight="1">
      <c r="A113" s="29">
        <v>21803</v>
      </c>
      <c r="B113" s="12" t="s">
        <v>321</v>
      </c>
      <c r="C113" s="16"/>
      <c r="D113" s="30"/>
    </row>
    <row r="114" spans="1:4" ht="15.75" customHeight="1">
      <c r="A114" s="29">
        <v>21901</v>
      </c>
      <c r="B114" s="12" t="s">
        <v>322</v>
      </c>
      <c r="C114" s="16"/>
      <c r="D114" s="30"/>
    </row>
    <row r="115" spans="1:4" ht="15.75" customHeight="1">
      <c r="A115" s="29">
        <v>21902</v>
      </c>
      <c r="B115" s="12" t="s">
        <v>323</v>
      </c>
      <c r="C115" s="16"/>
      <c r="D115" s="30"/>
    </row>
    <row r="116" spans="1:4" ht="15.75" customHeight="1">
      <c r="A116" s="29">
        <v>22001</v>
      </c>
      <c r="B116" s="12" t="s">
        <v>201</v>
      </c>
      <c r="C116" s="16">
        <v>0.33769642296344171</v>
      </c>
      <c r="D116" s="30">
        <v>1.7160834269313161</v>
      </c>
    </row>
    <row r="117" spans="1:4" ht="15.75" customHeight="1">
      <c r="A117" s="29">
        <v>22002</v>
      </c>
      <c r="B117" s="12" t="s">
        <v>126</v>
      </c>
      <c r="C117" s="16">
        <v>0.88669260824241847</v>
      </c>
      <c r="D117" s="30">
        <v>1.8283558929551913</v>
      </c>
    </row>
    <row r="118" spans="1:4" ht="15.75" customHeight="1">
      <c r="A118" s="29">
        <v>30101</v>
      </c>
      <c r="B118" s="12" t="s">
        <v>132</v>
      </c>
      <c r="C118" s="16">
        <v>0.79512119808553339</v>
      </c>
      <c r="D118" s="30">
        <v>3.9389377798363432</v>
      </c>
    </row>
    <row r="119" spans="1:4" ht="15.75" customHeight="1">
      <c r="A119" s="29">
        <v>30201</v>
      </c>
      <c r="B119" s="12" t="s">
        <v>279</v>
      </c>
      <c r="C119" s="16">
        <v>0.4382532842213912</v>
      </c>
      <c r="D119" s="30">
        <v>3.2837556103313938E-2</v>
      </c>
    </row>
    <row r="120" spans="1:4" ht="15.75" customHeight="1">
      <c r="A120" s="29">
        <v>30202</v>
      </c>
      <c r="B120" s="12" t="s">
        <v>248</v>
      </c>
      <c r="C120" s="16">
        <v>0.59703208298179389</v>
      </c>
      <c r="D120" s="30">
        <v>0.21385917482135636</v>
      </c>
    </row>
    <row r="121" spans="1:4" ht="15.75" customHeight="1">
      <c r="A121" s="29">
        <v>30203</v>
      </c>
      <c r="B121" s="12" t="s">
        <v>258</v>
      </c>
      <c r="C121" s="16">
        <v>0.42035454192162741</v>
      </c>
      <c r="D121" s="30">
        <v>0.2168459152254347</v>
      </c>
    </row>
    <row r="122" spans="1:4" ht="15.75" customHeight="1">
      <c r="A122" s="29">
        <v>30301</v>
      </c>
      <c r="B122" s="12" t="s">
        <v>138</v>
      </c>
      <c r="C122" s="16">
        <v>0.64329118946119801</v>
      </c>
      <c r="D122" s="30">
        <v>0.88322652297536008</v>
      </c>
    </row>
    <row r="123" spans="1:4" ht="15.75" customHeight="1">
      <c r="A123" s="29">
        <v>30302</v>
      </c>
      <c r="B123" s="12" t="s">
        <v>142</v>
      </c>
      <c r="C123" s="16">
        <v>0.70655141894054951</v>
      </c>
      <c r="D123" s="30">
        <v>0.74911021976159564</v>
      </c>
    </row>
    <row r="124" spans="1:4" ht="15.75" customHeight="1">
      <c r="A124" s="29">
        <v>30303</v>
      </c>
      <c r="B124" s="12" t="s">
        <v>217</v>
      </c>
      <c r="C124" s="16">
        <v>0.14109420862015665</v>
      </c>
      <c r="D124" s="30">
        <v>0.31069729542704627</v>
      </c>
    </row>
    <row r="125" spans="1:4" ht="15.75" customHeight="1">
      <c r="A125" s="29">
        <v>30401</v>
      </c>
      <c r="B125" s="12" t="s">
        <v>282</v>
      </c>
      <c r="C125" s="16"/>
      <c r="D125" s="30"/>
    </row>
    <row r="126" spans="1:4" ht="15.75" customHeight="1">
      <c r="A126" s="29">
        <v>30402</v>
      </c>
      <c r="B126" s="12" t="s">
        <v>281</v>
      </c>
      <c r="C126" s="16">
        <v>0.93446509138181522</v>
      </c>
      <c r="D126" s="30">
        <v>0.24776324845147973</v>
      </c>
    </row>
    <row r="127" spans="1:4" ht="15.75" customHeight="1">
      <c r="A127" s="29">
        <v>30403</v>
      </c>
      <c r="B127" s="12" t="s">
        <v>224</v>
      </c>
      <c r="C127" s="16"/>
      <c r="D127" s="30"/>
    </row>
    <row r="128" spans="1:4" ht="15.75" customHeight="1">
      <c r="A128" s="29">
        <v>30404</v>
      </c>
      <c r="B128" s="12" t="s">
        <v>259</v>
      </c>
      <c r="C128" s="16"/>
      <c r="D128" s="30"/>
    </row>
    <row r="129" spans="1:4" ht="15.75" customHeight="1">
      <c r="A129" s="29">
        <v>30501</v>
      </c>
      <c r="B129" s="12" t="s">
        <v>211</v>
      </c>
      <c r="C129" s="16"/>
      <c r="D129" s="30"/>
    </row>
    <row r="130" spans="1:4" ht="15.75" customHeight="1">
      <c r="A130" s="29">
        <v>30502</v>
      </c>
      <c r="B130" s="12" t="s">
        <v>255</v>
      </c>
      <c r="C130" s="16"/>
      <c r="D130" s="30"/>
    </row>
    <row r="131" spans="1:4" ht="15.75" customHeight="1">
      <c r="A131" s="29">
        <v>30601</v>
      </c>
      <c r="B131" s="12" t="s">
        <v>392</v>
      </c>
      <c r="C131" s="16"/>
      <c r="D131" s="30"/>
    </row>
    <row r="132" spans="1:4" ht="15.75" customHeight="1">
      <c r="A132" s="29">
        <v>30602</v>
      </c>
      <c r="B132" s="12" t="s">
        <v>389</v>
      </c>
      <c r="C132" s="16"/>
      <c r="D132" s="30"/>
    </row>
    <row r="133" spans="1:4" ht="15.75" customHeight="1">
      <c r="A133" s="29">
        <v>30701</v>
      </c>
      <c r="B133" s="12" t="s">
        <v>237</v>
      </c>
      <c r="C133" s="16"/>
      <c r="D133" s="30"/>
    </row>
    <row r="134" spans="1:4" ht="15.75" customHeight="1">
      <c r="A134" s="29">
        <v>30702</v>
      </c>
      <c r="B134" s="12" t="s">
        <v>283</v>
      </c>
      <c r="C134" s="16">
        <v>0.85146866452610304</v>
      </c>
      <c r="D134" s="30">
        <v>0.44238316089903684</v>
      </c>
    </row>
    <row r="135" spans="1:4" ht="15.75" customHeight="1">
      <c r="A135" s="29">
        <v>30703</v>
      </c>
      <c r="B135" s="12" t="s">
        <v>267</v>
      </c>
      <c r="C135" s="16"/>
      <c r="D135" s="30"/>
    </row>
    <row r="136" spans="1:4" ht="15.75" customHeight="1">
      <c r="A136" s="29">
        <v>30801</v>
      </c>
      <c r="B136" s="12" t="s">
        <v>324</v>
      </c>
      <c r="C136" s="16"/>
      <c r="D136" s="30"/>
    </row>
    <row r="137" spans="1:4" ht="15.75" customHeight="1">
      <c r="A137" s="29">
        <v>30802</v>
      </c>
      <c r="B137" s="12" t="s">
        <v>381</v>
      </c>
      <c r="C137" s="16"/>
      <c r="D137" s="30"/>
    </row>
    <row r="138" spans="1:4" ht="15.75" customHeight="1">
      <c r="A138" s="29">
        <v>30803</v>
      </c>
      <c r="B138" s="12" t="s">
        <v>391</v>
      </c>
      <c r="C138" s="16"/>
      <c r="D138" s="30"/>
    </row>
    <row r="139" spans="1:4" ht="15.75" customHeight="1">
      <c r="A139" s="29">
        <v>30901</v>
      </c>
      <c r="B139" s="12" t="s">
        <v>261</v>
      </c>
      <c r="C139" s="16">
        <v>0.88499167783055255</v>
      </c>
      <c r="D139" s="30">
        <v>6.8911622620062518</v>
      </c>
    </row>
    <row r="140" spans="1:4" ht="15.75" customHeight="1">
      <c r="A140" s="29">
        <v>30902</v>
      </c>
      <c r="B140" s="12" t="s">
        <v>234</v>
      </c>
      <c r="C140" s="16">
        <v>0.59044162129461586</v>
      </c>
      <c r="D140" s="30">
        <v>4.0677555958862675</v>
      </c>
    </row>
    <row r="141" spans="1:4" ht="15.75" customHeight="1">
      <c r="A141" s="29">
        <v>30903</v>
      </c>
      <c r="B141" s="12" t="s">
        <v>227</v>
      </c>
      <c r="C141" s="16">
        <v>1.0862299465240639</v>
      </c>
      <c r="D141" s="30">
        <v>12.650401069518717</v>
      </c>
    </row>
    <row r="142" spans="1:4" ht="15.75" customHeight="1">
      <c r="A142" s="29">
        <v>30904</v>
      </c>
      <c r="B142" s="12" t="s">
        <v>244</v>
      </c>
      <c r="C142" s="16">
        <v>0.79982348723040453</v>
      </c>
      <c r="D142" s="30">
        <v>5.6943754941438218</v>
      </c>
    </row>
    <row r="143" spans="1:4" ht="15.75" customHeight="1">
      <c r="A143" s="29">
        <v>30905</v>
      </c>
      <c r="B143" s="12" t="s">
        <v>253</v>
      </c>
      <c r="C143" s="16"/>
      <c r="D143" s="30"/>
    </row>
    <row r="144" spans="1:4" ht="15.75" customHeight="1">
      <c r="A144" s="29">
        <v>31001</v>
      </c>
      <c r="B144" s="12" t="s">
        <v>232</v>
      </c>
      <c r="C144" s="16">
        <v>1.371290035418679</v>
      </c>
      <c r="D144" s="30">
        <v>4.9055817565391973</v>
      </c>
    </row>
    <row r="145" spans="1:4" ht="15.75" customHeight="1">
      <c r="A145" s="29">
        <v>31002</v>
      </c>
      <c r="B145" s="12" t="s">
        <v>220</v>
      </c>
      <c r="C145" s="16">
        <v>0.89406418181350344</v>
      </c>
      <c r="D145" s="30">
        <v>1.719841415934809</v>
      </c>
    </row>
    <row r="146" spans="1:4" ht="15.75" customHeight="1">
      <c r="A146" s="29">
        <v>31003</v>
      </c>
      <c r="B146" s="12" t="s">
        <v>171</v>
      </c>
      <c r="C146" s="16">
        <v>0.92463267017316575</v>
      </c>
      <c r="D146" s="30">
        <v>1.076207100354194</v>
      </c>
    </row>
    <row r="147" spans="1:4" ht="15.75" customHeight="1">
      <c r="A147" s="29">
        <v>31101</v>
      </c>
      <c r="B147" s="12" t="s">
        <v>202</v>
      </c>
      <c r="C147" s="16"/>
      <c r="D147" s="30"/>
    </row>
    <row r="148" spans="1:4" ht="15.75" customHeight="1">
      <c r="A148" s="29">
        <v>31201</v>
      </c>
      <c r="B148" s="12" t="s">
        <v>257</v>
      </c>
      <c r="C148" s="16">
        <v>0.41614125264041396</v>
      </c>
      <c r="D148" s="30">
        <v>0.35323835182123509</v>
      </c>
    </row>
    <row r="149" spans="1:4" ht="15.75" customHeight="1">
      <c r="A149" s="29">
        <v>31202</v>
      </c>
      <c r="B149" s="12" t="s">
        <v>269</v>
      </c>
      <c r="C149" s="16">
        <v>0.28378799412146988</v>
      </c>
      <c r="D149" s="30">
        <v>0.19989677150720106</v>
      </c>
    </row>
    <row r="150" spans="1:4" ht="15.75" customHeight="1">
      <c r="A150" s="29">
        <v>31203</v>
      </c>
      <c r="B150" s="12" t="s">
        <v>251</v>
      </c>
      <c r="C150" s="16">
        <v>0.69275488894236059</v>
      </c>
      <c r="D150" s="30">
        <v>1.2286596143506019</v>
      </c>
    </row>
    <row r="151" spans="1:4" ht="15.75" customHeight="1">
      <c r="A151" s="29">
        <v>31204</v>
      </c>
      <c r="B151" s="12" t="s">
        <v>133</v>
      </c>
      <c r="C151" s="16">
        <v>1.5174723992886729</v>
      </c>
      <c r="D151" s="30">
        <v>1.287016834554487</v>
      </c>
    </row>
    <row r="152" spans="1:4" ht="15.75" customHeight="1">
      <c r="A152" s="29">
        <v>31205</v>
      </c>
      <c r="B152" s="12" t="s">
        <v>145</v>
      </c>
      <c r="C152" s="16">
        <v>1.8304131569971307</v>
      </c>
      <c r="D152" s="30">
        <v>1.7950399182744472</v>
      </c>
    </row>
    <row r="153" spans="1:4" ht="15.75" customHeight="1">
      <c r="A153" s="29">
        <v>31206</v>
      </c>
      <c r="B153" s="12" t="s">
        <v>164</v>
      </c>
      <c r="C153" s="16">
        <v>1.1792738707983055</v>
      </c>
      <c r="D153" s="30">
        <v>1.205720165667147</v>
      </c>
    </row>
    <row r="154" spans="1:4" ht="15.75" customHeight="1">
      <c r="A154" s="29">
        <v>31301</v>
      </c>
      <c r="B154" s="12" t="s">
        <v>275</v>
      </c>
      <c r="C154" s="16">
        <v>0.53947185407435372</v>
      </c>
      <c r="D154" s="30">
        <v>0.15448963776899077</v>
      </c>
    </row>
    <row r="155" spans="1:4" ht="15.75" customHeight="1">
      <c r="A155" s="29">
        <v>31302</v>
      </c>
      <c r="B155" s="12" t="s">
        <v>287</v>
      </c>
      <c r="C155" s="16">
        <v>0.74930301036869973</v>
      </c>
      <c r="D155" s="30">
        <v>0.25937411897378065</v>
      </c>
    </row>
    <row r="156" spans="1:4" ht="15.75" customHeight="1">
      <c r="A156" s="29">
        <v>31303</v>
      </c>
      <c r="B156" s="12" t="s">
        <v>277</v>
      </c>
      <c r="C156" s="16"/>
      <c r="D156" s="30"/>
    </row>
    <row r="157" spans="1:4" ht="15.75" customHeight="1">
      <c r="A157" s="29">
        <v>31304</v>
      </c>
      <c r="B157" s="12" t="s">
        <v>256</v>
      </c>
      <c r="C157" s="16">
        <v>0.36554698099674199</v>
      </c>
      <c r="D157" s="30">
        <v>8.0944603357040595E-2</v>
      </c>
    </row>
    <row r="158" spans="1:4" ht="15.75" customHeight="1">
      <c r="A158" s="29">
        <v>31401</v>
      </c>
      <c r="B158" s="12" t="s">
        <v>387</v>
      </c>
      <c r="C158" s="16"/>
      <c r="D158" s="30"/>
    </row>
    <row r="159" spans="1:4" ht="15.75" customHeight="1">
      <c r="A159" s="29">
        <v>31402</v>
      </c>
      <c r="B159" s="12" t="s">
        <v>374</v>
      </c>
      <c r="C159" s="16"/>
      <c r="D159" s="30"/>
    </row>
    <row r="160" spans="1:4" ht="15.75" customHeight="1">
      <c r="A160" s="29">
        <v>31403</v>
      </c>
      <c r="B160" s="12" t="s">
        <v>393</v>
      </c>
      <c r="C160" s="16"/>
      <c r="D160" s="30"/>
    </row>
    <row r="161" spans="1:4" ht="15.75" customHeight="1">
      <c r="A161" s="29">
        <v>31404</v>
      </c>
      <c r="B161" s="12" t="s">
        <v>377</v>
      </c>
      <c r="C161" s="16"/>
      <c r="D161" s="30"/>
    </row>
    <row r="162" spans="1:4" ht="15.75" customHeight="1">
      <c r="A162" s="29">
        <v>31405</v>
      </c>
      <c r="B162" s="12" t="s">
        <v>390</v>
      </c>
      <c r="C162" s="16"/>
      <c r="D162" s="30"/>
    </row>
    <row r="163" spans="1:4" ht="15.75" customHeight="1">
      <c r="A163" s="29">
        <v>31501</v>
      </c>
      <c r="B163" s="12" t="s">
        <v>384</v>
      </c>
      <c r="C163" s="16"/>
      <c r="D163" s="30"/>
    </row>
    <row r="164" spans="1:4" ht="15.75" customHeight="1">
      <c r="A164" s="29">
        <v>31601</v>
      </c>
      <c r="B164" s="12" t="s">
        <v>265</v>
      </c>
      <c r="C164" s="16">
        <v>0.34227685183608852</v>
      </c>
      <c r="D164" s="30">
        <v>0.32230148056089936</v>
      </c>
    </row>
    <row r="165" spans="1:4" ht="15.75" customHeight="1">
      <c r="A165" s="29">
        <v>31602</v>
      </c>
      <c r="B165" s="12" t="s">
        <v>134</v>
      </c>
      <c r="C165" s="16">
        <v>1.2883645350959361</v>
      </c>
      <c r="D165" s="30">
        <v>1.4726286440536347</v>
      </c>
    </row>
    <row r="166" spans="1:4" ht="15.75" customHeight="1">
      <c r="A166" s="29">
        <v>40101</v>
      </c>
      <c r="B166" s="12" t="s">
        <v>61</v>
      </c>
      <c r="C166" s="16"/>
      <c r="D166" s="30"/>
    </row>
    <row r="167" spans="1:4" ht="15.75" customHeight="1">
      <c r="A167" s="29">
        <v>40102</v>
      </c>
      <c r="B167" s="12" t="s">
        <v>325</v>
      </c>
      <c r="C167" s="16"/>
      <c r="D167" s="30"/>
    </row>
    <row r="168" spans="1:4" ht="15.75" customHeight="1">
      <c r="A168" s="29">
        <v>40103</v>
      </c>
      <c r="B168" s="12" t="s">
        <v>326</v>
      </c>
      <c r="C168" s="16"/>
      <c r="D168" s="30"/>
    </row>
    <row r="169" spans="1:4" ht="15.75" customHeight="1">
      <c r="A169" s="29">
        <v>40104</v>
      </c>
      <c r="B169" s="12" t="s">
        <v>327</v>
      </c>
      <c r="C169" s="16"/>
      <c r="D169" s="30"/>
    </row>
    <row r="170" spans="1:4" ht="15.75" customHeight="1">
      <c r="A170" s="29">
        <v>40201</v>
      </c>
      <c r="B170" s="12" t="s">
        <v>62</v>
      </c>
      <c r="C170" s="16"/>
      <c r="D170" s="30"/>
    </row>
    <row r="171" spans="1:4" ht="15.75" customHeight="1">
      <c r="A171" s="29">
        <v>40202</v>
      </c>
      <c r="B171" s="12" t="s">
        <v>328</v>
      </c>
      <c r="C171" s="16"/>
      <c r="D171" s="30"/>
    </row>
    <row r="172" spans="1:4" ht="15.75" customHeight="1">
      <c r="A172" s="29">
        <v>40301</v>
      </c>
      <c r="B172" s="12" t="s">
        <v>329</v>
      </c>
      <c r="C172" s="16"/>
      <c r="D172" s="30"/>
    </row>
    <row r="173" spans="1:4" ht="15.75" customHeight="1">
      <c r="A173" s="29">
        <v>40302</v>
      </c>
      <c r="B173" s="12" t="s">
        <v>330</v>
      </c>
      <c r="C173" s="16"/>
      <c r="D173" s="30"/>
    </row>
    <row r="174" spans="1:4" ht="15.75" customHeight="1">
      <c r="A174" s="29">
        <v>40401</v>
      </c>
      <c r="B174" s="12" t="s">
        <v>331</v>
      </c>
      <c r="C174" s="16"/>
      <c r="D174" s="30"/>
    </row>
    <row r="175" spans="1:4" ht="15.75" customHeight="1">
      <c r="A175" s="29">
        <v>40402</v>
      </c>
      <c r="B175" s="12" t="s">
        <v>332</v>
      </c>
      <c r="C175" s="16"/>
      <c r="D175" s="30"/>
    </row>
    <row r="176" spans="1:4" ht="15.75" customHeight="1">
      <c r="A176" s="29">
        <v>40501</v>
      </c>
      <c r="B176" s="12" t="s">
        <v>333</v>
      </c>
      <c r="C176" s="16"/>
      <c r="D176" s="30"/>
    </row>
    <row r="177" spans="1:4" ht="15.75" customHeight="1">
      <c r="A177" s="29">
        <v>40502</v>
      </c>
      <c r="B177" s="12" t="s">
        <v>334</v>
      </c>
      <c r="C177" s="16"/>
      <c r="D177" s="30"/>
    </row>
    <row r="178" spans="1:4" ht="15.75" customHeight="1">
      <c r="A178" s="29">
        <v>40503</v>
      </c>
      <c r="B178" s="12" t="s">
        <v>335</v>
      </c>
      <c r="C178" s="16"/>
      <c r="D178" s="30"/>
    </row>
    <row r="179" spans="1:4" ht="15.75" customHeight="1">
      <c r="A179" s="29">
        <v>40504</v>
      </c>
      <c r="B179" s="12" t="s">
        <v>336</v>
      </c>
      <c r="C179" s="16"/>
      <c r="D179" s="30"/>
    </row>
    <row r="180" spans="1:4" ht="15.75" customHeight="1">
      <c r="A180" s="29">
        <v>40505</v>
      </c>
      <c r="B180" s="12" t="s">
        <v>337</v>
      </c>
      <c r="C180" s="16"/>
      <c r="D180" s="30"/>
    </row>
    <row r="181" spans="1:4" ht="15.75" customHeight="1">
      <c r="A181" s="29">
        <v>40601</v>
      </c>
      <c r="B181" s="12" t="s">
        <v>338</v>
      </c>
      <c r="C181" s="16"/>
      <c r="D181" s="30"/>
    </row>
    <row r="182" spans="1:4" ht="15.75" customHeight="1">
      <c r="A182" s="29">
        <v>40602</v>
      </c>
      <c r="B182" s="12" t="s">
        <v>339</v>
      </c>
      <c r="C182" s="16"/>
      <c r="D182" s="30"/>
    </row>
    <row r="183" spans="1:4" ht="15.75" customHeight="1">
      <c r="A183" s="29">
        <v>40603</v>
      </c>
      <c r="B183" s="12" t="s">
        <v>340</v>
      </c>
      <c r="C183" s="16"/>
      <c r="D183" s="30"/>
    </row>
    <row r="184" spans="1:4" ht="15.75" customHeight="1">
      <c r="A184" s="29">
        <v>40701</v>
      </c>
      <c r="B184" s="12" t="s">
        <v>341</v>
      </c>
      <c r="C184" s="16"/>
      <c r="D184" s="30"/>
    </row>
    <row r="185" spans="1:4" ht="15.75" customHeight="1">
      <c r="A185" s="29">
        <v>40702</v>
      </c>
      <c r="B185" s="12" t="s">
        <v>342</v>
      </c>
      <c r="C185" s="16"/>
      <c r="D185" s="30"/>
    </row>
    <row r="186" spans="1:4" ht="15.75" customHeight="1">
      <c r="A186" s="29">
        <v>40801</v>
      </c>
      <c r="B186" s="12" t="s">
        <v>343</v>
      </c>
      <c r="C186" s="16"/>
      <c r="D186" s="30"/>
    </row>
    <row r="187" spans="1:4" ht="15.75" customHeight="1">
      <c r="A187" s="29">
        <v>40802</v>
      </c>
      <c r="B187" s="12" t="s">
        <v>344</v>
      </c>
      <c r="C187" s="16"/>
      <c r="D187" s="30"/>
    </row>
    <row r="188" spans="1:4" ht="15.75" customHeight="1">
      <c r="A188" s="29">
        <v>40901</v>
      </c>
      <c r="B188" s="12" t="s">
        <v>345</v>
      </c>
      <c r="C188" s="16"/>
      <c r="D188" s="30"/>
    </row>
    <row r="189" spans="1:4" ht="15.75" customHeight="1">
      <c r="A189" s="29">
        <v>40902</v>
      </c>
      <c r="B189" s="12" t="s">
        <v>346</v>
      </c>
      <c r="C189" s="16"/>
      <c r="D189" s="30"/>
    </row>
    <row r="190" spans="1:4" ht="15.75" customHeight="1">
      <c r="A190" s="29">
        <v>40903</v>
      </c>
      <c r="B190" s="12" t="s">
        <v>347</v>
      </c>
      <c r="C190" s="16"/>
      <c r="D190" s="30"/>
    </row>
    <row r="191" spans="1:4" ht="15.75" customHeight="1">
      <c r="A191" s="29">
        <v>41001</v>
      </c>
      <c r="B191" s="12" t="s">
        <v>348</v>
      </c>
      <c r="C191" s="16"/>
      <c r="D191" s="30"/>
    </row>
    <row r="192" spans="1:4" ht="15.75" customHeight="1">
      <c r="A192" s="29">
        <v>41101</v>
      </c>
      <c r="B192" s="12" t="s">
        <v>349</v>
      </c>
      <c r="C192" s="16"/>
      <c r="D192" s="30"/>
    </row>
    <row r="193" spans="1:4" ht="15.75" customHeight="1">
      <c r="A193" s="29">
        <v>41201</v>
      </c>
      <c r="B193" s="12" t="s">
        <v>350</v>
      </c>
      <c r="C193" s="16"/>
      <c r="D193" s="30"/>
    </row>
    <row r="194" spans="1:4" ht="15.75" customHeight="1">
      <c r="A194" s="29">
        <v>41202</v>
      </c>
      <c r="B194" s="12" t="s">
        <v>351</v>
      </c>
      <c r="C194" s="16"/>
      <c r="D194" s="30"/>
    </row>
    <row r="195" spans="1:4" ht="15.75" customHeight="1">
      <c r="A195" s="29">
        <v>41301</v>
      </c>
      <c r="B195" s="12" t="s">
        <v>257</v>
      </c>
      <c r="C195" s="16"/>
      <c r="D195" s="30"/>
    </row>
    <row r="196" spans="1:4" ht="15.75" customHeight="1">
      <c r="A196" s="29">
        <v>41401</v>
      </c>
      <c r="B196" s="12" t="s">
        <v>64</v>
      </c>
      <c r="C196" s="16"/>
      <c r="D196" s="30"/>
    </row>
    <row r="197" spans="1:4" ht="15.75" customHeight="1">
      <c r="A197" s="29">
        <v>41501</v>
      </c>
      <c r="B197" s="12" t="s">
        <v>352</v>
      </c>
      <c r="C197" s="16"/>
      <c r="D197" s="30"/>
    </row>
    <row r="198" spans="1:4" ht="15.75" customHeight="1">
      <c r="A198" s="29">
        <v>41502</v>
      </c>
      <c r="B198" s="12" t="s">
        <v>353</v>
      </c>
      <c r="C198" s="16"/>
      <c r="D198" s="30"/>
    </row>
    <row r="199" spans="1:4" ht="15.75" customHeight="1">
      <c r="A199" s="29">
        <v>41503</v>
      </c>
      <c r="B199" s="12" t="s">
        <v>354</v>
      </c>
      <c r="C199" s="16"/>
      <c r="D199" s="30"/>
    </row>
    <row r="200" spans="1:4" ht="15.75" customHeight="1">
      <c r="A200" s="29">
        <v>41601</v>
      </c>
      <c r="B200" s="12" t="s">
        <v>355</v>
      </c>
      <c r="C200" s="16"/>
      <c r="D200" s="30"/>
    </row>
    <row r="201" spans="1:4" ht="15.75" customHeight="1">
      <c r="A201" s="29">
        <v>50101</v>
      </c>
      <c r="B201" s="12" t="s">
        <v>58</v>
      </c>
      <c r="C201" s="16"/>
      <c r="D201" s="30"/>
    </row>
    <row r="202" spans="1:4" ht="15.75" customHeight="1">
      <c r="A202" s="29">
        <v>50102</v>
      </c>
      <c r="B202" s="12" t="s">
        <v>60</v>
      </c>
      <c r="C202" s="16"/>
      <c r="D202" s="30"/>
    </row>
    <row r="203" spans="1:4" ht="15.75" customHeight="1">
      <c r="A203" s="29">
        <v>50103</v>
      </c>
      <c r="B203" s="12" t="s">
        <v>356</v>
      </c>
      <c r="C203" s="16"/>
      <c r="D203" s="30"/>
    </row>
    <row r="204" spans="1:4" ht="15.75" customHeight="1">
      <c r="A204" s="29">
        <v>50104</v>
      </c>
      <c r="B204" s="12" t="s">
        <v>63</v>
      </c>
      <c r="C204" s="16"/>
      <c r="D204" s="30"/>
    </row>
    <row r="205" spans="1:4" ht="15.75" customHeight="1">
      <c r="A205" s="29">
        <v>50201</v>
      </c>
      <c r="B205" s="12" t="s">
        <v>371</v>
      </c>
      <c r="C205" s="16"/>
      <c r="D205" s="30"/>
    </row>
    <row r="206" spans="1:4" ht="15.75" customHeight="1">
      <c r="A206" s="29">
        <v>50202</v>
      </c>
      <c r="B206" s="12" t="s">
        <v>385</v>
      </c>
      <c r="C206" s="16"/>
      <c r="D206" s="30"/>
    </row>
    <row r="207" spans="1:4" ht="15.75" customHeight="1">
      <c r="A207" s="29">
        <v>50203</v>
      </c>
      <c r="B207" s="12" t="s">
        <v>386</v>
      </c>
      <c r="C207" s="16"/>
      <c r="D207" s="30"/>
    </row>
    <row r="208" spans="1:4" ht="15.75" customHeight="1">
      <c r="A208" s="29">
        <v>50204</v>
      </c>
      <c r="B208" s="12" t="s">
        <v>357</v>
      </c>
      <c r="C208" s="16"/>
      <c r="D208" s="30"/>
    </row>
    <row r="209" spans="1:4" ht="15.75" customHeight="1">
      <c r="A209" s="29">
        <v>50301</v>
      </c>
      <c r="B209" s="12" t="s">
        <v>81</v>
      </c>
      <c r="C209" s="16">
        <v>0.7408586180069312</v>
      </c>
      <c r="D209" s="30">
        <v>4.6520263102058133</v>
      </c>
    </row>
    <row r="210" spans="1:4" ht="15.75" customHeight="1">
      <c r="A210" s="29">
        <v>50302</v>
      </c>
      <c r="B210" s="12" t="s">
        <v>78</v>
      </c>
      <c r="C210" s="16"/>
      <c r="D210" s="30"/>
    </row>
    <row r="211" spans="1:4" ht="15.75" customHeight="1">
      <c r="A211" s="29">
        <v>50303</v>
      </c>
      <c r="B211" s="12" t="s">
        <v>79</v>
      </c>
      <c r="C211" s="16"/>
      <c r="D211" s="30"/>
    </row>
    <row r="212" spans="1:4" ht="15.75" customHeight="1">
      <c r="A212" s="29">
        <v>50401</v>
      </c>
      <c r="B212" s="12" t="s">
        <v>396</v>
      </c>
      <c r="C212" s="16">
        <v>0.86979974377992042</v>
      </c>
      <c r="D212" s="30">
        <v>0.1415953071269638</v>
      </c>
    </row>
    <row r="213" spans="1:4" ht="15.75" customHeight="1">
      <c r="A213" s="29">
        <v>50402</v>
      </c>
      <c r="B213" s="12" t="s">
        <v>184</v>
      </c>
      <c r="C213" s="16">
        <v>0.6680279311301015</v>
      </c>
      <c r="D213" s="30">
        <v>0.58357911719478694</v>
      </c>
    </row>
    <row r="214" spans="1:4" ht="15.75" customHeight="1">
      <c r="A214" s="29">
        <v>50403</v>
      </c>
      <c r="B214" s="12" t="s">
        <v>207</v>
      </c>
      <c r="C214" s="16"/>
      <c r="D214" s="30"/>
    </row>
    <row r="215" spans="1:4" ht="15.75" customHeight="1">
      <c r="A215" s="29">
        <v>50404</v>
      </c>
      <c r="B215" s="12" t="s">
        <v>108</v>
      </c>
      <c r="C215" s="16"/>
      <c r="D215" s="30"/>
    </row>
    <row r="216" spans="1:4" ht="15.75" customHeight="1">
      <c r="A216" s="29">
        <v>50405</v>
      </c>
      <c r="B216" s="12" t="s">
        <v>358</v>
      </c>
      <c r="C216" s="16"/>
      <c r="D216" s="30"/>
    </row>
    <row r="217" spans="1:4" ht="15.75" customHeight="1">
      <c r="A217" s="29">
        <v>50501</v>
      </c>
      <c r="B217" s="12" t="s">
        <v>102</v>
      </c>
      <c r="C217" s="16">
        <v>0.81241280621023193</v>
      </c>
      <c r="D217" s="30">
        <v>0.29481371936701201</v>
      </c>
    </row>
    <row r="218" spans="1:4" ht="15.75" customHeight="1">
      <c r="A218" s="29">
        <v>50502</v>
      </c>
      <c r="B218" s="12" t="s">
        <v>278</v>
      </c>
      <c r="C218" s="16">
        <v>0.42676918495617711</v>
      </c>
      <c r="D218" s="30">
        <v>0.15106725755210818</v>
      </c>
    </row>
    <row r="219" spans="1:4" ht="15.75" customHeight="1">
      <c r="A219" s="29">
        <v>50601</v>
      </c>
      <c r="B219" s="12" t="s">
        <v>75</v>
      </c>
      <c r="C219" s="16"/>
      <c r="D219" s="30"/>
    </row>
    <row r="220" spans="1:4" ht="15.75" customHeight="1">
      <c r="A220" s="29">
        <v>50602</v>
      </c>
      <c r="B220" s="12" t="s">
        <v>74</v>
      </c>
      <c r="C220" s="16"/>
      <c r="D220" s="30"/>
    </row>
    <row r="221" spans="1:4" ht="15.75" customHeight="1">
      <c r="A221" s="29">
        <v>50701</v>
      </c>
      <c r="B221" s="12" t="s">
        <v>388</v>
      </c>
      <c r="C221" s="16"/>
      <c r="D221" s="30"/>
    </row>
    <row r="222" spans="1:4" ht="15.75" customHeight="1">
      <c r="A222" s="29">
        <v>50702</v>
      </c>
      <c r="B222" s="12" t="s">
        <v>373</v>
      </c>
      <c r="C222" s="16"/>
      <c r="D222" s="30"/>
    </row>
    <row r="223" spans="1:4" ht="15.75" customHeight="1">
      <c r="A223" s="29">
        <v>50801</v>
      </c>
      <c r="B223" s="12" t="s">
        <v>67</v>
      </c>
      <c r="C223" s="16"/>
      <c r="D223" s="30"/>
    </row>
    <row r="224" spans="1:4" ht="15.75" customHeight="1">
      <c r="A224" s="29">
        <v>50802</v>
      </c>
      <c r="B224" s="12" t="s">
        <v>369</v>
      </c>
      <c r="C224" s="16"/>
      <c r="D224" s="30"/>
    </row>
    <row r="225" spans="1:4" ht="15.75" customHeight="1">
      <c r="A225" s="29">
        <v>50901</v>
      </c>
      <c r="B225" s="12" t="s">
        <v>359</v>
      </c>
      <c r="C225" s="16"/>
      <c r="D225" s="30"/>
    </row>
    <row r="226" spans="1:4" ht="15.75" customHeight="1">
      <c r="A226" s="29">
        <v>50902</v>
      </c>
      <c r="B226" s="12" t="s">
        <v>360</v>
      </c>
      <c r="C226" s="16"/>
      <c r="D226" s="30"/>
    </row>
    <row r="227" spans="1:4" ht="15.75" customHeight="1">
      <c r="A227" s="29">
        <v>51001</v>
      </c>
      <c r="B227" s="12" t="s">
        <v>361</v>
      </c>
      <c r="C227" s="16"/>
      <c r="D227" s="30"/>
    </row>
    <row r="228" spans="1:4" ht="15.75" customHeight="1">
      <c r="A228" s="29">
        <v>51002</v>
      </c>
      <c r="B228" s="12" t="s">
        <v>362</v>
      </c>
      <c r="C228" s="16"/>
      <c r="D228" s="30"/>
    </row>
    <row r="229" spans="1:4" ht="15.75" customHeight="1">
      <c r="A229" s="29">
        <v>51003</v>
      </c>
      <c r="B229" s="12" t="s">
        <v>363</v>
      </c>
      <c r="C229" s="16"/>
      <c r="D229" s="30"/>
    </row>
    <row r="230" spans="1:4" ht="15.75" customHeight="1">
      <c r="A230" s="29">
        <v>51101</v>
      </c>
      <c r="B230" s="12" t="s">
        <v>82</v>
      </c>
      <c r="C230" s="16"/>
      <c r="D230" s="30"/>
    </row>
    <row r="231" spans="1:4" ht="15.75" customHeight="1">
      <c r="A231" s="29">
        <v>51102</v>
      </c>
      <c r="B231" s="12" t="s">
        <v>70</v>
      </c>
      <c r="C231" s="16"/>
      <c r="D231" s="30"/>
    </row>
    <row r="232" spans="1:4" ht="15.75" customHeight="1">
      <c r="A232" s="29">
        <v>51103</v>
      </c>
      <c r="B232" s="12" t="s">
        <v>77</v>
      </c>
      <c r="C232" s="16"/>
      <c r="D232" s="30"/>
    </row>
    <row r="233" spans="1:4" ht="15.75" customHeight="1">
      <c r="A233" s="29">
        <v>51201</v>
      </c>
      <c r="B233" s="12" t="s">
        <v>364</v>
      </c>
      <c r="C233" s="16"/>
      <c r="D233" s="30"/>
    </row>
    <row r="234" spans="1:4" ht="15.75" customHeight="1">
      <c r="A234" s="29">
        <v>51202</v>
      </c>
      <c r="B234" s="12" t="s">
        <v>68</v>
      </c>
      <c r="C234" s="16"/>
      <c r="D234" s="30"/>
    </row>
    <row r="235" spans="1:4" ht="15.75" customHeight="1">
      <c r="A235" s="29">
        <v>51203</v>
      </c>
      <c r="B235" s="12" t="s">
        <v>365</v>
      </c>
      <c r="C235" s="16"/>
      <c r="D235" s="30"/>
    </row>
    <row r="236" spans="1:4" ht="15.75" customHeight="1">
      <c r="A236" s="29">
        <v>51204</v>
      </c>
      <c r="B236" s="12" t="s">
        <v>59</v>
      </c>
      <c r="C236" s="16"/>
      <c r="D236" s="30"/>
    </row>
    <row r="237" spans="1:4" ht="15.75" customHeight="1">
      <c r="A237" s="29">
        <v>51301</v>
      </c>
      <c r="B237" s="12" t="s">
        <v>394</v>
      </c>
      <c r="C237" s="16"/>
      <c r="D237" s="30"/>
    </row>
    <row r="238" spans="1:4" ht="15.75" customHeight="1">
      <c r="A238" s="29">
        <v>51302</v>
      </c>
      <c r="B238" s="12" t="s">
        <v>395</v>
      </c>
      <c r="C238" s="16"/>
      <c r="D238" s="30"/>
    </row>
    <row r="239" spans="1:4" ht="15.75" customHeight="1">
      <c r="A239" s="29">
        <v>51401</v>
      </c>
      <c r="B239" s="12" t="s">
        <v>366</v>
      </c>
      <c r="C239" s="16"/>
      <c r="D239" s="30"/>
    </row>
    <row r="240" spans="1:4" ht="15.75" customHeight="1">
      <c r="A240" s="29">
        <v>51402</v>
      </c>
      <c r="B240" s="12" t="s">
        <v>367</v>
      </c>
      <c r="C240" s="16"/>
      <c r="D240" s="30"/>
    </row>
    <row r="241" spans="1:4" ht="15.75" customHeight="1">
      <c r="A241" s="29">
        <v>51501</v>
      </c>
      <c r="B241" s="12" t="s">
        <v>76</v>
      </c>
      <c r="C241" s="16"/>
      <c r="D241" s="30"/>
    </row>
    <row r="242" spans="1:4" ht="15.75" customHeight="1">
      <c r="A242" s="29">
        <v>51601</v>
      </c>
      <c r="B242" s="12" t="s">
        <v>368</v>
      </c>
      <c r="C242" s="16"/>
      <c r="D242" s="30"/>
    </row>
    <row r="243" spans="1:4" ht="15.75" customHeight="1">
      <c r="A243" s="29">
        <v>60101</v>
      </c>
      <c r="B243" s="12" t="s">
        <v>72</v>
      </c>
      <c r="C243" s="16">
        <v>0.33376357544230184</v>
      </c>
      <c r="D243" s="30">
        <v>0.50870076195691238</v>
      </c>
    </row>
    <row r="244" spans="1:4" ht="15.75" customHeight="1">
      <c r="A244" s="29">
        <v>60201</v>
      </c>
      <c r="B244" s="12" t="s">
        <v>223</v>
      </c>
      <c r="C244" s="16">
        <v>0.23327497157082985</v>
      </c>
      <c r="D244" s="30">
        <v>0.29201711800125268</v>
      </c>
    </row>
    <row r="245" spans="1:4" ht="15.75" customHeight="1">
      <c r="A245" s="29">
        <v>60202</v>
      </c>
      <c r="B245" s="12" t="s">
        <v>151</v>
      </c>
      <c r="C245" s="16">
        <v>0.86274700311370822</v>
      </c>
      <c r="D245" s="30">
        <v>1.4751944332634719</v>
      </c>
    </row>
    <row r="246" spans="1:4" ht="15.75" customHeight="1">
      <c r="A246" s="29">
        <v>60301</v>
      </c>
      <c r="B246" s="12" t="s">
        <v>152</v>
      </c>
      <c r="C246" s="16">
        <v>1.4215046629068524</v>
      </c>
      <c r="D246" s="30">
        <v>2.7141337068573601</v>
      </c>
    </row>
    <row r="247" spans="1:4" ht="15.75" customHeight="1">
      <c r="A247" s="29">
        <v>60302</v>
      </c>
      <c r="B247" s="12" t="s">
        <v>198</v>
      </c>
      <c r="C247" s="16">
        <v>0.4594446317611075</v>
      </c>
      <c r="D247" s="30">
        <v>0.54724863496394938</v>
      </c>
    </row>
    <row r="248" spans="1:4" ht="15.75" customHeight="1">
      <c r="A248" s="29">
        <v>60303</v>
      </c>
      <c r="B248" s="12" t="s">
        <v>208</v>
      </c>
      <c r="C248" s="16">
        <v>0.33298910265166254</v>
      </c>
      <c r="D248" s="30">
        <v>1.1529632842642445</v>
      </c>
    </row>
    <row r="249" spans="1:4" ht="15.75" customHeight="1">
      <c r="A249" s="29">
        <v>60401</v>
      </c>
      <c r="B249" s="12" t="s">
        <v>111</v>
      </c>
      <c r="C249" s="16">
        <v>0.84818114328136607</v>
      </c>
      <c r="D249" s="30">
        <v>1.2444320712694876</v>
      </c>
    </row>
    <row r="250" spans="1:4" ht="15.75" customHeight="1">
      <c r="A250" s="29">
        <v>60402</v>
      </c>
      <c r="B250" s="12" t="s">
        <v>73</v>
      </c>
      <c r="C250" s="16"/>
      <c r="D250" s="30"/>
    </row>
    <row r="251" spans="1:4" ht="15.75" customHeight="1">
      <c r="A251" s="29">
        <v>60501</v>
      </c>
      <c r="B251" s="12" t="s">
        <v>185</v>
      </c>
      <c r="C251" s="16">
        <v>0.38503368532461218</v>
      </c>
      <c r="D251" s="30">
        <v>0.3762736054695684</v>
      </c>
    </row>
    <row r="252" spans="1:4" ht="15.75" customHeight="1">
      <c r="A252" s="29">
        <v>60502</v>
      </c>
      <c r="B252" s="12" t="s">
        <v>80</v>
      </c>
      <c r="C252" s="16"/>
      <c r="D252" s="30"/>
    </row>
    <row r="253" spans="1:4" ht="15.75" customHeight="1">
      <c r="A253" s="29">
        <v>60601</v>
      </c>
      <c r="B253" s="12" t="s">
        <v>164</v>
      </c>
      <c r="C253" s="16">
        <v>0.1223614607520615</v>
      </c>
      <c r="D253" s="30">
        <v>0.60881560750592745</v>
      </c>
    </row>
    <row r="254" spans="1:4" ht="15.75" customHeight="1">
      <c r="A254" s="29">
        <v>70101</v>
      </c>
      <c r="B254" s="12" t="s">
        <v>104</v>
      </c>
      <c r="C254" s="16">
        <v>7.7401247883469013</v>
      </c>
      <c r="D254" s="30">
        <v>3.9092359355389066</v>
      </c>
    </row>
    <row r="255" spans="1:4" ht="15.75" customHeight="1">
      <c r="A255" s="29">
        <v>70102</v>
      </c>
      <c r="B255" s="12" t="s">
        <v>93</v>
      </c>
      <c r="C255" s="16">
        <v>6.1418826504718238</v>
      </c>
      <c r="D255" s="30">
        <v>4.7139379446198308</v>
      </c>
    </row>
    <row r="256" spans="1:4" ht="15.75" customHeight="1">
      <c r="A256" s="29">
        <v>70103</v>
      </c>
      <c r="B256" s="12" t="s">
        <v>166</v>
      </c>
      <c r="C256" s="16">
        <v>2.9898225738301698</v>
      </c>
      <c r="D256" s="30">
        <v>1.8440799071986715</v>
      </c>
    </row>
    <row r="257" spans="1:4" ht="15.75" customHeight="1">
      <c r="A257" s="29">
        <v>70104</v>
      </c>
      <c r="B257" s="12" t="s">
        <v>144</v>
      </c>
      <c r="C257" s="16">
        <v>4.0221744717266095</v>
      </c>
      <c r="D257" s="30">
        <v>2.8553052678454067</v>
      </c>
    </row>
    <row r="258" spans="1:4" ht="15.75" customHeight="1">
      <c r="A258" s="29">
        <v>70105</v>
      </c>
      <c r="B258" s="12" t="s">
        <v>179</v>
      </c>
      <c r="C258" s="16">
        <v>1.9098564024029689</v>
      </c>
      <c r="D258" s="30">
        <v>1.5428091103224386</v>
      </c>
    </row>
    <row r="259" spans="1:4" ht="15.75" customHeight="1">
      <c r="A259" s="29">
        <v>70201</v>
      </c>
      <c r="B259" s="12" t="s">
        <v>112</v>
      </c>
      <c r="C259" s="16">
        <v>5.3364975357018025</v>
      </c>
      <c r="D259" s="30">
        <v>2.8576493588810901</v>
      </c>
    </row>
    <row r="260" spans="1:4" ht="15.75" customHeight="1">
      <c r="A260" s="29">
        <v>70202</v>
      </c>
      <c r="B260" s="12" t="s">
        <v>99</v>
      </c>
      <c r="C260" s="16">
        <v>8.0441892616895707</v>
      </c>
      <c r="D260" s="30">
        <v>4.1800792373405971</v>
      </c>
    </row>
    <row r="261" spans="1:4" ht="15.75" customHeight="1">
      <c r="A261" s="29">
        <v>70301</v>
      </c>
      <c r="B261" s="12" t="s">
        <v>170</v>
      </c>
      <c r="C261" s="16">
        <v>0.51929028735797766</v>
      </c>
      <c r="D261" s="30">
        <v>1.3168248471357618</v>
      </c>
    </row>
    <row r="262" spans="1:4" ht="15.75" customHeight="1">
      <c r="A262" s="29">
        <v>70302</v>
      </c>
      <c r="B262" s="12" t="s">
        <v>159</v>
      </c>
      <c r="C262" s="16">
        <v>0.43048991806767017</v>
      </c>
      <c r="D262" s="30">
        <v>1.9451602425061869</v>
      </c>
    </row>
    <row r="263" spans="1:4" ht="15.75" customHeight="1">
      <c r="A263" s="29">
        <v>70303</v>
      </c>
      <c r="B263" s="12" t="s">
        <v>158</v>
      </c>
      <c r="C263" s="16">
        <v>0.28319812790642696</v>
      </c>
      <c r="D263" s="30">
        <v>1.4092534480008969</v>
      </c>
    </row>
    <row r="264" spans="1:4" ht="15.75" customHeight="1">
      <c r="A264" s="29">
        <v>70401</v>
      </c>
      <c r="B264" s="12" t="s">
        <v>200</v>
      </c>
      <c r="C264" s="16">
        <v>0.94112922396804677</v>
      </c>
      <c r="D264" s="30">
        <v>0.82753981883218963</v>
      </c>
    </row>
    <row r="265" spans="1:4" ht="15.75" customHeight="1">
      <c r="A265" s="29">
        <v>70402</v>
      </c>
      <c r="B265" s="12" t="s">
        <v>123</v>
      </c>
      <c r="C265" s="16">
        <v>3.0059846534612489</v>
      </c>
      <c r="D265" s="30">
        <v>2.9456966506358526</v>
      </c>
    </row>
    <row r="266" spans="1:4" ht="15.75" customHeight="1">
      <c r="A266" s="29">
        <v>70403</v>
      </c>
      <c r="B266" s="12" t="s">
        <v>162</v>
      </c>
      <c r="C266" s="16">
        <v>2.1221750464978308</v>
      </c>
      <c r="D266" s="30">
        <v>1.327974636695104</v>
      </c>
    </row>
    <row r="267" spans="1:4" ht="15.75" customHeight="1">
      <c r="A267" s="29">
        <v>70404</v>
      </c>
      <c r="B267" s="12" t="s">
        <v>98</v>
      </c>
      <c r="C267" s="16">
        <v>3.1512712698673853</v>
      </c>
      <c r="D267" s="30">
        <v>2.715332824483756</v>
      </c>
    </row>
    <row r="268" spans="1:4" ht="15.75" customHeight="1">
      <c r="A268" s="29">
        <v>70501</v>
      </c>
      <c r="B268" s="12" t="s">
        <v>116</v>
      </c>
      <c r="C268" s="16">
        <v>0.524127262458155</v>
      </c>
      <c r="D268" s="30">
        <v>1.9457027414117416</v>
      </c>
    </row>
    <row r="269" spans="1:4" ht="15.75" customHeight="1">
      <c r="A269" s="29">
        <v>70502</v>
      </c>
      <c r="B269" s="12" t="s">
        <v>131</v>
      </c>
      <c r="C269" s="16">
        <v>3.5160923719182455</v>
      </c>
      <c r="D269" s="30">
        <v>2.5464567289479643</v>
      </c>
    </row>
    <row r="270" spans="1:4" ht="15.75" customHeight="1">
      <c r="A270" s="29">
        <v>70503</v>
      </c>
      <c r="B270" s="12" t="s">
        <v>97</v>
      </c>
      <c r="C270" s="16">
        <v>0.12441116245152924</v>
      </c>
      <c r="D270" s="30">
        <v>2.1906459633810398</v>
      </c>
    </row>
    <row r="271" spans="1:4" ht="15.75" customHeight="1">
      <c r="A271" s="29">
        <v>70601</v>
      </c>
      <c r="B271" s="12" t="s">
        <v>118</v>
      </c>
      <c r="C271" s="16">
        <v>4.4209484058192494</v>
      </c>
      <c r="D271" s="30">
        <v>2.6171180421241309</v>
      </c>
    </row>
    <row r="272" spans="1:4" ht="15.75" customHeight="1">
      <c r="A272" s="29">
        <v>70602</v>
      </c>
      <c r="B272" s="12" t="s">
        <v>96</v>
      </c>
      <c r="C272" s="16">
        <v>4.2595898396012899</v>
      </c>
      <c r="D272" s="30">
        <v>3.847865287356103</v>
      </c>
    </row>
    <row r="273" spans="1:4" ht="15.75" customHeight="1">
      <c r="A273" s="29">
        <v>70603</v>
      </c>
      <c r="B273" s="12" t="s">
        <v>95</v>
      </c>
      <c r="C273" s="16">
        <v>2.4883913857888791</v>
      </c>
      <c r="D273" s="30">
        <v>3.9358551335037557</v>
      </c>
    </row>
    <row r="274" spans="1:4" ht="15.75" customHeight="1">
      <c r="A274" s="29">
        <v>70701</v>
      </c>
      <c r="B274" s="12" t="s">
        <v>233</v>
      </c>
      <c r="C274" s="16">
        <v>0.71996877684817184</v>
      </c>
      <c r="D274" s="30">
        <v>0.43121141475016278</v>
      </c>
    </row>
    <row r="275" spans="1:4" ht="15.75" customHeight="1">
      <c r="A275" s="29">
        <v>70702</v>
      </c>
      <c r="B275" s="12" t="s">
        <v>141</v>
      </c>
      <c r="C275" s="16">
        <v>0.26657792716649475</v>
      </c>
      <c r="D275" s="30">
        <v>0.94106479784913399</v>
      </c>
    </row>
    <row r="276" spans="1:4" ht="15.75" customHeight="1">
      <c r="A276" s="29">
        <v>70703</v>
      </c>
      <c r="B276" s="12" t="s">
        <v>146</v>
      </c>
      <c r="C276" s="16">
        <v>1.8844258106398302</v>
      </c>
      <c r="D276" s="30">
        <v>1.6241692645257693</v>
      </c>
    </row>
    <row r="277" spans="1:4" ht="15.75" customHeight="1">
      <c r="A277" s="29">
        <v>70704</v>
      </c>
      <c r="B277" s="12" t="s">
        <v>263</v>
      </c>
      <c r="C277" s="16">
        <v>0.31647440835799917</v>
      </c>
      <c r="D277" s="30">
        <v>0.37476009947424621</v>
      </c>
    </row>
    <row r="278" spans="1:4" ht="15.75" customHeight="1">
      <c r="A278" s="29">
        <v>70705</v>
      </c>
      <c r="B278" s="12" t="s">
        <v>206</v>
      </c>
      <c r="C278" s="16">
        <v>0.99458184627070156</v>
      </c>
      <c r="D278" s="30">
        <v>0.70999839866592318</v>
      </c>
    </row>
    <row r="279" spans="1:4" ht="15.75" customHeight="1">
      <c r="A279" s="29">
        <v>70706</v>
      </c>
      <c r="B279" s="12" t="s">
        <v>209</v>
      </c>
      <c r="C279" s="16">
        <v>0.6952804478440201</v>
      </c>
      <c r="D279" s="30">
        <v>0.69274242726684665</v>
      </c>
    </row>
    <row r="280" spans="1:4" ht="15.75" customHeight="1">
      <c r="A280" s="29">
        <v>70707</v>
      </c>
      <c r="B280" s="12" t="s">
        <v>215</v>
      </c>
      <c r="C280" s="16">
        <v>0.11949118724470809</v>
      </c>
      <c r="D280" s="30">
        <v>1.2621473196106987</v>
      </c>
    </row>
    <row r="281" spans="1:4" ht="15.75" customHeight="1">
      <c r="A281" s="29">
        <v>70801</v>
      </c>
      <c r="B281" s="12" t="s">
        <v>216</v>
      </c>
      <c r="C281" s="16">
        <v>0.40483962571367921</v>
      </c>
      <c r="D281" s="30">
        <v>0.57595591610455932</v>
      </c>
    </row>
    <row r="282" spans="1:4" ht="15.75" customHeight="1">
      <c r="A282" s="29">
        <v>70802</v>
      </c>
      <c r="B282" s="12" t="s">
        <v>247</v>
      </c>
      <c r="C282" s="16">
        <v>0.56616551537315452</v>
      </c>
      <c r="D282" s="30">
        <v>0.65088101658601449</v>
      </c>
    </row>
    <row r="283" spans="1:4" ht="15.75" customHeight="1">
      <c r="A283" s="29">
        <v>70803</v>
      </c>
      <c r="B283" s="12" t="s">
        <v>240</v>
      </c>
      <c r="C283" s="16">
        <v>0.84639042666219311</v>
      </c>
      <c r="D283" s="30">
        <v>0.74655631978228876</v>
      </c>
    </row>
    <row r="284" spans="1:4" ht="15.75" customHeight="1">
      <c r="A284" s="29">
        <v>70804</v>
      </c>
      <c r="B284" s="12" t="s">
        <v>192</v>
      </c>
      <c r="C284" s="16">
        <v>0.33795509924685047</v>
      </c>
      <c r="D284" s="30">
        <v>0.47184249382627097</v>
      </c>
    </row>
    <row r="285" spans="1:4" ht="15.75" customHeight="1">
      <c r="A285" s="29">
        <v>70805</v>
      </c>
      <c r="B285" s="12" t="s">
        <v>212</v>
      </c>
      <c r="C285" s="16">
        <v>0.62427782770573881</v>
      </c>
      <c r="D285" s="30">
        <v>0.70940054350151915</v>
      </c>
    </row>
    <row r="286" spans="1:4" ht="15.75" customHeight="1">
      <c r="A286" s="29">
        <v>70901</v>
      </c>
      <c r="B286" s="12" t="s">
        <v>235</v>
      </c>
      <c r="C286" s="16">
        <v>0.27187565492749505</v>
      </c>
      <c r="D286" s="30">
        <v>0.30175111463276699</v>
      </c>
    </row>
    <row r="287" spans="1:4" ht="15.75" customHeight="1">
      <c r="A287" s="29">
        <v>70902</v>
      </c>
      <c r="B287" s="12" t="s">
        <v>196</v>
      </c>
      <c r="C287" s="16">
        <v>0.65826375375172386</v>
      </c>
      <c r="D287" s="30">
        <v>0.59814130317486858</v>
      </c>
    </row>
    <row r="288" spans="1:4" ht="15.75" customHeight="1">
      <c r="A288" s="29">
        <v>70903</v>
      </c>
      <c r="B288" s="12" t="s">
        <v>187</v>
      </c>
      <c r="C288" s="16">
        <v>0.44380814699962295</v>
      </c>
      <c r="D288" s="30">
        <v>0.60594282550552314</v>
      </c>
    </row>
    <row r="289" spans="1:4" ht="15.75" customHeight="1">
      <c r="A289" s="29">
        <v>70904</v>
      </c>
      <c r="B289" s="12" t="s">
        <v>231</v>
      </c>
      <c r="C289" s="16">
        <v>0.58305668363097252</v>
      </c>
      <c r="D289" s="30">
        <v>0.58225961366018519</v>
      </c>
    </row>
    <row r="290" spans="1:4" ht="15.75" customHeight="1">
      <c r="A290" s="29">
        <v>71001</v>
      </c>
      <c r="B290" s="12" t="s">
        <v>107</v>
      </c>
      <c r="C290" s="16">
        <v>5.5843660474439814</v>
      </c>
      <c r="D290" s="30">
        <v>2.84696353646759</v>
      </c>
    </row>
    <row r="291" spans="1:4" ht="15.75" customHeight="1">
      <c r="A291" s="29">
        <v>71002</v>
      </c>
      <c r="B291" s="12" t="s">
        <v>91</v>
      </c>
      <c r="C291" s="16">
        <v>7.1084079732009213</v>
      </c>
      <c r="D291" s="30">
        <v>4.6478661313186516</v>
      </c>
    </row>
    <row r="292" spans="1:4" ht="15.75" customHeight="1">
      <c r="A292" s="29">
        <v>71003</v>
      </c>
      <c r="B292" s="12" t="s">
        <v>84</v>
      </c>
      <c r="C292" s="16">
        <v>9.1951522403212493</v>
      </c>
      <c r="D292" s="30">
        <v>6.4576364905410673</v>
      </c>
    </row>
    <row r="293" spans="1:4" ht="15.75" customHeight="1">
      <c r="A293" s="29">
        <v>71004</v>
      </c>
      <c r="B293" s="12" t="s">
        <v>113</v>
      </c>
      <c r="C293" s="16">
        <v>7.3399792392219014</v>
      </c>
      <c r="D293" s="30">
        <v>5.1736104712942321</v>
      </c>
    </row>
    <row r="294" spans="1:4" ht="15.75" customHeight="1">
      <c r="A294" s="29">
        <v>71005</v>
      </c>
      <c r="B294" s="12" t="s">
        <v>102</v>
      </c>
      <c r="C294" s="16">
        <v>4.739958369436394</v>
      </c>
      <c r="D294" s="30">
        <v>2.7547880127879529</v>
      </c>
    </row>
    <row r="295" spans="1:4" ht="15.75" customHeight="1">
      <c r="A295" s="29">
        <v>71101</v>
      </c>
      <c r="B295" s="12" t="s">
        <v>180</v>
      </c>
      <c r="C295" s="16">
        <v>0.30527980724597814</v>
      </c>
      <c r="D295" s="30">
        <v>0.94626458486910203</v>
      </c>
    </row>
    <row r="296" spans="1:4" ht="15.75" customHeight="1">
      <c r="A296" s="29">
        <v>71102</v>
      </c>
      <c r="B296" s="12" t="s">
        <v>106</v>
      </c>
      <c r="C296" s="16">
        <v>1.5463596337638159</v>
      </c>
      <c r="D296" s="30">
        <v>2.5153917315630507</v>
      </c>
    </row>
    <row r="297" spans="1:4" ht="15.75" customHeight="1">
      <c r="A297" s="29">
        <v>71103</v>
      </c>
      <c r="B297" s="12" t="s">
        <v>88</v>
      </c>
      <c r="C297" s="16">
        <v>1.6879712446114834</v>
      </c>
      <c r="D297" s="30">
        <v>2.8096024749308115</v>
      </c>
    </row>
    <row r="298" spans="1:4" ht="15.75" customHeight="1">
      <c r="A298" s="29">
        <v>71104</v>
      </c>
      <c r="B298" s="12" t="s">
        <v>117</v>
      </c>
      <c r="C298" s="16">
        <v>10.944772642522091</v>
      </c>
      <c r="D298" s="30">
        <v>3.7696648353666853</v>
      </c>
    </row>
    <row r="299" spans="1:4" ht="15.75" customHeight="1">
      <c r="A299" s="29">
        <v>71105</v>
      </c>
      <c r="B299" s="12" t="s">
        <v>190</v>
      </c>
      <c r="C299" s="16">
        <v>0.80178734586380218</v>
      </c>
      <c r="D299" s="30">
        <v>0.78828629993402854</v>
      </c>
    </row>
    <row r="300" spans="1:4" ht="15.75" customHeight="1">
      <c r="A300" s="29">
        <v>71106</v>
      </c>
      <c r="B300" s="12" t="s">
        <v>135</v>
      </c>
      <c r="C300" s="16">
        <v>5.1305012680707982</v>
      </c>
      <c r="D300" s="30">
        <v>2.8967196288421624</v>
      </c>
    </row>
    <row r="301" spans="1:4" ht="15.75" customHeight="1">
      <c r="A301" s="29">
        <v>71201</v>
      </c>
      <c r="B301" s="12" t="s">
        <v>226</v>
      </c>
      <c r="C301" s="16">
        <v>0.13390362446459397</v>
      </c>
      <c r="D301" s="30">
        <v>0.3166483369392214</v>
      </c>
    </row>
    <row r="302" spans="1:4" ht="15.75" customHeight="1">
      <c r="A302" s="29">
        <v>71301</v>
      </c>
      <c r="B302" s="12" t="s">
        <v>241</v>
      </c>
      <c r="C302" s="16">
        <v>0.4093061458877576</v>
      </c>
      <c r="D302" s="30">
        <v>0.38133499018597222</v>
      </c>
    </row>
    <row r="303" spans="1:4" ht="15.75" customHeight="1">
      <c r="A303" s="29">
        <v>71302</v>
      </c>
      <c r="B303" s="12" t="s">
        <v>189</v>
      </c>
      <c r="C303" s="16">
        <v>0.37990439660045477</v>
      </c>
      <c r="D303" s="30">
        <v>0.74402055853699467</v>
      </c>
    </row>
    <row r="304" spans="1:4" ht="15.75" customHeight="1">
      <c r="A304" s="29">
        <v>71401</v>
      </c>
      <c r="B304" s="12" t="s">
        <v>204</v>
      </c>
      <c r="C304" s="16">
        <v>0.37676984805637048</v>
      </c>
      <c r="D304" s="30">
        <v>0.35977285311006862</v>
      </c>
    </row>
    <row r="305" spans="1:4" ht="15.75" customHeight="1">
      <c r="A305" s="29">
        <v>71402</v>
      </c>
      <c r="B305" s="12" t="s">
        <v>239</v>
      </c>
      <c r="C305" s="16">
        <v>0.26702242332583292</v>
      </c>
      <c r="D305" s="30">
        <v>0.17035450952012082</v>
      </c>
    </row>
    <row r="306" spans="1:4" ht="15.75" customHeight="1">
      <c r="A306" s="29">
        <v>71403</v>
      </c>
      <c r="B306" s="12" t="s">
        <v>155</v>
      </c>
      <c r="C306" s="16">
        <v>0.36693289926573591</v>
      </c>
      <c r="D306" s="30">
        <v>1.1396056492522482</v>
      </c>
    </row>
    <row r="307" spans="1:4" ht="15.75" customHeight="1">
      <c r="A307" s="29">
        <v>71501</v>
      </c>
      <c r="B307" s="12" t="s">
        <v>105</v>
      </c>
      <c r="C307" s="16">
        <v>1.4730454210283959</v>
      </c>
      <c r="D307" s="30">
        <v>2.7670067144246966</v>
      </c>
    </row>
    <row r="308" spans="1:4" ht="15.75" customHeight="1">
      <c r="A308" s="29">
        <v>71502</v>
      </c>
      <c r="B308" s="12" t="s">
        <v>186</v>
      </c>
      <c r="C308" s="16">
        <v>0.29568527717655169</v>
      </c>
      <c r="D308" s="30">
        <v>0.37440280697816397</v>
      </c>
    </row>
    <row r="309" spans="1:4" ht="15.75" customHeight="1">
      <c r="A309" s="29">
        <v>71503</v>
      </c>
      <c r="B309" s="12" t="s">
        <v>80</v>
      </c>
      <c r="C309" s="16">
        <v>3.3842647363177658</v>
      </c>
      <c r="D309" s="30">
        <v>3.1990110083047063</v>
      </c>
    </row>
    <row r="310" spans="1:4" ht="15.75" customHeight="1">
      <c r="A310" s="29">
        <v>80101</v>
      </c>
      <c r="B310" s="12" t="s">
        <v>103</v>
      </c>
      <c r="C310" s="16">
        <v>1.2641826708563473</v>
      </c>
      <c r="D310" s="30">
        <v>2.1790425254539025</v>
      </c>
    </row>
    <row r="311" spans="1:4" ht="15.75" customHeight="1">
      <c r="A311" s="29">
        <v>80102</v>
      </c>
      <c r="B311" s="12" t="s">
        <v>106</v>
      </c>
      <c r="C311" s="16">
        <v>1.3136663279453686</v>
      </c>
      <c r="D311" s="30">
        <v>2.1957410820136123</v>
      </c>
    </row>
    <row r="312" spans="1:4" ht="15.75" customHeight="1">
      <c r="A312" s="29">
        <v>80201</v>
      </c>
      <c r="B312" s="12" t="s">
        <v>246</v>
      </c>
      <c r="C312" s="16">
        <v>0.48242689860565857</v>
      </c>
      <c r="D312" s="30">
        <v>0.20753519696764589</v>
      </c>
    </row>
    <row r="313" spans="1:4" ht="15.75" customHeight="1">
      <c r="A313" s="29">
        <v>80202</v>
      </c>
      <c r="B313" s="12" t="s">
        <v>221</v>
      </c>
      <c r="C313" s="16">
        <v>1.3662493390853583</v>
      </c>
      <c r="D313" s="30">
        <v>0.30083326970608976</v>
      </c>
    </row>
    <row r="314" spans="1:4" ht="15.75" customHeight="1">
      <c r="A314" s="29">
        <v>80301</v>
      </c>
      <c r="B314" s="12" t="s">
        <v>128</v>
      </c>
      <c r="C314" s="16">
        <v>0.98268685914682607</v>
      </c>
      <c r="D314" s="30">
        <v>1.0645165824899394</v>
      </c>
    </row>
    <row r="315" spans="1:4" ht="15.75" customHeight="1">
      <c r="A315" s="29">
        <v>80302</v>
      </c>
      <c r="B315" s="12" t="s">
        <v>169</v>
      </c>
      <c r="C315" s="16">
        <v>0.8327836239024663</v>
      </c>
      <c r="D315" s="30">
        <v>0.70283913046675084</v>
      </c>
    </row>
    <row r="316" spans="1:4" ht="15.75" customHeight="1">
      <c r="A316" s="29">
        <v>80303</v>
      </c>
      <c r="B316" s="12" t="s">
        <v>140</v>
      </c>
      <c r="C316" s="16">
        <v>0.47557396665946167</v>
      </c>
      <c r="D316" s="30">
        <v>0.94695863963829463</v>
      </c>
    </row>
    <row r="317" spans="1:4" ht="15.75" customHeight="1">
      <c r="A317" s="29">
        <v>80304</v>
      </c>
      <c r="B317" s="12" t="s">
        <v>172</v>
      </c>
      <c r="C317" s="16">
        <v>1.7910371145035247</v>
      </c>
      <c r="D317" s="30">
        <v>0.86762627150250904</v>
      </c>
    </row>
    <row r="318" spans="1:4" ht="15.75" customHeight="1">
      <c r="A318" s="29">
        <v>80401</v>
      </c>
      <c r="B318" s="12" t="s">
        <v>154</v>
      </c>
      <c r="C318" s="16">
        <v>1.8271788492576788</v>
      </c>
      <c r="D318" s="30">
        <v>0.81924765128499943</v>
      </c>
    </row>
    <row r="319" spans="1:4" ht="15.75" customHeight="1">
      <c r="A319" s="29">
        <v>80402</v>
      </c>
      <c r="B319" s="12" t="s">
        <v>174</v>
      </c>
      <c r="C319" s="16">
        <v>0.72344711524184924</v>
      </c>
      <c r="D319" s="30">
        <v>0.56668374285073397</v>
      </c>
    </row>
    <row r="320" spans="1:4" ht="15.75" customHeight="1">
      <c r="A320" s="29">
        <v>80501</v>
      </c>
      <c r="B320" s="12" t="s">
        <v>173</v>
      </c>
      <c r="C320" s="16">
        <v>0.72125084716173715</v>
      </c>
      <c r="D320" s="30">
        <v>0.63819146883806943</v>
      </c>
    </row>
    <row r="321" spans="1:4" ht="15.75" customHeight="1">
      <c r="A321" s="29">
        <v>80601</v>
      </c>
      <c r="B321" s="12" t="s">
        <v>110</v>
      </c>
      <c r="C321" s="16">
        <v>1.7242914279283137</v>
      </c>
      <c r="D321" s="30">
        <v>1.5243867272954297</v>
      </c>
    </row>
    <row r="322" spans="1:4" ht="15.75" customHeight="1">
      <c r="A322" s="29">
        <v>80602</v>
      </c>
      <c r="B322" s="12" t="s">
        <v>100</v>
      </c>
      <c r="C322" s="16">
        <v>1.3443564201501927</v>
      </c>
      <c r="D322" s="30">
        <v>2.4858291607096414</v>
      </c>
    </row>
    <row r="323" spans="1:4" ht="15.75" customHeight="1">
      <c r="A323" s="29">
        <v>80701</v>
      </c>
      <c r="B323" s="12" t="s">
        <v>121</v>
      </c>
      <c r="C323" s="16">
        <v>1.4545935100107519</v>
      </c>
      <c r="D323" s="30">
        <v>1.1689563872912452</v>
      </c>
    </row>
    <row r="324" spans="1:4" ht="15.75" customHeight="1">
      <c r="A324" s="29">
        <v>80702</v>
      </c>
      <c r="B324" s="12" t="s">
        <v>88</v>
      </c>
      <c r="C324" s="16">
        <v>2.1061309112080466</v>
      </c>
      <c r="D324" s="30">
        <v>3.2272457704548994</v>
      </c>
    </row>
    <row r="325" spans="1:4" ht="15.75" customHeight="1">
      <c r="A325" s="29">
        <v>80703</v>
      </c>
      <c r="B325" s="12" t="s">
        <v>148</v>
      </c>
      <c r="C325" s="16">
        <v>2.6866507130162192</v>
      </c>
      <c r="D325" s="30">
        <v>0.86034258365170657</v>
      </c>
    </row>
    <row r="326" spans="1:4" ht="15.75" customHeight="1">
      <c r="A326" s="29">
        <v>80801</v>
      </c>
      <c r="B326" s="12" t="s">
        <v>136</v>
      </c>
      <c r="C326" s="16">
        <v>0.56027314623862379</v>
      </c>
      <c r="D326" s="30">
        <v>0.86802095054780914</v>
      </c>
    </row>
    <row r="327" spans="1:4" ht="15.75" customHeight="1">
      <c r="A327" s="29">
        <v>80802</v>
      </c>
      <c r="B327" s="12" t="s">
        <v>149</v>
      </c>
      <c r="C327" s="16">
        <v>0.40695682107041548</v>
      </c>
      <c r="D327" s="30">
        <v>0.70773174465144895</v>
      </c>
    </row>
    <row r="328" spans="1:4" ht="15.75" customHeight="1">
      <c r="A328" s="29">
        <v>80803</v>
      </c>
      <c r="B328" s="12" t="s">
        <v>101</v>
      </c>
      <c r="C328" s="16">
        <v>2.5550995863184407</v>
      </c>
      <c r="D328" s="30">
        <v>1.7512889899587665</v>
      </c>
    </row>
    <row r="329" spans="1:4" ht="15.75" customHeight="1">
      <c r="A329" s="29">
        <v>80901</v>
      </c>
      <c r="B329" s="12" t="s">
        <v>193</v>
      </c>
      <c r="C329" s="16">
        <v>0.62916181478174982</v>
      </c>
      <c r="D329" s="30">
        <v>0.28090320089907972</v>
      </c>
    </row>
    <row r="330" spans="1:4" ht="15.75" customHeight="1">
      <c r="A330" s="29">
        <v>90101</v>
      </c>
      <c r="B330" s="12" t="s">
        <v>130</v>
      </c>
      <c r="C330" s="16">
        <v>1.9123728811375005</v>
      </c>
      <c r="D330" s="30">
        <v>1.8301507706067557</v>
      </c>
    </row>
    <row r="331" spans="1:4" ht="15.75" customHeight="1">
      <c r="A331" s="29">
        <v>90102</v>
      </c>
      <c r="B331" s="12" t="s">
        <v>178</v>
      </c>
      <c r="C331" s="16">
        <v>0.84422718535647723</v>
      </c>
      <c r="D331" s="30">
        <v>0.68495155577671751</v>
      </c>
    </row>
    <row r="332" spans="1:4" ht="15.75" customHeight="1">
      <c r="A332" s="29">
        <v>90103</v>
      </c>
      <c r="B332" s="12" t="s">
        <v>197</v>
      </c>
      <c r="C332" s="16">
        <v>0.36905506086299072</v>
      </c>
      <c r="D332" s="30">
        <v>0.36545534187331186</v>
      </c>
    </row>
    <row r="333" spans="1:4" ht="15.75" customHeight="1">
      <c r="A333" s="29">
        <v>90104</v>
      </c>
      <c r="B333" s="12" t="s">
        <v>205</v>
      </c>
      <c r="C333" s="16">
        <v>0.33323912683355872</v>
      </c>
      <c r="D333" s="30">
        <v>0.37373358189883521</v>
      </c>
    </row>
    <row r="334" spans="1:4" ht="15.75" customHeight="1">
      <c r="A334" s="29">
        <v>90201</v>
      </c>
      <c r="B334" s="12" t="s">
        <v>260</v>
      </c>
      <c r="C334" s="16">
        <v>0.37457354597343312</v>
      </c>
      <c r="D334" s="30">
        <v>9.9070513708501104E-2</v>
      </c>
    </row>
    <row r="335" spans="1:4" ht="15.75" customHeight="1">
      <c r="A335" s="29">
        <v>90202</v>
      </c>
      <c r="B335" s="12" t="s">
        <v>102</v>
      </c>
      <c r="C335" s="16">
        <v>0.59510627665066274</v>
      </c>
      <c r="D335" s="30">
        <v>0.25260634566025825</v>
      </c>
    </row>
    <row r="336" spans="1:4" ht="15.75" customHeight="1">
      <c r="A336" s="29">
        <v>90203</v>
      </c>
      <c r="B336" s="12" t="s">
        <v>243</v>
      </c>
      <c r="C336" s="16">
        <v>0.17601311259555588</v>
      </c>
      <c r="D336" s="30">
        <v>0.15757286988464103</v>
      </c>
    </row>
    <row r="337" spans="1:4" ht="15.75" customHeight="1">
      <c r="A337" s="29">
        <v>90301</v>
      </c>
      <c r="B337" s="12" t="s">
        <v>203</v>
      </c>
      <c r="C337" s="16">
        <v>1.1328019739654764</v>
      </c>
      <c r="D337" s="30">
        <v>0.41964877156760894</v>
      </c>
    </row>
    <row r="338" spans="1:4" ht="15.75" customHeight="1">
      <c r="A338" s="29">
        <v>90302</v>
      </c>
      <c r="B338" s="12" t="s">
        <v>185</v>
      </c>
      <c r="C338" s="16">
        <v>0.53320753324234993</v>
      </c>
      <c r="D338" s="30">
        <v>0.17863152879417918</v>
      </c>
    </row>
    <row r="339" spans="1:4" ht="15.75" customHeight="1">
      <c r="A339" s="29">
        <v>90303</v>
      </c>
      <c r="B339" s="12" t="s">
        <v>266</v>
      </c>
      <c r="C339" s="16">
        <v>0.14336812328412252</v>
      </c>
      <c r="D339" s="30">
        <v>7.8557818479117622E-2</v>
      </c>
    </row>
    <row r="340" spans="1:4" ht="15.75" customHeight="1">
      <c r="A340" s="29">
        <v>90401</v>
      </c>
      <c r="B340" s="12" t="s">
        <v>140</v>
      </c>
      <c r="C340" s="16">
        <v>0.13554110170492187</v>
      </c>
      <c r="D340" s="30">
        <v>8.3207003695771997E-2</v>
      </c>
    </row>
    <row r="341" spans="1:4" ht="15.75" customHeight="1">
      <c r="A341" s="29">
        <v>90402</v>
      </c>
      <c r="B341" s="12" t="s">
        <v>274</v>
      </c>
      <c r="C341" s="16">
        <v>8.2554628528678453E-2</v>
      </c>
      <c r="D341" s="30">
        <v>5.0784853793313323E-2</v>
      </c>
    </row>
    <row r="342" spans="1:4" ht="15.75" customHeight="1">
      <c r="A342" s="29">
        <v>90501</v>
      </c>
      <c r="B342" s="12" t="s">
        <v>270</v>
      </c>
      <c r="C342" s="16">
        <v>0.137578901984721</v>
      </c>
      <c r="D342" s="30">
        <v>4.6538953488274977E-2</v>
      </c>
    </row>
    <row r="343" spans="1:4" ht="15.75" customHeight="1">
      <c r="A343" s="29">
        <v>90502</v>
      </c>
      <c r="B343" s="12" t="s">
        <v>273</v>
      </c>
      <c r="C343" s="16">
        <v>0.14320558555624488</v>
      </c>
      <c r="D343" s="30">
        <v>8.8782408600817805E-2</v>
      </c>
    </row>
    <row r="344" spans="1:4" ht="15.75" customHeight="1">
      <c r="A344" s="34">
        <v>90503</v>
      </c>
      <c r="B344" s="35" t="s">
        <v>280</v>
      </c>
      <c r="C344" s="36">
        <v>1.5449345644799568E-2</v>
      </c>
      <c r="D344" s="37">
        <v>1.7351639743543576E-2</v>
      </c>
    </row>
    <row r="345" spans="1:4" ht="15.75" customHeight="1"/>
    <row r="346" spans="1:4" ht="15.75" customHeight="1"/>
    <row r="347" spans="1:4" ht="15.75" customHeight="1"/>
    <row r="348" spans="1:4" ht="15.75" customHeight="1"/>
    <row r="349" spans="1:4" ht="15.75" customHeight="1"/>
    <row r="350" spans="1:4" ht="15.75" customHeight="1"/>
    <row r="351" spans="1:4" ht="15.75" customHeight="1"/>
    <row r="352" spans="1: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Z1000"/>
  <sheetViews>
    <sheetView workbookViewId="0">
      <selection activeCell="K18" sqref="K18"/>
    </sheetView>
  </sheetViews>
  <sheetFormatPr baseColWidth="10" defaultColWidth="12.6640625" defaultRowHeight="15" customHeight="1"/>
  <cols>
    <col min="1" max="26" width="10.6640625" customWidth="1"/>
  </cols>
  <sheetData>
    <row r="1" spans="1:26" ht="43.2">
      <c r="A1" s="15" t="s">
        <v>397</v>
      </c>
      <c r="B1" s="15" t="s">
        <v>2</v>
      </c>
      <c r="C1" s="15" t="s">
        <v>398</v>
      </c>
      <c r="D1" s="15" t="s">
        <v>399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4">
      <c r="A2" s="12">
        <v>10101</v>
      </c>
      <c r="B2" s="12" t="s">
        <v>119</v>
      </c>
      <c r="C2" s="17">
        <v>95.94</v>
      </c>
      <c r="D2" s="17">
        <v>191.1</v>
      </c>
    </row>
    <row r="3" spans="1:26" ht="14.4">
      <c r="A3" s="12">
        <v>10102</v>
      </c>
      <c r="B3" s="12" t="s">
        <v>188</v>
      </c>
      <c r="C3" s="17">
        <v>10.56</v>
      </c>
      <c r="D3" s="17">
        <v>3.81</v>
      </c>
    </row>
    <row r="4" spans="1:26" ht="14.4">
      <c r="A4" s="12">
        <v>10103</v>
      </c>
      <c r="B4" s="12" t="s">
        <v>284</v>
      </c>
      <c r="C4" s="17">
        <v>118.64999999999999</v>
      </c>
      <c r="D4" s="17">
        <v>24.240000000000006</v>
      </c>
    </row>
    <row r="5" spans="1:26" ht="14.4">
      <c r="A5" s="12">
        <v>10201</v>
      </c>
      <c r="B5" s="12" t="s">
        <v>236</v>
      </c>
      <c r="C5" s="17">
        <v>222.87</v>
      </c>
      <c r="D5" s="17">
        <v>333.06</v>
      </c>
    </row>
    <row r="6" spans="1:26" ht="14.4">
      <c r="A6" s="12">
        <v>10202</v>
      </c>
      <c r="B6" s="12" t="s">
        <v>264</v>
      </c>
      <c r="C6" s="17">
        <v>160.44</v>
      </c>
      <c r="D6" s="17">
        <v>132.54</v>
      </c>
    </row>
    <row r="7" spans="1:26" ht="14.4">
      <c r="A7" s="12">
        <v>10301</v>
      </c>
      <c r="B7" s="12" t="s">
        <v>276</v>
      </c>
      <c r="C7" s="17">
        <v>52.98</v>
      </c>
      <c r="D7" s="17">
        <v>14.76</v>
      </c>
    </row>
    <row r="8" spans="1:26" ht="14.4">
      <c r="A8" s="12">
        <v>10302</v>
      </c>
      <c r="B8" s="12" t="s">
        <v>286</v>
      </c>
      <c r="C8" s="17">
        <v>135.47999999999999</v>
      </c>
      <c r="D8" s="17">
        <v>18.809999999999999</v>
      </c>
    </row>
    <row r="9" spans="1:26" ht="14.4">
      <c r="A9" s="12">
        <v>10303</v>
      </c>
      <c r="B9" s="12" t="s">
        <v>262</v>
      </c>
      <c r="C9" s="17">
        <v>105.80999999999999</v>
      </c>
      <c r="D9" s="17">
        <v>69.179999999999993</v>
      </c>
    </row>
    <row r="10" spans="1:26" ht="14.4">
      <c r="A10" s="12">
        <v>10304</v>
      </c>
      <c r="B10" s="12" t="s">
        <v>271</v>
      </c>
      <c r="C10" s="17">
        <v>20.309999999999999</v>
      </c>
      <c r="D10" s="17">
        <v>1.7400000000000002</v>
      </c>
    </row>
    <row r="11" spans="1:26" ht="14.4">
      <c r="A11" s="12">
        <v>10401</v>
      </c>
      <c r="B11" s="12" t="s">
        <v>242</v>
      </c>
      <c r="C11" s="17">
        <v>373.02</v>
      </c>
      <c r="D11" s="17">
        <v>557.01</v>
      </c>
    </row>
    <row r="12" spans="1:26" ht="14.4">
      <c r="A12" s="12">
        <v>10402</v>
      </c>
      <c r="B12" s="12" t="s">
        <v>268</v>
      </c>
      <c r="C12" s="17">
        <v>110.07000000000001</v>
      </c>
      <c r="D12" s="17">
        <v>64.77</v>
      </c>
    </row>
    <row r="13" spans="1:26" ht="14.4">
      <c r="A13" s="12">
        <v>10403</v>
      </c>
      <c r="B13" s="12" t="s">
        <v>228</v>
      </c>
      <c r="C13" s="17">
        <v>104.73</v>
      </c>
      <c r="D13" s="17">
        <v>214.95000000000002</v>
      </c>
    </row>
    <row r="14" spans="1:26" ht="14.4">
      <c r="A14" s="12">
        <v>10404</v>
      </c>
      <c r="B14" s="12" t="s">
        <v>254</v>
      </c>
      <c r="C14" s="17">
        <v>28.98</v>
      </c>
      <c r="D14" s="17">
        <v>34.200000000000003</v>
      </c>
    </row>
    <row r="15" spans="1:26" ht="14.4">
      <c r="A15" s="12">
        <v>10405</v>
      </c>
      <c r="B15" s="12" t="s">
        <v>249</v>
      </c>
      <c r="C15" s="17">
        <v>196.35</v>
      </c>
      <c r="D15" s="17">
        <v>185.73000000000002</v>
      </c>
    </row>
    <row r="16" spans="1:26" ht="14.4">
      <c r="A16" s="12">
        <v>10501</v>
      </c>
      <c r="B16" s="12" t="s">
        <v>182</v>
      </c>
      <c r="C16" s="17">
        <v>1326.8999999999999</v>
      </c>
      <c r="D16" s="17">
        <v>1779.57</v>
      </c>
    </row>
    <row r="17" spans="1:4" ht="14.4">
      <c r="A17" s="12">
        <v>10502</v>
      </c>
      <c r="B17" s="12" t="s">
        <v>175</v>
      </c>
      <c r="C17" s="17">
        <v>509.7</v>
      </c>
      <c r="D17" s="17">
        <v>1897.89</v>
      </c>
    </row>
    <row r="18" spans="1:4" ht="14.4">
      <c r="A18" s="12">
        <v>10601</v>
      </c>
      <c r="B18" s="12" t="s">
        <v>272</v>
      </c>
      <c r="C18" s="17">
        <v>31.679999999999996</v>
      </c>
      <c r="D18" s="17">
        <v>6.39</v>
      </c>
    </row>
    <row r="19" spans="1:4" ht="14.4">
      <c r="A19" s="12">
        <v>10602</v>
      </c>
      <c r="B19" s="12" t="s">
        <v>285</v>
      </c>
      <c r="C19" s="17">
        <v>5.6999999999999993</v>
      </c>
      <c r="D19" s="17">
        <v>0.3</v>
      </c>
    </row>
    <row r="20" spans="1:4" ht="14.4">
      <c r="A20" s="12">
        <v>10701</v>
      </c>
      <c r="B20" s="12" t="s">
        <v>66</v>
      </c>
      <c r="C20" s="17">
        <v>0</v>
      </c>
      <c r="D20" s="17">
        <v>0</v>
      </c>
    </row>
    <row r="21" spans="1:4" ht="15.75" customHeight="1">
      <c r="A21" s="12">
        <v>10702</v>
      </c>
      <c r="B21" s="12" t="s">
        <v>139</v>
      </c>
      <c r="C21" s="17">
        <v>121.32000000000001</v>
      </c>
      <c r="D21" s="17">
        <v>284.79000000000002</v>
      </c>
    </row>
    <row r="22" spans="1:4" ht="15.75" customHeight="1">
      <c r="A22" s="12">
        <v>10703</v>
      </c>
      <c r="B22" s="12" t="s">
        <v>181</v>
      </c>
      <c r="C22" s="17">
        <v>163.53</v>
      </c>
      <c r="D22" s="17">
        <v>441.69000000000005</v>
      </c>
    </row>
    <row r="23" spans="1:4" ht="15.75" customHeight="1">
      <c r="A23" s="12">
        <v>10704</v>
      </c>
      <c r="B23" s="12" t="s">
        <v>229</v>
      </c>
      <c r="C23" s="17">
        <v>42.81</v>
      </c>
      <c r="D23" s="17">
        <v>14.700000000000001</v>
      </c>
    </row>
    <row r="24" spans="1:4" ht="15.75" customHeight="1">
      <c r="A24" s="12">
        <v>10801</v>
      </c>
      <c r="B24" s="12" t="s">
        <v>218</v>
      </c>
      <c r="C24" s="17">
        <v>571.38</v>
      </c>
      <c r="D24" s="17">
        <v>588.84</v>
      </c>
    </row>
    <row r="25" spans="1:4" ht="15.75" customHeight="1">
      <c r="A25" s="12">
        <v>10901</v>
      </c>
      <c r="B25" s="12" t="s">
        <v>69</v>
      </c>
      <c r="C25" s="17">
        <v>0</v>
      </c>
      <c r="D25" s="17">
        <v>0</v>
      </c>
    </row>
    <row r="26" spans="1:4" ht="15.75" customHeight="1">
      <c r="A26" s="12">
        <v>10902</v>
      </c>
      <c r="B26" s="12" t="s">
        <v>214</v>
      </c>
      <c r="C26" s="17">
        <v>628.41</v>
      </c>
      <c r="D26" s="17">
        <v>1264.08</v>
      </c>
    </row>
    <row r="27" spans="1:4" ht="15.75" customHeight="1">
      <c r="A27" s="12">
        <v>10903</v>
      </c>
      <c r="B27" s="12" t="s">
        <v>71</v>
      </c>
      <c r="C27" s="17">
        <v>0</v>
      </c>
      <c r="D27" s="17">
        <v>0</v>
      </c>
    </row>
    <row r="28" spans="1:4" ht="15.75" customHeight="1">
      <c r="A28" s="12">
        <v>11001</v>
      </c>
      <c r="B28" s="12" t="s">
        <v>230</v>
      </c>
      <c r="C28" s="17">
        <v>990.32999999999993</v>
      </c>
      <c r="D28" s="17">
        <v>1326.57</v>
      </c>
    </row>
    <row r="29" spans="1:4" ht="15.75" customHeight="1">
      <c r="A29" s="12">
        <v>11002</v>
      </c>
      <c r="B29" s="12" t="s">
        <v>245</v>
      </c>
      <c r="C29" s="17">
        <v>94.649999999999991</v>
      </c>
      <c r="D29" s="17">
        <v>176.04</v>
      </c>
    </row>
    <row r="30" spans="1:4" ht="15.75" customHeight="1">
      <c r="A30" s="12">
        <v>11003</v>
      </c>
      <c r="B30" s="12" t="s">
        <v>225</v>
      </c>
      <c r="C30" s="17">
        <v>833.94</v>
      </c>
      <c r="D30" s="17">
        <v>5502.0899999999992</v>
      </c>
    </row>
    <row r="31" spans="1:4" ht="15.75" customHeight="1">
      <c r="A31" s="12">
        <v>20101</v>
      </c>
      <c r="B31" s="12" t="s">
        <v>199</v>
      </c>
      <c r="C31" s="17">
        <v>96.15000000000002</v>
      </c>
      <c r="D31" s="17">
        <v>331.56</v>
      </c>
    </row>
    <row r="32" spans="1:4" ht="15.75" customHeight="1">
      <c r="A32" s="12">
        <v>20102</v>
      </c>
      <c r="B32" s="12" t="s">
        <v>92</v>
      </c>
      <c r="C32" s="17">
        <v>27.659999999999997</v>
      </c>
      <c r="D32" s="17">
        <v>102.63</v>
      </c>
    </row>
    <row r="33" spans="1:4" ht="15.75" customHeight="1">
      <c r="A33" s="12">
        <v>20103</v>
      </c>
      <c r="B33" s="12" t="s">
        <v>89</v>
      </c>
      <c r="C33" s="17">
        <v>0</v>
      </c>
      <c r="D33" s="17">
        <v>0</v>
      </c>
    </row>
    <row r="34" spans="1:4" ht="15.75" customHeight="1">
      <c r="A34" s="12">
        <v>20104</v>
      </c>
      <c r="B34" s="12" t="s">
        <v>383</v>
      </c>
      <c r="C34" s="17">
        <v>0</v>
      </c>
      <c r="D34" s="17">
        <v>0</v>
      </c>
    </row>
    <row r="35" spans="1:4" ht="15.75" customHeight="1">
      <c r="A35" s="12">
        <v>20105</v>
      </c>
      <c r="B35" s="12" t="s">
        <v>288</v>
      </c>
      <c r="C35" s="17">
        <v>0</v>
      </c>
      <c r="D35" s="17">
        <v>0</v>
      </c>
    </row>
    <row r="36" spans="1:4" ht="15.75" customHeight="1">
      <c r="A36" s="12">
        <v>20201</v>
      </c>
      <c r="B36" s="12" t="s">
        <v>370</v>
      </c>
      <c r="C36" s="17">
        <v>0</v>
      </c>
      <c r="D36" s="17">
        <v>0</v>
      </c>
    </row>
    <row r="37" spans="1:4" ht="15.75" customHeight="1">
      <c r="A37" s="12">
        <v>20202</v>
      </c>
      <c r="B37" s="12" t="s">
        <v>375</v>
      </c>
      <c r="C37" s="17">
        <v>0</v>
      </c>
      <c r="D37" s="17">
        <v>0</v>
      </c>
    </row>
    <row r="38" spans="1:4" ht="15.75" customHeight="1">
      <c r="A38" s="12">
        <v>20203</v>
      </c>
      <c r="B38" s="12" t="s">
        <v>289</v>
      </c>
      <c r="C38" s="17">
        <v>0</v>
      </c>
      <c r="D38" s="17">
        <v>0</v>
      </c>
    </row>
    <row r="39" spans="1:4" ht="15.75" customHeight="1">
      <c r="A39" s="12">
        <v>20204</v>
      </c>
      <c r="B39" s="12" t="s">
        <v>290</v>
      </c>
      <c r="C39" s="17">
        <v>0</v>
      </c>
      <c r="D39" s="17">
        <v>0</v>
      </c>
    </row>
    <row r="40" spans="1:4" ht="15.75" customHeight="1">
      <c r="A40" s="12">
        <v>20205</v>
      </c>
      <c r="B40" s="12" t="s">
        <v>291</v>
      </c>
      <c r="C40" s="17">
        <v>0</v>
      </c>
      <c r="D40" s="17">
        <v>0</v>
      </c>
    </row>
    <row r="41" spans="1:4" ht="15.75" customHeight="1">
      <c r="A41" s="12">
        <v>20206</v>
      </c>
      <c r="B41" s="12" t="s">
        <v>292</v>
      </c>
      <c r="C41" s="17">
        <v>0</v>
      </c>
      <c r="D41" s="17">
        <v>0</v>
      </c>
    </row>
    <row r="42" spans="1:4" ht="15.75" customHeight="1">
      <c r="A42" s="12">
        <v>20301</v>
      </c>
      <c r="B42" s="12" t="s">
        <v>293</v>
      </c>
      <c r="C42" s="17">
        <v>0</v>
      </c>
      <c r="D42" s="17">
        <v>0</v>
      </c>
    </row>
    <row r="43" spans="1:4" ht="15.75" customHeight="1">
      <c r="A43" s="12">
        <v>20302</v>
      </c>
      <c r="B43" s="12" t="s">
        <v>294</v>
      </c>
      <c r="C43" s="17">
        <v>0</v>
      </c>
      <c r="D43" s="17">
        <v>0</v>
      </c>
    </row>
    <row r="44" spans="1:4" ht="15.75" customHeight="1">
      <c r="A44" s="12">
        <v>20303</v>
      </c>
      <c r="B44" s="12" t="s">
        <v>382</v>
      </c>
      <c r="C44" s="17">
        <v>0</v>
      </c>
      <c r="D44" s="17">
        <v>0</v>
      </c>
    </row>
    <row r="45" spans="1:4" ht="15.75" customHeight="1">
      <c r="A45" s="12">
        <v>20304</v>
      </c>
      <c r="B45" s="12" t="s">
        <v>295</v>
      </c>
      <c r="C45" s="17">
        <v>0</v>
      </c>
      <c r="D45" s="17">
        <v>0</v>
      </c>
    </row>
    <row r="46" spans="1:4" ht="15.75" customHeight="1">
      <c r="A46" s="12">
        <v>20305</v>
      </c>
      <c r="B46" s="12" t="s">
        <v>296</v>
      </c>
      <c r="C46" s="17">
        <v>0</v>
      </c>
      <c r="D46" s="17">
        <v>0</v>
      </c>
    </row>
    <row r="47" spans="1:4" ht="15.75" customHeight="1">
      <c r="A47" s="12">
        <v>20306</v>
      </c>
      <c r="B47" s="12" t="s">
        <v>297</v>
      </c>
      <c r="C47" s="17">
        <v>0</v>
      </c>
      <c r="D47" s="17">
        <v>0</v>
      </c>
    </row>
    <row r="48" spans="1:4" ht="15.75" customHeight="1">
      <c r="A48" s="12">
        <v>20307</v>
      </c>
      <c r="B48" s="12" t="s">
        <v>298</v>
      </c>
      <c r="C48" s="17">
        <v>0</v>
      </c>
      <c r="D48" s="17">
        <v>0</v>
      </c>
    </row>
    <row r="49" spans="1:4" ht="15.75" customHeight="1">
      <c r="A49" s="12">
        <v>20308</v>
      </c>
      <c r="B49" s="12" t="s">
        <v>299</v>
      </c>
      <c r="C49" s="17">
        <v>0</v>
      </c>
      <c r="D49" s="17">
        <v>0</v>
      </c>
    </row>
    <row r="50" spans="1:4" ht="15.75" customHeight="1">
      <c r="A50" s="12">
        <v>20401</v>
      </c>
      <c r="B50" s="12" t="s">
        <v>300</v>
      </c>
      <c r="C50" s="17">
        <v>0</v>
      </c>
      <c r="D50" s="17">
        <v>0</v>
      </c>
    </row>
    <row r="51" spans="1:4" ht="15.75" customHeight="1">
      <c r="A51" s="12">
        <v>20402</v>
      </c>
      <c r="B51" s="12" t="s">
        <v>160</v>
      </c>
      <c r="C51" s="17">
        <v>33.270000000000003</v>
      </c>
      <c r="D51" s="17">
        <v>20.219999999999995</v>
      </c>
    </row>
    <row r="52" spans="1:4" ht="15.75" customHeight="1">
      <c r="A52" s="12">
        <v>20403</v>
      </c>
      <c r="B52" s="12" t="s">
        <v>90</v>
      </c>
      <c r="C52" s="17">
        <v>0</v>
      </c>
      <c r="D52" s="17">
        <v>0</v>
      </c>
    </row>
    <row r="53" spans="1:4" ht="15.75" customHeight="1">
      <c r="A53" s="12">
        <v>20404</v>
      </c>
      <c r="B53" s="12" t="s">
        <v>301</v>
      </c>
      <c r="C53" s="17">
        <v>0</v>
      </c>
      <c r="D53" s="17">
        <v>0</v>
      </c>
    </row>
    <row r="54" spans="1:4" ht="15.75" customHeight="1">
      <c r="A54" s="12">
        <v>20405</v>
      </c>
      <c r="B54" s="12" t="s">
        <v>302</v>
      </c>
      <c r="C54" s="17">
        <v>0</v>
      </c>
      <c r="D54" s="17">
        <v>0</v>
      </c>
    </row>
    <row r="55" spans="1:4" ht="15.75" customHeight="1">
      <c r="A55" s="12">
        <v>20501</v>
      </c>
      <c r="B55" s="12" t="s">
        <v>124</v>
      </c>
      <c r="C55" s="17">
        <v>32.79</v>
      </c>
      <c r="D55" s="17">
        <v>66.33</v>
      </c>
    </row>
    <row r="56" spans="1:4" ht="15.75" customHeight="1">
      <c r="A56" s="12">
        <v>20502</v>
      </c>
      <c r="B56" s="12" t="s">
        <v>157</v>
      </c>
      <c r="C56" s="17">
        <v>104.82000000000001</v>
      </c>
      <c r="D56" s="17">
        <v>242.55000000000004</v>
      </c>
    </row>
    <row r="57" spans="1:4" ht="15.75" customHeight="1">
      <c r="A57" s="12">
        <v>20503</v>
      </c>
      <c r="B57" s="12" t="s">
        <v>114</v>
      </c>
      <c r="C57" s="17">
        <v>54.539999999999992</v>
      </c>
      <c r="D57" s="17">
        <v>66.42</v>
      </c>
    </row>
    <row r="58" spans="1:4" ht="15.75" customHeight="1">
      <c r="A58" s="12">
        <v>20601</v>
      </c>
      <c r="B58" s="12" t="s">
        <v>153</v>
      </c>
      <c r="C58" s="17">
        <v>217.01999999999998</v>
      </c>
      <c r="D58" s="17">
        <v>406.55999999999995</v>
      </c>
    </row>
    <row r="59" spans="1:4" ht="15.75" customHeight="1">
      <c r="A59" s="12">
        <v>20602</v>
      </c>
      <c r="B59" s="12" t="s">
        <v>183</v>
      </c>
      <c r="C59" s="17">
        <v>590.73</v>
      </c>
      <c r="D59" s="17">
        <v>2363.46</v>
      </c>
    </row>
    <row r="60" spans="1:4" ht="15.75" customHeight="1">
      <c r="A60" s="12">
        <v>20603</v>
      </c>
      <c r="B60" s="12" t="s">
        <v>163</v>
      </c>
      <c r="C60" s="17">
        <v>154.05000000000001</v>
      </c>
      <c r="D60" s="17">
        <v>408.81</v>
      </c>
    </row>
    <row r="61" spans="1:4" ht="15.75" customHeight="1">
      <c r="A61" s="12">
        <v>20604</v>
      </c>
      <c r="B61" s="12" t="s">
        <v>94</v>
      </c>
      <c r="C61" s="17">
        <v>9.75</v>
      </c>
      <c r="D61" s="17">
        <v>21.87</v>
      </c>
    </row>
    <row r="62" spans="1:4" ht="15.75" customHeight="1">
      <c r="A62" s="12">
        <v>20605</v>
      </c>
      <c r="B62" s="12" t="s">
        <v>213</v>
      </c>
      <c r="C62" s="17">
        <v>4.2600000000000007</v>
      </c>
      <c r="D62" s="17">
        <v>0.6</v>
      </c>
    </row>
    <row r="63" spans="1:4" ht="15.75" customHeight="1">
      <c r="A63" s="12">
        <v>20606</v>
      </c>
      <c r="B63" s="12" t="s">
        <v>194</v>
      </c>
      <c r="C63" s="17">
        <v>97.5</v>
      </c>
      <c r="D63" s="17">
        <v>253.26000000000002</v>
      </c>
    </row>
    <row r="64" spans="1:4" ht="15.75" customHeight="1">
      <c r="A64" s="12">
        <v>20607</v>
      </c>
      <c r="B64" s="12" t="s">
        <v>156</v>
      </c>
      <c r="C64" s="17">
        <v>460.23</v>
      </c>
      <c r="D64" s="17">
        <v>1763.3999999999999</v>
      </c>
    </row>
    <row r="65" spans="1:4" ht="15.75" customHeight="1">
      <c r="A65" s="12">
        <v>20608</v>
      </c>
      <c r="B65" s="12" t="s">
        <v>165</v>
      </c>
      <c r="C65" s="17">
        <v>838.61999999999989</v>
      </c>
      <c r="D65" s="17">
        <v>2098.7099999999996</v>
      </c>
    </row>
    <row r="66" spans="1:4" ht="15.75" customHeight="1">
      <c r="A66" s="12">
        <v>20701</v>
      </c>
      <c r="B66" s="12" t="s">
        <v>219</v>
      </c>
      <c r="C66" s="17">
        <v>3599.76</v>
      </c>
      <c r="D66" s="17">
        <v>2571.5699999999997</v>
      </c>
    </row>
    <row r="67" spans="1:4" ht="15.75" customHeight="1">
      <c r="A67" s="12">
        <v>20702</v>
      </c>
      <c r="B67" s="12" t="s">
        <v>252</v>
      </c>
      <c r="C67" s="17">
        <v>363.93</v>
      </c>
      <c r="D67" s="17">
        <v>96.33</v>
      </c>
    </row>
    <row r="68" spans="1:4" ht="15.75" customHeight="1">
      <c r="A68" s="12">
        <v>20801</v>
      </c>
      <c r="B68" s="12" t="s">
        <v>303</v>
      </c>
      <c r="C68" s="17">
        <v>0</v>
      </c>
      <c r="D68" s="17">
        <v>0</v>
      </c>
    </row>
    <row r="69" spans="1:4" ht="15.75" customHeight="1">
      <c r="A69" s="12">
        <v>20802</v>
      </c>
      <c r="B69" s="12" t="s">
        <v>304</v>
      </c>
      <c r="C69" s="17">
        <v>0</v>
      </c>
      <c r="D69" s="17">
        <v>0</v>
      </c>
    </row>
    <row r="70" spans="1:4" ht="15.75" customHeight="1">
      <c r="A70" s="12">
        <v>20803</v>
      </c>
      <c r="B70" s="12" t="s">
        <v>305</v>
      </c>
      <c r="C70" s="17">
        <v>0</v>
      </c>
      <c r="D70" s="17">
        <v>0</v>
      </c>
    </row>
    <row r="71" spans="1:4" ht="15.75" customHeight="1">
      <c r="A71" s="12">
        <v>20804</v>
      </c>
      <c r="B71" s="12" t="s">
        <v>306</v>
      </c>
      <c r="C71" s="17">
        <v>0</v>
      </c>
      <c r="D71" s="17">
        <v>0</v>
      </c>
    </row>
    <row r="72" spans="1:4" ht="15.75" customHeight="1">
      <c r="A72" s="12">
        <v>20805</v>
      </c>
      <c r="B72" s="12" t="s">
        <v>307</v>
      </c>
      <c r="C72" s="17">
        <v>0</v>
      </c>
      <c r="D72" s="17">
        <v>0</v>
      </c>
    </row>
    <row r="73" spans="1:4" ht="15.75" customHeight="1">
      <c r="A73" s="12">
        <v>20806</v>
      </c>
      <c r="B73" s="12" t="s">
        <v>308</v>
      </c>
      <c r="C73" s="17">
        <v>0</v>
      </c>
      <c r="D73" s="17">
        <v>0</v>
      </c>
    </row>
    <row r="74" spans="1:4" ht="15.75" customHeight="1">
      <c r="A74" s="12">
        <v>20807</v>
      </c>
      <c r="B74" s="12" t="s">
        <v>309</v>
      </c>
      <c r="C74" s="17">
        <v>0</v>
      </c>
      <c r="D74" s="17">
        <v>0</v>
      </c>
    </row>
    <row r="75" spans="1:4" ht="15.75" customHeight="1">
      <c r="A75" s="12">
        <v>20901</v>
      </c>
      <c r="B75" s="12" t="s">
        <v>137</v>
      </c>
      <c r="C75" s="17">
        <v>3.27</v>
      </c>
      <c r="D75" s="17">
        <v>9.99</v>
      </c>
    </row>
    <row r="76" spans="1:4" ht="15.75" customHeight="1">
      <c r="A76" s="12">
        <v>20902</v>
      </c>
      <c r="B76" s="12" t="s">
        <v>147</v>
      </c>
      <c r="C76" s="17">
        <v>8.2799999999999994</v>
      </c>
      <c r="D76" s="17">
        <v>32.699999999999996</v>
      </c>
    </row>
    <row r="77" spans="1:4" ht="15.75" customHeight="1">
      <c r="A77" s="12">
        <v>20903</v>
      </c>
      <c r="B77" s="12" t="s">
        <v>380</v>
      </c>
      <c r="C77" s="17">
        <v>0</v>
      </c>
      <c r="D77" s="17">
        <v>0</v>
      </c>
    </row>
    <row r="78" spans="1:4" ht="15.75" customHeight="1">
      <c r="A78" s="12">
        <v>20904</v>
      </c>
      <c r="B78" s="12" t="s">
        <v>150</v>
      </c>
      <c r="C78" s="17">
        <v>0</v>
      </c>
      <c r="D78" s="17">
        <v>0</v>
      </c>
    </row>
    <row r="79" spans="1:4" ht="15.75" customHeight="1">
      <c r="A79" s="12">
        <v>20905</v>
      </c>
      <c r="B79" s="12" t="s">
        <v>109</v>
      </c>
      <c r="C79" s="17">
        <v>76.529999999999987</v>
      </c>
      <c r="D79" s="17">
        <v>149.37</v>
      </c>
    </row>
    <row r="80" spans="1:4" ht="15.75" customHeight="1">
      <c r="A80" s="12">
        <v>21001</v>
      </c>
      <c r="B80" s="12" t="s">
        <v>127</v>
      </c>
      <c r="C80" s="17">
        <v>407.67</v>
      </c>
      <c r="D80" s="17">
        <v>1794.8100000000002</v>
      </c>
    </row>
    <row r="81" spans="1:4" ht="15.75" customHeight="1">
      <c r="A81" s="12">
        <v>21002</v>
      </c>
      <c r="B81" s="12" t="s">
        <v>125</v>
      </c>
      <c r="C81" s="17">
        <v>120.78000000000002</v>
      </c>
      <c r="D81" s="17">
        <v>295.71000000000004</v>
      </c>
    </row>
    <row r="82" spans="1:4" ht="15.75" customHeight="1">
      <c r="A82" s="12">
        <v>21003</v>
      </c>
      <c r="B82" s="12" t="s">
        <v>122</v>
      </c>
      <c r="C82" s="17">
        <v>173.28</v>
      </c>
      <c r="D82" s="17">
        <v>631.94999999999993</v>
      </c>
    </row>
    <row r="83" spans="1:4" ht="15.75" customHeight="1">
      <c r="A83" s="12">
        <v>21004</v>
      </c>
      <c r="B83" s="12" t="s">
        <v>115</v>
      </c>
      <c r="C83" s="17">
        <v>7.0799999999999992</v>
      </c>
      <c r="D83" s="17">
        <v>4.59</v>
      </c>
    </row>
    <row r="84" spans="1:4" ht="15.75" customHeight="1">
      <c r="A84" s="12">
        <v>21005</v>
      </c>
      <c r="B84" s="12" t="s">
        <v>86</v>
      </c>
      <c r="C84" s="17">
        <v>14.219999999999999</v>
      </c>
      <c r="D84" s="17">
        <v>56.19</v>
      </c>
    </row>
    <row r="85" spans="1:4" ht="15.75" customHeight="1">
      <c r="A85" s="12">
        <v>21006</v>
      </c>
      <c r="B85" s="12" t="s">
        <v>143</v>
      </c>
      <c r="C85" s="17">
        <v>28.649999999999995</v>
      </c>
      <c r="D85" s="17">
        <v>108.21</v>
      </c>
    </row>
    <row r="86" spans="1:4" ht="15.75" customHeight="1">
      <c r="A86" s="12">
        <v>21101</v>
      </c>
      <c r="B86" s="12" t="s">
        <v>168</v>
      </c>
      <c r="C86" s="17">
        <v>67.2</v>
      </c>
      <c r="D86" s="17">
        <v>450.90000000000003</v>
      </c>
    </row>
    <row r="87" spans="1:4" ht="15.75" customHeight="1">
      <c r="A87" s="12">
        <v>21102</v>
      </c>
      <c r="B87" s="12" t="s">
        <v>120</v>
      </c>
      <c r="C87" s="17">
        <v>229.35</v>
      </c>
      <c r="D87" s="17">
        <v>1088.5800000000002</v>
      </c>
    </row>
    <row r="88" spans="1:4" ht="15.75" customHeight="1">
      <c r="A88" s="12">
        <v>21103</v>
      </c>
      <c r="B88" s="12" t="s">
        <v>161</v>
      </c>
      <c r="C88" s="17">
        <v>66.69</v>
      </c>
      <c r="D88" s="17">
        <v>178.74</v>
      </c>
    </row>
    <row r="89" spans="1:4" ht="15.75" customHeight="1">
      <c r="A89" s="12">
        <v>21104</v>
      </c>
      <c r="B89" s="12" t="s">
        <v>167</v>
      </c>
      <c r="C89" s="17">
        <v>1977.1499999999999</v>
      </c>
      <c r="D89" s="17">
        <v>3337.8899999999994</v>
      </c>
    </row>
    <row r="90" spans="1:4" ht="15.75" customHeight="1">
      <c r="A90" s="12">
        <v>21105</v>
      </c>
      <c r="B90" s="12" t="s">
        <v>177</v>
      </c>
      <c r="C90" s="17">
        <v>734.96999999999991</v>
      </c>
      <c r="D90" s="17">
        <v>2631</v>
      </c>
    </row>
    <row r="91" spans="1:4" ht="15.75" customHeight="1">
      <c r="A91" s="12">
        <v>21201</v>
      </c>
      <c r="B91" s="12" t="s">
        <v>372</v>
      </c>
      <c r="C91" s="17">
        <v>0</v>
      </c>
      <c r="D91" s="17">
        <v>0</v>
      </c>
    </row>
    <row r="92" spans="1:4" ht="15.75" customHeight="1">
      <c r="A92" s="12">
        <v>21202</v>
      </c>
      <c r="B92" s="12" t="s">
        <v>310</v>
      </c>
      <c r="C92" s="17">
        <v>0</v>
      </c>
      <c r="D92" s="17">
        <v>0</v>
      </c>
    </row>
    <row r="93" spans="1:4" ht="15.75" customHeight="1">
      <c r="A93" s="12">
        <v>21203</v>
      </c>
      <c r="B93" s="12" t="s">
        <v>379</v>
      </c>
      <c r="C93" s="17">
        <v>0</v>
      </c>
      <c r="D93" s="17">
        <v>0</v>
      </c>
    </row>
    <row r="94" spans="1:4" ht="15.75" customHeight="1">
      <c r="A94" s="12">
        <v>21204</v>
      </c>
      <c r="B94" s="12" t="s">
        <v>311</v>
      </c>
      <c r="C94" s="17">
        <v>0</v>
      </c>
      <c r="D94" s="17">
        <v>0</v>
      </c>
    </row>
    <row r="95" spans="1:4" ht="15.75" customHeight="1">
      <c r="A95" s="12">
        <v>21301</v>
      </c>
      <c r="B95" s="12" t="s">
        <v>376</v>
      </c>
      <c r="C95" s="17">
        <v>0</v>
      </c>
      <c r="D95" s="17">
        <v>0</v>
      </c>
    </row>
    <row r="96" spans="1:4" ht="15.75" customHeight="1">
      <c r="A96" s="12">
        <v>21302</v>
      </c>
      <c r="B96" s="12" t="s">
        <v>312</v>
      </c>
      <c r="C96" s="17">
        <v>0</v>
      </c>
      <c r="D96" s="17">
        <v>0</v>
      </c>
    </row>
    <row r="97" spans="1:4" ht="15.75" customHeight="1">
      <c r="A97" s="12">
        <v>21303</v>
      </c>
      <c r="B97" s="12" t="s">
        <v>378</v>
      </c>
      <c r="C97" s="17">
        <v>0</v>
      </c>
      <c r="D97" s="17">
        <v>0</v>
      </c>
    </row>
    <row r="98" spans="1:4" ht="15.75" customHeight="1">
      <c r="A98" s="12">
        <v>21304</v>
      </c>
      <c r="B98" s="12" t="s">
        <v>176</v>
      </c>
      <c r="C98" s="17">
        <v>0</v>
      </c>
      <c r="D98" s="17">
        <v>0</v>
      </c>
    </row>
    <row r="99" spans="1:4" ht="15.75" customHeight="1">
      <c r="A99" s="12">
        <v>21305</v>
      </c>
      <c r="B99" s="12" t="s">
        <v>313</v>
      </c>
      <c r="C99" s="17">
        <v>0</v>
      </c>
      <c r="D99" s="17">
        <v>0</v>
      </c>
    </row>
    <row r="100" spans="1:4" ht="15.75" customHeight="1">
      <c r="A100" s="12">
        <v>21306</v>
      </c>
      <c r="B100" s="12" t="s">
        <v>314</v>
      </c>
      <c r="C100" s="17">
        <v>0</v>
      </c>
      <c r="D100" s="17">
        <v>0</v>
      </c>
    </row>
    <row r="101" spans="1:4" ht="15.75" customHeight="1">
      <c r="A101" s="12">
        <v>21307</v>
      </c>
      <c r="B101" s="12" t="s">
        <v>315</v>
      </c>
      <c r="C101" s="17">
        <v>0</v>
      </c>
      <c r="D101" s="17">
        <v>0</v>
      </c>
    </row>
    <row r="102" spans="1:4" ht="15.75" customHeight="1">
      <c r="A102" s="12">
        <v>21401</v>
      </c>
      <c r="B102" s="12" t="s">
        <v>222</v>
      </c>
      <c r="C102" s="17">
        <v>137.82000000000002</v>
      </c>
      <c r="D102" s="17">
        <v>837.93</v>
      </c>
    </row>
    <row r="103" spans="1:4" ht="15.75" customHeight="1">
      <c r="A103" s="12">
        <v>21402</v>
      </c>
      <c r="B103" s="12" t="s">
        <v>238</v>
      </c>
      <c r="C103" s="17">
        <v>89.88</v>
      </c>
      <c r="D103" s="17">
        <v>448.17</v>
      </c>
    </row>
    <row r="104" spans="1:4" ht="15.75" customHeight="1">
      <c r="A104" s="12">
        <v>21501</v>
      </c>
      <c r="B104" s="12" t="s">
        <v>195</v>
      </c>
      <c r="C104" s="17">
        <v>7390.02</v>
      </c>
      <c r="D104" s="17">
        <v>8413.26</v>
      </c>
    </row>
    <row r="105" spans="1:4" ht="15.75" customHeight="1">
      <c r="A105" s="12">
        <v>21502</v>
      </c>
      <c r="B105" s="12" t="s">
        <v>210</v>
      </c>
      <c r="C105" s="17">
        <v>2615.8799999999997</v>
      </c>
      <c r="D105" s="17">
        <v>2002.8000000000002</v>
      </c>
    </row>
    <row r="106" spans="1:4" ht="15.75" customHeight="1">
      <c r="A106" s="12">
        <v>21601</v>
      </c>
      <c r="B106" s="12" t="s">
        <v>191</v>
      </c>
      <c r="C106" s="17">
        <v>447.09</v>
      </c>
      <c r="D106" s="17">
        <v>402.42</v>
      </c>
    </row>
    <row r="107" spans="1:4" ht="15.75" customHeight="1">
      <c r="A107" s="12">
        <v>21602</v>
      </c>
      <c r="B107" s="12" t="s">
        <v>250</v>
      </c>
      <c r="C107" s="17">
        <v>79.679999999999993</v>
      </c>
      <c r="D107" s="17">
        <v>15.209999999999999</v>
      </c>
    </row>
    <row r="108" spans="1:4" ht="15.75" customHeight="1">
      <c r="A108" s="12">
        <v>21701</v>
      </c>
      <c r="B108" s="12" t="s">
        <v>316</v>
      </c>
      <c r="C108" s="17">
        <v>0</v>
      </c>
      <c r="D108" s="17">
        <v>0</v>
      </c>
    </row>
    <row r="109" spans="1:4" ht="15.75" customHeight="1">
      <c r="A109" s="12">
        <v>21702</v>
      </c>
      <c r="B109" s="12" t="s">
        <v>317</v>
      </c>
      <c r="C109" s="17">
        <v>0</v>
      </c>
      <c r="D109" s="17">
        <v>0</v>
      </c>
    </row>
    <row r="110" spans="1:4" ht="15.75" customHeight="1">
      <c r="A110" s="12">
        <v>21703</v>
      </c>
      <c r="B110" s="12" t="s">
        <v>318</v>
      </c>
      <c r="C110" s="17">
        <v>0</v>
      </c>
      <c r="D110" s="17">
        <v>0</v>
      </c>
    </row>
    <row r="111" spans="1:4" ht="15.75" customHeight="1">
      <c r="A111" s="12">
        <v>21801</v>
      </c>
      <c r="B111" s="12" t="s">
        <v>319</v>
      </c>
      <c r="C111" s="17">
        <v>0</v>
      </c>
      <c r="D111" s="17">
        <v>0</v>
      </c>
    </row>
    <row r="112" spans="1:4" ht="15.75" customHeight="1">
      <c r="A112" s="12">
        <v>21802</v>
      </c>
      <c r="B112" s="12" t="s">
        <v>320</v>
      </c>
      <c r="C112" s="17">
        <v>0</v>
      </c>
      <c r="D112" s="17">
        <v>0</v>
      </c>
    </row>
    <row r="113" spans="1:4" ht="15.75" customHeight="1">
      <c r="A113" s="12">
        <v>21803</v>
      </c>
      <c r="B113" s="12" t="s">
        <v>321</v>
      </c>
      <c r="C113" s="17">
        <v>0</v>
      </c>
      <c r="D113" s="17">
        <v>0</v>
      </c>
    </row>
    <row r="114" spans="1:4" ht="15.75" customHeight="1">
      <c r="A114" s="12">
        <v>21901</v>
      </c>
      <c r="B114" s="12" t="s">
        <v>322</v>
      </c>
      <c r="C114" s="17">
        <v>0</v>
      </c>
      <c r="D114" s="17">
        <v>0</v>
      </c>
    </row>
    <row r="115" spans="1:4" ht="15.75" customHeight="1">
      <c r="A115" s="12">
        <v>21902</v>
      </c>
      <c r="B115" s="12" t="s">
        <v>323</v>
      </c>
      <c r="C115" s="17">
        <v>0</v>
      </c>
      <c r="D115" s="17">
        <v>0</v>
      </c>
    </row>
    <row r="116" spans="1:4" ht="15.75" customHeight="1">
      <c r="A116" s="12">
        <v>22001</v>
      </c>
      <c r="B116" s="12" t="s">
        <v>201</v>
      </c>
      <c r="C116" s="17">
        <v>476.78999999999996</v>
      </c>
      <c r="D116" s="17">
        <v>2422.92</v>
      </c>
    </row>
    <row r="117" spans="1:4" ht="15.75" customHeight="1">
      <c r="A117" s="12">
        <v>22002</v>
      </c>
      <c r="B117" s="12" t="s">
        <v>126</v>
      </c>
      <c r="C117" s="17">
        <v>835.71</v>
      </c>
      <c r="D117" s="17">
        <v>1723.2300000000002</v>
      </c>
    </row>
    <row r="118" spans="1:4" ht="15.75" customHeight="1">
      <c r="A118" s="12">
        <v>30101</v>
      </c>
      <c r="B118" s="12" t="s">
        <v>132</v>
      </c>
      <c r="C118" s="17">
        <v>12.36</v>
      </c>
      <c r="D118" s="17">
        <v>61.23</v>
      </c>
    </row>
    <row r="119" spans="1:4" ht="15.75" customHeight="1">
      <c r="A119" s="12">
        <v>30201</v>
      </c>
      <c r="B119" s="12" t="s">
        <v>279</v>
      </c>
      <c r="C119" s="17">
        <v>282.27</v>
      </c>
      <c r="D119" s="17">
        <v>21.15</v>
      </c>
    </row>
    <row r="120" spans="1:4" ht="15.75" customHeight="1">
      <c r="A120" s="12">
        <v>30202</v>
      </c>
      <c r="B120" s="12" t="s">
        <v>248</v>
      </c>
      <c r="C120" s="17">
        <v>436.26</v>
      </c>
      <c r="D120" s="17">
        <v>156.27000000000001</v>
      </c>
    </row>
    <row r="121" spans="1:4" ht="15.75" customHeight="1">
      <c r="A121" s="12">
        <v>30203</v>
      </c>
      <c r="B121" s="12" t="s">
        <v>258</v>
      </c>
      <c r="C121" s="17">
        <v>54.84</v>
      </c>
      <c r="D121" s="17">
        <v>28.290000000000003</v>
      </c>
    </row>
    <row r="122" spans="1:4" ht="15.75" customHeight="1">
      <c r="A122" s="12">
        <v>30301</v>
      </c>
      <c r="B122" s="12" t="s">
        <v>138</v>
      </c>
      <c r="C122" s="17">
        <v>143.01</v>
      </c>
      <c r="D122" s="17">
        <v>196.35</v>
      </c>
    </row>
    <row r="123" spans="1:4" ht="15.75" customHeight="1">
      <c r="A123" s="12">
        <v>30302</v>
      </c>
      <c r="B123" s="12" t="s">
        <v>142</v>
      </c>
      <c r="C123" s="17">
        <v>56.279999999999994</v>
      </c>
      <c r="D123" s="17">
        <v>59.670000000000009</v>
      </c>
    </row>
    <row r="124" spans="1:4" ht="15.75" customHeight="1">
      <c r="A124" s="12">
        <v>30303</v>
      </c>
      <c r="B124" s="12" t="s">
        <v>217</v>
      </c>
      <c r="C124" s="17">
        <v>744.30000000000007</v>
      </c>
      <c r="D124" s="17">
        <v>1638.99</v>
      </c>
    </row>
    <row r="125" spans="1:4" ht="15.75" customHeight="1">
      <c r="A125" s="12">
        <v>30401</v>
      </c>
      <c r="B125" s="12" t="s">
        <v>282</v>
      </c>
      <c r="C125" s="17">
        <v>4.3499999999999996</v>
      </c>
      <c r="D125" s="17">
        <v>1.4400000000000002</v>
      </c>
    </row>
    <row r="126" spans="1:4" ht="15.75" customHeight="1">
      <c r="A126" s="12">
        <v>30402</v>
      </c>
      <c r="B126" s="12" t="s">
        <v>281</v>
      </c>
      <c r="C126" s="17">
        <v>18.329999999999998</v>
      </c>
      <c r="D126" s="17">
        <v>4.8600000000000003</v>
      </c>
    </row>
    <row r="127" spans="1:4" ht="15.75" customHeight="1">
      <c r="A127" s="12">
        <v>30403</v>
      </c>
      <c r="B127" s="12" t="s">
        <v>224</v>
      </c>
      <c r="C127" s="17">
        <v>0</v>
      </c>
      <c r="D127" s="17">
        <v>0</v>
      </c>
    </row>
    <row r="128" spans="1:4" ht="15.75" customHeight="1">
      <c r="A128" s="12">
        <v>30404</v>
      </c>
      <c r="B128" s="12" t="s">
        <v>259</v>
      </c>
      <c r="C128" s="17">
        <v>0</v>
      </c>
      <c r="D128" s="17">
        <v>0</v>
      </c>
    </row>
    <row r="129" spans="1:4" ht="15.75" customHeight="1">
      <c r="A129" s="12">
        <v>30501</v>
      </c>
      <c r="B129" s="12" t="s">
        <v>211</v>
      </c>
      <c r="C129" s="17">
        <v>3.33</v>
      </c>
      <c r="D129" s="17">
        <v>12.749999999999998</v>
      </c>
    </row>
    <row r="130" spans="1:4" ht="15.75" customHeight="1">
      <c r="A130" s="12">
        <v>30502</v>
      </c>
      <c r="B130" s="12" t="s">
        <v>255</v>
      </c>
      <c r="C130" s="17">
        <v>3.2399999999999998</v>
      </c>
      <c r="D130" s="17">
        <v>22.38</v>
      </c>
    </row>
    <row r="131" spans="1:4" ht="15.75" customHeight="1">
      <c r="A131" s="12">
        <v>30601</v>
      </c>
      <c r="B131" s="12" t="s">
        <v>392</v>
      </c>
      <c r="C131" s="17">
        <v>0</v>
      </c>
      <c r="D131" s="17">
        <v>0</v>
      </c>
    </row>
    <row r="132" spans="1:4" ht="15.75" customHeight="1">
      <c r="A132" s="12">
        <v>30602</v>
      </c>
      <c r="B132" s="12" t="s">
        <v>389</v>
      </c>
      <c r="C132" s="17">
        <v>0</v>
      </c>
      <c r="D132" s="17">
        <v>0</v>
      </c>
    </row>
    <row r="133" spans="1:4" ht="15.75" customHeight="1">
      <c r="A133" s="12">
        <v>30701</v>
      </c>
      <c r="B133" s="12" t="s">
        <v>237</v>
      </c>
      <c r="C133" s="17">
        <v>5.16</v>
      </c>
      <c r="D133" s="17">
        <v>14.37</v>
      </c>
    </row>
    <row r="134" spans="1:4" ht="15.75" customHeight="1">
      <c r="A134" s="12">
        <v>30702</v>
      </c>
      <c r="B134" s="12" t="s">
        <v>283</v>
      </c>
      <c r="C134" s="17">
        <v>10.74</v>
      </c>
      <c r="D134" s="17">
        <v>5.580000000000001</v>
      </c>
    </row>
    <row r="135" spans="1:4" ht="15.75" customHeight="1">
      <c r="A135" s="12">
        <v>30703</v>
      </c>
      <c r="B135" s="12" t="s">
        <v>267</v>
      </c>
      <c r="C135" s="17">
        <v>0</v>
      </c>
      <c r="D135" s="17">
        <v>0</v>
      </c>
    </row>
    <row r="136" spans="1:4" ht="15.75" customHeight="1">
      <c r="A136" s="12">
        <v>30801</v>
      </c>
      <c r="B136" s="12" t="s">
        <v>324</v>
      </c>
      <c r="C136" s="17">
        <v>0</v>
      </c>
      <c r="D136" s="17">
        <v>0</v>
      </c>
    </row>
    <row r="137" spans="1:4" ht="15.75" customHeight="1">
      <c r="A137" s="12">
        <v>30802</v>
      </c>
      <c r="B137" s="12" t="s">
        <v>381</v>
      </c>
      <c r="C137" s="17">
        <v>0</v>
      </c>
      <c r="D137" s="17">
        <v>0</v>
      </c>
    </row>
    <row r="138" spans="1:4" ht="15.75" customHeight="1">
      <c r="A138" s="12">
        <v>30803</v>
      </c>
      <c r="B138" s="12" t="s">
        <v>391</v>
      </c>
      <c r="C138" s="17">
        <v>0</v>
      </c>
      <c r="D138" s="17">
        <v>0</v>
      </c>
    </row>
    <row r="139" spans="1:4" ht="15.75" customHeight="1">
      <c r="A139" s="12">
        <v>30901</v>
      </c>
      <c r="B139" s="12" t="s">
        <v>261</v>
      </c>
      <c r="C139" s="17">
        <v>13.08</v>
      </c>
      <c r="D139" s="17">
        <v>101.85000000000001</v>
      </c>
    </row>
    <row r="140" spans="1:4" ht="15.75" customHeight="1">
      <c r="A140" s="12">
        <v>30902</v>
      </c>
      <c r="B140" s="12" t="s">
        <v>234</v>
      </c>
      <c r="C140" s="17">
        <v>7.32</v>
      </c>
      <c r="D140" s="17">
        <v>50.43</v>
      </c>
    </row>
    <row r="141" spans="1:4" ht="15.75" customHeight="1">
      <c r="A141" s="12">
        <v>30903</v>
      </c>
      <c r="B141" s="12" t="s">
        <v>227</v>
      </c>
      <c r="C141" s="17">
        <v>11.699999999999998</v>
      </c>
      <c r="D141" s="17">
        <v>136.26</v>
      </c>
    </row>
    <row r="142" spans="1:4" ht="15.75" customHeight="1">
      <c r="A142" s="12">
        <v>30904</v>
      </c>
      <c r="B142" s="12" t="s">
        <v>244</v>
      </c>
      <c r="C142" s="17">
        <v>13.050000000000002</v>
      </c>
      <c r="D142" s="17">
        <v>92.910000000000011</v>
      </c>
    </row>
    <row r="143" spans="1:4" ht="15.75" customHeight="1">
      <c r="A143" s="12">
        <v>30905</v>
      </c>
      <c r="B143" s="12" t="s">
        <v>253</v>
      </c>
      <c r="C143" s="17">
        <v>3.09</v>
      </c>
      <c r="D143" s="17">
        <v>54.57</v>
      </c>
    </row>
    <row r="144" spans="1:4" ht="15.75" customHeight="1">
      <c r="A144" s="12">
        <v>31001</v>
      </c>
      <c r="B144" s="12" t="s">
        <v>232</v>
      </c>
      <c r="C144" s="17">
        <v>21.72</v>
      </c>
      <c r="D144" s="17">
        <v>77.7</v>
      </c>
    </row>
    <row r="145" spans="1:4" ht="15.75" customHeight="1">
      <c r="A145" s="12">
        <v>31002</v>
      </c>
      <c r="B145" s="12" t="s">
        <v>220</v>
      </c>
      <c r="C145" s="17">
        <v>135.51</v>
      </c>
      <c r="D145" s="17">
        <v>260.67</v>
      </c>
    </row>
    <row r="146" spans="1:4" ht="15.75" customHeight="1">
      <c r="A146" s="12">
        <v>31003</v>
      </c>
      <c r="B146" s="12" t="s">
        <v>171</v>
      </c>
      <c r="C146" s="17">
        <v>7553.0099999999993</v>
      </c>
      <c r="D146" s="17">
        <v>8791.17</v>
      </c>
    </row>
    <row r="147" spans="1:4" ht="15.75" customHeight="1">
      <c r="A147" s="12">
        <v>31101</v>
      </c>
      <c r="B147" s="12" t="s">
        <v>202</v>
      </c>
      <c r="C147" s="17">
        <v>9.5400000000000009</v>
      </c>
      <c r="D147" s="17">
        <v>5.37</v>
      </c>
    </row>
    <row r="148" spans="1:4" ht="15.75" customHeight="1">
      <c r="A148" s="12">
        <v>31201</v>
      </c>
      <c r="B148" s="12" t="s">
        <v>257</v>
      </c>
      <c r="C148" s="17">
        <v>467.79</v>
      </c>
      <c r="D148" s="17">
        <v>397.08</v>
      </c>
    </row>
    <row r="149" spans="1:4" ht="15.75" customHeight="1">
      <c r="A149" s="12">
        <v>31202</v>
      </c>
      <c r="B149" s="12" t="s">
        <v>269</v>
      </c>
      <c r="C149" s="17">
        <v>471.09</v>
      </c>
      <c r="D149" s="17">
        <v>331.83</v>
      </c>
    </row>
    <row r="150" spans="1:4" ht="15.75" customHeight="1">
      <c r="A150" s="12">
        <v>31203</v>
      </c>
      <c r="B150" s="12" t="s">
        <v>251</v>
      </c>
      <c r="C150" s="17">
        <v>69.959999999999994</v>
      </c>
      <c r="D150" s="17">
        <v>124.08</v>
      </c>
    </row>
    <row r="151" spans="1:4" ht="15.75" customHeight="1">
      <c r="A151" s="12">
        <v>31204</v>
      </c>
      <c r="B151" s="12" t="s">
        <v>133</v>
      </c>
      <c r="C151" s="17">
        <v>3142.86</v>
      </c>
      <c r="D151" s="17">
        <v>2665.56</v>
      </c>
    </row>
    <row r="152" spans="1:4" ht="15.75" customHeight="1">
      <c r="A152" s="12">
        <v>31205</v>
      </c>
      <c r="B152" s="12" t="s">
        <v>145</v>
      </c>
      <c r="C152" s="17">
        <v>2258.7000000000003</v>
      </c>
      <c r="D152" s="17">
        <v>2215.0499999999997</v>
      </c>
    </row>
    <row r="153" spans="1:4" ht="15.75" customHeight="1">
      <c r="A153" s="12">
        <v>31206</v>
      </c>
      <c r="B153" s="12" t="s">
        <v>164</v>
      </c>
      <c r="C153" s="17">
        <v>2022.6599999999999</v>
      </c>
      <c r="D153" s="17">
        <v>2068.02</v>
      </c>
    </row>
    <row r="154" spans="1:4" ht="15.75" customHeight="1">
      <c r="A154" s="12">
        <v>31301</v>
      </c>
      <c r="B154" s="12" t="s">
        <v>275</v>
      </c>
      <c r="C154" s="17">
        <v>97.740000000000009</v>
      </c>
      <c r="D154" s="17">
        <v>27.99</v>
      </c>
    </row>
    <row r="155" spans="1:4" ht="15.75" customHeight="1">
      <c r="A155" s="12">
        <v>31302</v>
      </c>
      <c r="B155" s="12" t="s">
        <v>287</v>
      </c>
      <c r="C155" s="17">
        <v>35.880000000000003</v>
      </c>
      <c r="D155" s="17">
        <v>12.42</v>
      </c>
    </row>
    <row r="156" spans="1:4" ht="15.75" customHeight="1">
      <c r="A156" s="12">
        <v>31303</v>
      </c>
      <c r="B156" s="12" t="s">
        <v>277</v>
      </c>
      <c r="C156" s="17">
        <v>5.7</v>
      </c>
      <c r="D156" s="17">
        <v>10.41</v>
      </c>
    </row>
    <row r="157" spans="1:4" ht="15.75" customHeight="1">
      <c r="A157" s="12">
        <v>31304</v>
      </c>
      <c r="B157" s="12" t="s">
        <v>256</v>
      </c>
      <c r="C157" s="17">
        <v>38.07</v>
      </c>
      <c r="D157" s="17">
        <v>8.43</v>
      </c>
    </row>
    <row r="158" spans="1:4" ht="15.75" customHeight="1">
      <c r="A158" s="12">
        <v>31401</v>
      </c>
      <c r="B158" s="12" t="s">
        <v>387</v>
      </c>
      <c r="C158" s="17">
        <v>0</v>
      </c>
      <c r="D158" s="17">
        <v>0</v>
      </c>
    </row>
    <row r="159" spans="1:4" ht="15.75" customHeight="1">
      <c r="A159" s="12">
        <v>31402</v>
      </c>
      <c r="B159" s="12" t="s">
        <v>374</v>
      </c>
      <c r="C159" s="17">
        <v>0</v>
      </c>
      <c r="D159" s="17">
        <v>0</v>
      </c>
    </row>
    <row r="160" spans="1:4" ht="15.75" customHeight="1">
      <c r="A160" s="12">
        <v>31403</v>
      </c>
      <c r="B160" s="12" t="s">
        <v>393</v>
      </c>
      <c r="C160" s="17">
        <v>5.01</v>
      </c>
      <c r="D160" s="17">
        <v>13.650000000000004</v>
      </c>
    </row>
    <row r="161" spans="1:4" ht="15.75" customHeight="1">
      <c r="A161" s="12">
        <v>31404</v>
      </c>
      <c r="B161" s="12" t="s">
        <v>377</v>
      </c>
      <c r="C161" s="17">
        <v>0</v>
      </c>
      <c r="D161" s="17">
        <v>0</v>
      </c>
    </row>
    <row r="162" spans="1:4" ht="15.75" customHeight="1">
      <c r="A162" s="12">
        <v>31405</v>
      </c>
      <c r="B162" s="12" t="s">
        <v>390</v>
      </c>
      <c r="C162" s="17">
        <v>0</v>
      </c>
      <c r="D162" s="17">
        <v>0</v>
      </c>
    </row>
    <row r="163" spans="1:4" ht="15.75" customHeight="1">
      <c r="A163" s="12">
        <v>31501</v>
      </c>
      <c r="B163" s="12" t="s">
        <v>384</v>
      </c>
      <c r="C163" s="17">
        <v>0</v>
      </c>
      <c r="D163" s="17">
        <v>0</v>
      </c>
    </row>
    <row r="164" spans="1:4" ht="15.75" customHeight="1">
      <c r="A164" s="12">
        <v>31601</v>
      </c>
      <c r="B164" s="12" t="s">
        <v>265</v>
      </c>
      <c r="C164" s="17">
        <v>361.89000000000004</v>
      </c>
      <c r="D164" s="17">
        <v>340.77000000000004</v>
      </c>
    </row>
    <row r="165" spans="1:4" ht="15.75" customHeight="1">
      <c r="A165" s="12">
        <v>31602</v>
      </c>
      <c r="B165" s="12" t="s">
        <v>134</v>
      </c>
      <c r="C165" s="17">
        <v>703.11</v>
      </c>
      <c r="D165" s="17">
        <v>803.67000000000007</v>
      </c>
    </row>
    <row r="166" spans="1:4" ht="15.75" customHeight="1">
      <c r="A166" s="12">
        <v>40101</v>
      </c>
      <c r="B166" s="12" t="s">
        <v>61</v>
      </c>
      <c r="C166" s="17">
        <v>0</v>
      </c>
      <c r="D166" s="17">
        <v>0</v>
      </c>
    </row>
    <row r="167" spans="1:4" ht="15.75" customHeight="1">
      <c r="A167" s="12">
        <v>40102</v>
      </c>
      <c r="B167" s="12" t="s">
        <v>325</v>
      </c>
      <c r="C167" s="17">
        <v>0</v>
      </c>
      <c r="D167" s="17">
        <v>0</v>
      </c>
    </row>
    <row r="168" spans="1:4" ht="15.75" customHeight="1">
      <c r="A168" s="12">
        <v>40103</v>
      </c>
      <c r="B168" s="12" t="s">
        <v>326</v>
      </c>
      <c r="C168" s="17">
        <v>0</v>
      </c>
      <c r="D168" s="17">
        <v>0</v>
      </c>
    </row>
    <row r="169" spans="1:4" ht="15.75" customHeight="1">
      <c r="A169" s="12">
        <v>40104</v>
      </c>
      <c r="B169" s="12" t="s">
        <v>327</v>
      </c>
      <c r="C169" s="17">
        <v>0</v>
      </c>
      <c r="D169" s="17">
        <v>0</v>
      </c>
    </row>
    <row r="170" spans="1:4" ht="15.75" customHeight="1">
      <c r="A170" s="12">
        <v>40201</v>
      </c>
      <c r="B170" s="12" t="s">
        <v>62</v>
      </c>
      <c r="C170" s="17">
        <v>0</v>
      </c>
      <c r="D170" s="17">
        <v>0</v>
      </c>
    </row>
    <row r="171" spans="1:4" ht="15.75" customHeight="1">
      <c r="A171" s="12">
        <v>40202</v>
      </c>
      <c r="B171" s="12" t="s">
        <v>328</v>
      </c>
      <c r="C171" s="17">
        <v>0</v>
      </c>
      <c r="D171" s="17">
        <v>0</v>
      </c>
    </row>
    <row r="172" spans="1:4" ht="15.75" customHeight="1">
      <c r="A172" s="12">
        <v>40301</v>
      </c>
      <c r="B172" s="12" t="s">
        <v>329</v>
      </c>
      <c r="C172" s="17">
        <v>0</v>
      </c>
      <c r="D172" s="17">
        <v>0</v>
      </c>
    </row>
    <row r="173" spans="1:4" ht="15.75" customHeight="1">
      <c r="A173" s="12">
        <v>40302</v>
      </c>
      <c r="B173" s="12" t="s">
        <v>330</v>
      </c>
      <c r="C173" s="17">
        <v>0</v>
      </c>
      <c r="D173" s="17">
        <v>0</v>
      </c>
    </row>
    <row r="174" spans="1:4" ht="15.75" customHeight="1">
      <c r="A174" s="12">
        <v>40401</v>
      </c>
      <c r="B174" s="12" t="s">
        <v>331</v>
      </c>
      <c r="C174" s="17">
        <v>0</v>
      </c>
      <c r="D174" s="17">
        <v>0</v>
      </c>
    </row>
    <row r="175" spans="1:4" ht="15.75" customHeight="1">
      <c r="A175" s="12">
        <v>40402</v>
      </c>
      <c r="B175" s="12" t="s">
        <v>332</v>
      </c>
      <c r="C175" s="17">
        <v>0</v>
      </c>
      <c r="D175" s="17">
        <v>0</v>
      </c>
    </row>
    <row r="176" spans="1:4" ht="15.75" customHeight="1">
      <c r="A176" s="12">
        <v>40501</v>
      </c>
      <c r="B176" s="12" t="s">
        <v>333</v>
      </c>
      <c r="C176" s="17">
        <v>0</v>
      </c>
      <c r="D176" s="17">
        <v>0</v>
      </c>
    </row>
    <row r="177" spans="1:4" ht="15.75" customHeight="1">
      <c r="A177" s="12">
        <v>40502</v>
      </c>
      <c r="B177" s="12" t="s">
        <v>334</v>
      </c>
      <c r="C177" s="17">
        <v>0</v>
      </c>
      <c r="D177" s="17">
        <v>0</v>
      </c>
    </row>
    <row r="178" spans="1:4" ht="15.75" customHeight="1">
      <c r="A178" s="12">
        <v>40503</v>
      </c>
      <c r="B178" s="12" t="s">
        <v>335</v>
      </c>
      <c r="C178" s="17">
        <v>0</v>
      </c>
      <c r="D178" s="17">
        <v>0</v>
      </c>
    </row>
    <row r="179" spans="1:4" ht="15.75" customHeight="1">
      <c r="A179" s="12">
        <v>40504</v>
      </c>
      <c r="B179" s="12" t="s">
        <v>336</v>
      </c>
      <c r="C179" s="17">
        <v>0</v>
      </c>
      <c r="D179" s="17">
        <v>0</v>
      </c>
    </row>
    <row r="180" spans="1:4" ht="15.75" customHeight="1">
      <c r="A180" s="12">
        <v>40505</v>
      </c>
      <c r="B180" s="12" t="s">
        <v>337</v>
      </c>
      <c r="C180" s="17">
        <v>0</v>
      </c>
      <c r="D180" s="17">
        <v>0</v>
      </c>
    </row>
    <row r="181" spans="1:4" ht="15.75" customHeight="1">
      <c r="A181" s="12">
        <v>40601</v>
      </c>
      <c r="B181" s="12" t="s">
        <v>338</v>
      </c>
      <c r="C181" s="17">
        <v>0</v>
      </c>
      <c r="D181" s="17">
        <v>0</v>
      </c>
    </row>
    <row r="182" spans="1:4" ht="15.75" customHeight="1">
      <c r="A182" s="12">
        <v>40602</v>
      </c>
      <c r="B182" s="12" t="s">
        <v>339</v>
      </c>
      <c r="C182" s="17">
        <v>0</v>
      </c>
      <c r="D182" s="17">
        <v>0</v>
      </c>
    </row>
    <row r="183" spans="1:4" ht="15.75" customHeight="1">
      <c r="A183" s="12">
        <v>40603</v>
      </c>
      <c r="B183" s="12" t="s">
        <v>340</v>
      </c>
      <c r="C183" s="17">
        <v>0</v>
      </c>
      <c r="D183" s="17">
        <v>0</v>
      </c>
    </row>
    <row r="184" spans="1:4" ht="15.75" customHeight="1">
      <c r="A184" s="12">
        <v>40701</v>
      </c>
      <c r="B184" s="12" t="s">
        <v>341</v>
      </c>
      <c r="C184" s="17">
        <v>0</v>
      </c>
      <c r="D184" s="17">
        <v>0</v>
      </c>
    </row>
    <row r="185" spans="1:4" ht="15.75" customHeight="1">
      <c r="A185" s="12">
        <v>40702</v>
      </c>
      <c r="B185" s="12" t="s">
        <v>342</v>
      </c>
      <c r="C185" s="17">
        <v>0</v>
      </c>
      <c r="D185" s="17">
        <v>0</v>
      </c>
    </row>
    <row r="186" spans="1:4" ht="15.75" customHeight="1">
      <c r="A186" s="12">
        <v>40801</v>
      </c>
      <c r="B186" s="12" t="s">
        <v>343</v>
      </c>
      <c r="C186" s="17">
        <v>0</v>
      </c>
      <c r="D186" s="17">
        <v>0</v>
      </c>
    </row>
    <row r="187" spans="1:4" ht="15.75" customHeight="1">
      <c r="A187" s="12">
        <v>40802</v>
      </c>
      <c r="B187" s="12" t="s">
        <v>344</v>
      </c>
      <c r="C187" s="17">
        <v>0</v>
      </c>
      <c r="D187" s="17">
        <v>0</v>
      </c>
    </row>
    <row r="188" spans="1:4" ht="15.75" customHeight="1">
      <c r="A188" s="12">
        <v>40901</v>
      </c>
      <c r="B188" s="12" t="s">
        <v>345</v>
      </c>
      <c r="C188" s="17">
        <v>0</v>
      </c>
      <c r="D188" s="17">
        <v>0</v>
      </c>
    </row>
    <row r="189" spans="1:4" ht="15.75" customHeight="1">
      <c r="A189" s="12">
        <v>40902</v>
      </c>
      <c r="B189" s="12" t="s">
        <v>346</v>
      </c>
      <c r="C189" s="17">
        <v>0</v>
      </c>
      <c r="D189" s="17">
        <v>0</v>
      </c>
    </row>
    <row r="190" spans="1:4" ht="15.75" customHeight="1">
      <c r="A190" s="12">
        <v>40903</v>
      </c>
      <c r="B190" s="12" t="s">
        <v>347</v>
      </c>
      <c r="C190" s="17">
        <v>0</v>
      </c>
      <c r="D190" s="17">
        <v>0</v>
      </c>
    </row>
    <row r="191" spans="1:4" ht="15.75" customHeight="1">
      <c r="A191" s="12">
        <v>41001</v>
      </c>
      <c r="B191" s="12" t="s">
        <v>348</v>
      </c>
      <c r="C191" s="17">
        <v>0</v>
      </c>
      <c r="D191" s="17">
        <v>0</v>
      </c>
    </row>
    <row r="192" spans="1:4" ht="15.75" customHeight="1">
      <c r="A192" s="12">
        <v>41101</v>
      </c>
      <c r="B192" s="12" t="s">
        <v>349</v>
      </c>
      <c r="C192" s="17">
        <v>0</v>
      </c>
      <c r="D192" s="17">
        <v>0</v>
      </c>
    </row>
    <row r="193" spans="1:4" ht="15.75" customHeight="1">
      <c r="A193" s="12">
        <v>41201</v>
      </c>
      <c r="B193" s="12" t="s">
        <v>350</v>
      </c>
      <c r="C193" s="17">
        <v>0</v>
      </c>
      <c r="D193" s="17">
        <v>0</v>
      </c>
    </row>
    <row r="194" spans="1:4" ht="15.75" customHeight="1">
      <c r="A194" s="12">
        <v>41202</v>
      </c>
      <c r="B194" s="12" t="s">
        <v>351</v>
      </c>
      <c r="C194" s="17">
        <v>0</v>
      </c>
      <c r="D194" s="17">
        <v>0</v>
      </c>
    </row>
    <row r="195" spans="1:4" ht="15.75" customHeight="1">
      <c r="A195" s="12">
        <v>41301</v>
      </c>
      <c r="B195" s="12" t="s">
        <v>257</v>
      </c>
      <c r="C195" s="17">
        <v>0</v>
      </c>
      <c r="D195" s="17">
        <v>0</v>
      </c>
    </row>
    <row r="196" spans="1:4" ht="15.75" customHeight="1">
      <c r="A196" s="12">
        <v>41401</v>
      </c>
      <c r="B196" s="12" t="s">
        <v>64</v>
      </c>
      <c r="C196" s="17">
        <v>0</v>
      </c>
      <c r="D196" s="17">
        <v>0</v>
      </c>
    </row>
    <row r="197" spans="1:4" ht="15.75" customHeight="1">
      <c r="A197" s="12">
        <v>41501</v>
      </c>
      <c r="B197" s="12" t="s">
        <v>352</v>
      </c>
      <c r="C197" s="17">
        <v>0</v>
      </c>
      <c r="D197" s="17">
        <v>0</v>
      </c>
    </row>
    <row r="198" spans="1:4" ht="15.75" customHeight="1">
      <c r="A198" s="12">
        <v>41502</v>
      </c>
      <c r="B198" s="12" t="s">
        <v>353</v>
      </c>
      <c r="C198" s="17">
        <v>0</v>
      </c>
      <c r="D198" s="17">
        <v>0</v>
      </c>
    </row>
    <row r="199" spans="1:4" ht="15.75" customHeight="1">
      <c r="A199" s="12">
        <v>41503</v>
      </c>
      <c r="B199" s="12" t="s">
        <v>354</v>
      </c>
      <c r="C199" s="17">
        <v>0</v>
      </c>
      <c r="D199" s="17">
        <v>0</v>
      </c>
    </row>
    <row r="200" spans="1:4" ht="15.75" customHeight="1">
      <c r="A200" s="12">
        <v>41601</v>
      </c>
      <c r="B200" s="12" t="s">
        <v>355</v>
      </c>
      <c r="C200" s="17">
        <v>0</v>
      </c>
      <c r="D200" s="17">
        <v>0</v>
      </c>
    </row>
    <row r="201" spans="1:4" ht="15.75" customHeight="1">
      <c r="A201" s="12">
        <v>50101</v>
      </c>
      <c r="B201" s="12" t="s">
        <v>58</v>
      </c>
      <c r="C201" s="17">
        <v>0</v>
      </c>
      <c r="D201" s="17">
        <v>0</v>
      </c>
    </row>
    <row r="202" spans="1:4" ht="15.75" customHeight="1">
      <c r="A202" s="12">
        <v>50102</v>
      </c>
      <c r="B202" s="12" t="s">
        <v>60</v>
      </c>
      <c r="C202" s="17">
        <v>0</v>
      </c>
      <c r="D202" s="17">
        <v>0</v>
      </c>
    </row>
    <row r="203" spans="1:4" ht="15.75" customHeight="1">
      <c r="A203" s="12">
        <v>50103</v>
      </c>
      <c r="B203" s="12" t="s">
        <v>356</v>
      </c>
      <c r="C203" s="17">
        <v>0</v>
      </c>
      <c r="D203" s="17">
        <v>0</v>
      </c>
    </row>
    <row r="204" spans="1:4" ht="15.75" customHeight="1">
      <c r="A204" s="12">
        <v>50104</v>
      </c>
      <c r="B204" s="12" t="s">
        <v>63</v>
      </c>
      <c r="C204" s="17">
        <v>0</v>
      </c>
      <c r="D204" s="17">
        <v>0</v>
      </c>
    </row>
    <row r="205" spans="1:4" ht="15.75" customHeight="1">
      <c r="A205" s="12">
        <v>50201</v>
      </c>
      <c r="B205" s="12" t="s">
        <v>371</v>
      </c>
      <c r="C205" s="17">
        <v>0</v>
      </c>
      <c r="D205" s="17">
        <v>0</v>
      </c>
    </row>
    <row r="206" spans="1:4" ht="15.75" customHeight="1">
      <c r="A206" s="12">
        <v>50202</v>
      </c>
      <c r="B206" s="12" t="s">
        <v>385</v>
      </c>
      <c r="C206" s="17">
        <v>0</v>
      </c>
      <c r="D206" s="17">
        <v>0</v>
      </c>
    </row>
    <row r="207" spans="1:4" ht="15.75" customHeight="1">
      <c r="A207" s="12">
        <v>50203</v>
      </c>
      <c r="B207" s="12" t="s">
        <v>386</v>
      </c>
      <c r="C207" s="17">
        <v>0</v>
      </c>
      <c r="D207" s="17">
        <v>0</v>
      </c>
    </row>
    <row r="208" spans="1:4" ht="15.75" customHeight="1">
      <c r="A208" s="12">
        <v>50204</v>
      </c>
      <c r="B208" s="12" t="s">
        <v>357</v>
      </c>
      <c r="C208" s="17">
        <v>0</v>
      </c>
      <c r="D208" s="17">
        <v>0</v>
      </c>
    </row>
    <row r="209" spans="1:4" ht="15.75" customHeight="1">
      <c r="A209" s="12">
        <v>50301</v>
      </c>
      <c r="B209" s="12" t="s">
        <v>81</v>
      </c>
      <c r="C209" s="17">
        <v>12.57</v>
      </c>
      <c r="D209" s="17">
        <v>78.929999999999993</v>
      </c>
    </row>
    <row r="210" spans="1:4" ht="15.75" customHeight="1">
      <c r="A210" s="12">
        <v>50302</v>
      </c>
      <c r="B210" s="12" t="s">
        <v>78</v>
      </c>
      <c r="C210" s="17">
        <v>0</v>
      </c>
      <c r="D210" s="17">
        <v>0</v>
      </c>
    </row>
    <row r="211" spans="1:4" ht="15.75" customHeight="1">
      <c r="A211" s="12">
        <v>50303</v>
      </c>
      <c r="B211" s="12" t="s">
        <v>79</v>
      </c>
      <c r="C211" s="17">
        <v>0</v>
      </c>
      <c r="D211" s="17">
        <v>0</v>
      </c>
    </row>
    <row r="212" spans="1:4" ht="15.75" customHeight="1">
      <c r="A212" s="12">
        <v>50401</v>
      </c>
      <c r="B212" s="12" t="s">
        <v>396</v>
      </c>
      <c r="C212" s="17">
        <v>11.61</v>
      </c>
      <c r="D212" s="17">
        <v>1.89</v>
      </c>
    </row>
    <row r="213" spans="1:4" ht="15.75" customHeight="1">
      <c r="A213" s="12">
        <v>50402</v>
      </c>
      <c r="B213" s="12" t="s">
        <v>184</v>
      </c>
      <c r="C213" s="17">
        <v>47.699999999999996</v>
      </c>
      <c r="D213" s="17">
        <v>41.67</v>
      </c>
    </row>
    <row r="214" spans="1:4" ht="15.75" customHeight="1">
      <c r="A214" s="12">
        <v>50403</v>
      </c>
      <c r="B214" s="12" t="s">
        <v>207</v>
      </c>
      <c r="C214" s="17">
        <v>6.87</v>
      </c>
      <c r="D214" s="17">
        <v>2.04</v>
      </c>
    </row>
    <row r="215" spans="1:4" ht="15.75" customHeight="1">
      <c r="A215" s="12">
        <v>50404</v>
      </c>
      <c r="B215" s="12" t="s">
        <v>108</v>
      </c>
      <c r="C215" s="17">
        <v>0</v>
      </c>
      <c r="D215" s="17">
        <v>0</v>
      </c>
    </row>
    <row r="216" spans="1:4" ht="15.75" customHeight="1">
      <c r="A216" s="12">
        <v>50405</v>
      </c>
      <c r="B216" s="12" t="s">
        <v>358</v>
      </c>
      <c r="C216" s="17">
        <v>0</v>
      </c>
      <c r="D216" s="17">
        <v>0</v>
      </c>
    </row>
    <row r="217" spans="1:4" ht="15.75" customHeight="1">
      <c r="A217" s="12">
        <v>50501</v>
      </c>
      <c r="B217" s="12" t="s">
        <v>102</v>
      </c>
      <c r="C217" s="17">
        <v>101.85000000000001</v>
      </c>
      <c r="D217" s="17">
        <v>36.96</v>
      </c>
    </row>
    <row r="218" spans="1:4" ht="15.75" customHeight="1">
      <c r="A218" s="12">
        <v>50502</v>
      </c>
      <c r="B218" s="12" t="s">
        <v>278</v>
      </c>
      <c r="C218" s="17">
        <v>76.53</v>
      </c>
      <c r="D218" s="17">
        <v>27.090000000000003</v>
      </c>
    </row>
    <row r="219" spans="1:4" ht="15.75" customHeight="1">
      <c r="A219" s="12">
        <v>50601</v>
      </c>
      <c r="B219" s="12" t="s">
        <v>75</v>
      </c>
      <c r="C219" s="17">
        <v>0</v>
      </c>
      <c r="D219" s="17">
        <v>0</v>
      </c>
    </row>
    <row r="220" spans="1:4" ht="15.75" customHeight="1">
      <c r="A220" s="12">
        <v>50602</v>
      </c>
      <c r="B220" s="12" t="s">
        <v>74</v>
      </c>
      <c r="C220" s="17">
        <v>0</v>
      </c>
      <c r="D220" s="17">
        <v>0</v>
      </c>
    </row>
    <row r="221" spans="1:4" ht="15.75" customHeight="1">
      <c r="A221" s="12">
        <v>50701</v>
      </c>
      <c r="B221" s="12" t="s">
        <v>388</v>
      </c>
      <c r="C221" s="17">
        <v>0</v>
      </c>
      <c r="D221" s="17">
        <v>0</v>
      </c>
    </row>
    <row r="222" spans="1:4" ht="15.75" customHeight="1">
      <c r="A222" s="12">
        <v>50702</v>
      </c>
      <c r="B222" s="12" t="s">
        <v>373</v>
      </c>
      <c r="C222" s="17">
        <v>0</v>
      </c>
      <c r="D222" s="17">
        <v>0</v>
      </c>
    </row>
    <row r="223" spans="1:4" ht="15.75" customHeight="1">
      <c r="A223" s="12">
        <v>50801</v>
      </c>
      <c r="B223" s="12" t="s">
        <v>67</v>
      </c>
      <c r="C223" s="17">
        <v>0</v>
      </c>
      <c r="D223" s="17">
        <v>0</v>
      </c>
    </row>
    <row r="224" spans="1:4" ht="15.75" customHeight="1">
      <c r="A224" s="12">
        <v>50802</v>
      </c>
      <c r="B224" s="12" t="s">
        <v>369</v>
      </c>
      <c r="C224" s="17">
        <v>0</v>
      </c>
      <c r="D224" s="17">
        <v>0</v>
      </c>
    </row>
    <row r="225" spans="1:4" ht="15.75" customHeight="1">
      <c r="A225" s="12">
        <v>50901</v>
      </c>
      <c r="B225" s="12" t="s">
        <v>359</v>
      </c>
      <c r="C225" s="17">
        <v>0</v>
      </c>
      <c r="D225" s="17">
        <v>0</v>
      </c>
    </row>
    <row r="226" spans="1:4" ht="15.75" customHeight="1">
      <c r="A226" s="12">
        <v>50902</v>
      </c>
      <c r="B226" s="12" t="s">
        <v>360</v>
      </c>
      <c r="C226" s="17">
        <v>0</v>
      </c>
      <c r="D226" s="17">
        <v>0</v>
      </c>
    </row>
    <row r="227" spans="1:4" ht="15.75" customHeight="1">
      <c r="A227" s="12">
        <v>51001</v>
      </c>
      <c r="B227" s="12" t="s">
        <v>361</v>
      </c>
      <c r="C227" s="17">
        <v>0</v>
      </c>
      <c r="D227" s="17">
        <v>0</v>
      </c>
    </row>
    <row r="228" spans="1:4" ht="15.75" customHeight="1">
      <c r="A228" s="12">
        <v>51002</v>
      </c>
      <c r="B228" s="12" t="s">
        <v>362</v>
      </c>
      <c r="C228" s="17">
        <v>0</v>
      </c>
      <c r="D228" s="17">
        <v>0</v>
      </c>
    </row>
    <row r="229" spans="1:4" ht="15.75" customHeight="1">
      <c r="A229" s="12">
        <v>51003</v>
      </c>
      <c r="B229" s="12" t="s">
        <v>363</v>
      </c>
      <c r="C229" s="17">
        <v>0</v>
      </c>
      <c r="D229" s="17">
        <v>0</v>
      </c>
    </row>
    <row r="230" spans="1:4" ht="15.75" customHeight="1">
      <c r="A230" s="12">
        <v>51101</v>
      </c>
      <c r="B230" s="12" t="s">
        <v>82</v>
      </c>
      <c r="C230" s="17">
        <v>0</v>
      </c>
      <c r="D230" s="17">
        <v>0</v>
      </c>
    </row>
    <row r="231" spans="1:4" ht="15.75" customHeight="1">
      <c r="A231" s="12">
        <v>51102</v>
      </c>
      <c r="B231" s="12" t="s">
        <v>70</v>
      </c>
      <c r="C231" s="17">
        <v>0</v>
      </c>
      <c r="D231" s="17">
        <v>0</v>
      </c>
    </row>
    <row r="232" spans="1:4" ht="15.75" customHeight="1">
      <c r="A232" s="12">
        <v>51103</v>
      </c>
      <c r="B232" s="12" t="s">
        <v>77</v>
      </c>
      <c r="C232" s="17">
        <v>4.05</v>
      </c>
      <c r="D232" s="17">
        <v>48.629999999999995</v>
      </c>
    </row>
    <row r="233" spans="1:4" ht="15.75" customHeight="1">
      <c r="A233" s="12">
        <v>51201</v>
      </c>
      <c r="B233" s="12" t="s">
        <v>364</v>
      </c>
      <c r="C233" s="17">
        <v>0</v>
      </c>
      <c r="D233" s="17">
        <v>0</v>
      </c>
    </row>
    <row r="234" spans="1:4" ht="15.75" customHeight="1">
      <c r="A234" s="12">
        <v>51202</v>
      </c>
      <c r="B234" s="12" t="s">
        <v>68</v>
      </c>
      <c r="C234" s="17">
        <v>0</v>
      </c>
      <c r="D234" s="17">
        <v>0</v>
      </c>
    </row>
    <row r="235" spans="1:4" ht="15.75" customHeight="1">
      <c r="A235" s="12">
        <v>51203</v>
      </c>
      <c r="B235" s="12" t="s">
        <v>365</v>
      </c>
      <c r="C235" s="17">
        <v>0</v>
      </c>
      <c r="D235" s="17">
        <v>0</v>
      </c>
    </row>
    <row r="236" spans="1:4" ht="15.75" customHeight="1">
      <c r="A236" s="12">
        <v>51204</v>
      </c>
      <c r="B236" s="12" t="s">
        <v>59</v>
      </c>
      <c r="C236" s="17">
        <v>0</v>
      </c>
      <c r="D236" s="17">
        <v>0</v>
      </c>
    </row>
    <row r="237" spans="1:4" ht="15.75" customHeight="1">
      <c r="A237" s="12">
        <v>51301</v>
      </c>
      <c r="B237" s="12" t="s">
        <v>394</v>
      </c>
      <c r="C237" s="17">
        <v>5.13</v>
      </c>
      <c r="D237" s="17">
        <v>0.27</v>
      </c>
    </row>
    <row r="238" spans="1:4" ht="15.75" customHeight="1">
      <c r="A238" s="12">
        <v>51302</v>
      </c>
      <c r="B238" s="12" t="s">
        <v>395</v>
      </c>
      <c r="C238" s="17">
        <v>8.01</v>
      </c>
      <c r="D238" s="17">
        <v>2.64</v>
      </c>
    </row>
    <row r="239" spans="1:4" ht="15.75" customHeight="1">
      <c r="A239" s="12">
        <v>51401</v>
      </c>
      <c r="B239" s="12" t="s">
        <v>366</v>
      </c>
      <c r="C239" s="17">
        <v>0</v>
      </c>
      <c r="D239" s="17">
        <v>0</v>
      </c>
    </row>
    <row r="240" spans="1:4" ht="15.75" customHeight="1">
      <c r="A240" s="12">
        <v>51402</v>
      </c>
      <c r="B240" s="12" t="s">
        <v>367</v>
      </c>
      <c r="C240" s="17">
        <v>0</v>
      </c>
      <c r="D240" s="17">
        <v>0</v>
      </c>
    </row>
    <row r="241" spans="1:4" ht="15.75" customHeight="1">
      <c r="A241" s="12">
        <v>51501</v>
      </c>
      <c r="B241" s="12" t="s">
        <v>76</v>
      </c>
      <c r="C241" s="17">
        <v>0</v>
      </c>
      <c r="D241" s="17">
        <v>0</v>
      </c>
    </row>
    <row r="242" spans="1:4" ht="15.75" customHeight="1">
      <c r="A242" s="12">
        <v>51601</v>
      </c>
      <c r="B242" s="12" t="s">
        <v>368</v>
      </c>
      <c r="C242" s="17">
        <v>0</v>
      </c>
      <c r="D242" s="17">
        <v>0</v>
      </c>
    </row>
    <row r="243" spans="1:4" ht="15.75" customHeight="1">
      <c r="A243" s="12">
        <v>60101</v>
      </c>
      <c r="B243" s="12" t="s">
        <v>72</v>
      </c>
      <c r="C243" s="17">
        <v>215.03999999999996</v>
      </c>
      <c r="D243" s="17">
        <v>327.74999999999994</v>
      </c>
    </row>
    <row r="244" spans="1:4" ht="15.75" customHeight="1">
      <c r="A244" s="12">
        <v>60201</v>
      </c>
      <c r="B244" s="12" t="s">
        <v>223</v>
      </c>
      <c r="C244" s="17">
        <v>772.71</v>
      </c>
      <c r="D244" s="17">
        <v>967.29</v>
      </c>
    </row>
    <row r="245" spans="1:4" ht="15.75" customHeight="1">
      <c r="A245" s="12">
        <v>60202</v>
      </c>
      <c r="B245" s="12" t="s">
        <v>151</v>
      </c>
      <c r="C245" s="17">
        <v>223.76999999999998</v>
      </c>
      <c r="D245" s="17">
        <v>382.62000000000006</v>
      </c>
    </row>
    <row r="246" spans="1:4" ht="15.75" customHeight="1">
      <c r="A246" s="12">
        <v>60301</v>
      </c>
      <c r="B246" s="12" t="s">
        <v>152</v>
      </c>
      <c r="C246" s="17">
        <v>4338.45</v>
      </c>
      <c r="D246" s="17">
        <v>8283.57</v>
      </c>
    </row>
    <row r="247" spans="1:4" ht="15.75" customHeight="1">
      <c r="A247" s="12">
        <v>60302</v>
      </c>
      <c r="B247" s="12" t="s">
        <v>198</v>
      </c>
      <c r="C247" s="17">
        <v>1261.9499999999998</v>
      </c>
      <c r="D247" s="17">
        <v>1503.12</v>
      </c>
    </row>
    <row r="248" spans="1:4" ht="15.75" customHeight="1">
      <c r="A248" s="12">
        <v>60303</v>
      </c>
      <c r="B248" s="12" t="s">
        <v>208</v>
      </c>
      <c r="C248" s="17">
        <v>3218.64</v>
      </c>
      <c r="D248" s="17">
        <v>11144.43</v>
      </c>
    </row>
    <row r="249" spans="1:4" ht="15.75" customHeight="1">
      <c r="A249" s="12">
        <v>60401</v>
      </c>
      <c r="B249" s="12" t="s">
        <v>111</v>
      </c>
      <c r="C249" s="17">
        <v>109.68</v>
      </c>
      <c r="D249" s="17">
        <v>160.91999999999999</v>
      </c>
    </row>
    <row r="250" spans="1:4" ht="15.75" customHeight="1">
      <c r="A250" s="12">
        <v>60402</v>
      </c>
      <c r="B250" s="12" t="s">
        <v>73</v>
      </c>
      <c r="C250" s="17">
        <v>0</v>
      </c>
      <c r="D250" s="17">
        <v>0</v>
      </c>
    </row>
    <row r="251" spans="1:4" ht="15.75" customHeight="1">
      <c r="A251" s="12">
        <v>60501</v>
      </c>
      <c r="B251" s="12" t="s">
        <v>185</v>
      </c>
      <c r="C251" s="17">
        <v>225.48000000000002</v>
      </c>
      <c r="D251" s="17">
        <v>220.35</v>
      </c>
    </row>
    <row r="252" spans="1:4" ht="15.75" customHeight="1">
      <c r="A252" s="12">
        <v>60502</v>
      </c>
      <c r="B252" s="12" t="s">
        <v>80</v>
      </c>
      <c r="C252" s="17">
        <v>8.16</v>
      </c>
      <c r="D252" s="17">
        <v>35.880000000000003</v>
      </c>
    </row>
    <row r="253" spans="1:4" ht="15.75" customHeight="1">
      <c r="A253" s="12">
        <v>60601</v>
      </c>
      <c r="B253" s="12" t="s">
        <v>164</v>
      </c>
      <c r="C253" s="17">
        <v>677.31000000000006</v>
      </c>
      <c r="D253" s="17">
        <v>3369.9900000000002</v>
      </c>
    </row>
    <row r="254" spans="1:4" ht="15.75" customHeight="1">
      <c r="A254" s="12">
        <v>70101</v>
      </c>
      <c r="B254" s="12" t="s">
        <v>104</v>
      </c>
      <c r="C254" s="17">
        <v>1801.9799999999998</v>
      </c>
      <c r="D254" s="17">
        <v>910.11</v>
      </c>
    </row>
    <row r="255" spans="1:4" ht="15.75" customHeight="1">
      <c r="A255" s="12">
        <v>70102</v>
      </c>
      <c r="B255" s="12" t="s">
        <v>93</v>
      </c>
      <c r="C255" s="17">
        <v>642.6</v>
      </c>
      <c r="D255" s="17">
        <v>493.2</v>
      </c>
    </row>
    <row r="256" spans="1:4" ht="15.75" customHeight="1">
      <c r="A256" s="12">
        <v>70103</v>
      </c>
      <c r="B256" s="12" t="s">
        <v>166</v>
      </c>
      <c r="C256" s="17">
        <v>1734.33</v>
      </c>
      <c r="D256" s="17">
        <v>1069.7100000000003</v>
      </c>
    </row>
    <row r="257" spans="1:4" ht="15.75" customHeight="1">
      <c r="A257" s="12">
        <v>70104</v>
      </c>
      <c r="B257" s="12" t="s">
        <v>144</v>
      </c>
      <c r="C257" s="17">
        <v>1799.22</v>
      </c>
      <c r="D257" s="17">
        <v>1277.25</v>
      </c>
    </row>
    <row r="258" spans="1:4" ht="15.75" customHeight="1">
      <c r="A258" s="12">
        <v>70105</v>
      </c>
      <c r="B258" s="12" t="s">
        <v>179</v>
      </c>
      <c r="C258" s="17">
        <v>1438.92</v>
      </c>
      <c r="D258" s="17">
        <v>1162.3800000000001</v>
      </c>
    </row>
    <row r="259" spans="1:4" ht="15.75" customHeight="1">
      <c r="A259" s="12">
        <v>70201</v>
      </c>
      <c r="B259" s="12" t="s">
        <v>112</v>
      </c>
      <c r="C259" s="17">
        <v>957.27</v>
      </c>
      <c r="D259" s="17">
        <v>512.61</v>
      </c>
    </row>
    <row r="260" spans="1:4" ht="15.75" customHeight="1">
      <c r="A260" s="12">
        <v>70202</v>
      </c>
      <c r="B260" s="12" t="s">
        <v>99</v>
      </c>
      <c r="C260" s="17">
        <v>935.61</v>
      </c>
      <c r="D260" s="17">
        <v>486.18</v>
      </c>
    </row>
    <row r="261" spans="1:4" ht="15.75" customHeight="1">
      <c r="A261" s="12">
        <v>70301</v>
      </c>
      <c r="B261" s="12" t="s">
        <v>170</v>
      </c>
      <c r="C261" s="17">
        <v>20032.98</v>
      </c>
      <c r="D261" s="17">
        <v>50799.96</v>
      </c>
    </row>
    <row r="262" spans="1:4" ht="15.75" customHeight="1">
      <c r="A262" s="12">
        <v>70302</v>
      </c>
      <c r="B262" s="12" t="s">
        <v>159</v>
      </c>
      <c r="C262" s="17">
        <v>3640.35</v>
      </c>
      <c r="D262" s="17">
        <v>16448.850000000002</v>
      </c>
    </row>
    <row r="263" spans="1:4" ht="15.75" customHeight="1">
      <c r="A263" s="12">
        <v>70303</v>
      </c>
      <c r="B263" s="12" t="s">
        <v>158</v>
      </c>
      <c r="C263" s="17">
        <v>2411.1300000000006</v>
      </c>
      <c r="D263" s="17">
        <v>11998.29</v>
      </c>
    </row>
    <row r="264" spans="1:4" ht="15.75" customHeight="1">
      <c r="A264" s="12">
        <v>70401</v>
      </c>
      <c r="B264" s="12" t="s">
        <v>200</v>
      </c>
      <c r="C264" s="17">
        <v>2110.5300000000002</v>
      </c>
      <c r="D264" s="17">
        <v>1855.8</v>
      </c>
    </row>
    <row r="265" spans="1:4" ht="15.75" customHeight="1">
      <c r="A265" s="12">
        <v>70402</v>
      </c>
      <c r="B265" s="12" t="s">
        <v>123</v>
      </c>
      <c r="C265" s="17">
        <v>1307.3399999999999</v>
      </c>
      <c r="D265" s="17">
        <v>1281.1200000000001</v>
      </c>
    </row>
    <row r="266" spans="1:4" ht="15.75" customHeight="1">
      <c r="A266" s="12">
        <v>70403</v>
      </c>
      <c r="B266" s="12" t="s">
        <v>162</v>
      </c>
      <c r="C266" s="17">
        <v>14948.340000000002</v>
      </c>
      <c r="D266" s="17">
        <v>9354.0899999999983</v>
      </c>
    </row>
    <row r="267" spans="1:4" ht="15.75" customHeight="1">
      <c r="A267" s="12">
        <v>70404</v>
      </c>
      <c r="B267" s="12" t="s">
        <v>98</v>
      </c>
      <c r="C267" s="17">
        <v>2103.1200000000003</v>
      </c>
      <c r="D267" s="17">
        <v>1812.18</v>
      </c>
    </row>
    <row r="268" spans="1:4" ht="15.75" customHeight="1">
      <c r="A268" s="12">
        <v>70501</v>
      </c>
      <c r="B268" s="12" t="s">
        <v>116</v>
      </c>
      <c r="C268" s="17">
        <v>8055.93</v>
      </c>
      <c r="D268" s="17">
        <v>29905.8</v>
      </c>
    </row>
    <row r="269" spans="1:4" ht="15.75" customHeight="1">
      <c r="A269" s="12">
        <v>70502</v>
      </c>
      <c r="B269" s="12" t="s">
        <v>131</v>
      </c>
      <c r="C269" s="17">
        <v>24893.279999999999</v>
      </c>
      <c r="D269" s="17">
        <v>18028.440000000002</v>
      </c>
    </row>
    <row r="270" spans="1:4" ht="15.75" customHeight="1">
      <c r="A270" s="12">
        <v>70503</v>
      </c>
      <c r="B270" s="12" t="s">
        <v>97</v>
      </c>
      <c r="C270" s="17">
        <v>857.0100000000001</v>
      </c>
      <c r="D270" s="17">
        <v>15090.33</v>
      </c>
    </row>
    <row r="271" spans="1:4" ht="15.75" customHeight="1">
      <c r="A271" s="12">
        <v>70601</v>
      </c>
      <c r="B271" s="12" t="s">
        <v>118</v>
      </c>
      <c r="C271" s="17">
        <v>1666.32</v>
      </c>
      <c r="D271" s="17">
        <v>986.43</v>
      </c>
    </row>
    <row r="272" spans="1:4" ht="15.75" customHeight="1">
      <c r="A272" s="12">
        <v>70602</v>
      </c>
      <c r="B272" s="12" t="s">
        <v>96</v>
      </c>
      <c r="C272" s="17">
        <v>8055.3899999999994</v>
      </c>
      <c r="D272" s="17">
        <v>7276.77</v>
      </c>
    </row>
    <row r="273" spans="1:4" ht="15.75" customHeight="1">
      <c r="A273" s="12">
        <v>70603</v>
      </c>
      <c r="B273" s="12" t="s">
        <v>95</v>
      </c>
      <c r="C273" s="17">
        <v>198.87</v>
      </c>
      <c r="D273" s="17">
        <v>314.55</v>
      </c>
    </row>
    <row r="274" spans="1:4" ht="15.75" customHeight="1">
      <c r="A274" s="12">
        <v>70701</v>
      </c>
      <c r="B274" s="12" t="s">
        <v>233</v>
      </c>
      <c r="C274" s="17">
        <v>684.57</v>
      </c>
      <c r="D274" s="17">
        <v>410.01</v>
      </c>
    </row>
    <row r="275" spans="1:4" ht="15.75" customHeight="1">
      <c r="A275" s="12">
        <v>70702</v>
      </c>
      <c r="B275" s="12" t="s">
        <v>141</v>
      </c>
      <c r="C275" s="17">
        <v>16865.7</v>
      </c>
      <c r="D275" s="17">
        <v>59538.75</v>
      </c>
    </row>
    <row r="276" spans="1:4" ht="15.75" customHeight="1">
      <c r="A276" s="12">
        <v>70703</v>
      </c>
      <c r="B276" s="12" t="s">
        <v>146</v>
      </c>
      <c r="C276" s="17">
        <v>5585.579999999999</v>
      </c>
      <c r="D276" s="17">
        <v>4814.16</v>
      </c>
    </row>
    <row r="277" spans="1:4" ht="15.75" customHeight="1">
      <c r="A277" s="12">
        <v>70704</v>
      </c>
      <c r="B277" s="12" t="s">
        <v>263</v>
      </c>
      <c r="C277" s="17">
        <v>224.79</v>
      </c>
      <c r="D277" s="17">
        <v>266.19000000000005</v>
      </c>
    </row>
    <row r="278" spans="1:4" ht="15.75" customHeight="1">
      <c r="A278" s="12">
        <v>70705</v>
      </c>
      <c r="B278" s="12" t="s">
        <v>206</v>
      </c>
      <c r="C278" s="17">
        <v>2431.59</v>
      </c>
      <c r="D278" s="17">
        <v>1735.8300000000002</v>
      </c>
    </row>
    <row r="279" spans="1:4" ht="15.75" customHeight="1">
      <c r="A279" s="12">
        <v>70706</v>
      </c>
      <c r="B279" s="12" t="s">
        <v>209</v>
      </c>
      <c r="C279" s="17">
        <v>608.16</v>
      </c>
      <c r="D279" s="17">
        <v>605.93999999999994</v>
      </c>
    </row>
    <row r="280" spans="1:4" ht="15.75" customHeight="1">
      <c r="A280" s="12">
        <v>70707</v>
      </c>
      <c r="B280" s="12" t="s">
        <v>215</v>
      </c>
      <c r="C280" s="17">
        <v>175.89000000000001</v>
      </c>
      <c r="D280" s="17">
        <v>1857.8700000000001</v>
      </c>
    </row>
    <row r="281" spans="1:4" ht="15.75" customHeight="1">
      <c r="A281" s="12">
        <v>70801</v>
      </c>
      <c r="B281" s="12" t="s">
        <v>216</v>
      </c>
      <c r="C281" s="17">
        <v>1092.75</v>
      </c>
      <c r="D281" s="17">
        <v>1554.63</v>
      </c>
    </row>
    <row r="282" spans="1:4" ht="15.75" customHeight="1">
      <c r="A282" s="12">
        <v>70802</v>
      </c>
      <c r="B282" s="12" t="s">
        <v>247</v>
      </c>
      <c r="C282" s="17">
        <v>137.94</v>
      </c>
      <c r="D282" s="17">
        <v>158.57999999999998</v>
      </c>
    </row>
    <row r="283" spans="1:4" ht="15.75" customHeight="1">
      <c r="A283" s="12">
        <v>70803</v>
      </c>
      <c r="B283" s="12" t="s">
        <v>240</v>
      </c>
      <c r="C283" s="17">
        <v>340.56</v>
      </c>
      <c r="D283" s="17">
        <v>300.39000000000004</v>
      </c>
    </row>
    <row r="284" spans="1:4" ht="15.75" customHeight="1">
      <c r="A284" s="12">
        <v>70804</v>
      </c>
      <c r="B284" s="12" t="s">
        <v>192</v>
      </c>
      <c r="C284" s="17">
        <v>346.14000000000004</v>
      </c>
      <c r="D284" s="17">
        <v>483.27</v>
      </c>
    </row>
    <row r="285" spans="1:4" ht="15.75" customHeight="1">
      <c r="A285" s="12">
        <v>70805</v>
      </c>
      <c r="B285" s="12" t="s">
        <v>212</v>
      </c>
      <c r="C285" s="17">
        <v>280.08</v>
      </c>
      <c r="D285" s="17">
        <v>318.27</v>
      </c>
    </row>
    <row r="286" spans="1:4" ht="15.75" customHeight="1">
      <c r="A286" s="12">
        <v>70901</v>
      </c>
      <c r="B286" s="12" t="s">
        <v>235</v>
      </c>
      <c r="C286" s="17">
        <v>454.56</v>
      </c>
      <c r="D286" s="17">
        <v>504.51000000000005</v>
      </c>
    </row>
    <row r="287" spans="1:4" ht="15.75" customHeight="1">
      <c r="A287" s="12">
        <v>70902</v>
      </c>
      <c r="B287" s="12" t="s">
        <v>196</v>
      </c>
      <c r="C287" s="17">
        <v>499.59</v>
      </c>
      <c r="D287" s="17">
        <v>453.96000000000004</v>
      </c>
    </row>
    <row r="288" spans="1:4" ht="15.75" customHeight="1">
      <c r="A288" s="12">
        <v>70903</v>
      </c>
      <c r="B288" s="12" t="s">
        <v>187</v>
      </c>
      <c r="C288" s="17">
        <v>285.69</v>
      </c>
      <c r="D288" s="17">
        <v>390.05999999999995</v>
      </c>
    </row>
    <row r="289" spans="1:4" ht="15.75" customHeight="1">
      <c r="A289" s="12">
        <v>70904</v>
      </c>
      <c r="B289" s="12" t="s">
        <v>231</v>
      </c>
      <c r="C289" s="17">
        <v>131.66999999999999</v>
      </c>
      <c r="D289" s="17">
        <v>131.49</v>
      </c>
    </row>
    <row r="290" spans="1:4" ht="15.75" customHeight="1">
      <c r="A290" s="12">
        <v>71001</v>
      </c>
      <c r="B290" s="12" t="s">
        <v>107</v>
      </c>
      <c r="C290" s="17">
        <v>206.42999999999998</v>
      </c>
      <c r="D290" s="17">
        <v>105.24</v>
      </c>
    </row>
    <row r="291" spans="1:4" ht="15.75" customHeight="1">
      <c r="A291" s="12">
        <v>71002</v>
      </c>
      <c r="B291" s="12" t="s">
        <v>91</v>
      </c>
      <c r="C291" s="17">
        <v>269.27999999999997</v>
      </c>
      <c r="D291" s="17">
        <v>176.07000000000002</v>
      </c>
    </row>
    <row r="292" spans="1:4" ht="15.75" customHeight="1">
      <c r="A292" s="12">
        <v>71003</v>
      </c>
      <c r="B292" s="12" t="s">
        <v>84</v>
      </c>
      <c r="C292" s="17">
        <v>304.32</v>
      </c>
      <c r="D292" s="17">
        <v>213.72000000000003</v>
      </c>
    </row>
    <row r="293" spans="1:4" ht="15.75" customHeight="1">
      <c r="A293" s="12">
        <v>71004</v>
      </c>
      <c r="B293" s="12" t="s">
        <v>113</v>
      </c>
      <c r="C293" s="17">
        <v>358.5</v>
      </c>
      <c r="D293" s="17">
        <v>252.69000000000003</v>
      </c>
    </row>
    <row r="294" spans="1:4" ht="15.75" customHeight="1">
      <c r="A294" s="12">
        <v>71005</v>
      </c>
      <c r="B294" s="12" t="s">
        <v>102</v>
      </c>
      <c r="C294" s="17">
        <v>2284.44</v>
      </c>
      <c r="D294" s="17">
        <v>1327.68</v>
      </c>
    </row>
    <row r="295" spans="1:4" ht="15.75" customHeight="1">
      <c r="A295" s="12">
        <v>71101</v>
      </c>
      <c r="B295" s="12" t="s">
        <v>180</v>
      </c>
      <c r="C295" s="17">
        <v>8283.9</v>
      </c>
      <c r="D295" s="17">
        <v>25677.3</v>
      </c>
    </row>
    <row r="296" spans="1:4" ht="15.75" customHeight="1">
      <c r="A296" s="12">
        <v>71102</v>
      </c>
      <c r="B296" s="12" t="s">
        <v>106</v>
      </c>
      <c r="C296" s="17">
        <v>2233.5300000000002</v>
      </c>
      <c r="D296" s="17">
        <v>3633.1800000000003</v>
      </c>
    </row>
    <row r="297" spans="1:4" ht="15.75" customHeight="1">
      <c r="A297" s="12">
        <v>71103</v>
      </c>
      <c r="B297" s="12" t="s">
        <v>88</v>
      </c>
      <c r="C297" s="17">
        <v>568.32000000000005</v>
      </c>
      <c r="D297" s="17">
        <v>945.96</v>
      </c>
    </row>
    <row r="298" spans="1:4" ht="15.75" customHeight="1">
      <c r="A298" s="12">
        <v>71104</v>
      </c>
      <c r="B298" s="12" t="s">
        <v>117</v>
      </c>
      <c r="C298" s="17">
        <v>13049.1</v>
      </c>
      <c r="D298" s="17">
        <v>4494.45</v>
      </c>
    </row>
    <row r="299" spans="1:4" ht="15.75" customHeight="1">
      <c r="A299" s="12">
        <v>71105</v>
      </c>
      <c r="B299" s="12" t="s">
        <v>190</v>
      </c>
      <c r="C299" s="17">
        <v>1348.68</v>
      </c>
      <c r="D299" s="17">
        <v>1325.97</v>
      </c>
    </row>
    <row r="300" spans="1:4" ht="15.75" customHeight="1">
      <c r="A300" s="12">
        <v>71106</v>
      </c>
      <c r="B300" s="12" t="s">
        <v>135</v>
      </c>
      <c r="C300" s="17">
        <v>6337.11</v>
      </c>
      <c r="D300" s="17">
        <v>3577.98</v>
      </c>
    </row>
    <row r="301" spans="1:4" ht="15.75" customHeight="1">
      <c r="A301" s="12">
        <v>71201</v>
      </c>
      <c r="B301" s="12" t="s">
        <v>226</v>
      </c>
      <c r="C301" s="17">
        <v>2384.5499999999997</v>
      </c>
      <c r="D301" s="17">
        <v>5638.8600000000006</v>
      </c>
    </row>
    <row r="302" spans="1:4" ht="15.75" customHeight="1">
      <c r="A302" s="12">
        <v>71301</v>
      </c>
      <c r="B302" s="12" t="s">
        <v>241</v>
      </c>
      <c r="C302" s="17">
        <v>1043.49</v>
      </c>
      <c r="D302" s="17">
        <v>972.18</v>
      </c>
    </row>
    <row r="303" spans="1:4" ht="15.75" customHeight="1">
      <c r="A303" s="12">
        <v>71302</v>
      </c>
      <c r="B303" s="12" t="s">
        <v>189</v>
      </c>
      <c r="C303" s="17">
        <v>80.849999999999994</v>
      </c>
      <c r="D303" s="17">
        <v>158.34</v>
      </c>
    </row>
    <row r="304" spans="1:4" ht="15.75" customHeight="1">
      <c r="A304" s="12">
        <v>71401</v>
      </c>
      <c r="B304" s="12" t="s">
        <v>204</v>
      </c>
      <c r="C304" s="17">
        <v>3614.97</v>
      </c>
      <c r="D304" s="17">
        <v>3451.89</v>
      </c>
    </row>
    <row r="305" spans="1:4" ht="15.75" customHeight="1">
      <c r="A305" s="12">
        <v>71402</v>
      </c>
      <c r="B305" s="12" t="s">
        <v>239</v>
      </c>
      <c r="C305" s="17">
        <v>273.63</v>
      </c>
      <c r="D305" s="17">
        <v>174.57000000000002</v>
      </c>
    </row>
    <row r="306" spans="1:4" ht="15.75" customHeight="1">
      <c r="A306" s="12">
        <v>71403</v>
      </c>
      <c r="B306" s="12" t="s">
        <v>155</v>
      </c>
      <c r="C306" s="17">
        <v>3150.3300000000004</v>
      </c>
      <c r="D306" s="17">
        <v>9784.17</v>
      </c>
    </row>
    <row r="307" spans="1:4" ht="15.75" customHeight="1">
      <c r="A307" s="12">
        <v>71501</v>
      </c>
      <c r="B307" s="12" t="s">
        <v>105</v>
      </c>
      <c r="C307" s="17">
        <v>10418.34</v>
      </c>
      <c r="D307" s="17">
        <v>19570.080000000002</v>
      </c>
    </row>
    <row r="308" spans="1:4" ht="15.75" customHeight="1">
      <c r="A308" s="12">
        <v>71502</v>
      </c>
      <c r="B308" s="12" t="s">
        <v>186</v>
      </c>
      <c r="C308" s="17">
        <v>4533.5700000000006</v>
      </c>
      <c r="D308" s="17">
        <v>5740.5</v>
      </c>
    </row>
    <row r="309" spans="1:4" ht="15.75" customHeight="1">
      <c r="A309" s="12">
        <v>71503</v>
      </c>
      <c r="B309" s="12" t="s">
        <v>80</v>
      </c>
      <c r="C309" s="17">
        <v>17272.829999999998</v>
      </c>
      <c r="D309" s="17">
        <v>16327.319999999998</v>
      </c>
    </row>
    <row r="310" spans="1:4" ht="15.75" customHeight="1">
      <c r="A310" s="12">
        <v>80101</v>
      </c>
      <c r="B310" s="12" t="s">
        <v>103</v>
      </c>
      <c r="C310" s="17">
        <v>760.74000000000012</v>
      </c>
      <c r="D310" s="17">
        <v>1311.27</v>
      </c>
    </row>
    <row r="311" spans="1:4" ht="15.75" customHeight="1">
      <c r="A311" s="12">
        <v>80102</v>
      </c>
      <c r="B311" s="12" t="s">
        <v>106</v>
      </c>
      <c r="C311" s="17">
        <v>4393.3500000000013</v>
      </c>
      <c r="D311" s="17">
        <v>7343.31</v>
      </c>
    </row>
    <row r="312" spans="1:4" ht="15.75" customHeight="1">
      <c r="A312" s="12">
        <v>80201</v>
      </c>
      <c r="B312" s="12" t="s">
        <v>246</v>
      </c>
      <c r="C312" s="17">
        <v>5131.71</v>
      </c>
      <c r="D312" s="17">
        <v>2207.61</v>
      </c>
    </row>
    <row r="313" spans="1:4" ht="15.75" customHeight="1">
      <c r="A313" s="12">
        <v>80202</v>
      </c>
      <c r="B313" s="12" t="s">
        <v>221</v>
      </c>
      <c r="C313" s="17">
        <v>6715.59</v>
      </c>
      <c r="D313" s="17">
        <v>1478.7</v>
      </c>
    </row>
    <row r="314" spans="1:4" ht="15.75" customHeight="1">
      <c r="A314" s="12">
        <v>80301</v>
      </c>
      <c r="B314" s="12" t="s">
        <v>128</v>
      </c>
      <c r="C314" s="17">
        <v>5935.05</v>
      </c>
      <c r="D314" s="17">
        <v>6429.2699999999995</v>
      </c>
    </row>
    <row r="315" spans="1:4" ht="15.75" customHeight="1">
      <c r="A315" s="12">
        <v>80302</v>
      </c>
      <c r="B315" s="12" t="s">
        <v>169</v>
      </c>
      <c r="C315" s="17">
        <v>4655.07</v>
      </c>
      <c r="D315" s="17">
        <v>3928.7099999999996</v>
      </c>
    </row>
    <row r="316" spans="1:4" ht="15.75" customHeight="1">
      <c r="A316" s="12">
        <v>80303</v>
      </c>
      <c r="B316" s="12" t="s">
        <v>140</v>
      </c>
      <c r="C316" s="17">
        <v>960.39</v>
      </c>
      <c r="D316" s="17">
        <v>1912.32</v>
      </c>
    </row>
    <row r="317" spans="1:4" ht="15.75" customHeight="1">
      <c r="A317" s="12">
        <v>80304</v>
      </c>
      <c r="B317" s="12" t="s">
        <v>172</v>
      </c>
      <c r="C317" s="17">
        <v>3705.39</v>
      </c>
      <c r="D317" s="17">
        <v>1794.99</v>
      </c>
    </row>
    <row r="318" spans="1:4" ht="15.75" customHeight="1">
      <c r="A318" s="12">
        <v>80401</v>
      </c>
      <c r="B318" s="12" t="s">
        <v>154</v>
      </c>
      <c r="C318" s="17">
        <v>8295.36</v>
      </c>
      <c r="D318" s="17">
        <v>3719.3699999999994</v>
      </c>
    </row>
    <row r="319" spans="1:4" ht="15.75" customHeight="1">
      <c r="A319" s="12">
        <v>80402</v>
      </c>
      <c r="B319" s="12" t="s">
        <v>174</v>
      </c>
      <c r="C319" s="17">
        <v>4012.47</v>
      </c>
      <c r="D319" s="17">
        <v>3143.01</v>
      </c>
    </row>
    <row r="320" spans="1:4" ht="15.75" customHeight="1">
      <c r="A320" s="12">
        <v>80501</v>
      </c>
      <c r="B320" s="12" t="s">
        <v>173</v>
      </c>
      <c r="C320" s="17">
        <v>7783.68</v>
      </c>
      <c r="D320" s="17">
        <v>6887.31</v>
      </c>
    </row>
    <row r="321" spans="1:4" ht="15.75" customHeight="1">
      <c r="A321" s="12">
        <v>80601</v>
      </c>
      <c r="B321" s="12" t="s">
        <v>110</v>
      </c>
      <c r="C321" s="17">
        <v>4619.25</v>
      </c>
      <c r="D321" s="17">
        <v>4083.72</v>
      </c>
    </row>
    <row r="322" spans="1:4" ht="15.75" customHeight="1">
      <c r="A322" s="12">
        <v>80602</v>
      </c>
      <c r="B322" s="12" t="s">
        <v>100</v>
      </c>
      <c r="C322" s="17">
        <v>6520.62</v>
      </c>
      <c r="D322" s="17">
        <v>12057.18</v>
      </c>
    </row>
    <row r="323" spans="1:4" ht="15.75" customHeight="1">
      <c r="A323" s="12">
        <v>80701</v>
      </c>
      <c r="B323" s="12" t="s">
        <v>121</v>
      </c>
      <c r="C323" s="17">
        <v>3860.1299999999997</v>
      </c>
      <c r="D323" s="17">
        <v>3102.1200000000003</v>
      </c>
    </row>
    <row r="324" spans="1:4" ht="15.75" customHeight="1">
      <c r="A324" s="12">
        <v>80702</v>
      </c>
      <c r="B324" s="12" t="s">
        <v>88</v>
      </c>
      <c r="C324" s="17">
        <v>1690.8</v>
      </c>
      <c r="D324" s="17">
        <v>2590.83</v>
      </c>
    </row>
    <row r="325" spans="1:4" ht="15.75" customHeight="1">
      <c r="A325" s="12">
        <v>80703</v>
      </c>
      <c r="B325" s="12" t="s">
        <v>148</v>
      </c>
      <c r="C325" s="17">
        <v>2303.7599999999998</v>
      </c>
      <c r="D325" s="17">
        <v>737.73</v>
      </c>
    </row>
    <row r="326" spans="1:4" ht="15.75" customHeight="1">
      <c r="A326" s="12">
        <v>80801</v>
      </c>
      <c r="B326" s="12" t="s">
        <v>136</v>
      </c>
      <c r="C326" s="17">
        <v>4272.78</v>
      </c>
      <c r="D326" s="17">
        <v>6619.7400000000007</v>
      </c>
    </row>
    <row r="327" spans="1:4" ht="15.75" customHeight="1">
      <c r="A327" s="12">
        <v>80802</v>
      </c>
      <c r="B327" s="12" t="s">
        <v>149</v>
      </c>
      <c r="C327" s="17">
        <v>4715.6400000000003</v>
      </c>
      <c r="D327" s="17">
        <v>8200.89</v>
      </c>
    </row>
    <row r="328" spans="1:4" ht="15.75" customHeight="1">
      <c r="A328" s="12">
        <v>80803</v>
      </c>
      <c r="B328" s="12" t="s">
        <v>101</v>
      </c>
      <c r="C328" s="17">
        <v>2964.8999999999996</v>
      </c>
      <c r="D328" s="17">
        <v>2032.17</v>
      </c>
    </row>
    <row r="329" spans="1:4" ht="15.75" customHeight="1">
      <c r="A329" s="12">
        <v>80901</v>
      </c>
      <c r="B329" s="12" t="s">
        <v>193</v>
      </c>
      <c r="C329" s="17">
        <v>3347.0399999999995</v>
      </c>
      <c r="D329" s="17">
        <v>1494.36</v>
      </c>
    </row>
    <row r="330" spans="1:4" ht="15.75" customHeight="1">
      <c r="A330" s="12">
        <v>90101</v>
      </c>
      <c r="B330" s="12" t="s">
        <v>130</v>
      </c>
      <c r="C330" s="17">
        <v>445.17</v>
      </c>
      <c r="D330" s="17">
        <v>426.03000000000003</v>
      </c>
    </row>
    <row r="331" spans="1:4" ht="15.75" customHeight="1">
      <c r="A331" s="12">
        <v>90102</v>
      </c>
      <c r="B331" s="12" t="s">
        <v>178</v>
      </c>
      <c r="C331" s="17">
        <v>648.92999999999995</v>
      </c>
      <c r="D331" s="17">
        <v>526.5</v>
      </c>
    </row>
    <row r="332" spans="1:4" ht="15.75" customHeight="1">
      <c r="A332" s="12">
        <v>90103</v>
      </c>
      <c r="B332" s="12" t="s">
        <v>197</v>
      </c>
      <c r="C332" s="17">
        <v>858.12</v>
      </c>
      <c r="D332" s="17">
        <v>849.75</v>
      </c>
    </row>
    <row r="333" spans="1:4" ht="15.75" customHeight="1">
      <c r="A333" s="12">
        <v>90104</v>
      </c>
      <c r="B333" s="12" t="s">
        <v>205</v>
      </c>
      <c r="C333" s="17">
        <v>1603.47</v>
      </c>
      <c r="D333" s="17">
        <v>1798.32</v>
      </c>
    </row>
    <row r="334" spans="1:4" ht="15.75" customHeight="1">
      <c r="A334" s="12">
        <v>90201</v>
      </c>
      <c r="B334" s="12" t="s">
        <v>260</v>
      </c>
      <c r="C334" s="17">
        <v>1849.53</v>
      </c>
      <c r="D334" s="17">
        <v>489.18000000000006</v>
      </c>
    </row>
    <row r="335" spans="1:4" ht="15.75" customHeight="1">
      <c r="A335" s="12">
        <v>90202</v>
      </c>
      <c r="B335" s="12" t="s">
        <v>102</v>
      </c>
      <c r="C335" s="17">
        <v>1429.3500000000001</v>
      </c>
      <c r="D335" s="17">
        <v>606.72</v>
      </c>
    </row>
    <row r="336" spans="1:4" ht="15.75" customHeight="1">
      <c r="A336" s="12">
        <v>90203</v>
      </c>
      <c r="B336" s="12" t="s">
        <v>243</v>
      </c>
      <c r="C336" s="17">
        <v>2014.7699999999998</v>
      </c>
      <c r="D336" s="17">
        <v>1803.6899999999998</v>
      </c>
    </row>
    <row r="337" spans="1:4" ht="15.75" customHeight="1">
      <c r="A337" s="12">
        <v>90301</v>
      </c>
      <c r="B337" s="12" t="s">
        <v>203</v>
      </c>
      <c r="C337" s="17">
        <v>1238.46</v>
      </c>
      <c r="D337" s="17">
        <v>458.78999999999996</v>
      </c>
    </row>
    <row r="338" spans="1:4" ht="15.75" customHeight="1">
      <c r="A338" s="12">
        <v>90302</v>
      </c>
      <c r="B338" s="12" t="s">
        <v>185</v>
      </c>
      <c r="C338" s="17">
        <v>1529.9399999999998</v>
      </c>
      <c r="D338" s="17">
        <v>512.55000000000007</v>
      </c>
    </row>
    <row r="339" spans="1:4" ht="15.75" customHeight="1">
      <c r="A339" s="12">
        <v>90303</v>
      </c>
      <c r="B339" s="12" t="s">
        <v>266</v>
      </c>
      <c r="C339" s="17">
        <v>1028.3699999999999</v>
      </c>
      <c r="D339" s="17">
        <v>563.49</v>
      </c>
    </row>
    <row r="340" spans="1:4" ht="15.75" customHeight="1">
      <c r="A340" s="12">
        <v>90401</v>
      </c>
      <c r="B340" s="12" t="s">
        <v>140</v>
      </c>
      <c r="C340" s="17">
        <v>588.87</v>
      </c>
      <c r="D340" s="17">
        <v>361.5</v>
      </c>
    </row>
    <row r="341" spans="1:4" ht="15.75" customHeight="1">
      <c r="A341" s="12">
        <v>90402</v>
      </c>
      <c r="B341" s="12" t="s">
        <v>274</v>
      </c>
      <c r="C341" s="17">
        <v>444.66</v>
      </c>
      <c r="D341" s="17">
        <v>273.53999999999996</v>
      </c>
    </row>
    <row r="342" spans="1:4" ht="15.75" customHeight="1">
      <c r="A342" s="12">
        <v>90501</v>
      </c>
      <c r="B342" s="12" t="s">
        <v>270</v>
      </c>
      <c r="C342" s="17">
        <v>494.16</v>
      </c>
      <c r="D342" s="17">
        <v>167.16</v>
      </c>
    </row>
    <row r="343" spans="1:4" ht="15.75" customHeight="1">
      <c r="A343" s="12">
        <v>90502</v>
      </c>
      <c r="B343" s="12" t="s">
        <v>273</v>
      </c>
      <c r="C343" s="17">
        <v>390.99</v>
      </c>
      <c r="D343" s="17">
        <v>242.4</v>
      </c>
    </row>
    <row r="344" spans="1:4" ht="15.75" customHeight="1">
      <c r="A344" s="12">
        <v>90503</v>
      </c>
      <c r="B344" s="12" t="s">
        <v>280</v>
      </c>
      <c r="C344" s="17">
        <v>102.33</v>
      </c>
      <c r="D344" s="17">
        <v>114.92999999999999</v>
      </c>
    </row>
    <row r="345" spans="1:4" ht="15.75" customHeight="1"/>
    <row r="346" spans="1:4" ht="15.75" customHeight="1"/>
    <row r="347" spans="1:4" ht="15.75" customHeight="1"/>
    <row r="348" spans="1:4" ht="15.75" customHeight="1"/>
    <row r="349" spans="1:4" ht="15.75" customHeight="1"/>
    <row r="350" spans="1:4" ht="15.75" customHeight="1"/>
    <row r="351" spans="1:4" ht="15.75" customHeight="1"/>
    <row r="352" spans="1: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Z1000"/>
  <sheetViews>
    <sheetView workbookViewId="0"/>
  </sheetViews>
  <sheetFormatPr baseColWidth="10" defaultColWidth="12.6640625" defaultRowHeight="15" customHeight="1"/>
  <cols>
    <col min="1" max="26" width="10.6640625" customWidth="1"/>
  </cols>
  <sheetData>
    <row r="1" spans="1:26" ht="72">
      <c r="A1" s="15" t="s">
        <v>410</v>
      </c>
      <c r="B1" s="15" t="s">
        <v>1</v>
      </c>
      <c r="C1" s="15" t="s">
        <v>400</v>
      </c>
      <c r="D1" s="15" t="s">
        <v>401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4">
      <c r="A2" s="12">
        <v>1</v>
      </c>
      <c r="B2" s="12" t="s">
        <v>65</v>
      </c>
      <c r="C2" s="16">
        <v>0.25916104684456731</v>
      </c>
      <c r="D2" s="16">
        <v>0.55562763104218682</v>
      </c>
    </row>
    <row r="3" spans="1:26" ht="14.4">
      <c r="A3" s="12">
        <v>2</v>
      </c>
      <c r="B3" s="12" t="s">
        <v>85</v>
      </c>
      <c r="C3" s="16">
        <v>0.33930596943370722</v>
      </c>
      <c r="D3" s="16">
        <v>0.56644377462513174</v>
      </c>
    </row>
    <row r="4" spans="1:26" ht="14.4">
      <c r="A4" s="12">
        <v>3</v>
      </c>
      <c r="B4" s="12" t="s">
        <v>132</v>
      </c>
      <c r="C4" s="16">
        <v>0.75665683006292817</v>
      </c>
      <c r="D4" s="16">
        <v>0.81925329195583063</v>
      </c>
    </row>
    <row r="5" spans="1:26" ht="14.4">
      <c r="A5" s="12">
        <v>4</v>
      </c>
      <c r="B5" s="12" t="s">
        <v>61</v>
      </c>
      <c r="C5" s="16">
        <v>0</v>
      </c>
      <c r="D5" s="16">
        <v>0</v>
      </c>
    </row>
    <row r="6" spans="1:26" ht="14.4">
      <c r="A6" s="12">
        <v>5</v>
      </c>
      <c r="B6" s="12" t="s">
        <v>58</v>
      </c>
      <c r="C6" s="16">
        <v>0.63958905144411138</v>
      </c>
      <c r="D6" s="16">
        <v>0.55985025894123663</v>
      </c>
    </row>
    <row r="7" spans="1:26" ht="14.4">
      <c r="A7" s="12">
        <v>6</v>
      </c>
      <c r="B7" s="12" t="s">
        <v>72</v>
      </c>
      <c r="C7" s="16">
        <v>0.42608577249460544</v>
      </c>
      <c r="D7" s="16">
        <v>1.0177117544722158</v>
      </c>
    </row>
    <row r="8" spans="1:26" ht="14.4">
      <c r="A8" s="12">
        <v>7</v>
      </c>
      <c r="B8" s="12" t="s">
        <v>83</v>
      </c>
      <c r="C8" s="16">
        <v>0.73726187209341132</v>
      </c>
      <c r="D8" s="16">
        <v>1.2354516056379632</v>
      </c>
    </row>
    <row r="9" spans="1:26" ht="14.4">
      <c r="A9" s="12">
        <v>8</v>
      </c>
      <c r="B9" s="12" t="s">
        <v>87</v>
      </c>
      <c r="C9" s="16">
        <v>0.92536449032525836</v>
      </c>
      <c r="D9" s="16">
        <v>0.86588578100027458</v>
      </c>
    </row>
    <row r="10" spans="1:26" ht="14.4">
      <c r="A10" s="12">
        <v>9</v>
      </c>
      <c r="B10" s="12" t="s">
        <v>129</v>
      </c>
      <c r="C10" s="16">
        <v>0.24148701876134296</v>
      </c>
      <c r="D10" s="16">
        <v>0.15138380734268936</v>
      </c>
    </row>
    <row r="11" spans="1:26" ht="14.4">
      <c r="A11" s="12">
        <v>10</v>
      </c>
      <c r="B11" s="12" t="s">
        <v>404</v>
      </c>
      <c r="C11" s="16">
        <v>0.57027274827494567</v>
      </c>
      <c r="D11" s="16">
        <v>1.3534860173978891</v>
      </c>
    </row>
    <row r="12" spans="1:26" ht="14.4">
      <c r="A12" s="12">
        <v>11</v>
      </c>
      <c r="B12" s="12" t="s">
        <v>403</v>
      </c>
      <c r="C12" s="16">
        <v>0.6346302076760435</v>
      </c>
      <c r="D12" s="16">
        <v>0.92586690594661292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Z1000"/>
  <sheetViews>
    <sheetView workbookViewId="0"/>
  </sheetViews>
  <sheetFormatPr baseColWidth="10" defaultColWidth="12.6640625" defaultRowHeight="15" customHeight="1"/>
  <cols>
    <col min="1" max="26" width="10.6640625" customWidth="1"/>
  </cols>
  <sheetData>
    <row r="1" spans="1:26" ht="43.2">
      <c r="A1" s="15" t="s">
        <v>410</v>
      </c>
      <c r="B1" s="15" t="s">
        <v>1</v>
      </c>
      <c r="C1" s="15" t="s">
        <v>398</v>
      </c>
      <c r="D1" s="15" t="s">
        <v>399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4">
      <c r="A2" s="12">
        <v>1</v>
      </c>
      <c r="B2" s="12" t="s">
        <v>65</v>
      </c>
      <c r="C2" s="18">
        <v>7056.5399999999991</v>
      </c>
      <c r="D2" s="18">
        <v>15128.850000000002</v>
      </c>
    </row>
    <row r="3" spans="1:26" ht="14.4">
      <c r="A3" s="12">
        <v>2</v>
      </c>
      <c r="B3" s="12" t="s">
        <v>85</v>
      </c>
      <c r="C3" s="18">
        <v>22673.07</v>
      </c>
      <c r="D3" s="18">
        <v>37850.85</v>
      </c>
    </row>
    <row r="4" spans="1:26" ht="14.4">
      <c r="A4" s="12">
        <v>3</v>
      </c>
      <c r="B4" s="12" t="s">
        <v>132</v>
      </c>
      <c r="C4" s="18">
        <v>19222.950000000004</v>
      </c>
      <c r="D4" s="18">
        <v>20813.22</v>
      </c>
      <c r="F4" s="5"/>
      <c r="G4" s="5"/>
    </row>
    <row r="5" spans="1:26" ht="14.4">
      <c r="A5" s="12">
        <v>4</v>
      </c>
      <c r="B5" s="12" t="s">
        <v>61</v>
      </c>
      <c r="C5" s="18">
        <v>0</v>
      </c>
      <c r="D5" s="18">
        <v>0</v>
      </c>
    </row>
    <row r="6" spans="1:26" ht="14.4">
      <c r="A6" s="12">
        <v>5</v>
      </c>
      <c r="B6" s="12" t="s">
        <v>58</v>
      </c>
      <c r="C6" s="18">
        <v>274.32</v>
      </c>
      <c r="D6" s="18">
        <v>240.12</v>
      </c>
    </row>
    <row r="7" spans="1:26" ht="14.4">
      <c r="A7" s="12">
        <v>6</v>
      </c>
      <c r="B7" s="12" t="s">
        <v>72</v>
      </c>
      <c r="C7" s="18">
        <v>11051.189999999999</v>
      </c>
      <c r="D7" s="18">
        <v>26395.919999999998</v>
      </c>
    </row>
    <row r="8" spans="1:26" ht="14.4">
      <c r="A8" s="12">
        <v>7</v>
      </c>
      <c r="B8" s="12" t="s">
        <v>83</v>
      </c>
      <c r="C8" s="18">
        <v>207751.94999999992</v>
      </c>
      <c r="D8" s="18">
        <v>348136.10999999993</v>
      </c>
    </row>
    <row r="9" spans="1:26" ht="14.4">
      <c r="A9" s="12">
        <v>8</v>
      </c>
      <c r="B9" s="12" t="s">
        <v>87</v>
      </c>
      <c r="C9" s="18">
        <v>86643.719999999987</v>
      </c>
      <c r="D9" s="18">
        <v>81074.61</v>
      </c>
    </row>
    <row r="10" spans="1:26" ht="14.4">
      <c r="A10" s="12">
        <v>9</v>
      </c>
      <c r="B10" s="12" t="s">
        <v>129</v>
      </c>
      <c r="C10" s="18">
        <v>14667.12</v>
      </c>
      <c r="D10" s="18">
        <v>9194.5500000000011</v>
      </c>
    </row>
    <row r="11" spans="1:26" ht="14.4">
      <c r="A11" s="12">
        <v>10</v>
      </c>
      <c r="B11" s="12" t="s">
        <v>404</v>
      </c>
      <c r="C11" s="18">
        <v>8819.0399999999991</v>
      </c>
      <c r="D11" s="18">
        <v>20931.12</v>
      </c>
    </row>
    <row r="12" spans="1:26" ht="14.4">
      <c r="A12" s="12">
        <v>11</v>
      </c>
      <c r="B12" s="12" t="s">
        <v>403</v>
      </c>
      <c r="C12" s="18">
        <v>369340.85999999987</v>
      </c>
      <c r="D12" s="18">
        <v>538834.23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Z1000"/>
  <sheetViews>
    <sheetView workbookViewId="0"/>
  </sheetViews>
  <sheetFormatPr baseColWidth="10" defaultColWidth="12.6640625" defaultRowHeight="15" customHeight="1"/>
  <cols>
    <col min="1" max="26" width="10.6640625" customWidth="1"/>
  </cols>
  <sheetData>
    <row r="1" spans="1:26" ht="30.75" customHeight="1">
      <c r="A1" s="19" t="s">
        <v>411</v>
      </c>
      <c r="B1" s="19" t="s">
        <v>412</v>
      </c>
      <c r="C1" s="20" t="s">
        <v>413</v>
      </c>
      <c r="D1" s="20" t="s">
        <v>414</v>
      </c>
      <c r="E1" s="21" t="s">
        <v>415</v>
      </c>
      <c r="F1" s="21" t="s">
        <v>416</v>
      </c>
      <c r="G1" s="22" t="s">
        <v>417</v>
      </c>
      <c r="H1" s="22" t="s">
        <v>418</v>
      </c>
      <c r="I1" s="23" t="s">
        <v>419</v>
      </c>
      <c r="J1" s="23" t="s">
        <v>420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4.4">
      <c r="A2" s="12">
        <v>15</v>
      </c>
      <c r="B2" s="12" t="s">
        <v>421</v>
      </c>
      <c r="C2" s="12">
        <v>0</v>
      </c>
      <c r="D2" s="12">
        <v>0</v>
      </c>
      <c r="E2" s="12">
        <v>0</v>
      </c>
      <c r="F2" s="25">
        <v>0.7</v>
      </c>
      <c r="G2" s="25">
        <v>0.7</v>
      </c>
      <c r="H2" s="12">
        <v>2.1</v>
      </c>
      <c r="I2" s="12">
        <v>2.1</v>
      </c>
      <c r="J2" s="12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baseColWidth="10" defaultColWidth="12.6640625" defaultRowHeight="15" customHeight="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Datos_originales</vt:lpstr>
      <vt:lpstr>Datos_procesados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2026-04-06T19:31:42Z</dcterms:created>
  <dcterms:modified xsi:type="dcterms:W3CDTF">2026-06-05T02:04:50Z</dcterms:modified>
</cp:coreProperties>
</file>