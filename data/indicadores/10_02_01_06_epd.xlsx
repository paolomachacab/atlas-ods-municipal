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olo\Desktop\ods_paolo\"/>
    </mc:Choice>
  </mc:AlternateContent>
  <xr:revisionPtr revIDLastSave="0" documentId="8_{1CD39B25-7443-4243-82CC-4570F7939B83}" xr6:coauthVersionLast="47" xr6:coauthVersionMax="47" xr10:uidLastSave="{00000000-0000-0000-0000-000000000000}"/>
  <bookViews>
    <workbookView xWindow="-25710" yWindow="-110" windowWidth="25820" windowHeight="13900" activeTab="6" xr2:uid="{00000000-000D-0000-FFFF-FFFF00000000}"/>
  </bookViews>
  <sheets>
    <sheet name="Datos procesados (CENSO)" sheetId="1" r:id="rId1"/>
    <sheet name="Indicador_MUN" sheetId="2" r:id="rId2"/>
    <sheet name="Absoluto_MUN" sheetId="3" r:id="rId3"/>
    <sheet name="Indicador_DEP" sheetId="4" r:id="rId4"/>
    <sheet name="Absoluto_DEP" sheetId="5" r:id="rId5"/>
    <sheet name="Umbral" sheetId="6" r:id="rId6"/>
    <sheet name="Mapa" sheetId="7" r:id="rId7"/>
  </sheets>
  <definedNames>
    <definedName name="_xlnm._FilterDatabase" localSheetId="0" hidden="1">'Datos procesados (CENSO)'!$A$2:$R$346</definedName>
    <definedName name="_xlnm._FilterDatabase" localSheetId="1" hidden="1">Indicador_MUN!$A$1:$D$344</definedName>
  </definedNames>
  <calcPr calcId="191029"/>
</workbook>
</file>

<file path=xl/calcChain.xml><?xml version="1.0" encoding="utf-8"?>
<calcChain xmlns="http://schemas.openxmlformats.org/spreadsheetml/2006/main">
  <c r="P345" i="1" l="1"/>
  <c r="M345" i="1"/>
  <c r="J345" i="1"/>
  <c r="I345" i="1"/>
  <c r="R345" i="1" s="1"/>
  <c r="F345" i="1"/>
  <c r="E345" i="1"/>
  <c r="Q345" i="1" s="1"/>
  <c r="P344" i="1"/>
  <c r="M344" i="1"/>
  <c r="J344" i="1"/>
  <c r="I344" i="1"/>
  <c r="R344" i="1" s="1"/>
  <c r="F344" i="1"/>
  <c r="E344" i="1"/>
  <c r="Q344" i="1" s="1"/>
  <c r="P343" i="1"/>
  <c r="M343" i="1"/>
  <c r="J343" i="1"/>
  <c r="I343" i="1"/>
  <c r="R343" i="1" s="1"/>
  <c r="F343" i="1"/>
  <c r="E343" i="1"/>
  <c r="Q343" i="1" s="1"/>
  <c r="P342" i="1"/>
  <c r="M342" i="1"/>
  <c r="J342" i="1"/>
  <c r="I342" i="1"/>
  <c r="R342" i="1" s="1"/>
  <c r="F342" i="1"/>
  <c r="E342" i="1"/>
  <c r="Q342" i="1" s="1"/>
  <c r="P341" i="1"/>
  <c r="M341" i="1"/>
  <c r="J341" i="1"/>
  <c r="I341" i="1"/>
  <c r="R341" i="1" s="1"/>
  <c r="F341" i="1"/>
  <c r="E341" i="1"/>
  <c r="Q341" i="1" s="1"/>
  <c r="P340" i="1"/>
  <c r="M340" i="1"/>
  <c r="J340" i="1"/>
  <c r="I340" i="1"/>
  <c r="R340" i="1" s="1"/>
  <c r="F340" i="1"/>
  <c r="E340" i="1"/>
  <c r="Q340" i="1" s="1"/>
  <c r="P339" i="1"/>
  <c r="M339" i="1"/>
  <c r="J339" i="1"/>
  <c r="I339" i="1"/>
  <c r="R339" i="1" s="1"/>
  <c r="F339" i="1"/>
  <c r="E339" i="1"/>
  <c r="Q339" i="1" s="1"/>
  <c r="P338" i="1"/>
  <c r="M338" i="1"/>
  <c r="J338" i="1"/>
  <c r="I338" i="1"/>
  <c r="R338" i="1" s="1"/>
  <c r="F338" i="1"/>
  <c r="E338" i="1"/>
  <c r="Q338" i="1" s="1"/>
  <c r="P337" i="1"/>
  <c r="M337" i="1"/>
  <c r="J337" i="1"/>
  <c r="I337" i="1"/>
  <c r="R337" i="1" s="1"/>
  <c r="F337" i="1"/>
  <c r="E337" i="1"/>
  <c r="Q337" i="1" s="1"/>
  <c r="P336" i="1"/>
  <c r="M336" i="1"/>
  <c r="J336" i="1"/>
  <c r="I336" i="1"/>
  <c r="R336" i="1" s="1"/>
  <c r="F336" i="1"/>
  <c r="E336" i="1"/>
  <c r="Q336" i="1" s="1"/>
  <c r="P335" i="1"/>
  <c r="M335" i="1"/>
  <c r="J335" i="1"/>
  <c r="I335" i="1"/>
  <c r="R335" i="1" s="1"/>
  <c r="F335" i="1"/>
  <c r="E335" i="1"/>
  <c r="Q335" i="1" s="1"/>
  <c r="P334" i="1"/>
  <c r="M334" i="1"/>
  <c r="J334" i="1"/>
  <c r="I334" i="1"/>
  <c r="R334" i="1" s="1"/>
  <c r="F334" i="1"/>
  <c r="E334" i="1"/>
  <c r="Q334" i="1" s="1"/>
  <c r="P333" i="1"/>
  <c r="M333" i="1"/>
  <c r="J333" i="1"/>
  <c r="I333" i="1"/>
  <c r="R333" i="1" s="1"/>
  <c r="F333" i="1"/>
  <c r="E333" i="1"/>
  <c r="Q333" i="1" s="1"/>
  <c r="P332" i="1"/>
  <c r="M332" i="1"/>
  <c r="J332" i="1"/>
  <c r="I332" i="1"/>
  <c r="R332" i="1" s="1"/>
  <c r="F332" i="1"/>
  <c r="E332" i="1"/>
  <c r="Q332" i="1" s="1"/>
  <c r="P331" i="1"/>
  <c r="M331" i="1"/>
  <c r="J331" i="1"/>
  <c r="I331" i="1"/>
  <c r="R331" i="1" s="1"/>
  <c r="F331" i="1"/>
  <c r="E331" i="1"/>
  <c r="Q331" i="1" s="1"/>
  <c r="P330" i="1"/>
  <c r="L330" i="1"/>
  <c r="K330" i="1"/>
  <c r="M330" i="1" s="1"/>
  <c r="J330" i="1"/>
  <c r="I330" i="1"/>
  <c r="R330" i="1" s="1"/>
  <c r="D330" i="1"/>
  <c r="C330" i="1"/>
  <c r="F330" i="1" s="1"/>
  <c r="R329" i="1"/>
  <c r="P329" i="1"/>
  <c r="M329" i="1"/>
  <c r="Q329" i="1" s="1"/>
  <c r="J329" i="1"/>
  <c r="I329" i="1"/>
  <c r="F329" i="1"/>
  <c r="E329" i="1"/>
  <c r="R328" i="1"/>
  <c r="P328" i="1"/>
  <c r="M328" i="1"/>
  <c r="Q328" i="1" s="1"/>
  <c r="J328" i="1"/>
  <c r="I328" i="1"/>
  <c r="F328" i="1"/>
  <c r="E328" i="1"/>
  <c r="R327" i="1"/>
  <c r="P327" i="1"/>
  <c r="M327" i="1"/>
  <c r="Q327" i="1" s="1"/>
  <c r="J327" i="1"/>
  <c r="I327" i="1"/>
  <c r="F327" i="1"/>
  <c r="E327" i="1"/>
  <c r="R326" i="1"/>
  <c r="P326" i="1"/>
  <c r="M326" i="1"/>
  <c r="J326" i="1"/>
  <c r="I326" i="1"/>
  <c r="F326" i="1"/>
  <c r="E326" i="1"/>
  <c r="Q326" i="1" s="1"/>
  <c r="R325" i="1"/>
  <c r="P325" i="1"/>
  <c r="M325" i="1"/>
  <c r="J325" i="1"/>
  <c r="I325" i="1"/>
  <c r="F325" i="1"/>
  <c r="E325" i="1"/>
  <c r="Q325" i="1" s="1"/>
  <c r="R324" i="1"/>
  <c r="P324" i="1"/>
  <c r="M324" i="1"/>
  <c r="J324" i="1"/>
  <c r="I324" i="1"/>
  <c r="F324" i="1"/>
  <c r="E324" i="1"/>
  <c r="R323" i="1"/>
  <c r="P323" i="1"/>
  <c r="M323" i="1"/>
  <c r="J323" i="1"/>
  <c r="I323" i="1"/>
  <c r="F323" i="1"/>
  <c r="E323" i="1"/>
  <c r="R322" i="1"/>
  <c r="P322" i="1"/>
  <c r="M322" i="1"/>
  <c r="J322" i="1"/>
  <c r="I322" i="1"/>
  <c r="F322" i="1"/>
  <c r="E322" i="1"/>
  <c r="R321" i="1"/>
  <c r="P321" i="1"/>
  <c r="M321" i="1"/>
  <c r="J321" i="1"/>
  <c r="I321" i="1"/>
  <c r="F321" i="1"/>
  <c r="E321" i="1"/>
  <c r="R320" i="1"/>
  <c r="P320" i="1"/>
  <c r="M320" i="1"/>
  <c r="J320" i="1"/>
  <c r="I320" i="1"/>
  <c r="F320" i="1"/>
  <c r="E320" i="1"/>
  <c r="R319" i="1"/>
  <c r="P319" i="1"/>
  <c r="M319" i="1"/>
  <c r="J319" i="1"/>
  <c r="I319" i="1"/>
  <c r="F319" i="1"/>
  <c r="E319" i="1"/>
  <c r="Q319" i="1" s="1"/>
  <c r="R318" i="1"/>
  <c r="P318" i="1"/>
  <c r="M318" i="1"/>
  <c r="J318" i="1"/>
  <c r="I318" i="1"/>
  <c r="F318" i="1"/>
  <c r="E318" i="1"/>
  <c r="Q318" i="1" s="1"/>
  <c r="R317" i="1"/>
  <c r="P317" i="1"/>
  <c r="M317" i="1"/>
  <c r="J317" i="1"/>
  <c r="I317" i="1"/>
  <c r="F317" i="1"/>
  <c r="E317" i="1"/>
  <c r="Q317" i="1" s="1"/>
  <c r="R316" i="1"/>
  <c r="P316" i="1"/>
  <c r="M316" i="1"/>
  <c r="J316" i="1"/>
  <c r="I316" i="1"/>
  <c r="F316" i="1"/>
  <c r="E316" i="1"/>
  <c r="R315" i="1"/>
  <c r="P315" i="1"/>
  <c r="M315" i="1"/>
  <c r="J315" i="1"/>
  <c r="I315" i="1"/>
  <c r="F315" i="1"/>
  <c r="E315" i="1"/>
  <c r="R314" i="1"/>
  <c r="P314" i="1"/>
  <c r="M314" i="1"/>
  <c r="J314" i="1"/>
  <c r="I314" i="1"/>
  <c r="F314" i="1"/>
  <c r="E314" i="1"/>
  <c r="Q314" i="1" s="1"/>
  <c r="R313" i="1"/>
  <c r="P313" i="1"/>
  <c r="M313" i="1"/>
  <c r="J313" i="1"/>
  <c r="I313" i="1"/>
  <c r="F313" i="1"/>
  <c r="E313" i="1"/>
  <c r="R312" i="1"/>
  <c r="P312" i="1"/>
  <c r="M312" i="1"/>
  <c r="J312" i="1"/>
  <c r="I312" i="1"/>
  <c r="F312" i="1"/>
  <c r="E312" i="1"/>
  <c r="Q312" i="1" s="1"/>
  <c r="R311" i="1"/>
  <c r="P311" i="1"/>
  <c r="M311" i="1"/>
  <c r="J311" i="1"/>
  <c r="I311" i="1"/>
  <c r="F311" i="1"/>
  <c r="E311" i="1"/>
  <c r="Q311" i="1" s="1"/>
  <c r="R310" i="1"/>
  <c r="P310" i="1"/>
  <c r="M310" i="1"/>
  <c r="J310" i="1"/>
  <c r="I310" i="1"/>
  <c r="F310" i="1"/>
  <c r="E310" i="1"/>
  <c r="Q310" i="1" s="1"/>
  <c r="R309" i="1"/>
  <c r="P309" i="1"/>
  <c r="M309" i="1"/>
  <c r="J309" i="1"/>
  <c r="I309" i="1"/>
  <c r="F309" i="1"/>
  <c r="E309" i="1"/>
  <c r="Q309" i="1" s="1"/>
  <c r="R308" i="1"/>
  <c r="P308" i="1"/>
  <c r="M308" i="1"/>
  <c r="J308" i="1"/>
  <c r="I308" i="1"/>
  <c r="F308" i="1"/>
  <c r="E308" i="1"/>
  <c r="R307" i="1"/>
  <c r="P307" i="1"/>
  <c r="M307" i="1"/>
  <c r="J307" i="1"/>
  <c r="I307" i="1"/>
  <c r="F307" i="1"/>
  <c r="E307" i="1"/>
  <c r="R306" i="1"/>
  <c r="P306" i="1"/>
  <c r="M306" i="1"/>
  <c r="J306" i="1"/>
  <c r="I306" i="1"/>
  <c r="F306" i="1"/>
  <c r="E306" i="1"/>
  <c r="R305" i="1"/>
  <c r="P305" i="1"/>
  <c r="M305" i="1"/>
  <c r="J305" i="1"/>
  <c r="I305" i="1"/>
  <c r="F305" i="1"/>
  <c r="E305" i="1"/>
  <c r="R304" i="1"/>
  <c r="P304" i="1"/>
  <c r="M304" i="1"/>
  <c r="J304" i="1"/>
  <c r="I304" i="1"/>
  <c r="F304" i="1"/>
  <c r="E304" i="1"/>
  <c r="Q304" i="1" s="1"/>
  <c r="R303" i="1"/>
  <c r="P303" i="1"/>
  <c r="M303" i="1"/>
  <c r="J303" i="1"/>
  <c r="I303" i="1"/>
  <c r="F303" i="1"/>
  <c r="E303" i="1"/>
  <c r="Q303" i="1" s="1"/>
  <c r="R302" i="1"/>
  <c r="P302" i="1"/>
  <c r="M302" i="1"/>
  <c r="J302" i="1"/>
  <c r="I302" i="1"/>
  <c r="F302" i="1"/>
  <c r="E302" i="1"/>
  <c r="Q302" i="1" s="1"/>
  <c r="R301" i="1"/>
  <c r="P301" i="1"/>
  <c r="M301" i="1"/>
  <c r="J301" i="1"/>
  <c r="I301" i="1"/>
  <c r="F301" i="1"/>
  <c r="E301" i="1"/>
  <c r="Q301" i="1" s="1"/>
  <c r="R300" i="1"/>
  <c r="P300" i="1"/>
  <c r="M300" i="1"/>
  <c r="J300" i="1"/>
  <c r="I300" i="1"/>
  <c r="F300" i="1"/>
  <c r="E300" i="1"/>
  <c r="R299" i="1"/>
  <c r="P299" i="1"/>
  <c r="M299" i="1"/>
  <c r="J299" i="1"/>
  <c r="I299" i="1"/>
  <c r="F299" i="1"/>
  <c r="E299" i="1"/>
  <c r="R298" i="1"/>
  <c r="P298" i="1"/>
  <c r="M298" i="1"/>
  <c r="J298" i="1"/>
  <c r="I298" i="1"/>
  <c r="F298" i="1"/>
  <c r="E298" i="1"/>
  <c r="Q298" i="1" s="1"/>
  <c r="R297" i="1"/>
  <c r="P297" i="1"/>
  <c r="M297" i="1"/>
  <c r="J297" i="1"/>
  <c r="I297" i="1"/>
  <c r="F297" i="1"/>
  <c r="E297" i="1"/>
  <c r="R296" i="1"/>
  <c r="P296" i="1"/>
  <c r="M296" i="1"/>
  <c r="J296" i="1"/>
  <c r="I296" i="1"/>
  <c r="F296" i="1"/>
  <c r="E296" i="1"/>
  <c r="Q296" i="1" s="1"/>
  <c r="R295" i="1"/>
  <c r="P295" i="1"/>
  <c r="M295" i="1"/>
  <c r="J295" i="1"/>
  <c r="I295" i="1"/>
  <c r="F295" i="1"/>
  <c r="E295" i="1"/>
  <c r="Q295" i="1" s="1"/>
  <c r="P294" i="1"/>
  <c r="R294" i="1" s="1"/>
  <c r="M294" i="1"/>
  <c r="J294" i="1"/>
  <c r="I294" i="1"/>
  <c r="F294" i="1"/>
  <c r="E294" i="1"/>
  <c r="Q294" i="1" s="1"/>
  <c r="P293" i="1"/>
  <c r="R293" i="1" s="1"/>
  <c r="M293" i="1"/>
  <c r="J293" i="1"/>
  <c r="I293" i="1"/>
  <c r="F293" i="1"/>
  <c r="E293" i="1"/>
  <c r="P292" i="1"/>
  <c r="R292" i="1" s="1"/>
  <c r="M292" i="1"/>
  <c r="J292" i="1"/>
  <c r="I292" i="1"/>
  <c r="F292" i="1"/>
  <c r="E292" i="1"/>
  <c r="P291" i="1"/>
  <c r="R291" i="1" s="1"/>
  <c r="M291" i="1"/>
  <c r="J291" i="1"/>
  <c r="I291" i="1"/>
  <c r="F291" i="1"/>
  <c r="E291" i="1"/>
  <c r="Q291" i="1" s="1"/>
  <c r="P290" i="1"/>
  <c r="R290" i="1" s="1"/>
  <c r="M290" i="1"/>
  <c r="J290" i="1"/>
  <c r="I290" i="1"/>
  <c r="F290" i="1"/>
  <c r="E290" i="1"/>
  <c r="Q290" i="1" s="1"/>
  <c r="P289" i="1"/>
  <c r="R289" i="1" s="1"/>
  <c r="M289" i="1"/>
  <c r="J289" i="1"/>
  <c r="I289" i="1"/>
  <c r="F289" i="1"/>
  <c r="E289" i="1"/>
  <c r="P288" i="1"/>
  <c r="R288" i="1" s="1"/>
  <c r="M288" i="1"/>
  <c r="J288" i="1"/>
  <c r="I288" i="1"/>
  <c r="F288" i="1"/>
  <c r="E288" i="1"/>
  <c r="P287" i="1"/>
  <c r="R287" i="1" s="1"/>
  <c r="M287" i="1"/>
  <c r="J287" i="1"/>
  <c r="I287" i="1"/>
  <c r="F287" i="1"/>
  <c r="E287" i="1"/>
  <c r="Q287" i="1" s="1"/>
  <c r="P286" i="1"/>
  <c r="R286" i="1" s="1"/>
  <c r="M286" i="1"/>
  <c r="J286" i="1"/>
  <c r="I286" i="1"/>
  <c r="F286" i="1"/>
  <c r="E286" i="1"/>
  <c r="Q286" i="1" s="1"/>
  <c r="P285" i="1"/>
  <c r="R285" i="1" s="1"/>
  <c r="M285" i="1"/>
  <c r="J285" i="1"/>
  <c r="I285" i="1"/>
  <c r="F285" i="1"/>
  <c r="E285" i="1"/>
  <c r="P284" i="1"/>
  <c r="R284" i="1" s="1"/>
  <c r="M284" i="1"/>
  <c r="J284" i="1"/>
  <c r="I284" i="1"/>
  <c r="F284" i="1"/>
  <c r="E284" i="1"/>
  <c r="P283" i="1"/>
  <c r="R283" i="1" s="1"/>
  <c r="M283" i="1"/>
  <c r="J283" i="1"/>
  <c r="I283" i="1"/>
  <c r="F283" i="1"/>
  <c r="E283" i="1"/>
  <c r="Q283" i="1" s="1"/>
  <c r="P282" i="1"/>
  <c r="R282" i="1" s="1"/>
  <c r="M282" i="1"/>
  <c r="J282" i="1"/>
  <c r="I282" i="1"/>
  <c r="F282" i="1"/>
  <c r="E282" i="1"/>
  <c r="Q282" i="1" s="1"/>
  <c r="P281" i="1"/>
  <c r="R281" i="1" s="1"/>
  <c r="M281" i="1"/>
  <c r="J281" i="1"/>
  <c r="I281" i="1"/>
  <c r="F281" i="1"/>
  <c r="E281" i="1"/>
  <c r="P280" i="1"/>
  <c r="R280" i="1" s="1"/>
  <c r="M280" i="1"/>
  <c r="J280" i="1"/>
  <c r="I280" i="1"/>
  <c r="F280" i="1"/>
  <c r="E280" i="1"/>
  <c r="P279" i="1"/>
  <c r="R279" i="1" s="1"/>
  <c r="M279" i="1"/>
  <c r="J279" i="1"/>
  <c r="I279" i="1"/>
  <c r="F279" i="1"/>
  <c r="E279" i="1"/>
  <c r="Q279" i="1" s="1"/>
  <c r="P278" i="1"/>
  <c r="R278" i="1" s="1"/>
  <c r="M278" i="1"/>
  <c r="J278" i="1"/>
  <c r="I278" i="1"/>
  <c r="F278" i="1"/>
  <c r="E278" i="1"/>
  <c r="Q278" i="1" s="1"/>
  <c r="P277" i="1"/>
  <c r="R277" i="1" s="1"/>
  <c r="M277" i="1"/>
  <c r="J277" i="1"/>
  <c r="I277" i="1"/>
  <c r="F277" i="1"/>
  <c r="E277" i="1"/>
  <c r="P276" i="1"/>
  <c r="R276" i="1" s="1"/>
  <c r="M276" i="1"/>
  <c r="J276" i="1"/>
  <c r="I276" i="1"/>
  <c r="F276" i="1"/>
  <c r="E276" i="1"/>
  <c r="P275" i="1"/>
  <c r="R275" i="1" s="1"/>
  <c r="M275" i="1"/>
  <c r="J275" i="1"/>
  <c r="I275" i="1"/>
  <c r="F275" i="1"/>
  <c r="E275" i="1"/>
  <c r="Q275" i="1" s="1"/>
  <c r="P274" i="1"/>
  <c r="R274" i="1" s="1"/>
  <c r="M274" i="1"/>
  <c r="J274" i="1"/>
  <c r="I274" i="1"/>
  <c r="F274" i="1"/>
  <c r="E274" i="1"/>
  <c r="Q274" i="1" s="1"/>
  <c r="P273" i="1"/>
  <c r="R273" i="1" s="1"/>
  <c r="M273" i="1"/>
  <c r="J273" i="1"/>
  <c r="I273" i="1"/>
  <c r="F273" i="1"/>
  <c r="E273" i="1"/>
  <c r="P272" i="1"/>
  <c r="R272" i="1" s="1"/>
  <c r="M272" i="1"/>
  <c r="J272" i="1"/>
  <c r="I272" i="1"/>
  <c r="F272" i="1"/>
  <c r="E272" i="1"/>
  <c r="P271" i="1"/>
  <c r="R271" i="1" s="1"/>
  <c r="M271" i="1"/>
  <c r="J271" i="1"/>
  <c r="I271" i="1"/>
  <c r="F271" i="1"/>
  <c r="E271" i="1"/>
  <c r="P270" i="1"/>
  <c r="R270" i="1" s="1"/>
  <c r="M270" i="1"/>
  <c r="J270" i="1"/>
  <c r="I270" i="1"/>
  <c r="F270" i="1"/>
  <c r="E270" i="1"/>
  <c r="Q270" i="1" s="1"/>
  <c r="P269" i="1"/>
  <c r="R269" i="1" s="1"/>
  <c r="M269" i="1"/>
  <c r="J269" i="1"/>
  <c r="I269" i="1"/>
  <c r="F269" i="1"/>
  <c r="E269" i="1"/>
  <c r="P268" i="1"/>
  <c r="R268" i="1" s="1"/>
  <c r="M268" i="1"/>
  <c r="J268" i="1"/>
  <c r="I268" i="1"/>
  <c r="F268" i="1"/>
  <c r="E268" i="1"/>
  <c r="P267" i="1"/>
  <c r="R267" i="1" s="1"/>
  <c r="M267" i="1"/>
  <c r="J267" i="1"/>
  <c r="I267" i="1"/>
  <c r="F267" i="1"/>
  <c r="E267" i="1"/>
  <c r="Q267" i="1" s="1"/>
  <c r="P266" i="1"/>
  <c r="R266" i="1" s="1"/>
  <c r="M266" i="1"/>
  <c r="J266" i="1"/>
  <c r="I266" i="1"/>
  <c r="F266" i="1"/>
  <c r="E266" i="1"/>
  <c r="Q266" i="1" s="1"/>
  <c r="P265" i="1"/>
  <c r="R265" i="1" s="1"/>
  <c r="M265" i="1"/>
  <c r="J265" i="1"/>
  <c r="I265" i="1"/>
  <c r="F265" i="1"/>
  <c r="E265" i="1"/>
  <c r="P264" i="1"/>
  <c r="R264" i="1" s="1"/>
  <c r="M264" i="1"/>
  <c r="J264" i="1"/>
  <c r="I264" i="1"/>
  <c r="F264" i="1"/>
  <c r="E264" i="1"/>
  <c r="P263" i="1"/>
  <c r="R263" i="1" s="1"/>
  <c r="M263" i="1"/>
  <c r="J263" i="1"/>
  <c r="I263" i="1"/>
  <c r="F263" i="1"/>
  <c r="E263" i="1"/>
  <c r="Q263" i="1" s="1"/>
  <c r="P262" i="1"/>
  <c r="R262" i="1" s="1"/>
  <c r="M262" i="1"/>
  <c r="J262" i="1"/>
  <c r="I262" i="1"/>
  <c r="F262" i="1"/>
  <c r="E262" i="1"/>
  <c r="Q262" i="1" s="1"/>
  <c r="P261" i="1"/>
  <c r="R261" i="1" s="1"/>
  <c r="M261" i="1"/>
  <c r="J261" i="1"/>
  <c r="I261" i="1"/>
  <c r="F261" i="1"/>
  <c r="E261" i="1"/>
  <c r="P260" i="1"/>
  <c r="R260" i="1" s="1"/>
  <c r="M260" i="1"/>
  <c r="J260" i="1"/>
  <c r="I260" i="1"/>
  <c r="F260" i="1"/>
  <c r="E260" i="1"/>
  <c r="P259" i="1"/>
  <c r="R259" i="1" s="1"/>
  <c r="M259" i="1"/>
  <c r="J259" i="1"/>
  <c r="I259" i="1"/>
  <c r="F259" i="1"/>
  <c r="E259" i="1"/>
  <c r="Q259" i="1" s="1"/>
  <c r="P258" i="1"/>
  <c r="R258" i="1" s="1"/>
  <c r="M258" i="1"/>
  <c r="J258" i="1"/>
  <c r="I258" i="1"/>
  <c r="F258" i="1"/>
  <c r="E258" i="1"/>
  <c r="Q258" i="1" s="1"/>
  <c r="P257" i="1"/>
  <c r="R257" i="1" s="1"/>
  <c r="M257" i="1"/>
  <c r="J257" i="1"/>
  <c r="I257" i="1"/>
  <c r="F257" i="1"/>
  <c r="E257" i="1"/>
  <c r="P256" i="1"/>
  <c r="R256" i="1" s="1"/>
  <c r="M256" i="1"/>
  <c r="J256" i="1"/>
  <c r="I256" i="1"/>
  <c r="F256" i="1"/>
  <c r="E256" i="1"/>
  <c r="P255" i="1"/>
  <c r="R255" i="1" s="1"/>
  <c r="M255" i="1"/>
  <c r="J255" i="1"/>
  <c r="I255" i="1"/>
  <c r="F255" i="1"/>
  <c r="E255" i="1"/>
  <c r="Q255" i="1" s="1"/>
  <c r="P254" i="1"/>
  <c r="R254" i="1" s="1"/>
  <c r="M254" i="1"/>
  <c r="J254" i="1"/>
  <c r="I254" i="1"/>
  <c r="F254" i="1"/>
  <c r="E254" i="1"/>
  <c r="Q254" i="1" s="1"/>
  <c r="P253" i="1"/>
  <c r="R253" i="1" s="1"/>
  <c r="M253" i="1"/>
  <c r="J253" i="1"/>
  <c r="I253" i="1"/>
  <c r="F253" i="1"/>
  <c r="E253" i="1"/>
  <c r="P252" i="1"/>
  <c r="R252" i="1" s="1"/>
  <c r="M252" i="1"/>
  <c r="J252" i="1"/>
  <c r="I252" i="1"/>
  <c r="F252" i="1"/>
  <c r="E252" i="1"/>
  <c r="P251" i="1"/>
  <c r="R251" i="1" s="1"/>
  <c r="M251" i="1"/>
  <c r="J251" i="1"/>
  <c r="I251" i="1"/>
  <c r="F251" i="1"/>
  <c r="E251" i="1"/>
  <c r="Q251" i="1" s="1"/>
  <c r="P250" i="1"/>
  <c r="R250" i="1" s="1"/>
  <c r="M250" i="1"/>
  <c r="J250" i="1"/>
  <c r="I250" i="1"/>
  <c r="F250" i="1"/>
  <c r="E250" i="1"/>
  <c r="Q250" i="1" s="1"/>
  <c r="P249" i="1"/>
  <c r="R249" i="1" s="1"/>
  <c r="M249" i="1"/>
  <c r="J249" i="1"/>
  <c r="I249" i="1"/>
  <c r="F249" i="1"/>
  <c r="E249" i="1"/>
  <c r="P248" i="1"/>
  <c r="R248" i="1" s="1"/>
  <c r="M248" i="1"/>
  <c r="J248" i="1"/>
  <c r="I248" i="1"/>
  <c r="F248" i="1"/>
  <c r="E248" i="1"/>
  <c r="P247" i="1"/>
  <c r="R247" i="1" s="1"/>
  <c r="M247" i="1"/>
  <c r="J247" i="1"/>
  <c r="I247" i="1"/>
  <c r="F247" i="1"/>
  <c r="E247" i="1"/>
  <c r="Q247" i="1" s="1"/>
  <c r="P246" i="1"/>
  <c r="R246" i="1" s="1"/>
  <c r="M246" i="1"/>
  <c r="J246" i="1"/>
  <c r="I246" i="1"/>
  <c r="F246" i="1"/>
  <c r="E246" i="1"/>
  <c r="Q246" i="1" s="1"/>
  <c r="P245" i="1"/>
  <c r="R245" i="1" s="1"/>
  <c r="M245" i="1"/>
  <c r="J245" i="1"/>
  <c r="I245" i="1"/>
  <c r="F245" i="1"/>
  <c r="E245" i="1"/>
  <c r="Q245" i="1" s="1"/>
  <c r="Q244" i="1"/>
  <c r="P244" i="1"/>
  <c r="M244" i="1"/>
  <c r="J244" i="1"/>
  <c r="I244" i="1"/>
  <c r="R244" i="1" s="1"/>
  <c r="F244" i="1"/>
  <c r="E244" i="1"/>
  <c r="P243" i="1"/>
  <c r="M243" i="1"/>
  <c r="Q243" i="1" s="1"/>
  <c r="J243" i="1"/>
  <c r="I243" i="1"/>
  <c r="R243" i="1" s="1"/>
  <c r="F243" i="1"/>
  <c r="E243" i="1"/>
  <c r="P242" i="1"/>
  <c r="M242" i="1"/>
  <c r="J242" i="1"/>
  <c r="I242" i="1"/>
  <c r="R242" i="1" s="1"/>
  <c r="F242" i="1"/>
  <c r="E242" i="1"/>
  <c r="Q242" i="1" s="1"/>
  <c r="P241" i="1"/>
  <c r="M241" i="1"/>
  <c r="J241" i="1"/>
  <c r="I241" i="1"/>
  <c r="R241" i="1" s="1"/>
  <c r="F241" i="1"/>
  <c r="E241" i="1"/>
  <c r="Q241" i="1" s="1"/>
  <c r="P240" i="1"/>
  <c r="M240" i="1"/>
  <c r="J240" i="1"/>
  <c r="I240" i="1"/>
  <c r="R240" i="1" s="1"/>
  <c r="F240" i="1"/>
  <c r="E240" i="1"/>
  <c r="Q240" i="1" s="1"/>
  <c r="P239" i="1"/>
  <c r="M239" i="1"/>
  <c r="J239" i="1"/>
  <c r="I239" i="1"/>
  <c r="F239" i="1"/>
  <c r="E239" i="1"/>
  <c r="Q239" i="1" s="1"/>
  <c r="P238" i="1"/>
  <c r="M238" i="1"/>
  <c r="J238" i="1"/>
  <c r="I238" i="1"/>
  <c r="F238" i="1"/>
  <c r="E238" i="1"/>
  <c r="Q238" i="1" s="1"/>
  <c r="P237" i="1"/>
  <c r="M237" i="1"/>
  <c r="J237" i="1"/>
  <c r="I237" i="1"/>
  <c r="F237" i="1"/>
  <c r="E237" i="1"/>
  <c r="Q237" i="1" s="1"/>
  <c r="Q236" i="1"/>
  <c r="P236" i="1"/>
  <c r="M236" i="1"/>
  <c r="J236" i="1"/>
  <c r="I236" i="1"/>
  <c r="R236" i="1" s="1"/>
  <c r="F236" i="1"/>
  <c r="E236" i="1"/>
  <c r="R235" i="1"/>
  <c r="Q235" i="1"/>
  <c r="P235" i="1"/>
  <c r="M235" i="1"/>
  <c r="J235" i="1"/>
  <c r="I235" i="1"/>
  <c r="F235" i="1"/>
  <c r="E235" i="1"/>
  <c r="R234" i="1"/>
  <c r="Q234" i="1"/>
  <c r="P234" i="1"/>
  <c r="M234" i="1"/>
  <c r="J234" i="1"/>
  <c r="I234" i="1"/>
  <c r="F234" i="1"/>
  <c r="E234" i="1"/>
  <c r="R233" i="1"/>
  <c r="Q233" i="1"/>
  <c r="P233" i="1"/>
  <c r="M233" i="1"/>
  <c r="J233" i="1"/>
  <c r="I233" i="1"/>
  <c r="F233" i="1"/>
  <c r="E233" i="1"/>
  <c r="R232" i="1"/>
  <c r="Q232" i="1"/>
  <c r="P232" i="1"/>
  <c r="M232" i="1"/>
  <c r="J232" i="1"/>
  <c r="I232" i="1"/>
  <c r="F232" i="1"/>
  <c r="E232" i="1"/>
  <c r="R231" i="1"/>
  <c r="Q231" i="1"/>
  <c r="P231" i="1"/>
  <c r="M231" i="1"/>
  <c r="J231" i="1"/>
  <c r="I231" i="1"/>
  <c r="F231" i="1"/>
  <c r="E231" i="1"/>
  <c r="R230" i="1"/>
  <c r="Q230" i="1"/>
  <c r="P230" i="1"/>
  <c r="M230" i="1"/>
  <c r="J230" i="1"/>
  <c r="I230" i="1"/>
  <c r="F230" i="1"/>
  <c r="E230" i="1"/>
  <c r="R229" i="1"/>
  <c r="Q229" i="1"/>
  <c r="P229" i="1"/>
  <c r="M229" i="1"/>
  <c r="J229" i="1"/>
  <c r="I229" i="1"/>
  <c r="F229" i="1"/>
  <c r="E229" i="1"/>
  <c r="R228" i="1"/>
  <c r="Q228" i="1"/>
  <c r="P228" i="1"/>
  <c r="M228" i="1"/>
  <c r="J228" i="1"/>
  <c r="I228" i="1"/>
  <c r="F228" i="1"/>
  <c r="E228" i="1"/>
  <c r="R227" i="1"/>
  <c r="Q227" i="1"/>
  <c r="P227" i="1"/>
  <c r="M227" i="1"/>
  <c r="J227" i="1"/>
  <c r="I227" i="1"/>
  <c r="F227" i="1"/>
  <c r="E227" i="1"/>
  <c r="R226" i="1"/>
  <c r="Q226" i="1"/>
  <c r="P226" i="1"/>
  <c r="M226" i="1"/>
  <c r="J226" i="1"/>
  <c r="I226" i="1"/>
  <c r="F226" i="1"/>
  <c r="E226" i="1"/>
  <c r="R225" i="1"/>
  <c r="Q225" i="1"/>
  <c r="P225" i="1"/>
  <c r="M225" i="1"/>
  <c r="J225" i="1"/>
  <c r="I225" i="1"/>
  <c r="F225" i="1"/>
  <c r="E225" i="1"/>
  <c r="R224" i="1"/>
  <c r="Q224" i="1"/>
  <c r="P224" i="1"/>
  <c r="M224" i="1"/>
  <c r="J224" i="1"/>
  <c r="I224" i="1"/>
  <c r="F224" i="1"/>
  <c r="E224" i="1"/>
  <c r="R223" i="1"/>
  <c r="Q223" i="1"/>
  <c r="P223" i="1"/>
  <c r="M223" i="1"/>
  <c r="J223" i="1"/>
  <c r="I223" i="1"/>
  <c r="F223" i="1"/>
  <c r="E223" i="1"/>
  <c r="R222" i="1"/>
  <c r="Q222" i="1"/>
  <c r="P222" i="1"/>
  <c r="M222" i="1"/>
  <c r="J222" i="1"/>
  <c r="I222" i="1"/>
  <c r="F222" i="1"/>
  <c r="E222" i="1"/>
  <c r="R221" i="1"/>
  <c r="Q221" i="1"/>
  <c r="P221" i="1"/>
  <c r="M221" i="1"/>
  <c r="J221" i="1"/>
  <c r="I221" i="1"/>
  <c r="F221" i="1"/>
  <c r="E221" i="1"/>
  <c r="R220" i="1"/>
  <c r="Q220" i="1"/>
  <c r="P220" i="1"/>
  <c r="M220" i="1"/>
  <c r="J220" i="1"/>
  <c r="I220" i="1"/>
  <c r="F220" i="1"/>
  <c r="E220" i="1"/>
  <c r="R219" i="1"/>
  <c r="Q219" i="1"/>
  <c r="P219" i="1"/>
  <c r="M219" i="1"/>
  <c r="J219" i="1"/>
  <c r="I219" i="1"/>
  <c r="F219" i="1"/>
  <c r="E219" i="1"/>
  <c r="R218" i="1"/>
  <c r="Q218" i="1"/>
  <c r="P218" i="1"/>
  <c r="M218" i="1"/>
  <c r="J218" i="1"/>
  <c r="I218" i="1"/>
  <c r="F218" i="1"/>
  <c r="E218" i="1"/>
  <c r="R217" i="1"/>
  <c r="Q217" i="1"/>
  <c r="P217" i="1"/>
  <c r="M217" i="1"/>
  <c r="J217" i="1"/>
  <c r="I217" i="1"/>
  <c r="F217" i="1"/>
  <c r="E217" i="1"/>
  <c r="R216" i="1"/>
  <c r="Q216" i="1"/>
  <c r="P216" i="1"/>
  <c r="M216" i="1"/>
  <c r="J216" i="1"/>
  <c r="I216" i="1"/>
  <c r="F216" i="1"/>
  <c r="E216" i="1"/>
  <c r="R215" i="1"/>
  <c r="Q215" i="1"/>
  <c r="P215" i="1"/>
  <c r="M215" i="1"/>
  <c r="J215" i="1"/>
  <c r="I215" i="1"/>
  <c r="F215" i="1"/>
  <c r="E215" i="1"/>
  <c r="R214" i="1"/>
  <c r="Q214" i="1"/>
  <c r="P214" i="1"/>
  <c r="M214" i="1"/>
  <c r="J214" i="1"/>
  <c r="I214" i="1"/>
  <c r="F214" i="1"/>
  <c r="E214" i="1"/>
  <c r="R213" i="1"/>
  <c r="Q213" i="1"/>
  <c r="P213" i="1"/>
  <c r="M213" i="1"/>
  <c r="J213" i="1"/>
  <c r="I213" i="1"/>
  <c r="F213" i="1"/>
  <c r="E213" i="1"/>
  <c r="R212" i="1"/>
  <c r="Q212" i="1"/>
  <c r="P212" i="1"/>
  <c r="M212" i="1"/>
  <c r="J212" i="1"/>
  <c r="I212" i="1"/>
  <c r="F212" i="1"/>
  <c r="E212" i="1"/>
  <c r="R211" i="1"/>
  <c r="Q211" i="1"/>
  <c r="P211" i="1"/>
  <c r="M211" i="1"/>
  <c r="J211" i="1"/>
  <c r="I211" i="1"/>
  <c r="F211" i="1"/>
  <c r="E211" i="1"/>
  <c r="R210" i="1"/>
  <c r="Q210" i="1"/>
  <c r="P210" i="1"/>
  <c r="M210" i="1"/>
  <c r="J210" i="1"/>
  <c r="I210" i="1"/>
  <c r="F210" i="1"/>
  <c r="E210" i="1"/>
  <c r="R209" i="1"/>
  <c r="Q209" i="1"/>
  <c r="P209" i="1"/>
  <c r="M209" i="1"/>
  <c r="J209" i="1"/>
  <c r="I209" i="1"/>
  <c r="F209" i="1"/>
  <c r="E209" i="1"/>
  <c r="R208" i="1"/>
  <c r="Q208" i="1"/>
  <c r="P208" i="1"/>
  <c r="M208" i="1"/>
  <c r="J208" i="1"/>
  <c r="I208" i="1"/>
  <c r="F208" i="1"/>
  <c r="E208" i="1"/>
  <c r="R207" i="1"/>
  <c r="Q207" i="1"/>
  <c r="P207" i="1"/>
  <c r="M207" i="1"/>
  <c r="J207" i="1"/>
  <c r="I207" i="1"/>
  <c r="F207" i="1"/>
  <c r="E207" i="1"/>
  <c r="R206" i="1"/>
  <c r="Q206" i="1"/>
  <c r="P206" i="1"/>
  <c r="M206" i="1"/>
  <c r="J206" i="1"/>
  <c r="I206" i="1"/>
  <c r="F206" i="1"/>
  <c r="E206" i="1"/>
  <c r="R205" i="1"/>
  <c r="Q205" i="1"/>
  <c r="P205" i="1"/>
  <c r="M205" i="1"/>
  <c r="J205" i="1"/>
  <c r="I205" i="1"/>
  <c r="F205" i="1"/>
  <c r="E205" i="1"/>
  <c r="R204" i="1"/>
  <c r="Q204" i="1"/>
  <c r="P204" i="1"/>
  <c r="M204" i="1"/>
  <c r="J204" i="1"/>
  <c r="I204" i="1"/>
  <c r="F204" i="1"/>
  <c r="E204" i="1"/>
  <c r="R203" i="1"/>
  <c r="Q203" i="1"/>
  <c r="P203" i="1"/>
  <c r="M203" i="1"/>
  <c r="J203" i="1"/>
  <c r="I203" i="1"/>
  <c r="F203" i="1"/>
  <c r="E203" i="1"/>
  <c r="R202" i="1"/>
  <c r="Q202" i="1"/>
  <c r="P202" i="1"/>
  <c r="M202" i="1"/>
  <c r="J202" i="1"/>
  <c r="I202" i="1"/>
  <c r="F202" i="1"/>
  <c r="E202" i="1"/>
  <c r="R201" i="1"/>
  <c r="Q201" i="1"/>
  <c r="P201" i="1"/>
  <c r="M201" i="1"/>
  <c r="J201" i="1"/>
  <c r="I201" i="1"/>
  <c r="F201" i="1"/>
  <c r="E201" i="1"/>
  <c r="R200" i="1"/>
  <c r="Q200" i="1"/>
  <c r="P200" i="1"/>
  <c r="M200" i="1"/>
  <c r="J200" i="1"/>
  <c r="I200" i="1"/>
  <c r="F200" i="1"/>
  <c r="E200" i="1"/>
  <c r="R199" i="1"/>
  <c r="Q199" i="1"/>
  <c r="P199" i="1"/>
  <c r="M199" i="1"/>
  <c r="J199" i="1"/>
  <c r="I199" i="1"/>
  <c r="F199" i="1"/>
  <c r="Q198" i="1"/>
  <c r="P198" i="1"/>
  <c r="M198" i="1"/>
  <c r="J198" i="1"/>
  <c r="I198" i="1"/>
  <c r="R198" i="1" s="1"/>
  <c r="F198" i="1"/>
  <c r="R197" i="1"/>
  <c r="P197" i="1"/>
  <c r="M197" i="1"/>
  <c r="J197" i="1"/>
  <c r="I197" i="1"/>
  <c r="F197" i="1"/>
  <c r="E197" i="1"/>
  <c r="Q197" i="1" s="1"/>
  <c r="R196" i="1"/>
  <c r="P196" i="1"/>
  <c r="M196" i="1"/>
  <c r="J196" i="1"/>
  <c r="I196" i="1"/>
  <c r="F196" i="1"/>
  <c r="E196" i="1"/>
  <c r="Q196" i="1" s="1"/>
  <c r="R195" i="1"/>
  <c r="P195" i="1"/>
  <c r="M195" i="1"/>
  <c r="J195" i="1"/>
  <c r="I195" i="1"/>
  <c r="F195" i="1"/>
  <c r="E195" i="1"/>
  <c r="R194" i="1"/>
  <c r="P194" i="1"/>
  <c r="M194" i="1"/>
  <c r="Q194" i="1" s="1"/>
  <c r="J194" i="1"/>
  <c r="I194" i="1"/>
  <c r="F194" i="1"/>
  <c r="E194" i="1"/>
  <c r="R193" i="1"/>
  <c r="P193" i="1"/>
  <c r="M193" i="1"/>
  <c r="Q193" i="1" s="1"/>
  <c r="J193" i="1"/>
  <c r="I193" i="1"/>
  <c r="F193" i="1"/>
  <c r="E193" i="1"/>
  <c r="R192" i="1"/>
  <c r="P192" i="1"/>
  <c r="M192" i="1"/>
  <c r="Q192" i="1" s="1"/>
  <c r="J192" i="1"/>
  <c r="I192" i="1"/>
  <c r="F192" i="1"/>
  <c r="E192" i="1"/>
  <c r="R191" i="1"/>
  <c r="P191" i="1"/>
  <c r="M191" i="1"/>
  <c r="Q191" i="1" s="1"/>
  <c r="J191" i="1"/>
  <c r="I191" i="1"/>
  <c r="F191" i="1"/>
  <c r="E191" i="1"/>
  <c r="R190" i="1"/>
  <c r="P190" i="1"/>
  <c r="M190" i="1"/>
  <c r="Q190" i="1" s="1"/>
  <c r="J190" i="1"/>
  <c r="I190" i="1"/>
  <c r="F190" i="1"/>
  <c r="E190" i="1"/>
  <c r="R189" i="1"/>
  <c r="P189" i="1"/>
  <c r="M189" i="1"/>
  <c r="Q189" i="1" s="1"/>
  <c r="J189" i="1"/>
  <c r="I189" i="1"/>
  <c r="F189" i="1"/>
  <c r="E189" i="1"/>
  <c r="R188" i="1"/>
  <c r="P188" i="1"/>
  <c r="M188" i="1"/>
  <c r="Q188" i="1" s="1"/>
  <c r="J188" i="1"/>
  <c r="I188" i="1"/>
  <c r="F188" i="1"/>
  <c r="E188" i="1"/>
  <c r="R187" i="1"/>
  <c r="P187" i="1"/>
  <c r="M187" i="1"/>
  <c r="Q187" i="1" s="1"/>
  <c r="J187" i="1"/>
  <c r="I187" i="1"/>
  <c r="F187" i="1"/>
  <c r="E187" i="1"/>
  <c r="R186" i="1"/>
  <c r="P186" i="1"/>
  <c r="M186" i="1"/>
  <c r="Q186" i="1" s="1"/>
  <c r="J186" i="1"/>
  <c r="I186" i="1"/>
  <c r="F186" i="1"/>
  <c r="E186" i="1"/>
  <c r="R185" i="1"/>
  <c r="P185" i="1"/>
  <c r="M185" i="1"/>
  <c r="Q185" i="1" s="1"/>
  <c r="J185" i="1"/>
  <c r="I185" i="1"/>
  <c r="F185" i="1"/>
  <c r="E185" i="1"/>
  <c r="R184" i="1"/>
  <c r="P184" i="1"/>
  <c r="M184" i="1"/>
  <c r="Q184" i="1" s="1"/>
  <c r="J184" i="1"/>
  <c r="I184" i="1"/>
  <c r="F184" i="1"/>
  <c r="E184" i="1"/>
  <c r="R183" i="1"/>
  <c r="P183" i="1"/>
  <c r="M183" i="1"/>
  <c r="Q183" i="1" s="1"/>
  <c r="J183" i="1"/>
  <c r="I183" i="1"/>
  <c r="F183" i="1"/>
  <c r="E183" i="1"/>
  <c r="R182" i="1"/>
  <c r="P182" i="1"/>
  <c r="M182" i="1"/>
  <c r="Q182" i="1" s="1"/>
  <c r="J182" i="1"/>
  <c r="I182" i="1"/>
  <c r="F182" i="1"/>
  <c r="E182" i="1"/>
  <c r="R181" i="1"/>
  <c r="P181" i="1"/>
  <c r="M181" i="1"/>
  <c r="Q181" i="1" s="1"/>
  <c r="J181" i="1"/>
  <c r="I181" i="1"/>
  <c r="F181" i="1"/>
  <c r="E181" i="1"/>
  <c r="R180" i="1"/>
  <c r="P180" i="1"/>
  <c r="M180" i="1"/>
  <c r="Q180" i="1" s="1"/>
  <c r="J180" i="1"/>
  <c r="I180" i="1"/>
  <c r="F180" i="1"/>
  <c r="P179" i="1"/>
  <c r="R179" i="1" s="1"/>
  <c r="M179" i="1"/>
  <c r="J179" i="1"/>
  <c r="I179" i="1"/>
  <c r="F179" i="1"/>
  <c r="E179" i="1"/>
  <c r="Q179" i="1" s="1"/>
  <c r="P178" i="1"/>
  <c r="R178" i="1" s="1"/>
  <c r="M178" i="1"/>
  <c r="J178" i="1"/>
  <c r="I178" i="1"/>
  <c r="F178" i="1"/>
  <c r="E178" i="1"/>
  <c r="Q178" i="1" s="1"/>
  <c r="Q177" i="1"/>
  <c r="P177" i="1"/>
  <c r="R177" i="1" s="1"/>
  <c r="M177" i="1"/>
  <c r="J177" i="1"/>
  <c r="I177" i="1"/>
  <c r="F177" i="1"/>
  <c r="E177" i="1"/>
  <c r="P176" i="1"/>
  <c r="R176" i="1" s="1"/>
  <c r="M176" i="1"/>
  <c r="J176" i="1"/>
  <c r="I176" i="1"/>
  <c r="F176" i="1"/>
  <c r="E176" i="1"/>
  <c r="Q176" i="1" s="1"/>
  <c r="P175" i="1"/>
  <c r="R175" i="1" s="1"/>
  <c r="M175" i="1"/>
  <c r="J175" i="1"/>
  <c r="I175" i="1"/>
  <c r="F175" i="1"/>
  <c r="E175" i="1"/>
  <c r="Q175" i="1" s="1"/>
  <c r="P174" i="1"/>
  <c r="R174" i="1" s="1"/>
  <c r="M174" i="1"/>
  <c r="J174" i="1"/>
  <c r="I174" i="1"/>
  <c r="F174" i="1"/>
  <c r="E174" i="1"/>
  <c r="Q174" i="1" s="1"/>
  <c r="P173" i="1"/>
  <c r="R173" i="1" s="1"/>
  <c r="M173" i="1"/>
  <c r="J173" i="1"/>
  <c r="I173" i="1"/>
  <c r="F173" i="1"/>
  <c r="E173" i="1"/>
  <c r="Q173" i="1" s="1"/>
  <c r="P172" i="1"/>
  <c r="R172" i="1" s="1"/>
  <c r="M172" i="1"/>
  <c r="J172" i="1"/>
  <c r="I172" i="1"/>
  <c r="F172" i="1"/>
  <c r="E172" i="1"/>
  <c r="Q172" i="1" s="1"/>
  <c r="P171" i="1"/>
  <c r="R171" i="1" s="1"/>
  <c r="M171" i="1"/>
  <c r="J171" i="1"/>
  <c r="I171" i="1"/>
  <c r="F171" i="1"/>
  <c r="E171" i="1"/>
  <c r="Q171" i="1" s="1"/>
  <c r="P170" i="1"/>
  <c r="R170" i="1" s="1"/>
  <c r="M170" i="1"/>
  <c r="J170" i="1"/>
  <c r="I170" i="1"/>
  <c r="F170" i="1"/>
  <c r="E170" i="1"/>
  <c r="Q170" i="1" s="1"/>
  <c r="P169" i="1"/>
  <c r="R169" i="1" s="1"/>
  <c r="M169" i="1"/>
  <c r="J169" i="1"/>
  <c r="I169" i="1"/>
  <c r="F169" i="1"/>
  <c r="E169" i="1"/>
  <c r="Q169" i="1" s="1"/>
  <c r="P168" i="1"/>
  <c r="R168" i="1" s="1"/>
  <c r="M168" i="1"/>
  <c r="J168" i="1"/>
  <c r="I168" i="1"/>
  <c r="F168" i="1"/>
  <c r="E168" i="1"/>
  <c r="Q168" i="1" s="1"/>
  <c r="P167" i="1"/>
  <c r="M167" i="1"/>
  <c r="J167" i="1"/>
  <c r="I167" i="1"/>
  <c r="R167" i="1" s="1"/>
  <c r="F167" i="1"/>
  <c r="E167" i="1"/>
  <c r="Q167" i="1" s="1"/>
  <c r="P166" i="1"/>
  <c r="M166" i="1"/>
  <c r="J166" i="1"/>
  <c r="I166" i="1"/>
  <c r="R166" i="1" s="1"/>
  <c r="F166" i="1"/>
  <c r="E166" i="1"/>
  <c r="Q166" i="1" s="1"/>
  <c r="P165" i="1"/>
  <c r="M165" i="1"/>
  <c r="J165" i="1"/>
  <c r="I165" i="1"/>
  <c r="R165" i="1" s="1"/>
  <c r="F165" i="1"/>
  <c r="E165" i="1"/>
  <c r="Q165" i="1" s="1"/>
  <c r="P164" i="1"/>
  <c r="M164" i="1"/>
  <c r="J164" i="1"/>
  <c r="I164" i="1"/>
  <c r="F164" i="1"/>
  <c r="E164" i="1"/>
  <c r="Q164" i="1" s="1"/>
  <c r="P163" i="1"/>
  <c r="M163" i="1"/>
  <c r="J163" i="1"/>
  <c r="I163" i="1"/>
  <c r="R163" i="1" s="1"/>
  <c r="F163" i="1"/>
  <c r="E163" i="1"/>
  <c r="P162" i="1"/>
  <c r="M162" i="1"/>
  <c r="J162" i="1"/>
  <c r="I162" i="1"/>
  <c r="R162" i="1" s="1"/>
  <c r="F162" i="1"/>
  <c r="E162" i="1"/>
  <c r="P161" i="1"/>
  <c r="M161" i="1"/>
  <c r="J161" i="1"/>
  <c r="I161" i="1"/>
  <c r="R161" i="1" s="1"/>
  <c r="F161" i="1"/>
  <c r="E161" i="1"/>
  <c r="Q161" i="1" s="1"/>
  <c r="P160" i="1"/>
  <c r="M160" i="1"/>
  <c r="J160" i="1"/>
  <c r="I160" i="1"/>
  <c r="R160" i="1" s="1"/>
  <c r="F160" i="1"/>
  <c r="E160" i="1"/>
  <c r="Q160" i="1" s="1"/>
  <c r="P159" i="1"/>
  <c r="M159" i="1"/>
  <c r="J159" i="1"/>
  <c r="I159" i="1"/>
  <c r="R159" i="1" s="1"/>
  <c r="F159" i="1"/>
  <c r="E159" i="1"/>
  <c r="P158" i="1"/>
  <c r="M158" i="1"/>
  <c r="J158" i="1"/>
  <c r="I158" i="1"/>
  <c r="R158" i="1" s="1"/>
  <c r="F158" i="1"/>
  <c r="E158" i="1"/>
  <c r="P157" i="1"/>
  <c r="M157" i="1"/>
  <c r="J157" i="1"/>
  <c r="I157" i="1"/>
  <c r="R157" i="1" s="1"/>
  <c r="F157" i="1"/>
  <c r="E157" i="1"/>
  <c r="Q157" i="1" s="1"/>
  <c r="P156" i="1"/>
  <c r="M156" i="1"/>
  <c r="J156" i="1"/>
  <c r="I156" i="1"/>
  <c r="R156" i="1" s="1"/>
  <c r="F156" i="1"/>
  <c r="E156" i="1"/>
  <c r="Q156" i="1" s="1"/>
  <c r="P155" i="1"/>
  <c r="M155" i="1"/>
  <c r="J155" i="1"/>
  <c r="I155" i="1"/>
  <c r="R155" i="1" s="1"/>
  <c r="F155" i="1"/>
  <c r="E155" i="1"/>
  <c r="P154" i="1"/>
  <c r="M154" i="1"/>
  <c r="J154" i="1"/>
  <c r="I154" i="1"/>
  <c r="R154" i="1" s="1"/>
  <c r="F154" i="1"/>
  <c r="E154" i="1"/>
  <c r="P153" i="1"/>
  <c r="M153" i="1"/>
  <c r="J153" i="1"/>
  <c r="I153" i="1"/>
  <c r="R153" i="1" s="1"/>
  <c r="F153" i="1"/>
  <c r="E153" i="1"/>
  <c r="Q153" i="1" s="1"/>
  <c r="P152" i="1"/>
  <c r="M152" i="1"/>
  <c r="J152" i="1"/>
  <c r="I152" i="1"/>
  <c r="R152" i="1" s="1"/>
  <c r="F152" i="1"/>
  <c r="E152" i="1"/>
  <c r="Q152" i="1" s="1"/>
  <c r="P151" i="1"/>
  <c r="M151" i="1"/>
  <c r="J151" i="1"/>
  <c r="I151" i="1"/>
  <c r="R151" i="1" s="1"/>
  <c r="F151" i="1"/>
  <c r="E151" i="1"/>
  <c r="P150" i="1"/>
  <c r="M150" i="1"/>
  <c r="J150" i="1"/>
  <c r="I150" i="1"/>
  <c r="R150" i="1" s="1"/>
  <c r="F150" i="1"/>
  <c r="E150" i="1"/>
  <c r="P149" i="1"/>
  <c r="M149" i="1"/>
  <c r="J149" i="1"/>
  <c r="I149" i="1"/>
  <c r="R149" i="1" s="1"/>
  <c r="F149" i="1"/>
  <c r="E149" i="1"/>
  <c r="Q149" i="1" s="1"/>
  <c r="P148" i="1"/>
  <c r="M148" i="1"/>
  <c r="J148" i="1"/>
  <c r="I148" i="1"/>
  <c r="R148" i="1" s="1"/>
  <c r="F148" i="1"/>
  <c r="E148" i="1"/>
  <c r="Q148" i="1" s="1"/>
  <c r="P147" i="1"/>
  <c r="M147" i="1"/>
  <c r="J147" i="1"/>
  <c r="I147" i="1"/>
  <c r="R147" i="1" s="1"/>
  <c r="F147" i="1"/>
  <c r="E147" i="1"/>
  <c r="P146" i="1"/>
  <c r="M146" i="1"/>
  <c r="J146" i="1"/>
  <c r="I146" i="1"/>
  <c r="R146" i="1" s="1"/>
  <c r="F146" i="1"/>
  <c r="E146" i="1"/>
  <c r="P145" i="1"/>
  <c r="M145" i="1"/>
  <c r="J145" i="1"/>
  <c r="I145" i="1"/>
  <c r="R145" i="1" s="1"/>
  <c r="F145" i="1"/>
  <c r="E145" i="1"/>
  <c r="Q145" i="1" s="1"/>
  <c r="P144" i="1"/>
  <c r="M144" i="1"/>
  <c r="J144" i="1"/>
  <c r="I144" i="1"/>
  <c r="R144" i="1" s="1"/>
  <c r="F144" i="1"/>
  <c r="E144" i="1"/>
  <c r="Q144" i="1" s="1"/>
  <c r="P143" i="1"/>
  <c r="M143" i="1"/>
  <c r="J143" i="1"/>
  <c r="I143" i="1"/>
  <c r="R143" i="1" s="1"/>
  <c r="F143" i="1"/>
  <c r="E143" i="1"/>
  <c r="P142" i="1"/>
  <c r="M142" i="1"/>
  <c r="J142" i="1"/>
  <c r="I142" i="1"/>
  <c r="R142" i="1" s="1"/>
  <c r="F142" i="1"/>
  <c r="E142" i="1"/>
  <c r="P141" i="1"/>
  <c r="M141" i="1"/>
  <c r="J141" i="1"/>
  <c r="I141" i="1"/>
  <c r="R141" i="1" s="1"/>
  <c r="F141" i="1"/>
  <c r="E141" i="1"/>
  <c r="Q141" i="1" s="1"/>
  <c r="P140" i="1"/>
  <c r="M140" i="1"/>
  <c r="J140" i="1"/>
  <c r="I140" i="1"/>
  <c r="R140" i="1" s="1"/>
  <c r="F140" i="1"/>
  <c r="E140" i="1"/>
  <c r="Q140" i="1" s="1"/>
  <c r="P139" i="1"/>
  <c r="M139" i="1"/>
  <c r="J139" i="1"/>
  <c r="I139" i="1"/>
  <c r="R139" i="1" s="1"/>
  <c r="F139" i="1"/>
  <c r="E139" i="1"/>
  <c r="P138" i="1"/>
  <c r="M138" i="1"/>
  <c r="J138" i="1"/>
  <c r="I138" i="1"/>
  <c r="R138" i="1" s="1"/>
  <c r="F138" i="1"/>
  <c r="E138" i="1"/>
  <c r="P137" i="1"/>
  <c r="M137" i="1"/>
  <c r="J137" i="1"/>
  <c r="I137" i="1"/>
  <c r="R137" i="1" s="1"/>
  <c r="F137" i="1"/>
  <c r="E137" i="1"/>
  <c r="Q137" i="1" s="1"/>
  <c r="P136" i="1"/>
  <c r="M136" i="1"/>
  <c r="J136" i="1"/>
  <c r="I136" i="1"/>
  <c r="R136" i="1" s="1"/>
  <c r="F136" i="1"/>
  <c r="E136" i="1"/>
  <c r="Q136" i="1" s="1"/>
  <c r="P135" i="1"/>
  <c r="M135" i="1"/>
  <c r="J135" i="1"/>
  <c r="I135" i="1"/>
  <c r="R135" i="1" s="1"/>
  <c r="F135" i="1"/>
  <c r="E135" i="1"/>
  <c r="P134" i="1"/>
  <c r="M134" i="1"/>
  <c r="J134" i="1"/>
  <c r="I134" i="1"/>
  <c r="R134" i="1" s="1"/>
  <c r="F134" i="1"/>
  <c r="E134" i="1"/>
  <c r="P133" i="1"/>
  <c r="M133" i="1"/>
  <c r="J133" i="1"/>
  <c r="I133" i="1"/>
  <c r="R133" i="1" s="1"/>
  <c r="F133" i="1"/>
  <c r="E133" i="1"/>
  <c r="Q133" i="1" s="1"/>
  <c r="P132" i="1"/>
  <c r="M132" i="1"/>
  <c r="J132" i="1"/>
  <c r="I132" i="1"/>
  <c r="R132" i="1" s="1"/>
  <c r="F132" i="1"/>
  <c r="E132" i="1"/>
  <c r="Q132" i="1" s="1"/>
  <c r="P131" i="1"/>
  <c r="M131" i="1"/>
  <c r="J131" i="1"/>
  <c r="I131" i="1"/>
  <c r="R131" i="1" s="1"/>
  <c r="F131" i="1"/>
  <c r="E131" i="1"/>
  <c r="P130" i="1"/>
  <c r="M130" i="1"/>
  <c r="J130" i="1"/>
  <c r="I130" i="1"/>
  <c r="R130" i="1" s="1"/>
  <c r="F130" i="1"/>
  <c r="E130" i="1"/>
  <c r="P129" i="1"/>
  <c r="M129" i="1"/>
  <c r="J129" i="1"/>
  <c r="I129" i="1"/>
  <c r="R129" i="1" s="1"/>
  <c r="F129" i="1"/>
  <c r="E129" i="1"/>
  <c r="Q129" i="1" s="1"/>
  <c r="P128" i="1"/>
  <c r="M128" i="1"/>
  <c r="J128" i="1"/>
  <c r="I128" i="1"/>
  <c r="R128" i="1" s="1"/>
  <c r="F128" i="1"/>
  <c r="E128" i="1"/>
  <c r="Q128" i="1" s="1"/>
  <c r="P127" i="1"/>
  <c r="M127" i="1"/>
  <c r="J127" i="1"/>
  <c r="I127" i="1"/>
  <c r="R127" i="1" s="1"/>
  <c r="F127" i="1"/>
  <c r="E127" i="1"/>
  <c r="P126" i="1"/>
  <c r="M126" i="1"/>
  <c r="J126" i="1"/>
  <c r="I126" i="1"/>
  <c r="R126" i="1" s="1"/>
  <c r="F126" i="1"/>
  <c r="E126" i="1"/>
  <c r="P125" i="1"/>
  <c r="M125" i="1"/>
  <c r="J125" i="1"/>
  <c r="I125" i="1"/>
  <c r="R125" i="1" s="1"/>
  <c r="F125" i="1"/>
  <c r="E125" i="1"/>
  <c r="Q125" i="1" s="1"/>
  <c r="P124" i="1"/>
  <c r="M124" i="1"/>
  <c r="J124" i="1"/>
  <c r="I124" i="1"/>
  <c r="R124" i="1" s="1"/>
  <c r="F124" i="1"/>
  <c r="E124" i="1"/>
  <c r="Q124" i="1" s="1"/>
  <c r="P123" i="1"/>
  <c r="M123" i="1"/>
  <c r="J123" i="1"/>
  <c r="I123" i="1"/>
  <c r="R123" i="1" s="1"/>
  <c r="F123" i="1"/>
  <c r="E123" i="1"/>
  <c r="P122" i="1"/>
  <c r="M122" i="1"/>
  <c r="J122" i="1"/>
  <c r="I122" i="1"/>
  <c r="R122" i="1" s="1"/>
  <c r="F122" i="1"/>
  <c r="E122" i="1"/>
  <c r="P121" i="1"/>
  <c r="M121" i="1"/>
  <c r="J121" i="1"/>
  <c r="I121" i="1"/>
  <c r="R121" i="1" s="1"/>
  <c r="F121" i="1"/>
  <c r="E121" i="1"/>
  <c r="Q121" i="1" s="1"/>
  <c r="P120" i="1"/>
  <c r="M120" i="1"/>
  <c r="J120" i="1"/>
  <c r="I120" i="1"/>
  <c r="R120" i="1" s="1"/>
  <c r="F120" i="1"/>
  <c r="E120" i="1"/>
  <c r="Q120" i="1" s="1"/>
  <c r="P119" i="1"/>
  <c r="M119" i="1"/>
  <c r="J119" i="1"/>
  <c r="I119" i="1"/>
  <c r="R119" i="1" s="1"/>
  <c r="F119" i="1"/>
  <c r="E119" i="1"/>
  <c r="P118" i="1"/>
  <c r="M118" i="1"/>
  <c r="J118" i="1"/>
  <c r="I118" i="1"/>
  <c r="R118" i="1" s="1"/>
  <c r="F118" i="1"/>
  <c r="E118" i="1"/>
  <c r="P117" i="1"/>
  <c r="M117" i="1"/>
  <c r="J117" i="1"/>
  <c r="I117" i="1"/>
  <c r="R117" i="1" s="1"/>
  <c r="F117" i="1"/>
  <c r="E117" i="1"/>
  <c r="Q117" i="1" s="1"/>
  <c r="P116" i="1"/>
  <c r="M116" i="1"/>
  <c r="J116" i="1"/>
  <c r="I116" i="1"/>
  <c r="R116" i="1" s="1"/>
  <c r="F116" i="1"/>
  <c r="E116" i="1"/>
  <c r="Q116" i="1" s="1"/>
  <c r="P115" i="1"/>
  <c r="M115" i="1"/>
  <c r="J115" i="1"/>
  <c r="I115" i="1"/>
  <c r="R115" i="1" s="1"/>
  <c r="F115" i="1"/>
  <c r="E115" i="1"/>
  <c r="P114" i="1"/>
  <c r="M114" i="1"/>
  <c r="J114" i="1"/>
  <c r="I114" i="1"/>
  <c r="R114" i="1" s="1"/>
  <c r="F114" i="1"/>
  <c r="E114" i="1"/>
  <c r="P113" i="1"/>
  <c r="M113" i="1"/>
  <c r="J113" i="1"/>
  <c r="I113" i="1"/>
  <c r="R113" i="1" s="1"/>
  <c r="F113" i="1"/>
  <c r="E113" i="1"/>
  <c r="Q113" i="1" s="1"/>
  <c r="P112" i="1"/>
  <c r="M112" i="1"/>
  <c r="J112" i="1"/>
  <c r="I112" i="1"/>
  <c r="R112" i="1" s="1"/>
  <c r="F112" i="1"/>
  <c r="E112" i="1"/>
  <c r="Q112" i="1" s="1"/>
  <c r="P111" i="1"/>
  <c r="M111" i="1"/>
  <c r="J111" i="1"/>
  <c r="I111" i="1"/>
  <c r="F111" i="1"/>
  <c r="E111" i="1"/>
  <c r="Q111" i="1" s="1"/>
  <c r="Q110" i="1"/>
  <c r="P110" i="1"/>
  <c r="M110" i="1"/>
  <c r="J110" i="1"/>
  <c r="I110" i="1"/>
  <c r="R110" i="1" s="1"/>
  <c r="F110" i="1"/>
  <c r="E110" i="1"/>
  <c r="P109" i="1"/>
  <c r="M109" i="1"/>
  <c r="Q109" i="1" s="1"/>
  <c r="J109" i="1"/>
  <c r="I109" i="1"/>
  <c r="R109" i="1" s="1"/>
  <c r="F109" i="1"/>
  <c r="E109" i="1"/>
  <c r="P108" i="1"/>
  <c r="M108" i="1"/>
  <c r="Q108" i="1" s="1"/>
  <c r="J108" i="1"/>
  <c r="I108" i="1"/>
  <c r="R108" i="1" s="1"/>
  <c r="F108" i="1"/>
  <c r="E108" i="1"/>
  <c r="Q107" i="1"/>
  <c r="P107" i="1"/>
  <c r="M107" i="1"/>
  <c r="J107" i="1"/>
  <c r="I107" i="1"/>
  <c r="R107" i="1" s="1"/>
  <c r="F107" i="1"/>
  <c r="E107" i="1"/>
  <c r="Q106" i="1"/>
  <c r="P106" i="1"/>
  <c r="M106" i="1"/>
  <c r="J106" i="1"/>
  <c r="I106" i="1"/>
  <c r="R106" i="1" s="1"/>
  <c r="F106" i="1"/>
  <c r="E106" i="1"/>
  <c r="P105" i="1"/>
  <c r="M105" i="1"/>
  <c r="Q105" i="1" s="1"/>
  <c r="J105" i="1"/>
  <c r="I105" i="1"/>
  <c r="R105" i="1" s="1"/>
  <c r="F105" i="1"/>
  <c r="E105" i="1"/>
  <c r="P104" i="1"/>
  <c r="M104" i="1"/>
  <c r="Q104" i="1" s="1"/>
  <c r="J104" i="1"/>
  <c r="I104" i="1"/>
  <c r="R104" i="1" s="1"/>
  <c r="F104" i="1"/>
  <c r="E104" i="1"/>
  <c r="Q103" i="1"/>
  <c r="P103" i="1"/>
  <c r="M103" i="1"/>
  <c r="J103" i="1"/>
  <c r="I103" i="1"/>
  <c r="R103" i="1" s="1"/>
  <c r="F103" i="1"/>
  <c r="E103" i="1"/>
  <c r="Q102" i="1"/>
  <c r="P102" i="1"/>
  <c r="M102" i="1"/>
  <c r="J102" i="1"/>
  <c r="I102" i="1"/>
  <c r="R102" i="1" s="1"/>
  <c r="F102" i="1"/>
  <c r="E102" i="1"/>
  <c r="P101" i="1"/>
  <c r="M101" i="1"/>
  <c r="Q101" i="1" s="1"/>
  <c r="J101" i="1"/>
  <c r="I101" i="1"/>
  <c r="R101" i="1" s="1"/>
  <c r="F101" i="1"/>
  <c r="E101" i="1"/>
  <c r="P100" i="1"/>
  <c r="M100" i="1"/>
  <c r="Q100" i="1" s="1"/>
  <c r="J100" i="1"/>
  <c r="I100" i="1"/>
  <c r="R100" i="1" s="1"/>
  <c r="F100" i="1"/>
  <c r="E100" i="1"/>
  <c r="Q99" i="1"/>
  <c r="P99" i="1"/>
  <c r="M99" i="1"/>
  <c r="J99" i="1"/>
  <c r="I99" i="1"/>
  <c r="R99" i="1" s="1"/>
  <c r="F99" i="1"/>
  <c r="E99" i="1"/>
  <c r="Q98" i="1"/>
  <c r="P98" i="1"/>
  <c r="M98" i="1"/>
  <c r="J98" i="1"/>
  <c r="I98" i="1"/>
  <c r="R98" i="1" s="1"/>
  <c r="F98" i="1"/>
  <c r="E98" i="1"/>
  <c r="P97" i="1"/>
  <c r="M97" i="1"/>
  <c r="Q97" i="1" s="1"/>
  <c r="J97" i="1"/>
  <c r="I97" i="1"/>
  <c r="R97" i="1" s="1"/>
  <c r="F97" i="1"/>
  <c r="E97" i="1"/>
  <c r="P96" i="1"/>
  <c r="M96" i="1"/>
  <c r="Q96" i="1" s="1"/>
  <c r="J96" i="1"/>
  <c r="I96" i="1"/>
  <c r="R96" i="1" s="1"/>
  <c r="F96" i="1"/>
  <c r="E96" i="1"/>
  <c r="Q95" i="1"/>
  <c r="P95" i="1"/>
  <c r="M95" i="1"/>
  <c r="J95" i="1"/>
  <c r="I95" i="1"/>
  <c r="R95" i="1" s="1"/>
  <c r="F95" i="1"/>
  <c r="E95" i="1"/>
  <c r="Q94" i="1"/>
  <c r="P94" i="1"/>
  <c r="M94" i="1"/>
  <c r="J94" i="1"/>
  <c r="I94" i="1"/>
  <c r="R94" i="1" s="1"/>
  <c r="F94" i="1"/>
  <c r="E94" i="1"/>
  <c r="P93" i="1"/>
  <c r="M93" i="1"/>
  <c r="Q93" i="1" s="1"/>
  <c r="J93" i="1"/>
  <c r="I93" i="1"/>
  <c r="R93" i="1" s="1"/>
  <c r="F93" i="1"/>
  <c r="E93" i="1"/>
  <c r="P92" i="1"/>
  <c r="M92" i="1"/>
  <c r="Q92" i="1" s="1"/>
  <c r="J92" i="1"/>
  <c r="I92" i="1"/>
  <c r="R92" i="1" s="1"/>
  <c r="F92" i="1"/>
  <c r="E92" i="1"/>
  <c r="Q91" i="1"/>
  <c r="P91" i="1"/>
  <c r="M91" i="1"/>
  <c r="J91" i="1"/>
  <c r="I91" i="1"/>
  <c r="R91" i="1" s="1"/>
  <c r="F91" i="1"/>
  <c r="E91" i="1"/>
  <c r="Q90" i="1"/>
  <c r="P90" i="1"/>
  <c r="M90" i="1"/>
  <c r="J90" i="1"/>
  <c r="I90" i="1"/>
  <c r="R90" i="1" s="1"/>
  <c r="F90" i="1"/>
  <c r="E90" i="1"/>
  <c r="P89" i="1"/>
  <c r="M89" i="1"/>
  <c r="Q89" i="1" s="1"/>
  <c r="J89" i="1"/>
  <c r="I89" i="1"/>
  <c r="R89" i="1" s="1"/>
  <c r="F89" i="1"/>
  <c r="E89" i="1"/>
  <c r="P88" i="1"/>
  <c r="M88" i="1"/>
  <c r="Q88" i="1" s="1"/>
  <c r="J88" i="1"/>
  <c r="I88" i="1"/>
  <c r="R88" i="1" s="1"/>
  <c r="F88" i="1"/>
  <c r="E88" i="1"/>
  <c r="Q87" i="1"/>
  <c r="P87" i="1"/>
  <c r="M87" i="1"/>
  <c r="J87" i="1"/>
  <c r="I87" i="1"/>
  <c r="R87" i="1" s="1"/>
  <c r="F87" i="1"/>
  <c r="E87" i="1"/>
  <c r="Q86" i="1"/>
  <c r="P86" i="1"/>
  <c r="M86" i="1"/>
  <c r="J86" i="1"/>
  <c r="I86" i="1"/>
  <c r="R86" i="1" s="1"/>
  <c r="F86" i="1"/>
  <c r="E86" i="1"/>
  <c r="P85" i="1"/>
  <c r="M85" i="1"/>
  <c r="Q85" i="1" s="1"/>
  <c r="J85" i="1"/>
  <c r="I85" i="1"/>
  <c r="R85" i="1" s="1"/>
  <c r="F85" i="1"/>
  <c r="E85" i="1"/>
  <c r="P84" i="1"/>
  <c r="M84" i="1"/>
  <c r="Q84" i="1" s="1"/>
  <c r="J84" i="1"/>
  <c r="I84" i="1"/>
  <c r="R84" i="1" s="1"/>
  <c r="F84" i="1"/>
  <c r="E84" i="1"/>
  <c r="Q83" i="1"/>
  <c r="P83" i="1"/>
  <c r="M83" i="1"/>
  <c r="J83" i="1"/>
  <c r="I83" i="1"/>
  <c r="R83" i="1" s="1"/>
  <c r="F83" i="1"/>
  <c r="E83" i="1"/>
  <c r="Q82" i="1"/>
  <c r="P82" i="1"/>
  <c r="M82" i="1"/>
  <c r="J82" i="1"/>
  <c r="I82" i="1"/>
  <c r="R82" i="1" s="1"/>
  <c r="F82" i="1"/>
  <c r="E82" i="1"/>
  <c r="P81" i="1"/>
  <c r="M81" i="1"/>
  <c r="Q81" i="1" s="1"/>
  <c r="J81" i="1"/>
  <c r="I81" i="1"/>
  <c r="R81" i="1" s="1"/>
  <c r="F81" i="1"/>
  <c r="E81" i="1"/>
  <c r="P80" i="1"/>
  <c r="M80" i="1"/>
  <c r="Q80" i="1" s="1"/>
  <c r="J80" i="1"/>
  <c r="I80" i="1"/>
  <c r="R80" i="1" s="1"/>
  <c r="F80" i="1"/>
  <c r="E80" i="1"/>
  <c r="Q79" i="1"/>
  <c r="P79" i="1"/>
  <c r="M79" i="1"/>
  <c r="J79" i="1"/>
  <c r="I79" i="1"/>
  <c r="R79" i="1" s="1"/>
  <c r="F79" i="1"/>
  <c r="E79" i="1"/>
  <c r="Q78" i="1"/>
  <c r="P78" i="1"/>
  <c r="M78" i="1"/>
  <c r="J78" i="1"/>
  <c r="I78" i="1"/>
  <c r="R78" i="1" s="1"/>
  <c r="F78" i="1"/>
  <c r="E78" i="1"/>
  <c r="P77" i="1"/>
  <c r="M77" i="1"/>
  <c r="Q77" i="1" s="1"/>
  <c r="J77" i="1"/>
  <c r="I77" i="1"/>
  <c r="R77" i="1" s="1"/>
  <c r="F77" i="1"/>
  <c r="E77" i="1"/>
  <c r="P76" i="1"/>
  <c r="M76" i="1"/>
  <c r="Q76" i="1" s="1"/>
  <c r="J76" i="1"/>
  <c r="I76" i="1"/>
  <c r="R76" i="1" s="1"/>
  <c r="F76" i="1"/>
  <c r="E76" i="1"/>
  <c r="Q75" i="1"/>
  <c r="P75" i="1"/>
  <c r="M75" i="1"/>
  <c r="J75" i="1"/>
  <c r="I75" i="1"/>
  <c r="R75" i="1" s="1"/>
  <c r="F75" i="1"/>
  <c r="E75" i="1"/>
  <c r="Q74" i="1"/>
  <c r="P74" i="1"/>
  <c r="M74" i="1"/>
  <c r="J74" i="1"/>
  <c r="I74" i="1"/>
  <c r="R74" i="1" s="1"/>
  <c r="F74" i="1"/>
  <c r="E74" i="1"/>
  <c r="P73" i="1"/>
  <c r="M73" i="1"/>
  <c r="Q73" i="1" s="1"/>
  <c r="J73" i="1"/>
  <c r="I73" i="1"/>
  <c r="R73" i="1" s="1"/>
  <c r="F73" i="1"/>
  <c r="E73" i="1"/>
  <c r="P72" i="1"/>
  <c r="M72" i="1"/>
  <c r="Q72" i="1" s="1"/>
  <c r="J72" i="1"/>
  <c r="I72" i="1"/>
  <c r="R72" i="1" s="1"/>
  <c r="F72" i="1"/>
  <c r="E72" i="1"/>
  <c r="Q71" i="1"/>
  <c r="P71" i="1"/>
  <c r="M71" i="1"/>
  <c r="J71" i="1"/>
  <c r="I71" i="1"/>
  <c r="R71" i="1" s="1"/>
  <c r="F71" i="1"/>
  <c r="E71" i="1"/>
  <c r="Q70" i="1"/>
  <c r="P70" i="1"/>
  <c r="M70" i="1"/>
  <c r="J70" i="1"/>
  <c r="I70" i="1"/>
  <c r="R70" i="1" s="1"/>
  <c r="F70" i="1"/>
  <c r="E70" i="1"/>
  <c r="P69" i="1"/>
  <c r="M69" i="1"/>
  <c r="Q69" i="1" s="1"/>
  <c r="J69" i="1"/>
  <c r="I69" i="1"/>
  <c r="R69" i="1" s="1"/>
  <c r="F69" i="1"/>
  <c r="E69" i="1"/>
  <c r="P68" i="1"/>
  <c r="M68" i="1"/>
  <c r="Q68" i="1" s="1"/>
  <c r="J68" i="1"/>
  <c r="I68" i="1"/>
  <c r="R68" i="1" s="1"/>
  <c r="F68" i="1"/>
  <c r="E68" i="1"/>
  <c r="Q67" i="1"/>
  <c r="P67" i="1"/>
  <c r="M67" i="1"/>
  <c r="J67" i="1"/>
  <c r="I67" i="1"/>
  <c r="R67" i="1" s="1"/>
  <c r="F67" i="1"/>
  <c r="E67" i="1"/>
  <c r="Q66" i="1"/>
  <c r="P66" i="1"/>
  <c r="M66" i="1"/>
  <c r="J66" i="1"/>
  <c r="I66" i="1"/>
  <c r="R66" i="1" s="1"/>
  <c r="F66" i="1"/>
  <c r="E66" i="1"/>
  <c r="P65" i="1"/>
  <c r="M65" i="1"/>
  <c r="Q65" i="1" s="1"/>
  <c r="J65" i="1"/>
  <c r="I65" i="1"/>
  <c r="R65" i="1" s="1"/>
  <c r="F65" i="1"/>
  <c r="E65" i="1"/>
  <c r="P64" i="1"/>
  <c r="M64" i="1"/>
  <c r="Q64" i="1" s="1"/>
  <c r="J64" i="1"/>
  <c r="I64" i="1"/>
  <c r="R64" i="1" s="1"/>
  <c r="F64" i="1"/>
  <c r="E64" i="1"/>
  <c r="Q63" i="1"/>
  <c r="P63" i="1"/>
  <c r="M63" i="1"/>
  <c r="J63" i="1"/>
  <c r="I63" i="1"/>
  <c r="R63" i="1" s="1"/>
  <c r="F63" i="1"/>
  <c r="E63" i="1"/>
  <c r="Q62" i="1"/>
  <c r="P62" i="1"/>
  <c r="M62" i="1"/>
  <c r="J62" i="1"/>
  <c r="I62" i="1"/>
  <c r="R62" i="1" s="1"/>
  <c r="F62" i="1"/>
  <c r="E62" i="1"/>
  <c r="P61" i="1"/>
  <c r="M61" i="1"/>
  <c r="J61" i="1"/>
  <c r="I61" i="1"/>
  <c r="R61" i="1" s="1"/>
  <c r="F61" i="1"/>
  <c r="E61" i="1"/>
  <c r="Q61" i="1" s="1"/>
  <c r="P60" i="1"/>
  <c r="M60" i="1"/>
  <c r="J60" i="1"/>
  <c r="I60" i="1"/>
  <c r="R60" i="1" s="1"/>
  <c r="F60" i="1"/>
  <c r="E60" i="1"/>
  <c r="Q60" i="1" s="1"/>
  <c r="P59" i="1"/>
  <c r="M59" i="1"/>
  <c r="J59" i="1"/>
  <c r="I59" i="1"/>
  <c r="R59" i="1" s="1"/>
  <c r="F59" i="1"/>
  <c r="E59" i="1"/>
  <c r="Q59" i="1" s="1"/>
  <c r="Q58" i="1"/>
  <c r="P58" i="1"/>
  <c r="M58" i="1"/>
  <c r="J58" i="1"/>
  <c r="I58" i="1"/>
  <c r="R58" i="1" s="1"/>
  <c r="F58" i="1"/>
  <c r="E58" i="1"/>
  <c r="P57" i="1"/>
  <c r="M57" i="1"/>
  <c r="J57" i="1"/>
  <c r="I57" i="1"/>
  <c r="R57" i="1" s="1"/>
  <c r="F57" i="1"/>
  <c r="E57" i="1"/>
  <c r="Q57" i="1" s="1"/>
  <c r="P56" i="1"/>
  <c r="M56" i="1"/>
  <c r="J56" i="1"/>
  <c r="I56" i="1"/>
  <c r="R56" i="1" s="1"/>
  <c r="F56" i="1"/>
  <c r="E56" i="1"/>
  <c r="Q56" i="1" s="1"/>
  <c r="Q55" i="1"/>
  <c r="P55" i="1"/>
  <c r="M55" i="1"/>
  <c r="J55" i="1"/>
  <c r="I55" i="1"/>
  <c r="R55" i="1" s="1"/>
  <c r="F55" i="1"/>
  <c r="E55" i="1"/>
  <c r="Q54" i="1"/>
  <c r="P54" i="1"/>
  <c r="M54" i="1"/>
  <c r="J54" i="1"/>
  <c r="I54" i="1"/>
  <c r="R54" i="1" s="1"/>
  <c r="F54" i="1"/>
  <c r="E54" i="1"/>
  <c r="P53" i="1"/>
  <c r="M53" i="1"/>
  <c r="J53" i="1"/>
  <c r="I53" i="1"/>
  <c r="R53" i="1" s="1"/>
  <c r="F53" i="1"/>
  <c r="E53" i="1"/>
  <c r="Q53" i="1" s="1"/>
  <c r="P52" i="1"/>
  <c r="M52" i="1"/>
  <c r="J52" i="1"/>
  <c r="I52" i="1"/>
  <c r="R52" i="1" s="1"/>
  <c r="F52" i="1"/>
  <c r="E52" i="1"/>
  <c r="Q52" i="1" s="1"/>
  <c r="P51" i="1"/>
  <c r="M51" i="1"/>
  <c r="J51" i="1"/>
  <c r="I51" i="1"/>
  <c r="R51" i="1" s="1"/>
  <c r="F51" i="1"/>
  <c r="E51" i="1"/>
  <c r="Q51" i="1" s="1"/>
  <c r="Q50" i="1"/>
  <c r="P50" i="1"/>
  <c r="M50" i="1"/>
  <c r="J50" i="1"/>
  <c r="I50" i="1"/>
  <c r="R50" i="1" s="1"/>
  <c r="F50" i="1"/>
  <c r="E50" i="1"/>
  <c r="P49" i="1"/>
  <c r="M49" i="1"/>
  <c r="J49" i="1"/>
  <c r="I49" i="1"/>
  <c r="R49" i="1" s="1"/>
  <c r="F49" i="1"/>
  <c r="E49" i="1"/>
  <c r="Q49" i="1" s="1"/>
  <c r="P48" i="1"/>
  <c r="M48" i="1"/>
  <c r="J48" i="1"/>
  <c r="I48" i="1"/>
  <c r="R48" i="1" s="1"/>
  <c r="F48" i="1"/>
  <c r="E48" i="1"/>
  <c r="Q48" i="1" s="1"/>
  <c r="Q47" i="1"/>
  <c r="P47" i="1"/>
  <c r="M47" i="1"/>
  <c r="J47" i="1"/>
  <c r="I47" i="1"/>
  <c r="R47" i="1" s="1"/>
  <c r="F47" i="1"/>
  <c r="E47" i="1"/>
  <c r="Q46" i="1"/>
  <c r="P46" i="1"/>
  <c r="M46" i="1"/>
  <c r="J46" i="1"/>
  <c r="I46" i="1"/>
  <c r="R46" i="1" s="1"/>
  <c r="F46" i="1"/>
  <c r="E46" i="1"/>
  <c r="P45" i="1"/>
  <c r="M45" i="1"/>
  <c r="J45" i="1"/>
  <c r="I45" i="1"/>
  <c r="R45" i="1" s="1"/>
  <c r="F45" i="1"/>
  <c r="E45" i="1"/>
  <c r="Q45" i="1" s="1"/>
  <c r="P44" i="1"/>
  <c r="M44" i="1"/>
  <c r="J44" i="1"/>
  <c r="I44" i="1"/>
  <c r="R44" i="1" s="1"/>
  <c r="F44" i="1"/>
  <c r="E44" i="1"/>
  <c r="Q44" i="1" s="1"/>
  <c r="P43" i="1"/>
  <c r="M43" i="1"/>
  <c r="J43" i="1"/>
  <c r="I43" i="1"/>
  <c r="R43" i="1" s="1"/>
  <c r="F43" i="1"/>
  <c r="E43" i="1"/>
  <c r="Q43" i="1" s="1"/>
  <c r="Q42" i="1"/>
  <c r="P42" i="1"/>
  <c r="M42" i="1"/>
  <c r="J42" i="1"/>
  <c r="I42" i="1"/>
  <c r="R42" i="1" s="1"/>
  <c r="F42" i="1"/>
  <c r="E42" i="1"/>
  <c r="P41" i="1"/>
  <c r="M41" i="1"/>
  <c r="J41" i="1"/>
  <c r="I41" i="1"/>
  <c r="R41" i="1" s="1"/>
  <c r="F41" i="1"/>
  <c r="E41" i="1"/>
  <c r="Q41" i="1" s="1"/>
  <c r="P40" i="1"/>
  <c r="M40" i="1"/>
  <c r="J40" i="1"/>
  <c r="I40" i="1"/>
  <c r="R40" i="1" s="1"/>
  <c r="F40" i="1"/>
  <c r="E40" i="1"/>
  <c r="Q40" i="1" s="1"/>
  <c r="Q39" i="1"/>
  <c r="P39" i="1"/>
  <c r="M39" i="1"/>
  <c r="J39" i="1"/>
  <c r="I39" i="1"/>
  <c r="R39" i="1" s="1"/>
  <c r="F39" i="1"/>
  <c r="E39" i="1"/>
  <c r="Q38" i="1"/>
  <c r="P38" i="1"/>
  <c r="M38" i="1"/>
  <c r="J38" i="1"/>
  <c r="I38" i="1"/>
  <c r="R38" i="1" s="1"/>
  <c r="F38" i="1"/>
  <c r="E38" i="1"/>
  <c r="P37" i="1"/>
  <c r="M37" i="1"/>
  <c r="J37" i="1"/>
  <c r="I37" i="1"/>
  <c r="F37" i="1"/>
  <c r="E37" i="1"/>
  <c r="Q37" i="1" s="1"/>
  <c r="P36" i="1"/>
  <c r="M36" i="1"/>
  <c r="J36" i="1"/>
  <c r="I36" i="1"/>
  <c r="F36" i="1"/>
  <c r="E36" i="1"/>
  <c r="Q36" i="1" s="1"/>
  <c r="P35" i="1"/>
  <c r="M35" i="1"/>
  <c r="J35" i="1"/>
  <c r="I35" i="1"/>
  <c r="R35" i="1" s="1"/>
  <c r="F35" i="1"/>
  <c r="E35" i="1"/>
  <c r="Q35" i="1" s="1"/>
  <c r="Q34" i="1"/>
  <c r="P34" i="1"/>
  <c r="M34" i="1"/>
  <c r="J34" i="1"/>
  <c r="I34" i="1"/>
  <c r="R34" i="1" s="1"/>
  <c r="F34" i="1"/>
  <c r="E34" i="1"/>
  <c r="P33" i="1"/>
  <c r="M33" i="1"/>
  <c r="J33" i="1"/>
  <c r="I33" i="1"/>
  <c r="F33" i="1"/>
  <c r="E33" i="1"/>
  <c r="Q33" i="1" s="1"/>
  <c r="P32" i="1"/>
  <c r="M32" i="1"/>
  <c r="J32" i="1"/>
  <c r="I32" i="1"/>
  <c r="F32" i="1"/>
  <c r="E32" i="1"/>
  <c r="Q32" i="1" s="1"/>
  <c r="Q31" i="1"/>
  <c r="P31" i="1"/>
  <c r="M31" i="1"/>
  <c r="J31" i="1"/>
  <c r="I31" i="1"/>
  <c r="R31" i="1" s="1"/>
  <c r="F31" i="1"/>
  <c r="E31" i="1"/>
  <c r="Q30" i="1"/>
  <c r="P30" i="1"/>
  <c r="M30" i="1"/>
  <c r="J30" i="1"/>
  <c r="I30" i="1"/>
  <c r="R30" i="1" s="1"/>
  <c r="F30" i="1"/>
  <c r="E30" i="1"/>
  <c r="P29" i="1"/>
  <c r="M29" i="1"/>
  <c r="J29" i="1"/>
  <c r="I29" i="1"/>
  <c r="F29" i="1"/>
  <c r="E29" i="1"/>
  <c r="Q29" i="1" s="1"/>
  <c r="P28" i="1"/>
  <c r="M28" i="1"/>
  <c r="J28" i="1"/>
  <c r="I28" i="1"/>
  <c r="R28" i="1" s="1"/>
  <c r="F28" i="1"/>
  <c r="E28" i="1"/>
  <c r="Q28" i="1" s="1"/>
  <c r="P27" i="1"/>
  <c r="M27" i="1"/>
  <c r="J27" i="1"/>
  <c r="I27" i="1"/>
  <c r="R27" i="1" s="1"/>
  <c r="F27" i="1"/>
  <c r="E27" i="1"/>
  <c r="Q27" i="1" s="1"/>
  <c r="Q26" i="1"/>
  <c r="P26" i="1"/>
  <c r="M26" i="1"/>
  <c r="J26" i="1"/>
  <c r="I26" i="1"/>
  <c r="R26" i="1" s="1"/>
  <c r="F26" i="1"/>
  <c r="E26" i="1"/>
  <c r="P25" i="1"/>
  <c r="M25" i="1"/>
  <c r="J25" i="1"/>
  <c r="I25" i="1"/>
  <c r="F25" i="1"/>
  <c r="E25" i="1"/>
  <c r="Q25" i="1" s="1"/>
  <c r="P24" i="1"/>
  <c r="M24" i="1"/>
  <c r="J24" i="1"/>
  <c r="I24" i="1"/>
  <c r="R24" i="1" s="1"/>
  <c r="F24" i="1"/>
  <c r="E24" i="1"/>
  <c r="Q24" i="1" s="1"/>
  <c r="P23" i="1"/>
  <c r="M23" i="1"/>
  <c r="J23" i="1"/>
  <c r="I23" i="1"/>
  <c r="R23" i="1" s="1"/>
  <c r="F23" i="1"/>
  <c r="E23" i="1"/>
  <c r="Q23" i="1" s="1"/>
  <c r="P22" i="1"/>
  <c r="M22" i="1"/>
  <c r="J22" i="1"/>
  <c r="I22" i="1"/>
  <c r="R22" i="1" s="1"/>
  <c r="F22" i="1"/>
  <c r="E22" i="1"/>
  <c r="Q22" i="1" s="1"/>
  <c r="P21" i="1"/>
  <c r="M21" i="1"/>
  <c r="J21" i="1"/>
  <c r="I21" i="1"/>
  <c r="R21" i="1" s="1"/>
  <c r="F21" i="1"/>
  <c r="E21" i="1"/>
  <c r="Q21" i="1" s="1"/>
  <c r="P20" i="1"/>
  <c r="M20" i="1"/>
  <c r="J20" i="1"/>
  <c r="I20" i="1"/>
  <c r="R20" i="1" s="1"/>
  <c r="F20" i="1"/>
  <c r="E20" i="1"/>
  <c r="Q20" i="1" s="1"/>
  <c r="P19" i="1"/>
  <c r="M19" i="1"/>
  <c r="J19" i="1"/>
  <c r="I19" i="1"/>
  <c r="R19" i="1" s="1"/>
  <c r="F19" i="1"/>
  <c r="E19" i="1"/>
  <c r="Q19" i="1" s="1"/>
  <c r="P18" i="1"/>
  <c r="M18" i="1"/>
  <c r="J18" i="1"/>
  <c r="I18" i="1"/>
  <c r="R18" i="1" s="1"/>
  <c r="F18" i="1"/>
  <c r="E18" i="1"/>
  <c r="Q18" i="1" s="1"/>
  <c r="P17" i="1"/>
  <c r="M17" i="1"/>
  <c r="J17" i="1"/>
  <c r="I17" i="1"/>
  <c r="R17" i="1" s="1"/>
  <c r="F17" i="1"/>
  <c r="E17" i="1"/>
  <c r="Q17" i="1" s="1"/>
  <c r="P16" i="1"/>
  <c r="M16" i="1"/>
  <c r="J16" i="1"/>
  <c r="I16" i="1"/>
  <c r="R16" i="1" s="1"/>
  <c r="F16" i="1"/>
  <c r="E16" i="1"/>
  <c r="Q16" i="1" s="1"/>
  <c r="P15" i="1"/>
  <c r="M15" i="1"/>
  <c r="J15" i="1"/>
  <c r="I15" i="1"/>
  <c r="R15" i="1" s="1"/>
  <c r="F15" i="1"/>
  <c r="E15" i="1"/>
  <c r="Q15" i="1" s="1"/>
  <c r="P14" i="1"/>
  <c r="M14" i="1"/>
  <c r="J14" i="1"/>
  <c r="I14" i="1"/>
  <c r="R14" i="1" s="1"/>
  <c r="F14" i="1"/>
  <c r="E14" i="1"/>
  <c r="Q14" i="1" s="1"/>
  <c r="AH13" i="1"/>
  <c r="AG13" i="1"/>
  <c r="AI13" i="1" s="1"/>
  <c r="AE13" i="1"/>
  <c r="AD13" i="1"/>
  <c r="AF13" i="1" s="1"/>
  <c r="AA13" i="1"/>
  <c r="Z13" i="1"/>
  <c r="AC13" i="1" s="1"/>
  <c r="W13" i="1"/>
  <c r="V13" i="1"/>
  <c r="Y13" i="1" s="1"/>
  <c r="P13" i="1"/>
  <c r="M13" i="1"/>
  <c r="J13" i="1"/>
  <c r="I13" i="1"/>
  <c r="R13" i="1" s="1"/>
  <c r="F13" i="1"/>
  <c r="E13" i="1"/>
  <c r="Q13" i="1" s="1"/>
  <c r="P12" i="1"/>
  <c r="M12" i="1"/>
  <c r="J12" i="1"/>
  <c r="I12" i="1"/>
  <c r="R12" i="1" s="1"/>
  <c r="F12" i="1"/>
  <c r="E12" i="1"/>
  <c r="Q12" i="1" s="1"/>
  <c r="AH11" i="1"/>
  <c r="AG11" i="1"/>
  <c r="AI11" i="1" s="1"/>
  <c r="AE11" i="1"/>
  <c r="AD11" i="1"/>
  <c r="AF11" i="1" s="1"/>
  <c r="AA11" i="1"/>
  <c r="Z11" i="1"/>
  <c r="AC11" i="1" s="1"/>
  <c r="W11" i="1"/>
  <c r="V11" i="1"/>
  <c r="Y11" i="1" s="1"/>
  <c r="P11" i="1"/>
  <c r="M11" i="1"/>
  <c r="J11" i="1"/>
  <c r="I11" i="1"/>
  <c r="R11" i="1" s="1"/>
  <c r="F11" i="1"/>
  <c r="E11" i="1"/>
  <c r="Q11" i="1" s="1"/>
  <c r="AH10" i="1"/>
  <c r="AG10" i="1"/>
  <c r="AI10" i="1" s="1"/>
  <c r="AE10" i="1"/>
  <c r="AD10" i="1"/>
  <c r="AF10" i="1" s="1"/>
  <c r="AA10" i="1"/>
  <c r="Z10" i="1"/>
  <c r="AC10" i="1" s="1"/>
  <c r="W10" i="1"/>
  <c r="V10" i="1"/>
  <c r="Y10" i="1" s="1"/>
  <c r="P10" i="1"/>
  <c r="M10" i="1"/>
  <c r="J10" i="1"/>
  <c r="I10" i="1"/>
  <c r="R10" i="1" s="1"/>
  <c r="F10" i="1"/>
  <c r="E10" i="1"/>
  <c r="Q10" i="1" s="1"/>
  <c r="AH9" i="1"/>
  <c r="AG9" i="1"/>
  <c r="AI9" i="1" s="1"/>
  <c r="AE9" i="1"/>
  <c r="AD9" i="1"/>
  <c r="AF9" i="1" s="1"/>
  <c r="AA9" i="1"/>
  <c r="Z9" i="1"/>
  <c r="AC9" i="1" s="1"/>
  <c r="W9" i="1"/>
  <c r="V9" i="1"/>
  <c r="Y9" i="1" s="1"/>
  <c r="P9" i="1"/>
  <c r="M9" i="1"/>
  <c r="J9" i="1"/>
  <c r="I9" i="1"/>
  <c r="R9" i="1" s="1"/>
  <c r="F9" i="1"/>
  <c r="E9" i="1"/>
  <c r="Q9" i="1" s="1"/>
  <c r="AH8" i="1"/>
  <c r="AG8" i="1"/>
  <c r="AI8" i="1" s="1"/>
  <c r="AE8" i="1"/>
  <c r="AD8" i="1"/>
  <c r="AF8" i="1" s="1"/>
  <c r="AA8" i="1"/>
  <c r="Z8" i="1"/>
  <c r="AC8" i="1" s="1"/>
  <c r="W8" i="1"/>
  <c r="V8" i="1"/>
  <c r="Y8" i="1" s="1"/>
  <c r="P8" i="1"/>
  <c r="M8" i="1"/>
  <c r="J8" i="1"/>
  <c r="I8" i="1"/>
  <c r="R8" i="1" s="1"/>
  <c r="F8" i="1"/>
  <c r="E8" i="1"/>
  <c r="Q8" i="1" s="1"/>
  <c r="AH7" i="1"/>
  <c r="AG7" i="1"/>
  <c r="AI7" i="1" s="1"/>
  <c r="AE7" i="1"/>
  <c r="AD7" i="1"/>
  <c r="AF7" i="1" s="1"/>
  <c r="AA7" i="1"/>
  <c r="Z7" i="1"/>
  <c r="AC7" i="1" s="1"/>
  <c r="W7" i="1"/>
  <c r="V7" i="1"/>
  <c r="Y7" i="1" s="1"/>
  <c r="P7" i="1"/>
  <c r="M7" i="1"/>
  <c r="J7" i="1"/>
  <c r="I7" i="1"/>
  <c r="R7" i="1" s="1"/>
  <c r="F7" i="1"/>
  <c r="E7" i="1"/>
  <c r="Q7" i="1" s="1"/>
  <c r="AH6" i="1"/>
  <c r="AG6" i="1"/>
  <c r="AI6" i="1" s="1"/>
  <c r="AE6" i="1"/>
  <c r="AD6" i="1"/>
  <c r="AF6" i="1" s="1"/>
  <c r="AA6" i="1"/>
  <c r="Z6" i="1"/>
  <c r="AC6" i="1" s="1"/>
  <c r="W6" i="1"/>
  <c r="V6" i="1"/>
  <c r="Y6" i="1" s="1"/>
  <c r="P6" i="1"/>
  <c r="M6" i="1"/>
  <c r="J6" i="1"/>
  <c r="I6" i="1"/>
  <c r="R6" i="1" s="1"/>
  <c r="F6" i="1"/>
  <c r="E6" i="1"/>
  <c r="Q6" i="1" s="1"/>
  <c r="AH5" i="1"/>
  <c r="AG5" i="1"/>
  <c r="AI5" i="1" s="1"/>
  <c r="AE5" i="1"/>
  <c r="AD5" i="1"/>
  <c r="AF5" i="1" s="1"/>
  <c r="AA5" i="1"/>
  <c r="Z5" i="1"/>
  <c r="AC5" i="1" s="1"/>
  <c r="W5" i="1"/>
  <c r="V5" i="1"/>
  <c r="Y5" i="1" s="1"/>
  <c r="P5" i="1"/>
  <c r="M5" i="1"/>
  <c r="J5" i="1"/>
  <c r="I5" i="1"/>
  <c r="R5" i="1" s="1"/>
  <c r="F5" i="1"/>
  <c r="E5" i="1"/>
  <c r="Q5" i="1" s="1"/>
  <c r="AH4" i="1"/>
  <c r="AG4" i="1"/>
  <c r="AI4" i="1" s="1"/>
  <c r="AE4" i="1"/>
  <c r="AD4" i="1"/>
  <c r="AF4" i="1" s="1"/>
  <c r="AA4" i="1"/>
  <c r="Z4" i="1"/>
  <c r="AC4" i="1" s="1"/>
  <c r="W4" i="1"/>
  <c r="V4" i="1"/>
  <c r="Y4" i="1" s="1"/>
  <c r="P4" i="1"/>
  <c r="M4" i="1"/>
  <c r="J4" i="1"/>
  <c r="I4" i="1"/>
  <c r="R4" i="1" s="1"/>
  <c r="F4" i="1"/>
  <c r="E4" i="1"/>
  <c r="Q4" i="1" s="1"/>
  <c r="AH3" i="1"/>
  <c r="AH12" i="1" s="1"/>
  <c r="AG3" i="1"/>
  <c r="AG12" i="1" s="1"/>
  <c r="AI12" i="1" s="1"/>
  <c r="AE3" i="1"/>
  <c r="AE12" i="1" s="1"/>
  <c r="AD3" i="1"/>
  <c r="AD12" i="1" s="1"/>
  <c r="AF12" i="1" s="1"/>
  <c r="AA3" i="1"/>
  <c r="AA12" i="1" s="1"/>
  <c r="Z3" i="1"/>
  <c r="AC3" i="1" s="1"/>
  <c r="W3" i="1"/>
  <c r="W12" i="1" s="1"/>
  <c r="V3" i="1"/>
  <c r="Y3" i="1" s="1"/>
  <c r="P3" i="1"/>
  <c r="M3" i="1"/>
  <c r="J3" i="1"/>
  <c r="I3" i="1"/>
  <c r="R3" i="1" s="1"/>
  <c r="F3" i="1"/>
  <c r="E3" i="1"/>
  <c r="Q3" i="1" s="1"/>
  <c r="AI3" i="1" l="1"/>
  <c r="AB3" i="1"/>
  <c r="AB4" i="1"/>
  <c r="AK4" i="1" s="1"/>
  <c r="AB5" i="1"/>
  <c r="AK5" i="1" s="1"/>
  <c r="AB6" i="1"/>
  <c r="AK6" i="1" s="1"/>
  <c r="AB7" i="1"/>
  <c r="AK7" i="1" s="1"/>
  <c r="AB8" i="1"/>
  <c r="AK8" i="1" s="1"/>
  <c r="AB9" i="1"/>
  <c r="AK9" i="1" s="1"/>
  <c r="AB10" i="1"/>
  <c r="AK10" i="1" s="1"/>
  <c r="AB11" i="1"/>
  <c r="AK11" i="1" s="1"/>
  <c r="AB13" i="1"/>
  <c r="AK13" i="1" s="1"/>
  <c r="R29" i="1"/>
  <c r="R37" i="1"/>
  <c r="Z12" i="1"/>
  <c r="R36" i="1"/>
  <c r="Q195" i="1"/>
  <c r="X3" i="1"/>
  <c r="AF3" i="1"/>
  <c r="X4" i="1"/>
  <c r="AJ4" i="1" s="1"/>
  <c r="X5" i="1"/>
  <c r="AJ5" i="1" s="1"/>
  <c r="X6" i="1"/>
  <c r="AJ6" i="1" s="1"/>
  <c r="X7" i="1"/>
  <c r="AJ7" i="1" s="1"/>
  <c r="X8" i="1"/>
  <c r="AJ8" i="1" s="1"/>
  <c r="X9" i="1"/>
  <c r="AJ9" i="1" s="1"/>
  <c r="X10" i="1"/>
  <c r="AJ10" i="1" s="1"/>
  <c r="X11" i="1"/>
  <c r="AJ11" i="1" s="1"/>
  <c r="X13" i="1"/>
  <c r="AJ13" i="1" s="1"/>
  <c r="R25" i="1"/>
  <c r="R33" i="1"/>
  <c r="V12" i="1"/>
  <c r="R32" i="1"/>
  <c r="Q114" i="1"/>
  <c r="Q350" i="1" s="1"/>
  <c r="Q118" i="1"/>
  <c r="Q122" i="1"/>
  <c r="Q126" i="1"/>
  <c r="Q130" i="1"/>
  <c r="Q134" i="1"/>
  <c r="Q138" i="1"/>
  <c r="Q142" i="1"/>
  <c r="Q146" i="1"/>
  <c r="Q150" i="1"/>
  <c r="Q154" i="1"/>
  <c r="Q158" i="1"/>
  <c r="Q162" i="1"/>
  <c r="Q115" i="1"/>
  <c r="Q119" i="1"/>
  <c r="Q123" i="1"/>
  <c r="Q127" i="1"/>
  <c r="Q131" i="1"/>
  <c r="Q135" i="1"/>
  <c r="Q139" i="1"/>
  <c r="Q143" i="1"/>
  <c r="Q147" i="1"/>
  <c r="Q151" i="1"/>
  <c r="Q155" i="1"/>
  <c r="Q159" i="1"/>
  <c r="R164" i="1"/>
  <c r="R111" i="1"/>
  <c r="Q248" i="1"/>
  <c r="Q252" i="1"/>
  <c r="Q256" i="1"/>
  <c r="Q260" i="1"/>
  <c r="Q264" i="1"/>
  <c r="Q268" i="1"/>
  <c r="Q272" i="1"/>
  <c r="Q276" i="1"/>
  <c r="Q280" i="1"/>
  <c r="Q284" i="1"/>
  <c r="Q288" i="1"/>
  <c r="Q292" i="1"/>
  <c r="Q297" i="1"/>
  <c r="Q305" i="1"/>
  <c r="Q313" i="1"/>
  <c r="Q321" i="1"/>
  <c r="Q320" i="1"/>
  <c r="Q271" i="1"/>
  <c r="R239" i="1"/>
  <c r="Q300" i="1"/>
  <c r="Q308" i="1"/>
  <c r="Q316" i="1"/>
  <c r="Q324" i="1"/>
  <c r="R238" i="1"/>
  <c r="Q249" i="1"/>
  <c r="Q253" i="1"/>
  <c r="Q257" i="1"/>
  <c r="Q261" i="1"/>
  <c r="Q265" i="1"/>
  <c r="Q269" i="1"/>
  <c r="Q273" i="1"/>
  <c r="Q277" i="1"/>
  <c r="Q281" i="1"/>
  <c r="Q285" i="1"/>
  <c r="Q289" i="1"/>
  <c r="Q293" i="1"/>
  <c r="Q299" i="1"/>
  <c r="Q307" i="1"/>
  <c r="Q315" i="1"/>
  <c r="Q323" i="1"/>
  <c r="R237" i="1"/>
  <c r="Q306" i="1"/>
  <c r="Q322" i="1"/>
  <c r="E330" i="1"/>
  <c r="Q330" i="1" s="1"/>
  <c r="AK3" i="1" l="1"/>
  <c r="AJ3" i="1"/>
  <c r="Q347" i="1"/>
  <c r="Q348" i="1"/>
  <c r="Y12" i="1"/>
  <c r="X12" i="1"/>
  <c r="AJ12" i="1" s="1"/>
  <c r="AC12" i="1"/>
  <c r="AB12" i="1"/>
  <c r="AK12" i="1" s="1"/>
  <c r="Q349" i="1"/>
  <c r="S348" i="1" l="1"/>
  <c r="S347" i="1"/>
</calcChain>
</file>

<file path=xl/sharedStrings.xml><?xml version="1.0" encoding="utf-8"?>
<sst xmlns="http://schemas.openxmlformats.org/spreadsheetml/2006/main" count="1135" uniqueCount="384">
  <si>
    <t>Estudiantes con discapacidad</t>
  </si>
  <si>
    <t>ID</t>
  </si>
  <si>
    <t>Municipio</t>
  </si>
  <si>
    <t>Población de 5-17 años con discapacidad por dificultad permanente que asiste al colegio 2012</t>
  </si>
  <si>
    <t>Población de 5-17 años con discapacidad por dificultad permanente 2012</t>
  </si>
  <si>
    <t>Tasa de asistencia escolar de personas con discapacidad 2012</t>
  </si>
  <si>
    <t>Porcentaje de estudiantes con discapacidad dentro del sistema educativo 2012</t>
  </si>
  <si>
    <t>Población de 5-17 años con discapacidad por dificultad permanente que asiste al colegio 2024</t>
  </si>
  <si>
    <t>Población de 5-17 años con discapacidad por dificultad permanente 2024</t>
  </si>
  <si>
    <t>Tasa de asistencia escolar de personas con discapacidad 2024</t>
  </si>
  <si>
    <t>Porcentaje de estudiantes con discapacidad dentro del sistema educativo 2024</t>
  </si>
  <si>
    <t>Población de 5 a 17 años de edad que asiste al colegio 2012</t>
  </si>
  <si>
    <t>Población de 5 a 17 años 2012</t>
  </si>
  <si>
    <t>Tasa de asistencia escolar 2012</t>
  </si>
  <si>
    <t>Población de 5 a 17 años de edad que asiste al colegio 2024</t>
  </si>
  <si>
    <t>Población de 5 a 17 años 2024</t>
  </si>
  <si>
    <t>Tasa de asistencia escolar 2024</t>
  </si>
  <si>
    <t>Brecha educativa 2012</t>
  </si>
  <si>
    <t>Brecha educativa 2024</t>
  </si>
  <si>
    <t>id_departamento</t>
  </si>
  <si>
    <t>Departamento</t>
  </si>
  <si>
    <t>Brecha educativa 2012 (UNESCO Institute for Statistics)</t>
  </si>
  <si>
    <t>Brecha educativa 2024 (UNESCO Institute for Statistics)</t>
  </si>
  <si>
    <t>For this report, a disability parity index (DPI) was calculated by dividing the indicator value for persons with disabilities by the value for persons without disabilities. Depending on the underlying indicator, parity indices less than 1 or greater than 1 indicate that persons with disabilities are disadvantaged. DPI values less than 1 indicate exclusion of persons with disabilities for the majority of indicators, which increase with improved access to education, such as the primary completion rate or mean years of schooling. Parity is assumed to exist at DPI values between 0.97 and 1.03 (UNESCO Institute for Statistics, 2018).https://repositorio.minedu.gob.pe/bitstream/handle/20.500.12799/5783/Education%20and%20Disability%20Analysis%20of%20Data%20from%2049%20Countries.pdf?sequence=1&amp;isAllowed=y</t>
  </si>
  <si>
    <t xml:space="preserve">Indicador Educación 1.1: Tasas brutas de escolaridad de la población con discapacidad que asiste al sistema regular de educación - Se divide la matrícula de personas con discapacidad del nivel educativo i, en el año t, por la población en edad teórica e de cursar el nivel i, en el año t, y se multiplica por 100 (OEA, 2023). https://www.oas.org/ext/DesktopModules/MVC/OASDnnModules/Views/Item/Download.aspx?type=3&amp;id=994&amp;lang=2 
</t>
  </si>
  <si>
    <t>Sucre</t>
  </si>
  <si>
    <t>Chuquisaca</t>
  </si>
  <si>
    <t>Yotala</t>
  </si>
  <si>
    <t>La Paz</t>
  </si>
  <si>
    <r>
      <rPr>
        <sz val="10"/>
        <color theme="1"/>
        <rFont val="Arial"/>
      </rPr>
      <t xml:space="preserve">4.5 De aquí a 2030, eliminar las disparidades de género en la educación y asegurar el acceso igualitario a todos los niveles de la enseñanza y la formación profesional para las personas vulnerables, incluidas las personas con </t>
    </r>
    <r>
      <rPr>
        <b/>
        <sz val="10"/>
        <color theme="1"/>
        <rFont val="Arial"/>
      </rPr>
      <t>discapacidad</t>
    </r>
    <r>
      <rPr>
        <sz val="10"/>
        <color theme="1"/>
        <rFont val="Arial"/>
      </rPr>
      <t xml:space="preserve">, los pueblos indígenas y los niños en situaciones de vulnerabilidad </t>
    </r>
  </si>
  <si>
    <t>Poroma</t>
  </si>
  <si>
    <t>Cochabamba</t>
  </si>
  <si>
    <r>
      <rPr>
        <sz val="10"/>
        <color theme="1"/>
        <rFont val="Arial"/>
      </rPr>
      <t xml:space="preserve">10.2 De aquí a 2030, potenciar y promover la inclusión social, económica y política de todas las personas, independientemente de su edad, sexo, </t>
    </r>
    <r>
      <rPr>
        <b/>
        <sz val="10"/>
        <color theme="1"/>
        <rFont val="Arial"/>
      </rPr>
      <t>discapacidad</t>
    </r>
    <r>
      <rPr>
        <sz val="10"/>
        <color theme="1"/>
        <rFont val="Arial"/>
      </rPr>
      <t>, raza, etnia, origen, religión o situación económica u otra condición</t>
    </r>
  </si>
  <si>
    <t>Azurduy</t>
  </si>
  <si>
    <t>Oruro</t>
  </si>
  <si>
    <t>Tarvita</t>
  </si>
  <si>
    <t>Potosí</t>
  </si>
  <si>
    <t>Zudáñez</t>
  </si>
  <si>
    <t>Tarija</t>
  </si>
  <si>
    <t>Presto</t>
  </si>
  <si>
    <t>Santa Cruz</t>
  </si>
  <si>
    <t>Mojocoya</t>
  </si>
  <si>
    <t>Beni</t>
  </si>
  <si>
    <t>Icla</t>
  </si>
  <si>
    <t>Pando</t>
  </si>
  <si>
    <t>Padilla</t>
  </si>
  <si>
    <t>Bolivia</t>
  </si>
  <si>
    <t>Tomina</t>
  </si>
  <si>
    <t>Gran Chaco</t>
  </si>
  <si>
    <t>Sopachuy</t>
  </si>
  <si>
    <t>Villa 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</si>
  <si>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</si>
  <si>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</si>
  <si>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</si>
  <si>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</si>
  <si>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</si>
  <si>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</si>
  <si>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</si>
  <si>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</si>
  <si>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</si>
  <si>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</si>
  <si>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</si>
  <si>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</si>
  <si>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</si>
  <si>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</si>
  <si>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</si>
  <si>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</si>
  <si>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</si>
  <si>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</si>
  <si>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</si>
  <si>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</si>
  <si>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</si>
  <si>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</si>
  <si>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</si>
  <si>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</si>
  <si>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</si>
  <si>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</si>
  <si>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</si>
  <si>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</si>
  <si>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</si>
  <si>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</si>
  <si>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</si>
  <si>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</si>
  <si>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</si>
  <si>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</si>
  <si>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</si>
  <si>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</si>
  <si>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</si>
  <si>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</si>
  <si>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</si>
  <si>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</si>
  <si>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</si>
  <si>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</si>
  <si>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</si>
  <si>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</si>
  <si>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</si>
  <si>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</si>
  <si>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</si>
  <si>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</si>
  <si>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</si>
  <si>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</si>
  <si>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</si>
  <si>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</si>
  <si>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</si>
  <si>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</si>
  <si>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</si>
  <si>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</si>
  <si>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</si>
  <si>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</si>
  <si>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Machaca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</si>
  <si>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</si>
  <si>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</si>
  <si>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</si>
  <si>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</si>
  <si>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</si>
  <si>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</si>
  <si>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</si>
  <si>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</si>
  <si>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</si>
  <si>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</si>
  <si>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</si>
  <si>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</si>
  <si>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</si>
  <si>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</si>
  <si>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</si>
  <si>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</si>
  <si>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</si>
  <si>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</si>
  <si>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</si>
  <si>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</si>
  <si>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</si>
  <si>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 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</si>
  <si>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</si>
  <si>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</si>
  <si>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</si>
  <si>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</si>
  <si>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</si>
  <si>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</si>
  <si>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</si>
  <si>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</si>
  <si>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</si>
  <si>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</si>
  <si>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</si>
  <si>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</si>
  <si>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</si>
  <si>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</si>
  <si>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</si>
  <si>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</si>
  <si>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</si>
  <si>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</si>
  <si>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</si>
  <si>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</si>
  <si>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</si>
  <si>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</si>
  <si>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</si>
  <si>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</si>
  <si>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</si>
  <si>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Independencia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</si>
  <si>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</si>
  <si>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</si>
  <si>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</si>
  <si>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</si>
  <si>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</si>
  <si>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</si>
  <si>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</si>
  <si>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</si>
  <si>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</si>
  <si>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</si>
  <si>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</si>
  <si>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</si>
  <si>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</si>
  <si>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</si>
  <si>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</si>
  <si>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</si>
  <si>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</si>
  <si>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</si>
  <si>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</si>
  <si>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</si>
  <si>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</si>
  <si>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</si>
  <si>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</si>
  <si>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</si>
  <si>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</si>
  <si>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</si>
  <si>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</si>
  <si>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</si>
  <si>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</si>
  <si>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</si>
  <si>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</si>
  <si>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</si>
  <si>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</si>
  <si>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</si>
  <si>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</si>
  <si>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</si>
  <si>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</si>
  <si>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</si>
  <si>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</si>
  <si>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</si>
  <si>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</si>
  <si>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</si>
  <si>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</si>
  <si>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</si>
  <si>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</si>
  <si>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</si>
  <si>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</si>
  <si>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</si>
  <si>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</si>
  <si>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</si>
  <si>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</si>
  <si>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</si>
  <si>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</si>
  <si>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</si>
  <si>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</si>
  <si>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</si>
  <si>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</si>
  <si>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</si>
  <si>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</si>
  <si>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</si>
  <si>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</si>
  <si>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</si>
  <si>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</si>
  <si>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</si>
  <si>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</si>
  <si>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</si>
  <si>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</si>
  <si>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</si>
  <si>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</si>
  <si>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</si>
  <si>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</si>
  <si>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</si>
  <si>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</si>
  <si>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</si>
  <si>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</si>
  <si>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</si>
  <si>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</si>
  <si>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</si>
  <si>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</si>
  <si>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</si>
  <si>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</si>
  <si>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</si>
  <si>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</si>
  <si>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</si>
  <si>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</si>
  <si>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</si>
  <si>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</si>
  <si>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</si>
  <si>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</si>
  <si>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</si>
  <si>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</si>
  <si>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</si>
  <si>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</si>
  <si>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</si>
  <si>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</si>
  <si>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</si>
  <si>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</si>
  <si>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</si>
  <si>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</si>
  <si>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</si>
  <si>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</si>
  <si>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</si>
  <si>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</si>
  <si>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</si>
  <si>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</si>
  <si>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</si>
  <si>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</si>
  <si>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</si>
  <si>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</si>
  <si>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</si>
  <si>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 Jatun Ayllu Yura</t>
  </si>
  <si>
    <t>Arampampa</t>
  </si>
  <si>
    <t>Acasio</t>
  </si>
  <si>
    <t>Llica</t>
  </si>
  <si>
    <t>Tahua</t>
  </si>
  <si>
    <t>Villazón</t>
  </si>
  <si>
    <t>San Agustín</t>
  </si>
  <si>
    <t>Padcaya</t>
  </si>
  <si>
    <t>Bermejo</t>
  </si>
  <si>
    <t>Yacuiba</t>
  </si>
  <si>
    <t>Caraparí</t>
  </si>
  <si>
    <t>Villamontes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</si>
  <si>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</si>
  <si>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</si>
  <si>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</si>
  <si>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</si>
  <si>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</si>
  <si>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</si>
  <si>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</si>
  <si>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</si>
  <si>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</si>
  <si>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</si>
  <si>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</si>
  <si>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</si>
  <si>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</si>
  <si>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</si>
  <si>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</si>
  <si>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</si>
  <si>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</si>
  <si>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</si>
  <si>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</si>
  <si>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</si>
  <si>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</si>
  <si>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</si>
  <si>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</si>
  <si>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</si>
  <si>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</si>
  <si>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</si>
  <si>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</si>
  <si>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</si>
  <si>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</si>
  <si>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</si>
  <si>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</si>
  <si>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</si>
  <si>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</si>
  <si>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 Moro</t>
  </si>
  <si>
    <t>Postrer 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</si>
  <si>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</si>
  <si>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</si>
  <si>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</si>
  <si>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</si>
  <si>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</si>
  <si>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</si>
  <si>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</si>
  <si>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</si>
  <si>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</si>
  <si>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</si>
  <si>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</si>
  <si>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</si>
  <si>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</si>
  <si>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Lomerío</t>
  </si>
  <si>
    <t>Cuatro Cañadas</t>
  </si>
  <si>
    <t>San Matías</t>
  </si>
  <si>
    <t>Comarapa</t>
  </si>
  <si>
    <t>Saipina</t>
  </si>
  <si>
    <t>Puerto Suárez</t>
  </si>
  <si>
    <t>Puerto Quijarro</t>
  </si>
  <si>
    <t>Carmen Rivero Tórrez</t>
  </si>
  <si>
    <t>Ascensión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</si>
  <si>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</si>
  <si>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</si>
  <si>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</si>
  <si>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</si>
  <si>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</si>
  <si>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</si>
  <si>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</si>
  <si>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</si>
  <si>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</si>
  <si>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</si>
  <si>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</si>
  <si>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</si>
  <si>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</si>
  <si>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</si>
  <si>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</si>
  <si>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</si>
  <si>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</si>
  <si>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</si>
  <si>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</si>
  <si>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</si>
  <si>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</si>
  <si>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</si>
  <si>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</si>
  <si>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</si>
  <si>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</si>
  <si>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</si>
  <si>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</si>
  <si>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</si>
  <si>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</si>
  <si>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Promedio</t>
  </si>
  <si>
    <t>Desv. Est.</t>
  </si>
  <si>
    <t>Min</t>
  </si>
  <si>
    <t>Max</t>
  </si>
  <si>
    <t>Obs</t>
  </si>
  <si>
    <t>Absoluto_2012</t>
  </si>
  <si>
    <t>Absoluto_2024</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</si>
  <si>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</si>
  <si>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</si>
  <si>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</si>
  <si>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</si>
  <si>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</si>
  <si>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</si>
  <si>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</si>
  <si>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</si>
  <si>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</si>
  <si>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</si>
  <si>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Brecha educativa para personas con discapacidad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</si>
</sst>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font>
      <sz val="10"/>
      <color rgb="FF000000"/>
      <name val="Arial"/>
      <scheme val="minor"/>
    </font>
    <font>
      <sz val="10"/>
      <color theme="1"/>
      <name val="Arial"/>
      <scheme val="minor"/>
    </font>
    <font>
      <b/>
      <sz val="10"/>
      <color theme="1"/>
      <name val="Arial"/>
      <scheme val="minor"/>
    </font>
    <font>
      <sz val="10"/>
      <name val="Arial"/>
    </font>
    <font>
      <sz val="11"/>
      <color theme="1"/>
      <name val="Calibri"/>
    </font>
    <font>
      <b/>
      <sz val="11"/>
      <color theme="1"/>
      <name val="Calibri"/>
    </font>
    <font>
      <b/>
      <sz val="9"/>
      <color theme="1"/>
      <name val="&quot;Aptos Display&quot;"/>
    </font>
    <font>
      <sz val="10"/>
      <color theme="1"/>
      <name val="Arial"/>
    </font>
    <font>
      <b/>
      <sz val="10"/>
      <color theme="1"/>
      <name val="Arial"/>
    </font>
  </fonts>
  <fills count="14">
    <fill>
      <patternFill patternType="none"/>
    </fill>
    <fill>
      <patternFill patternType="gray125"/>
    </fill>
    <fill>
      <patternFill patternType="solid">
        <fgColor rgb="FFFFD966"/>
        <bgColor rgb="FFFFD966"/>
      </patternFill>
    </fill>
    <fill>
      <patternFill patternType="solid">
        <fgColor rgb="FFFFE599"/>
        <bgColor rgb="FFFFE599"/>
      </patternFill>
    </fill>
    <fill>
      <patternFill patternType="solid">
        <fgColor rgb="FFB6D7A8"/>
        <bgColor rgb="FFB6D7A8"/>
      </patternFill>
    </fill>
    <fill>
      <patternFill patternType="solid">
        <fgColor rgb="FF3D85C6"/>
        <bgColor rgb="FF3D85C6"/>
      </patternFill>
    </fill>
    <fill>
      <patternFill patternType="solid">
        <fgColor rgb="FF93C47D"/>
        <bgColor rgb="FF93C47D"/>
      </patternFill>
    </fill>
    <fill>
      <patternFill patternType="solid">
        <fgColor rgb="FFEA9999"/>
        <bgColor rgb="FFEA9999"/>
      </patternFill>
    </fill>
    <fill>
      <patternFill patternType="solid">
        <fgColor rgb="FFE2EFD9"/>
        <bgColor rgb="FFE2EFD9"/>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0">
    <xf numFmtId="0" fontId="0" fillId="0" borderId="0" xfId="0"/>
    <xf numFmtId="0" fontId="1" fillId="0" borderId="0" xfId="0" applyFont="1" applyAlignment="1">
      <alignment horizontal="center" wrapText="1"/>
    </xf>
    <xf numFmtId="0" fontId="2" fillId="0" borderId="0" xfId="0" applyFont="1" applyAlignment="1">
      <alignment horizontal="center" wrapText="1"/>
    </xf>
    <xf numFmtId="3" fontId="2" fillId="0" borderId="0" xfId="0" applyNumberFormat="1" applyFont="1" applyAlignment="1">
      <alignment horizontal="center" wrapText="1"/>
    </xf>
    <xf numFmtId="164" fontId="2" fillId="0" borderId="0" xfId="0" applyNumberFormat="1" applyFont="1" applyAlignment="1">
      <alignment horizontal="center" wrapText="1"/>
    </xf>
    <xf numFmtId="2" fontId="2" fillId="0" borderId="0" xfId="0" applyNumberFormat="1" applyFont="1" applyAlignment="1">
      <alignment horizontal="center" wrapText="1"/>
    </xf>
    <xf numFmtId="0" fontId="2" fillId="0" borderId="0" xfId="0" applyFont="1" applyAlignment="1">
      <alignment horizontal="left" wrapText="1"/>
    </xf>
    <xf numFmtId="0" fontId="2" fillId="0" borderId="4" xfId="0" applyFont="1" applyBorder="1" applyAlignment="1">
      <alignment horizontal="center" wrapText="1"/>
    </xf>
    <xf numFmtId="3" fontId="2" fillId="0" borderId="4" xfId="0" applyNumberFormat="1" applyFont="1" applyBorder="1" applyAlignment="1">
      <alignment horizontal="center" wrapText="1"/>
    </xf>
    <xf numFmtId="164" fontId="2" fillId="3" borderId="4" xfId="0" applyNumberFormat="1" applyFont="1" applyFill="1" applyBorder="1" applyAlignment="1">
      <alignment horizontal="center" wrapText="1"/>
    </xf>
    <xf numFmtId="165" fontId="2" fillId="3" borderId="4" xfId="0" applyNumberFormat="1" applyFont="1" applyFill="1" applyBorder="1" applyAlignment="1">
      <alignment horizontal="center" wrapText="1"/>
    </xf>
    <xf numFmtId="164" fontId="2" fillId="4" borderId="4" xfId="0" applyNumberFormat="1" applyFont="1" applyFill="1" applyBorder="1" applyAlignment="1">
      <alignment horizontal="center" wrapText="1"/>
    </xf>
    <xf numFmtId="2" fontId="2" fillId="5" borderId="4" xfId="0" applyNumberFormat="1" applyFont="1" applyFill="1" applyBorder="1" applyAlignment="1">
      <alignment horizontal="center" wrapText="1"/>
    </xf>
    <xf numFmtId="0" fontId="2" fillId="0" borderId="0" xfId="0" applyFont="1"/>
    <xf numFmtId="0" fontId="2" fillId="0" borderId="4" xfId="0" applyFont="1" applyBorder="1"/>
    <xf numFmtId="0" fontId="1" fillId="0" borderId="4" xfId="0" applyFont="1" applyBorder="1"/>
    <xf numFmtId="0" fontId="4" fillId="0" borderId="4" xfId="0" applyFont="1" applyBorder="1" applyAlignment="1">
      <alignment horizontal="right"/>
    </xf>
    <xf numFmtId="3" fontId="4" fillId="0" borderId="4" xfId="0" applyNumberFormat="1" applyFont="1" applyBorder="1" applyAlignment="1">
      <alignment horizontal="right"/>
    </xf>
    <xf numFmtId="164" fontId="1" fillId="0" borderId="4" xfId="0" applyNumberFormat="1" applyFont="1" applyBorder="1"/>
    <xf numFmtId="165" fontId="1" fillId="0" borderId="4" xfId="0" applyNumberFormat="1" applyFont="1" applyBorder="1"/>
    <xf numFmtId="2" fontId="1" fillId="0" borderId="4" xfId="0" applyNumberFormat="1" applyFont="1" applyBorder="1"/>
    <xf numFmtId="3" fontId="1" fillId="0" borderId="4" xfId="0" applyNumberFormat="1" applyFont="1" applyBorder="1"/>
    <xf numFmtId="0" fontId="1" fillId="0" borderId="0" xfId="0" applyFont="1"/>
    <xf numFmtId="0" fontId="1" fillId="6" borderId="4" xfId="0" applyFont="1" applyFill="1" applyBorder="1"/>
    <xf numFmtId="0" fontId="1" fillId="7" borderId="4" xfId="0" applyFont="1" applyFill="1" applyBorder="1"/>
    <xf numFmtId="165" fontId="1" fillId="7" borderId="4" xfId="0" applyNumberFormat="1" applyFont="1" applyFill="1" applyBorder="1"/>
    <xf numFmtId="164" fontId="1" fillId="7" borderId="4" xfId="0" applyNumberFormat="1" applyFont="1" applyFill="1" applyBorder="1"/>
    <xf numFmtId="0" fontId="4" fillId="0" borderId="4" xfId="0" applyFont="1" applyBorder="1"/>
    <xf numFmtId="3" fontId="4" fillId="0" borderId="4" xfId="0" applyNumberFormat="1" applyFont="1" applyBorder="1"/>
    <xf numFmtId="0" fontId="1" fillId="4" borderId="4" xfId="0" applyFont="1" applyFill="1" applyBorder="1"/>
    <xf numFmtId="3" fontId="1" fillId="0" borderId="0" xfId="0" applyNumberFormat="1" applyFont="1"/>
    <xf numFmtId="164" fontId="1" fillId="0" borderId="0" xfId="0" applyNumberFormat="1" applyFont="1"/>
    <xf numFmtId="165" fontId="1" fillId="0" borderId="0" xfId="0" applyNumberFormat="1" applyFont="1"/>
    <xf numFmtId="2" fontId="1" fillId="0" borderId="0" xfId="0" applyNumberFormat="1" applyFont="1"/>
    <xf numFmtId="3" fontId="4" fillId="8" borderId="5" xfId="0" applyNumberFormat="1" applyFont="1" applyFill="1" applyBorder="1"/>
    <xf numFmtId="2" fontId="4" fillId="0" borderId="0" xfId="0" applyNumberFormat="1" applyFont="1" applyAlignment="1">
      <alignment horizontal="right"/>
    </xf>
    <xf numFmtId="2" fontId="4" fillId="0" borderId="0" xfId="0" applyNumberFormat="1" applyFont="1"/>
    <xf numFmtId="0" fontId="4" fillId="0" borderId="0" xfId="0" applyFont="1"/>
    <xf numFmtId="2" fontId="2" fillId="0" borderId="4" xfId="0" applyNumberFormat="1" applyFont="1" applyBorder="1"/>
    <xf numFmtId="0" fontId="2" fillId="0" borderId="4" xfId="0" applyFont="1" applyBorder="1" applyAlignment="1">
      <alignment wrapText="1"/>
    </xf>
    <xf numFmtId="2" fontId="2" fillId="0" borderId="4" xfId="0" applyNumberFormat="1" applyFont="1" applyBorder="1" applyAlignment="1">
      <alignment wrapText="1"/>
    </xf>
    <xf numFmtId="0" fontId="2" fillId="0" borderId="0" xfId="0" applyFont="1" applyAlignment="1">
      <alignment wrapText="1"/>
    </xf>
    <xf numFmtId="0" fontId="5" fillId="9" borderId="4" xfId="0" applyFont="1" applyFill="1" applyBorder="1"/>
    <xf numFmtId="0" fontId="6" fillId="10" borderId="4" xfId="0" applyFont="1" applyFill="1" applyBorder="1" applyAlignment="1">
      <alignment horizontal="center"/>
    </xf>
    <xf numFmtId="0" fontId="6" fillId="11" borderId="4" xfId="0" applyFont="1" applyFill="1" applyBorder="1" applyAlignment="1">
      <alignment horizontal="center"/>
    </xf>
    <xf numFmtId="0" fontId="6" fillId="12" borderId="4" xfId="0" applyFont="1" applyFill="1" applyBorder="1" applyAlignment="1">
      <alignment horizontal="center"/>
    </xf>
    <xf numFmtId="0" fontId="6" fillId="13" borderId="4" xfId="0" applyFont="1" applyFill="1" applyBorder="1" applyAlignment="1">
      <alignment horizontal="center"/>
    </xf>
    <xf numFmtId="0" fontId="2" fillId="2" borderId="1" xfId="0" applyFont="1" applyFill="1" applyBorder="1" applyAlignment="1">
      <alignment horizontal="center" wrapText="1"/>
    </xf>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105411</xdr:colOff>
      <xdr:row>0</xdr:row>
      <xdr:rowOff>41910</xdr:rowOff>
    </xdr:from>
    <xdr:to>
      <xdr:col>9</xdr:col>
      <xdr:colOff>116234</xdr:colOff>
      <xdr:row>25</xdr:row>
      <xdr:rowOff>139060</xdr:rowOff>
    </xdr:to>
    <xdr:pic>
      <xdr:nvPicPr>
        <xdr:cNvPr id="2" name="Imagen 1">
          <a:extLst>
            <a:ext uri="{FF2B5EF4-FFF2-40B4-BE49-F238E27FC236}">
              <a16:creationId xmlns:a16="http://schemas.microsoft.com/office/drawing/2014/main" id="{1BEFC626-1F04-21D4-590B-E2555636F2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11" y="41910"/>
          <a:ext cx="7840373" cy="501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D1001"/>
  <sheetViews>
    <sheetView workbookViewId="0">
      <pane xSplit="2" ySplit="2" topLeftCell="K330" activePane="bottomRight" state="frozen"/>
      <selection pane="topRight" activeCell="C1" sqref="C1"/>
      <selection pane="bottomLeft" activeCell="A3" sqref="A3"/>
      <selection pane="bottomRight" activeCell="Q2" sqref="Q2:R345"/>
    </sheetView>
  </sheetViews>
  <sheetFormatPr baseColWidth="10" defaultColWidth="12.6640625" defaultRowHeight="15.75" customHeight="1"/>
  <cols>
    <col min="40" max="40" width="68.77734375" customWidth="1"/>
    <col min="41" max="41" width="64.109375" customWidth="1"/>
    <col min="42" max="42" width="63.6640625" customWidth="1"/>
  </cols>
  <sheetData>
    <row r="1" spans="1:56">
      <c r="A1" s="1"/>
      <c r="B1" s="2"/>
      <c r="C1" s="47" t="s">
        <v>0</v>
      </c>
      <c r="D1" s="48"/>
      <c r="E1" s="48"/>
      <c r="F1" s="48"/>
      <c r="G1" s="48"/>
      <c r="H1" s="48"/>
      <c r="I1" s="48"/>
      <c r="J1" s="49"/>
      <c r="K1" s="2"/>
      <c r="L1" s="3"/>
      <c r="M1" s="4"/>
      <c r="N1" s="2"/>
      <c r="O1" s="2"/>
      <c r="P1" s="4"/>
      <c r="Q1" s="5"/>
      <c r="R1" s="5"/>
      <c r="AN1" s="6"/>
      <c r="AO1" s="2"/>
      <c r="AP1" s="2"/>
      <c r="AQ1" s="2"/>
      <c r="AR1" s="2"/>
      <c r="AS1" s="2"/>
      <c r="AT1" s="2"/>
      <c r="AU1" s="2"/>
      <c r="AV1" s="2"/>
      <c r="AW1" s="2"/>
      <c r="AX1" s="2"/>
      <c r="AY1" s="2"/>
      <c r="AZ1" s="2"/>
      <c r="BA1" s="2"/>
      <c r="BB1" s="2"/>
      <c r="BC1" s="2"/>
      <c r="BD1" s="2"/>
    </row>
    <row r="2" spans="1:56">
      <c r="A2" s="7" t="s">
        <v>1</v>
      </c>
      <c r="B2" s="7" t="s">
        <v>2</v>
      </c>
      <c r="C2" s="8" t="s">
        <v>3</v>
      </c>
      <c r="D2" s="8" t="s">
        <v>4</v>
      </c>
      <c r="E2" s="9" t="s">
        <v>5</v>
      </c>
      <c r="F2" s="9" t="s">
        <v>6</v>
      </c>
      <c r="G2" s="7" t="s">
        <v>7</v>
      </c>
      <c r="H2" s="7" t="s">
        <v>8</v>
      </c>
      <c r="I2" s="10" t="s">
        <v>9</v>
      </c>
      <c r="J2" s="10" t="s">
        <v>10</v>
      </c>
      <c r="K2" s="7" t="s">
        <v>11</v>
      </c>
      <c r="L2" s="8" t="s">
        <v>12</v>
      </c>
      <c r="M2" s="11" t="s">
        <v>13</v>
      </c>
      <c r="N2" s="7" t="s">
        <v>14</v>
      </c>
      <c r="O2" s="7" t="s">
        <v>15</v>
      </c>
      <c r="P2" s="11" t="s">
        <v>16</v>
      </c>
      <c r="Q2" s="12" t="s">
        <v>17</v>
      </c>
      <c r="R2" s="12" t="s">
        <v>18</v>
      </c>
      <c r="S2" s="13"/>
      <c r="T2" s="14" t="s">
        <v>19</v>
      </c>
      <c r="U2" s="14" t="s">
        <v>20</v>
      </c>
      <c r="V2" s="8" t="s">
        <v>3</v>
      </c>
      <c r="W2" s="8" t="s">
        <v>4</v>
      </c>
      <c r="X2" s="9" t="s">
        <v>5</v>
      </c>
      <c r="Y2" s="9" t="s">
        <v>6</v>
      </c>
      <c r="Z2" s="7" t="s">
        <v>7</v>
      </c>
      <c r="AA2" s="7" t="s">
        <v>8</v>
      </c>
      <c r="AB2" s="10" t="s">
        <v>9</v>
      </c>
      <c r="AC2" s="10" t="s">
        <v>10</v>
      </c>
      <c r="AD2" s="7" t="s">
        <v>11</v>
      </c>
      <c r="AE2" s="8" t="s">
        <v>12</v>
      </c>
      <c r="AF2" s="11" t="s">
        <v>13</v>
      </c>
      <c r="AG2" s="7" t="s">
        <v>14</v>
      </c>
      <c r="AH2" s="7" t="s">
        <v>15</v>
      </c>
      <c r="AI2" s="11" t="s">
        <v>16</v>
      </c>
      <c r="AJ2" s="12" t="s">
        <v>21</v>
      </c>
      <c r="AK2" s="12" t="s">
        <v>22</v>
      </c>
      <c r="AL2" s="13"/>
      <c r="AM2" s="13"/>
      <c r="AN2" s="6" t="s">
        <v>23</v>
      </c>
      <c r="AO2" s="6" t="s">
        <v>24</v>
      </c>
      <c r="AP2" s="13"/>
      <c r="AQ2" s="2"/>
      <c r="AR2" s="2"/>
      <c r="AS2" s="2"/>
      <c r="AT2" s="2"/>
      <c r="AU2" s="2"/>
      <c r="AV2" s="2"/>
      <c r="AW2" s="2"/>
      <c r="AX2" s="2"/>
      <c r="AY2" s="2"/>
      <c r="AZ2" s="2"/>
      <c r="BA2" s="2"/>
      <c r="BB2" s="2"/>
      <c r="BC2" s="2"/>
      <c r="BD2" s="2"/>
    </row>
    <row r="3" spans="1:56" ht="15.75" customHeight="1">
      <c r="A3" s="15">
        <v>10101</v>
      </c>
      <c r="B3" s="15" t="s">
        <v>25</v>
      </c>
      <c r="C3" s="16">
        <v>489</v>
      </c>
      <c r="D3" s="17">
        <v>1037</v>
      </c>
      <c r="E3" s="18">
        <f t="shared" ref="E3:E179" si="0">(C3/D3)*100</f>
        <v>47.155255544840884</v>
      </c>
      <c r="F3" s="18">
        <f t="shared" ref="F3:F216" si="1">(C3/K3)*100</f>
        <v>0.76252553446958471</v>
      </c>
      <c r="G3" s="17">
        <v>1631</v>
      </c>
      <c r="H3" s="17">
        <v>1756</v>
      </c>
      <c r="I3" s="19">
        <f t="shared" ref="I3:I257" si="2">(G3/H3)*100</f>
        <v>92.881548974943058</v>
      </c>
      <c r="J3" s="19">
        <f t="shared" ref="J3:J257" si="3">(G3/N3)*100</f>
        <v>2.3565277697509099</v>
      </c>
      <c r="K3" s="17">
        <v>64129</v>
      </c>
      <c r="L3" s="17">
        <v>69760</v>
      </c>
      <c r="M3" s="18">
        <f t="shared" ref="M3:M257" si="4">(K3/L3)*100</f>
        <v>91.928038990825684</v>
      </c>
      <c r="N3" s="17">
        <v>69212</v>
      </c>
      <c r="O3" s="17">
        <v>70898</v>
      </c>
      <c r="P3" s="18">
        <f t="shared" ref="P3:P257" si="5">(N3/O3)*100</f>
        <v>97.621935738666821</v>
      </c>
      <c r="Q3" s="20">
        <f t="shared" ref="Q3:Q162" si="6">E3/M3</f>
        <v>0.51295835375697429</v>
      </c>
      <c r="R3" s="20">
        <f t="shared" ref="R3:R257" si="7">I3/P3</f>
        <v>0.9514413771059228</v>
      </c>
      <c r="T3" s="15">
        <v>1</v>
      </c>
      <c r="U3" s="15" t="s">
        <v>26</v>
      </c>
      <c r="V3" s="15">
        <f t="shared" ref="V3:W3" si="8">SUM(C3:C31)</f>
        <v>887</v>
      </c>
      <c r="W3" s="21">
        <f t="shared" si="8"/>
        <v>1989</v>
      </c>
      <c r="X3" s="18">
        <f t="shared" ref="X3:X13" si="9">(V3/W3)*100</f>
        <v>44.595274007038718</v>
      </c>
      <c r="Y3" s="18">
        <f t="shared" ref="Y3:Y13" si="10">(V3/AD3)*100</f>
        <v>0.61463198303698885</v>
      </c>
      <c r="Z3" s="21">
        <f t="shared" ref="Z3:AA3" si="11">SUM(G3:G31)</f>
        <v>2553</v>
      </c>
      <c r="AA3" s="21">
        <f t="shared" si="11"/>
        <v>2990</v>
      </c>
      <c r="AB3" s="18">
        <f t="shared" ref="AB3:AB13" si="12">(Z3/AA3)*100</f>
        <v>85.384615384615387</v>
      </c>
      <c r="AC3" s="18">
        <f t="shared" ref="AC3:AC13" si="13">(Z3/AH3)*100</f>
        <v>1.7181159273990025</v>
      </c>
      <c r="AD3" s="21">
        <f t="shared" ref="AD3:AE3" si="14">SUM(K3:K31)</f>
        <v>144314</v>
      </c>
      <c r="AE3" s="21">
        <f t="shared" si="14"/>
        <v>169249</v>
      </c>
      <c r="AF3" s="18">
        <f t="shared" ref="AF3:AF13" si="15">(AD3/AE3)*100</f>
        <v>85.267268935119262</v>
      </c>
      <c r="AG3" s="21">
        <f t="shared" ref="AG3:AH3" si="16">SUM(N3:N31)</f>
        <v>137665</v>
      </c>
      <c r="AH3" s="21">
        <f t="shared" si="16"/>
        <v>148593</v>
      </c>
      <c r="AI3" s="18">
        <f t="shared" ref="AI3:AI13" si="17">(AG3/AH3)*100</f>
        <v>92.645683174846724</v>
      </c>
      <c r="AJ3" s="20">
        <f t="shared" ref="AJ3:AJ13" si="18">X3/AF3</f>
        <v>0.52300577424347572</v>
      </c>
      <c r="AK3" s="20">
        <f t="shared" ref="AK3:AK13" si="19">AB3/AI3</f>
        <v>0.92162540615596955</v>
      </c>
    </row>
    <row r="4" spans="1:56" ht="15.75" customHeight="1">
      <c r="A4" s="15">
        <v>10102</v>
      </c>
      <c r="B4" s="15" t="s">
        <v>27</v>
      </c>
      <c r="C4" s="16">
        <v>18</v>
      </c>
      <c r="D4" s="17">
        <v>41</v>
      </c>
      <c r="E4" s="18">
        <f t="shared" si="0"/>
        <v>43.902439024390247</v>
      </c>
      <c r="F4" s="18">
        <f t="shared" si="1"/>
        <v>0.70477682067345337</v>
      </c>
      <c r="G4" s="17">
        <v>35</v>
      </c>
      <c r="H4" s="16">
        <v>37</v>
      </c>
      <c r="I4" s="19">
        <f t="shared" si="2"/>
        <v>94.594594594594597</v>
      </c>
      <c r="J4" s="19">
        <f t="shared" si="3"/>
        <v>1.6794625719769676</v>
      </c>
      <c r="K4" s="17">
        <v>2554</v>
      </c>
      <c r="L4" s="17">
        <v>2769</v>
      </c>
      <c r="M4" s="18">
        <f t="shared" si="4"/>
        <v>92.235464066449978</v>
      </c>
      <c r="N4" s="17">
        <v>2084</v>
      </c>
      <c r="O4" s="17">
        <v>2164</v>
      </c>
      <c r="P4" s="18">
        <f t="shared" si="5"/>
        <v>96.303142329020332</v>
      </c>
      <c r="Q4" s="20">
        <f t="shared" si="6"/>
        <v>0.47598219913287626</v>
      </c>
      <c r="R4" s="20">
        <f t="shared" si="7"/>
        <v>0.98225865020490744</v>
      </c>
      <c r="T4" s="15">
        <v>2</v>
      </c>
      <c r="U4" s="15" t="s">
        <v>28</v>
      </c>
      <c r="V4" s="15">
        <f t="shared" ref="V4:W4" si="20">SUM(C32:C118)</f>
        <v>5079</v>
      </c>
      <c r="W4" s="21">
        <f t="shared" si="20"/>
        <v>10728</v>
      </c>
      <c r="X4" s="18">
        <f t="shared" si="9"/>
        <v>47.343400447427292</v>
      </c>
      <c r="Y4" s="18">
        <f t="shared" si="10"/>
        <v>0.78855561886633685</v>
      </c>
      <c r="Z4" s="21">
        <f t="shared" ref="Z4:AA4" si="21">SUM(G32:G118)</f>
        <v>11483</v>
      </c>
      <c r="AA4" s="21">
        <f t="shared" si="21"/>
        <v>12868</v>
      </c>
      <c r="AB4" s="18">
        <f t="shared" si="12"/>
        <v>89.236866645943422</v>
      </c>
      <c r="AC4" s="18">
        <f t="shared" si="13"/>
        <v>1.646575000681114</v>
      </c>
      <c r="AD4" s="21">
        <f t="shared" ref="AD4:AE4" si="22">SUM(K32:K118)</f>
        <v>644089</v>
      </c>
      <c r="AE4" s="21">
        <f t="shared" si="22"/>
        <v>699109</v>
      </c>
      <c r="AF4" s="18">
        <f t="shared" si="15"/>
        <v>92.129982592127973</v>
      </c>
      <c r="AG4" s="21">
        <f t="shared" ref="AG4:AH4" si="23">SUM(N32:N118)</f>
        <v>672616</v>
      </c>
      <c r="AH4" s="21">
        <f t="shared" si="23"/>
        <v>697387</v>
      </c>
      <c r="AI4" s="18">
        <f t="shared" si="17"/>
        <v>96.44802670540173</v>
      </c>
      <c r="AJ4" s="20">
        <f t="shared" si="18"/>
        <v>0.51387614667228365</v>
      </c>
      <c r="AK4" s="20">
        <f t="shared" si="19"/>
        <v>0.92523268431935235</v>
      </c>
      <c r="AN4" s="22" t="s">
        <v>29</v>
      </c>
    </row>
    <row r="5" spans="1:56" ht="15.75" customHeight="1">
      <c r="A5" s="15">
        <v>10103</v>
      </c>
      <c r="B5" s="15" t="s">
        <v>30</v>
      </c>
      <c r="C5" s="16">
        <v>12</v>
      </c>
      <c r="D5" s="17">
        <v>31</v>
      </c>
      <c r="E5" s="18">
        <f t="shared" si="0"/>
        <v>38.70967741935484</v>
      </c>
      <c r="F5" s="18">
        <f t="shared" si="1"/>
        <v>0.28315243039169424</v>
      </c>
      <c r="G5" s="17">
        <v>74</v>
      </c>
      <c r="H5" s="16">
        <v>90</v>
      </c>
      <c r="I5" s="19">
        <f t="shared" si="2"/>
        <v>82.222222222222214</v>
      </c>
      <c r="J5" s="19">
        <f t="shared" si="3"/>
        <v>2.2967101179391682</v>
      </c>
      <c r="K5" s="17">
        <v>4238</v>
      </c>
      <c r="L5" s="17">
        <v>5511</v>
      </c>
      <c r="M5" s="18">
        <f t="shared" si="4"/>
        <v>76.900743966612225</v>
      </c>
      <c r="N5" s="17">
        <v>3222</v>
      </c>
      <c r="O5" s="17">
        <v>3871</v>
      </c>
      <c r="P5" s="18">
        <f t="shared" si="5"/>
        <v>83.234306380780168</v>
      </c>
      <c r="Q5" s="20">
        <f t="shared" si="6"/>
        <v>0.50337194964149257</v>
      </c>
      <c r="R5" s="20">
        <f t="shared" si="7"/>
        <v>0.98784054072694649</v>
      </c>
      <c r="T5" s="15">
        <v>3</v>
      </c>
      <c r="U5" s="15" t="s">
        <v>31</v>
      </c>
      <c r="V5" s="15">
        <f t="shared" ref="V5:W5" si="24">SUM(C119:C166)</f>
        <v>2220</v>
      </c>
      <c r="W5" s="21">
        <f t="shared" si="24"/>
        <v>4834</v>
      </c>
      <c r="X5" s="18">
        <f t="shared" si="9"/>
        <v>45.924700041373605</v>
      </c>
      <c r="Y5" s="18">
        <f t="shared" si="10"/>
        <v>0.50585031843505401</v>
      </c>
      <c r="Z5" s="21">
        <f t="shared" ref="Z5:AA5" si="25">SUM(G119:G166)</f>
        <v>7100</v>
      </c>
      <c r="AA5" s="21">
        <f t="shared" si="25"/>
        <v>8171</v>
      </c>
      <c r="AB5" s="18">
        <f t="shared" si="12"/>
        <v>86.892669195936847</v>
      </c>
      <c r="AC5" s="18">
        <f t="shared" si="13"/>
        <v>1.4376980631574685</v>
      </c>
      <c r="AD5" s="21">
        <f t="shared" ref="AD5:AE5" si="26">SUM(K119:K166)</f>
        <v>438865</v>
      </c>
      <c r="AE5" s="21">
        <f t="shared" si="26"/>
        <v>488476</v>
      </c>
      <c r="AF5" s="18">
        <f t="shared" si="15"/>
        <v>89.843718012758046</v>
      </c>
      <c r="AG5" s="21">
        <f t="shared" ref="AG5:AH5" si="27">SUM(N119:N166)</f>
        <v>472949</v>
      </c>
      <c r="AH5" s="21">
        <f t="shared" si="27"/>
        <v>493845</v>
      </c>
      <c r="AI5" s="18">
        <f t="shared" si="17"/>
        <v>95.768712855248111</v>
      </c>
      <c r="AJ5" s="20">
        <f t="shared" si="18"/>
        <v>0.51116206071138082</v>
      </c>
      <c r="AK5" s="20">
        <f t="shared" si="19"/>
        <v>0.90731791840277554</v>
      </c>
      <c r="AN5" s="22" t="s">
        <v>32</v>
      </c>
    </row>
    <row r="6" spans="1:56" ht="15.75" customHeight="1">
      <c r="A6" s="15">
        <v>10201</v>
      </c>
      <c r="B6" s="15" t="s">
        <v>33</v>
      </c>
      <c r="C6" s="16">
        <v>11</v>
      </c>
      <c r="D6" s="17">
        <v>24</v>
      </c>
      <c r="E6" s="18">
        <f t="shared" si="0"/>
        <v>45.833333333333329</v>
      </c>
      <c r="F6" s="18">
        <f t="shared" si="1"/>
        <v>0.39118065433854904</v>
      </c>
      <c r="G6" s="17">
        <v>32</v>
      </c>
      <c r="H6" s="16">
        <v>48</v>
      </c>
      <c r="I6" s="19">
        <f t="shared" si="2"/>
        <v>66.666666666666657</v>
      </c>
      <c r="J6" s="19">
        <f t="shared" si="3"/>
        <v>1.8604651162790697</v>
      </c>
      <c r="K6" s="17">
        <v>2812</v>
      </c>
      <c r="L6" s="17">
        <v>3655</v>
      </c>
      <c r="M6" s="18">
        <f t="shared" si="4"/>
        <v>76.935704514363891</v>
      </c>
      <c r="N6" s="17">
        <v>1720</v>
      </c>
      <c r="O6" s="17">
        <v>2139</v>
      </c>
      <c r="P6" s="18">
        <f t="shared" si="5"/>
        <v>80.411407199625998</v>
      </c>
      <c r="Q6" s="20">
        <f t="shared" si="6"/>
        <v>0.59573553816974856</v>
      </c>
      <c r="R6" s="20">
        <f t="shared" si="7"/>
        <v>0.82906976744186034</v>
      </c>
      <c r="T6" s="15">
        <v>4</v>
      </c>
      <c r="U6" s="15" t="s">
        <v>34</v>
      </c>
      <c r="V6" s="15">
        <f t="shared" ref="V6:W6" si="28">SUM(C167:C201)</f>
        <v>651</v>
      </c>
      <c r="W6" s="21">
        <f t="shared" si="28"/>
        <v>1303</v>
      </c>
      <c r="X6" s="18">
        <f t="shared" si="9"/>
        <v>49.961627014581737</v>
      </c>
      <c r="Y6" s="18">
        <f t="shared" si="10"/>
        <v>0.55821850267104545</v>
      </c>
      <c r="Z6" s="21">
        <f t="shared" ref="Z6:AA6" si="29">SUM(G167:G201)</f>
        <v>2236</v>
      </c>
      <c r="AA6" s="21">
        <f t="shared" si="29"/>
        <v>2410</v>
      </c>
      <c r="AB6" s="18">
        <f t="shared" si="12"/>
        <v>92.780082987551864</v>
      </c>
      <c r="AC6" s="18">
        <f t="shared" si="13"/>
        <v>1.6077887152790262</v>
      </c>
      <c r="AD6" s="21">
        <f t="shared" ref="AD6:AE6" si="30">SUM(K167:K201)</f>
        <v>116621</v>
      </c>
      <c r="AE6" s="21">
        <f t="shared" si="30"/>
        <v>127325</v>
      </c>
      <c r="AF6" s="18">
        <f t="shared" si="15"/>
        <v>91.593167092087185</v>
      </c>
      <c r="AG6" s="21">
        <f t="shared" ref="AG6:AH6" si="31">SUM(N167:N201)</f>
        <v>134826</v>
      </c>
      <c r="AH6" s="21">
        <f t="shared" si="31"/>
        <v>139073</v>
      </c>
      <c r="AI6" s="18">
        <f t="shared" si="17"/>
        <v>96.946208106533987</v>
      </c>
      <c r="AJ6" s="20">
        <f t="shared" si="18"/>
        <v>0.54547329894544028</v>
      </c>
      <c r="AK6" s="20">
        <f t="shared" si="19"/>
        <v>0.95702642526870185</v>
      </c>
    </row>
    <row r="7" spans="1:56" ht="15.75" customHeight="1">
      <c r="A7" s="15">
        <v>10202</v>
      </c>
      <c r="B7" s="15" t="s">
        <v>35</v>
      </c>
      <c r="C7" s="16">
        <v>17</v>
      </c>
      <c r="D7" s="17">
        <v>40</v>
      </c>
      <c r="E7" s="18">
        <f t="shared" si="0"/>
        <v>42.5</v>
      </c>
      <c r="F7" s="18">
        <f t="shared" si="1"/>
        <v>0.40650406504065045</v>
      </c>
      <c r="G7" s="17">
        <v>43</v>
      </c>
      <c r="H7" s="16">
        <v>60</v>
      </c>
      <c r="I7" s="19">
        <f t="shared" si="2"/>
        <v>71.666666666666671</v>
      </c>
      <c r="J7" s="19">
        <f t="shared" si="3"/>
        <v>1.0983397190293742</v>
      </c>
      <c r="K7" s="17">
        <v>4182</v>
      </c>
      <c r="L7" s="17">
        <v>5081</v>
      </c>
      <c r="M7" s="18">
        <f t="shared" si="4"/>
        <v>82.306632552647116</v>
      </c>
      <c r="N7" s="17">
        <v>3915</v>
      </c>
      <c r="O7" s="17">
        <v>4395</v>
      </c>
      <c r="P7" s="18">
        <f t="shared" si="5"/>
        <v>89.078498293515366</v>
      </c>
      <c r="Q7" s="20">
        <f t="shared" si="6"/>
        <v>0.51636178861788617</v>
      </c>
      <c r="R7" s="20">
        <f t="shared" si="7"/>
        <v>0.80453384418901663</v>
      </c>
      <c r="T7" s="15">
        <v>5</v>
      </c>
      <c r="U7" s="15" t="s">
        <v>36</v>
      </c>
      <c r="V7" s="15">
        <f t="shared" ref="V7:W7" si="32">SUM(C202:C243)</f>
        <v>1079</v>
      </c>
      <c r="W7" s="21">
        <f t="shared" si="32"/>
        <v>2223</v>
      </c>
      <c r="X7" s="18">
        <f t="shared" si="9"/>
        <v>48.538011695906427</v>
      </c>
      <c r="Y7" s="18">
        <f t="shared" si="10"/>
        <v>0.47057694739917921</v>
      </c>
      <c r="Z7" s="21">
        <f t="shared" ref="Z7:AA7" si="33">SUM(G202:G243)</f>
        <v>3343</v>
      </c>
      <c r="AA7" s="21">
        <f t="shared" si="33"/>
        <v>3804</v>
      </c>
      <c r="AB7" s="18">
        <f t="shared" si="12"/>
        <v>87.88117770767613</v>
      </c>
      <c r="AC7" s="18">
        <f t="shared" si="13"/>
        <v>1.4957360560531896</v>
      </c>
      <c r="AD7" s="21">
        <f t="shared" ref="AD7:AE7" si="34">SUM(K202:K243)</f>
        <v>229293</v>
      </c>
      <c r="AE7" s="21">
        <f t="shared" si="34"/>
        <v>257282</v>
      </c>
      <c r="AF7" s="18">
        <f t="shared" si="15"/>
        <v>89.121275487597259</v>
      </c>
      <c r="AG7" s="21">
        <f t="shared" ref="AG7:AH7" si="35">SUM(N202:N243)</f>
        <v>211312</v>
      </c>
      <c r="AH7" s="21">
        <f t="shared" si="35"/>
        <v>223502</v>
      </c>
      <c r="AI7" s="18">
        <f t="shared" si="17"/>
        <v>94.545910103712714</v>
      </c>
      <c r="AJ7" s="20">
        <f t="shared" si="18"/>
        <v>0.54462878173979135</v>
      </c>
      <c r="AK7" s="20">
        <f t="shared" si="19"/>
        <v>0.9295079777779317</v>
      </c>
    </row>
    <row r="8" spans="1:56" ht="15.75" customHeight="1">
      <c r="A8" s="15">
        <v>10301</v>
      </c>
      <c r="B8" s="15" t="s">
        <v>37</v>
      </c>
      <c r="C8" s="16">
        <v>7</v>
      </c>
      <c r="D8" s="17">
        <v>20</v>
      </c>
      <c r="E8" s="18">
        <f t="shared" si="0"/>
        <v>35</v>
      </c>
      <c r="F8" s="18">
        <f t="shared" si="1"/>
        <v>0.2857142857142857</v>
      </c>
      <c r="G8" s="17">
        <v>36</v>
      </c>
      <c r="H8" s="16">
        <v>46</v>
      </c>
      <c r="I8" s="19">
        <f t="shared" si="2"/>
        <v>78.260869565217391</v>
      </c>
      <c r="J8" s="19">
        <f t="shared" si="3"/>
        <v>1.2829650748396295</v>
      </c>
      <c r="K8" s="17">
        <v>2450</v>
      </c>
      <c r="L8" s="17">
        <v>3050</v>
      </c>
      <c r="M8" s="18">
        <f t="shared" si="4"/>
        <v>80.327868852459019</v>
      </c>
      <c r="N8" s="17">
        <v>2806</v>
      </c>
      <c r="O8" s="17">
        <v>3173</v>
      </c>
      <c r="P8" s="18">
        <f t="shared" si="5"/>
        <v>88.433658997793884</v>
      </c>
      <c r="Q8" s="20">
        <f t="shared" si="6"/>
        <v>0.43571428571428572</v>
      </c>
      <c r="R8" s="20">
        <f t="shared" si="7"/>
        <v>0.88496699618829222</v>
      </c>
      <c r="T8" s="15">
        <v>6</v>
      </c>
      <c r="U8" s="15" t="s">
        <v>38</v>
      </c>
      <c r="V8" s="15">
        <f t="shared" ref="V8:W8" si="36">SUM(C244:C254)</f>
        <v>669</v>
      </c>
      <c r="W8" s="21">
        <f t="shared" si="36"/>
        <v>1638</v>
      </c>
      <c r="X8" s="18">
        <f t="shared" si="9"/>
        <v>40.842490842490839</v>
      </c>
      <c r="Y8" s="18">
        <f t="shared" si="10"/>
        <v>0.61299662806040167</v>
      </c>
      <c r="Z8" s="21">
        <f t="shared" ref="Z8:AA8" si="37">SUM(G244:G254)</f>
        <v>2569</v>
      </c>
      <c r="AA8" s="21">
        <f t="shared" si="37"/>
        <v>2932</v>
      </c>
      <c r="AB8" s="18">
        <f t="shared" si="12"/>
        <v>87.619372442019099</v>
      </c>
      <c r="AC8" s="18">
        <f t="shared" si="13"/>
        <v>2.0219749083067042</v>
      </c>
      <c r="AD8" s="21">
        <f t="shared" ref="AD8:AE8" si="38">SUM(K244:K254)</f>
        <v>109136</v>
      </c>
      <c r="AE8" s="21">
        <f t="shared" si="38"/>
        <v>123796</v>
      </c>
      <c r="AF8" s="18">
        <f t="shared" si="15"/>
        <v>88.157937251607493</v>
      </c>
      <c r="AG8" s="21">
        <f t="shared" ref="AG8:AH8" si="39">SUM(N244:N254)</f>
        <v>120753</v>
      </c>
      <c r="AH8" s="21">
        <f t="shared" si="39"/>
        <v>127054</v>
      </c>
      <c r="AI8" s="18">
        <f t="shared" si="17"/>
        <v>95.040691359579384</v>
      </c>
      <c r="AJ8" s="20">
        <f t="shared" si="18"/>
        <v>0.46328773240149862</v>
      </c>
      <c r="AK8" s="20">
        <f t="shared" si="19"/>
        <v>0.9219142999551394</v>
      </c>
    </row>
    <row r="9" spans="1:56" ht="15.75" customHeight="1">
      <c r="A9" s="15">
        <v>10302</v>
      </c>
      <c r="B9" s="15" t="s">
        <v>39</v>
      </c>
      <c r="C9" s="16">
        <v>6</v>
      </c>
      <c r="D9" s="17">
        <v>20</v>
      </c>
      <c r="E9" s="18">
        <f t="shared" si="0"/>
        <v>30</v>
      </c>
      <c r="F9" s="18">
        <f t="shared" si="1"/>
        <v>0.2104524728165556</v>
      </c>
      <c r="G9" s="17">
        <v>17</v>
      </c>
      <c r="H9" s="16">
        <v>31</v>
      </c>
      <c r="I9" s="19">
        <f t="shared" si="2"/>
        <v>54.838709677419352</v>
      </c>
      <c r="J9" s="19">
        <f t="shared" si="3"/>
        <v>0.60326472675656495</v>
      </c>
      <c r="K9" s="17">
        <v>2851</v>
      </c>
      <c r="L9" s="17">
        <v>3649</v>
      </c>
      <c r="M9" s="18">
        <f t="shared" si="4"/>
        <v>78.130994793094004</v>
      </c>
      <c r="N9" s="17">
        <v>2818</v>
      </c>
      <c r="O9" s="17">
        <v>3279</v>
      </c>
      <c r="P9" s="18">
        <f t="shared" si="5"/>
        <v>85.940835620616042</v>
      </c>
      <c r="Q9" s="20">
        <f t="shared" si="6"/>
        <v>0.38397053665380565</v>
      </c>
      <c r="R9" s="20">
        <f t="shared" si="7"/>
        <v>0.63809839968863757</v>
      </c>
      <c r="T9" s="15">
        <v>7</v>
      </c>
      <c r="U9" s="15" t="s">
        <v>40</v>
      </c>
      <c r="V9" s="15">
        <f t="shared" ref="V9:W9" si="40">SUM(C255:C310)</f>
        <v>3175</v>
      </c>
      <c r="W9" s="21">
        <f t="shared" si="40"/>
        <v>7621</v>
      </c>
      <c r="X9" s="18">
        <f t="shared" si="9"/>
        <v>41.661199317674843</v>
      </c>
      <c r="Y9" s="18">
        <f t="shared" si="10"/>
        <v>0.48414815085903895</v>
      </c>
      <c r="Z9" s="21">
        <f t="shared" ref="Z9:AA9" si="41">SUM(G255:G310)</f>
        <v>9658</v>
      </c>
      <c r="AA9" s="21">
        <f t="shared" si="41"/>
        <v>11945</v>
      </c>
      <c r="AB9" s="18">
        <f t="shared" si="12"/>
        <v>80.853913771452497</v>
      </c>
      <c r="AC9" s="18">
        <f t="shared" si="13"/>
        <v>1.2120953511662873</v>
      </c>
      <c r="AD9" s="21">
        <f t="shared" ref="AD9:AE9" si="42">SUM(K255:K310)</f>
        <v>655791</v>
      </c>
      <c r="AE9" s="21">
        <f t="shared" si="42"/>
        <v>740724</v>
      </c>
      <c r="AF9" s="18">
        <f t="shared" si="15"/>
        <v>88.533785863560524</v>
      </c>
      <c r="AG9" s="21">
        <f t="shared" ref="AG9:AH9" si="43">SUM(N255:N310)</f>
        <v>738763</v>
      </c>
      <c r="AH9" s="21">
        <f t="shared" si="43"/>
        <v>796802</v>
      </c>
      <c r="AI9" s="18">
        <f t="shared" si="17"/>
        <v>92.71600723893765</v>
      </c>
      <c r="AJ9" s="20">
        <f t="shared" si="18"/>
        <v>0.47056837015734249</v>
      </c>
      <c r="AK9" s="20">
        <f t="shared" si="19"/>
        <v>0.87205991909341551</v>
      </c>
    </row>
    <row r="10" spans="1:56" ht="15.75" customHeight="1">
      <c r="A10" s="15">
        <v>10303</v>
      </c>
      <c r="B10" s="15" t="s">
        <v>41</v>
      </c>
      <c r="C10" s="16">
        <v>10</v>
      </c>
      <c r="D10" s="17">
        <v>26</v>
      </c>
      <c r="E10" s="18">
        <f t="shared" si="0"/>
        <v>38.461538461538467</v>
      </c>
      <c r="F10" s="18">
        <f t="shared" si="1"/>
        <v>0.45724737082761779</v>
      </c>
      <c r="G10" s="17">
        <v>22</v>
      </c>
      <c r="H10" s="16">
        <v>27</v>
      </c>
      <c r="I10" s="19">
        <f t="shared" si="2"/>
        <v>81.481481481481481</v>
      </c>
      <c r="J10" s="19">
        <f t="shared" si="3"/>
        <v>1.0496183206106871</v>
      </c>
      <c r="K10" s="17">
        <v>2187</v>
      </c>
      <c r="L10" s="17">
        <v>2594</v>
      </c>
      <c r="M10" s="18">
        <f t="shared" si="4"/>
        <v>84.309946029298374</v>
      </c>
      <c r="N10" s="17">
        <v>2096</v>
      </c>
      <c r="O10" s="17">
        <v>2237</v>
      </c>
      <c r="P10" s="18">
        <f t="shared" si="5"/>
        <v>93.696915511846228</v>
      </c>
      <c r="Q10" s="20">
        <f t="shared" si="6"/>
        <v>0.45619218458724642</v>
      </c>
      <c r="R10" s="20">
        <f t="shared" si="7"/>
        <v>0.8696282160022617</v>
      </c>
      <c r="T10" s="15">
        <v>8</v>
      </c>
      <c r="U10" s="15" t="s">
        <v>42</v>
      </c>
      <c r="V10" s="15">
        <f t="shared" ref="V10:W10" si="44">SUM(C311:C330)</f>
        <v>508</v>
      </c>
      <c r="W10" s="21">
        <f t="shared" si="44"/>
        <v>1173</v>
      </c>
      <c r="X10" s="18">
        <f t="shared" si="9"/>
        <v>43.307757885762996</v>
      </c>
      <c r="Y10" s="18">
        <f t="shared" si="10"/>
        <v>0.43617505387792255</v>
      </c>
      <c r="Z10" s="21">
        <f t="shared" ref="Z10:AA10" si="45">SUM(G311:G330)</f>
        <v>1577</v>
      </c>
      <c r="AA10" s="15">
        <f t="shared" si="45"/>
        <v>1932</v>
      </c>
      <c r="AB10" s="18">
        <f t="shared" si="12"/>
        <v>81.625258799171846</v>
      </c>
      <c r="AC10" s="18">
        <f t="shared" si="13"/>
        <v>1.0922792411533693</v>
      </c>
      <c r="AD10" s="21">
        <f t="shared" ref="AD10:AE10" si="46">SUM(K311:K330)</f>
        <v>116467</v>
      </c>
      <c r="AE10" s="21">
        <f t="shared" si="46"/>
        <v>133555</v>
      </c>
      <c r="AF10" s="18">
        <f t="shared" si="15"/>
        <v>87.205271236569203</v>
      </c>
      <c r="AG10" s="21">
        <f t="shared" ref="AG10:AH10" si="47">SUM(N311:N330)</f>
        <v>131782</v>
      </c>
      <c r="AH10" s="21">
        <f t="shared" si="47"/>
        <v>144377</v>
      </c>
      <c r="AI10" s="18">
        <f t="shared" si="17"/>
        <v>91.276311323825823</v>
      </c>
      <c r="AJ10" s="20">
        <f t="shared" si="18"/>
        <v>0.49661857903381018</v>
      </c>
      <c r="AK10" s="20">
        <f t="shared" si="19"/>
        <v>0.89426552864943865</v>
      </c>
    </row>
    <row r="11" spans="1:56" ht="15.75" customHeight="1">
      <c r="A11" s="15">
        <v>10304</v>
      </c>
      <c r="B11" s="15" t="s">
        <v>43</v>
      </c>
      <c r="C11" s="16">
        <v>7</v>
      </c>
      <c r="D11" s="17">
        <v>26</v>
      </c>
      <c r="E11" s="18">
        <f t="shared" si="0"/>
        <v>26.923076923076923</v>
      </c>
      <c r="F11" s="18">
        <f t="shared" si="1"/>
        <v>0.32879286049788631</v>
      </c>
      <c r="G11" s="17">
        <v>23</v>
      </c>
      <c r="H11" s="16">
        <v>33</v>
      </c>
      <c r="I11" s="19">
        <f t="shared" si="2"/>
        <v>69.696969696969703</v>
      </c>
      <c r="J11" s="19">
        <f t="shared" si="3"/>
        <v>1.2092534174553102</v>
      </c>
      <c r="K11" s="17">
        <v>2129</v>
      </c>
      <c r="L11" s="17">
        <v>2667</v>
      </c>
      <c r="M11" s="18">
        <f t="shared" si="4"/>
        <v>79.827521559805021</v>
      </c>
      <c r="N11" s="17">
        <v>1902</v>
      </c>
      <c r="O11" s="17">
        <v>2219</v>
      </c>
      <c r="P11" s="18">
        <f t="shared" si="5"/>
        <v>85.714285714285708</v>
      </c>
      <c r="Q11" s="20">
        <f t="shared" si="6"/>
        <v>0.33726559959533187</v>
      </c>
      <c r="R11" s="20">
        <f t="shared" si="7"/>
        <v>0.81313131313131326</v>
      </c>
      <c r="T11" s="15">
        <v>9</v>
      </c>
      <c r="U11" s="15" t="s">
        <v>44</v>
      </c>
      <c r="V11" s="15">
        <f t="shared" ref="V11:W11" si="48">SUM(C331:C345)</f>
        <v>155</v>
      </c>
      <c r="W11" s="21">
        <f t="shared" si="48"/>
        <v>364</v>
      </c>
      <c r="X11" s="18">
        <f t="shared" si="9"/>
        <v>42.582417582417584</v>
      </c>
      <c r="Y11" s="18">
        <f t="shared" si="10"/>
        <v>0.53813838836232342</v>
      </c>
      <c r="Z11" s="21">
        <f t="shared" ref="Z11:AA11" si="49">SUM(G331:G345)</f>
        <v>517</v>
      </c>
      <c r="AA11" s="15">
        <f t="shared" si="49"/>
        <v>600</v>
      </c>
      <c r="AB11" s="18">
        <f t="shared" si="12"/>
        <v>86.166666666666671</v>
      </c>
      <c r="AC11" s="18">
        <f t="shared" si="13"/>
        <v>1.3434503547020762</v>
      </c>
      <c r="AD11" s="21">
        <f t="shared" ref="AD11:AE11" si="50">SUM(K331:K345)</f>
        <v>28803</v>
      </c>
      <c r="AE11" s="21">
        <f t="shared" si="50"/>
        <v>32840</v>
      </c>
      <c r="AF11" s="18">
        <f t="shared" si="15"/>
        <v>87.707064555420217</v>
      </c>
      <c r="AG11" s="21">
        <f t="shared" ref="AG11:AH11" si="51">SUM(N331:N345)</f>
        <v>36011</v>
      </c>
      <c r="AH11" s="21">
        <f t="shared" si="51"/>
        <v>38483</v>
      </c>
      <c r="AI11" s="18">
        <f t="shared" si="17"/>
        <v>93.576384377517343</v>
      </c>
      <c r="AJ11" s="20">
        <f t="shared" si="18"/>
        <v>0.48550727125875548</v>
      </c>
      <c r="AK11" s="20">
        <f t="shared" si="19"/>
        <v>0.92081637092369928</v>
      </c>
    </row>
    <row r="12" spans="1:56" ht="15.75" customHeight="1">
      <c r="A12" s="15">
        <v>10401</v>
      </c>
      <c r="B12" s="15" t="s">
        <v>45</v>
      </c>
      <c r="C12" s="16">
        <v>14</v>
      </c>
      <c r="D12" s="17">
        <v>37</v>
      </c>
      <c r="E12" s="18">
        <f t="shared" si="0"/>
        <v>37.837837837837839</v>
      </c>
      <c r="F12" s="18">
        <f t="shared" si="1"/>
        <v>0.60292850990525415</v>
      </c>
      <c r="G12" s="17">
        <v>21</v>
      </c>
      <c r="H12" s="16">
        <v>26</v>
      </c>
      <c r="I12" s="19">
        <f t="shared" si="2"/>
        <v>80.769230769230774</v>
      </c>
      <c r="J12" s="19">
        <f t="shared" si="3"/>
        <v>1.1595803423522915</v>
      </c>
      <c r="K12" s="17">
        <v>2322</v>
      </c>
      <c r="L12" s="17">
        <v>2962</v>
      </c>
      <c r="M12" s="18">
        <f t="shared" si="4"/>
        <v>78.392977717758271</v>
      </c>
      <c r="N12" s="17">
        <v>1811</v>
      </c>
      <c r="O12" s="17">
        <v>1990</v>
      </c>
      <c r="P12" s="18">
        <f t="shared" si="5"/>
        <v>91.005025125628137</v>
      </c>
      <c r="Q12" s="20">
        <f t="shared" si="6"/>
        <v>0.48266871522685478</v>
      </c>
      <c r="R12" s="20">
        <f t="shared" si="7"/>
        <v>0.88752495433886935</v>
      </c>
      <c r="T12" s="15">
        <v>11</v>
      </c>
      <c r="U12" s="15" t="s">
        <v>46</v>
      </c>
      <c r="V12" s="15">
        <f t="shared" ref="V12:W12" si="52">SUM(V3:V11)</f>
        <v>14423</v>
      </c>
      <c r="W12" s="21">
        <f t="shared" si="52"/>
        <v>31873</v>
      </c>
      <c r="X12" s="18">
        <f t="shared" si="9"/>
        <v>45.251466758698584</v>
      </c>
      <c r="Y12" s="18">
        <f t="shared" si="10"/>
        <v>0.58078126617000458</v>
      </c>
      <c r="Z12" s="21">
        <f t="shared" ref="Z12:AA12" si="53">SUM(Z3:Z11)</f>
        <v>41036</v>
      </c>
      <c r="AA12" s="21">
        <f t="shared" si="53"/>
        <v>47652</v>
      </c>
      <c r="AB12" s="18">
        <f t="shared" si="12"/>
        <v>86.116007722655922</v>
      </c>
      <c r="AC12" s="18">
        <f t="shared" si="13"/>
        <v>1.4608154309042418</v>
      </c>
      <c r="AD12" s="21">
        <f t="shared" ref="AD12:AE12" si="54">SUM(AD3:AD11)</f>
        <v>2483379</v>
      </c>
      <c r="AE12" s="21">
        <f t="shared" si="54"/>
        <v>2772356</v>
      </c>
      <c r="AF12" s="18">
        <f t="shared" si="15"/>
        <v>89.576482962505537</v>
      </c>
      <c r="AG12" s="21">
        <f t="shared" ref="AG12:AH12" si="55">SUM(AG3:AG11)</f>
        <v>2656677</v>
      </c>
      <c r="AH12" s="21">
        <f t="shared" si="55"/>
        <v>2809116</v>
      </c>
      <c r="AI12" s="18">
        <f t="shared" si="17"/>
        <v>94.573417402485333</v>
      </c>
      <c r="AJ12" s="20">
        <f t="shared" si="18"/>
        <v>0.50517128226210561</v>
      </c>
      <c r="AK12" s="20">
        <f t="shared" si="19"/>
        <v>0.91057307738139159</v>
      </c>
    </row>
    <row r="13" spans="1:56" ht="15.75" customHeight="1">
      <c r="A13" s="15">
        <v>10402</v>
      </c>
      <c r="B13" s="15" t="s">
        <v>47</v>
      </c>
      <c r="C13" s="16">
        <v>19</v>
      </c>
      <c r="D13" s="17">
        <v>36</v>
      </c>
      <c r="E13" s="18">
        <f t="shared" si="0"/>
        <v>52.777777777777779</v>
      </c>
      <c r="F13" s="18">
        <f t="shared" si="1"/>
        <v>0.91478093403948002</v>
      </c>
      <c r="G13" s="17">
        <v>24</v>
      </c>
      <c r="H13" s="16">
        <v>29</v>
      </c>
      <c r="I13" s="19">
        <f t="shared" si="2"/>
        <v>82.758620689655174</v>
      </c>
      <c r="J13" s="19">
        <f t="shared" si="3"/>
        <v>1.2987012987012987</v>
      </c>
      <c r="K13" s="17">
        <v>2077</v>
      </c>
      <c r="L13" s="17">
        <v>2579</v>
      </c>
      <c r="M13" s="18">
        <f t="shared" si="4"/>
        <v>80.535091120589371</v>
      </c>
      <c r="N13" s="17">
        <v>1848</v>
      </c>
      <c r="O13" s="17">
        <v>2137</v>
      </c>
      <c r="P13" s="18">
        <f t="shared" si="5"/>
        <v>86.476368741226011</v>
      </c>
      <c r="Q13" s="20">
        <f t="shared" si="6"/>
        <v>0.65533889691328306</v>
      </c>
      <c r="R13" s="20">
        <f t="shared" si="7"/>
        <v>0.95700850873264676</v>
      </c>
      <c r="T13" s="15">
        <v>10</v>
      </c>
      <c r="U13" s="15" t="s">
        <v>48</v>
      </c>
      <c r="V13" s="15">
        <f t="shared" ref="V13:W13" si="56">SUM(C247:C249)</f>
        <v>193</v>
      </c>
      <c r="W13" s="21">
        <f t="shared" si="56"/>
        <v>440</v>
      </c>
      <c r="X13" s="18">
        <f t="shared" si="9"/>
        <v>43.863636363636367</v>
      </c>
      <c r="Y13" s="18">
        <f t="shared" si="10"/>
        <v>0.5356795914402287</v>
      </c>
      <c r="Z13" s="21">
        <f t="shared" ref="Z13:AA13" si="57">SUM(G247:G249)</f>
        <v>646</v>
      </c>
      <c r="AA13" s="15">
        <f t="shared" si="57"/>
        <v>767</v>
      </c>
      <c r="AB13" s="18">
        <f t="shared" si="12"/>
        <v>84.224250325945235</v>
      </c>
      <c r="AC13" s="18">
        <f t="shared" si="13"/>
        <v>1.5642782768724119</v>
      </c>
      <c r="AD13" s="21">
        <f t="shared" ref="AD13:AE13" si="58">SUM(K247:K249)</f>
        <v>36029</v>
      </c>
      <c r="AE13" s="21">
        <f t="shared" si="58"/>
        <v>41025</v>
      </c>
      <c r="AF13" s="18">
        <f t="shared" si="15"/>
        <v>87.822059719683125</v>
      </c>
      <c r="AG13" s="21">
        <f t="shared" ref="AG13:AH13" si="59">SUM(N247:N249)</f>
        <v>38569</v>
      </c>
      <c r="AH13" s="21">
        <f t="shared" si="59"/>
        <v>41297</v>
      </c>
      <c r="AI13" s="18">
        <f t="shared" si="17"/>
        <v>93.394193282805048</v>
      </c>
      <c r="AJ13" s="20">
        <f t="shared" si="18"/>
        <v>0.49946034633716779</v>
      </c>
      <c r="AK13" s="20">
        <f t="shared" si="19"/>
        <v>0.90181463499457082</v>
      </c>
    </row>
    <row r="14" spans="1:56" ht="15.75" customHeight="1">
      <c r="A14" s="15">
        <v>10403</v>
      </c>
      <c r="B14" s="15" t="s">
        <v>49</v>
      </c>
      <c r="C14" s="16">
        <v>9</v>
      </c>
      <c r="D14" s="17">
        <v>23</v>
      </c>
      <c r="E14" s="18">
        <f t="shared" si="0"/>
        <v>39.130434782608695</v>
      </c>
      <c r="F14" s="18">
        <f t="shared" si="1"/>
        <v>0.51399200456881777</v>
      </c>
      <c r="G14" s="17">
        <v>21</v>
      </c>
      <c r="H14" s="16">
        <v>24</v>
      </c>
      <c r="I14" s="19">
        <f t="shared" si="2"/>
        <v>87.5</v>
      </c>
      <c r="J14" s="19">
        <f t="shared" si="3"/>
        <v>1.4613778705636742</v>
      </c>
      <c r="K14" s="17">
        <v>1751</v>
      </c>
      <c r="L14" s="17">
        <v>2258</v>
      </c>
      <c r="M14" s="18">
        <f t="shared" si="4"/>
        <v>77.546501328609381</v>
      </c>
      <c r="N14" s="17">
        <v>1437</v>
      </c>
      <c r="O14" s="17">
        <v>1706</v>
      </c>
      <c r="P14" s="18">
        <f t="shared" si="5"/>
        <v>84.232121922626021</v>
      </c>
      <c r="Q14" s="20">
        <f t="shared" si="6"/>
        <v>0.50460606361582205</v>
      </c>
      <c r="R14" s="20">
        <f t="shared" si="7"/>
        <v>1.0387961029923451</v>
      </c>
    </row>
    <row r="15" spans="1:56" ht="15.75" customHeight="1">
      <c r="A15" s="15">
        <v>10404</v>
      </c>
      <c r="B15" s="15" t="s">
        <v>50</v>
      </c>
      <c r="C15" s="16">
        <v>7</v>
      </c>
      <c r="D15" s="17">
        <v>20</v>
      </c>
      <c r="E15" s="18">
        <f t="shared" si="0"/>
        <v>35</v>
      </c>
      <c r="F15" s="18">
        <f t="shared" si="1"/>
        <v>0.62611806797853309</v>
      </c>
      <c r="G15" s="17">
        <v>6</v>
      </c>
      <c r="H15" s="16">
        <v>10</v>
      </c>
      <c r="I15" s="19">
        <f t="shared" si="2"/>
        <v>60</v>
      </c>
      <c r="J15" s="19">
        <f t="shared" si="3"/>
        <v>0.81521739130434778</v>
      </c>
      <c r="K15" s="17">
        <v>1118</v>
      </c>
      <c r="L15" s="17">
        <v>1293</v>
      </c>
      <c r="M15" s="18">
        <f t="shared" si="4"/>
        <v>86.465583913379746</v>
      </c>
      <c r="N15" s="16">
        <v>736</v>
      </c>
      <c r="O15" s="17">
        <v>804</v>
      </c>
      <c r="P15" s="18">
        <f t="shared" si="5"/>
        <v>91.542288557213936</v>
      </c>
      <c r="Q15" s="20">
        <f t="shared" si="6"/>
        <v>0.40478533094812158</v>
      </c>
      <c r="R15" s="20">
        <f t="shared" si="7"/>
        <v>0.65543478260869559</v>
      </c>
    </row>
    <row r="16" spans="1:56" ht="15.75" customHeight="1">
      <c r="A16" s="15">
        <v>10405</v>
      </c>
      <c r="B16" s="15" t="s">
        <v>51</v>
      </c>
      <c r="C16" s="16">
        <v>11</v>
      </c>
      <c r="D16" s="17">
        <v>21</v>
      </c>
      <c r="E16" s="18">
        <f t="shared" si="0"/>
        <v>52.380952380952387</v>
      </c>
      <c r="F16" s="18">
        <f t="shared" si="1"/>
        <v>1.0009099181073704</v>
      </c>
      <c r="G16" s="17">
        <v>13</v>
      </c>
      <c r="H16" s="16">
        <v>20</v>
      </c>
      <c r="I16" s="19">
        <f t="shared" si="2"/>
        <v>65</v>
      </c>
      <c r="J16" s="19">
        <f t="shared" si="3"/>
        <v>1.0673234811165846</v>
      </c>
      <c r="K16" s="17">
        <v>1099</v>
      </c>
      <c r="L16" s="17">
        <v>1309</v>
      </c>
      <c r="M16" s="18">
        <f t="shared" si="4"/>
        <v>83.957219251336895</v>
      </c>
      <c r="N16" s="17">
        <v>1218</v>
      </c>
      <c r="O16" s="17">
        <v>1298</v>
      </c>
      <c r="P16" s="18">
        <f t="shared" si="5"/>
        <v>93.836671802773495</v>
      </c>
      <c r="Q16" s="20">
        <f t="shared" si="6"/>
        <v>0.62390051562026094</v>
      </c>
      <c r="R16" s="20">
        <f t="shared" si="7"/>
        <v>0.69269293924466335</v>
      </c>
    </row>
    <row r="17" spans="1:18" ht="15.75" customHeight="1">
      <c r="A17" s="15">
        <v>10501</v>
      </c>
      <c r="B17" s="15" t="s">
        <v>52</v>
      </c>
      <c r="C17" s="16">
        <v>53</v>
      </c>
      <c r="D17" s="17">
        <v>99</v>
      </c>
      <c r="E17" s="18">
        <f t="shared" si="0"/>
        <v>53.535353535353536</v>
      </c>
      <c r="F17" s="18">
        <f t="shared" si="1"/>
        <v>0.83124215809284807</v>
      </c>
      <c r="G17" s="17">
        <v>76</v>
      </c>
      <c r="H17" s="16">
        <v>93</v>
      </c>
      <c r="I17" s="19">
        <f t="shared" si="2"/>
        <v>81.72043010752688</v>
      </c>
      <c r="J17" s="19">
        <f t="shared" si="3"/>
        <v>1.3783097569822271</v>
      </c>
      <c r="K17" s="17">
        <v>6376</v>
      </c>
      <c r="L17" s="17">
        <v>7290</v>
      </c>
      <c r="M17" s="18">
        <f t="shared" si="4"/>
        <v>87.462277091906728</v>
      </c>
      <c r="N17" s="17">
        <v>5514</v>
      </c>
      <c r="O17" s="17">
        <v>5939</v>
      </c>
      <c r="P17" s="18">
        <f t="shared" si="5"/>
        <v>92.843913116686309</v>
      </c>
      <c r="Q17" s="20">
        <f t="shared" si="6"/>
        <v>0.6120964982320064</v>
      </c>
      <c r="R17" s="20">
        <f t="shared" si="7"/>
        <v>0.88019157491585442</v>
      </c>
    </row>
    <row r="18" spans="1:18" ht="15.75" customHeight="1">
      <c r="A18" s="15">
        <v>10502</v>
      </c>
      <c r="B18" s="15" t="s">
        <v>53</v>
      </c>
      <c r="C18" s="16">
        <v>17</v>
      </c>
      <c r="D18" s="17">
        <v>35</v>
      </c>
      <c r="E18" s="18">
        <f t="shared" si="0"/>
        <v>48.571428571428569</v>
      </c>
      <c r="F18" s="18">
        <f t="shared" si="1"/>
        <v>0.81691494473810666</v>
      </c>
      <c r="G18" s="17">
        <v>22</v>
      </c>
      <c r="H18" s="16">
        <v>25</v>
      </c>
      <c r="I18" s="19">
        <f t="shared" si="2"/>
        <v>88</v>
      </c>
      <c r="J18" s="19">
        <f t="shared" si="3"/>
        <v>1.3285024154589371</v>
      </c>
      <c r="K18" s="17">
        <v>2081</v>
      </c>
      <c r="L18" s="17">
        <v>2499</v>
      </c>
      <c r="M18" s="18">
        <f t="shared" si="4"/>
        <v>83.273309323729492</v>
      </c>
      <c r="N18" s="17">
        <v>1656</v>
      </c>
      <c r="O18" s="17">
        <v>1783</v>
      </c>
      <c r="P18" s="18">
        <f t="shared" si="5"/>
        <v>92.877173303421202</v>
      </c>
      <c r="Q18" s="20">
        <f t="shared" si="6"/>
        <v>0.58327727054300815</v>
      </c>
      <c r="R18" s="20">
        <f t="shared" si="7"/>
        <v>0.94748792270531401</v>
      </c>
    </row>
    <row r="19" spans="1:18" ht="15.75" customHeight="1">
      <c r="A19" s="15">
        <v>10601</v>
      </c>
      <c r="B19" s="15" t="s">
        <v>54</v>
      </c>
      <c r="C19" s="16">
        <v>24</v>
      </c>
      <c r="D19" s="17">
        <v>48</v>
      </c>
      <c r="E19" s="18">
        <f t="shared" si="0"/>
        <v>50</v>
      </c>
      <c r="F19" s="18">
        <f t="shared" si="1"/>
        <v>0.52015604681404426</v>
      </c>
      <c r="G19" s="17">
        <v>57</v>
      </c>
      <c r="H19" s="16">
        <v>71</v>
      </c>
      <c r="I19" s="19">
        <f t="shared" si="2"/>
        <v>80.281690140845072</v>
      </c>
      <c r="J19" s="19">
        <f t="shared" si="3"/>
        <v>2.0148462354188759</v>
      </c>
      <c r="K19" s="17">
        <v>4614</v>
      </c>
      <c r="L19" s="17">
        <v>5630</v>
      </c>
      <c r="M19" s="18">
        <f t="shared" si="4"/>
        <v>81.953818827708702</v>
      </c>
      <c r="N19" s="17">
        <v>2829</v>
      </c>
      <c r="O19" s="17">
        <v>3198</v>
      </c>
      <c r="P19" s="18">
        <f t="shared" si="5"/>
        <v>88.461538461538453</v>
      </c>
      <c r="Q19" s="20">
        <f t="shared" si="6"/>
        <v>0.61009969657563934</v>
      </c>
      <c r="R19" s="20">
        <f t="shared" si="7"/>
        <v>0.90753214941824878</v>
      </c>
    </row>
    <row r="20" spans="1:18" ht="15.75" customHeight="1">
      <c r="A20" s="15">
        <v>10602</v>
      </c>
      <c r="B20" s="15" t="s">
        <v>55</v>
      </c>
      <c r="C20" s="16">
        <v>6</v>
      </c>
      <c r="D20" s="17">
        <v>17</v>
      </c>
      <c r="E20" s="18">
        <f t="shared" si="0"/>
        <v>35.294117647058826</v>
      </c>
      <c r="F20" s="18">
        <f t="shared" si="1"/>
        <v>0.24410089503661514</v>
      </c>
      <c r="G20" s="17">
        <v>11</v>
      </c>
      <c r="H20" s="16">
        <v>20</v>
      </c>
      <c r="I20" s="19">
        <f t="shared" si="2"/>
        <v>55.000000000000007</v>
      </c>
      <c r="J20" s="19">
        <f t="shared" si="3"/>
        <v>0.68027210884353739</v>
      </c>
      <c r="K20" s="17">
        <v>2458</v>
      </c>
      <c r="L20" s="17">
        <v>2858</v>
      </c>
      <c r="M20" s="18">
        <f t="shared" si="4"/>
        <v>86.004198740377888</v>
      </c>
      <c r="N20" s="17">
        <v>1617</v>
      </c>
      <c r="O20" s="17">
        <v>1761</v>
      </c>
      <c r="P20" s="18">
        <f t="shared" si="5"/>
        <v>91.82282793867121</v>
      </c>
      <c r="Q20" s="20">
        <f t="shared" si="6"/>
        <v>0.41037668118508591</v>
      </c>
      <c r="R20" s="20">
        <f t="shared" si="7"/>
        <v>0.59897959183673477</v>
      </c>
    </row>
    <row r="21" spans="1:18" ht="15.75" customHeight="1">
      <c r="A21" s="15">
        <v>10701</v>
      </c>
      <c r="B21" s="15" t="s">
        <v>56</v>
      </c>
      <c r="C21" s="16">
        <v>17</v>
      </c>
      <c r="D21" s="17">
        <v>51</v>
      </c>
      <c r="E21" s="18">
        <f t="shared" si="0"/>
        <v>33.333333333333329</v>
      </c>
      <c r="F21" s="18">
        <f t="shared" si="1"/>
        <v>0.44866719451042492</v>
      </c>
      <c r="G21" s="17">
        <v>57</v>
      </c>
      <c r="H21" s="16">
        <v>66</v>
      </c>
      <c r="I21" s="19">
        <f t="shared" si="2"/>
        <v>86.36363636363636</v>
      </c>
      <c r="J21" s="19">
        <f t="shared" si="3"/>
        <v>1.7356881851400732</v>
      </c>
      <c r="K21" s="17">
        <v>3789</v>
      </c>
      <c r="L21" s="17">
        <v>4732</v>
      </c>
      <c r="M21" s="18">
        <f t="shared" si="4"/>
        <v>80.071851225697372</v>
      </c>
      <c r="N21" s="17">
        <v>3284</v>
      </c>
      <c r="O21" s="17">
        <v>3642</v>
      </c>
      <c r="P21" s="18">
        <f t="shared" si="5"/>
        <v>90.170236133992304</v>
      </c>
      <c r="Q21" s="20">
        <f t="shared" si="6"/>
        <v>0.41629277733790798</v>
      </c>
      <c r="R21" s="20">
        <f t="shared" si="7"/>
        <v>0.95778429852729496</v>
      </c>
    </row>
    <row r="22" spans="1:18" ht="15.75" customHeight="1">
      <c r="A22" s="15">
        <v>10702</v>
      </c>
      <c r="B22" s="15" t="s">
        <v>57</v>
      </c>
      <c r="C22" s="16">
        <v>34</v>
      </c>
      <c r="D22" s="17">
        <v>72</v>
      </c>
      <c r="E22" s="18">
        <f t="shared" si="0"/>
        <v>47.222222222222221</v>
      </c>
      <c r="F22" s="18">
        <f t="shared" si="1"/>
        <v>0.38897151355680126</v>
      </c>
      <c r="G22" s="17">
        <v>71</v>
      </c>
      <c r="H22" s="16">
        <v>115</v>
      </c>
      <c r="I22" s="19">
        <f t="shared" si="2"/>
        <v>61.739130434782609</v>
      </c>
      <c r="J22" s="19">
        <f t="shared" si="3"/>
        <v>1.0573343261355175</v>
      </c>
      <c r="K22" s="17">
        <v>8741</v>
      </c>
      <c r="L22" s="17">
        <v>10919</v>
      </c>
      <c r="M22" s="18">
        <f t="shared" si="4"/>
        <v>80.053118417437503</v>
      </c>
      <c r="N22" s="17">
        <v>6715</v>
      </c>
      <c r="O22" s="17">
        <v>7739</v>
      </c>
      <c r="P22" s="18">
        <f t="shared" si="5"/>
        <v>86.768316319937981</v>
      </c>
      <c r="Q22" s="20">
        <f t="shared" si="6"/>
        <v>0.58988610507315453</v>
      </c>
      <c r="R22" s="20">
        <f t="shared" si="7"/>
        <v>0.71154003043154523</v>
      </c>
    </row>
    <row r="23" spans="1:18" ht="15.75" customHeight="1">
      <c r="A23" s="15">
        <v>10703</v>
      </c>
      <c r="B23" s="15" t="s">
        <v>58</v>
      </c>
      <c r="C23" s="16">
        <v>11</v>
      </c>
      <c r="D23" s="17">
        <v>31</v>
      </c>
      <c r="E23" s="18">
        <f t="shared" si="0"/>
        <v>35.483870967741936</v>
      </c>
      <c r="F23" s="18">
        <f t="shared" si="1"/>
        <v>0.34799114204365705</v>
      </c>
      <c r="G23" s="17">
        <v>24</v>
      </c>
      <c r="H23" s="16">
        <v>50</v>
      </c>
      <c r="I23" s="19">
        <f t="shared" si="2"/>
        <v>48</v>
      </c>
      <c r="J23" s="19">
        <f t="shared" si="3"/>
        <v>0.74464784362395287</v>
      </c>
      <c r="K23" s="17">
        <v>3161</v>
      </c>
      <c r="L23" s="17">
        <v>4333</v>
      </c>
      <c r="M23" s="18">
        <f t="shared" si="4"/>
        <v>72.951765520424644</v>
      </c>
      <c r="N23" s="17">
        <v>3223</v>
      </c>
      <c r="O23" s="17">
        <v>3913</v>
      </c>
      <c r="P23" s="18">
        <f t="shared" si="5"/>
        <v>82.366470738563763</v>
      </c>
      <c r="Q23" s="20">
        <f t="shared" si="6"/>
        <v>0.48640181241134395</v>
      </c>
      <c r="R23" s="20">
        <f t="shared" si="7"/>
        <v>0.58276140242010543</v>
      </c>
    </row>
    <row r="24" spans="1:18" ht="15.75" customHeight="1">
      <c r="A24" s="15">
        <v>10704</v>
      </c>
      <c r="B24" s="15" t="s">
        <v>59</v>
      </c>
      <c r="C24" s="16">
        <v>12</v>
      </c>
      <c r="D24" s="17">
        <v>40</v>
      </c>
      <c r="E24" s="18">
        <f t="shared" si="0"/>
        <v>30</v>
      </c>
      <c r="F24" s="18">
        <f t="shared" si="1"/>
        <v>0.31779661016949157</v>
      </c>
      <c r="G24" s="17">
        <v>44</v>
      </c>
      <c r="H24" s="16">
        <v>66</v>
      </c>
      <c r="I24" s="19">
        <f t="shared" si="2"/>
        <v>66.666666666666657</v>
      </c>
      <c r="J24" s="19">
        <f t="shared" si="3"/>
        <v>1.3386066321874048</v>
      </c>
      <c r="K24" s="17">
        <v>3776</v>
      </c>
      <c r="L24" s="17">
        <v>5199</v>
      </c>
      <c r="M24" s="18">
        <f t="shared" si="4"/>
        <v>72.629351798422775</v>
      </c>
      <c r="N24" s="17">
        <v>3287</v>
      </c>
      <c r="O24" s="17">
        <v>3936</v>
      </c>
      <c r="P24" s="18">
        <f t="shared" si="5"/>
        <v>83.511178861788622</v>
      </c>
      <c r="Q24" s="20">
        <f t="shared" si="6"/>
        <v>0.41305614406779662</v>
      </c>
      <c r="R24" s="20">
        <f t="shared" si="7"/>
        <v>0.79829631883176133</v>
      </c>
    </row>
    <row r="25" spans="1:18" ht="15.75" customHeight="1">
      <c r="A25" s="15">
        <v>10801</v>
      </c>
      <c r="B25" s="15" t="s">
        <v>60</v>
      </c>
      <c r="C25" s="16">
        <v>21</v>
      </c>
      <c r="D25" s="17">
        <v>46</v>
      </c>
      <c r="E25" s="18">
        <f t="shared" si="0"/>
        <v>45.652173913043477</v>
      </c>
      <c r="F25" s="18">
        <f t="shared" si="1"/>
        <v>0.77951002227171495</v>
      </c>
      <c r="G25" s="17">
        <v>47</v>
      </c>
      <c r="H25" s="16">
        <v>59</v>
      </c>
      <c r="I25" s="19">
        <f t="shared" si="2"/>
        <v>79.66101694915254</v>
      </c>
      <c r="J25" s="19">
        <f t="shared" si="3"/>
        <v>2.391857506361323</v>
      </c>
      <c r="K25" s="17">
        <v>2694</v>
      </c>
      <c r="L25" s="17">
        <v>3211</v>
      </c>
      <c r="M25" s="18">
        <f t="shared" si="4"/>
        <v>83.899096854562444</v>
      </c>
      <c r="N25" s="17">
        <v>1965</v>
      </c>
      <c r="O25" s="17">
        <v>2095</v>
      </c>
      <c r="P25" s="18">
        <f t="shared" si="5"/>
        <v>93.794749403341299</v>
      </c>
      <c r="Q25" s="20">
        <f t="shared" si="6"/>
        <v>0.54413188728575579</v>
      </c>
      <c r="R25" s="20">
        <f t="shared" si="7"/>
        <v>0.84931211454694433</v>
      </c>
    </row>
    <row r="26" spans="1:18" ht="15.75" customHeight="1">
      <c r="A26" s="15">
        <v>10901</v>
      </c>
      <c r="B26" s="15" t="s">
        <v>61</v>
      </c>
      <c r="C26" s="16">
        <v>2</v>
      </c>
      <c r="D26" s="17">
        <v>5</v>
      </c>
      <c r="E26" s="18">
        <f t="shared" si="0"/>
        <v>40</v>
      </c>
      <c r="F26" s="18">
        <f t="shared" si="1"/>
        <v>0.2635046113306983</v>
      </c>
      <c r="G26" s="16">
        <v>16</v>
      </c>
      <c r="H26" s="16">
        <v>19</v>
      </c>
      <c r="I26" s="19">
        <f t="shared" si="2"/>
        <v>84.210526315789465</v>
      </c>
      <c r="J26" s="19">
        <f t="shared" si="3"/>
        <v>1.4349775784753362</v>
      </c>
      <c r="K26" s="16">
        <v>759</v>
      </c>
      <c r="L26" s="17">
        <v>914</v>
      </c>
      <c r="M26" s="18">
        <f t="shared" si="4"/>
        <v>83.041575492341352</v>
      </c>
      <c r="N26" s="17">
        <v>1115</v>
      </c>
      <c r="O26" s="17">
        <v>1201</v>
      </c>
      <c r="P26" s="18">
        <f t="shared" si="5"/>
        <v>92.839300582847628</v>
      </c>
      <c r="Q26" s="20">
        <f t="shared" si="6"/>
        <v>0.4816864295125165</v>
      </c>
      <c r="R26" s="20">
        <f t="shared" si="7"/>
        <v>0.9070568798678309</v>
      </c>
    </row>
    <row r="27" spans="1:18" ht="15.75" customHeight="1">
      <c r="A27" s="15">
        <v>10902</v>
      </c>
      <c r="B27" s="15" t="s">
        <v>62</v>
      </c>
      <c r="C27" s="16">
        <v>22</v>
      </c>
      <c r="D27" s="17">
        <v>61</v>
      </c>
      <c r="E27" s="18">
        <f t="shared" si="0"/>
        <v>36.065573770491802</v>
      </c>
      <c r="F27" s="18">
        <f t="shared" si="1"/>
        <v>0.51874557887290729</v>
      </c>
      <c r="G27" s="17">
        <v>51</v>
      </c>
      <c r="H27" s="16">
        <v>75</v>
      </c>
      <c r="I27" s="19">
        <f t="shared" si="2"/>
        <v>68</v>
      </c>
      <c r="J27" s="19">
        <f t="shared" si="3"/>
        <v>1.6346153846153848</v>
      </c>
      <c r="K27" s="17">
        <v>4241</v>
      </c>
      <c r="L27" s="17">
        <v>5698</v>
      </c>
      <c r="M27" s="18">
        <f t="shared" si="4"/>
        <v>74.429624429624425</v>
      </c>
      <c r="N27" s="17">
        <v>3120</v>
      </c>
      <c r="O27" s="17">
        <v>3872</v>
      </c>
      <c r="P27" s="18">
        <f t="shared" si="5"/>
        <v>80.578512396694208</v>
      </c>
      <c r="Q27" s="20">
        <f t="shared" si="6"/>
        <v>0.48455939482259441</v>
      </c>
      <c r="R27" s="20">
        <f t="shared" si="7"/>
        <v>0.84389743589743593</v>
      </c>
    </row>
    <row r="28" spans="1:18" ht="15.75" customHeight="1">
      <c r="A28" s="15">
        <v>10903</v>
      </c>
      <c r="B28" s="15" t="s">
        <v>63</v>
      </c>
      <c r="C28" s="16">
        <v>2</v>
      </c>
      <c r="D28" s="17">
        <v>8</v>
      </c>
      <c r="E28" s="18">
        <f t="shared" si="0"/>
        <v>25</v>
      </c>
      <c r="F28" s="18">
        <f t="shared" si="1"/>
        <v>0.23923444976076555</v>
      </c>
      <c r="G28" s="17">
        <v>7</v>
      </c>
      <c r="H28" s="16">
        <v>9</v>
      </c>
      <c r="I28" s="19">
        <f t="shared" si="2"/>
        <v>77.777777777777786</v>
      </c>
      <c r="J28" s="19">
        <f t="shared" si="3"/>
        <v>0.77177508269018735</v>
      </c>
      <c r="K28" s="17">
        <v>836</v>
      </c>
      <c r="L28" s="17">
        <v>1034</v>
      </c>
      <c r="M28" s="18">
        <f t="shared" si="4"/>
        <v>80.851063829787222</v>
      </c>
      <c r="N28" s="17">
        <v>907</v>
      </c>
      <c r="O28" s="17">
        <v>992</v>
      </c>
      <c r="P28" s="18">
        <f t="shared" si="5"/>
        <v>91.431451612903231</v>
      </c>
      <c r="Q28" s="20">
        <f t="shared" si="6"/>
        <v>0.30921052631578955</v>
      </c>
      <c r="R28" s="20">
        <f t="shared" si="7"/>
        <v>0.85066764669851769</v>
      </c>
    </row>
    <row r="29" spans="1:18" ht="14.4">
      <c r="A29" s="15">
        <v>11001</v>
      </c>
      <c r="B29" s="15" t="s">
        <v>64</v>
      </c>
      <c r="C29" s="16">
        <v>13</v>
      </c>
      <c r="D29" s="17">
        <v>34</v>
      </c>
      <c r="E29" s="18">
        <f t="shared" si="0"/>
        <v>38.235294117647058</v>
      </c>
      <c r="F29" s="18">
        <f t="shared" si="1"/>
        <v>0.55342699020859942</v>
      </c>
      <c r="G29" s="17">
        <v>41</v>
      </c>
      <c r="H29" s="16">
        <v>52</v>
      </c>
      <c r="I29" s="19">
        <f t="shared" si="2"/>
        <v>78.84615384615384</v>
      </c>
      <c r="J29" s="19">
        <f t="shared" si="3"/>
        <v>1.2349397590361446</v>
      </c>
      <c r="K29" s="17">
        <v>2349</v>
      </c>
      <c r="L29" s="17">
        <v>2872</v>
      </c>
      <c r="M29" s="18">
        <f t="shared" si="4"/>
        <v>81.789693593314766</v>
      </c>
      <c r="N29" s="17">
        <v>3320</v>
      </c>
      <c r="O29" s="17">
        <v>3714</v>
      </c>
      <c r="P29" s="18">
        <f t="shared" si="5"/>
        <v>89.391491653204085</v>
      </c>
      <c r="Q29" s="20">
        <f t="shared" si="6"/>
        <v>0.46748303408208747</v>
      </c>
      <c r="R29" s="20">
        <f t="shared" si="7"/>
        <v>0.8820319740500463</v>
      </c>
    </row>
    <row r="30" spans="1:18" ht="14.4">
      <c r="A30" s="15">
        <v>11002</v>
      </c>
      <c r="B30" s="15" t="s">
        <v>65</v>
      </c>
      <c r="C30" s="16">
        <v>2</v>
      </c>
      <c r="D30" s="17">
        <v>7</v>
      </c>
      <c r="E30" s="18">
        <f t="shared" si="0"/>
        <v>28.571428571428569</v>
      </c>
      <c r="F30" s="18">
        <f t="shared" si="1"/>
        <v>0.27137042062415195</v>
      </c>
      <c r="G30" s="16">
        <v>9</v>
      </c>
      <c r="H30" s="16">
        <v>11</v>
      </c>
      <c r="I30" s="19">
        <f t="shared" si="2"/>
        <v>81.818181818181827</v>
      </c>
      <c r="J30" s="19">
        <f t="shared" si="3"/>
        <v>1.2622720897615709</v>
      </c>
      <c r="K30" s="16">
        <v>737</v>
      </c>
      <c r="L30" s="17">
        <v>821</v>
      </c>
      <c r="M30" s="18">
        <f t="shared" si="4"/>
        <v>89.768574908647992</v>
      </c>
      <c r="N30" s="16">
        <v>713</v>
      </c>
      <c r="O30" s="17">
        <v>745</v>
      </c>
      <c r="P30" s="18">
        <f t="shared" si="5"/>
        <v>95.704697986577187</v>
      </c>
      <c r="Q30" s="20">
        <f t="shared" si="6"/>
        <v>0.3182787361891839</v>
      </c>
      <c r="R30" s="20">
        <f t="shared" si="7"/>
        <v>0.85490246079306387</v>
      </c>
    </row>
    <row r="31" spans="1:18" ht="14.4">
      <c r="A31" s="15">
        <v>11003</v>
      </c>
      <c r="B31" s="15" t="s">
        <v>66</v>
      </c>
      <c r="C31" s="16">
        <v>14</v>
      </c>
      <c r="D31" s="17">
        <v>33</v>
      </c>
      <c r="E31" s="18">
        <f t="shared" si="0"/>
        <v>42.424242424242422</v>
      </c>
      <c r="F31" s="18">
        <f t="shared" si="1"/>
        <v>0.77648363838047696</v>
      </c>
      <c r="G31" s="17">
        <v>22</v>
      </c>
      <c r="H31" s="16">
        <v>22</v>
      </c>
      <c r="I31" s="19">
        <f t="shared" si="2"/>
        <v>100</v>
      </c>
      <c r="J31" s="19">
        <f t="shared" si="3"/>
        <v>1.3968253968253967</v>
      </c>
      <c r="K31" s="17">
        <v>1803</v>
      </c>
      <c r="L31" s="17">
        <v>2102</v>
      </c>
      <c r="M31" s="18">
        <f t="shared" si="4"/>
        <v>85.775451950523305</v>
      </c>
      <c r="N31" s="17">
        <v>1575</v>
      </c>
      <c r="O31" s="17">
        <v>1753</v>
      </c>
      <c r="P31" s="18">
        <f t="shared" si="5"/>
        <v>89.845978322875069</v>
      </c>
      <c r="Q31" s="20">
        <f t="shared" si="6"/>
        <v>0.49459654784114021</v>
      </c>
      <c r="R31" s="20">
        <f t="shared" si="7"/>
        <v>1.113015873015873</v>
      </c>
    </row>
    <row r="32" spans="1:18" ht="14.4">
      <c r="A32" s="15">
        <v>20101</v>
      </c>
      <c r="B32" s="15" t="s">
        <v>67</v>
      </c>
      <c r="C32" s="16">
        <v>1934</v>
      </c>
      <c r="D32" s="17">
        <v>4238</v>
      </c>
      <c r="E32" s="18">
        <f t="shared" si="0"/>
        <v>45.63473336479472</v>
      </c>
      <c r="F32" s="18">
        <f t="shared" si="1"/>
        <v>1.2219701899929867</v>
      </c>
      <c r="G32" s="17">
        <v>3469</v>
      </c>
      <c r="H32" s="17">
        <v>3780</v>
      </c>
      <c r="I32" s="19">
        <f t="shared" si="2"/>
        <v>91.772486772486772</v>
      </c>
      <c r="J32" s="19">
        <f t="shared" si="3"/>
        <v>2.4072724749314736</v>
      </c>
      <c r="K32" s="17">
        <v>158269</v>
      </c>
      <c r="L32" s="17">
        <v>165593</v>
      </c>
      <c r="M32" s="18">
        <f t="shared" si="4"/>
        <v>95.577107727983673</v>
      </c>
      <c r="N32" s="17">
        <v>144105</v>
      </c>
      <c r="O32" s="17">
        <v>146448</v>
      </c>
      <c r="P32" s="18">
        <f t="shared" si="5"/>
        <v>98.400114716486399</v>
      </c>
      <c r="Q32" s="20">
        <f t="shared" si="6"/>
        <v>0.47746510068784487</v>
      </c>
      <c r="R32" s="20">
        <f t="shared" si="7"/>
        <v>0.93264613600202229</v>
      </c>
    </row>
    <row r="33" spans="1:18" ht="14.4">
      <c r="A33" s="15">
        <v>20102</v>
      </c>
      <c r="B33" s="15" t="s">
        <v>68</v>
      </c>
      <c r="C33" s="16">
        <v>14</v>
      </c>
      <c r="D33" s="17">
        <v>37</v>
      </c>
      <c r="E33" s="18">
        <f t="shared" si="0"/>
        <v>37.837837837837839</v>
      </c>
      <c r="F33" s="18">
        <f t="shared" si="1"/>
        <v>0.34662045060658575</v>
      </c>
      <c r="G33" s="17">
        <v>40</v>
      </c>
      <c r="H33" s="16">
        <v>50</v>
      </c>
      <c r="I33" s="19">
        <f t="shared" si="2"/>
        <v>80</v>
      </c>
      <c r="J33" s="19">
        <f t="shared" si="3"/>
        <v>0.76540375047837739</v>
      </c>
      <c r="K33" s="17">
        <v>4039</v>
      </c>
      <c r="L33" s="17">
        <v>4688</v>
      </c>
      <c r="M33" s="18">
        <f t="shared" si="4"/>
        <v>86.156143344709903</v>
      </c>
      <c r="N33" s="17">
        <v>5226</v>
      </c>
      <c r="O33" s="17">
        <v>5512</v>
      </c>
      <c r="P33" s="18">
        <f t="shared" si="5"/>
        <v>94.811320754716974</v>
      </c>
      <c r="Q33" s="20">
        <f t="shared" si="6"/>
        <v>0.43917747903883086</v>
      </c>
      <c r="R33" s="20">
        <f t="shared" si="7"/>
        <v>0.84378109452736327</v>
      </c>
    </row>
    <row r="34" spans="1:18" ht="14.4">
      <c r="A34" s="15">
        <v>20103</v>
      </c>
      <c r="B34" s="15" t="s">
        <v>69</v>
      </c>
      <c r="C34" s="16">
        <v>24</v>
      </c>
      <c r="D34" s="17">
        <v>51</v>
      </c>
      <c r="E34" s="18">
        <f t="shared" si="0"/>
        <v>47.058823529411761</v>
      </c>
      <c r="F34" s="18">
        <f t="shared" si="1"/>
        <v>0.62992125984251968</v>
      </c>
      <c r="G34" s="17">
        <v>52</v>
      </c>
      <c r="H34" s="16">
        <v>63</v>
      </c>
      <c r="I34" s="19">
        <f t="shared" si="2"/>
        <v>82.539682539682531</v>
      </c>
      <c r="J34" s="19">
        <f t="shared" si="3"/>
        <v>1.1674898967220475</v>
      </c>
      <c r="K34" s="17">
        <v>3810</v>
      </c>
      <c r="L34" s="17">
        <v>4132</v>
      </c>
      <c r="M34" s="18">
        <f t="shared" si="4"/>
        <v>92.207163601161668</v>
      </c>
      <c r="N34" s="17">
        <v>4454</v>
      </c>
      <c r="O34" s="17">
        <v>4589</v>
      </c>
      <c r="P34" s="18">
        <f t="shared" si="5"/>
        <v>97.058182610590535</v>
      </c>
      <c r="Q34" s="20">
        <f t="shared" si="6"/>
        <v>0.51035973444495908</v>
      </c>
      <c r="R34" s="20">
        <f t="shared" si="7"/>
        <v>0.85041446604086923</v>
      </c>
    </row>
    <row r="35" spans="1:18" ht="14.4">
      <c r="A35" s="15">
        <v>20104</v>
      </c>
      <c r="B35" s="15" t="s">
        <v>70</v>
      </c>
      <c r="C35" s="16">
        <v>29</v>
      </c>
      <c r="D35" s="17">
        <v>68</v>
      </c>
      <c r="E35" s="18">
        <f t="shared" si="0"/>
        <v>42.647058823529413</v>
      </c>
      <c r="F35" s="18">
        <f t="shared" si="1"/>
        <v>0.5228051198846223</v>
      </c>
      <c r="G35" s="17">
        <v>170</v>
      </c>
      <c r="H35" s="16">
        <v>189</v>
      </c>
      <c r="I35" s="19">
        <f t="shared" si="2"/>
        <v>89.947089947089935</v>
      </c>
      <c r="J35" s="19">
        <f t="shared" si="3"/>
        <v>1.5653775322283612</v>
      </c>
      <c r="K35" s="17">
        <v>5547</v>
      </c>
      <c r="L35" s="17">
        <v>6041</v>
      </c>
      <c r="M35" s="18">
        <f t="shared" si="4"/>
        <v>91.822545936103296</v>
      </c>
      <c r="N35" s="17">
        <v>10860</v>
      </c>
      <c r="O35" s="17">
        <v>11181</v>
      </c>
      <c r="P35" s="18">
        <f t="shared" si="5"/>
        <v>97.129058223772475</v>
      </c>
      <c r="Q35" s="20">
        <f t="shared" si="6"/>
        <v>0.46445084253279462</v>
      </c>
      <c r="R35" s="20">
        <f t="shared" si="7"/>
        <v>0.92605747025636509</v>
      </c>
    </row>
    <row r="36" spans="1:18" ht="14.4">
      <c r="A36" s="15">
        <v>20105</v>
      </c>
      <c r="B36" s="15" t="s">
        <v>71</v>
      </c>
      <c r="C36" s="16">
        <v>1954</v>
      </c>
      <c r="D36" s="17">
        <v>3949</v>
      </c>
      <c r="E36" s="18">
        <f t="shared" si="0"/>
        <v>49.480881235755888</v>
      </c>
      <c r="F36" s="18">
        <f t="shared" si="1"/>
        <v>0.87391710757588636</v>
      </c>
      <c r="G36" s="17">
        <v>4895</v>
      </c>
      <c r="H36" s="17">
        <v>5329</v>
      </c>
      <c r="I36" s="19">
        <f t="shared" si="2"/>
        <v>91.855882904860195</v>
      </c>
      <c r="J36" s="19">
        <f t="shared" si="3"/>
        <v>2.2459691850274837</v>
      </c>
      <c r="K36" s="17">
        <v>223591</v>
      </c>
      <c r="L36" s="17">
        <v>239621</v>
      </c>
      <c r="M36" s="18">
        <f t="shared" si="4"/>
        <v>93.31026913333973</v>
      </c>
      <c r="N36" s="17">
        <v>217946</v>
      </c>
      <c r="O36" s="17">
        <v>222315</v>
      </c>
      <c r="P36" s="18">
        <f t="shared" si="5"/>
        <v>98.034770483323214</v>
      </c>
      <c r="Q36" s="20">
        <f t="shared" si="6"/>
        <v>0.53028334067977079</v>
      </c>
      <c r="R36" s="20">
        <f t="shared" si="7"/>
        <v>0.93697248896488095</v>
      </c>
    </row>
    <row r="37" spans="1:18" ht="14.4">
      <c r="A37" s="15">
        <v>20201</v>
      </c>
      <c r="B37" s="15" t="s">
        <v>72</v>
      </c>
      <c r="C37" s="16">
        <v>51</v>
      </c>
      <c r="D37" s="17">
        <v>99</v>
      </c>
      <c r="E37" s="18">
        <f t="shared" si="0"/>
        <v>51.515151515151516</v>
      </c>
      <c r="F37" s="18">
        <f t="shared" si="1"/>
        <v>0.44471573072898501</v>
      </c>
      <c r="G37" s="17">
        <v>107</v>
      </c>
      <c r="H37" s="16">
        <v>116</v>
      </c>
      <c r="I37" s="19">
        <f t="shared" si="2"/>
        <v>92.241379310344826</v>
      </c>
      <c r="J37" s="19">
        <f t="shared" si="3"/>
        <v>1.0605610070373674</v>
      </c>
      <c r="K37" s="17">
        <v>11468</v>
      </c>
      <c r="L37" s="17">
        <v>12373</v>
      </c>
      <c r="M37" s="18">
        <f t="shared" si="4"/>
        <v>92.685686575608187</v>
      </c>
      <c r="N37" s="17">
        <v>10089</v>
      </c>
      <c r="O37" s="17">
        <v>10492</v>
      </c>
      <c r="P37" s="18">
        <f t="shared" si="5"/>
        <v>96.158978269157458</v>
      </c>
      <c r="Q37" s="20">
        <f t="shared" si="6"/>
        <v>0.55580482184946778</v>
      </c>
      <c r="R37" s="20">
        <f t="shared" si="7"/>
        <v>0.95925914533069467</v>
      </c>
    </row>
    <row r="38" spans="1:18" ht="14.4">
      <c r="A38" s="15">
        <v>20202</v>
      </c>
      <c r="B38" s="15" t="s">
        <v>73</v>
      </c>
      <c r="C38" s="16">
        <v>13</v>
      </c>
      <c r="D38" s="17">
        <v>22</v>
      </c>
      <c r="E38" s="18">
        <f t="shared" si="0"/>
        <v>59.090909090909093</v>
      </c>
      <c r="F38" s="18">
        <f t="shared" si="1"/>
        <v>0.42847725774555045</v>
      </c>
      <c r="G38" s="17">
        <v>27</v>
      </c>
      <c r="H38" s="16">
        <v>34</v>
      </c>
      <c r="I38" s="19">
        <f t="shared" si="2"/>
        <v>79.411764705882348</v>
      </c>
      <c r="J38" s="19">
        <f t="shared" si="3"/>
        <v>0.74647497926458395</v>
      </c>
      <c r="K38" s="17">
        <v>3034</v>
      </c>
      <c r="L38" s="17">
        <v>3330</v>
      </c>
      <c r="M38" s="18">
        <f t="shared" si="4"/>
        <v>91.111111111111114</v>
      </c>
      <c r="N38" s="17">
        <v>3617</v>
      </c>
      <c r="O38" s="17">
        <v>3798</v>
      </c>
      <c r="P38" s="18">
        <f t="shared" si="5"/>
        <v>95.234333859926281</v>
      </c>
      <c r="Q38" s="20">
        <f t="shared" si="6"/>
        <v>0.64855875831485588</v>
      </c>
      <c r="R38" s="20">
        <f t="shared" si="7"/>
        <v>0.83385646213143805</v>
      </c>
    </row>
    <row r="39" spans="1:18" ht="14.4">
      <c r="A39" s="15">
        <v>20203</v>
      </c>
      <c r="B39" s="15" t="s">
        <v>74</v>
      </c>
      <c r="C39" s="16">
        <v>6</v>
      </c>
      <c r="D39" s="17">
        <v>7</v>
      </c>
      <c r="E39" s="18">
        <f t="shared" si="0"/>
        <v>85.714285714285708</v>
      </c>
      <c r="F39" s="18">
        <f t="shared" si="1"/>
        <v>0.58027079303675055</v>
      </c>
      <c r="G39" s="17">
        <v>15</v>
      </c>
      <c r="H39" s="16">
        <v>15</v>
      </c>
      <c r="I39" s="19">
        <f t="shared" si="2"/>
        <v>100</v>
      </c>
      <c r="J39" s="19">
        <f t="shared" si="3"/>
        <v>1.0578279266572637</v>
      </c>
      <c r="K39" s="17">
        <v>1034</v>
      </c>
      <c r="L39" s="17">
        <v>1103</v>
      </c>
      <c r="M39" s="18">
        <f t="shared" si="4"/>
        <v>93.744333635539434</v>
      </c>
      <c r="N39" s="17">
        <v>1418</v>
      </c>
      <c r="O39" s="17">
        <v>1487</v>
      </c>
      <c r="P39" s="18">
        <f t="shared" si="5"/>
        <v>95.359784801613984</v>
      </c>
      <c r="Q39" s="20">
        <f t="shared" si="6"/>
        <v>0.91434097817076543</v>
      </c>
      <c r="R39" s="20">
        <f t="shared" si="7"/>
        <v>1.0486600846262342</v>
      </c>
    </row>
    <row r="40" spans="1:18" ht="14.4">
      <c r="A40" s="15">
        <v>20204</v>
      </c>
      <c r="B40" s="15" t="s">
        <v>75</v>
      </c>
      <c r="C40" s="16">
        <v>8</v>
      </c>
      <c r="D40" s="17">
        <v>13</v>
      </c>
      <c r="E40" s="18">
        <f t="shared" si="0"/>
        <v>61.53846153846154</v>
      </c>
      <c r="F40" s="18">
        <f t="shared" si="1"/>
        <v>0.4898958971218616</v>
      </c>
      <c r="G40" s="17">
        <v>22</v>
      </c>
      <c r="H40" s="16">
        <v>24</v>
      </c>
      <c r="I40" s="19">
        <f t="shared" si="2"/>
        <v>91.666666666666657</v>
      </c>
      <c r="J40" s="19">
        <f t="shared" si="3"/>
        <v>1.3381995133819951</v>
      </c>
      <c r="K40" s="17">
        <v>1633</v>
      </c>
      <c r="L40" s="17">
        <v>1755</v>
      </c>
      <c r="M40" s="18">
        <f t="shared" si="4"/>
        <v>93.04843304843304</v>
      </c>
      <c r="N40" s="17">
        <v>1644</v>
      </c>
      <c r="O40" s="17">
        <v>1712</v>
      </c>
      <c r="P40" s="18">
        <f t="shared" si="5"/>
        <v>96.028037383177562</v>
      </c>
      <c r="Q40" s="20">
        <f t="shared" si="6"/>
        <v>0.66135946111451327</v>
      </c>
      <c r="R40" s="20">
        <f t="shared" si="7"/>
        <v>0.95458231954582318</v>
      </c>
    </row>
    <row r="41" spans="1:18" ht="14.4">
      <c r="A41" s="15">
        <v>20205</v>
      </c>
      <c r="B41" s="15" t="s">
        <v>76</v>
      </c>
      <c r="C41" s="16">
        <v>5</v>
      </c>
      <c r="D41" s="17">
        <v>14</v>
      </c>
      <c r="E41" s="18">
        <f t="shared" si="0"/>
        <v>35.714285714285715</v>
      </c>
      <c r="F41" s="18">
        <f t="shared" si="1"/>
        <v>0.29779630732578916</v>
      </c>
      <c r="G41" s="17">
        <v>15</v>
      </c>
      <c r="H41" s="16">
        <v>16</v>
      </c>
      <c r="I41" s="19">
        <f t="shared" si="2"/>
        <v>93.75</v>
      </c>
      <c r="J41" s="19">
        <f t="shared" si="3"/>
        <v>0.92994420334779915</v>
      </c>
      <c r="K41" s="17">
        <v>1679</v>
      </c>
      <c r="L41" s="17">
        <v>1796</v>
      </c>
      <c r="M41" s="18">
        <f t="shared" si="4"/>
        <v>93.485523385300667</v>
      </c>
      <c r="N41" s="17">
        <v>1613</v>
      </c>
      <c r="O41" s="17">
        <v>1680</v>
      </c>
      <c r="P41" s="18">
        <f t="shared" si="5"/>
        <v>96.011904761904759</v>
      </c>
      <c r="Q41" s="20">
        <f t="shared" si="6"/>
        <v>0.38203011996936953</v>
      </c>
      <c r="R41" s="20">
        <f t="shared" si="7"/>
        <v>0.97644141351518909</v>
      </c>
    </row>
    <row r="42" spans="1:18" ht="14.4">
      <c r="A42" s="15">
        <v>20206</v>
      </c>
      <c r="B42" s="15" t="s">
        <v>77</v>
      </c>
      <c r="C42" s="16">
        <v>1</v>
      </c>
      <c r="D42" s="17">
        <v>1</v>
      </c>
      <c r="E42" s="18">
        <f t="shared" si="0"/>
        <v>100</v>
      </c>
      <c r="F42" s="18">
        <f t="shared" si="1"/>
        <v>0.14992503748125938</v>
      </c>
      <c r="G42" s="16">
        <v>3</v>
      </c>
      <c r="H42" s="16">
        <v>3</v>
      </c>
      <c r="I42" s="19">
        <f t="shared" si="2"/>
        <v>100</v>
      </c>
      <c r="J42" s="19">
        <f t="shared" si="3"/>
        <v>0.33370411568409347</v>
      </c>
      <c r="K42" s="16">
        <v>667</v>
      </c>
      <c r="L42" s="17">
        <v>702</v>
      </c>
      <c r="M42" s="18">
        <f t="shared" si="4"/>
        <v>95.01424501424502</v>
      </c>
      <c r="N42" s="16">
        <v>899</v>
      </c>
      <c r="O42" s="17">
        <v>927</v>
      </c>
      <c r="P42" s="18">
        <f t="shared" si="5"/>
        <v>96.979503775620273</v>
      </c>
      <c r="Q42" s="20">
        <f t="shared" si="6"/>
        <v>1.0524737631184407</v>
      </c>
      <c r="R42" s="20">
        <f t="shared" si="7"/>
        <v>1.0311457174638488</v>
      </c>
    </row>
    <row r="43" spans="1:18" ht="14.4">
      <c r="A43" s="15">
        <v>20301</v>
      </c>
      <c r="B43" s="15" t="s">
        <v>78</v>
      </c>
      <c r="C43" s="16">
        <v>9</v>
      </c>
      <c r="D43" s="17">
        <v>18</v>
      </c>
      <c r="E43" s="18">
        <f t="shared" si="0"/>
        <v>50</v>
      </c>
      <c r="F43" s="18">
        <f t="shared" si="1"/>
        <v>0.3800675675675676</v>
      </c>
      <c r="G43" s="17">
        <v>26</v>
      </c>
      <c r="H43" s="16">
        <v>31</v>
      </c>
      <c r="I43" s="19">
        <f t="shared" si="2"/>
        <v>83.870967741935488</v>
      </c>
      <c r="J43" s="19">
        <f t="shared" si="3"/>
        <v>0.87189805499664663</v>
      </c>
      <c r="K43" s="17">
        <v>2368</v>
      </c>
      <c r="L43" s="17">
        <v>2693</v>
      </c>
      <c r="M43" s="18">
        <f t="shared" si="4"/>
        <v>87.931674712216861</v>
      </c>
      <c r="N43" s="17">
        <v>2982</v>
      </c>
      <c r="O43" s="17">
        <v>3145</v>
      </c>
      <c r="P43" s="18">
        <f t="shared" si="5"/>
        <v>94.817170111287766</v>
      </c>
      <c r="Q43" s="20">
        <f t="shared" si="6"/>
        <v>0.56862331081081074</v>
      </c>
      <c r="R43" s="20">
        <f t="shared" si="7"/>
        <v>0.88455463966595271</v>
      </c>
    </row>
    <row r="44" spans="1:18" ht="14.4">
      <c r="A44" s="15">
        <v>20302</v>
      </c>
      <c r="B44" s="15" t="s">
        <v>79</v>
      </c>
      <c r="C44" s="16">
        <v>12</v>
      </c>
      <c r="D44" s="17">
        <v>18</v>
      </c>
      <c r="E44" s="18">
        <f t="shared" si="0"/>
        <v>66.666666666666657</v>
      </c>
      <c r="F44" s="18">
        <f t="shared" si="1"/>
        <v>0.35842293906810035</v>
      </c>
      <c r="G44" s="17">
        <v>18</v>
      </c>
      <c r="H44" s="16">
        <v>21</v>
      </c>
      <c r="I44" s="19">
        <f t="shared" si="2"/>
        <v>85.714285714285708</v>
      </c>
      <c r="J44" s="19">
        <f t="shared" si="3"/>
        <v>0.51107325383304936</v>
      </c>
      <c r="K44" s="17">
        <v>3348</v>
      </c>
      <c r="L44" s="17">
        <v>3648</v>
      </c>
      <c r="M44" s="18">
        <f t="shared" si="4"/>
        <v>91.776315789473685</v>
      </c>
      <c r="N44" s="17">
        <v>3522</v>
      </c>
      <c r="O44" s="17">
        <v>3677</v>
      </c>
      <c r="P44" s="18">
        <f t="shared" si="5"/>
        <v>95.784607016589604</v>
      </c>
      <c r="Q44" s="20">
        <f t="shared" si="6"/>
        <v>0.72640382317801666</v>
      </c>
      <c r="R44" s="20">
        <f t="shared" si="7"/>
        <v>0.89486493064005845</v>
      </c>
    </row>
    <row r="45" spans="1:18" ht="14.4">
      <c r="A45" s="15">
        <v>20303</v>
      </c>
      <c r="B45" s="15" t="s">
        <v>80</v>
      </c>
      <c r="C45" s="16">
        <v>9</v>
      </c>
      <c r="D45" s="17">
        <v>15</v>
      </c>
      <c r="E45" s="18">
        <f t="shared" si="0"/>
        <v>60</v>
      </c>
      <c r="F45" s="18">
        <f t="shared" si="1"/>
        <v>0.43604651162790697</v>
      </c>
      <c r="G45" s="17">
        <v>20</v>
      </c>
      <c r="H45" s="16">
        <v>24</v>
      </c>
      <c r="I45" s="19">
        <f t="shared" si="2"/>
        <v>83.333333333333343</v>
      </c>
      <c r="J45" s="19">
        <f t="shared" si="3"/>
        <v>0.79333597778659248</v>
      </c>
      <c r="K45" s="17">
        <v>2064</v>
      </c>
      <c r="L45" s="17">
        <v>2277</v>
      </c>
      <c r="M45" s="18">
        <f t="shared" si="4"/>
        <v>90.645586297760204</v>
      </c>
      <c r="N45" s="17">
        <v>2521</v>
      </c>
      <c r="O45" s="17">
        <v>2644</v>
      </c>
      <c r="P45" s="18">
        <f t="shared" si="5"/>
        <v>95.34795763993948</v>
      </c>
      <c r="Q45" s="20">
        <f t="shared" si="6"/>
        <v>0.66191860465116281</v>
      </c>
      <c r="R45" s="20">
        <f t="shared" si="7"/>
        <v>0.87399180219489636</v>
      </c>
    </row>
    <row r="46" spans="1:18" ht="14.4">
      <c r="A46" s="15">
        <v>20304</v>
      </c>
      <c r="B46" s="15" t="s">
        <v>81</v>
      </c>
      <c r="C46" s="16">
        <v>3</v>
      </c>
      <c r="D46" s="17">
        <v>8</v>
      </c>
      <c r="E46" s="18">
        <f t="shared" si="0"/>
        <v>37.5</v>
      </c>
      <c r="F46" s="18">
        <f t="shared" si="1"/>
        <v>0.30549898167006106</v>
      </c>
      <c r="G46" s="17">
        <v>15</v>
      </c>
      <c r="H46" s="16">
        <v>17</v>
      </c>
      <c r="I46" s="19">
        <f t="shared" si="2"/>
        <v>88.235294117647058</v>
      </c>
      <c r="J46" s="19">
        <f t="shared" si="3"/>
        <v>1.2376237623762376</v>
      </c>
      <c r="K46" s="17">
        <v>982</v>
      </c>
      <c r="L46" s="17">
        <v>1057</v>
      </c>
      <c r="M46" s="18">
        <f t="shared" si="4"/>
        <v>92.904446546830656</v>
      </c>
      <c r="N46" s="17">
        <v>1212</v>
      </c>
      <c r="O46" s="17">
        <v>1251</v>
      </c>
      <c r="P46" s="18">
        <f t="shared" si="5"/>
        <v>96.882494004796158</v>
      </c>
      <c r="Q46" s="20">
        <f t="shared" si="6"/>
        <v>0.4036405295315682</v>
      </c>
      <c r="R46" s="20">
        <f t="shared" si="7"/>
        <v>0.91074548631333729</v>
      </c>
    </row>
    <row r="47" spans="1:18" ht="14.4">
      <c r="A47" s="15">
        <v>20305</v>
      </c>
      <c r="B47" s="15" t="s">
        <v>82</v>
      </c>
      <c r="C47" s="16">
        <v>10</v>
      </c>
      <c r="D47" s="17">
        <v>20</v>
      </c>
      <c r="E47" s="18">
        <f t="shared" si="0"/>
        <v>50</v>
      </c>
      <c r="F47" s="18">
        <f t="shared" si="1"/>
        <v>1.4124293785310735</v>
      </c>
      <c r="G47" s="16">
        <v>9</v>
      </c>
      <c r="H47" s="16">
        <v>10</v>
      </c>
      <c r="I47" s="19">
        <f t="shared" si="2"/>
        <v>90</v>
      </c>
      <c r="J47" s="19">
        <f t="shared" si="3"/>
        <v>1.1056511056511056</v>
      </c>
      <c r="K47" s="16">
        <v>708</v>
      </c>
      <c r="L47" s="17">
        <v>795</v>
      </c>
      <c r="M47" s="18">
        <f t="shared" si="4"/>
        <v>89.056603773584911</v>
      </c>
      <c r="N47" s="16">
        <v>814</v>
      </c>
      <c r="O47" s="17">
        <v>872</v>
      </c>
      <c r="P47" s="18">
        <f t="shared" si="5"/>
        <v>93.348623853211009</v>
      </c>
      <c r="Q47" s="20">
        <f t="shared" si="6"/>
        <v>0.56144067796610164</v>
      </c>
      <c r="R47" s="20">
        <f t="shared" si="7"/>
        <v>0.96412776412776413</v>
      </c>
    </row>
    <row r="48" spans="1:18" ht="14.4">
      <c r="A48" s="15">
        <v>20306</v>
      </c>
      <c r="B48" s="15" t="s">
        <v>83</v>
      </c>
      <c r="C48" s="16">
        <v>2</v>
      </c>
      <c r="D48" s="17">
        <v>3</v>
      </c>
      <c r="E48" s="18">
        <f t="shared" si="0"/>
        <v>66.666666666666657</v>
      </c>
      <c r="F48" s="18">
        <f t="shared" si="1"/>
        <v>0.13440860215053765</v>
      </c>
      <c r="G48" s="17">
        <v>10</v>
      </c>
      <c r="H48" s="16">
        <v>11</v>
      </c>
      <c r="I48" s="19">
        <f t="shared" si="2"/>
        <v>90.909090909090907</v>
      </c>
      <c r="J48" s="19">
        <f t="shared" si="3"/>
        <v>0.83263946711074099</v>
      </c>
      <c r="K48" s="17">
        <v>1488</v>
      </c>
      <c r="L48" s="17">
        <v>1616</v>
      </c>
      <c r="M48" s="18">
        <f t="shared" si="4"/>
        <v>92.079207920792086</v>
      </c>
      <c r="N48" s="17">
        <v>1201</v>
      </c>
      <c r="O48" s="17">
        <v>1329</v>
      </c>
      <c r="P48" s="18">
        <f t="shared" si="5"/>
        <v>90.368698269375471</v>
      </c>
      <c r="Q48" s="20">
        <f t="shared" si="6"/>
        <v>0.72401433691756256</v>
      </c>
      <c r="R48" s="20">
        <f t="shared" si="7"/>
        <v>1.0059798652637952</v>
      </c>
    </row>
    <row r="49" spans="1:18" ht="14.4">
      <c r="A49" s="15">
        <v>20307</v>
      </c>
      <c r="B49" s="15" t="s">
        <v>84</v>
      </c>
      <c r="C49" s="16">
        <v>0</v>
      </c>
      <c r="D49" s="17">
        <v>1</v>
      </c>
      <c r="E49" s="18">
        <f t="shared" si="0"/>
        <v>0</v>
      </c>
      <c r="F49" s="18">
        <f t="shared" si="1"/>
        <v>0</v>
      </c>
      <c r="G49" s="16">
        <v>9</v>
      </c>
      <c r="H49" s="16">
        <v>9</v>
      </c>
      <c r="I49" s="19">
        <f t="shared" si="2"/>
        <v>100</v>
      </c>
      <c r="J49" s="19">
        <f t="shared" si="3"/>
        <v>0.88321884200196277</v>
      </c>
      <c r="K49" s="16">
        <v>124</v>
      </c>
      <c r="L49" s="17">
        <v>139</v>
      </c>
      <c r="M49" s="18">
        <f t="shared" si="4"/>
        <v>89.208633093525179</v>
      </c>
      <c r="N49" s="17">
        <v>1019</v>
      </c>
      <c r="O49" s="17">
        <v>1054</v>
      </c>
      <c r="P49" s="18">
        <f t="shared" si="5"/>
        <v>96.679316888045548</v>
      </c>
      <c r="Q49" s="20">
        <f t="shared" si="6"/>
        <v>0</v>
      </c>
      <c r="R49" s="20">
        <f t="shared" si="7"/>
        <v>1.0343473994111874</v>
      </c>
    </row>
    <row r="50" spans="1:18" ht="14.4">
      <c r="A50" s="15">
        <v>20308</v>
      </c>
      <c r="B50" s="15" t="s">
        <v>85</v>
      </c>
      <c r="C50" s="16">
        <v>6</v>
      </c>
      <c r="D50" s="17">
        <v>14</v>
      </c>
      <c r="E50" s="18">
        <f t="shared" si="0"/>
        <v>42.857142857142854</v>
      </c>
      <c r="F50" s="18">
        <f t="shared" si="1"/>
        <v>0.38486209108402825</v>
      </c>
      <c r="G50" s="17">
        <v>8</v>
      </c>
      <c r="H50" s="16">
        <v>10</v>
      </c>
      <c r="I50" s="19">
        <f t="shared" si="2"/>
        <v>80</v>
      </c>
      <c r="J50" s="19">
        <f t="shared" si="3"/>
        <v>0.5423728813559322</v>
      </c>
      <c r="K50" s="17">
        <v>1559</v>
      </c>
      <c r="L50" s="17">
        <v>1727</v>
      </c>
      <c r="M50" s="18">
        <f t="shared" si="4"/>
        <v>90.272148233931674</v>
      </c>
      <c r="N50" s="17">
        <v>1475</v>
      </c>
      <c r="O50" s="17">
        <v>1568</v>
      </c>
      <c r="P50" s="18">
        <f t="shared" si="5"/>
        <v>94.068877551020407</v>
      </c>
      <c r="Q50" s="20">
        <f t="shared" si="6"/>
        <v>0.47475487950151191</v>
      </c>
      <c r="R50" s="20">
        <f t="shared" si="7"/>
        <v>0.85044067796610168</v>
      </c>
    </row>
    <row r="51" spans="1:18" ht="14.4">
      <c r="A51" s="15">
        <v>20401</v>
      </c>
      <c r="B51" s="15" t="s">
        <v>86</v>
      </c>
      <c r="C51" s="16">
        <v>6</v>
      </c>
      <c r="D51" s="17">
        <v>12</v>
      </c>
      <c r="E51" s="18">
        <f t="shared" si="0"/>
        <v>50</v>
      </c>
      <c r="F51" s="18">
        <f t="shared" si="1"/>
        <v>0.24691358024691357</v>
      </c>
      <c r="G51" s="17">
        <v>22</v>
      </c>
      <c r="H51" s="16">
        <v>28</v>
      </c>
      <c r="I51" s="19">
        <f t="shared" si="2"/>
        <v>78.571428571428569</v>
      </c>
      <c r="J51" s="19">
        <f t="shared" si="3"/>
        <v>0.83554880364603112</v>
      </c>
      <c r="K51" s="17">
        <v>2430</v>
      </c>
      <c r="L51" s="17">
        <v>2736</v>
      </c>
      <c r="M51" s="18">
        <f t="shared" si="4"/>
        <v>88.81578947368422</v>
      </c>
      <c r="N51" s="17">
        <v>2633</v>
      </c>
      <c r="O51" s="17">
        <v>2761</v>
      </c>
      <c r="P51" s="18">
        <f t="shared" si="5"/>
        <v>95.363998551249551</v>
      </c>
      <c r="Q51" s="20">
        <f t="shared" si="6"/>
        <v>0.56296296296296289</v>
      </c>
      <c r="R51" s="20">
        <f t="shared" si="7"/>
        <v>0.8239108024523899</v>
      </c>
    </row>
    <row r="52" spans="1:18" ht="14.4">
      <c r="A52" s="15">
        <v>20402</v>
      </c>
      <c r="B52" s="15" t="s">
        <v>87</v>
      </c>
      <c r="C52" s="16">
        <v>14</v>
      </c>
      <c r="D52" s="17">
        <v>24</v>
      </c>
      <c r="E52" s="18">
        <f t="shared" si="0"/>
        <v>58.333333333333336</v>
      </c>
      <c r="F52" s="18">
        <f t="shared" si="1"/>
        <v>0.40520984081041966</v>
      </c>
      <c r="G52" s="17">
        <v>22</v>
      </c>
      <c r="H52" s="16">
        <v>31</v>
      </c>
      <c r="I52" s="19">
        <f t="shared" si="2"/>
        <v>70.967741935483872</v>
      </c>
      <c r="J52" s="19">
        <f t="shared" si="3"/>
        <v>0.64629847238542892</v>
      </c>
      <c r="K52" s="17">
        <v>3455</v>
      </c>
      <c r="L52" s="17">
        <v>4007</v>
      </c>
      <c r="M52" s="18">
        <f t="shared" si="4"/>
        <v>86.224107811330171</v>
      </c>
      <c r="N52" s="17">
        <v>3404</v>
      </c>
      <c r="O52" s="17">
        <v>3752</v>
      </c>
      <c r="P52" s="18">
        <f t="shared" si="5"/>
        <v>90.724946695095952</v>
      </c>
      <c r="Q52" s="20">
        <f t="shared" si="6"/>
        <v>0.67653159671972984</v>
      </c>
      <c r="R52" s="20">
        <f t="shared" si="7"/>
        <v>0.78222963496455777</v>
      </c>
    </row>
    <row r="53" spans="1:18" ht="14.4">
      <c r="A53" s="15">
        <v>20403</v>
      </c>
      <c r="B53" s="15" t="s">
        <v>88</v>
      </c>
      <c r="C53" s="16">
        <v>6</v>
      </c>
      <c r="D53" s="17">
        <v>19</v>
      </c>
      <c r="E53" s="18">
        <f t="shared" si="0"/>
        <v>31.578947368421051</v>
      </c>
      <c r="F53" s="18">
        <f t="shared" si="1"/>
        <v>0.19678583142013775</v>
      </c>
      <c r="G53" s="17">
        <v>27</v>
      </c>
      <c r="H53" s="16">
        <v>34</v>
      </c>
      <c r="I53" s="19">
        <f t="shared" si="2"/>
        <v>79.411764705882348</v>
      </c>
      <c r="J53" s="19">
        <f t="shared" si="3"/>
        <v>0.7544006705783739</v>
      </c>
      <c r="K53" s="17">
        <v>3049</v>
      </c>
      <c r="L53" s="17">
        <v>3376</v>
      </c>
      <c r="M53" s="18">
        <f t="shared" si="4"/>
        <v>90.313981042654021</v>
      </c>
      <c r="N53" s="17">
        <v>3579</v>
      </c>
      <c r="O53" s="17">
        <v>3805</v>
      </c>
      <c r="P53" s="18">
        <f t="shared" si="5"/>
        <v>94.060446780551914</v>
      </c>
      <c r="Q53" s="20">
        <f t="shared" si="6"/>
        <v>0.34965735098651846</v>
      </c>
      <c r="R53" s="20">
        <f t="shared" si="7"/>
        <v>0.84426310339726829</v>
      </c>
    </row>
    <row r="54" spans="1:18" ht="14.4">
      <c r="A54" s="15">
        <v>20404</v>
      </c>
      <c r="B54" s="15" t="s">
        <v>89</v>
      </c>
      <c r="C54" s="16">
        <v>2</v>
      </c>
      <c r="D54" s="17">
        <v>6</v>
      </c>
      <c r="E54" s="18">
        <f t="shared" si="0"/>
        <v>33.333333333333329</v>
      </c>
      <c r="F54" s="18">
        <f t="shared" si="1"/>
        <v>0.16116035455278002</v>
      </c>
      <c r="G54" s="17">
        <v>17</v>
      </c>
      <c r="H54" s="16">
        <v>23</v>
      </c>
      <c r="I54" s="19">
        <f t="shared" si="2"/>
        <v>73.91304347826086</v>
      </c>
      <c r="J54" s="19">
        <f t="shared" si="3"/>
        <v>1.4406779661016949</v>
      </c>
      <c r="K54" s="17">
        <v>1241</v>
      </c>
      <c r="L54" s="17">
        <v>1418</v>
      </c>
      <c r="M54" s="18">
        <f t="shared" si="4"/>
        <v>87.517630465444284</v>
      </c>
      <c r="N54" s="17">
        <v>1180</v>
      </c>
      <c r="O54" s="17">
        <v>1277</v>
      </c>
      <c r="P54" s="18">
        <f t="shared" si="5"/>
        <v>92.404072043852779</v>
      </c>
      <c r="Q54" s="20">
        <f t="shared" si="6"/>
        <v>0.38087563792640339</v>
      </c>
      <c r="R54" s="20">
        <f t="shared" si="7"/>
        <v>0.79988946204863665</v>
      </c>
    </row>
    <row r="55" spans="1:18" ht="14.4">
      <c r="A55" s="15">
        <v>20405</v>
      </c>
      <c r="B55" s="15" t="s">
        <v>90</v>
      </c>
      <c r="C55" s="16">
        <v>13</v>
      </c>
      <c r="D55" s="17">
        <v>20</v>
      </c>
      <c r="E55" s="18">
        <f t="shared" si="0"/>
        <v>65</v>
      </c>
      <c r="F55" s="18">
        <f t="shared" si="1"/>
        <v>0.88135593220338981</v>
      </c>
      <c r="G55" s="17">
        <v>18</v>
      </c>
      <c r="H55" s="16">
        <v>19</v>
      </c>
      <c r="I55" s="19">
        <f t="shared" si="2"/>
        <v>94.73684210526315</v>
      </c>
      <c r="J55" s="19">
        <f t="shared" si="3"/>
        <v>1.1042944785276074</v>
      </c>
      <c r="K55" s="17">
        <v>1475</v>
      </c>
      <c r="L55" s="17">
        <v>1561</v>
      </c>
      <c r="M55" s="18">
        <f t="shared" si="4"/>
        <v>94.490711082639336</v>
      </c>
      <c r="N55" s="17">
        <v>1630</v>
      </c>
      <c r="O55" s="17">
        <v>1697</v>
      </c>
      <c r="P55" s="18">
        <f t="shared" si="5"/>
        <v>96.051856216853267</v>
      </c>
      <c r="Q55" s="20">
        <f t="shared" si="6"/>
        <v>0.6878983050847457</v>
      </c>
      <c r="R55" s="20">
        <f t="shared" si="7"/>
        <v>0.98630933161123668</v>
      </c>
    </row>
    <row r="56" spans="1:18" ht="14.4">
      <c r="A56" s="15">
        <v>20501</v>
      </c>
      <c r="B56" s="15" t="s">
        <v>91</v>
      </c>
      <c r="C56" s="16">
        <v>9</v>
      </c>
      <c r="D56" s="17">
        <v>23</v>
      </c>
      <c r="E56" s="18">
        <f t="shared" si="0"/>
        <v>39.130434782608695</v>
      </c>
      <c r="F56" s="18">
        <f t="shared" si="1"/>
        <v>0.33149171270718231</v>
      </c>
      <c r="G56" s="17">
        <v>32</v>
      </c>
      <c r="H56" s="16">
        <v>41</v>
      </c>
      <c r="I56" s="19">
        <f t="shared" si="2"/>
        <v>78.048780487804876</v>
      </c>
      <c r="J56" s="19">
        <f t="shared" si="3"/>
        <v>0.85174341229704553</v>
      </c>
      <c r="K56" s="17">
        <v>2715</v>
      </c>
      <c r="L56" s="17">
        <v>3082</v>
      </c>
      <c r="M56" s="18">
        <f t="shared" si="4"/>
        <v>88.092147955872818</v>
      </c>
      <c r="N56" s="17">
        <v>3757</v>
      </c>
      <c r="O56" s="17">
        <v>4108</v>
      </c>
      <c r="P56" s="18">
        <f t="shared" si="5"/>
        <v>91.455696202531641</v>
      </c>
      <c r="Q56" s="20">
        <f t="shared" si="6"/>
        <v>0.44419889502762427</v>
      </c>
      <c r="R56" s="20">
        <f t="shared" si="7"/>
        <v>0.85340535066250323</v>
      </c>
    </row>
    <row r="57" spans="1:18" ht="14.4">
      <c r="A57" s="15">
        <v>20502</v>
      </c>
      <c r="B57" s="15" t="s">
        <v>92</v>
      </c>
      <c r="C57" s="16">
        <v>7</v>
      </c>
      <c r="D57" s="17">
        <v>14</v>
      </c>
      <c r="E57" s="18">
        <f t="shared" si="0"/>
        <v>50</v>
      </c>
      <c r="F57" s="18">
        <f t="shared" si="1"/>
        <v>0.32467532467532467</v>
      </c>
      <c r="G57" s="17">
        <v>8</v>
      </c>
      <c r="H57" s="16">
        <v>15</v>
      </c>
      <c r="I57" s="19">
        <f t="shared" si="2"/>
        <v>53.333333333333336</v>
      </c>
      <c r="J57" s="19">
        <f t="shared" si="3"/>
        <v>0.38480038480038481</v>
      </c>
      <c r="K57" s="17">
        <v>2156</v>
      </c>
      <c r="L57" s="17">
        <v>2498</v>
      </c>
      <c r="M57" s="18">
        <f t="shared" si="4"/>
        <v>86.309047237790239</v>
      </c>
      <c r="N57" s="17">
        <v>2079</v>
      </c>
      <c r="O57" s="17">
        <v>2277</v>
      </c>
      <c r="P57" s="18">
        <f t="shared" si="5"/>
        <v>91.304347826086953</v>
      </c>
      <c r="Q57" s="20">
        <f t="shared" si="6"/>
        <v>0.5793135435992578</v>
      </c>
      <c r="R57" s="20">
        <f t="shared" si="7"/>
        <v>0.58412698412698416</v>
      </c>
    </row>
    <row r="58" spans="1:18" ht="14.4">
      <c r="A58" s="15">
        <v>20503</v>
      </c>
      <c r="B58" s="15" t="s">
        <v>93</v>
      </c>
      <c r="C58" s="16">
        <v>7</v>
      </c>
      <c r="D58" s="17">
        <v>15</v>
      </c>
      <c r="E58" s="18">
        <f t="shared" si="0"/>
        <v>46.666666666666664</v>
      </c>
      <c r="F58" s="18">
        <f t="shared" si="1"/>
        <v>0.52356020942408377</v>
      </c>
      <c r="G58" s="17">
        <v>12</v>
      </c>
      <c r="H58" s="16">
        <v>16</v>
      </c>
      <c r="I58" s="19">
        <f t="shared" si="2"/>
        <v>75</v>
      </c>
      <c r="J58" s="19">
        <f t="shared" si="3"/>
        <v>0.82135523613963046</v>
      </c>
      <c r="K58" s="17">
        <v>1337</v>
      </c>
      <c r="L58" s="17">
        <v>1585</v>
      </c>
      <c r="M58" s="18">
        <f t="shared" si="4"/>
        <v>84.353312302839115</v>
      </c>
      <c r="N58" s="17">
        <v>1461</v>
      </c>
      <c r="O58" s="17">
        <v>1605</v>
      </c>
      <c r="P58" s="18">
        <f t="shared" si="5"/>
        <v>91.028037383177576</v>
      </c>
      <c r="Q58" s="20">
        <f t="shared" si="6"/>
        <v>0.55322862129144845</v>
      </c>
      <c r="R58" s="20">
        <f t="shared" si="7"/>
        <v>0.82392197125256672</v>
      </c>
    </row>
    <row r="59" spans="1:18" ht="14.4">
      <c r="A59" s="15">
        <v>20601</v>
      </c>
      <c r="B59" s="15" t="s">
        <v>94</v>
      </c>
      <c r="C59" s="16">
        <v>18</v>
      </c>
      <c r="D59" s="17">
        <v>42</v>
      </c>
      <c r="E59" s="18">
        <f t="shared" si="0"/>
        <v>42.857142857142854</v>
      </c>
      <c r="F59" s="18">
        <f t="shared" si="1"/>
        <v>0.35163117796444615</v>
      </c>
      <c r="G59" s="17">
        <v>39</v>
      </c>
      <c r="H59" s="16">
        <v>46</v>
      </c>
      <c r="I59" s="19">
        <f t="shared" si="2"/>
        <v>84.782608695652172</v>
      </c>
      <c r="J59" s="19">
        <f t="shared" si="3"/>
        <v>0.57488207547169812</v>
      </c>
      <c r="K59" s="17">
        <v>5119</v>
      </c>
      <c r="L59" s="17">
        <v>5905</v>
      </c>
      <c r="M59" s="18">
        <f t="shared" si="4"/>
        <v>86.689246401354779</v>
      </c>
      <c r="N59" s="17">
        <v>6784</v>
      </c>
      <c r="O59" s="17">
        <v>7195</v>
      </c>
      <c r="P59" s="18">
        <f t="shared" si="5"/>
        <v>94.287699791521902</v>
      </c>
      <c r="Q59" s="20">
        <f t="shared" si="6"/>
        <v>0.49437669187620348</v>
      </c>
      <c r="R59" s="20">
        <f t="shared" si="7"/>
        <v>0.89919055065627551</v>
      </c>
    </row>
    <row r="60" spans="1:18" ht="14.4">
      <c r="A60" s="15">
        <v>20602</v>
      </c>
      <c r="B60" s="15" t="s">
        <v>95</v>
      </c>
      <c r="C60" s="16">
        <v>13</v>
      </c>
      <c r="D60" s="17">
        <v>40</v>
      </c>
      <c r="E60" s="18">
        <f t="shared" si="0"/>
        <v>32.5</v>
      </c>
      <c r="F60" s="18">
        <f t="shared" si="1"/>
        <v>0.39537712895377131</v>
      </c>
      <c r="G60" s="17">
        <v>47</v>
      </c>
      <c r="H60" s="16">
        <v>60</v>
      </c>
      <c r="I60" s="19">
        <f t="shared" si="2"/>
        <v>78.333333333333329</v>
      </c>
      <c r="J60" s="19">
        <f t="shared" si="3"/>
        <v>1.2627619559376679</v>
      </c>
      <c r="K60" s="17">
        <v>3288</v>
      </c>
      <c r="L60" s="17">
        <v>3879</v>
      </c>
      <c r="M60" s="18">
        <f t="shared" si="4"/>
        <v>84.76411446249034</v>
      </c>
      <c r="N60" s="17">
        <v>3722</v>
      </c>
      <c r="O60" s="17">
        <v>3984</v>
      </c>
      <c r="P60" s="18">
        <f t="shared" si="5"/>
        <v>93.42369477911646</v>
      </c>
      <c r="Q60" s="20">
        <f t="shared" si="6"/>
        <v>0.3834169708029197</v>
      </c>
      <c r="R60" s="20">
        <f t="shared" si="7"/>
        <v>0.83847393874261156</v>
      </c>
    </row>
    <row r="61" spans="1:18" ht="14.4">
      <c r="A61" s="15">
        <v>20603</v>
      </c>
      <c r="B61" s="15" t="s">
        <v>96</v>
      </c>
      <c r="C61" s="16">
        <v>5</v>
      </c>
      <c r="D61" s="17">
        <v>9</v>
      </c>
      <c r="E61" s="18">
        <f t="shared" si="0"/>
        <v>55.555555555555557</v>
      </c>
      <c r="F61" s="18">
        <f t="shared" si="1"/>
        <v>0.28074115665356542</v>
      </c>
      <c r="G61" s="17">
        <v>13</v>
      </c>
      <c r="H61" s="16">
        <v>17</v>
      </c>
      <c r="I61" s="19">
        <f t="shared" si="2"/>
        <v>76.470588235294116</v>
      </c>
      <c r="J61" s="19">
        <f t="shared" si="3"/>
        <v>0.5752212389380531</v>
      </c>
      <c r="K61" s="17">
        <v>1781</v>
      </c>
      <c r="L61" s="17">
        <v>2056</v>
      </c>
      <c r="M61" s="18">
        <f t="shared" si="4"/>
        <v>86.624513618677042</v>
      </c>
      <c r="N61" s="17">
        <v>2260</v>
      </c>
      <c r="O61" s="17">
        <v>2397</v>
      </c>
      <c r="P61" s="18">
        <f t="shared" si="5"/>
        <v>94.284522319566122</v>
      </c>
      <c r="Q61" s="20">
        <f t="shared" si="6"/>
        <v>0.64133757564414506</v>
      </c>
      <c r="R61" s="20">
        <f t="shared" si="7"/>
        <v>0.81106194690265487</v>
      </c>
    </row>
    <row r="62" spans="1:18" ht="14.4">
      <c r="A62" s="15">
        <v>20604</v>
      </c>
      <c r="B62" s="15" t="s">
        <v>97</v>
      </c>
      <c r="C62" s="16">
        <v>4</v>
      </c>
      <c r="D62" s="17">
        <v>8</v>
      </c>
      <c r="E62" s="18">
        <f t="shared" si="0"/>
        <v>50</v>
      </c>
      <c r="F62" s="18">
        <f t="shared" si="1"/>
        <v>0.58565153733528552</v>
      </c>
      <c r="G62" s="16">
        <v>9</v>
      </c>
      <c r="H62" s="16">
        <v>15</v>
      </c>
      <c r="I62" s="19">
        <f t="shared" si="2"/>
        <v>60</v>
      </c>
      <c r="J62" s="19">
        <f t="shared" si="3"/>
        <v>0.8754863813229572</v>
      </c>
      <c r="K62" s="16">
        <v>683</v>
      </c>
      <c r="L62" s="17">
        <v>766</v>
      </c>
      <c r="M62" s="18">
        <f t="shared" si="4"/>
        <v>89.164490861618788</v>
      </c>
      <c r="N62" s="17">
        <v>1028</v>
      </c>
      <c r="O62" s="17">
        <v>1105</v>
      </c>
      <c r="P62" s="18">
        <f t="shared" si="5"/>
        <v>93.031674208144793</v>
      </c>
      <c r="Q62" s="20">
        <f t="shared" si="6"/>
        <v>0.56076134699853597</v>
      </c>
      <c r="R62" s="20">
        <f t="shared" si="7"/>
        <v>0.64494163424124518</v>
      </c>
    </row>
    <row r="63" spans="1:18" ht="14.4">
      <c r="A63" s="15">
        <v>20605</v>
      </c>
      <c r="B63" s="15" t="s">
        <v>98</v>
      </c>
      <c r="C63" s="16">
        <v>0</v>
      </c>
      <c r="D63" s="17">
        <v>4</v>
      </c>
      <c r="E63" s="18">
        <f t="shared" si="0"/>
        <v>0</v>
      </c>
      <c r="F63" s="18">
        <f t="shared" si="1"/>
        <v>0</v>
      </c>
      <c r="G63" s="16">
        <v>1</v>
      </c>
      <c r="H63" s="16">
        <v>4</v>
      </c>
      <c r="I63" s="19">
        <f t="shared" si="2"/>
        <v>25</v>
      </c>
      <c r="J63" s="19">
        <f t="shared" si="3"/>
        <v>0.16806722689075632</v>
      </c>
      <c r="K63" s="16">
        <v>779</v>
      </c>
      <c r="L63" s="17">
        <v>835</v>
      </c>
      <c r="M63" s="18">
        <f t="shared" si="4"/>
        <v>93.293413173652695</v>
      </c>
      <c r="N63" s="16">
        <v>595</v>
      </c>
      <c r="O63" s="17">
        <v>651</v>
      </c>
      <c r="P63" s="18">
        <f t="shared" si="5"/>
        <v>91.397849462365585</v>
      </c>
      <c r="Q63" s="20">
        <f t="shared" si="6"/>
        <v>0</v>
      </c>
      <c r="R63" s="20">
        <f t="shared" si="7"/>
        <v>0.27352941176470591</v>
      </c>
    </row>
    <row r="64" spans="1:18" ht="14.4">
      <c r="A64" s="15">
        <v>20606</v>
      </c>
      <c r="B64" s="15" t="s">
        <v>99</v>
      </c>
      <c r="C64" s="16">
        <v>25</v>
      </c>
      <c r="D64" s="17">
        <v>52</v>
      </c>
      <c r="E64" s="18">
        <f t="shared" si="0"/>
        <v>48.07692307692308</v>
      </c>
      <c r="F64" s="18">
        <f t="shared" si="1"/>
        <v>1.0036130068245683</v>
      </c>
      <c r="G64" s="17">
        <v>19</v>
      </c>
      <c r="H64" s="16">
        <v>25</v>
      </c>
      <c r="I64" s="19">
        <f t="shared" si="2"/>
        <v>76</v>
      </c>
      <c r="J64" s="19">
        <f t="shared" si="3"/>
        <v>1.0832383124287344</v>
      </c>
      <c r="K64" s="17">
        <v>2491</v>
      </c>
      <c r="L64" s="17">
        <v>2765</v>
      </c>
      <c r="M64" s="18">
        <f t="shared" si="4"/>
        <v>90.090415913200729</v>
      </c>
      <c r="N64" s="17">
        <v>1754</v>
      </c>
      <c r="O64" s="17">
        <v>1834</v>
      </c>
      <c r="P64" s="18">
        <f t="shared" si="5"/>
        <v>95.637949836423118</v>
      </c>
      <c r="Q64" s="20">
        <f t="shared" si="6"/>
        <v>0.533651916128833</v>
      </c>
      <c r="R64" s="20">
        <f t="shared" si="7"/>
        <v>0.79466362599771956</v>
      </c>
    </row>
    <row r="65" spans="1:18" ht="14.4">
      <c r="A65" s="15">
        <v>20607</v>
      </c>
      <c r="B65" s="15" t="s">
        <v>100</v>
      </c>
      <c r="C65" s="16">
        <v>17</v>
      </c>
      <c r="D65" s="17">
        <v>36</v>
      </c>
      <c r="E65" s="18">
        <f t="shared" si="0"/>
        <v>47.222222222222221</v>
      </c>
      <c r="F65" s="18">
        <f t="shared" si="1"/>
        <v>0.47605712685522261</v>
      </c>
      <c r="G65" s="17">
        <v>44</v>
      </c>
      <c r="H65" s="16">
        <v>63</v>
      </c>
      <c r="I65" s="19">
        <f t="shared" si="2"/>
        <v>69.841269841269835</v>
      </c>
      <c r="J65" s="19">
        <f t="shared" si="3"/>
        <v>0.88</v>
      </c>
      <c r="K65" s="17">
        <v>3571</v>
      </c>
      <c r="L65" s="17">
        <v>4045</v>
      </c>
      <c r="M65" s="18">
        <f t="shared" si="4"/>
        <v>88.281829419035844</v>
      </c>
      <c r="N65" s="17">
        <v>5000</v>
      </c>
      <c r="O65" s="17">
        <v>5377</v>
      </c>
      <c r="P65" s="18">
        <f t="shared" si="5"/>
        <v>92.988655384043156</v>
      </c>
      <c r="Q65" s="20">
        <f t="shared" si="6"/>
        <v>0.53490307725815989</v>
      </c>
      <c r="R65" s="20">
        <f t="shared" si="7"/>
        <v>0.75107301587301578</v>
      </c>
    </row>
    <row r="66" spans="1:18" ht="14.4">
      <c r="A66" s="15">
        <v>20608</v>
      </c>
      <c r="B66" s="15" t="s">
        <v>101</v>
      </c>
      <c r="C66" s="16">
        <v>7</v>
      </c>
      <c r="D66" s="17">
        <v>13</v>
      </c>
      <c r="E66" s="18">
        <f t="shared" si="0"/>
        <v>53.846153846153847</v>
      </c>
      <c r="F66" s="18">
        <f t="shared" si="1"/>
        <v>0.32941176470588235</v>
      </c>
      <c r="G66" s="17">
        <v>21</v>
      </c>
      <c r="H66" s="16">
        <v>29</v>
      </c>
      <c r="I66" s="19">
        <f t="shared" si="2"/>
        <v>72.41379310344827</v>
      </c>
      <c r="J66" s="19">
        <f t="shared" si="3"/>
        <v>0.72041166380789023</v>
      </c>
      <c r="K66" s="17">
        <v>2125</v>
      </c>
      <c r="L66" s="17">
        <v>2585</v>
      </c>
      <c r="M66" s="18">
        <f t="shared" si="4"/>
        <v>82.205029013539658</v>
      </c>
      <c r="N66" s="17">
        <v>2915</v>
      </c>
      <c r="O66" s="17">
        <v>3234</v>
      </c>
      <c r="P66" s="18">
        <f t="shared" si="5"/>
        <v>90.136054421768705</v>
      </c>
      <c r="Q66" s="20">
        <f t="shared" si="6"/>
        <v>0.65502262443438908</v>
      </c>
      <c r="R66" s="20">
        <f t="shared" si="7"/>
        <v>0.80338321405335067</v>
      </c>
    </row>
    <row r="67" spans="1:18" ht="14.4">
      <c r="A67" s="15">
        <v>20701</v>
      </c>
      <c r="B67" s="15" t="s">
        <v>102</v>
      </c>
      <c r="C67" s="16">
        <v>23</v>
      </c>
      <c r="D67" s="17">
        <v>52</v>
      </c>
      <c r="E67" s="18">
        <f t="shared" si="0"/>
        <v>44.230769230769226</v>
      </c>
      <c r="F67" s="18">
        <f t="shared" si="1"/>
        <v>0.41765026330125299</v>
      </c>
      <c r="G67" s="17">
        <v>58</v>
      </c>
      <c r="H67" s="16">
        <v>77</v>
      </c>
      <c r="I67" s="19">
        <f t="shared" si="2"/>
        <v>75.324675324675326</v>
      </c>
      <c r="J67" s="19">
        <f t="shared" si="3"/>
        <v>1.1672368685852283</v>
      </c>
      <c r="K67" s="17">
        <v>5507</v>
      </c>
      <c r="L67" s="17">
        <v>6342</v>
      </c>
      <c r="M67" s="18">
        <f t="shared" si="4"/>
        <v>86.833806370230221</v>
      </c>
      <c r="N67" s="17">
        <v>4969</v>
      </c>
      <c r="O67" s="17">
        <v>5436</v>
      </c>
      <c r="P67" s="18">
        <f t="shared" si="5"/>
        <v>91.409124356144218</v>
      </c>
      <c r="Q67" s="20">
        <f t="shared" si="6"/>
        <v>0.5093726865108742</v>
      </c>
      <c r="R67" s="20">
        <f t="shared" si="7"/>
        <v>0.82403891138042884</v>
      </c>
    </row>
    <row r="68" spans="1:18" ht="14.4">
      <c r="A68" s="15">
        <v>20702</v>
      </c>
      <c r="B68" s="15" t="s">
        <v>103</v>
      </c>
      <c r="C68" s="16">
        <v>2</v>
      </c>
      <c r="D68" s="17">
        <v>6</v>
      </c>
      <c r="E68" s="18">
        <f t="shared" si="0"/>
        <v>33.333333333333329</v>
      </c>
      <c r="F68" s="18">
        <f t="shared" si="1"/>
        <v>0.15325670498084293</v>
      </c>
      <c r="G68" s="17">
        <v>15</v>
      </c>
      <c r="H68" s="16">
        <v>19</v>
      </c>
      <c r="I68" s="19">
        <f t="shared" si="2"/>
        <v>78.94736842105263</v>
      </c>
      <c r="J68" s="19">
        <f t="shared" si="3"/>
        <v>0.79323109465891073</v>
      </c>
      <c r="K68" s="17">
        <v>1305</v>
      </c>
      <c r="L68" s="17">
        <v>1684</v>
      </c>
      <c r="M68" s="18">
        <f t="shared" si="4"/>
        <v>77.494061757719706</v>
      </c>
      <c r="N68" s="17">
        <v>1891</v>
      </c>
      <c r="O68" s="17">
        <v>2079</v>
      </c>
      <c r="P68" s="18">
        <f t="shared" si="5"/>
        <v>90.95719095719096</v>
      </c>
      <c r="Q68" s="20">
        <f t="shared" si="6"/>
        <v>0.43014048531289911</v>
      </c>
      <c r="R68" s="20">
        <f t="shared" si="7"/>
        <v>0.86796181357677638</v>
      </c>
    </row>
    <row r="69" spans="1:18" ht="14.4">
      <c r="A69" s="15">
        <v>20801</v>
      </c>
      <c r="B69" s="15" t="s">
        <v>104</v>
      </c>
      <c r="C69" s="16">
        <v>167</v>
      </c>
      <c r="D69" s="17">
        <v>333</v>
      </c>
      <c r="E69" s="18">
        <f t="shared" si="0"/>
        <v>50.150150150150154</v>
      </c>
      <c r="F69" s="18">
        <f t="shared" si="1"/>
        <v>0.85852354513674678</v>
      </c>
      <c r="G69" s="17">
        <v>503</v>
      </c>
      <c r="H69" s="16">
        <v>550</v>
      </c>
      <c r="I69" s="19">
        <f t="shared" si="2"/>
        <v>91.454545454545453</v>
      </c>
      <c r="J69" s="19">
        <f t="shared" si="3"/>
        <v>1.8223977392123474</v>
      </c>
      <c r="K69" s="17">
        <v>19452</v>
      </c>
      <c r="L69" s="17">
        <v>21151</v>
      </c>
      <c r="M69" s="18">
        <f t="shared" si="4"/>
        <v>91.967282870786249</v>
      </c>
      <c r="N69" s="17">
        <v>27601</v>
      </c>
      <c r="O69" s="17">
        <v>28353</v>
      </c>
      <c r="P69" s="18">
        <f t="shared" si="5"/>
        <v>97.347723344972309</v>
      </c>
      <c r="Q69" s="20">
        <f t="shared" si="6"/>
        <v>0.54530424934496502</v>
      </c>
      <c r="R69" s="20">
        <f t="shared" si="7"/>
        <v>0.93946260181613972</v>
      </c>
    </row>
    <row r="70" spans="1:18" ht="14.4">
      <c r="A70" s="15">
        <v>20802</v>
      </c>
      <c r="B70" s="15" t="s">
        <v>105</v>
      </c>
      <c r="C70" s="16">
        <v>15</v>
      </c>
      <c r="D70" s="17">
        <v>23</v>
      </c>
      <c r="E70" s="18">
        <f t="shared" si="0"/>
        <v>65.217391304347828</v>
      </c>
      <c r="F70" s="18">
        <f t="shared" si="1"/>
        <v>0.9765625</v>
      </c>
      <c r="G70" s="17">
        <v>17</v>
      </c>
      <c r="H70" s="16">
        <v>22</v>
      </c>
      <c r="I70" s="19">
        <f t="shared" si="2"/>
        <v>77.272727272727266</v>
      </c>
      <c r="J70" s="19">
        <f t="shared" si="3"/>
        <v>1.0271903323262841</v>
      </c>
      <c r="K70" s="17">
        <v>1536</v>
      </c>
      <c r="L70" s="17">
        <v>1656</v>
      </c>
      <c r="M70" s="18">
        <f t="shared" si="4"/>
        <v>92.753623188405797</v>
      </c>
      <c r="N70" s="17">
        <v>1655</v>
      </c>
      <c r="O70" s="17">
        <v>1749</v>
      </c>
      <c r="P70" s="18">
        <f t="shared" si="5"/>
        <v>94.625500285877635</v>
      </c>
      <c r="Q70" s="20">
        <f t="shared" si="6"/>
        <v>0.703125</v>
      </c>
      <c r="R70" s="20">
        <f t="shared" si="7"/>
        <v>0.81661631419939573</v>
      </c>
    </row>
    <row r="71" spans="1:18" ht="14.4">
      <c r="A71" s="15">
        <v>20803</v>
      </c>
      <c r="B71" s="15" t="s">
        <v>106</v>
      </c>
      <c r="C71" s="16">
        <v>7</v>
      </c>
      <c r="D71" s="17">
        <v>22</v>
      </c>
      <c r="E71" s="18">
        <f t="shared" si="0"/>
        <v>31.818181818181817</v>
      </c>
      <c r="F71" s="18">
        <f t="shared" si="1"/>
        <v>0.2368064952638701</v>
      </c>
      <c r="G71" s="17">
        <v>24</v>
      </c>
      <c r="H71" s="16">
        <v>26</v>
      </c>
      <c r="I71" s="19">
        <f t="shared" si="2"/>
        <v>92.307692307692307</v>
      </c>
      <c r="J71" s="19">
        <f t="shared" si="3"/>
        <v>0.78508341511285573</v>
      </c>
      <c r="K71" s="17">
        <v>2956</v>
      </c>
      <c r="L71" s="17">
        <v>3247</v>
      </c>
      <c r="M71" s="18">
        <f t="shared" si="4"/>
        <v>91.0378811210348</v>
      </c>
      <c r="N71" s="17">
        <v>3057</v>
      </c>
      <c r="O71" s="17">
        <v>3207</v>
      </c>
      <c r="P71" s="18">
        <f t="shared" si="5"/>
        <v>95.322731524789532</v>
      </c>
      <c r="Q71" s="20">
        <f t="shared" si="6"/>
        <v>0.34950485914626644</v>
      </c>
      <c r="R71" s="20">
        <f t="shared" si="7"/>
        <v>0.96837019702574156</v>
      </c>
    </row>
    <row r="72" spans="1:18" ht="14.4">
      <c r="A72" s="15">
        <v>20804</v>
      </c>
      <c r="B72" s="15" t="s">
        <v>107</v>
      </c>
      <c r="C72" s="16">
        <v>6</v>
      </c>
      <c r="D72" s="17">
        <v>16</v>
      </c>
      <c r="E72" s="18">
        <f t="shared" si="0"/>
        <v>37.5</v>
      </c>
      <c r="F72" s="18">
        <f t="shared" si="1"/>
        <v>0.40026684456304207</v>
      </c>
      <c r="G72" s="17">
        <v>29</v>
      </c>
      <c r="H72" s="16">
        <v>32</v>
      </c>
      <c r="I72" s="19">
        <f t="shared" si="2"/>
        <v>90.625</v>
      </c>
      <c r="J72" s="19">
        <f t="shared" si="3"/>
        <v>1.5846994535519126</v>
      </c>
      <c r="K72" s="17">
        <v>1499</v>
      </c>
      <c r="L72" s="17">
        <v>1620</v>
      </c>
      <c r="M72" s="18">
        <f t="shared" si="4"/>
        <v>92.53086419753086</v>
      </c>
      <c r="N72" s="17">
        <v>1830</v>
      </c>
      <c r="O72" s="17">
        <v>1885</v>
      </c>
      <c r="P72" s="18">
        <f t="shared" si="5"/>
        <v>97.08222811671088</v>
      </c>
      <c r="Q72" s="20">
        <f t="shared" si="6"/>
        <v>0.40527018012008009</v>
      </c>
      <c r="R72" s="20">
        <f t="shared" si="7"/>
        <v>0.93348702185792343</v>
      </c>
    </row>
    <row r="73" spans="1:18" ht="14.4">
      <c r="A73" s="15">
        <v>20805</v>
      </c>
      <c r="B73" s="15" t="s">
        <v>108</v>
      </c>
      <c r="C73" s="16">
        <v>6</v>
      </c>
      <c r="D73" s="17">
        <v>12</v>
      </c>
      <c r="E73" s="18">
        <f t="shared" si="0"/>
        <v>50</v>
      </c>
      <c r="F73" s="18">
        <f t="shared" si="1"/>
        <v>0.51546391752577314</v>
      </c>
      <c r="G73" s="17">
        <v>12</v>
      </c>
      <c r="H73" s="16">
        <v>13</v>
      </c>
      <c r="I73" s="19">
        <f t="shared" si="2"/>
        <v>92.307692307692307</v>
      </c>
      <c r="J73" s="19">
        <f t="shared" si="3"/>
        <v>0.72992700729927007</v>
      </c>
      <c r="K73" s="17">
        <v>1164</v>
      </c>
      <c r="L73" s="17">
        <v>1303</v>
      </c>
      <c r="M73" s="18">
        <f t="shared" si="4"/>
        <v>89.332310053722182</v>
      </c>
      <c r="N73" s="17">
        <v>1644</v>
      </c>
      <c r="O73" s="17">
        <v>1726</v>
      </c>
      <c r="P73" s="18">
        <f t="shared" si="5"/>
        <v>95.249130938586319</v>
      </c>
      <c r="Q73" s="20">
        <f t="shared" si="6"/>
        <v>0.55970790378006874</v>
      </c>
      <c r="R73" s="20">
        <f t="shared" si="7"/>
        <v>0.96911847276810792</v>
      </c>
    </row>
    <row r="74" spans="1:18" ht="14.4">
      <c r="A74" s="15">
        <v>20806</v>
      </c>
      <c r="B74" s="15" t="s">
        <v>109</v>
      </c>
      <c r="C74" s="16">
        <v>15</v>
      </c>
      <c r="D74" s="17">
        <v>31</v>
      </c>
      <c r="E74" s="18">
        <f t="shared" si="0"/>
        <v>48.387096774193552</v>
      </c>
      <c r="F74" s="18">
        <f t="shared" si="1"/>
        <v>0.42432814710042432</v>
      </c>
      <c r="G74" s="17">
        <v>21</v>
      </c>
      <c r="H74" s="16">
        <v>25</v>
      </c>
      <c r="I74" s="19">
        <f t="shared" si="2"/>
        <v>84</v>
      </c>
      <c r="J74" s="19">
        <f t="shared" si="3"/>
        <v>0.53887605850654352</v>
      </c>
      <c r="K74" s="17">
        <v>3535</v>
      </c>
      <c r="L74" s="17">
        <v>3817</v>
      </c>
      <c r="M74" s="18">
        <f t="shared" si="4"/>
        <v>92.611998952056581</v>
      </c>
      <c r="N74" s="17">
        <v>3897</v>
      </c>
      <c r="O74" s="17">
        <v>4032</v>
      </c>
      <c r="P74" s="18">
        <f t="shared" si="5"/>
        <v>96.651785714285708</v>
      </c>
      <c r="Q74" s="20">
        <f t="shared" si="6"/>
        <v>0.52247114112332904</v>
      </c>
      <c r="R74" s="20">
        <f t="shared" si="7"/>
        <v>0.86909930715935335</v>
      </c>
    </row>
    <row r="75" spans="1:18" ht="14.4">
      <c r="A75" s="15">
        <v>20807</v>
      </c>
      <c r="B75" s="15" t="s">
        <v>110</v>
      </c>
      <c r="C75" s="16">
        <v>6</v>
      </c>
      <c r="D75" s="17">
        <v>9</v>
      </c>
      <c r="E75" s="18">
        <f t="shared" si="0"/>
        <v>66.666666666666657</v>
      </c>
      <c r="F75" s="18">
        <f t="shared" si="1"/>
        <v>0.45731707317073167</v>
      </c>
      <c r="G75" s="17">
        <v>9</v>
      </c>
      <c r="H75" s="16">
        <v>9</v>
      </c>
      <c r="I75" s="19">
        <f t="shared" si="2"/>
        <v>100</v>
      </c>
      <c r="J75" s="19">
        <f t="shared" si="3"/>
        <v>0.63920454545454553</v>
      </c>
      <c r="K75" s="17">
        <v>1312</v>
      </c>
      <c r="L75" s="17">
        <v>1428</v>
      </c>
      <c r="M75" s="18">
        <f t="shared" si="4"/>
        <v>91.876750700280112</v>
      </c>
      <c r="N75" s="17">
        <v>1408</v>
      </c>
      <c r="O75" s="17">
        <v>1448</v>
      </c>
      <c r="P75" s="18">
        <f t="shared" si="5"/>
        <v>97.237569060773481</v>
      </c>
      <c r="Q75" s="20">
        <f t="shared" si="6"/>
        <v>0.72560975609756084</v>
      </c>
      <c r="R75" s="20">
        <f t="shared" si="7"/>
        <v>1.0284090909090908</v>
      </c>
    </row>
    <row r="76" spans="1:18" ht="14.4">
      <c r="A76" s="15">
        <v>20901</v>
      </c>
      <c r="B76" s="15" t="s">
        <v>111</v>
      </c>
      <c r="C76" s="16">
        <v>12</v>
      </c>
      <c r="D76" s="17">
        <v>21</v>
      </c>
      <c r="E76" s="18">
        <f t="shared" si="0"/>
        <v>57.142857142857139</v>
      </c>
      <c r="F76" s="18">
        <f t="shared" si="1"/>
        <v>0.47318611987381703</v>
      </c>
      <c r="G76" s="17">
        <v>15</v>
      </c>
      <c r="H76" s="16">
        <v>22</v>
      </c>
      <c r="I76" s="19">
        <f t="shared" si="2"/>
        <v>68.181818181818173</v>
      </c>
      <c r="J76" s="19">
        <f t="shared" si="3"/>
        <v>0.71770334928229662</v>
      </c>
      <c r="K76" s="17">
        <v>2536</v>
      </c>
      <c r="L76" s="17">
        <v>2752</v>
      </c>
      <c r="M76" s="18">
        <f t="shared" si="4"/>
        <v>92.151162790697668</v>
      </c>
      <c r="N76" s="17">
        <v>2090</v>
      </c>
      <c r="O76" s="17">
        <v>2201</v>
      </c>
      <c r="P76" s="18">
        <f t="shared" si="5"/>
        <v>94.956837800999551</v>
      </c>
      <c r="Q76" s="20">
        <f t="shared" si="6"/>
        <v>0.62009914375844977</v>
      </c>
      <c r="R76" s="20">
        <f t="shared" si="7"/>
        <v>0.71802957807742485</v>
      </c>
    </row>
    <row r="77" spans="1:18" ht="14.4">
      <c r="A77" s="15">
        <v>20902</v>
      </c>
      <c r="B77" s="15" t="s">
        <v>112</v>
      </c>
      <c r="C77" s="16">
        <v>7</v>
      </c>
      <c r="D77" s="17">
        <v>17</v>
      </c>
      <c r="E77" s="18">
        <f t="shared" si="0"/>
        <v>41.17647058823529</v>
      </c>
      <c r="F77" s="18">
        <f t="shared" si="1"/>
        <v>0.23201856148491878</v>
      </c>
      <c r="G77" s="17">
        <v>23</v>
      </c>
      <c r="H77" s="16">
        <v>28</v>
      </c>
      <c r="I77" s="19">
        <f t="shared" si="2"/>
        <v>82.142857142857139</v>
      </c>
      <c r="J77" s="19">
        <f t="shared" si="3"/>
        <v>0.67866627323694306</v>
      </c>
      <c r="K77" s="17">
        <v>3017</v>
      </c>
      <c r="L77" s="17">
        <v>3337</v>
      </c>
      <c r="M77" s="18">
        <f t="shared" si="4"/>
        <v>90.410548396763559</v>
      </c>
      <c r="N77" s="17">
        <v>3389</v>
      </c>
      <c r="O77" s="17">
        <v>3585</v>
      </c>
      <c r="P77" s="18">
        <f t="shared" si="5"/>
        <v>94.532775453277537</v>
      </c>
      <c r="Q77" s="20">
        <f t="shared" si="6"/>
        <v>0.45543878804421994</v>
      </c>
      <c r="R77" s="20">
        <f t="shared" si="7"/>
        <v>0.86893521055515743</v>
      </c>
    </row>
    <row r="78" spans="1:18" ht="14.4">
      <c r="A78" s="15">
        <v>20903</v>
      </c>
      <c r="B78" s="15" t="s">
        <v>113</v>
      </c>
      <c r="C78" s="16">
        <v>4</v>
      </c>
      <c r="D78" s="17">
        <v>12</v>
      </c>
      <c r="E78" s="18">
        <f t="shared" si="0"/>
        <v>33.333333333333329</v>
      </c>
      <c r="F78" s="18">
        <f t="shared" si="1"/>
        <v>0.20597322348094746</v>
      </c>
      <c r="G78" s="17">
        <v>16</v>
      </c>
      <c r="H78" s="16">
        <v>22</v>
      </c>
      <c r="I78" s="19">
        <f t="shared" si="2"/>
        <v>72.727272727272734</v>
      </c>
      <c r="J78" s="19">
        <f t="shared" si="3"/>
        <v>0.60583112457402499</v>
      </c>
      <c r="K78" s="17">
        <v>1942</v>
      </c>
      <c r="L78" s="17">
        <v>2150</v>
      </c>
      <c r="M78" s="18">
        <f t="shared" si="4"/>
        <v>90.325581395348848</v>
      </c>
      <c r="N78" s="17">
        <v>2641</v>
      </c>
      <c r="O78" s="17">
        <v>2911</v>
      </c>
      <c r="P78" s="18">
        <f t="shared" si="5"/>
        <v>90.724836825833037</v>
      </c>
      <c r="Q78" s="20">
        <f t="shared" si="6"/>
        <v>0.36903535873669746</v>
      </c>
      <c r="R78" s="20">
        <f t="shared" si="7"/>
        <v>0.80162472892499415</v>
      </c>
    </row>
    <row r="79" spans="1:18" ht="14.4">
      <c r="A79" s="15">
        <v>20904</v>
      </c>
      <c r="B79" s="15" t="s">
        <v>114</v>
      </c>
      <c r="C79" s="16">
        <v>2</v>
      </c>
      <c r="D79" s="17">
        <v>4</v>
      </c>
      <c r="E79" s="18">
        <f t="shared" si="0"/>
        <v>50</v>
      </c>
      <c r="F79" s="18">
        <f t="shared" si="1"/>
        <v>0.16835016835016833</v>
      </c>
      <c r="G79" s="17">
        <v>6</v>
      </c>
      <c r="H79" s="16">
        <v>9</v>
      </c>
      <c r="I79" s="19">
        <f t="shared" si="2"/>
        <v>66.666666666666657</v>
      </c>
      <c r="J79" s="19">
        <f t="shared" si="3"/>
        <v>0.50377833753148615</v>
      </c>
      <c r="K79" s="17">
        <v>1188</v>
      </c>
      <c r="L79" s="17">
        <v>1323</v>
      </c>
      <c r="M79" s="18">
        <f t="shared" si="4"/>
        <v>89.795918367346943</v>
      </c>
      <c r="N79" s="17">
        <v>1191</v>
      </c>
      <c r="O79" s="17">
        <v>1319</v>
      </c>
      <c r="P79" s="18">
        <f t="shared" si="5"/>
        <v>90.295678544351773</v>
      </c>
      <c r="Q79" s="20">
        <f t="shared" si="6"/>
        <v>0.55681818181818177</v>
      </c>
      <c r="R79" s="20">
        <f t="shared" si="7"/>
        <v>0.73831514133781129</v>
      </c>
    </row>
    <row r="80" spans="1:18" ht="14.4">
      <c r="A80" s="15">
        <v>20905</v>
      </c>
      <c r="B80" s="15" t="s">
        <v>115</v>
      </c>
      <c r="C80" s="16">
        <v>9</v>
      </c>
      <c r="D80" s="17">
        <v>26</v>
      </c>
      <c r="E80" s="18">
        <f t="shared" si="0"/>
        <v>34.615384615384613</v>
      </c>
      <c r="F80" s="18">
        <f t="shared" si="1"/>
        <v>0.3038487508440243</v>
      </c>
      <c r="G80" s="17">
        <v>21</v>
      </c>
      <c r="H80" s="16">
        <v>32</v>
      </c>
      <c r="I80" s="19">
        <f t="shared" si="2"/>
        <v>65.625</v>
      </c>
      <c r="J80" s="19">
        <f t="shared" si="3"/>
        <v>0.66815144766146994</v>
      </c>
      <c r="K80" s="17">
        <v>2962</v>
      </c>
      <c r="L80" s="17">
        <v>3296</v>
      </c>
      <c r="M80" s="18">
        <f t="shared" si="4"/>
        <v>89.866504854368941</v>
      </c>
      <c r="N80" s="17">
        <v>3143</v>
      </c>
      <c r="O80" s="17">
        <v>3350</v>
      </c>
      <c r="P80" s="18">
        <f t="shared" si="5"/>
        <v>93.820895522388057</v>
      </c>
      <c r="Q80" s="20">
        <f t="shared" si="6"/>
        <v>0.38518672414688615</v>
      </c>
      <c r="R80" s="20">
        <f t="shared" si="7"/>
        <v>0.69947104677060135</v>
      </c>
    </row>
    <row r="81" spans="1:18" ht="14.4">
      <c r="A81" s="15">
        <v>21001</v>
      </c>
      <c r="B81" s="15" t="s">
        <v>116</v>
      </c>
      <c r="C81" s="16">
        <v>6</v>
      </c>
      <c r="D81" s="17">
        <v>21</v>
      </c>
      <c r="E81" s="18">
        <f t="shared" si="0"/>
        <v>28.571428571428569</v>
      </c>
      <c r="F81" s="18">
        <f t="shared" si="1"/>
        <v>0.16304347826086957</v>
      </c>
      <c r="G81" s="17">
        <v>19</v>
      </c>
      <c r="H81" s="16">
        <v>28</v>
      </c>
      <c r="I81" s="19">
        <f t="shared" si="2"/>
        <v>67.857142857142861</v>
      </c>
      <c r="J81" s="19">
        <f t="shared" si="3"/>
        <v>0.44853635505193573</v>
      </c>
      <c r="K81" s="17">
        <v>3680</v>
      </c>
      <c r="L81" s="17">
        <v>4345</v>
      </c>
      <c r="M81" s="18">
        <f t="shared" si="4"/>
        <v>84.69505178365938</v>
      </c>
      <c r="N81" s="17">
        <v>4236</v>
      </c>
      <c r="O81" s="17">
        <v>4513</v>
      </c>
      <c r="P81" s="18">
        <f t="shared" si="5"/>
        <v>93.862175936184357</v>
      </c>
      <c r="Q81" s="20">
        <f t="shared" si="6"/>
        <v>0.3373447204968944</v>
      </c>
      <c r="R81" s="20">
        <f t="shared" si="7"/>
        <v>0.72294448941049516</v>
      </c>
    </row>
    <row r="82" spans="1:18" ht="14.4">
      <c r="A82" s="15">
        <v>21002</v>
      </c>
      <c r="B82" s="15" t="s">
        <v>117</v>
      </c>
      <c r="C82" s="16">
        <v>11</v>
      </c>
      <c r="D82" s="17">
        <v>18</v>
      </c>
      <c r="E82" s="18">
        <f t="shared" si="0"/>
        <v>61.111111111111114</v>
      </c>
      <c r="F82" s="18">
        <f t="shared" si="1"/>
        <v>0.62571103526734928</v>
      </c>
      <c r="G82" s="17">
        <v>23</v>
      </c>
      <c r="H82" s="16">
        <v>30</v>
      </c>
      <c r="I82" s="19">
        <f t="shared" si="2"/>
        <v>76.666666666666671</v>
      </c>
      <c r="J82" s="19">
        <f t="shared" si="3"/>
        <v>1.056499770326137</v>
      </c>
      <c r="K82" s="17">
        <v>1758</v>
      </c>
      <c r="L82" s="17">
        <v>2000</v>
      </c>
      <c r="M82" s="18">
        <f t="shared" si="4"/>
        <v>87.9</v>
      </c>
      <c r="N82" s="17">
        <v>2177</v>
      </c>
      <c r="O82" s="17">
        <v>2291</v>
      </c>
      <c r="P82" s="18">
        <f t="shared" si="5"/>
        <v>95.024006983849858</v>
      </c>
      <c r="Q82" s="20">
        <f t="shared" si="6"/>
        <v>0.69523448363038809</v>
      </c>
      <c r="R82" s="20">
        <f t="shared" si="7"/>
        <v>0.80681365793905979</v>
      </c>
    </row>
    <row r="83" spans="1:18" ht="14.4">
      <c r="A83" s="15">
        <v>21003</v>
      </c>
      <c r="B83" s="15" t="s">
        <v>118</v>
      </c>
      <c r="C83" s="16">
        <v>6</v>
      </c>
      <c r="D83" s="17">
        <v>21</v>
      </c>
      <c r="E83" s="18">
        <f t="shared" si="0"/>
        <v>28.571428571428569</v>
      </c>
      <c r="F83" s="18">
        <f t="shared" si="1"/>
        <v>0.23800079333597779</v>
      </c>
      <c r="G83" s="17">
        <v>26</v>
      </c>
      <c r="H83" s="16">
        <v>36</v>
      </c>
      <c r="I83" s="19">
        <f t="shared" si="2"/>
        <v>72.222222222222214</v>
      </c>
      <c r="J83" s="19">
        <f t="shared" si="3"/>
        <v>0.75079410915391276</v>
      </c>
      <c r="K83" s="17">
        <v>2521</v>
      </c>
      <c r="L83" s="17">
        <v>2932</v>
      </c>
      <c r="M83" s="18">
        <f t="shared" si="4"/>
        <v>85.982264665757157</v>
      </c>
      <c r="N83" s="17">
        <v>3463</v>
      </c>
      <c r="O83" s="17">
        <v>3762</v>
      </c>
      <c r="P83" s="18">
        <f t="shared" si="5"/>
        <v>92.05209994683679</v>
      </c>
      <c r="Q83" s="20">
        <f t="shared" si="6"/>
        <v>0.33229444098146993</v>
      </c>
      <c r="R83" s="20">
        <f t="shared" si="7"/>
        <v>0.78457984406583881</v>
      </c>
    </row>
    <row r="84" spans="1:18" ht="14.4">
      <c r="A84" s="15">
        <v>21004</v>
      </c>
      <c r="B84" s="15" t="s">
        <v>119</v>
      </c>
      <c r="C84" s="16">
        <v>25</v>
      </c>
      <c r="D84" s="17">
        <v>47</v>
      </c>
      <c r="E84" s="18">
        <f t="shared" si="0"/>
        <v>53.191489361702125</v>
      </c>
      <c r="F84" s="18">
        <f t="shared" si="1"/>
        <v>0.50586806960744635</v>
      </c>
      <c r="G84" s="17">
        <v>64</v>
      </c>
      <c r="H84" s="16">
        <v>73</v>
      </c>
      <c r="I84" s="19">
        <f t="shared" si="2"/>
        <v>87.671232876712324</v>
      </c>
      <c r="J84" s="19">
        <f t="shared" si="3"/>
        <v>1.116733554353516</v>
      </c>
      <c r="K84" s="17">
        <v>4942</v>
      </c>
      <c r="L84" s="17">
        <v>5696</v>
      </c>
      <c r="M84" s="18">
        <f t="shared" si="4"/>
        <v>86.762640449438194</v>
      </c>
      <c r="N84" s="17">
        <v>5731</v>
      </c>
      <c r="O84" s="17">
        <v>6065</v>
      </c>
      <c r="P84" s="18">
        <f t="shared" si="5"/>
        <v>94.492992580379223</v>
      </c>
      <c r="Q84" s="20">
        <f t="shared" si="6"/>
        <v>0.61306904776255633</v>
      </c>
      <c r="R84" s="20">
        <f t="shared" si="7"/>
        <v>0.92780671330877729</v>
      </c>
    </row>
    <row r="85" spans="1:18" ht="14.4">
      <c r="A85" s="15">
        <v>21005</v>
      </c>
      <c r="B85" s="15" t="s">
        <v>120</v>
      </c>
      <c r="C85" s="16">
        <v>3</v>
      </c>
      <c r="D85" s="17">
        <v>10</v>
      </c>
      <c r="E85" s="18">
        <f t="shared" si="0"/>
        <v>30</v>
      </c>
      <c r="F85" s="18">
        <f t="shared" si="1"/>
        <v>0.14144271570014144</v>
      </c>
      <c r="G85" s="17">
        <v>16</v>
      </c>
      <c r="H85" s="16">
        <v>18</v>
      </c>
      <c r="I85" s="19">
        <f t="shared" si="2"/>
        <v>88.888888888888886</v>
      </c>
      <c r="J85" s="19">
        <f t="shared" si="3"/>
        <v>0.71942446043165476</v>
      </c>
      <c r="K85" s="17">
        <v>2121</v>
      </c>
      <c r="L85" s="17">
        <v>2361</v>
      </c>
      <c r="M85" s="18">
        <f t="shared" si="4"/>
        <v>89.834815756035582</v>
      </c>
      <c r="N85" s="17">
        <v>2224</v>
      </c>
      <c r="O85" s="17">
        <v>2424</v>
      </c>
      <c r="P85" s="18">
        <f t="shared" si="5"/>
        <v>91.749174917491743</v>
      </c>
      <c r="Q85" s="20">
        <f t="shared" si="6"/>
        <v>0.33394625176803394</v>
      </c>
      <c r="R85" s="20">
        <f t="shared" si="7"/>
        <v>0.96882494004796171</v>
      </c>
    </row>
    <row r="86" spans="1:18" ht="14.4">
      <c r="A86" s="15">
        <v>21006</v>
      </c>
      <c r="B86" s="15" t="s">
        <v>121</v>
      </c>
      <c r="C86" s="16">
        <v>1</v>
      </c>
      <c r="D86" s="17">
        <v>5</v>
      </c>
      <c r="E86" s="18">
        <f t="shared" si="0"/>
        <v>20</v>
      </c>
      <c r="F86" s="18">
        <f t="shared" si="1"/>
        <v>7.230657989877079E-2</v>
      </c>
      <c r="G86" s="17">
        <v>11</v>
      </c>
      <c r="H86" s="16">
        <v>12</v>
      </c>
      <c r="I86" s="19">
        <f t="shared" si="2"/>
        <v>91.666666666666657</v>
      </c>
      <c r="J86" s="19">
        <f t="shared" si="3"/>
        <v>0.61179087875417137</v>
      </c>
      <c r="K86" s="17">
        <v>1383</v>
      </c>
      <c r="L86" s="17">
        <v>1494</v>
      </c>
      <c r="M86" s="18">
        <f t="shared" si="4"/>
        <v>92.570281124497996</v>
      </c>
      <c r="N86" s="17">
        <v>1798</v>
      </c>
      <c r="O86" s="17">
        <v>1906</v>
      </c>
      <c r="P86" s="18">
        <f t="shared" si="5"/>
        <v>94.333683105981109</v>
      </c>
      <c r="Q86" s="20">
        <f t="shared" si="6"/>
        <v>0.21605206073752711</v>
      </c>
      <c r="R86" s="20">
        <f t="shared" si="7"/>
        <v>0.97172784575454196</v>
      </c>
    </row>
    <row r="87" spans="1:18" ht="14.4">
      <c r="A87" s="15">
        <v>21101</v>
      </c>
      <c r="B87" s="15" t="s">
        <v>122</v>
      </c>
      <c r="C87" s="16">
        <v>21</v>
      </c>
      <c r="D87" s="17">
        <v>51</v>
      </c>
      <c r="E87" s="18">
        <f t="shared" si="0"/>
        <v>41.17647058823529</v>
      </c>
      <c r="F87" s="18">
        <f t="shared" si="1"/>
        <v>0.51144666341938627</v>
      </c>
      <c r="G87" s="17">
        <v>49</v>
      </c>
      <c r="H87" s="16">
        <v>68</v>
      </c>
      <c r="I87" s="19">
        <f t="shared" si="2"/>
        <v>72.058823529411768</v>
      </c>
      <c r="J87" s="19">
        <f t="shared" si="3"/>
        <v>1.1691720353137676</v>
      </c>
      <c r="K87" s="17">
        <v>4106</v>
      </c>
      <c r="L87" s="17">
        <v>4572</v>
      </c>
      <c r="M87" s="18">
        <f t="shared" si="4"/>
        <v>89.807524059492565</v>
      </c>
      <c r="N87" s="17">
        <v>4191</v>
      </c>
      <c r="O87" s="17">
        <v>4453</v>
      </c>
      <c r="P87" s="18">
        <f t="shared" si="5"/>
        <v>94.116326072310798</v>
      </c>
      <c r="Q87" s="20">
        <f t="shared" si="6"/>
        <v>0.45849689120655562</v>
      </c>
      <c r="R87" s="20">
        <f t="shared" si="7"/>
        <v>0.76563574606650109</v>
      </c>
    </row>
    <row r="88" spans="1:18" ht="14.4">
      <c r="A88" s="15">
        <v>21102</v>
      </c>
      <c r="B88" s="15" t="s">
        <v>123</v>
      </c>
      <c r="C88" s="16">
        <v>15</v>
      </c>
      <c r="D88" s="17">
        <v>38</v>
      </c>
      <c r="E88" s="18">
        <f t="shared" si="0"/>
        <v>39.473684210526315</v>
      </c>
      <c r="F88" s="18">
        <f t="shared" si="1"/>
        <v>0.40453074433656955</v>
      </c>
      <c r="G88" s="17">
        <v>42</v>
      </c>
      <c r="H88" s="16">
        <v>56</v>
      </c>
      <c r="I88" s="19">
        <f t="shared" si="2"/>
        <v>75</v>
      </c>
      <c r="J88" s="19">
        <f t="shared" si="3"/>
        <v>0.82807570977917988</v>
      </c>
      <c r="K88" s="17">
        <v>3708</v>
      </c>
      <c r="L88" s="17">
        <v>4162</v>
      </c>
      <c r="M88" s="18">
        <f t="shared" si="4"/>
        <v>89.091782796732346</v>
      </c>
      <c r="N88" s="17">
        <v>5072</v>
      </c>
      <c r="O88" s="17">
        <v>5406</v>
      </c>
      <c r="P88" s="18">
        <f t="shared" si="5"/>
        <v>93.821679615242331</v>
      </c>
      <c r="Q88" s="20">
        <f t="shared" si="6"/>
        <v>0.44306762050757958</v>
      </c>
      <c r="R88" s="20">
        <f t="shared" si="7"/>
        <v>0.79938880126182954</v>
      </c>
    </row>
    <row r="89" spans="1:18" ht="14.4">
      <c r="A89" s="15">
        <v>21103</v>
      </c>
      <c r="B89" s="15" t="s">
        <v>124</v>
      </c>
      <c r="C89" s="16">
        <v>11</v>
      </c>
      <c r="D89" s="17">
        <v>24</v>
      </c>
      <c r="E89" s="18">
        <f t="shared" si="0"/>
        <v>45.833333333333329</v>
      </c>
      <c r="F89" s="18">
        <f t="shared" si="1"/>
        <v>0.81061164333087687</v>
      </c>
      <c r="G89" s="17">
        <v>16</v>
      </c>
      <c r="H89" s="16">
        <v>19</v>
      </c>
      <c r="I89" s="19">
        <f t="shared" si="2"/>
        <v>84.210526315789465</v>
      </c>
      <c r="J89" s="19">
        <f t="shared" si="3"/>
        <v>0.97264437689969607</v>
      </c>
      <c r="K89" s="17">
        <v>1357</v>
      </c>
      <c r="L89" s="17">
        <v>1474</v>
      </c>
      <c r="M89" s="18">
        <f t="shared" si="4"/>
        <v>92.062415196743558</v>
      </c>
      <c r="N89" s="17">
        <v>1645</v>
      </c>
      <c r="O89" s="17">
        <v>1715</v>
      </c>
      <c r="P89" s="18">
        <f t="shared" si="5"/>
        <v>95.918367346938766</v>
      </c>
      <c r="Q89" s="20">
        <f t="shared" si="6"/>
        <v>0.49785065094571351</v>
      </c>
      <c r="R89" s="20">
        <f t="shared" si="7"/>
        <v>0.87793952967525202</v>
      </c>
    </row>
    <row r="90" spans="1:18" ht="14.4">
      <c r="A90" s="15">
        <v>21104</v>
      </c>
      <c r="B90" s="15" t="s">
        <v>125</v>
      </c>
      <c r="C90" s="16">
        <v>38</v>
      </c>
      <c r="D90" s="17">
        <v>80</v>
      </c>
      <c r="E90" s="18">
        <f t="shared" si="0"/>
        <v>47.5</v>
      </c>
      <c r="F90" s="18">
        <f t="shared" si="1"/>
        <v>0.57220298147869297</v>
      </c>
      <c r="G90" s="17">
        <v>66</v>
      </c>
      <c r="H90" s="16">
        <v>85</v>
      </c>
      <c r="I90" s="19">
        <f t="shared" si="2"/>
        <v>77.64705882352942</v>
      </c>
      <c r="J90" s="19">
        <f t="shared" si="3"/>
        <v>1.0174194542932018</v>
      </c>
      <c r="K90" s="17">
        <v>6641</v>
      </c>
      <c r="L90" s="17">
        <v>7584</v>
      </c>
      <c r="M90" s="18">
        <f t="shared" si="4"/>
        <v>87.565928270042193</v>
      </c>
      <c r="N90" s="17">
        <v>6487</v>
      </c>
      <c r="O90" s="17">
        <v>7085</v>
      </c>
      <c r="P90" s="18">
        <f t="shared" si="5"/>
        <v>91.559633027522935</v>
      </c>
      <c r="Q90" s="20">
        <f t="shared" si="6"/>
        <v>0.54244842644180091</v>
      </c>
      <c r="R90" s="20">
        <f t="shared" si="7"/>
        <v>0.84804903925498065</v>
      </c>
    </row>
    <row r="91" spans="1:18" ht="14.4">
      <c r="A91" s="15">
        <v>21105</v>
      </c>
      <c r="B91" s="15" t="s">
        <v>126</v>
      </c>
      <c r="C91" s="16">
        <v>32</v>
      </c>
      <c r="D91" s="17">
        <v>81</v>
      </c>
      <c r="E91" s="18">
        <f t="shared" si="0"/>
        <v>39.506172839506171</v>
      </c>
      <c r="F91" s="18">
        <f t="shared" si="1"/>
        <v>0.34617048896581565</v>
      </c>
      <c r="G91" s="17">
        <v>73</v>
      </c>
      <c r="H91" s="16">
        <v>105</v>
      </c>
      <c r="I91" s="19">
        <f t="shared" si="2"/>
        <v>69.523809523809518</v>
      </c>
      <c r="J91" s="19">
        <f t="shared" si="3"/>
        <v>0.61062317022166457</v>
      </c>
      <c r="K91" s="17">
        <v>9244</v>
      </c>
      <c r="L91" s="17">
        <v>11227</v>
      </c>
      <c r="M91" s="18">
        <f t="shared" si="4"/>
        <v>82.33722276654494</v>
      </c>
      <c r="N91" s="17">
        <v>11955</v>
      </c>
      <c r="O91" s="17">
        <v>12955</v>
      </c>
      <c r="P91" s="18">
        <f t="shared" si="5"/>
        <v>92.280972597452731</v>
      </c>
      <c r="Q91" s="20">
        <f t="shared" si="6"/>
        <v>0.47980939254558175</v>
      </c>
      <c r="R91" s="20">
        <f t="shared" si="7"/>
        <v>0.75339268287825367</v>
      </c>
    </row>
    <row r="92" spans="1:18" ht="14.4">
      <c r="A92" s="15">
        <v>21201</v>
      </c>
      <c r="B92" s="15" t="s">
        <v>127</v>
      </c>
      <c r="C92" s="16">
        <v>28</v>
      </c>
      <c r="D92" s="17">
        <v>46</v>
      </c>
      <c r="E92" s="18">
        <f t="shared" si="0"/>
        <v>60.869565217391312</v>
      </c>
      <c r="F92" s="18">
        <f t="shared" si="1"/>
        <v>0.40270386883359699</v>
      </c>
      <c r="G92" s="17">
        <v>106</v>
      </c>
      <c r="H92" s="16">
        <v>136</v>
      </c>
      <c r="I92" s="19">
        <f t="shared" si="2"/>
        <v>77.941176470588232</v>
      </c>
      <c r="J92" s="19">
        <f t="shared" si="3"/>
        <v>0.91245588361883434</v>
      </c>
      <c r="K92" s="17">
        <v>6953</v>
      </c>
      <c r="L92" s="17">
        <v>7737</v>
      </c>
      <c r="M92" s="18">
        <f t="shared" si="4"/>
        <v>89.866873465167373</v>
      </c>
      <c r="N92" s="17">
        <v>11617</v>
      </c>
      <c r="O92" s="17">
        <v>12168</v>
      </c>
      <c r="P92" s="18">
        <f t="shared" si="5"/>
        <v>95.47172912557528</v>
      </c>
      <c r="Q92" s="20">
        <f t="shared" si="6"/>
        <v>0.67733039851424792</v>
      </c>
      <c r="R92" s="20">
        <f t="shared" si="7"/>
        <v>0.81637964646132188</v>
      </c>
    </row>
    <row r="93" spans="1:18" ht="14.4">
      <c r="A93" s="15">
        <v>21202</v>
      </c>
      <c r="B93" s="15" t="s">
        <v>128</v>
      </c>
      <c r="C93" s="16">
        <v>15</v>
      </c>
      <c r="D93" s="17">
        <v>36</v>
      </c>
      <c r="E93" s="18">
        <f t="shared" si="0"/>
        <v>41.666666666666671</v>
      </c>
      <c r="F93" s="18">
        <f t="shared" si="1"/>
        <v>0.26028110359187923</v>
      </c>
      <c r="G93" s="17">
        <v>109</v>
      </c>
      <c r="H93" s="16">
        <v>120</v>
      </c>
      <c r="I93" s="19">
        <f t="shared" si="2"/>
        <v>90.833333333333329</v>
      </c>
      <c r="J93" s="19">
        <f t="shared" si="3"/>
        <v>1.2184216409568522</v>
      </c>
      <c r="K93" s="17">
        <v>5763</v>
      </c>
      <c r="L93" s="17">
        <v>6384</v>
      </c>
      <c r="M93" s="18">
        <f t="shared" si="4"/>
        <v>90.272556390977442</v>
      </c>
      <c r="N93" s="17">
        <v>8946</v>
      </c>
      <c r="O93" s="17">
        <v>9403</v>
      </c>
      <c r="P93" s="18">
        <f t="shared" si="5"/>
        <v>95.139848984366694</v>
      </c>
      <c r="Q93" s="20">
        <f t="shared" si="6"/>
        <v>0.46156515703626588</v>
      </c>
      <c r="R93" s="20">
        <f t="shared" si="7"/>
        <v>0.95473489082644003</v>
      </c>
    </row>
    <row r="94" spans="1:18" ht="14.4">
      <c r="A94" s="15">
        <v>21203</v>
      </c>
      <c r="B94" s="15" t="s">
        <v>129</v>
      </c>
      <c r="C94" s="16">
        <v>21</v>
      </c>
      <c r="D94" s="17">
        <v>42</v>
      </c>
      <c r="E94" s="18">
        <f t="shared" si="0"/>
        <v>50</v>
      </c>
      <c r="F94" s="18">
        <f t="shared" si="1"/>
        <v>0.49481621112158342</v>
      </c>
      <c r="G94" s="17">
        <v>46</v>
      </c>
      <c r="H94" s="16">
        <v>50</v>
      </c>
      <c r="I94" s="19">
        <f t="shared" si="2"/>
        <v>92</v>
      </c>
      <c r="J94" s="19">
        <f t="shared" si="3"/>
        <v>1.0552879100711172</v>
      </c>
      <c r="K94" s="17">
        <v>4244</v>
      </c>
      <c r="L94" s="17">
        <v>4640</v>
      </c>
      <c r="M94" s="18">
        <f t="shared" si="4"/>
        <v>91.465517241379317</v>
      </c>
      <c r="N94" s="17">
        <v>4359</v>
      </c>
      <c r="O94" s="17">
        <v>4532</v>
      </c>
      <c r="P94" s="18">
        <f t="shared" si="5"/>
        <v>96.182700794351277</v>
      </c>
      <c r="Q94" s="20">
        <f t="shared" si="6"/>
        <v>0.5466540999057492</v>
      </c>
      <c r="R94" s="20">
        <f t="shared" si="7"/>
        <v>0.95651296168846067</v>
      </c>
    </row>
    <row r="95" spans="1:18" ht="14.4">
      <c r="A95" s="15">
        <v>21204</v>
      </c>
      <c r="B95" s="15" t="s">
        <v>130</v>
      </c>
      <c r="C95" s="16">
        <v>7</v>
      </c>
      <c r="D95" s="17">
        <v>16</v>
      </c>
      <c r="E95" s="18">
        <f t="shared" si="0"/>
        <v>43.75</v>
      </c>
      <c r="F95" s="18">
        <f t="shared" si="1"/>
        <v>0.39795338260375218</v>
      </c>
      <c r="G95" s="17">
        <v>23</v>
      </c>
      <c r="H95" s="16">
        <v>25</v>
      </c>
      <c r="I95" s="19">
        <f t="shared" si="2"/>
        <v>92</v>
      </c>
      <c r="J95" s="19">
        <f t="shared" si="3"/>
        <v>1.5829318651066757</v>
      </c>
      <c r="K95" s="17">
        <v>1759</v>
      </c>
      <c r="L95" s="17">
        <v>1966</v>
      </c>
      <c r="M95" s="18">
        <f t="shared" si="4"/>
        <v>89.471007121057994</v>
      </c>
      <c r="N95" s="17">
        <v>1453</v>
      </c>
      <c r="O95" s="17">
        <v>1498</v>
      </c>
      <c r="P95" s="18">
        <f t="shared" si="5"/>
        <v>96.995994659546056</v>
      </c>
      <c r="Q95" s="20">
        <f t="shared" si="6"/>
        <v>0.48898521887436036</v>
      </c>
      <c r="R95" s="20">
        <f t="shared" si="7"/>
        <v>0.94849277357192019</v>
      </c>
    </row>
    <row r="96" spans="1:18" ht="14.4">
      <c r="A96" s="15">
        <v>21301</v>
      </c>
      <c r="B96" s="15" t="s">
        <v>131</v>
      </c>
      <c r="C96" s="16">
        <v>24</v>
      </c>
      <c r="D96" s="17">
        <v>48</v>
      </c>
      <c r="E96" s="18">
        <f t="shared" si="0"/>
        <v>50</v>
      </c>
      <c r="F96" s="18">
        <f t="shared" si="1"/>
        <v>0.29776674937965258</v>
      </c>
      <c r="G96" s="17">
        <v>67</v>
      </c>
      <c r="H96" s="16">
        <v>82</v>
      </c>
      <c r="I96" s="19">
        <f t="shared" si="2"/>
        <v>81.707317073170728</v>
      </c>
      <c r="J96" s="19">
        <f t="shared" si="3"/>
        <v>0.89072055304440301</v>
      </c>
      <c r="K96" s="17">
        <v>8060</v>
      </c>
      <c r="L96" s="17">
        <v>8958</v>
      </c>
      <c r="M96" s="18">
        <f t="shared" si="4"/>
        <v>89.975440946639878</v>
      </c>
      <c r="N96" s="17">
        <v>7522</v>
      </c>
      <c r="O96" s="17">
        <v>7929</v>
      </c>
      <c r="P96" s="18">
        <f t="shared" si="5"/>
        <v>94.866944129146162</v>
      </c>
      <c r="Q96" s="20">
        <f t="shared" si="6"/>
        <v>0.5557071960297767</v>
      </c>
      <c r="R96" s="20">
        <f t="shared" si="7"/>
        <v>0.86128332501086247</v>
      </c>
    </row>
    <row r="97" spans="1:18" ht="14.4">
      <c r="A97" s="15">
        <v>21302</v>
      </c>
      <c r="B97" s="15" t="s">
        <v>132</v>
      </c>
      <c r="C97" s="16">
        <v>11</v>
      </c>
      <c r="D97" s="17">
        <v>29</v>
      </c>
      <c r="E97" s="18">
        <f t="shared" si="0"/>
        <v>37.931034482758619</v>
      </c>
      <c r="F97" s="18">
        <f t="shared" si="1"/>
        <v>0.57621791513881615</v>
      </c>
      <c r="G97" s="17">
        <v>16</v>
      </c>
      <c r="H97" s="16">
        <v>19</v>
      </c>
      <c r="I97" s="19">
        <f t="shared" si="2"/>
        <v>84.210526315789465</v>
      </c>
      <c r="J97" s="19">
        <f t="shared" si="3"/>
        <v>0.86862106406080353</v>
      </c>
      <c r="K97" s="17">
        <v>1909</v>
      </c>
      <c r="L97" s="17">
        <v>2119</v>
      </c>
      <c r="M97" s="18">
        <f t="shared" si="4"/>
        <v>90.089664936290703</v>
      </c>
      <c r="N97" s="17">
        <v>1842</v>
      </c>
      <c r="O97" s="17">
        <v>1934</v>
      </c>
      <c r="P97" s="18">
        <f t="shared" si="5"/>
        <v>95.243019648397109</v>
      </c>
      <c r="Q97" s="20">
        <f t="shared" si="6"/>
        <v>0.42103646971694875</v>
      </c>
      <c r="R97" s="20">
        <f t="shared" si="7"/>
        <v>0.88416480941768083</v>
      </c>
    </row>
    <row r="98" spans="1:18" ht="14.4">
      <c r="A98" s="15">
        <v>21303</v>
      </c>
      <c r="B98" s="15" t="s">
        <v>133</v>
      </c>
      <c r="C98" s="16">
        <v>8</v>
      </c>
      <c r="D98" s="17">
        <v>16</v>
      </c>
      <c r="E98" s="18">
        <f t="shared" si="0"/>
        <v>50</v>
      </c>
      <c r="F98" s="18">
        <f t="shared" si="1"/>
        <v>0.42038885969521805</v>
      </c>
      <c r="G98" s="17">
        <v>17</v>
      </c>
      <c r="H98" s="16">
        <v>22</v>
      </c>
      <c r="I98" s="19">
        <f t="shared" si="2"/>
        <v>77.272727272727266</v>
      </c>
      <c r="J98" s="19">
        <f t="shared" si="3"/>
        <v>0.66797642436149318</v>
      </c>
      <c r="K98" s="17">
        <v>1903</v>
      </c>
      <c r="L98" s="17">
        <v>2142</v>
      </c>
      <c r="M98" s="18">
        <f t="shared" si="4"/>
        <v>88.842203548085891</v>
      </c>
      <c r="N98" s="17">
        <v>2545</v>
      </c>
      <c r="O98" s="17">
        <v>2672</v>
      </c>
      <c r="P98" s="18">
        <f t="shared" si="5"/>
        <v>95.247005988023943</v>
      </c>
      <c r="Q98" s="20">
        <f t="shared" si="6"/>
        <v>0.56279558591697332</v>
      </c>
      <c r="R98" s="20">
        <f t="shared" si="7"/>
        <v>0.81128772995177711</v>
      </c>
    </row>
    <row r="99" spans="1:18" ht="14.4">
      <c r="A99" s="15">
        <v>21304</v>
      </c>
      <c r="B99" s="15" t="s">
        <v>134</v>
      </c>
      <c r="C99" s="16">
        <v>16</v>
      </c>
      <c r="D99" s="17">
        <v>31</v>
      </c>
      <c r="E99" s="18">
        <f t="shared" si="0"/>
        <v>51.612903225806448</v>
      </c>
      <c r="F99" s="18">
        <f t="shared" si="1"/>
        <v>0.49890863735578422</v>
      </c>
      <c r="G99" s="17">
        <v>40</v>
      </c>
      <c r="H99" s="16">
        <v>47</v>
      </c>
      <c r="I99" s="19">
        <f t="shared" si="2"/>
        <v>85.106382978723403</v>
      </c>
      <c r="J99" s="19">
        <f t="shared" si="3"/>
        <v>1.1570726063060457</v>
      </c>
      <c r="K99" s="17">
        <v>3207</v>
      </c>
      <c r="L99" s="17">
        <v>3578</v>
      </c>
      <c r="M99" s="18">
        <f t="shared" si="4"/>
        <v>89.631078814980441</v>
      </c>
      <c r="N99" s="17">
        <v>3457</v>
      </c>
      <c r="O99" s="17">
        <v>3614</v>
      </c>
      <c r="P99" s="18">
        <f t="shared" si="5"/>
        <v>95.655783065855005</v>
      </c>
      <c r="Q99" s="20">
        <f t="shared" si="6"/>
        <v>0.57583713047064378</v>
      </c>
      <c r="R99" s="20">
        <f t="shared" si="7"/>
        <v>0.88971497855107429</v>
      </c>
    </row>
    <row r="100" spans="1:18" ht="14.4">
      <c r="A100" s="15">
        <v>21305</v>
      </c>
      <c r="B100" s="15" t="s">
        <v>135</v>
      </c>
      <c r="C100" s="16">
        <v>24</v>
      </c>
      <c r="D100" s="17">
        <v>47</v>
      </c>
      <c r="E100" s="18">
        <f t="shared" si="0"/>
        <v>51.063829787234042</v>
      </c>
      <c r="F100" s="18">
        <f t="shared" si="1"/>
        <v>0.40268456375838929</v>
      </c>
      <c r="G100" s="17">
        <v>66</v>
      </c>
      <c r="H100" s="16">
        <v>75</v>
      </c>
      <c r="I100" s="19">
        <f t="shared" si="2"/>
        <v>88</v>
      </c>
      <c r="J100" s="19">
        <f t="shared" si="3"/>
        <v>1.0522959183673468</v>
      </c>
      <c r="K100" s="17">
        <v>5960</v>
      </c>
      <c r="L100" s="17">
        <v>6635</v>
      </c>
      <c r="M100" s="18">
        <f t="shared" si="4"/>
        <v>89.826676714393372</v>
      </c>
      <c r="N100" s="17">
        <v>6272</v>
      </c>
      <c r="O100" s="17">
        <v>6586</v>
      </c>
      <c r="P100" s="18">
        <f t="shared" si="5"/>
        <v>95.232310962648043</v>
      </c>
      <c r="Q100" s="20">
        <f t="shared" si="6"/>
        <v>0.56847065543338571</v>
      </c>
      <c r="R100" s="20">
        <f t="shared" si="7"/>
        <v>0.92405612244897961</v>
      </c>
    </row>
    <row r="101" spans="1:18" ht="14.4">
      <c r="A101" s="15">
        <v>21306</v>
      </c>
      <c r="B101" s="15" t="s">
        <v>136</v>
      </c>
      <c r="C101" s="16">
        <v>9</v>
      </c>
      <c r="D101" s="17">
        <v>22</v>
      </c>
      <c r="E101" s="18">
        <f t="shared" si="0"/>
        <v>40.909090909090914</v>
      </c>
      <c r="F101" s="18">
        <f t="shared" si="1"/>
        <v>0.37006578947368418</v>
      </c>
      <c r="G101" s="17">
        <v>24</v>
      </c>
      <c r="H101" s="16">
        <v>25</v>
      </c>
      <c r="I101" s="19">
        <f t="shared" si="2"/>
        <v>96</v>
      </c>
      <c r="J101" s="19">
        <f t="shared" si="3"/>
        <v>0.85046066619418847</v>
      </c>
      <c r="K101" s="17">
        <v>2432</v>
      </c>
      <c r="L101" s="17">
        <v>2689</v>
      </c>
      <c r="M101" s="18">
        <f t="shared" si="4"/>
        <v>90.442543696541463</v>
      </c>
      <c r="N101" s="17">
        <v>2822</v>
      </c>
      <c r="O101" s="17">
        <v>2965</v>
      </c>
      <c r="P101" s="18">
        <f t="shared" si="5"/>
        <v>95.177065767285001</v>
      </c>
      <c r="Q101" s="20">
        <f t="shared" si="6"/>
        <v>0.45232132177033496</v>
      </c>
      <c r="R101" s="20">
        <f t="shared" si="7"/>
        <v>1.0086463501063074</v>
      </c>
    </row>
    <row r="102" spans="1:18" ht="14.4">
      <c r="A102" s="15">
        <v>21307</v>
      </c>
      <c r="B102" s="15" t="s">
        <v>137</v>
      </c>
      <c r="C102" s="16">
        <v>3</v>
      </c>
      <c r="D102" s="17">
        <v>11</v>
      </c>
      <c r="E102" s="18">
        <f t="shared" si="0"/>
        <v>27.27272727272727</v>
      </c>
      <c r="F102" s="18">
        <f t="shared" si="1"/>
        <v>0.26269702276707529</v>
      </c>
      <c r="G102" s="17">
        <v>8</v>
      </c>
      <c r="H102" s="16">
        <v>12</v>
      </c>
      <c r="I102" s="19">
        <f t="shared" si="2"/>
        <v>66.666666666666657</v>
      </c>
      <c r="J102" s="19">
        <f t="shared" si="3"/>
        <v>0.74349442379182151</v>
      </c>
      <c r="K102" s="17">
        <v>1142</v>
      </c>
      <c r="L102" s="17">
        <v>1235</v>
      </c>
      <c r="M102" s="18">
        <f t="shared" si="4"/>
        <v>92.469635627530366</v>
      </c>
      <c r="N102" s="17">
        <v>1076</v>
      </c>
      <c r="O102" s="17">
        <v>1122</v>
      </c>
      <c r="P102" s="18">
        <f t="shared" si="5"/>
        <v>95.900178253119435</v>
      </c>
      <c r="Q102" s="20">
        <f t="shared" si="6"/>
        <v>0.29493711192485267</v>
      </c>
      <c r="R102" s="20">
        <f t="shared" si="7"/>
        <v>0.69516728624535307</v>
      </c>
    </row>
    <row r="103" spans="1:18" ht="14.4">
      <c r="A103" s="15">
        <v>21401</v>
      </c>
      <c r="B103" s="15" t="s">
        <v>138</v>
      </c>
      <c r="C103" s="16">
        <v>38</v>
      </c>
      <c r="D103" s="17">
        <v>80</v>
      </c>
      <c r="E103" s="18">
        <f t="shared" si="0"/>
        <v>47.5</v>
      </c>
      <c r="F103" s="18">
        <f t="shared" si="1"/>
        <v>0.85972850678733037</v>
      </c>
      <c r="G103" s="17">
        <v>75</v>
      </c>
      <c r="H103" s="16">
        <v>84</v>
      </c>
      <c r="I103" s="19">
        <f t="shared" si="2"/>
        <v>89.285714285714292</v>
      </c>
      <c r="J103" s="19">
        <f t="shared" si="3"/>
        <v>1.2690355329949239</v>
      </c>
      <c r="K103" s="17">
        <v>4420</v>
      </c>
      <c r="L103" s="17">
        <v>4888</v>
      </c>
      <c r="M103" s="18">
        <f t="shared" si="4"/>
        <v>90.425531914893625</v>
      </c>
      <c r="N103" s="17">
        <v>5910</v>
      </c>
      <c r="O103" s="17">
        <v>6243</v>
      </c>
      <c r="P103" s="18">
        <f t="shared" si="5"/>
        <v>94.666025949062941</v>
      </c>
      <c r="Q103" s="20">
        <f t="shared" si="6"/>
        <v>0.5252941176470588</v>
      </c>
      <c r="R103" s="20">
        <f t="shared" si="7"/>
        <v>0.94316533720087037</v>
      </c>
    </row>
    <row r="104" spans="1:18" ht="14.4">
      <c r="A104" s="15">
        <v>21402</v>
      </c>
      <c r="B104" s="15" t="s">
        <v>139</v>
      </c>
      <c r="C104" s="16">
        <v>24</v>
      </c>
      <c r="D104" s="17">
        <v>58</v>
      </c>
      <c r="E104" s="18">
        <f t="shared" si="0"/>
        <v>41.379310344827587</v>
      </c>
      <c r="F104" s="18">
        <f t="shared" si="1"/>
        <v>0.61871616395978346</v>
      </c>
      <c r="G104" s="17">
        <v>41</v>
      </c>
      <c r="H104" s="16">
        <v>54</v>
      </c>
      <c r="I104" s="19">
        <f t="shared" si="2"/>
        <v>75.925925925925924</v>
      </c>
      <c r="J104" s="19">
        <f t="shared" si="3"/>
        <v>0.79642579642579636</v>
      </c>
      <c r="K104" s="17">
        <v>3879</v>
      </c>
      <c r="L104" s="17">
        <v>4323</v>
      </c>
      <c r="M104" s="18">
        <f t="shared" si="4"/>
        <v>89.729354614850791</v>
      </c>
      <c r="N104" s="17">
        <v>5148</v>
      </c>
      <c r="O104" s="17">
        <v>5492</v>
      </c>
      <c r="P104" s="18">
        <f t="shared" si="5"/>
        <v>93.736343772760378</v>
      </c>
      <c r="Q104" s="20">
        <f t="shared" si="6"/>
        <v>0.46115689255140413</v>
      </c>
      <c r="R104" s="20">
        <f t="shared" si="7"/>
        <v>0.80999453221675444</v>
      </c>
    </row>
    <row r="105" spans="1:18" ht="14.4">
      <c r="A105" s="15">
        <v>21501</v>
      </c>
      <c r="B105" s="15" t="s">
        <v>140</v>
      </c>
      <c r="C105" s="16">
        <v>13</v>
      </c>
      <c r="D105" s="17">
        <v>33</v>
      </c>
      <c r="E105" s="18">
        <f t="shared" si="0"/>
        <v>39.393939393939391</v>
      </c>
      <c r="F105" s="18">
        <f t="shared" si="1"/>
        <v>0.57293962097840456</v>
      </c>
      <c r="G105" s="17">
        <v>46</v>
      </c>
      <c r="H105" s="16">
        <v>54</v>
      </c>
      <c r="I105" s="19">
        <f t="shared" si="2"/>
        <v>85.18518518518519</v>
      </c>
      <c r="J105" s="19">
        <f t="shared" si="3"/>
        <v>1.5171503957783641</v>
      </c>
      <c r="K105" s="17">
        <v>2269</v>
      </c>
      <c r="L105" s="17">
        <v>2713</v>
      </c>
      <c r="M105" s="18">
        <f t="shared" si="4"/>
        <v>83.634353114633242</v>
      </c>
      <c r="N105" s="17">
        <v>3032</v>
      </c>
      <c r="O105" s="17">
        <v>3535</v>
      </c>
      <c r="P105" s="18">
        <f t="shared" si="5"/>
        <v>85.770862800565766</v>
      </c>
      <c r="Q105" s="20">
        <f t="shared" si="6"/>
        <v>0.4710258156710338</v>
      </c>
      <c r="R105" s="20">
        <f t="shared" si="7"/>
        <v>0.99317160168083662</v>
      </c>
    </row>
    <row r="106" spans="1:18" ht="14.4">
      <c r="A106" s="15">
        <v>21502</v>
      </c>
      <c r="B106" s="15" t="s">
        <v>141</v>
      </c>
      <c r="C106" s="16">
        <v>12</v>
      </c>
      <c r="D106" s="17">
        <v>30</v>
      </c>
      <c r="E106" s="18">
        <f t="shared" si="0"/>
        <v>40</v>
      </c>
      <c r="F106" s="18">
        <f t="shared" si="1"/>
        <v>0.51172707889125801</v>
      </c>
      <c r="G106" s="17">
        <v>43</v>
      </c>
      <c r="H106" s="16">
        <v>52</v>
      </c>
      <c r="I106" s="19">
        <f t="shared" si="2"/>
        <v>82.692307692307693</v>
      </c>
      <c r="J106" s="19">
        <f t="shared" si="3"/>
        <v>1.5534682080924855</v>
      </c>
      <c r="K106" s="17">
        <v>2345</v>
      </c>
      <c r="L106" s="17">
        <v>2696</v>
      </c>
      <c r="M106" s="18">
        <f t="shared" si="4"/>
        <v>86.980712166172097</v>
      </c>
      <c r="N106" s="17">
        <v>2768</v>
      </c>
      <c r="O106" s="17">
        <v>2938</v>
      </c>
      <c r="P106" s="18">
        <f t="shared" si="5"/>
        <v>94.213750850918998</v>
      </c>
      <c r="Q106" s="20">
        <f t="shared" si="6"/>
        <v>0.45987206823027726</v>
      </c>
      <c r="R106" s="20">
        <f t="shared" si="7"/>
        <v>0.87770953757225434</v>
      </c>
    </row>
    <row r="107" spans="1:18" ht="14.4">
      <c r="A107" s="15">
        <v>21601</v>
      </c>
      <c r="B107" s="15" t="s">
        <v>142</v>
      </c>
      <c r="C107" s="16">
        <v>13</v>
      </c>
      <c r="D107" s="17">
        <v>26</v>
      </c>
      <c r="E107" s="18">
        <f t="shared" si="0"/>
        <v>50</v>
      </c>
      <c r="F107" s="18">
        <f t="shared" si="1"/>
        <v>0.39865072063784113</v>
      </c>
      <c r="G107" s="17">
        <v>33</v>
      </c>
      <c r="H107" s="16">
        <v>40</v>
      </c>
      <c r="I107" s="19">
        <f t="shared" si="2"/>
        <v>82.5</v>
      </c>
      <c r="J107" s="19">
        <f t="shared" si="3"/>
        <v>0.88400750066970257</v>
      </c>
      <c r="K107" s="17">
        <v>3261</v>
      </c>
      <c r="L107" s="17">
        <v>3802</v>
      </c>
      <c r="M107" s="18">
        <f t="shared" si="4"/>
        <v>85.770647027880059</v>
      </c>
      <c r="N107" s="17">
        <v>3733</v>
      </c>
      <c r="O107" s="17">
        <v>3998</v>
      </c>
      <c r="P107" s="18">
        <f t="shared" si="5"/>
        <v>93.371685842921465</v>
      </c>
      <c r="Q107" s="20">
        <f t="shared" si="6"/>
        <v>0.58295001533272006</v>
      </c>
      <c r="R107" s="20">
        <f t="shared" si="7"/>
        <v>0.88356549691936781</v>
      </c>
    </row>
    <row r="108" spans="1:18" ht="14.4">
      <c r="A108" s="15">
        <v>21602</v>
      </c>
      <c r="B108" s="15" t="s">
        <v>143</v>
      </c>
      <c r="C108" s="16">
        <v>1</v>
      </c>
      <c r="D108" s="17">
        <v>7</v>
      </c>
      <c r="E108" s="18">
        <f t="shared" si="0"/>
        <v>14.285714285714285</v>
      </c>
      <c r="F108" s="18">
        <f t="shared" si="1"/>
        <v>0.13020833333333331</v>
      </c>
      <c r="G108" s="16">
        <v>10</v>
      </c>
      <c r="H108" s="16">
        <v>27</v>
      </c>
      <c r="I108" s="19">
        <f t="shared" si="2"/>
        <v>37.037037037037038</v>
      </c>
      <c r="J108" s="19">
        <f t="shared" si="3"/>
        <v>0.62695924764890276</v>
      </c>
      <c r="K108" s="16">
        <v>768</v>
      </c>
      <c r="L108" s="17">
        <v>924</v>
      </c>
      <c r="M108" s="18">
        <f t="shared" si="4"/>
        <v>83.116883116883116</v>
      </c>
      <c r="N108" s="17">
        <v>1595</v>
      </c>
      <c r="O108" s="17">
        <v>1771</v>
      </c>
      <c r="P108" s="18">
        <f t="shared" si="5"/>
        <v>90.062111801242239</v>
      </c>
      <c r="Q108" s="20">
        <f t="shared" si="6"/>
        <v>0.171875</v>
      </c>
      <c r="R108" s="20">
        <f t="shared" si="7"/>
        <v>0.41123882503192849</v>
      </c>
    </row>
    <row r="109" spans="1:18" ht="14.4">
      <c r="A109" s="15">
        <v>21701</v>
      </c>
      <c r="B109" s="15" t="s">
        <v>144</v>
      </c>
      <c r="C109" s="16">
        <v>27</v>
      </c>
      <c r="D109" s="17">
        <v>55</v>
      </c>
      <c r="E109" s="18">
        <f t="shared" si="0"/>
        <v>49.090909090909093</v>
      </c>
      <c r="F109" s="18">
        <f t="shared" si="1"/>
        <v>0.75885328836424959</v>
      </c>
      <c r="G109" s="17">
        <v>35</v>
      </c>
      <c r="H109" s="16">
        <v>36</v>
      </c>
      <c r="I109" s="19">
        <f t="shared" si="2"/>
        <v>97.222222222222214</v>
      </c>
      <c r="J109" s="19">
        <f t="shared" si="3"/>
        <v>0.96899224806201545</v>
      </c>
      <c r="K109" s="17">
        <v>3558</v>
      </c>
      <c r="L109" s="17">
        <v>3831</v>
      </c>
      <c r="M109" s="18">
        <f t="shared" si="4"/>
        <v>92.873923257635084</v>
      </c>
      <c r="N109" s="17">
        <v>3612</v>
      </c>
      <c r="O109" s="17">
        <v>3707</v>
      </c>
      <c r="P109" s="18">
        <f t="shared" si="5"/>
        <v>97.437280820070143</v>
      </c>
      <c r="Q109" s="20">
        <f t="shared" si="6"/>
        <v>0.52857580867698917</v>
      </c>
      <c r="R109" s="20">
        <f t="shared" si="7"/>
        <v>0.99779285099052528</v>
      </c>
    </row>
    <row r="110" spans="1:18" ht="14.4">
      <c r="A110" s="15">
        <v>21702</v>
      </c>
      <c r="B110" s="15" t="s">
        <v>145</v>
      </c>
      <c r="C110" s="16">
        <v>8</v>
      </c>
      <c r="D110" s="17">
        <v>11</v>
      </c>
      <c r="E110" s="18">
        <f t="shared" si="0"/>
        <v>72.727272727272734</v>
      </c>
      <c r="F110" s="18">
        <f t="shared" si="1"/>
        <v>0.67453625632377734</v>
      </c>
      <c r="G110" s="17">
        <v>20</v>
      </c>
      <c r="H110" s="16">
        <v>20</v>
      </c>
      <c r="I110" s="19">
        <f t="shared" si="2"/>
        <v>100</v>
      </c>
      <c r="J110" s="19">
        <f t="shared" si="3"/>
        <v>1.2217470983506415</v>
      </c>
      <c r="K110" s="17">
        <v>1186</v>
      </c>
      <c r="L110" s="17">
        <v>1295</v>
      </c>
      <c r="M110" s="18">
        <f t="shared" si="4"/>
        <v>91.583011583011583</v>
      </c>
      <c r="N110" s="17">
        <v>1637</v>
      </c>
      <c r="O110" s="17">
        <v>1692</v>
      </c>
      <c r="P110" s="18">
        <f t="shared" si="5"/>
        <v>96.749408983451531</v>
      </c>
      <c r="Q110" s="20">
        <f t="shared" si="6"/>
        <v>0.79411313812662887</v>
      </c>
      <c r="R110" s="20">
        <f t="shared" si="7"/>
        <v>1.0335980452046427</v>
      </c>
    </row>
    <row r="111" spans="1:18" ht="14.4">
      <c r="A111" s="15">
        <v>21703</v>
      </c>
      <c r="B111" s="15" t="s">
        <v>146</v>
      </c>
      <c r="C111" s="16">
        <v>2</v>
      </c>
      <c r="D111" s="17">
        <v>2</v>
      </c>
      <c r="E111" s="18">
        <f t="shared" si="0"/>
        <v>100</v>
      </c>
      <c r="F111" s="18">
        <f t="shared" si="1"/>
        <v>0.15037593984962408</v>
      </c>
      <c r="G111" s="17">
        <v>5</v>
      </c>
      <c r="H111" s="16">
        <v>5</v>
      </c>
      <c r="I111" s="19">
        <f t="shared" si="2"/>
        <v>100</v>
      </c>
      <c r="J111" s="19">
        <f t="shared" si="3"/>
        <v>0.42553191489361702</v>
      </c>
      <c r="K111" s="17">
        <v>1330</v>
      </c>
      <c r="L111" s="17">
        <v>1418</v>
      </c>
      <c r="M111" s="18">
        <f t="shared" si="4"/>
        <v>93.794076163610711</v>
      </c>
      <c r="N111" s="17">
        <v>1175</v>
      </c>
      <c r="O111" s="17">
        <v>1277</v>
      </c>
      <c r="P111" s="18">
        <f t="shared" si="5"/>
        <v>92.012529365700857</v>
      </c>
      <c r="Q111" s="20">
        <f t="shared" si="6"/>
        <v>1.0661654135338348</v>
      </c>
      <c r="R111" s="20">
        <f t="shared" si="7"/>
        <v>1.0868085106382979</v>
      </c>
    </row>
    <row r="112" spans="1:18" ht="14.4">
      <c r="A112" s="15">
        <v>21801</v>
      </c>
      <c r="B112" s="15" t="s">
        <v>147</v>
      </c>
      <c r="C112" s="16">
        <v>3</v>
      </c>
      <c r="D112" s="17">
        <v>10</v>
      </c>
      <c r="E112" s="18">
        <f t="shared" si="0"/>
        <v>30</v>
      </c>
      <c r="F112" s="18">
        <f t="shared" si="1"/>
        <v>0.15633142261594579</v>
      </c>
      <c r="G112" s="17">
        <v>10</v>
      </c>
      <c r="H112" s="16">
        <v>14</v>
      </c>
      <c r="I112" s="19">
        <f t="shared" si="2"/>
        <v>71.428571428571431</v>
      </c>
      <c r="J112" s="19">
        <f t="shared" si="3"/>
        <v>0.56242969628796402</v>
      </c>
      <c r="K112" s="17">
        <v>1919</v>
      </c>
      <c r="L112" s="17">
        <v>2087</v>
      </c>
      <c r="M112" s="18">
        <f t="shared" si="4"/>
        <v>91.950167704839487</v>
      </c>
      <c r="N112" s="17">
        <v>1778</v>
      </c>
      <c r="O112" s="17">
        <v>1904</v>
      </c>
      <c r="P112" s="18">
        <f t="shared" si="5"/>
        <v>93.382352941176478</v>
      </c>
      <c r="Q112" s="20">
        <f t="shared" si="6"/>
        <v>0.32626367899947889</v>
      </c>
      <c r="R112" s="20">
        <f t="shared" si="7"/>
        <v>0.76490438695163099</v>
      </c>
    </row>
    <row r="113" spans="1:18" ht="14.4">
      <c r="A113" s="15">
        <v>21802</v>
      </c>
      <c r="B113" s="15" t="s">
        <v>148</v>
      </c>
      <c r="C113" s="16">
        <v>8</v>
      </c>
      <c r="D113" s="17">
        <v>16</v>
      </c>
      <c r="E113" s="18">
        <f t="shared" si="0"/>
        <v>50</v>
      </c>
      <c r="F113" s="18">
        <f t="shared" si="1"/>
        <v>0.55363321799307952</v>
      </c>
      <c r="G113" s="17">
        <v>4</v>
      </c>
      <c r="H113" s="16">
        <v>6</v>
      </c>
      <c r="I113" s="19">
        <f t="shared" si="2"/>
        <v>66.666666666666657</v>
      </c>
      <c r="J113" s="19">
        <f t="shared" si="3"/>
        <v>0.30651340996168586</v>
      </c>
      <c r="K113" s="17">
        <v>1445</v>
      </c>
      <c r="L113" s="17">
        <v>1633</v>
      </c>
      <c r="M113" s="18">
        <f t="shared" si="4"/>
        <v>88.487446417636249</v>
      </c>
      <c r="N113" s="17">
        <v>1305</v>
      </c>
      <c r="O113" s="17">
        <v>1351</v>
      </c>
      <c r="P113" s="18">
        <f t="shared" si="5"/>
        <v>96.59511472982976</v>
      </c>
      <c r="Q113" s="20">
        <f t="shared" si="6"/>
        <v>0.56505190311418685</v>
      </c>
      <c r="R113" s="20">
        <f t="shared" si="7"/>
        <v>0.6901660280970624</v>
      </c>
    </row>
    <row r="114" spans="1:18" ht="14.4">
      <c r="A114" s="15">
        <v>21803</v>
      </c>
      <c r="B114" s="15" t="s">
        <v>149</v>
      </c>
      <c r="C114" s="16">
        <v>3</v>
      </c>
      <c r="D114" s="17">
        <v>8</v>
      </c>
      <c r="E114" s="18">
        <f t="shared" si="0"/>
        <v>37.5</v>
      </c>
      <c r="F114" s="18">
        <f t="shared" si="1"/>
        <v>0.62893081761006298</v>
      </c>
      <c r="G114" s="16">
        <v>1</v>
      </c>
      <c r="H114" s="16">
        <v>1</v>
      </c>
      <c r="I114" s="19">
        <f t="shared" si="2"/>
        <v>100</v>
      </c>
      <c r="J114" s="19">
        <f t="shared" si="3"/>
        <v>0.22075055187637968</v>
      </c>
      <c r="K114" s="16">
        <v>477</v>
      </c>
      <c r="L114" s="17">
        <v>521</v>
      </c>
      <c r="M114" s="18">
        <f t="shared" si="4"/>
        <v>91.554702495201539</v>
      </c>
      <c r="N114" s="16">
        <v>453</v>
      </c>
      <c r="O114" s="17">
        <v>474</v>
      </c>
      <c r="P114" s="18">
        <f t="shared" si="5"/>
        <v>95.569620253164558</v>
      </c>
      <c r="Q114" s="20">
        <f t="shared" si="6"/>
        <v>0.40959119496855345</v>
      </c>
      <c r="R114" s="20">
        <f t="shared" si="7"/>
        <v>1.0463576158940397</v>
      </c>
    </row>
    <row r="115" spans="1:18" ht="14.4">
      <c r="A115" s="15">
        <v>21901</v>
      </c>
      <c r="B115" s="15" t="s">
        <v>150</v>
      </c>
      <c r="C115" s="16">
        <v>2</v>
      </c>
      <c r="D115" s="17">
        <v>5</v>
      </c>
      <c r="E115" s="18">
        <f t="shared" si="0"/>
        <v>40</v>
      </c>
      <c r="F115" s="18">
        <f t="shared" si="1"/>
        <v>0.21008403361344538</v>
      </c>
      <c r="G115" s="17">
        <v>19</v>
      </c>
      <c r="H115" s="16">
        <v>19</v>
      </c>
      <c r="I115" s="19">
        <f t="shared" si="2"/>
        <v>100</v>
      </c>
      <c r="J115" s="19">
        <f t="shared" si="3"/>
        <v>1.4074074074074074</v>
      </c>
      <c r="K115" s="17">
        <v>952</v>
      </c>
      <c r="L115" s="17">
        <v>1068</v>
      </c>
      <c r="M115" s="18">
        <f t="shared" si="4"/>
        <v>89.138576779026209</v>
      </c>
      <c r="N115" s="17">
        <v>1350</v>
      </c>
      <c r="O115" s="17">
        <v>1410</v>
      </c>
      <c r="P115" s="18">
        <f t="shared" si="5"/>
        <v>95.744680851063833</v>
      </c>
      <c r="Q115" s="20">
        <f t="shared" si="6"/>
        <v>0.44873949579831934</v>
      </c>
      <c r="R115" s="20">
        <f t="shared" si="7"/>
        <v>1.0444444444444445</v>
      </c>
    </row>
    <row r="116" spans="1:18" ht="14.4">
      <c r="A116" s="15">
        <v>21902</v>
      </c>
      <c r="B116" s="15" t="s">
        <v>151</v>
      </c>
      <c r="C116" s="16">
        <v>2</v>
      </c>
      <c r="D116" s="17">
        <v>2</v>
      </c>
      <c r="E116" s="18">
        <f t="shared" si="0"/>
        <v>100</v>
      </c>
      <c r="F116" s="18">
        <f t="shared" si="1"/>
        <v>0.26809651474530832</v>
      </c>
      <c r="G116" s="16">
        <v>7</v>
      </c>
      <c r="H116" s="16">
        <v>11</v>
      </c>
      <c r="I116" s="19">
        <f t="shared" si="2"/>
        <v>63.636363636363633</v>
      </c>
      <c r="J116" s="19">
        <f t="shared" si="3"/>
        <v>0.59171597633136097</v>
      </c>
      <c r="K116" s="16">
        <v>746</v>
      </c>
      <c r="L116" s="17">
        <v>809</v>
      </c>
      <c r="M116" s="18">
        <f t="shared" si="4"/>
        <v>92.212608158220021</v>
      </c>
      <c r="N116" s="17">
        <v>1183</v>
      </c>
      <c r="O116" s="17">
        <v>1275</v>
      </c>
      <c r="P116" s="18">
        <f t="shared" si="5"/>
        <v>92.784313725490193</v>
      </c>
      <c r="Q116" s="20">
        <f t="shared" si="6"/>
        <v>1.0844504021447721</v>
      </c>
      <c r="R116" s="20">
        <f t="shared" si="7"/>
        <v>0.68585260892953204</v>
      </c>
    </row>
    <row r="117" spans="1:18" ht="14.4">
      <c r="A117" s="15">
        <v>22001</v>
      </c>
      <c r="B117" s="15" t="s">
        <v>152</v>
      </c>
      <c r="C117" s="16">
        <v>55</v>
      </c>
      <c r="D117" s="17">
        <v>106</v>
      </c>
      <c r="E117" s="18">
        <f t="shared" si="0"/>
        <v>51.886792452830186</v>
      </c>
      <c r="F117" s="18">
        <f t="shared" si="1"/>
        <v>0.42402282013722914</v>
      </c>
      <c r="G117" s="17">
        <v>144</v>
      </c>
      <c r="H117" s="16">
        <v>182</v>
      </c>
      <c r="I117" s="19">
        <f t="shared" si="2"/>
        <v>79.120879120879124</v>
      </c>
      <c r="J117" s="19">
        <f t="shared" si="3"/>
        <v>1.051325107687815</v>
      </c>
      <c r="K117" s="17">
        <v>12971</v>
      </c>
      <c r="L117" s="17">
        <v>14681</v>
      </c>
      <c r="M117" s="18">
        <f t="shared" si="4"/>
        <v>88.352292078196299</v>
      </c>
      <c r="N117" s="17">
        <v>13697</v>
      </c>
      <c r="O117" s="17">
        <v>14565</v>
      </c>
      <c r="P117" s="18">
        <f t="shared" si="5"/>
        <v>94.040508067284591</v>
      </c>
      <c r="Q117" s="20">
        <f t="shared" si="6"/>
        <v>0.58727160589006244</v>
      </c>
      <c r="R117" s="20">
        <f t="shared" si="7"/>
        <v>0.84134891172928694</v>
      </c>
    </row>
    <row r="118" spans="1:18" ht="14.4">
      <c r="A118" s="15">
        <v>22002</v>
      </c>
      <c r="B118" s="15" t="s">
        <v>153</v>
      </c>
      <c r="C118" s="16">
        <v>9</v>
      </c>
      <c r="D118" s="17">
        <v>22</v>
      </c>
      <c r="E118" s="18">
        <f t="shared" si="0"/>
        <v>40.909090909090914</v>
      </c>
      <c r="F118" s="18">
        <f t="shared" si="1"/>
        <v>0.32703488372093026</v>
      </c>
      <c r="G118" s="17">
        <v>13</v>
      </c>
      <c r="H118" s="16">
        <v>16</v>
      </c>
      <c r="I118" s="19">
        <f t="shared" si="2"/>
        <v>81.25</v>
      </c>
      <c r="J118" s="19">
        <f t="shared" si="3"/>
        <v>0.51060487038491753</v>
      </c>
      <c r="K118" s="17">
        <v>2752</v>
      </c>
      <c r="L118" s="17">
        <v>3199</v>
      </c>
      <c r="M118" s="18">
        <f t="shared" si="4"/>
        <v>86.026883401062832</v>
      </c>
      <c r="N118" s="17">
        <v>2546</v>
      </c>
      <c r="O118" s="17">
        <v>2736</v>
      </c>
      <c r="P118" s="18">
        <f t="shared" si="5"/>
        <v>93.055555555555557</v>
      </c>
      <c r="Q118" s="20">
        <f t="shared" si="6"/>
        <v>0.47553845137420725</v>
      </c>
      <c r="R118" s="20">
        <f t="shared" si="7"/>
        <v>0.87313432835820892</v>
      </c>
    </row>
    <row r="119" spans="1:18" ht="14.4">
      <c r="A119" s="15">
        <v>30101</v>
      </c>
      <c r="B119" s="15" t="s">
        <v>31</v>
      </c>
      <c r="C119" s="16">
        <v>967</v>
      </c>
      <c r="D119" s="17">
        <v>2124</v>
      </c>
      <c r="E119" s="18">
        <f t="shared" si="0"/>
        <v>45.527306967984934</v>
      </c>
      <c r="F119" s="18">
        <f t="shared" si="1"/>
        <v>0.66967686533054471</v>
      </c>
      <c r="G119" s="17">
        <v>2861</v>
      </c>
      <c r="H119" s="17">
        <v>3146</v>
      </c>
      <c r="I119" s="19">
        <f t="shared" si="2"/>
        <v>90.940877304513663</v>
      </c>
      <c r="J119" s="19">
        <f t="shared" si="3"/>
        <v>1.9570020452415644</v>
      </c>
      <c r="K119" s="17">
        <v>144398</v>
      </c>
      <c r="L119" s="17">
        <v>155350</v>
      </c>
      <c r="M119" s="18">
        <f t="shared" si="4"/>
        <v>92.950112648857413</v>
      </c>
      <c r="N119" s="17">
        <v>146193</v>
      </c>
      <c r="O119" s="17">
        <v>149604</v>
      </c>
      <c r="P119" s="18">
        <f t="shared" si="5"/>
        <v>97.719980749177822</v>
      </c>
      <c r="Q119" s="20">
        <f t="shared" si="6"/>
        <v>0.48980367716148837</v>
      </c>
      <c r="R119" s="20">
        <f t="shared" si="7"/>
        <v>0.93062725358016207</v>
      </c>
    </row>
    <row r="120" spans="1:18" ht="14.4">
      <c r="A120" s="15">
        <v>30201</v>
      </c>
      <c r="B120" s="15" t="s">
        <v>154</v>
      </c>
      <c r="C120" s="16">
        <v>35</v>
      </c>
      <c r="D120" s="17">
        <v>76</v>
      </c>
      <c r="E120" s="18">
        <f t="shared" si="0"/>
        <v>46.05263157894737</v>
      </c>
      <c r="F120" s="18">
        <f t="shared" si="1"/>
        <v>0.52710843373493976</v>
      </c>
      <c r="G120" s="17">
        <v>72</v>
      </c>
      <c r="H120" s="16">
        <v>93</v>
      </c>
      <c r="I120" s="19">
        <f t="shared" si="2"/>
        <v>77.41935483870968</v>
      </c>
      <c r="J120" s="19">
        <f t="shared" si="3"/>
        <v>1.2797724848915748</v>
      </c>
      <c r="K120" s="17">
        <v>6640</v>
      </c>
      <c r="L120" s="17">
        <v>7743</v>
      </c>
      <c r="M120" s="18">
        <f t="shared" si="4"/>
        <v>85.754875371303115</v>
      </c>
      <c r="N120" s="17">
        <v>5626</v>
      </c>
      <c r="O120" s="17">
        <v>6098</v>
      </c>
      <c r="P120" s="18">
        <f t="shared" si="5"/>
        <v>92.259757297474593</v>
      </c>
      <c r="Q120" s="20">
        <f t="shared" si="6"/>
        <v>0.53702639505389982</v>
      </c>
      <c r="R120" s="20">
        <f t="shared" si="7"/>
        <v>0.83914544224395937</v>
      </c>
    </row>
    <row r="121" spans="1:18" ht="14.4">
      <c r="A121" s="15">
        <v>30202</v>
      </c>
      <c r="B121" s="15" t="s">
        <v>155</v>
      </c>
      <c r="C121" s="16">
        <v>0</v>
      </c>
      <c r="D121" s="17">
        <v>7</v>
      </c>
      <c r="E121" s="18">
        <f t="shared" si="0"/>
        <v>0</v>
      </c>
      <c r="F121" s="18">
        <f t="shared" si="1"/>
        <v>0</v>
      </c>
      <c r="G121" s="17">
        <v>9</v>
      </c>
      <c r="H121" s="16">
        <v>10</v>
      </c>
      <c r="I121" s="19">
        <f t="shared" si="2"/>
        <v>90</v>
      </c>
      <c r="J121" s="19">
        <f t="shared" si="3"/>
        <v>0.70038910505836582</v>
      </c>
      <c r="K121" s="17">
        <v>1714</v>
      </c>
      <c r="L121" s="17">
        <v>1890</v>
      </c>
      <c r="M121" s="18">
        <f t="shared" si="4"/>
        <v>90.687830687830683</v>
      </c>
      <c r="N121" s="17">
        <v>1285</v>
      </c>
      <c r="O121" s="17">
        <v>1335</v>
      </c>
      <c r="P121" s="18">
        <f t="shared" si="5"/>
        <v>96.254681647940075</v>
      </c>
      <c r="Q121" s="20">
        <f t="shared" si="6"/>
        <v>0</v>
      </c>
      <c r="R121" s="20">
        <f t="shared" si="7"/>
        <v>0.9350194552529183</v>
      </c>
    </row>
    <row r="122" spans="1:18" ht="14.4">
      <c r="A122" s="15">
        <v>30203</v>
      </c>
      <c r="B122" s="15" t="s">
        <v>156</v>
      </c>
      <c r="C122" s="16">
        <v>7</v>
      </c>
      <c r="D122" s="17">
        <v>17</v>
      </c>
      <c r="E122" s="18">
        <f t="shared" si="0"/>
        <v>41.17647058823529</v>
      </c>
      <c r="F122" s="18">
        <f t="shared" si="1"/>
        <v>0.45931758530183725</v>
      </c>
      <c r="G122" s="17">
        <v>15</v>
      </c>
      <c r="H122" s="16">
        <v>19</v>
      </c>
      <c r="I122" s="19">
        <f t="shared" si="2"/>
        <v>78.94736842105263</v>
      </c>
      <c r="J122" s="19">
        <f t="shared" si="3"/>
        <v>1.0395010395010396</v>
      </c>
      <c r="K122" s="17">
        <v>1524</v>
      </c>
      <c r="L122" s="17">
        <v>1834</v>
      </c>
      <c r="M122" s="18">
        <f t="shared" si="4"/>
        <v>83.097055616139585</v>
      </c>
      <c r="N122" s="17">
        <v>1443</v>
      </c>
      <c r="O122" s="17">
        <v>1580</v>
      </c>
      <c r="P122" s="18">
        <f t="shared" si="5"/>
        <v>91.329113924050631</v>
      </c>
      <c r="Q122" s="20">
        <f t="shared" si="6"/>
        <v>0.49552261849621732</v>
      </c>
      <c r="R122" s="20">
        <f t="shared" si="7"/>
        <v>0.86442718021665388</v>
      </c>
    </row>
    <row r="123" spans="1:18" ht="14.4">
      <c r="A123" s="15">
        <v>30301</v>
      </c>
      <c r="B123" s="15" t="s">
        <v>157</v>
      </c>
      <c r="C123" s="16">
        <v>14</v>
      </c>
      <c r="D123" s="17">
        <v>42</v>
      </c>
      <c r="E123" s="18">
        <f t="shared" si="0"/>
        <v>33.333333333333329</v>
      </c>
      <c r="F123" s="18">
        <f t="shared" si="1"/>
        <v>0.23155805491233872</v>
      </c>
      <c r="G123" s="17">
        <v>49</v>
      </c>
      <c r="H123" s="16">
        <v>63</v>
      </c>
      <c r="I123" s="19">
        <f t="shared" si="2"/>
        <v>77.777777777777786</v>
      </c>
      <c r="J123" s="19">
        <f t="shared" si="3"/>
        <v>0.91044221479004084</v>
      </c>
      <c r="K123" s="17">
        <v>6046</v>
      </c>
      <c r="L123" s="17">
        <v>7127</v>
      </c>
      <c r="M123" s="18">
        <f t="shared" si="4"/>
        <v>84.832327767644173</v>
      </c>
      <c r="N123" s="17">
        <v>5382</v>
      </c>
      <c r="O123" s="17">
        <v>5829</v>
      </c>
      <c r="P123" s="18">
        <f t="shared" si="5"/>
        <v>92.331446217189921</v>
      </c>
      <c r="Q123" s="20">
        <f t="shared" si="6"/>
        <v>0.39293196603815189</v>
      </c>
      <c r="R123" s="20">
        <f t="shared" si="7"/>
        <v>0.84237582063669025</v>
      </c>
    </row>
    <row r="124" spans="1:18" ht="14.4">
      <c r="A124" s="15">
        <v>30302</v>
      </c>
      <c r="B124" s="15" t="s">
        <v>158</v>
      </c>
      <c r="C124" s="16">
        <v>3</v>
      </c>
      <c r="D124" s="17">
        <v>21</v>
      </c>
      <c r="E124" s="18">
        <f t="shared" si="0"/>
        <v>14.285714285714285</v>
      </c>
      <c r="F124" s="18">
        <f t="shared" si="1"/>
        <v>9.8651759289707333E-2</v>
      </c>
      <c r="G124" s="17">
        <v>21</v>
      </c>
      <c r="H124" s="16">
        <v>22</v>
      </c>
      <c r="I124" s="19">
        <f t="shared" si="2"/>
        <v>95.454545454545453</v>
      </c>
      <c r="J124" s="19">
        <f t="shared" si="3"/>
        <v>0.59188275084554676</v>
      </c>
      <c r="K124" s="17">
        <v>3041</v>
      </c>
      <c r="L124" s="17">
        <v>3786</v>
      </c>
      <c r="M124" s="18">
        <f t="shared" si="4"/>
        <v>80.32223983095615</v>
      </c>
      <c r="N124" s="17">
        <v>3548</v>
      </c>
      <c r="O124" s="17">
        <v>3853</v>
      </c>
      <c r="P124" s="18">
        <f t="shared" si="5"/>
        <v>92.084090319231777</v>
      </c>
      <c r="Q124" s="20">
        <f t="shared" si="6"/>
        <v>0.17785502889087237</v>
      </c>
      <c r="R124" s="20">
        <f t="shared" si="7"/>
        <v>1.0366019268217688</v>
      </c>
    </row>
    <row r="125" spans="1:18" ht="14.4">
      <c r="A125" s="15">
        <v>30303</v>
      </c>
      <c r="B125" s="15" t="s">
        <v>159</v>
      </c>
      <c r="C125" s="16">
        <v>11</v>
      </c>
      <c r="D125" s="17">
        <v>23</v>
      </c>
      <c r="E125" s="18">
        <f t="shared" si="0"/>
        <v>47.826086956521742</v>
      </c>
      <c r="F125" s="18">
        <f t="shared" si="1"/>
        <v>0.25510204081632654</v>
      </c>
      <c r="G125" s="17">
        <v>41</v>
      </c>
      <c r="H125" s="16">
        <v>56</v>
      </c>
      <c r="I125" s="19">
        <f t="shared" si="2"/>
        <v>73.214285714285708</v>
      </c>
      <c r="J125" s="19">
        <f t="shared" si="3"/>
        <v>0.88610330667819315</v>
      </c>
      <c r="K125" s="17">
        <v>4312</v>
      </c>
      <c r="L125" s="17">
        <v>5756</v>
      </c>
      <c r="M125" s="18">
        <f t="shared" si="4"/>
        <v>74.913134120917306</v>
      </c>
      <c r="N125" s="17">
        <v>4627</v>
      </c>
      <c r="O125" s="17">
        <v>5326</v>
      </c>
      <c r="P125" s="18">
        <f t="shared" si="5"/>
        <v>86.87570409312805</v>
      </c>
      <c r="Q125" s="20">
        <f t="shared" si="6"/>
        <v>0.63842058562555459</v>
      </c>
      <c r="R125" s="20">
        <f t="shared" si="7"/>
        <v>0.84274753774429589</v>
      </c>
    </row>
    <row r="126" spans="1:18" ht="14.4">
      <c r="A126" s="15">
        <v>30401</v>
      </c>
      <c r="B126" s="15" t="s">
        <v>160</v>
      </c>
      <c r="C126" s="16">
        <v>13</v>
      </c>
      <c r="D126" s="17">
        <v>22</v>
      </c>
      <c r="E126" s="18">
        <f t="shared" si="0"/>
        <v>59.090909090909093</v>
      </c>
      <c r="F126" s="18">
        <f t="shared" si="1"/>
        <v>0.64356435643564358</v>
      </c>
      <c r="G126" s="17">
        <v>27</v>
      </c>
      <c r="H126" s="16">
        <v>33</v>
      </c>
      <c r="I126" s="19">
        <f t="shared" si="2"/>
        <v>81.818181818181827</v>
      </c>
      <c r="J126" s="19">
        <f t="shared" si="3"/>
        <v>1.1134020618556701</v>
      </c>
      <c r="K126" s="17">
        <v>2020</v>
      </c>
      <c r="L126" s="17">
        <v>2208</v>
      </c>
      <c r="M126" s="18">
        <f t="shared" si="4"/>
        <v>91.485507246376812</v>
      </c>
      <c r="N126" s="17">
        <v>2425</v>
      </c>
      <c r="O126" s="17">
        <v>2561</v>
      </c>
      <c r="P126" s="18">
        <f t="shared" si="5"/>
        <v>94.689574385005855</v>
      </c>
      <c r="Q126" s="20">
        <f t="shared" si="6"/>
        <v>0.64590459045904591</v>
      </c>
      <c r="R126" s="20">
        <f t="shared" si="7"/>
        <v>0.86406747891283986</v>
      </c>
    </row>
    <row r="127" spans="1:18" ht="14.4">
      <c r="A127" s="15">
        <v>30402</v>
      </c>
      <c r="B127" s="15" t="s">
        <v>161</v>
      </c>
      <c r="C127" s="16">
        <v>12</v>
      </c>
      <c r="D127" s="17">
        <v>24</v>
      </c>
      <c r="E127" s="18">
        <f t="shared" si="0"/>
        <v>50</v>
      </c>
      <c r="F127" s="18">
        <f t="shared" si="1"/>
        <v>0.6960556844547563</v>
      </c>
      <c r="G127" s="17">
        <v>13</v>
      </c>
      <c r="H127" s="16">
        <v>22</v>
      </c>
      <c r="I127" s="19">
        <f t="shared" si="2"/>
        <v>59.090909090909093</v>
      </c>
      <c r="J127" s="19">
        <f t="shared" si="3"/>
        <v>0.78549848942598199</v>
      </c>
      <c r="K127" s="17">
        <v>1724</v>
      </c>
      <c r="L127" s="17">
        <v>2060</v>
      </c>
      <c r="M127" s="18">
        <f t="shared" si="4"/>
        <v>83.689320388349515</v>
      </c>
      <c r="N127" s="17">
        <v>1655</v>
      </c>
      <c r="O127" s="17">
        <v>1831</v>
      </c>
      <c r="P127" s="18">
        <f t="shared" si="5"/>
        <v>90.387766247951944</v>
      </c>
      <c r="Q127" s="20">
        <f t="shared" si="6"/>
        <v>0.59744779582366592</v>
      </c>
      <c r="R127" s="20">
        <f t="shared" si="7"/>
        <v>0.65374897006316945</v>
      </c>
    </row>
    <row r="128" spans="1:18" ht="14.4">
      <c r="A128" s="15">
        <v>30403</v>
      </c>
      <c r="B128" s="15" t="s">
        <v>162</v>
      </c>
      <c r="C128" s="16">
        <v>15</v>
      </c>
      <c r="D128" s="17">
        <v>39</v>
      </c>
      <c r="E128" s="18">
        <f t="shared" si="0"/>
        <v>38.461538461538467</v>
      </c>
      <c r="F128" s="18">
        <f t="shared" si="1"/>
        <v>0.34578146611341631</v>
      </c>
      <c r="G128" s="17">
        <v>113</v>
      </c>
      <c r="H128" s="16">
        <v>134</v>
      </c>
      <c r="I128" s="19">
        <f t="shared" si="2"/>
        <v>84.328358208955223</v>
      </c>
      <c r="J128" s="19">
        <f t="shared" si="3"/>
        <v>1.5062649960010663</v>
      </c>
      <c r="K128" s="17">
        <v>4338</v>
      </c>
      <c r="L128" s="17">
        <v>4753</v>
      </c>
      <c r="M128" s="18">
        <f t="shared" si="4"/>
        <v>91.268672417420575</v>
      </c>
      <c r="N128" s="17">
        <v>7502</v>
      </c>
      <c r="O128" s="17">
        <v>7783</v>
      </c>
      <c r="P128" s="18">
        <f t="shared" si="5"/>
        <v>96.389567005010917</v>
      </c>
      <c r="Q128" s="20">
        <f t="shared" si="6"/>
        <v>0.42141007908642769</v>
      </c>
      <c r="R128" s="20">
        <f t="shared" si="7"/>
        <v>0.87487018387136561</v>
      </c>
    </row>
    <row r="129" spans="1:18" ht="14.4">
      <c r="A129" s="15">
        <v>30404</v>
      </c>
      <c r="B129" s="15" t="s">
        <v>163</v>
      </c>
      <c r="C129" s="16">
        <v>6</v>
      </c>
      <c r="D129" s="17">
        <v>10</v>
      </c>
      <c r="E129" s="18">
        <f t="shared" si="0"/>
        <v>60</v>
      </c>
      <c r="F129" s="18">
        <f t="shared" si="1"/>
        <v>0.51903114186851207</v>
      </c>
      <c r="G129" s="17">
        <v>4</v>
      </c>
      <c r="H129" s="16">
        <v>5</v>
      </c>
      <c r="I129" s="19">
        <f t="shared" si="2"/>
        <v>80</v>
      </c>
      <c r="J129" s="19">
        <f t="shared" si="3"/>
        <v>0.36231884057971014</v>
      </c>
      <c r="K129" s="17">
        <v>1156</v>
      </c>
      <c r="L129" s="17">
        <v>1328</v>
      </c>
      <c r="M129" s="18">
        <f t="shared" si="4"/>
        <v>87.048192771084345</v>
      </c>
      <c r="N129" s="17">
        <v>1104</v>
      </c>
      <c r="O129" s="17">
        <v>1211</v>
      </c>
      <c r="P129" s="18">
        <f t="shared" si="5"/>
        <v>91.164327002477293</v>
      </c>
      <c r="Q129" s="20">
        <f t="shared" si="6"/>
        <v>0.68927335640138399</v>
      </c>
      <c r="R129" s="20">
        <f t="shared" si="7"/>
        <v>0.87753623188405794</v>
      </c>
    </row>
    <row r="130" spans="1:18" ht="14.4">
      <c r="A130" s="15">
        <v>30501</v>
      </c>
      <c r="B130" s="15" t="s">
        <v>164</v>
      </c>
      <c r="C130" s="16">
        <v>13</v>
      </c>
      <c r="D130" s="17">
        <v>24</v>
      </c>
      <c r="E130" s="18">
        <f t="shared" si="0"/>
        <v>54.166666666666664</v>
      </c>
      <c r="F130" s="18">
        <f t="shared" si="1"/>
        <v>0.54759898904802018</v>
      </c>
      <c r="G130" s="17">
        <v>32</v>
      </c>
      <c r="H130" s="16">
        <v>35</v>
      </c>
      <c r="I130" s="19">
        <f t="shared" si="2"/>
        <v>91.428571428571431</v>
      </c>
      <c r="J130" s="19">
        <f t="shared" si="3"/>
        <v>1.3383521539104977</v>
      </c>
      <c r="K130" s="17">
        <v>2374</v>
      </c>
      <c r="L130" s="17">
        <v>2550</v>
      </c>
      <c r="M130" s="18">
        <f t="shared" si="4"/>
        <v>93.098039215686285</v>
      </c>
      <c r="N130" s="17">
        <v>2391</v>
      </c>
      <c r="O130" s="17">
        <v>2470</v>
      </c>
      <c r="P130" s="18">
        <f t="shared" si="5"/>
        <v>96.801619433198383</v>
      </c>
      <c r="Q130" s="20">
        <f t="shared" si="6"/>
        <v>0.58182392586352139</v>
      </c>
      <c r="R130" s="20">
        <f t="shared" si="7"/>
        <v>0.94449423433112267</v>
      </c>
    </row>
    <row r="131" spans="1:18" ht="14.4">
      <c r="A131" s="15">
        <v>30502</v>
      </c>
      <c r="B131" s="15" t="s">
        <v>165</v>
      </c>
      <c r="C131" s="16">
        <v>7</v>
      </c>
      <c r="D131" s="17">
        <v>17</v>
      </c>
      <c r="E131" s="18">
        <f t="shared" si="0"/>
        <v>41.17647058823529</v>
      </c>
      <c r="F131" s="18">
        <f t="shared" si="1"/>
        <v>0.30973451327433627</v>
      </c>
      <c r="G131" s="17">
        <v>15</v>
      </c>
      <c r="H131" s="16">
        <v>16</v>
      </c>
      <c r="I131" s="19">
        <f t="shared" si="2"/>
        <v>93.75</v>
      </c>
      <c r="J131" s="19">
        <f t="shared" si="3"/>
        <v>0.82417582417582425</v>
      </c>
      <c r="K131" s="17">
        <v>2260</v>
      </c>
      <c r="L131" s="17">
        <v>2501</v>
      </c>
      <c r="M131" s="18">
        <f t="shared" si="4"/>
        <v>90.363854458216707</v>
      </c>
      <c r="N131" s="17">
        <v>1820</v>
      </c>
      <c r="O131" s="17">
        <v>1898</v>
      </c>
      <c r="P131" s="18">
        <f t="shared" si="5"/>
        <v>95.890410958904098</v>
      </c>
      <c r="Q131" s="20">
        <f t="shared" si="6"/>
        <v>0.45567412805830293</v>
      </c>
      <c r="R131" s="20">
        <f t="shared" si="7"/>
        <v>0.97767857142857151</v>
      </c>
    </row>
    <row r="132" spans="1:18" ht="14.4">
      <c r="A132" s="15">
        <v>30601</v>
      </c>
      <c r="B132" s="15" t="s">
        <v>166</v>
      </c>
      <c r="C132" s="16">
        <v>3</v>
      </c>
      <c r="D132" s="17">
        <v>7</v>
      </c>
      <c r="E132" s="18">
        <f t="shared" si="0"/>
        <v>42.857142857142854</v>
      </c>
      <c r="F132" s="18">
        <f t="shared" si="1"/>
        <v>0.11177347242921014</v>
      </c>
      <c r="G132" s="17">
        <v>27</v>
      </c>
      <c r="H132" s="16">
        <v>33</v>
      </c>
      <c r="I132" s="19">
        <f t="shared" si="2"/>
        <v>81.818181818181827</v>
      </c>
      <c r="J132" s="19">
        <f t="shared" si="3"/>
        <v>0.99191770756796482</v>
      </c>
      <c r="K132" s="17">
        <v>2684</v>
      </c>
      <c r="L132" s="17">
        <v>3405</v>
      </c>
      <c r="M132" s="18">
        <f t="shared" si="4"/>
        <v>78.825256975036709</v>
      </c>
      <c r="N132" s="17">
        <v>2722</v>
      </c>
      <c r="O132" s="17">
        <v>3072</v>
      </c>
      <c r="P132" s="18">
        <f t="shared" si="5"/>
        <v>88.606770833333343</v>
      </c>
      <c r="Q132" s="20">
        <f t="shared" si="6"/>
        <v>0.54369810517351502</v>
      </c>
      <c r="R132" s="20">
        <f t="shared" si="7"/>
        <v>0.92338521140872354</v>
      </c>
    </row>
    <row r="133" spans="1:18" ht="14.4">
      <c r="A133" s="15">
        <v>30602</v>
      </c>
      <c r="B133" s="15" t="s">
        <v>167</v>
      </c>
      <c r="C133" s="16">
        <v>11</v>
      </c>
      <c r="D133" s="17">
        <v>21</v>
      </c>
      <c r="E133" s="18">
        <f t="shared" si="0"/>
        <v>52.380952380952387</v>
      </c>
      <c r="F133" s="18">
        <f t="shared" si="1"/>
        <v>0.42536736272235115</v>
      </c>
      <c r="G133" s="17">
        <v>32</v>
      </c>
      <c r="H133" s="16">
        <v>38</v>
      </c>
      <c r="I133" s="19">
        <f t="shared" si="2"/>
        <v>84.210526315789465</v>
      </c>
      <c r="J133" s="19">
        <f t="shared" si="3"/>
        <v>1.2583562721195438</v>
      </c>
      <c r="K133" s="17">
        <v>2586</v>
      </c>
      <c r="L133" s="17">
        <v>3212</v>
      </c>
      <c r="M133" s="18">
        <f t="shared" si="4"/>
        <v>80.510585305105849</v>
      </c>
      <c r="N133" s="17">
        <v>2543</v>
      </c>
      <c r="O133" s="17">
        <v>2771</v>
      </c>
      <c r="P133" s="18">
        <f t="shared" si="5"/>
        <v>91.771923493323712</v>
      </c>
      <c r="Q133" s="20">
        <f t="shared" si="6"/>
        <v>0.65060950907818671</v>
      </c>
      <c r="R133" s="20">
        <f t="shared" si="7"/>
        <v>0.91760663948506727</v>
      </c>
    </row>
    <row r="134" spans="1:18" ht="14.4">
      <c r="A134" s="15">
        <v>30701</v>
      </c>
      <c r="B134" s="15" t="s">
        <v>168</v>
      </c>
      <c r="C134" s="16">
        <v>20</v>
      </c>
      <c r="D134" s="17">
        <v>37</v>
      </c>
      <c r="E134" s="18">
        <f t="shared" si="0"/>
        <v>54.054054054054056</v>
      </c>
      <c r="F134" s="18">
        <f t="shared" si="1"/>
        <v>0.37785754770451541</v>
      </c>
      <c r="G134" s="17">
        <v>73</v>
      </c>
      <c r="H134" s="16">
        <v>81</v>
      </c>
      <c r="I134" s="19">
        <f t="shared" si="2"/>
        <v>90.123456790123456</v>
      </c>
      <c r="J134" s="19">
        <f t="shared" si="3"/>
        <v>1.4579588575993609</v>
      </c>
      <c r="K134" s="17">
        <v>5293</v>
      </c>
      <c r="L134" s="17">
        <v>5826</v>
      </c>
      <c r="M134" s="18">
        <f t="shared" si="4"/>
        <v>90.851355990387916</v>
      </c>
      <c r="N134" s="17">
        <v>5007</v>
      </c>
      <c r="O134" s="17">
        <v>5180</v>
      </c>
      <c r="P134" s="18">
        <f t="shared" si="5"/>
        <v>96.660231660231659</v>
      </c>
      <c r="Q134" s="20">
        <f t="shared" si="6"/>
        <v>0.5949724521422991</v>
      </c>
      <c r="R134" s="20">
        <f t="shared" si="7"/>
        <v>0.93237368918082586</v>
      </c>
    </row>
    <row r="135" spans="1:18" ht="14.4">
      <c r="A135" s="15">
        <v>30702</v>
      </c>
      <c r="B135" s="15" t="s">
        <v>169</v>
      </c>
      <c r="C135" s="16">
        <v>2</v>
      </c>
      <c r="D135" s="17">
        <v>9</v>
      </c>
      <c r="E135" s="18">
        <f t="shared" si="0"/>
        <v>22.222222222222221</v>
      </c>
      <c r="F135" s="18">
        <f t="shared" si="1"/>
        <v>0.13966480446927373</v>
      </c>
      <c r="G135" s="17">
        <v>18</v>
      </c>
      <c r="H135" s="16">
        <v>21</v>
      </c>
      <c r="I135" s="19">
        <f t="shared" si="2"/>
        <v>85.714285714285708</v>
      </c>
      <c r="J135" s="19">
        <f t="shared" si="3"/>
        <v>1.0922330097087378</v>
      </c>
      <c r="K135" s="17">
        <v>1432</v>
      </c>
      <c r="L135" s="17">
        <v>1560</v>
      </c>
      <c r="M135" s="18">
        <f t="shared" si="4"/>
        <v>91.794871794871796</v>
      </c>
      <c r="N135" s="17">
        <v>1648</v>
      </c>
      <c r="O135" s="17">
        <v>1735</v>
      </c>
      <c r="P135" s="18">
        <f t="shared" si="5"/>
        <v>94.985590778097986</v>
      </c>
      <c r="Q135" s="20">
        <f t="shared" si="6"/>
        <v>0.24208566108007448</v>
      </c>
      <c r="R135" s="20">
        <f t="shared" si="7"/>
        <v>0.90239251040221902</v>
      </c>
    </row>
    <row r="136" spans="1:18" ht="14.4">
      <c r="A136" s="15">
        <v>30703</v>
      </c>
      <c r="B136" s="15" t="s">
        <v>170</v>
      </c>
      <c r="C136" s="16">
        <v>3</v>
      </c>
      <c r="D136" s="17">
        <v>7</v>
      </c>
      <c r="E136" s="18">
        <f t="shared" si="0"/>
        <v>42.857142857142854</v>
      </c>
      <c r="F136" s="18">
        <f t="shared" si="1"/>
        <v>0.33112582781456956</v>
      </c>
      <c r="G136" s="17">
        <v>7</v>
      </c>
      <c r="H136" s="16">
        <v>11</v>
      </c>
      <c r="I136" s="19">
        <f t="shared" si="2"/>
        <v>63.636363636363633</v>
      </c>
      <c r="J136" s="19">
        <f t="shared" si="3"/>
        <v>0.67961165048543692</v>
      </c>
      <c r="K136" s="17">
        <v>906</v>
      </c>
      <c r="L136" s="17">
        <v>1067</v>
      </c>
      <c r="M136" s="18">
        <f t="shared" si="4"/>
        <v>84.910965323336455</v>
      </c>
      <c r="N136" s="17">
        <v>1030</v>
      </c>
      <c r="O136" s="17">
        <v>1101</v>
      </c>
      <c r="P136" s="18">
        <f t="shared" si="5"/>
        <v>93.551316984559492</v>
      </c>
      <c r="Q136" s="20">
        <f t="shared" si="6"/>
        <v>0.50473036896877954</v>
      </c>
      <c r="R136" s="20">
        <f t="shared" si="7"/>
        <v>0.68022947925860544</v>
      </c>
    </row>
    <row r="137" spans="1:18" ht="14.4">
      <c r="A137" s="15">
        <v>30801</v>
      </c>
      <c r="B137" s="15" t="s">
        <v>171</v>
      </c>
      <c r="C137" s="16">
        <v>24</v>
      </c>
      <c r="D137" s="17">
        <v>49</v>
      </c>
      <c r="E137" s="18">
        <f t="shared" si="0"/>
        <v>48.979591836734691</v>
      </c>
      <c r="F137" s="18">
        <f t="shared" si="1"/>
        <v>0.46421663442940037</v>
      </c>
      <c r="G137" s="17">
        <v>56</v>
      </c>
      <c r="H137" s="16">
        <v>63</v>
      </c>
      <c r="I137" s="19">
        <f t="shared" si="2"/>
        <v>88.888888888888886</v>
      </c>
      <c r="J137" s="19">
        <f t="shared" si="3"/>
        <v>1.24972104440973</v>
      </c>
      <c r="K137" s="17">
        <v>5170</v>
      </c>
      <c r="L137" s="17">
        <v>5604</v>
      </c>
      <c r="M137" s="18">
        <f t="shared" si="4"/>
        <v>92.255531763026411</v>
      </c>
      <c r="N137" s="17">
        <v>4481</v>
      </c>
      <c r="O137" s="17">
        <v>4687</v>
      </c>
      <c r="P137" s="18">
        <f t="shared" si="5"/>
        <v>95.60486451888201</v>
      </c>
      <c r="Q137" s="20">
        <f t="shared" si="6"/>
        <v>0.53091224884537946</v>
      </c>
      <c r="R137" s="20">
        <f t="shared" si="7"/>
        <v>0.9297527833568896</v>
      </c>
    </row>
    <row r="138" spans="1:18" ht="14.4">
      <c r="A138" s="15">
        <v>30802</v>
      </c>
      <c r="B138" s="15" t="s">
        <v>172</v>
      </c>
      <c r="C138" s="16">
        <v>9</v>
      </c>
      <c r="D138" s="17">
        <v>15</v>
      </c>
      <c r="E138" s="18">
        <f t="shared" si="0"/>
        <v>60</v>
      </c>
      <c r="F138" s="18">
        <f t="shared" si="1"/>
        <v>0.61182868796736911</v>
      </c>
      <c r="G138" s="17">
        <v>16</v>
      </c>
      <c r="H138" s="16">
        <v>16</v>
      </c>
      <c r="I138" s="19">
        <f t="shared" si="2"/>
        <v>100</v>
      </c>
      <c r="J138" s="19">
        <f t="shared" si="3"/>
        <v>1.0624169986719787</v>
      </c>
      <c r="K138" s="17">
        <v>1471</v>
      </c>
      <c r="L138" s="17">
        <v>1599</v>
      </c>
      <c r="M138" s="18">
        <f t="shared" si="4"/>
        <v>91.99499687304565</v>
      </c>
      <c r="N138" s="17">
        <v>1506</v>
      </c>
      <c r="O138" s="17">
        <v>1582</v>
      </c>
      <c r="P138" s="18">
        <f t="shared" si="5"/>
        <v>95.19595448798988</v>
      </c>
      <c r="Q138" s="20">
        <f t="shared" si="6"/>
        <v>0.65220938137321549</v>
      </c>
      <c r="R138" s="20">
        <f t="shared" si="7"/>
        <v>1.0504648074369192</v>
      </c>
    </row>
    <row r="139" spans="1:18" ht="14.4">
      <c r="A139" s="15">
        <v>30803</v>
      </c>
      <c r="B139" s="15" t="s">
        <v>173</v>
      </c>
      <c r="C139" s="16">
        <v>5</v>
      </c>
      <c r="D139" s="17">
        <v>12</v>
      </c>
      <c r="E139" s="18">
        <f t="shared" si="0"/>
        <v>41.666666666666671</v>
      </c>
      <c r="F139" s="18">
        <f t="shared" si="1"/>
        <v>0.3543586109142452</v>
      </c>
      <c r="G139" s="17">
        <v>19</v>
      </c>
      <c r="H139" s="16">
        <v>22</v>
      </c>
      <c r="I139" s="19">
        <f t="shared" si="2"/>
        <v>86.36363636363636</v>
      </c>
      <c r="J139" s="19">
        <f t="shared" si="3"/>
        <v>1.1222681630242175</v>
      </c>
      <c r="K139" s="17">
        <v>1411</v>
      </c>
      <c r="L139" s="17">
        <v>1541</v>
      </c>
      <c r="M139" s="18">
        <f t="shared" si="4"/>
        <v>91.563919532770939</v>
      </c>
      <c r="N139" s="17">
        <v>1693</v>
      </c>
      <c r="O139" s="17">
        <v>1825</v>
      </c>
      <c r="P139" s="18">
        <f t="shared" si="5"/>
        <v>92.767123287671239</v>
      </c>
      <c r="Q139" s="20">
        <f t="shared" si="6"/>
        <v>0.45505551618237655</v>
      </c>
      <c r="R139" s="20">
        <f t="shared" si="7"/>
        <v>0.93097245341781654</v>
      </c>
    </row>
    <row r="140" spans="1:18" ht="14.4">
      <c r="A140" s="15">
        <v>30901</v>
      </c>
      <c r="B140" s="15" t="s">
        <v>174</v>
      </c>
      <c r="C140" s="16">
        <v>168</v>
      </c>
      <c r="D140" s="17">
        <v>352</v>
      </c>
      <c r="E140" s="18">
        <f t="shared" si="0"/>
        <v>47.727272727272727</v>
      </c>
      <c r="F140" s="18">
        <f t="shared" si="1"/>
        <v>0.48872727272727273</v>
      </c>
      <c r="G140" s="17">
        <v>649</v>
      </c>
      <c r="H140" s="16">
        <v>716</v>
      </c>
      <c r="I140" s="19">
        <f t="shared" si="2"/>
        <v>90.642458100558656</v>
      </c>
      <c r="J140" s="19">
        <f t="shared" si="3"/>
        <v>1.6086256041640847</v>
      </c>
      <c r="K140" s="17">
        <v>34375</v>
      </c>
      <c r="L140" s="17">
        <v>37128</v>
      </c>
      <c r="M140" s="18">
        <f t="shared" si="4"/>
        <v>92.585110967463919</v>
      </c>
      <c r="N140" s="17">
        <v>40345</v>
      </c>
      <c r="O140" s="17">
        <v>41386</v>
      </c>
      <c r="P140" s="18">
        <f t="shared" si="5"/>
        <v>97.48465664717537</v>
      </c>
      <c r="Q140" s="20">
        <f t="shared" si="6"/>
        <v>0.51549619834710736</v>
      </c>
      <c r="R140" s="20">
        <f t="shared" si="7"/>
        <v>0.92981255941249741</v>
      </c>
    </row>
    <row r="141" spans="1:18" ht="14.4">
      <c r="A141" s="15">
        <v>30902</v>
      </c>
      <c r="B141" s="15" t="s">
        <v>175</v>
      </c>
      <c r="C141" s="16">
        <v>33</v>
      </c>
      <c r="D141" s="17">
        <v>76</v>
      </c>
      <c r="E141" s="18">
        <f t="shared" si="0"/>
        <v>43.421052631578952</v>
      </c>
      <c r="F141" s="18">
        <f t="shared" si="1"/>
        <v>0.29532844102380529</v>
      </c>
      <c r="G141" s="17">
        <v>167</v>
      </c>
      <c r="H141" s="16">
        <v>197</v>
      </c>
      <c r="I141" s="19">
        <f t="shared" si="2"/>
        <v>84.771573604060919</v>
      </c>
      <c r="J141" s="19">
        <f t="shared" si="3"/>
        <v>1.1111850422516467</v>
      </c>
      <c r="K141" s="17">
        <v>11174</v>
      </c>
      <c r="L141" s="17">
        <v>12462</v>
      </c>
      <c r="M141" s="18">
        <f t="shared" si="4"/>
        <v>89.664580324185522</v>
      </c>
      <c r="N141" s="17">
        <v>15029</v>
      </c>
      <c r="O141" s="17">
        <v>15594</v>
      </c>
      <c r="P141" s="18">
        <f t="shared" si="5"/>
        <v>96.376811594202891</v>
      </c>
      <c r="Q141" s="20">
        <f t="shared" si="6"/>
        <v>0.48426092526824494</v>
      </c>
      <c r="R141" s="20">
        <f t="shared" si="7"/>
        <v>0.87958474867371483</v>
      </c>
    </row>
    <row r="142" spans="1:18" ht="14.4">
      <c r="A142" s="15">
        <v>30903</v>
      </c>
      <c r="B142" s="15" t="s">
        <v>176</v>
      </c>
      <c r="C142" s="16">
        <v>74</v>
      </c>
      <c r="D142" s="17">
        <v>167</v>
      </c>
      <c r="E142" s="18">
        <f t="shared" si="0"/>
        <v>44.311377245508979</v>
      </c>
      <c r="F142" s="18">
        <f t="shared" si="1"/>
        <v>0.52959278608745441</v>
      </c>
      <c r="G142" s="17">
        <v>288</v>
      </c>
      <c r="H142" s="16">
        <v>310</v>
      </c>
      <c r="I142" s="19">
        <f t="shared" si="2"/>
        <v>92.903225806451616</v>
      </c>
      <c r="J142" s="19">
        <f t="shared" si="3"/>
        <v>1.9645293315143246</v>
      </c>
      <c r="K142" s="17">
        <v>13973</v>
      </c>
      <c r="L142" s="17">
        <v>15191</v>
      </c>
      <c r="M142" s="18">
        <f t="shared" si="4"/>
        <v>91.982094661312615</v>
      </c>
      <c r="N142" s="17">
        <v>14660</v>
      </c>
      <c r="O142" s="17">
        <v>15065</v>
      </c>
      <c r="P142" s="18">
        <f t="shared" si="5"/>
        <v>97.311649518752077</v>
      </c>
      <c r="Q142" s="20">
        <f t="shared" si="6"/>
        <v>0.48173916248230653</v>
      </c>
      <c r="R142" s="20">
        <f t="shared" si="7"/>
        <v>0.95469788320204196</v>
      </c>
    </row>
    <row r="143" spans="1:18" ht="14.4">
      <c r="A143" s="15">
        <v>30904</v>
      </c>
      <c r="B143" s="15" t="s">
        <v>177</v>
      </c>
      <c r="C143" s="16">
        <v>48</v>
      </c>
      <c r="D143" s="17">
        <v>115</v>
      </c>
      <c r="E143" s="18">
        <f t="shared" si="0"/>
        <v>41.739130434782609</v>
      </c>
      <c r="F143" s="18">
        <f t="shared" si="1"/>
        <v>0.34231921266581089</v>
      </c>
      <c r="G143" s="17">
        <v>193</v>
      </c>
      <c r="H143" s="16">
        <v>232</v>
      </c>
      <c r="I143" s="19">
        <f t="shared" si="2"/>
        <v>83.189655172413794</v>
      </c>
      <c r="J143" s="19">
        <f t="shared" si="3"/>
        <v>1.3216462370745738</v>
      </c>
      <c r="K143" s="17">
        <v>14022</v>
      </c>
      <c r="L143" s="17">
        <v>15251</v>
      </c>
      <c r="M143" s="18">
        <f t="shared" si="4"/>
        <v>91.941512031997902</v>
      </c>
      <c r="N143" s="17">
        <v>14603</v>
      </c>
      <c r="O143" s="17">
        <v>15013</v>
      </c>
      <c r="P143" s="18">
        <f t="shared" si="5"/>
        <v>97.269033504296274</v>
      </c>
      <c r="Q143" s="20">
        <f t="shared" si="6"/>
        <v>0.45397480977098104</v>
      </c>
      <c r="R143" s="20">
        <f t="shared" si="7"/>
        <v>0.85525323091381789</v>
      </c>
    </row>
    <row r="144" spans="1:18" ht="14.4">
      <c r="A144" s="15">
        <v>30905</v>
      </c>
      <c r="B144" s="15" t="s">
        <v>178</v>
      </c>
      <c r="C144" s="16">
        <v>67</v>
      </c>
      <c r="D144" s="17">
        <v>160</v>
      </c>
      <c r="E144" s="18">
        <f t="shared" si="0"/>
        <v>41.875</v>
      </c>
      <c r="F144" s="18">
        <f t="shared" si="1"/>
        <v>0.5516673528200905</v>
      </c>
      <c r="G144" s="17">
        <v>274</v>
      </c>
      <c r="H144" s="16">
        <v>321</v>
      </c>
      <c r="I144" s="19">
        <f t="shared" si="2"/>
        <v>85.35825545171339</v>
      </c>
      <c r="J144" s="19">
        <f t="shared" si="3"/>
        <v>1.7983722761879757</v>
      </c>
      <c r="K144" s="17">
        <v>12145</v>
      </c>
      <c r="L144" s="17">
        <v>13030</v>
      </c>
      <c r="M144" s="18">
        <f t="shared" si="4"/>
        <v>93.207981580967001</v>
      </c>
      <c r="N144" s="17">
        <v>15236</v>
      </c>
      <c r="O144" s="17">
        <v>15536</v>
      </c>
      <c r="P144" s="18">
        <f t="shared" si="5"/>
        <v>98.069001029866115</v>
      </c>
      <c r="Q144" s="20">
        <f t="shared" si="6"/>
        <v>0.44926410045286125</v>
      </c>
      <c r="R144" s="20">
        <f t="shared" si="7"/>
        <v>0.87038977205160095</v>
      </c>
    </row>
    <row r="145" spans="1:18" ht="14.4">
      <c r="A145" s="15">
        <v>31001</v>
      </c>
      <c r="B145" s="15" t="s">
        <v>179</v>
      </c>
      <c r="C145" s="16">
        <v>224</v>
      </c>
      <c r="D145" s="17">
        <v>502</v>
      </c>
      <c r="E145" s="18">
        <f t="shared" si="0"/>
        <v>44.621513944223103</v>
      </c>
      <c r="F145" s="18">
        <f t="shared" si="1"/>
        <v>0.51532161590135273</v>
      </c>
      <c r="G145" s="17">
        <v>889</v>
      </c>
      <c r="H145" s="16">
        <v>996</v>
      </c>
      <c r="I145" s="19">
        <f t="shared" si="2"/>
        <v>89.257028112449802</v>
      </c>
      <c r="J145" s="19">
        <f t="shared" si="3"/>
        <v>1.7235362543621557</v>
      </c>
      <c r="K145" s="17">
        <v>43468</v>
      </c>
      <c r="L145" s="17">
        <v>47255</v>
      </c>
      <c r="M145" s="18">
        <f t="shared" si="4"/>
        <v>91.986033223997467</v>
      </c>
      <c r="N145" s="17">
        <v>51580</v>
      </c>
      <c r="O145" s="17">
        <v>52870</v>
      </c>
      <c r="P145" s="18">
        <f t="shared" si="5"/>
        <v>97.560052960090786</v>
      </c>
      <c r="Q145" s="20">
        <f t="shared" si="6"/>
        <v>0.48509009879319559</v>
      </c>
      <c r="R145" s="20">
        <f t="shared" si="7"/>
        <v>0.91489319044304407</v>
      </c>
    </row>
    <row r="146" spans="1:18" ht="14.4">
      <c r="A146" s="15">
        <v>31002</v>
      </c>
      <c r="B146" s="15" t="s">
        <v>180</v>
      </c>
      <c r="C146" s="16">
        <v>25</v>
      </c>
      <c r="D146" s="17">
        <v>48</v>
      </c>
      <c r="E146" s="18">
        <f t="shared" si="0"/>
        <v>52.083333333333336</v>
      </c>
      <c r="F146" s="18">
        <f t="shared" si="1"/>
        <v>0.47911077041011879</v>
      </c>
      <c r="G146" s="17">
        <v>39</v>
      </c>
      <c r="H146" s="16">
        <v>47</v>
      </c>
      <c r="I146" s="19">
        <f t="shared" si="2"/>
        <v>82.978723404255319</v>
      </c>
      <c r="J146" s="19">
        <f t="shared" si="3"/>
        <v>0.71704357418643128</v>
      </c>
      <c r="K146" s="17">
        <v>5218</v>
      </c>
      <c r="L146" s="17">
        <v>5967</v>
      </c>
      <c r="M146" s="18">
        <f t="shared" si="4"/>
        <v>87.44762862409921</v>
      </c>
      <c r="N146" s="17">
        <v>5439</v>
      </c>
      <c r="O146" s="17">
        <v>5802</v>
      </c>
      <c r="P146" s="18">
        <f t="shared" si="5"/>
        <v>93.743536711478797</v>
      </c>
      <c r="Q146" s="20">
        <f t="shared" si="6"/>
        <v>0.59559457646607905</v>
      </c>
      <c r="R146" s="20">
        <f t="shared" si="7"/>
        <v>0.88516740796376059</v>
      </c>
    </row>
    <row r="147" spans="1:18" ht="14.4">
      <c r="A147" s="15">
        <v>31003</v>
      </c>
      <c r="B147" s="15" t="s">
        <v>181</v>
      </c>
      <c r="C147" s="16">
        <v>78</v>
      </c>
      <c r="D147" s="17">
        <v>131</v>
      </c>
      <c r="E147" s="18">
        <f t="shared" si="0"/>
        <v>59.541984732824424</v>
      </c>
      <c r="F147" s="18">
        <f t="shared" si="1"/>
        <v>0.4285714285714286</v>
      </c>
      <c r="G147" s="17">
        <v>196</v>
      </c>
      <c r="H147" s="16">
        <v>257</v>
      </c>
      <c r="I147" s="19">
        <f t="shared" si="2"/>
        <v>76.264591439688715</v>
      </c>
      <c r="J147" s="19">
        <f t="shared" si="3"/>
        <v>0.83177728738754042</v>
      </c>
      <c r="K147" s="17">
        <v>18200</v>
      </c>
      <c r="L147" s="17">
        <v>21021</v>
      </c>
      <c r="M147" s="18">
        <f t="shared" si="4"/>
        <v>86.580086580086572</v>
      </c>
      <c r="N147" s="17">
        <v>23564</v>
      </c>
      <c r="O147" s="17">
        <v>25272</v>
      </c>
      <c r="P147" s="18">
        <f t="shared" si="5"/>
        <v>93.241532130421021</v>
      </c>
      <c r="Q147" s="20">
        <f t="shared" si="6"/>
        <v>0.6877099236641222</v>
      </c>
      <c r="R147" s="20">
        <f t="shared" si="7"/>
        <v>0.81792512088941316</v>
      </c>
    </row>
    <row r="148" spans="1:18" ht="14.4">
      <c r="A148" s="15">
        <v>31101</v>
      </c>
      <c r="B148" s="15" t="s">
        <v>182</v>
      </c>
      <c r="C148" s="16">
        <v>14</v>
      </c>
      <c r="D148" s="17">
        <v>22</v>
      </c>
      <c r="E148" s="18">
        <f t="shared" si="0"/>
        <v>63.636363636363633</v>
      </c>
      <c r="F148" s="18">
        <f t="shared" si="1"/>
        <v>0.22661055357720947</v>
      </c>
      <c r="G148" s="17">
        <v>46</v>
      </c>
      <c r="H148" s="16">
        <v>59</v>
      </c>
      <c r="I148" s="19">
        <f t="shared" si="2"/>
        <v>77.966101694915253</v>
      </c>
      <c r="J148" s="19">
        <f t="shared" si="3"/>
        <v>0.76184166942696252</v>
      </c>
      <c r="K148" s="17">
        <v>6178</v>
      </c>
      <c r="L148" s="17">
        <v>7434</v>
      </c>
      <c r="M148" s="18">
        <f t="shared" si="4"/>
        <v>83.104654291094974</v>
      </c>
      <c r="N148" s="17">
        <v>6038</v>
      </c>
      <c r="O148" s="17">
        <v>6724</v>
      </c>
      <c r="P148" s="18">
        <f t="shared" si="5"/>
        <v>89.797739440809039</v>
      </c>
      <c r="Q148" s="20">
        <f t="shared" si="6"/>
        <v>0.76573766149680678</v>
      </c>
      <c r="R148" s="20">
        <f t="shared" si="7"/>
        <v>0.8682412517333723</v>
      </c>
    </row>
    <row r="149" spans="1:18" ht="14.4">
      <c r="A149" s="15">
        <v>31201</v>
      </c>
      <c r="B149" s="15" t="s">
        <v>183</v>
      </c>
      <c r="C149" s="16">
        <v>18</v>
      </c>
      <c r="D149" s="17">
        <v>36</v>
      </c>
      <c r="E149" s="18">
        <f t="shared" si="0"/>
        <v>50</v>
      </c>
      <c r="F149" s="18">
        <f t="shared" si="1"/>
        <v>0.49833887043189368</v>
      </c>
      <c r="G149" s="17">
        <v>14</v>
      </c>
      <c r="H149" s="16">
        <v>28</v>
      </c>
      <c r="I149" s="19">
        <f t="shared" si="2"/>
        <v>50</v>
      </c>
      <c r="J149" s="19">
        <f t="shared" si="3"/>
        <v>0.40863981319322829</v>
      </c>
      <c r="K149" s="17">
        <v>3612</v>
      </c>
      <c r="L149" s="17">
        <v>4733</v>
      </c>
      <c r="M149" s="18">
        <f t="shared" si="4"/>
        <v>76.315233467145575</v>
      </c>
      <c r="N149" s="17">
        <v>3426</v>
      </c>
      <c r="O149" s="17">
        <v>3946</v>
      </c>
      <c r="P149" s="18">
        <f t="shared" si="5"/>
        <v>86.822098327420179</v>
      </c>
      <c r="Q149" s="20">
        <f t="shared" si="6"/>
        <v>0.65517718715393136</v>
      </c>
      <c r="R149" s="20">
        <f t="shared" si="7"/>
        <v>0.57589025102159952</v>
      </c>
    </row>
    <row r="150" spans="1:18" ht="14.4">
      <c r="A150" s="15">
        <v>31202</v>
      </c>
      <c r="B150" s="15" t="s">
        <v>184</v>
      </c>
      <c r="C150" s="16">
        <v>8</v>
      </c>
      <c r="D150" s="17">
        <v>20</v>
      </c>
      <c r="E150" s="18">
        <f t="shared" si="0"/>
        <v>40</v>
      </c>
      <c r="F150" s="18">
        <f t="shared" si="1"/>
        <v>0.2932551319648094</v>
      </c>
      <c r="G150" s="17">
        <v>30</v>
      </c>
      <c r="H150" s="16">
        <v>39</v>
      </c>
      <c r="I150" s="19">
        <f t="shared" si="2"/>
        <v>76.923076923076934</v>
      </c>
      <c r="J150" s="19">
        <f t="shared" si="3"/>
        <v>0.96092248558616278</v>
      </c>
      <c r="K150" s="17">
        <v>2728</v>
      </c>
      <c r="L150" s="17">
        <v>3357</v>
      </c>
      <c r="M150" s="18">
        <f t="shared" si="4"/>
        <v>81.263032469466793</v>
      </c>
      <c r="N150" s="17">
        <v>3122</v>
      </c>
      <c r="O150" s="17">
        <v>3441</v>
      </c>
      <c r="P150" s="18">
        <f t="shared" si="5"/>
        <v>90.729439116535886</v>
      </c>
      <c r="Q150" s="20">
        <f t="shared" si="6"/>
        <v>0.49222873900293251</v>
      </c>
      <c r="R150" s="20">
        <f t="shared" si="7"/>
        <v>0.84782930074409912</v>
      </c>
    </row>
    <row r="151" spans="1:18" ht="14.4">
      <c r="A151" s="15">
        <v>31203</v>
      </c>
      <c r="B151" s="15" t="s">
        <v>185</v>
      </c>
      <c r="C151" s="16">
        <v>5</v>
      </c>
      <c r="D151" s="17">
        <v>13</v>
      </c>
      <c r="E151" s="18">
        <f t="shared" si="0"/>
        <v>38.461538461538467</v>
      </c>
      <c r="F151" s="18">
        <f t="shared" si="1"/>
        <v>0.18867924528301888</v>
      </c>
      <c r="G151" s="17">
        <v>12</v>
      </c>
      <c r="H151" s="16">
        <v>19</v>
      </c>
      <c r="I151" s="19">
        <f t="shared" si="2"/>
        <v>63.157894736842103</v>
      </c>
      <c r="J151" s="19">
        <f t="shared" si="3"/>
        <v>0.44543429844097993</v>
      </c>
      <c r="K151" s="17">
        <v>2650</v>
      </c>
      <c r="L151" s="17">
        <v>3153</v>
      </c>
      <c r="M151" s="18">
        <f t="shared" si="4"/>
        <v>84.046939422771956</v>
      </c>
      <c r="N151" s="17">
        <v>2694</v>
      </c>
      <c r="O151" s="17">
        <v>2907</v>
      </c>
      <c r="P151" s="18">
        <f t="shared" si="5"/>
        <v>92.672858617131055</v>
      </c>
      <c r="Q151" s="20">
        <f t="shared" si="6"/>
        <v>0.45761973875181433</v>
      </c>
      <c r="R151" s="20">
        <f t="shared" si="7"/>
        <v>0.68151447661469933</v>
      </c>
    </row>
    <row r="152" spans="1:18" ht="14.4">
      <c r="A152" s="15">
        <v>31204</v>
      </c>
      <c r="B152" s="15" t="s">
        <v>186</v>
      </c>
      <c r="C152" s="16">
        <v>23</v>
      </c>
      <c r="D152" s="17">
        <v>55</v>
      </c>
      <c r="E152" s="18">
        <f t="shared" si="0"/>
        <v>41.818181818181813</v>
      </c>
      <c r="F152" s="18">
        <f t="shared" si="1"/>
        <v>0.40729590933238885</v>
      </c>
      <c r="G152" s="17">
        <v>73</v>
      </c>
      <c r="H152" s="16">
        <v>96</v>
      </c>
      <c r="I152" s="19">
        <f t="shared" si="2"/>
        <v>76.041666666666657</v>
      </c>
      <c r="J152" s="19">
        <f t="shared" si="3"/>
        <v>1.0446479679450487</v>
      </c>
      <c r="K152" s="17">
        <v>5647</v>
      </c>
      <c r="L152" s="17">
        <v>6530</v>
      </c>
      <c r="M152" s="18">
        <f t="shared" si="4"/>
        <v>86.477794793261864</v>
      </c>
      <c r="N152" s="17">
        <v>6988</v>
      </c>
      <c r="O152" s="17">
        <v>7539</v>
      </c>
      <c r="P152" s="18">
        <f t="shared" si="5"/>
        <v>92.69133837378962</v>
      </c>
      <c r="Q152" s="20">
        <f t="shared" si="6"/>
        <v>0.48357132508009076</v>
      </c>
      <c r="R152" s="20">
        <f t="shared" si="7"/>
        <v>0.82037510732684593</v>
      </c>
    </row>
    <row r="153" spans="1:18" ht="14.4">
      <c r="A153" s="15">
        <v>31205</v>
      </c>
      <c r="B153" s="15" t="s">
        <v>187</v>
      </c>
      <c r="C153" s="16">
        <v>48</v>
      </c>
      <c r="D153" s="17">
        <v>104</v>
      </c>
      <c r="E153" s="18">
        <f t="shared" si="0"/>
        <v>46.153846153846153</v>
      </c>
      <c r="F153" s="18">
        <f t="shared" si="1"/>
        <v>0.37947663846944424</v>
      </c>
      <c r="G153" s="17">
        <v>179</v>
      </c>
      <c r="H153" s="16">
        <v>241</v>
      </c>
      <c r="I153" s="19">
        <f t="shared" si="2"/>
        <v>74.273858921161832</v>
      </c>
      <c r="J153" s="19">
        <f t="shared" si="3"/>
        <v>1.0777289421398037</v>
      </c>
      <c r="K153" s="17">
        <v>12649</v>
      </c>
      <c r="L153" s="17">
        <v>14615</v>
      </c>
      <c r="M153" s="18">
        <f t="shared" si="4"/>
        <v>86.548067054396171</v>
      </c>
      <c r="N153" s="17">
        <v>16609</v>
      </c>
      <c r="O153" s="17">
        <v>17828</v>
      </c>
      <c r="P153" s="18">
        <f t="shared" si="5"/>
        <v>93.162441103881534</v>
      </c>
      <c r="Q153" s="20">
        <f t="shared" si="6"/>
        <v>0.53327414146451224</v>
      </c>
      <c r="R153" s="20">
        <f t="shared" si="7"/>
        <v>0.79725110292400092</v>
      </c>
    </row>
    <row r="154" spans="1:18" ht="14.4">
      <c r="A154" s="15">
        <v>31206</v>
      </c>
      <c r="B154" s="15" t="s">
        <v>188</v>
      </c>
      <c r="C154" s="16">
        <v>38</v>
      </c>
      <c r="D154" s="17">
        <v>67</v>
      </c>
      <c r="E154" s="18">
        <f t="shared" si="0"/>
        <v>56.71641791044776</v>
      </c>
      <c r="F154" s="18">
        <f t="shared" si="1"/>
        <v>0.46138902379796021</v>
      </c>
      <c r="G154" s="17">
        <v>124</v>
      </c>
      <c r="H154" s="16">
        <v>164</v>
      </c>
      <c r="I154" s="19">
        <f t="shared" si="2"/>
        <v>75.609756097560975</v>
      </c>
      <c r="J154" s="19">
        <f t="shared" si="3"/>
        <v>1.0632824558394787</v>
      </c>
      <c r="K154" s="17">
        <v>8236</v>
      </c>
      <c r="L154" s="17">
        <v>9645</v>
      </c>
      <c r="M154" s="18">
        <f t="shared" si="4"/>
        <v>85.391394504924833</v>
      </c>
      <c r="N154" s="17">
        <v>11662</v>
      </c>
      <c r="O154" s="17">
        <v>12508</v>
      </c>
      <c r="P154" s="18">
        <f t="shared" si="5"/>
        <v>93.236328749600261</v>
      </c>
      <c r="Q154" s="20">
        <f t="shared" si="6"/>
        <v>0.66419360216885459</v>
      </c>
      <c r="R154" s="20">
        <f t="shared" si="7"/>
        <v>0.81094737546586571</v>
      </c>
    </row>
    <row r="155" spans="1:18" ht="14.4">
      <c r="A155" s="15">
        <v>31301</v>
      </c>
      <c r="B155" s="23" t="s">
        <v>189</v>
      </c>
      <c r="C155" s="16">
        <v>29</v>
      </c>
      <c r="D155" s="17">
        <v>59</v>
      </c>
      <c r="E155" s="18">
        <f t="shared" si="0"/>
        <v>49.152542372881356</v>
      </c>
      <c r="F155" s="18">
        <f t="shared" si="1"/>
        <v>0.42982066103453392</v>
      </c>
      <c r="G155" s="17">
        <v>48</v>
      </c>
      <c r="H155" s="16">
        <v>63</v>
      </c>
      <c r="I155" s="19">
        <f t="shared" si="2"/>
        <v>76.19047619047619</v>
      </c>
      <c r="J155" s="19">
        <f t="shared" si="3"/>
        <v>0.9393346379647749</v>
      </c>
      <c r="K155" s="17">
        <v>6747</v>
      </c>
      <c r="L155" s="17">
        <v>8214</v>
      </c>
      <c r="M155" s="18">
        <f t="shared" si="4"/>
        <v>82.140248356464568</v>
      </c>
      <c r="N155" s="17">
        <v>5110</v>
      </c>
      <c r="O155" s="17">
        <v>5604</v>
      </c>
      <c r="P155" s="18">
        <f t="shared" si="5"/>
        <v>91.184867951463247</v>
      </c>
      <c r="Q155" s="20">
        <f t="shared" si="6"/>
        <v>0.59839778131146804</v>
      </c>
      <c r="R155" s="20">
        <f t="shared" si="7"/>
        <v>0.83556052558009497</v>
      </c>
    </row>
    <row r="156" spans="1:18" ht="14.4">
      <c r="A156" s="15">
        <v>31302</v>
      </c>
      <c r="B156" s="15" t="s">
        <v>190</v>
      </c>
      <c r="C156" s="16">
        <v>2</v>
      </c>
      <c r="D156" s="17">
        <v>9</v>
      </c>
      <c r="E156" s="18">
        <f t="shared" si="0"/>
        <v>22.222222222222221</v>
      </c>
      <c r="F156" s="18">
        <f t="shared" si="1"/>
        <v>0.14367816091954022</v>
      </c>
      <c r="G156" s="17">
        <v>15</v>
      </c>
      <c r="H156" s="16">
        <v>24</v>
      </c>
      <c r="I156" s="19">
        <f t="shared" si="2"/>
        <v>62.5</v>
      </c>
      <c r="J156" s="19">
        <f t="shared" si="3"/>
        <v>1.1895321173671689</v>
      </c>
      <c r="K156" s="17">
        <v>1392</v>
      </c>
      <c r="L156" s="17">
        <v>1783</v>
      </c>
      <c r="M156" s="18">
        <f t="shared" si="4"/>
        <v>78.070667414469995</v>
      </c>
      <c r="N156" s="17">
        <v>1261</v>
      </c>
      <c r="O156" s="17">
        <v>1485</v>
      </c>
      <c r="P156" s="18">
        <f t="shared" si="5"/>
        <v>84.915824915824913</v>
      </c>
      <c r="Q156" s="20">
        <f t="shared" si="6"/>
        <v>0.28464240102171134</v>
      </c>
      <c r="R156" s="20">
        <f t="shared" si="7"/>
        <v>0.73602299762093581</v>
      </c>
    </row>
    <row r="157" spans="1:18" ht="14.4">
      <c r="A157" s="15">
        <v>31303</v>
      </c>
      <c r="B157" s="15" t="s">
        <v>191</v>
      </c>
      <c r="C157" s="16">
        <v>3</v>
      </c>
      <c r="D157" s="17">
        <v>8</v>
      </c>
      <c r="E157" s="18">
        <f t="shared" si="0"/>
        <v>37.5</v>
      </c>
      <c r="F157" s="18">
        <f t="shared" si="1"/>
        <v>0.36585365853658541</v>
      </c>
      <c r="G157" s="17">
        <v>2</v>
      </c>
      <c r="H157" s="16">
        <v>7</v>
      </c>
      <c r="I157" s="19">
        <f t="shared" si="2"/>
        <v>28.571428571428569</v>
      </c>
      <c r="J157" s="19">
        <f t="shared" si="3"/>
        <v>0.26315789473684209</v>
      </c>
      <c r="K157" s="17">
        <v>820</v>
      </c>
      <c r="L157" s="17">
        <v>1078</v>
      </c>
      <c r="M157" s="18">
        <f t="shared" si="4"/>
        <v>76.06679035250464</v>
      </c>
      <c r="N157" s="16">
        <v>760</v>
      </c>
      <c r="O157" s="17">
        <v>869</v>
      </c>
      <c r="P157" s="18">
        <f t="shared" si="5"/>
        <v>87.456846950517843</v>
      </c>
      <c r="Q157" s="20">
        <f t="shared" si="6"/>
        <v>0.49298780487804877</v>
      </c>
      <c r="R157" s="20">
        <f t="shared" si="7"/>
        <v>0.3266917293233082</v>
      </c>
    </row>
    <row r="158" spans="1:18" ht="14.4">
      <c r="A158" s="24">
        <v>31304</v>
      </c>
      <c r="B158" s="24" t="s">
        <v>192</v>
      </c>
      <c r="C158" s="16">
        <v>29</v>
      </c>
      <c r="D158" s="17">
        <v>59</v>
      </c>
      <c r="E158" s="18">
        <f t="shared" si="0"/>
        <v>49.152542372881356</v>
      </c>
      <c r="F158" s="18">
        <f t="shared" si="1"/>
        <v>0.42982066103453392</v>
      </c>
      <c r="G158" s="17">
        <v>31</v>
      </c>
      <c r="H158" s="16">
        <v>41</v>
      </c>
      <c r="I158" s="25">
        <f t="shared" si="2"/>
        <v>75.609756097560975</v>
      </c>
      <c r="J158" s="25">
        <f t="shared" si="3"/>
        <v>1.5422885572139304</v>
      </c>
      <c r="K158" s="17">
        <v>6747</v>
      </c>
      <c r="L158" s="17">
        <v>8214</v>
      </c>
      <c r="M158" s="18">
        <f t="shared" si="4"/>
        <v>82.140248356464568</v>
      </c>
      <c r="N158" s="17">
        <v>2010</v>
      </c>
      <c r="O158" s="17">
        <v>2455</v>
      </c>
      <c r="P158" s="26">
        <f t="shared" si="5"/>
        <v>81.87372708757637</v>
      </c>
      <c r="Q158" s="20">
        <f t="shared" si="6"/>
        <v>0.59839778131146804</v>
      </c>
      <c r="R158" s="20">
        <f t="shared" si="7"/>
        <v>0.92349229462443883</v>
      </c>
    </row>
    <row r="159" spans="1:18" ht="14.4">
      <c r="A159" s="15">
        <v>31401</v>
      </c>
      <c r="B159" s="15" t="s">
        <v>193</v>
      </c>
      <c r="C159" s="16">
        <v>40</v>
      </c>
      <c r="D159" s="17">
        <v>86</v>
      </c>
      <c r="E159" s="18">
        <f t="shared" si="0"/>
        <v>46.511627906976742</v>
      </c>
      <c r="F159" s="18">
        <f t="shared" si="1"/>
        <v>0.57479522919959769</v>
      </c>
      <c r="G159" s="17">
        <v>125</v>
      </c>
      <c r="H159" s="16">
        <v>138</v>
      </c>
      <c r="I159" s="19">
        <f t="shared" si="2"/>
        <v>90.579710144927532</v>
      </c>
      <c r="J159" s="19">
        <f t="shared" si="3"/>
        <v>1.5826791592808305</v>
      </c>
      <c r="K159" s="17">
        <v>6959</v>
      </c>
      <c r="L159" s="17">
        <v>7513</v>
      </c>
      <c r="M159" s="18">
        <f t="shared" si="4"/>
        <v>92.626114734460273</v>
      </c>
      <c r="N159" s="17">
        <v>7898</v>
      </c>
      <c r="O159" s="17">
        <v>8108</v>
      </c>
      <c r="P159" s="18">
        <f t="shared" si="5"/>
        <v>97.409965466206216</v>
      </c>
      <c r="Q159" s="20">
        <f t="shared" si="6"/>
        <v>0.50214378569495077</v>
      </c>
      <c r="R159" s="20">
        <f t="shared" si="7"/>
        <v>0.929881349525288</v>
      </c>
    </row>
    <row r="160" spans="1:18" ht="14.4">
      <c r="A160" s="15">
        <v>31402</v>
      </c>
      <c r="B160" s="15" t="s">
        <v>194</v>
      </c>
      <c r="C160" s="16">
        <v>7</v>
      </c>
      <c r="D160" s="17">
        <v>14</v>
      </c>
      <c r="E160" s="18">
        <f t="shared" si="0"/>
        <v>50</v>
      </c>
      <c r="F160" s="18">
        <f t="shared" si="1"/>
        <v>0.348605577689243</v>
      </c>
      <c r="G160" s="17">
        <v>26</v>
      </c>
      <c r="H160" s="16">
        <v>29</v>
      </c>
      <c r="I160" s="19">
        <f t="shared" si="2"/>
        <v>89.65517241379311</v>
      </c>
      <c r="J160" s="19">
        <f t="shared" si="3"/>
        <v>1.3619696176008382</v>
      </c>
      <c r="K160" s="17">
        <v>2008</v>
      </c>
      <c r="L160" s="17">
        <v>2201</v>
      </c>
      <c r="M160" s="18">
        <f t="shared" si="4"/>
        <v>91.231258518855057</v>
      </c>
      <c r="N160" s="17">
        <v>1909</v>
      </c>
      <c r="O160" s="17">
        <v>2020</v>
      </c>
      <c r="P160" s="18">
        <f t="shared" si="5"/>
        <v>94.504950495049499</v>
      </c>
      <c r="Q160" s="20">
        <f t="shared" si="6"/>
        <v>0.5480577689243028</v>
      </c>
      <c r="R160" s="20">
        <f t="shared" si="7"/>
        <v>0.94868228536334254</v>
      </c>
    </row>
    <row r="161" spans="1:18" ht="14.4">
      <c r="A161" s="15">
        <v>31403</v>
      </c>
      <c r="B161" s="15" t="s">
        <v>195</v>
      </c>
      <c r="C161" s="16">
        <v>11</v>
      </c>
      <c r="D161" s="17">
        <v>29</v>
      </c>
      <c r="E161" s="18">
        <f t="shared" si="0"/>
        <v>37.931034482758619</v>
      </c>
      <c r="F161" s="18">
        <f t="shared" si="1"/>
        <v>0.32448377581120946</v>
      </c>
      <c r="G161" s="17">
        <v>36</v>
      </c>
      <c r="H161" s="16">
        <v>40</v>
      </c>
      <c r="I161" s="19">
        <f t="shared" si="2"/>
        <v>90</v>
      </c>
      <c r="J161" s="19">
        <f t="shared" si="3"/>
        <v>1.2236573759347382</v>
      </c>
      <c r="K161" s="17">
        <v>3390</v>
      </c>
      <c r="L161" s="17">
        <v>3685</v>
      </c>
      <c r="M161" s="18">
        <f t="shared" si="4"/>
        <v>91.994572591587513</v>
      </c>
      <c r="N161" s="17">
        <v>2942</v>
      </c>
      <c r="O161" s="17">
        <v>3020</v>
      </c>
      <c r="P161" s="18">
        <f t="shared" si="5"/>
        <v>97.41721854304636</v>
      </c>
      <c r="Q161" s="20">
        <f t="shared" si="6"/>
        <v>0.41231817719458858</v>
      </c>
      <c r="R161" s="20">
        <f t="shared" si="7"/>
        <v>0.92386131883072742</v>
      </c>
    </row>
    <row r="162" spans="1:18" ht="14.4">
      <c r="A162" s="15">
        <v>31404</v>
      </c>
      <c r="B162" s="15" t="s">
        <v>196</v>
      </c>
      <c r="C162" s="16">
        <v>1</v>
      </c>
      <c r="D162" s="17">
        <v>5</v>
      </c>
      <c r="E162" s="18">
        <f t="shared" si="0"/>
        <v>20</v>
      </c>
      <c r="F162" s="18">
        <f t="shared" si="1"/>
        <v>0.3436426116838488</v>
      </c>
      <c r="G162" s="16">
        <v>2</v>
      </c>
      <c r="H162" s="16">
        <v>2</v>
      </c>
      <c r="I162" s="19">
        <f t="shared" si="2"/>
        <v>100</v>
      </c>
      <c r="J162" s="19">
        <f t="shared" si="3"/>
        <v>0.73260073260073255</v>
      </c>
      <c r="K162" s="16">
        <v>291</v>
      </c>
      <c r="L162" s="17">
        <v>328</v>
      </c>
      <c r="M162" s="18">
        <f t="shared" si="4"/>
        <v>88.719512195121951</v>
      </c>
      <c r="N162" s="16">
        <v>273</v>
      </c>
      <c r="O162" s="17">
        <v>289</v>
      </c>
      <c r="P162" s="18">
        <f t="shared" si="5"/>
        <v>94.463667820069205</v>
      </c>
      <c r="Q162" s="20">
        <f t="shared" si="6"/>
        <v>0.22542955326460482</v>
      </c>
      <c r="R162" s="20">
        <f t="shared" si="7"/>
        <v>1.0586080586080586</v>
      </c>
    </row>
    <row r="163" spans="1:18" ht="14.4">
      <c r="A163" s="15">
        <v>31405</v>
      </c>
      <c r="B163" s="15" t="s">
        <v>197</v>
      </c>
      <c r="C163" s="27"/>
      <c r="D163" s="28"/>
      <c r="E163" s="18" t="e">
        <f t="shared" si="0"/>
        <v>#DIV/0!</v>
      </c>
      <c r="F163" s="18">
        <f t="shared" si="1"/>
        <v>0</v>
      </c>
      <c r="G163" s="16">
        <v>3</v>
      </c>
      <c r="H163" s="16">
        <v>3</v>
      </c>
      <c r="I163" s="19">
        <f t="shared" si="2"/>
        <v>100</v>
      </c>
      <c r="J163" s="19">
        <f t="shared" si="3"/>
        <v>0.35971223021582738</v>
      </c>
      <c r="K163" s="16">
        <v>664</v>
      </c>
      <c r="L163" s="17">
        <v>726</v>
      </c>
      <c r="M163" s="18">
        <f t="shared" si="4"/>
        <v>91.460055096418742</v>
      </c>
      <c r="N163" s="16">
        <v>834</v>
      </c>
      <c r="O163" s="17">
        <v>870</v>
      </c>
      <c r="P163" s="18">
        <f t="shared" si="5"/>
        <v>95.862068965517238</v>
      </c>
      <c r="Q163" s="20"/>
      <c r="R163" s="20">
        <f t="shared" si="7"/>
        <v>1.0431654676258992</v>
      </c>
    </row>
    <row r="164" spans="1:18" ht="14.4">
      <c r="A164" s="15">
        <v>31501</v>
      </c>
      <c r="B164" s="15" t="s">
        <v>198</v>
      </c>
      <c r="C164" s="16">
        <v>1</v>
      </c>
      <c r="D164" s="17">
        <v>9</v>
      </c>
      <c r="E164" s="18">
        <f t="shared" si="0"/>
        <v>11.111111111111111</v>
      </c>
      <c r="F164" s="18">
        <f t="shared" si="1"/>
        <v>6.2460961898813241E-2</v>
      </c>
      <c r="G164" s="17">
        <v>13</v>
      </c>
      <c r="H164" s="16">
        <v>20</v>
      </c>
      <c r="I164" s="19">
        <f t="shared" si="2"/>
        <v>65</v>
      </c>
      <c r="J164" s="19">
        <f t="shared" si="3"/>
        <v>0.68349106203995791</v>
      </c>
      <c r="K164" s="17">
        <v>1601</v>
      </c>
      <c r="L164" s="17">
        <v>2054</v>
      </c>
      <c r="M164" s="18">
        <f t="shared" si="4"/>
        <v>77.945472249269727</v>
      </c>
      <c r="N164" s="17">
        <v>1902</v>
      </c>
      <c r="O164" s="17">
        <v>2129</v>
      </c>
      <c r="P164" s="18">
        <f t="shared" si="5"/>
        <v>89.337717238139973</v>
      </c>
      <c r="Q164" s="20">
        <f t="shared" ref="Q164:Q345" si="60">E164/M164</f>
        <v>0.14254979526684708</v>
      </c>
      <c r="R164" s="20">
        <f t="shared" si="7"/>
        <v>0.72757623554153517</v>
      </c>
    </row>
    <row r="165" spans="1:18" ht="14.4">
      <c r="A165" s="15">
        <v>31601</v>
      </c>
      <c r="B165" s="15" t="s">
        <v>199</v>
      </c>
      <c r="C165" s="16">
        <v>25</v>
      </c>
      <c r="D165" s="17">
        <v>44</v>
      </c>
      <c r="E165" s="18">
        <f t="shared" si="0"/>
        <v>56.81818181818182</v>
      </c>
      <c r="F165" s="18">
        <f t="shared" si="1"/>
        <v>0.41098142363965151</v>
      </c>
      <c r="G165" s="17">
        <v>43</v>
      </c>
      <c r="H165" s="16">
        <v>52</v>
      </c>
      <c r="I165" s="19">
        <f t="shared" si="2"/>
        <v>82.692307692307693</v>
      </c>
      <c r="J165" s="19">
        <f t="shared" si="3"/>
        <v>0.96759675967596748</v>
      </c>
      <c r="K165" s="17">
        <v>6083</v>
      </c>
      <c r="L165" s="17">
        <v>7014</v>
      </c>
      <c r="M165" s="18">
        <f t="shared" si="4"/>
        <v>86.726546906187636</v>
      </c>
      <c r="N165" s="17">
        <v>4444</v>
      </c>
      <c r="O165" s="17">
        <v>4762</v>
      </c>
      <c r="P165" s="18">
        <f t="shared" si="5"/>
        <v>93.322133557328854</v>
      </c>
      <c r="Q165" s="20">
        <f t="shared" si="60"/>
        <v>0.65514175122920804</v>
      </c>
      <c r="R165" s="20">
        <f t="shared" si="7"/>
        <v>0.88609534030326109</v>
      </c>
    </row>
    <row r="166" spans="1:18" ht="14.4">
      <c r="A166" s="15">
        <v>31602</v>
      </c>
      <c r="B166" s="15" t="s">
        <v>200</v>
      </c>
      <c r="C166" s="16">
        <v>21</v>
      </c>
      <c r="D166" s="17">
        <v>41</v>
      </c>
      <c r="E166" s="18">
        <f t="shared" si="0"/>
        <v>51.219512195121951</v>
      </c>
      <c r="F166" s="18">
        <f t="shared" si="1"/>
        <v>0.38975501113585748</v>
      </c>
      <c r="G166" s="17">
        <v>63</v>
      </c>
      <c r="H166" s="16">
        <v>91</v>
      </c>
      <c r="I166" s="19">
        <f t="shared" si="2"/>
        <v>69.230769230769226</v>
      </c>
      <c r="J166" s="19">
        <f t="shared" si="3"/>
        <v>0.90257879656160456</v>
      </c>
      <c r="K166" s="17">
        <v>5388</v>
      </c>
      <c r="L166" s="17">
        <v>6194</v>
      </c>
      <c r="M166" s="18">
        <f t="shared" si="4"/>
        <v>86.987407168227321</v>
      </c>
      <c r="N166" s="17">
        <v>6980</v>
      </c>
      <c r="O166" s="17">
        <v>7471</v>
      </c>
      <c r="P166" s="18">
        <f t="shared" si="5"/>
        <v>93.427921295676626</v>
      </c>
      <c r="Q166" s="20">
        <f t="shared" si="60"/>
        <v>0.58881525340865881</v>
      </c>
      <c r="R166" s="20">
        <f t="shared" si="7"/>
        <v>0.74100727352876339</v>
      </c>
    </row>
    <row r="167" spans="1:18" ht="14.4">
      <c r="A167" s="15">
        <v>40101</v>
      </c>
      <c r="B167" s="15" t="s">
        <v>34</v>
      </c>
      <c r="C167" s="16">
        <v>438</v>
      </c>
      <c r="D167" s="17">
        <v>872</v>
      </c>
      <c r="E167" s="18">
        <f t="shared" si="0"/>
        <v>50.22935779816514</v>
      </c>
      <c r="F167" s="18">
        <f t="shared" si="1"/>
        <v>0.68999196584697298</v>
      </c>
      <c r="G167" s="17">
        <v>1535</v>
      </c>
      <c r="H167" s="17">
        <v>1620</v>
      </c>
      <c r="I167" s="19">
        <f t="shared" si="2"/>
        <v>94.753086419753089</v>
      </c>
      <c r="J167" s="19">
        <f t="shared" si="3"/>
        <v>2.118088614756247</v>
      </c>
      <c r="K167" s="17">
        <v>63479</v>
      </c>
      <c r="L167" s="17">
        <v>68007</v>
      </c>
      <c r="M167" s="18">
        <f t="shared" si="4"/>
        <v>93.341861867160731</v>
      </c>
      <c r="N167" s="17">
        <v>72471</v>
      </c>
      <c r="O167" s="17">
        <v>73700</v>
      </c>
      <c r="P167" s="18">
        <f t="shared" si="5"/>
        <v>98.332428765264595</v>
      </c>
      <c r="Q167" s="20">
        <f t="shared" si="60"/>
        <v>0.53812251859352178</v>
      </c>
      <c r="R167" s="20">
        <f t="shared" si="7"/>
        <v>0.96359957350330505</v>
      </c>
    </row>
    <row r="168" spans="1:18" ht="14.4">
      <c r="A168" s="15">
        <v>40102</v>
      </c>
      <c r="B168" s="15" t="s">
        <v>201</v>
      </c>
      <c r="C168" s="16">
        <v>16</v>
      </c>
      <c r="D168" s="17">
        <v>36</v>
      </c>
      <c r="E168" s="18">
        <f t="shared" si="0"/>
        <v>44.444444444444443</v>
      </c>
      <c r="F168" s="18">
        <f t="shared" si="1"/>
        <v>0.27215512842320122</v>
      </c>
      <c r="G168" s="17">
        <v>69</v>
      </c>
      <c r="H168" s="16">
        <v>76</v>
      </c>
      <c r="I168" s="19">
        <f t="shared" si="2"/>
        <v>90.789473684210535</v>
      </c>
      <c r="J168" s="19">
        <f t="shared" si="3"/>
        <v>1.2749445676274944</v>
      </c>
      <c r="K168" s="17">
        <v>5879</v>
      </c>
      <c r="L168" s="17">
        <v>6552</v>
      </c>
      <c r="M168" s="18">
        <f t="shared" si="4"/>
        <v>89.728327228327231</v>
      </c>
      <c r="N168" s="17">
        <v>5412</v>
      </c>
      <c r="O168" s="17">
        <v>5590</v>
      </c>
      <c r="P168" s="18">
        <f t="shared" si="5"/>
        <v>96.815742397137754</v>
      </c>
      <c r="Q168" s="20">
        <f t="shared" si="60"/>
        <v>0.49532233373022622</v>
      </c>
      <c r="R168" s="20">
        <f t="shared" si="7"/>
        <v>0.93775528066285452</v>
      </c>
    </row>
    <row r="169" spans="1:18" ht="14.4">
      <c r="A169" s="15">
        <v>40103</v>
      </c>
      <c r="B169" s="15" t="s">
        <v>202</v>
      </c>
      <c r="C169" s="16">
        <v>8</v>
      </c>
      <c r="D169" s="17">
        <v>15</v>
      </c>
      <c r="E169" s="18">
        <f t="shared" si="0"/>
        <v>53.333333333333336</v>
      </c>
      <c r="F169" s="18">
        <f t="shared" si="1"/>
        <v>0.43383947939262474</v>
      </c>
      <c r="G169" s="17">
        <v>15</v>
      </c>
      <c r="H169" s="16">
        <v>21</v>
      </c>
      <c r="I169" s="19">
        <f t="shared" si="2"/>
        <v>71.428571428571431</v>
      </c>
      <c r="J169" s="19">
        <f t="shared" si="3"/>
        <v>0.80042689434364989</v>
      </c>
      <c r="K169" s="17">
        <v>1844</v>
      </c>
      <c r="L169" s="17">
        <v>2100</v>
      </c>
      <c r="M169" s="18">
        <f t="shared" si="4"/>
        <v>87.80952380952381</v>
      </c>
      <c r="N169" s="17">
        <v>1874</v>
      </c>
      <c r="O169" s="17">
        <v>2120</v>
      </c>
      <c r="P169" s="18">
        <f t="shared" si="5"/>
        <v>88.396226415094333</v>
      </c>
      <c r="Q169" s="20">
        <f t="shared" si="60"/>
        <v>0.6073752711496746</v>
      </c>
      <c r="R169" s="20">
        <f t="shared" si="7"/>
        <v>0.80805000762311341</v>
      </c>
    </row>
    <row r="170" spans="1:18" ht="14.4">
      <c r="A170" s="15">
        <v>40104</v>
      </c>
      <c r="B170" s="15" t="s">
        <v>203</v>
      </c>
      <c r="C170" s="16">
        <v>13</v>
      </c>
      <c r="D170" s="17">
        <v>19</v>
      </c>
      <c r="E170" s="18">
        <f t="shared" si="0"/>
        <v>68.421052631578945</v>
      </c>
      <c r="F170" s="18">
        <f t="shared" si="1"/>
        <v>0.40297582145071298</v>
      </c>
      <c r="G170" s="17">
        <v>30</v>
      </c>
      <c r="H170" s="16">
        <v>34</v>
      </c>
      <c r="I170" s="19">
        <f t="shared" si="2"/>
        <v>88.235294117647058</v>
      </c>
      <c r="J170" s="19">
        <f t="shared" si="3"/>
        <v>0.80472103004291839</v>
      </c>
      <c r="K170" s="17">
        <v>3226</v>
      </c>
      <c r="L170" s="17">
        <v>3708</v>
      </c>
      <c r="M170" s="18">
        <f t="shared" si="4"/>
        <v>87.001078748651565</v>
      </c>
      <c r="N170" s="17">
        <v>3728</v>
      </c>
      <c r="O170" s="17">
        <v>3888</v>
      </c>
      <c r="P170" s="18">
        <f t="shared" si="5"/>
        <v>95.884773662551439</v>
      </c>
      <c r="Q170" s="20">
        <f t="shared" si="60"/>
        <v>0.78643912944170713</v>
      </c>
      <c r="R170" s="20">
        <f t="shared" si="7"/>
        <v>0.92022216611966678</v>
      </c>
    </row>
    <row r="171" spans="1:18" ht="14.4">
      <c r="A171" s="15">
        <v>40201</v>
      </c>
      <c r="B171" s="15" t="s">
        <v>204</v>
      </c>
      <c r="C171" s="16">
        <v>30</v>
      </c>
      <c r="D171" s="17">
        <v>62</v>
      </c>
      <c r="E171" s="18">
        <f t="shared" si="0"/>
        <v>48.387096774193552</v>
      </c>
      <c r="F171" s="18">
        <f t="shared" si="1"/>
        <v>0.42613636363636359</v>
      </c>
      <c r="G171" s="17">
        <v>112</v>
      </c>
      <c r="H171" s="16">
        <v>133</v>
      </c>
      <c r="I171" s="19">
        <f t="shared" si="2"/>
        <v>84.210526315789465</v>
      </c>
      <c r="J171" s="19">
        <f t="shared" si="3"/>
        <v>1.2344318307064919</v>
      </c>
      <c r="K171" s="17">
        <v>7040</v>
      </c>
      <c r="L171" s="17">
        <v>8120</v>
      </c>
      <c r="M171" s="18">
        <f t="shared" si="4"/>
        <v>86.699507389162562</v>
      </c>
      <c r="N171" s="17">
        <v>9073</v>
      </c>
      <c r="O171" s="17">
        <v>9519</v>
      </c>
      <c r="P171" s="18">
        <f t="shared" si="5"/>
        <v>95.314633890114507</v>
      </c>
      <c r="Q171" s="20">
        <f t="shared" si="60"/>
        <v>0.55810117302052786</v>
      </c>
      <c r="R171" s="20">
        <f t="shared" si="7"/>
        <v>0.88350049597707481</v>
      </c>
    </row>
    <row r="172" spans="1:18" ht="14.4">
      <c r="A172" s="15">
        <v>40202</v>
      </c>
      <c r="B172" s="15" t="s">
        <v>205</v>
      </c>
      <c r="C172" s="16">
        <v>1</v>
      </c>
      <c r="D172" s="17">
        <v>1</v>
      </c>
      <c r="E172" s="18">
        <f t="shared" si="0"/>
        <v>100</v>
      </c>
      <c r="F172" s="18">
        <f t="shared" si="1"/>
        <v>0.11454753722794961</v>
      </c>
      <c r="G172" s="17">
        <v>7</v>
      </c>
      <c r="H172" s="16">
        <v>8</v>
      </c>
      <c r="I172" s="19">
        <f t="shared" si="2"/>
        <v>87.5</v>
      </c>
      <c r="J172" s="19">
        <f t="shared" si="3"/>
        <v>0.5988023952095809</v>
      </c>
      <c r="K172" s="17">
        <v>873</v>
      </c>
      <c r="L172" s="17">
        <v>967</v>
      </c>
      <c r="M172" s="18">
        <f t="shared" si="4"/>
        <v>90.27921406411582</v>
      </c>
      <c r="N172" s="17">
        <v>1169</v>
      </c>
      <c r="O172" s="17">
        <v>1218</v>
      </c>
      <c r="P172" s="18">
        <f t="shared" si="5"/>
        <v>95.977011494252878</v>
      </c>
      <c r="Q172" s="20">
        <f t="shared" si="60"/>
        <v>1.1076746849942727</v>
      </c>
      <c r="R172" s="20">
        <f t="shared" si="7"/>
        <v>0.91167664670658677</v>
      </c>
    </row>
    <row r="173" spans="1:18" ht="14.4">
      <c r="A173" s="15">
        <v>40301</v>
      </c>
      <c r="B173" s="15" t="s">
        <v>206</v>
      </c>
      <c r="C173" s="16">
        <v>11</v>
      </c>
      <c r="D173" s="17">
        <v>21</v>
      </c>
      <c r="E173" s="18">
        <f t="shared" si="0"/>
        <v>52.380952380952387</v>
      </c>
      <c r="F173" s="18">
        <f t="shared" si="1"/>
        <v>0.58386411889596601</v>
      </c>
      <c r="G173" s="17">
        <v>19</v>
      </c>
      <c r="H173" s="16">
        <v>21</v>
      </c>
      <c r="I173" s="19">
        <f t="shared" si="2"/>
        <v>90.476190476190482</v>
      </c>
      <c r="J173" s="19">
        <f t="shared" si="3"/>
        <v>0.51757014437482973</v>
      </c>
      <c r="K173" s="17">
        <v>1884</v>
      </c>
      <c r="L173" s="17">
        <v>2065</v>
      </c>
      <c r="M173" s="18">
        <f t="shared" si="4"/>
        <v>91.234866828087164</v>
      </c>
      <c r="N173" s="17">
        <v>3671</v>
      </c>
      <c r="O173" s="17">
        <v>3863</v>
      </c>
      <c r="P173" s="18">
        <f t="shared" si="5"/>
        <v>95.029769609112094</v>
      </c>
      <c r="Q173" s="20">
        <f t="shared" si="60"/>
        <v>0.57413305024770001</v>
      </c>
      <c r="R173" s="20">
        <f t="shared" si="7"/>
        <v>0.95208260367617492</v>
      </c>
    </row>
    <row r="174" spans="1:18" ht="14.4">
      <c r="A174" s="15">
        <v>40302</v>
      </c>
      <c r="B174" s="15" t="s">
        <v>207</v>
      </c>
      <c r="C174" s="16">
        <v>1</v>
      </c>
      <c r="D174" s="17">
        <v>1</v>
      </c>
      <c r="E174" s="18">
        <f t="shared" si="0"/>
        <v>100</v>
      </c>
      <c r="F174" s="18">
        <f t="shared" si="1"/>
        <v>0.2288329519450801</v>
      </c>
      <c r="G174" s="16">
        <v>0</v>
      </c>
      <c r="H174" s="16">
        <v>1</v>
      </c>
      <c r="I174" s="19">
        <f t="shared" si="2"/>
        <v>0</v>
      </c>
      <c r="J174" s="19">
        <f t="shared" si="3"/>
        <v>0</v>
      </c>
      <c r="K174" s="16">
        <v>437</v>
      </c>
      <c r="L174" s="17">
        <v>479</v>
      </c>
      <c r="M174" s="18">
        <f t="shared" si="4"/>
        <v>91.23173277661796</v>
      </c>
      <c r="N174" s="16">
        <v>577</v>
      </c>
      <c r="O174" s="17">
        <v>594</v>
      </c>
      <c r="P174" s="18">
        <f t="shared" si="5"/>
        <v>97.138047138047128</v>
      </c>
      <c r="Q174" s="20">
        <f t="shared" si="60"/>
        <v>1.0961098398169336</v>
      </c>
      <c r="R174" s="20">
        <f t="shared" si="7"/>
        <v>0</v>
      </c>
    </row>
    <row r="175" spans="1:18" ht="14.4">
      <c r="A175" s="15">
        <v>40401</v>
      </c>
      <c r="B175" s="15" t="s">
        <v>208</v>
      </c>
      <c r="C175" s="16">
        <v>9</v>
      </c>
      <c r="D175" s="17">
        <v>11</v>
      </c>
      <c r="E175" s="18">
        <f t="shared" si="0"/>
        <v>81.818181818181827</v>
      </c>
      <c r="F175" s="18">
        <f t="shared" si="1"/>
        <v>0.96566523605150223</v>
      </c>
      <c r="G175" s="17">
        <v>13</v>
      </c>
      <c r="H175" s="16">
        <v>15</v>
      </c>
      <c r="I175" s="19">
        <f t="shared" si="2"/>
        <v>86.666666666666671</v>
      </c>
      <c r="J175" s="19">
        <f t="shared" si="3"/>
        <v>0.99312452253628725</v>
      </c>
      <c r="K175" s="17">
        <v>932</v>
      </c>
      <c r="L175" s="17">
        <v>1046</v>
      </c>
      <c r="M175" s="18">
        <f t="shared" si="4"/>
        <v>89.101338432122361</v>
      </c>
      <c r="N175" s="17">
        <v>1309</v>
      </c>
      <c r="O175" s="17">
        <v>1408</v>
      </c>
      <c r="P175" s="18">
        <f t="shared" si="5"/>
        <v>92.96875</v>
      </c>
      <c r="Q175" s="20">
        <f t="shared" si="60"/>
        <v>0.9182598517362468</v>
      </c>
      <c r="R175" s="20">
        <f t="shared" si="7"/>
        <v>0.93221288515406164</v>
      </c>
    </row>
    <row r="176" spans="1:18" ht="14.4">
      <c r="A176" s="15">
        <v>40402</v>
      </c>
      <c r="B176" s="15" t="s">
        <v>209</v>
      </c>
      <c r="C176" s="16">
        <v>7</v>
      </c>
      <c r="D176" s="17">
        <v>13</v>
      </c>
      <c r="E176" s="18">
        <f t="shared" si="0"/>
        <v>53.846153846153847</v>
      </c>
      <c r="F176" s="18">
        <f t="shared" si="1"/>
        <v>0.59071729957805907</v>
      </c>
      <c r="G176" s="17">
        <v>11</v>
      </c>
      <c r="H176" s="16">
        <v>13</v>
      </c>
      <c r="I176" s="19">
        <f t="shared" si="2"/>
        <v>84.615384615384613</v>
      </c>
      <c r="J176" s="19">
        <f t="shared" si="3"/>
        <v>0.95155709342560557</v>
      </c>
      <c r="K176" s="17">
        <v>1185</v>
      </c>
      <c r="L176" s="17">
        <v>1283</v>
      </c>
      <c r="M176" s="18">
        <f t="shared" si="4"/>
        <v>92.361652377240844</v>
      </c>
      <c r="N176" s="17">
        <v>1156</v>
      </c>
      <c r="O176" s="17">
        <v>1229</v>
      </c>
      <c r="P176" s="18">
        <f t="shared" si="5"/>
        <v>94.060211554109031</v>
      </c>
      <c r="Q176" s="20">
        <f t="shared" si="60"/>
        <v>0.58299253489126901</v>
      </c>
      <c r="R176" s="20">
        <f t="shared" si="7"/>
        <v>0.89958743678466857</v>
      </c>
    </row>
    <row r="177" spans="1:18" ht="14.4">
      <c r="A177" s="15">
        <v>40501</v>
      </c>
      <c r="B177" s="15" t="s">
        <v>210</v>
      </c>
      <c r="C177" s="16">
        <v>3</v>
      </c>
      <c r="D177" s="17">
        <v>3</v>
      </c>
      <c r="E177" s="18">
        <f t="shared" si="0"/>
        <v>100</v>
      </c>
      <c r="F177" s="18">
        <f t="shared" si="1"/>
        <v>2.3809523809523809</v>
      </c>
      <c r="G177" s="16">
        <v>16</v>
      </c>
      <c r="H177" s="16">
        <v>16</v>
      </c>
      <c r="I177" s="19">
        <f t="shared" si="2"/>
        <v>100</v>
      </c>
      <c r="J177" s="19">
        <f t="shared" si="3"/>
        <v>1.7543859649122806</v>
      </c>
      <c r="K177" s="16">
        <v>126</v>
      </c>
      <c r="L177" s="17">
        <v>162</v>
      </c>
      <c r="M177" s="18">
        <f t="shared" si="4"/>
        <v>77.777777777777786</v>
      </c>
      <c r="N177" s="17">
        <v>912</v>
      </c>
      <c r="O177" s="17">
        <v>952</v>
      </c>
      <c r="P177" s="18">
        <f t="shared" si="5"/>
        <v>95.798319327731093</v>
      </c>
      <c r="Q177" s="20">
        <f t="shared" si="60"/>
        <v>1.2857142857142856</v>
      </c>
      <c r="R177" s="20">
        <f t="shared" si="7"/>
        <v>1.0438596491228069</v>
      </c>
    </row>
    <row r="178" spans="1:18" ht="14.4">
      <c r="A178" s="15">
        <v>40502</v>
      </c>
      <c r="B178" s="15" t="s">
        <v>211</v>
      </c>
      <c r="C178" s="16">
        <v>2</v>
      </c>
      <c r="D178" s="17">
        <v>6</v>
      </c>
      <c r="E178" s="18">
        <f t="shared" si="0"/>
        <v>33.333333333333329</v>
      </c>
      <c r="F178" s="18">
        <f t="shared" si="1"/>
        <v>0.22421524663677131</v>
      </c>
      <c r="G178" s="17">
        <v>7</v>
      </c>
      <c r="H178" s="16">
        <v>9</v>
      </c>
      <c r="I178" s="19">
        <f t="shared" si="2"/>
        <v>77.777777777777786</v>
      </c>
      <c r="J178" s="19">
        <f t="shared" si="3"/>
        <v>0.71138211382113814</v>
      </c>
      <c r="K178" s="17">
        <v>892</v>
      </c>
      <c r="L178" s="17">
        <v>982</v>
      </c>
      <c r="M178" s="18">
        <f t="shared" si="4"/>
        <v>90.835030549898164</v>
      </c>
      <c r="N178" s="17">
        <v>984</v>
      </c>
      <c r="O178" s="17">
        <v>1040</v>
      </c>
      <c r="P178" s="18">
        <f t="shared" si="5"/>
        <v>94.615384615384613</v>
      </c>
      <c r="Q178" s="20">
        <f t="shared" si="60"/>
        <v>0.366965620328849</v>
      </c>
      <c r="R178" s="20">
        <f t="shared" si="7"/>
        <v>0.82204155374887089</v>
      </c>
    </row>
    <row r="179" spans="1:18" ht="14.4">
      <c r="A179" s="15">
        <v>40503</v>
      </c>
      <c r="B179" s="15" t="s">
        <v>212</v>
      </c>
      <c r="C179" s="16">
        <v>0</v>
      </c>
      <c r="D179" s="17">
        <v>1</v>
      </c>
      <c r="E179" s="18">
        <f t="shared" si="0"/>
        <v>0</v>
      </c>
      <c r="F179" s="18">
        <f t="shared" si="1"/>
        <v>0</v>
      </c>
      <c r="G179" s="16">
        <v>7</v>
      </c>
      <c r="H179" s="16">
        <v>8</v>
      </c>
      <c r="I179" s="19">
        <f t="shared" si="2"/>
        <v>87.5</v>
      </c>
      <c r="J179" s="19">
        <f t="shared" si="3"/>
        <v>1.9607843137254901</v>
      </c>
      <c r="K179" s="16">
        <v>409</v>
      </c>
      <c r="L179" s="17">
        <v>450</v>
      </c>
      <c r="M179" s="18">
        <f t="shared" si="4"/>
        <v>90.888888888888886</v>
      </c>
      <c r="N179" s="16">
        <v>357</v>
      </c>
      <c r="O179" s="17">
        <v>386</v>
      </c>
      <c r="P179" s="18">
        <f t="shared" si="5"/>
        <v>92.487046632124347</v>
      </c>
      <c r="Q179" s="20">
        <f t="shared" si="60"/>
        <v>0</v>
      </c>
      <c r="R179" s="20">
        <f t="shared" si="7"/>
        <v>0.9460784313725491</v>
      </c>
    </row>
    <row r="180" spans="1:18" ht="14.4">
      <c r="A180" s="15">
        <v>40504</v>
      </c>
      <c r="B180" s="15" t="s">
        <v>213</v>
      </c>
      <c r="C180" s="27"/>
      <c r="D180" s="28"/>
      <c r="E180" s="18"/>
      <c r="F180" s="18">
        <f t="shared" si="1"/>
        <v>0</v>
      </c>
      <c r="G180" s="16">
        <v>1</v>
      </c>
      <c r="H180" s="16">
        <v>1</v>
      </c>
      <c r="I180" s="19">
        <f t="shared" si="2"/>
        <v>100</v>
      </c>
      <c r="J180" s="19">
        <f t="shared" si="3"/>
        <v>0.46948356807511737</v>
      </c>
      <c r="K180" s="16">
        <v>133</v>
      </c>
      <c r="L180" s="17">
        <v>144</v>
      </c>
      <c r="M180" s="18">
        <f t="shared" si="4"/>
        <v>92.361111111111114</v>
      </c>
      <c r="N180" s="16">
        <v>213</v>
      </c>
      <c r="O180" s="17">
        <v>222</v>
      </c>
      <c r="P180" s="18">
        <f t="shared" si="5"/>
        <v>95.945945945945937</v>
      </c>
      <c r="Q180" s="20">
        <f t="shared" si="60"/>
        <v>0</v>
      </c>
      <c r="R180" s="20">
        <f t="shared" si="7"/>
        <v>1.0422535211267607</v>
      </c>
    </row>
    <row r="181" spans="1:18" ht="14.4">
      <c r="A181" s="15">
        <v>40505</v>
      </c>
      <c r="B181" s="15" t="s">
        <v>214</v>
      </c>
      <c r="C181" s="16">
        <v>0</v>
      </c>
      <c r="D181" s="17">
        <v>1</v>
      </c>
      <c r="E181" s="18">
        <f t="shared" ref="E181:E197" si="61">(C181/D181)*100</f>
        <v>0</v>
      </c>
      <c r="F181" s="18">
        <f t="shared" si="1"/>
        <v>0</v>
      </c>
      <c r="G181" s="16">
        <v>3</v>
      </c>
      <c r="H181" s="16">
        <v>4</v>
      </c>
      <c r="I181" s="19">
        <f t="shared" si="2"/>
        <v>75</v>
      </c>
      <c r="J181" s="19">
        <f t="shared" si="3"/>
        <v>0.33898305084745761</v>
      </c>
      <c r="K181" s="16">
        <v>604</v>
      </c>
      <c r="L181" s="17">
        <v>664</v>
      </c>
      <c r="M181" s="18">
        <f t="shared" si="4"/>
        <v>90.963855421686745</v>
      </c>
      <c r="N181" s="17">
        <v>885</v>
      </c>
      <c r="O181" s="17">
        <v>962</v>
      </c>
      <c r="P181" s="18">
        <f t="shared" si="5"/>
        <v>91.995841995842</v>
      </c>
      <c r="Q181" s="20">
        <f t="shared" si="60"/>
        <v>0</v>
      </c>
      <c r="R181" s="20">
        <f t="shared" si="7"/>
        <v>0.81525423728813551</v>
      </c>
    </row>
    <row r="182" spans="1:18" ht="14.4">
      <c r="A182" s="15">
        <v>40601</v>
      </c>
      <c r="B182" s="15" t="s">
        <v>215</v>
      </c>
      <c r="C182" s="16">
        <v>8</v>
      </c>
      <c r="D182" s="17">
        <v>12</v>
      </c>
      <c r="E182" s="18">
        <f t="shared" si="61"/>
        <v>66.666666666666657</v>
      </c>
      <c r="F182" s="18">
        <f t="shared" si="1"/>
        <v>0.52840158520475566</v>
      </c>
      <c r="G182" s="17">
        <v>43</v>
      </c>
      <c r="H182" s="16">
        <v>46</v>
      </c>
      <c r="I182" s="19">
        <f t="shared" si="2"/>
        <v>93.478260869565219</v>
      </c>
      <c r="J182" s="19">
        <f t="shared" si="3"/>
        <v>2.15971873430437</v>
      </c>
      <c r="K182" s="17">
        <v>1514</v>
      </c>
      <c r="L182" s="17">
        <v>1650</v>
      </c>
      <c r="M182" s="18">
        <f t="shared" si="4"/>
        <v>91.757575757575765</v>
      </c>
      <c r="N182" s="17">
        <v>1991</v>
      </c>
      <c r="O182" s="17">
        <v>2036</v>
      </c>
      <c r="P182" s="18">
        <f t="shared" si="5"/>
        <v>97.789783889980356</v>
      </c>
      <c r="Q182" s="20">
        <f t="shared" si="60"/>
        <v>0.72655217965653884</v>
      </c>
      <c r="R182" s="20">
        <f t="shared" si="7"/>
        <v>0.95591029196602095</v>
      </c>
    </row>
    <row r="183" spans="1:18" ht="14.4">
      <c r="A183" s="15">
        <v>40602</v>
      </c>
      <c r="B183" s="15" t="s">
        <v>216</v>
      </c>
      <c r="C183" s="16">
        <v>10</v>
      </c>
      <c r="D183" s="17">
        <v>17</v>
      </c>
      <c r="E183" s="18">
        <f t="shared" si="61"/>
        <v>58.82352941176471</v>
      </c>
      <c r="F183" s="18">
        <f t="shared" si="1"/>
        <v>0.77519379844961245</v>
      </c>
      <c r="G183" s="17">
        <v>11</v>
      </c>
      <c r="H183" s="16">
        <v>13</v>
      </c>
      <c r="I183" s="19">
        <f t="shared" si="2"/>
        <v>84.615384615384613</v>
      </c>
      <c r="J183" s="19">
        <f t="shared" si="3"/>
        <v>1.2415349887133182</v>
      </c>
      <c r="K183" s="17">
        <v>1290</v>
      </c>
      <c r="L183" s="17">
        <v>1421</v>
      </c>
      <c r="M183" s="18">
        <f t="shared" si="4"/>
        <v>90.781140042223782</v>
      </c>
      <c r="N183" s="16">
        <v>886</v>
      </c>
      <c r="O183" s="17">
        <v>929</v>
      </c>
      <c r="P183" s="18">
        <f t="shared" si="5"/>
        <v>95.371367061356295</v>
      </c>
      <c r="Q183" s="20">
        <f t="shared" si="60"/>
        <v>0.64797081623347019</v>
      </c>
      <c r="R183" s="20">
        <f t="shared" si="7"/>
        <v>0.88722000347282515</v>
      </c>
    </row>
    <row r="184" spans="1:18" ht="14.4">
      <c r="A184" s="15">
        <v>40603</v>
      </c>
      <c r="B184" s="15" t="s">
        <v>217</v>
      </c>
      <c r="C184" s="16">
        <v>3</v>
      </c>
      <c r="D184" s="17">
        <v>8</v>
      </c>
      <c r="E184" s="18">
        <f t="shared" si="61"/>
        <v>37.5</v>
      </c>
      <c r="F184" s="18">
        <f t="shared" si="1"/>
        <v>0.33444816053511706</v>
      </c>
      <c r="G184" s="17">
        <v>12</v>
      </c>
      <c r="H184" s="16">
        <v>14</v>
      </c>
      <c r="I184" s="19">
        <f t="shared" si="2"/>
        <v>85.714285714285708</v>
      </c>
      <c r="J184" s="19">
        <f t="shared" si="3"/>
        <v>1.4234875444839856</v>
      </c>
      <c r="K184" s="17">
        <v>897</v>
      </c>
      <c r="L184" s="17">
        <v>945</v>
      </c>
      <c r="M184" s="18">
        <f t="shared" si="4"/>
        <v>94.92063492063491</v>
      </c>
      <c r="N184" s="16">
        <v>843</v>
      </c>
      <c r="O184" s="17">
        <v>870</v>
      </c>
      <c r="P184" s="18">
        <f t="shared" si="5"/>
        <v>96.896551724137936</v>
      </c>
      <c r="Q184" s="20">
        <f t="shared" si="60"/>
        <v>0.39506688963210707</v>
      </c>
      <c r="R184" s="20">
        <f t="shared" si="7"/>
        <v>0.88459583121504815</v>
      </c>
    </row>
    <row r="185" spans="1:18" ht="14.4">
      <c r="A185" s="15">
        <v>40701</v>
      </c>
      <c r="B185" s="15" t="s">
        <v>218</v>
      </c>
      <c r="C185" s="16">
        <v>35</v>
      </c>
      <c r="D185" s="17">
        <v>67</v>
      </c>
      <c r="E185" s="18">
        <f t="shared" si="61"/>
        <v>52.238805970149251</v>
      </c>
      <c r="F185" s="18">
        <f t="shared" si="1"/>
        <v>0.52442313455199285</v>
      </c>
      <c r="G185" s="17">
        <v>123</v>
      </c>
      <c r="H185" s="16">
        <v>130</v>
      </c>
      <c r="I185" s="19">
        <f t="shared" si="2"/>
        <v>94.615384615384613</v>
      </c>
      <c r="J185" s="19">
        <f t="shared" si="3"/>
        <v>2.3379585630108344</v>
      </c>
      <c r="K185" s="17">
        <v>6674</v>
      </c>
      <c r="L185" s="17">
        <v>7180</v>
      </c>
      <c r="M185" s="18">
        <f t="shared" si="4"/>
        <v>92.952646239554312</v>
      </c>
      <c r="N185" s="17">
        <v>5261</v>
      </c>
      <c r="O185" s="17">
        <v>5377</v>
      </c>
      <c r="P185" s="18">
        <f t="shared" si="5"/>
        <v>97.842663195090196</v>
      </c>
      <c r="Q185" s="20">
        <f t="shared" si="60"/>
        <v>0.56199374717661321</v>
      </c>
      <c r="R185" s="20">
        <f t="shared" si="7"/>
        <v>0.96701563025455817</v>
      </c>
    </row>
    <row r="186" spans="1:18" ht="14.4">
      <c r="A186" s="15">
        <v>40702</v>
      </c>
      <c r="B186" s="15" t="s">
        <v>219</v>
      </c>
      <c r="C186" s="16">
        <v>3</v>
      </c>
      <c r="D186" s="17">
        <v>6</v>
      </c>
      <c r="E186" s="18">
        <f t="shared" si="61"/>
        <v>50</v>
      </c>
      <c r="F186" s="18">
        <f t="shared" si="1"/>
        <v>0.26269702276707529</v>
      </c>
      <c r="G186" s="17">
        <v>25</v>
      </c>
      <c r="H186" s="16">
        <v>27</v>
      </c>
      <c r="I186" s="19">
        <f t="shared" si="2"/>
        <v>92.592592592592595</v>
      </c>
      <c r="J186" s="19">
        <f t="shared" si="3"/>
        <v>1.8208302986161691</v>
      </c>
      <c r="K186" s="17">
        <v>1142</v>
      </c>
      <c r="L186" s="17">
        <v>1207</v>
      </c>
      <c r="M186" s="18">
        <f t="shared" si="4"/>
        <v>94.614747307373662</v>
      </c>
      <c r="N186" s="17">
        <v>1373</v>
      </c>
      <c r="O186" s="17">
        <v>1415</v>
      </c>
      <c r="P186" s="18">
        <f t="shared" si="5"/>
        <v>97.031802120141336</v>
      </c>
      <c r="Q186" s="20">
        <f t="shared" si="60"/>
        <v>0.52845884413309974</v>
      </c>
      <c r="R186" s="20">
        <f t="shared" si="7"/>
        <v>0.95424995279328861</v>
      </c>
    </row>
    <row r="187" spans="1:18" ht="14.4">
      <c r="A187" s="15">
        <v>40801</v>
      </c>
      <c r="B187" s="15" t="s">
        <v>220</v>
      </c>
      <c r="C187" s="16">
        <v>6</v>
      </c>
      <c r="D187" s="17">
        <v>16</v>
      </c>
      <c r="E187" s="18">
        <f t="shared" si="61"/>
        <v>37.5</v>
      </c>
      <c r="F187" s="18">
        <f t="shared" si="1"/>
        <v>0.24529844644317253</v>
      </c>
      <c r="G187" s="17">
        <v>38</v>
      </c>
      <c r="H187" s="16">
        <v>42</v>
      </c>
      <c r="I187" s="19">
        <f t="shared" si="2"/>
        <v>90.476190476190482</v>
      </c>
      <c r="J187" s="19">
        <f t="shared" si="3"/>
        <v>1.0039630118890357</v>
      </c>
      <c r="K187" s="17">
        <v>2446</v>
      </c>
      <c r="L187" s="17">
        <v>2869</v>
      </c>
      <c r="M187" s="18">
        <f t="shared" si="4"/>
        <v>85.256186824677599</v>
      </c>
      <c r="N187" s="17">
        <v>3785</v>
      </c>
      <c r="O187" s="17">
        <v>3920</v>
      </c>
      <c r="P187" s="18">
        <f t="shared" si="5"/>
        <v>96.556122448979593</v>
      </c>
      <c r="Q187" s="20">
        <f t="shared" si="60"/>
        <v>0.43985077677841367</v>
      </c>
      <c r="R187" s="20">
        <f t="shared" si="7"/>
        <v>0.93703214442976668</v>
      </c>
    </row>
    <row r="188" spans="1:18" ht="14.4">
      <c r="A188" s="15">
        <v>40802</v>
      </c>
      <c r="B188" s="15" t="s">
        <v>221</v>
      </c>
      <c r="C188" s="16">
        <v>3</v>
      </c>
      <c r="D188" s="17">
        <v>5</v>
      </c>
      <c r="E188" s="18">
        <f t="shared" si="61"/>
        <v>60</v>
      </c>
      <c r="F188" s="18">
        <f t="shared" si="1"/>
        <v>0.4329004329004329</v>
      </c>
      <c r="G188" s="16">
        <v>12</v>
      </c>
      <c r="H188" s="16">
        <v>13</v>
      </c>
      <c r="I188" s="19">
        <f t="shared" si="2"/>
        <v>92.307692307692307</v>
      </c>
      <c r="J188" s="19">
        <f t="shared" si="3"/>
        <v>1.5748031496062991</v>
      </c>
      <c r="K188" s="16">
        <v>693</v>
      </c>
      <c r="L188" s="17">
        <v>789</v>
      </c>
      <c r="M188" s="18">
        <f t="shared" si="4"/>
        <v>87.832699619771859</v>
      </c>
      <c r="N188" s="16">
        <v>762</v>
      </c>
      <c r="O188" s="17">
        <v>787</v>
      </c>
      <c r="P188" s="18">
        <f t="shared" si="5"/>
        <v>96.823379923761124</v>
      </c>
      <c r="Q188" s="20">
        <f t="shared" si="60"/>
        <v>0.68311688311688312</v>
      </c>
      <c r="R188" s="20">
        <f t="shared" si="7"/>
        <v>0.95336159903089035</v>
      </c>
    </row>
    <row r="189" spans="1:18" ht="14.4">
      <c r="A189" s="15">
        <v>40901</v>
      </c>
      <c r="B189" s="15" t="s">
        <v>222</v>
      </c>
      <c r="C189" s="16">
        <v>9</v>
      </c>
      <c r="D189" s="17">
        <v>30</v>
      </c>
      <c r="E189" s="18">
        <f t="shared" si="61"/>
        <v>30</v>
      </c>
      <c r="F189" s="18">
        <f t="shared" si="1"/>
        <v>0.48596112311015116</v>
      </c>
      <c r="G189" s="17">
        <v>27</v>
      </c>
      <c r="H189" s="16">
        <v>33</v>
      </c>
      <c r="I189" s="19">
        <f t="shared" si="2"/>
        <v>81.818181818181827</v>
      </c>
      <c r="J189" s="19">
        <f t="shared" si="3"/>
        <v>0.78534031413612559</v>
      </c>
      <c r="K189" s="17">
        <v>1852</v>
      </c>
      <c r="L189" s="17">
        <v>2024</v>
      </c>
      <c r="M189" s="18">
        <f t="shared" si="4"/>
        <v>91.501976284584984</v>
      </c>
      <c r="N189" s="17">
        <v>3438</v>
      </c>
      <c r="O189" s="17">
        <v>3655</v>
      </c>
      <c r="P189" s="18">
        <f t="shared" si="5"/>
        <v>94.062927496580031</v>
      </c>
      <c r="Q189" s="20">
        <f t="shared" si="60"/>
        <v>0.32786177105831532</v>
      </c>
      <c r="R189" s="20">
        <f t="shared" si="7"/>
        <v>0.86982389338410282</v>
      </c>
    </row>
    <row r="190" spans="1:18" ht="14.4">
      <c r="A190" s="15">
        <v>40902</v>
      </c>
      <c r="B190" s="15" t="s">
        <v>223</v>
      </c>
      <c r="C190" s="16">
        <v>2</v>
      </c>
      <c r="D190" s="17">
        <v>6</v>
      </c>
      <c r="E190" s="18">
        <f t="shared" si="61"/>
        <v>33.333333333333329</v>
      </c>
      <c r="F190" s="18">
        <f t="shared" si="1"/>
        <v>0.8</v>
      </c>
      <c r="G190" s="16">
        <v>2</v>
      </c>
      <c r="H190" s="16">
        <v>2</v>
      </c>
      <c r="I190" s="19">
        <f t="shared" si="2"/>
        <v>100</v>
      </c>
      <c r="J190" s="19">
        <f t="shared" si="3"/>
        <v>0.5714285714285714</v>
      </c>
      <c r="K190" s="16">
        <v>250</v>
      </c>
      <c r="L190" s="17">
        <v>265</v>
      </c>
      <c r="M190" s="18">
        <f t="shared" si="4"/>
        <v>94.339622641509436</v>
      </c>
      <c r="N190" s="16">
        <v>350</v>
      </c>
      <c r="O190" s="17">
        <v>366</v>
      </c>
      <c r="P190" s="18">
        <f t="shared" si="5"/>
        <v>95.628415300546436</v>
      </c>
      <c r="Q190" s="20">
        <f t="shared" si="60"/>
        <v>0.35333333333333328</v>
      </c>
      <c r="R190" s="20">
        <f t="shared" si="7"/>
        <v>1.0457142857142858</v>
      </c>
    </row>
    <row r="191" spans="1:18" ht="14.4">
      <c r="A191" s="15">
        <v>40903</v>
      </c>
      <c r="B191" s="15" t="s">
        <v>224</v>
      </c>
      <c r="C191" s="16">
        <v>1</v>
      </c>
      <c r="D191" s="17">
        <v>3</v>
      </c>
      <c r="E191" s="18">
        <f t="shared" si="61"/>
        <v>33.333333333333329</v>
      </c>
      <c r="F191" s="18">
        <f t="shared" si="1"/>
        <v>0.18975332068311196</v>
      </c>
      <c r="G191" s="16">
        <v>3</v>
      </c>
      <c r="H191" s="16">
        <v>6</v>
      </c>
      <c r="I191" s="19">
        <f t="shared" si="2"/>
        <v>50</v>
      </c>
      <c r="J191" s="19">
        <f t="shared" si="3"/>
        <v>0.54744525547445255</v>
      </c>
      <c r="K191" s="16">
        <v>527</v>
      </c>
      <c r="L191" s="17">
        <v>637</v>
      </c>
      <c r="M191" s="18">
        <f t="shared" si="4"/>
        <v>82.731554160125583</v>
      </c>
      <c r="N191" s="16">
        <v>548</v>
      </c>
      <c r="O191" s="17">
        <v>626</v>
      </c>
      <c r="P191" s="18">
        <f t="shared" si="5"/>
        <v>87.539936102236425</v>
      </c>
      <c r="Q191" s="20">
        <f t="shared" si="60"/>
        <v>0.40290955091714103</v>
      </c>
      <c r="R191" s="20">
        <f t="shared" si="7"/>
        <v>0.57116788321167877</v>
      </c>
    </row>
    <row r="192" spans="1:18" ht="14.4">
      <c r="A192" s="15">
        <v>41001</v>
      </c>
      <c r="B192" s="15" t="s">
        <v>225</v>
      </c>
      <c r="C192" s="16">
        <v>8</v>
      </c>
      <c r="D192" s="17">
        <v>19</v>
      </c>
      <c r="E192" s="18">
        <f t="shared" si="61"/>
        <v>42.105263157894733</v>
      </c>
      <c r="F192" s="18">
        <f t="shared" si="1"/>
        <v>0.40485829959514169</v>
      </c>
      <c r="G192" s="17">
        <v>18</v>
      </c>
      <c r="H192" s="16">
        <v>20</v>
      </c>
      <c r="I192" s="19">
        <f t="shared" si="2"/>
        <v>90</v>
      </c>
      <c r="J192" s="19">
        <f t="shared" si="3"/>
        <v>0.75</v>
      </c>
      <c r="K192" s="17">
        <v>1976</v>
      </c>
      <c r="L192" s="17">
        <v>2209</v>
      </c>
      <c r="M192" s="18">
        <f t="shared" si="4"/>
        <v>89.452240832956093</v>
      </c>
      <c r="N192" s="17">
        <v>2400</v>
      </c>
      <c r="O192" s="17">
        <v>2525</v>
      </c>
      <c r="P192" s="18">
        <f t="shared" si="5"/>
        <v>95.049504950495049</v>
      </c>
      <c r="Q192" s="20">
        <f t="shared" si="60"/>
        <v>0.47070104410824626</v>
      </c>
      <c r="R192" s="20">
        <f t="shared" si="7"/>
        <v>0.94687500000000002</v>
      </c>
    </row>
    <row r="193" spans="1:18" ht="14.4">
      <c r="A193" s="15">
        <v>41101</v>
      </c>
      <c r="B193" s="15" t="s">
        <v>226</v>
      </c>
      <c r="C193" s="16">
        <v>1</v>
      </c>
      <c r="D193" s="17">
        <v>8</v>
      </c>
      <c r="E193" s="18">
        <f t="shared" si="61"/>
        <v>12.5</v>
      </c>
      <c r="F193" s="18">
        <f t="shared" si="1"/>
        <v>7.6687116564417179E-2</v>
      </c>
      <c r="G193" s="17">
        <v>8</v>
      </c>
      <c r="H193" s="16">
        <v>9</v>
      </c>
      <c r="I193" s="19">
        <f t="shared" si="2"/>
        <v>88.888888888888886</v>
      </c>
      <c r="J193" s="19">
        <f t="shared" si="3"/>
        <v>0.63291139240506333</v>
      </c>
      <c r="K193" s="17">
        <v>1304</v>
      </c>
      <c r="L193" s="17">
        <v>1439</v>
      </c>
      <c r="M193" s="18">
        <f t="shared" si="4"/>
        <v>90.618485059068803</v>
      </c>
      <c r="N193" s="17">
        <v>1264</v>
      </c>
      <c r="O193" s="17">
        <v>1335</v>
      </c>
      <c r="P193" s="18">
        <f t="shared" si="5"/>
        <v>94.68164794007491</v>
      </c>
      <c r="Q193" s="20">
        <f t="shared" si="60"/>
        <v>0.13794095092024539</v>
      </c>
      <c r="R193" s="20">
        <f t="shared" si="7"/>
        <v>0.93881856540084385</v>
      </c>
    </row>
    <row r="194" spans="1:18" ht="14.4">
      <c r="A194" s="15">
        <v>41201</v>
      </c>
      <c r="B194" s="15" t="s">
        <v>227</v>
      </c>
      <c r="C194" s="16">
        <v>2</v>
      </c>
      <c r="D194" s="17">
        <v>2</v>
      </c>
      <c r="E194" s="18">
        <f t="shared" si="61"/>
        <v>100</v>
      </c>
      <c r="F194" s="18">
        <f t="shared" si="1"/>
        <v>0.19723865877712032</v>
      </c>
      <c r="G194" s="17">
        <v>9</v>
      </c>
      <c r="H194" s="16">
        <v>10</v>
      </c>
      <c r="I194" s="19">
        <f t="shared" si="2"/>
        <v>90</v>
      </c>
      <c r="J194" s="19">
        <f t="shared" si="3"/>
        <v>0.73111291632818853</v>
      </c>
      <c r="K194" s="17">
        <v>1014</v>
      </c>
      <c r="L194" s="17">
        <v>1146</v>
      </c>
      <c r="M194" s="18">
        <f t="shared" si="4"/>
        <v>88.481675392670155</v>
      </c>
      <c r="N194" s="17">
        <v>1231</v>
      </c>
      <c r="O194" s="17">
        <v>1288</v>
      </c>
      <c r="P194" s="18">
        <f t="shared" si="5"/>
        <v>95.574534161490689</v>
      </c>
      <c r="Q194" s="20">
        <f t="shared" si="60"/>
        <v>1.1301775147928994</v>
      </c>
      <c r="R194" s="20">
        <f t="shared" si="7"/>
        <v>0.94167343623070665</v>
      </c>
    </row>
    <row r="195" spans="1:18" ht="14.4">
      <c r="A195" s="15">
        <v>41202</v>
      </c>
      <c r="B195" s="15" t="s">
        <v>228</v>
      </c>
      <c r="C195" s="16">
        <v>1</v>
      </c>
      <c r="D195" s="17">
        <v>1</v>
      </c>
      <c r="E195" s="18">
        <f t="shared" si="61"/>
        <v>100</v>
      </c>
      <c r="F195" s="18">
        <f t="shared" si="1"/>
        <v>0.23474178403755869</v>
      </c>
      <c r="G195" s="16">
        <v>5</v>
      </c>
      <c r="H195" s="16">
        <v>5</v>
      </c>
      <c r="I195" s="19">
        <f t="shared" si="2"/>
        <v>100</v>
      </c>
      <c r="J195" s="19">
        <f t="shared" si="3"/>
        <v>0.76452599388379205</v>
      </c>
      <c r="K195" s="16">
        <v>426</v>
      </c>
      <c r="L195" s="17">
        <v>466</v>
      </c>
      <c r="M195" s="18">
        <f t="shared" si="4"/>
        <v>91.416309012875544</v>
      </c>
      <c r="N195" s="16">
        <v>654</v>
      </c>
      <c r="O195" s="17">
        <v>688</v>
      </c>
      <c r="P195" s="18">
        <f t="shared" si="5"/>
        <v>95.058139534883722</v>
      </c>
      <c r="Q195" s="20">
        <f t="shared" si="60"/>
        <v>1.0938967136150233</v>
      </c>
      <c r="R195" s="20">
        <f t="shared" si="7"/>
        <v>1.0519877675840978</v>
      </c>
    </row>
    <row r="196" spans="1:18" ht="14.4">
      <c r="A196" s="15">
        <v>41301</v>
      </c>
      <c r="B196" s="15" t="s">
        <v>183</v>
      </c>
      <c r="C196" s="16">
        <v>11</v>
      </c>
      <c r="D196" s="17">
        <v>17</v>
      </c>
      <c r="E196" s="18">
        <f t="shared" si="61"/>
        <v>64.705882352941174</v>
      </c>
      <c r="F196" s="18">
        <f t="shared" si="1"/>
        <v>0.85403726708074534</v>
      </c>
      <c r="G196" s="17">
        <v>9</v>
      </c>
      <c r="H196" s="16">
        <v>9</v>
      </c>
      <c r="I196" s="19">
        <f t="shared" si="2"/>
        <v>100</v>
      </c>
      <c r="J196" s="19">
        <f t="shared" si="3"/>
        <v>0.65741417092768439</v>
      </c>
      <c r="K196" s="17">
        <v>1288</v>
      </c>
      <c r="L196" s="17">
        <v>1435</v>
      </c>
      <c r="M196" s="18">
        <f t="shared" si="4"/>
        <v>89.756097560975618</v>
      </c>
      <c r="N196" s="17">
        <v>1369</v>
      </c>
      <c r="O196" s="17">
        <v>1441</v>
      </c>
      <c r="P196" s="18">
        <f t="shared" si="5"/>
        <v>95.003469812630115</v>
      </c>
      <c r="Q196" s="20">
        <f t="shared" si="60"/>
        <v>0.72090792838874673</v>
      </c>
      <c r="R196" s="20">
        <f t="shared" si="7"/>
        <v>1.0525931336742147</v>
      </c>
    </row>
    <row r="197" spans="1:18" ht="14.4">
      <c r="A197" s="15">
        <v>41401</v>
      </c>
      <c r="B197" s="15" t="s">
        <v>229</v>
      </c>
      <c r="C197" s="16">
        <v>6</v>
      </c>
      <c r="D197" s="17">
        <v>13</v>
      </c>
      <c r="E197" s="18">
        <f t="shared" si="61"/>
        <v>46.153846153846153</v>
      </c>
      <c r="F197" s="18">
        <f t="shared" si="1"/>
        <v>0.2031144211238998</v>
      </c>
      <c r="G197" s="17">
        <v>22</v>
      </c>
      <c r="H197" s="16">
        <v>26</v>
      </c>
      <c r="I197" s="19">
        <f t="shared" si="2"/>
        <v>84.615384615384613</v>
      </c>
      <c r="J197" s="19">
        <f t="shared" si="3"/>
        <v>0.74525745257452569</v>
      </c>
      <c r="K197" s="17">
        <v>2954</v>
      </c>
      <c r="L197" s="17">
        <v>3312</v>
      </c>
      <c r="M197" s="18">
        <f t="shared" si="4"/>
        <v>89.190821256038646</v>
      </c>
      <c r="N197" s="17">
        <v>2952</v>
      </c>
      <c r="O197" s="17">
        <v>3105</v>
      </c>
      <c r="P197" s="18">
        <f t="shared" si="5"/>
        <v>95.072463768115938</v>
      </c>
      <c r="Q197" s="20">
        <f t="shared" si="60"/>
        <v>0.51747304827873553</v>
      </c>
      <c r="R197" s="20">
        <f t="shared" si="7"/>
        <v>0.89000938086303938</v>
      </c>
    </row>
    <row r="198" spans="1:18" ht="14.4">
      <c r="A198" s="15">
        <v>41501</v>
      </c>
      <c r="B198" s="15" t="s">
        <v>230</v>
      </c>
      <c r="C198" s="27"/>
      <c r="D198" s="28"/>
      <c r="E198" s="18"/>
      <c r="F198" s="18">
        <f t="shared" si="1"/>
        <v>0</v>
      </c>
      <c r="G198" s="16">
        <v>4</v>
      </c>
      <c r="H198" s="16">
        <v>4</v>
      </c>
      <c r="I198" s="19">
        <f t="shared" si="2"/>
        <v>100</v>
      </c>
      <c r="J198" s="19">
        <f t="shared" si="3"/>
        <v>1.1834319526627219</v>
      </c>
      <c r="K198" s="16">
        <v>107</v>
      </c>
      <c r="L198" s="17">
        <v>117</v>
      </c>
      <c r="M198" s="18">
        <f t="shared" si="4"/>
        <v>91.452991452991455</v>
      </c>
      <c r="N198" s="16">
        <v>338</v>
      </c>
      <c r="O198" s="17">
        <v>349</v>
      </c>
      <c r="P198" s="18">
        <f t="shared" si="5"/>
        <v>96.848137535816619</v>
      </c>
      <c r="Q198" s="20">
        <f t="shared" si="60"/>
        <v>0</v>
      </c>
      <c r="R198" s="20">
        <f t="shared" si="7"/>
        <v>1.0325443786982249</v>
      </c>
    </row>
    <row r="199" spans="1:18" ht="14.4">
      <c r="A199" s="15">
        <v>41502</v>
      </c>
      <c r="B199" s="15" t="s">
        <v>231</v>
      </c>
      <c r="C199" s="27"/>
      <c r="D199" s="28"/>
      <c r="E199" s="18"/>
      <c r="F199" s="18">
        <f t="shared" si="1"/>
        <v>0</v>
      </c>
      <c r="G199" s="16">
        <v>3</v>
      </c>
      <c r="H199" s="16">
        <v>4</v>
      </c>
      <c r="I199" s="19">
        <f t="shared" si="2"/>
        <v>75</v>
      </c>
      <c r="J199" s="19">
        <f t="shared" si="3"/>
        <v>1.1111111111111112</v>
      </c>
      <c r="K199" s="16">
        <v>163</v>
      </c>
      <c r="L199" s="17">
        <v>177</v>
      </c>
      <c r="M199" s="18">
        <f t="shared" si="4"/>
        <v>92.090395480225979</v>
      </c>
      <c r="N199" s="16">
        <v>270</v>
      </c>
      <c r="O199" s="17">
        <v>291</v>
      </c>
      <c r="P199" s="18">
        <f t="shared" si="5"/>
        <v>92.783505154639172</v>
      </c>
      <c r="Q199" s="20">
        <f t="shared" si="60"/>
        <v>0</v>
      </c>
      <c r="R199" s="20">
        <f t="shared" si="7"/>
        <v>0.80833333333333335</v>
      </c>
    </row>
    <row r="200" spans="1:18" ht="14.4">
      <c r="A200" s="15">
        <v>41503</v>
      </c>
      <c r="B200" s="15" t="s">
        <v>232</v>
      </c>
      <c r="C200" s="16">
        <v>0</v>
      </c>
      <c r="D200" s="17">
        <v>1</v>
      </c>
      <c r="E200" s="18">
        <f t="shared" ref="E200:E345" si="62">(C200/D200)*100</f>
        <v>0</v>
      </c>
      <c r="F200" s="18">
        <f t="shared" si="1"/>
        <v>0</v>
      </c>
      <c r="G200" s="16">
        <v>4</v>
      </c>
      <c r="H200" s="16">
        <v>4</v>
      </c>
      <c r="I200" s="19">
        <f t="shared" si="2"/>
        <v>100</v>
      </c>
      <c r="J200" s="19">
        <f t="shared" si="3"/>
        <v>1.4234875444839856</v>
      </c>
      <c r="K200" s="16">
        <v>222</v>
      </c>
      <c r="L200" s="17">
        <v>240</v>
      </c>
      <c r="M200" s="18">
        <f t="shared" si="4"/>
        <v>92.5</v>
      </c>
      <c r="N200" s="16">
        <v>281</v>
      </c>
      <c r="O200" s="17">
        <v>292</v>
      </c>
      <c r="P200" s="18">
        <f t="shared" si="5"/>
        <v>96.232876712328761</v>
      </c>
      <c r="Q200" s="20">
        <f t="shared" si="60"/>
        <v>0</v>
      </c>
      <c r="R200" s="20">
        <f t="shared" si="7"/>
        <v>1.0391459074733096</v>
      </c>
    </row>
    <row r="201" spans="1:18" ht="14.4">
      <c r="A201" s="15">
        <v>41601</v>
      </c>
      <c r="B201" s="15" t="s">
        <v>233</v>
      </c>
      <c r="C201" s="16">
        <v>3</v>
      </c>
      <c r="D201" s="17">
        <v>10</v>
      </c>
      <c r="E201" s="18">
        <f t="shared" si="62"/>
        <v>30</v>
      </c>
      <c r="F201" s="18">
        <f t="shared" si="1"/>
        <v>0.31948881789137379</v>
      </c>
      <c r="G201" s="17">
        <v>13</v>
      </c>
      <c r="H201" s="16">
        <v>13</v>
      </c>
      <c r="I201" s="19">
        <f t="shared" si="2"/>
        <v>100</v>
      </c>
      <c r="J201" s="19">
        <f t="shared" si="3"/>
        <v>1.2512030798845042</v>
      </c>
      <c r="K201" s="17">
        <v>939</v>
      </c>
      <c r="L201" s="17">
        <v>1068</v>
      </c>
      <c r="M201" s="18">
        <f t="shared" si="4"/>
        <v>87.921348314606746</v>
      </c>
      <c r="N201" s="17">
        <v>1039</v>
      </c>
      <c r="O201" s="17">
        <v>1087</v>
      </c>
      <c r="P201" s="18">
        <f t="shared" si="5"/>
        <v>95.584176632934685</v>
      </c>
      <c r="Q201" s="20">
        <f t="shared" si="60"/>
        <v>0.34121405750798722</v>
      </c>
      <c r="R201" s="20">
        <f t="shared" si="7"/>
        <v>1.0461982675649664</v>
      </c>
    </row>
    <row r="202" spans="1:18" ht="14.4">
      <c r="A202" s="15">
        <v>50101</v>
      </c>
      <c r="B202" s="15" t="s">
        <v>36</v>
      </c>
      <c r="C202" s="16">
        <v>334</v>
      </c>
      <c r="D202" s="17">
        <v>668</v>
      </c>
      <c r="E202" s="18">
        <f t="shared" si="62"/>
        <v>50</v>
      </c>
      <c r="F202" s="18">
        <f t="shared" si="1"/>
        <v>0.67264122444869601</v>
      </c>
      <c r="G202" s="17">
        <v>1241</v>
      </c>
      <c r="H202" s="17">
        <v>1331</v>
      </c>
      <c r="I202" s="19">
        <f t="shared" si="2"/>
        <v>93.238166791885803</v>
      </c>
      <c r="J202" s="19">
        <f t="shared" si="3"/>
        <v>2.2099545899741786</v>
      </c>
      <c r="K202" s="17">
        <v>49655</v>
      </c>
      <c r="L202" s="17">
        <v>52953</v>
      </c>
      <c r="M202" s="18">
        <f t="shared" si="4"/>
        <v>93.771835401204839</v>
      </c>
      <c r="N202" s="17">
        <v>56155</v>
      </c>
      <c r="O202" s="17">
        <v>57484</v>
      </c>
      <c r="P202" s="18">
        <f t="shared" si="5"/>
        <v>97.688052327604197</v>
      </c>
      <c r="Q202" s="20">
        <f t="shared" si="60"/>
        <v>0.53320914308730238</v>
      </c>
      <c r="R202" s="20">
        <f t="shared" si="7"/>
        <v>0.95444800638674454</v>
      </c>
    </row>
    <row r="203" spans="1:18" ht="14.4">
      <c r="A203" s="15">
        <v>50102</v>
      </c>
      <c r="B203" s="15" t="s">
        <v>234</v>
      </c>
      <c r="C203" s="16">
        <v>4</v>
      </c>
      <c r="D203" s="17">
        <v>18</v>
      </c>
      <c r="E203" s="18">
        <f t="shared" si="62"/>
        <v>22.222222222222221</v>
      </c>
      <c r="F203" s="18">
        <f t="shared" si="1"/>
        <v>5.8953574060427415E-2</v>
      </c>
      <c r="G203" s="17">
        <v>55</v>
      </c>
      <c r="H203" s="16">
        <v>68</v>
      </c>
      <c r="I203" s="19">
        <f t="shared" si="2"/>
        <v>80.882352941176478</v>
      </c>
      <c r="J203" s="19">
        <f t="shared" si="3"/>
        <v>0.71261984970199532</v>
      </c>
      <c r="K203" s="17">
        <v>6785</v>
      </c>
      <c r="L203" s="17">
        <v>8496</v>
      </c>
      <c r="M203" s="18">
        <f t="shared" si="4"/>
        <v>79.861111111111114</v>
      </c>
      <c r="N203" s="17">
        <v>7718</v>
      </c>
      <c r="O203" s="17">
        <v>8511</v>
      </c>
      <c r="P203" s="18">
        <f t="shared" si="5"/>
        <v>90.682645987545527</v>
      </c>
      <c r="Q203" s="20">
        <f t="shared" si="60"/>
        <v>0.27826086956521739</v>
      </c>
      <c r="R203" s="20">
        <f t="shared" si="7"/>
        <v>0.89192757953142399</v>
      </c>
    </row>
    <row r="204" spans="1:18" ht="14.4">
      <c r="A204" s="15">
        <v>50103</v>
      </c>
      <c r="B204" s="15" t="s">
        <v>235</v>
      </c>
      <c r="C204" s="16">
        <v>8</v>
      </c>
      <c r="D204" s="17">
        <v>15</v>
      </c>
      <c r="E204" s="18">
        <f t="shared" si="62"/>
        <v>53.333333333333336</v>
      </c>
      <c r="F204" s="18">
        <f t="shared" si="1"/>
        <v>0.38443056222969729</v>
      </c>
      <c r="G204" s="17">
        <v>20</v>
      </c>
      <c r="H204" s="16">
        <v>25</v>
      </c>
      <c r="I204" s="19">
        <f t="shared" si="2"/>
        <v>80</v>
      </c>
      <c r="J204" s="19">
        <f t="shared" si="3"/>
        <v>0.78709169618260533</v>
      </c>
      <c r="K204" s="17">
        <v>2081</v>
      </c>
      <c r="L204" s="17">
        <v>2213</v>
      </c>
      <c r="M204" s="18">
        <f t="shared" si="4"/>
        <v>94.035246272028914</v>
      </c>
      <c r="N204" s="17">
        <v>2541</v>
      </c>
      <c r="O204" s="17">
        <v>2640</v>
      </c>
      <c r="P204" s="18">
        <f t="shared" si="5"/>
        <v>96.25</v>
      </c>
      <c r="Q204" s="20">
        <f t="shared" si="60"/>
        <v>0.56716322280954679</v>
      </c>
      <c r="R204" s="20">
        <f t="shared" si="7"/>
        <v>0.83116883116883122</v>
      </c>
    </row>
    <row r="205" spans="1:18" ht="14.4">
      <c r="A205" s="15">
        <v>50104</v>
      </c>
      <c r="B205" s="15" t="s">
        <v>236</v>
      </c>
      <c r="C205" s="16">
        <v>1</v>
      </c>
      <c r="D205" s="17">
        <v>3</v>
      </c>
      <c r="E205" s="18">
        <f t="shared" si="62"/>
        <v>33.333333333333329</v>
      </c>
      <c r="F205" s="18">
        <f t="shared" si="1"/>
        <v>0.16260162601626016</v>
      </c>
      <c r="G205" s="16">
        <v>3</v>
      </c>
      <c r="H205" s="16">
        <v>3</v>
      </c>
      <c r="I205" s="19">
        <f t="shared" si="2"/>
        <v>100</v>
      </c>
      <c r="J205" s="19">
        <f t="shared" si="3"/>
        <v>0.44910179640718562</v>
      </c>
      <c r="K205" s="16">
        <v>615</v>
      </c>
      <c r="L205" s="17">
        <v>667</v>
      </c>
      <c r="M205" s="18">
        <f t="shared" si="4"/>
        <v>92.203898050974516</v>
      </c>
      <c r="N205" s="16">
        <v>668</v>
      </c>
      <c r="O205" s="17">
        <v>689</v>
      </c>
      <c r="P205" s="18">
        <f t="shared" si="5"/>
        <v>96.952104499274299</v>
      </c>
      <c r="Q205" s="20">
        <f t="shared" si="60"/>
        <v>0.36151761517615172</v>
      </c>
      <c r="R205" s="20">
        <f t="shared" si="7"/>
        <v>1.0314371257485031</v>
      </c>
    </row>
    <row r="206" spans="1:18" ht="14.4">
      <c r="A206" s="15">
        <v>50201</v>
      </c>
      <c r="B206" s="15" t="s">
        <v>237</v>
      </c>
      <c r="C206" s="16">
        <v>32</v>
      </c>
      <c r="D206" s="17">
        <v>65</v>
      </c>
      <c r="E206" s="18">
        <f t="shared" si="62"/>
        <v>49.230769230769234</v>
      </c>
      <c r="F206" s="18">
        <f t="shared" si="1"/>
        <v>0.5206638464041653</v>
      </c>
      <c r="G206" s="17">
        <v>44</v>
      </c>
      <c r="H206" s="16">
        <v>54</v>
      </c>
      <c r="I206" s="19">
        <f t="shared" si="2"/>
        <v>81.481481481481481</v>
      </c>
      <c r="J206" s="19">
        <f t="shared" si="3"/>
        <v>0.74740954645829794</v>
      </c>
      <c r="K206" s="17">
        <v>6146</v>
      </c>
      <c r="L206" s="17">
        <v>6645</v>
      </c>
      <c r="M206" s="18">
        <f t="shared" si="4"/>
        <v>92.490594431903688</v>
      </c>
      <c r="N206" s="17">
        <v>5887</v>
      </c>
      <c r="O206" s="17">
        <v>6109</v>
      </c>
      <c r="P206" s="18">
        <f t="shared" si="5"/>
        <v>96.36601735144869</v>
      </c>
      <c r="Q206" s="20">
        <f t="shared" si="60"/>
        <v>0.53227865528548901</v>
      </c>
      <c r="R206" s="20">
        <f t="shared" si="7"/>
        <v>0.84554165172476703</v>
      </c>
    </row>
    <row r="207" spans="1:18" ht="14.4">
      <c r="A207" s="15">
        <v>50202</v>
      </c>
      <c r="B207" s="15" t="s">
        <v>238</v>
      </c>
      <c r="C207" s="16">
        <v>13</v>
      </c>
      <c r="D207" s="17">
        <v>24</v>
      </c>
      <c r="E207" s="18">
        <f t="shared" si="62"/>
        <v>54.166666666666664</v>
      </c>
      <c r="F207" s="18">
        <f t="shared" si="1"/>
        <v>0.28716589352772254</v>
      </c>
      <c r="G207" s="17">
        <v>65</v>
      </c>
      <c r="H207" s="16">
        <v>75</v>
      </c>
      <c r="I207" s="19">
        <f t="shared" si="2"/>
        <v>86.666666666666671</v>
      </c>
      <c r="J207" s="19">
        <f t="shared" si="3"/>
        <v>1.6883116883116882</v>
      </c>
      <c r="K207" s="17">
        <v>4527</v>
      </c>
      <c r="L207" s="17">
        <v>4982</v>
      </c>
      <c r="M207" s="18">
        <f t="shared" si="4"/>
        <v>90.867121637896432</v>
      </c>
      <c r="N207" s="17">
        <v>3850</v>
      </c>
      <c r="O207" s="17">
        <v>4090</v>
      </c>
      <c r="P207" s="18">
        <f t="shared" si="5"/>
        <v>94.13202933985329</v>
      </c>
      <c r="Q207" s="20">
        <f t="shared" si="60"/>
        <v>0.59610853398129737</v>
      </c>
      <c r="R207" s="20">
        <f t="shared" si="7"/>
        <v>0.9206926406926409</v>
      </c>
    </row>
    <row r="208" spans="1:18" ht="14.4">
      <c r="A208" s="15">
        <v>50203</v>
      </c>
      <c r="B208" s="15" t="s">
        <v>239</v>
      </c>
      <c r="C208" s="16">
        <v>55</v>
      </c>
      <c r="D208" s="17">
        <v>136</v>
      </c>
      <c r="E208" s="18">
        <f t="shared" si="62"/>
        <v>40.441176470588239</v>
      </c>
      <c r="F208" s="18">
        <f t="shared" si="1"/>
        <v>0.47000512732866173</v>
      </c>
      <c r="G208" s="17">
        <v>169</v>
      </c>
      <c r="H208" s="16">
        <v>179</v>
      </c>
      <c r="I208" s="19">
        <f t="shared" si="2"/>
        <v>94.413407821229043</v>
      </c>
      <c r="J208" s="19">
        <f t="shared" si="3"/>
        <v>1.598411047006526</v>
      </c>
      <c r="K208" s="17">
        <v>11702</v>
      </c>
      <c r="L208" s="17">
        <v>12621</v>
      </c>
      <c r="M208" s="18">
        <f t="shared" si="4"/>
        <v>92.718485064574921</v>
      </c>
      <c r="N208" s="17">
        <v>10573</v>
      </c>
      <c r="O208" s="17">
        <v>10844</v>
      </c>
      <c r="P208" s="18">
        <f t="shared" si="5"/>
        <v>97.500922168941344</v>
      </c>
      <c r="Q208" s="20">
        <f t="shared" si="60"/>
        <v>0.4361716700011059</v>
      </c>
      <c r="R208" s="20">
        <f t="shared" si="7"/>
        <v>0.96833348568373012</v>
      </c>
    </row>
    <row r="209" spans="1:18" ht="14.4">
      <c r="A209" s="15">
        <v>50204</v>
      </c>
      <c r="B209" s="15" t="s">
        <v>240</v>
      </c>
      <c r="C209" s="16">
        <v>9</v>
      </c>
      <c r="D209" s="17">
        <v>17</v>
      </c>
      <c r="E209" s="18">
        <f t="shared" si="62"/>
        <v>52.941176470588239</v>
      </c>
      <c r="F209" s="18">
        <f t="shared" si="1"/>
        <v>0.4001778568252557</v>
      </c>
      <c r="G209" s="17">
        <v>28</v>
      </c>
      <c r="H209" s="16">
        <v>30</v>
      </c>
      <c r="I209" s="19">
        <f t="shared" si="2"/>
        <v>93.333333333333329</v>
      </c>
      <c r="J209" s="19">
        <f t="shared" si="3"/>
        <v>1.2216404886561953</v>
      </c>
      <c r="K209" s="17">
        <v>2249</v>
      </c>
      <c r="L209" s="17">
        <v>2543</v>
      </c>
      <c r="M209" s="18">
        <f t="shared" si="4"/>
        <v>88.438851749901687</v>
      </c>
      <c r="N209" s="17">
        <v>2292</v>
      </c>
      <c r="O209" s="17">
        <v>2437</v>
      </c>
      <c r="P209" s="18">
        <f t="shared" si="5"/>
        <v>94.05006155108741</v>
      </c>
      <c r="Q209" s="20">
        <f t="shared" si="60"/>
        <v>0.59861899406272079</v>
      </c>
      <c r="R209" s="20">
        <f t="shared" si="7"/>
        <v>0.99237929028504934</v>
      </c>
    </row>
    <row r="210" spans="1:18" ht="14.4">
      <c r="A210" s="15">
        <v>50301</v>
      </c>
      <c r="B210" s="15" t="s">
        <v>241</v>
      </c>
      <c r="C210" s="16">
        <v>45</v>
      </c>
      <c r="D210" s="17">
        <v>75</v>
      </c>
      <c r="E210" s="18">
        <f t="shared" si="62"/>
        <v>60</v>
      </c>
      <c r="F210" s="18">
        <f t="shared" si="1"/>
        <v>0.48350703771354897</v>
      </c>
      <c r="G210" s="17">
        <v>127</v>
      </c>
      <c r="H210" s="16">
        <v>152</v>
      </c>
      <c r="I210" s="19">
        <f t="shared" si="2"/>
        <v>83.55263157894737</v>
      </c>
      <c r="J210" s="19">
        <f t="shared" si="3"/>
        <v>1.7222674260916733</v>
      </c>
      <c r="K210" s="17">
        <v>9307</v>
      </c>
      <c r="L210" s="17">
        <v>10590</v>
      </c>
      <c r="M210" s="18">
        <f t="shared" si="4"/>
        <v>87.8847969782814</v>
      </c>
      <c r="N210" s="17">
        <v>7374</v>
      </c>
      <c r="O210" s="17">
        <v>8039</v>
      </c>
      <c r="P210" s="18">
        <f t="shared" si="5"/>
        <v>91.727826844134839</v>
      </c>
      <c r="Q210" s="20">
        <f t="shared" si="60"/>
        <v>0.68271193725153112</v>
      </c>
      <c r="R210" s="20">
        <f t="shared" si="7"/>
        <v>0.91087551568098446</v>
      </c>
    </row>
    <row r="211" spans="1:18" ht="14.4">
      <c r="A211" s="15">
        <v>50302</v>
      </c>
      <c r="B211" s="15" t="s">
        <v>242</v>
      </c>
      <c r="C211" s="16">
        <v>8</v>
      </c>
      <c r="D211" s="17">
        <v>15</v>
      </c>
      <c r="E211" s="18">
        <f t="shared" si="62"/>
        <v>53.333333333333336</v>
      </c>
      <c r="F211" s="18">
        <f t="shared" si="1"/>
        <v>0.33305578684429643</v>
      </c>
      <c r="G211" s="17">
        <v>22</v>
      </c>
      <c r="H211" s="16">
        <v>26</v>
      </c>
      <c r="I211" s="19">
        <f t="shared" si="2"/>
        <v>84.615384615384613</v>
      </c>
      <c r="J211" s="19">
        <f t="shared" si="3"/>
        <v>1.1609498680738786</v>
      </c>
      <c r="K211" s="17">
        <v>2402</v>
      </c>
      <c r="L211" s="17">
        <v>2707</v>
      </c>
      <c r="M211" s="18">
        <f t="shared" si="4"/>
        <v>88.732914665681562</v>
      </c>
      <c r="N211" s="17">
        <v>1895</v>
      </c>
      <c r="O211" s="17">
        <v>2007</v>
      </c>
      <c r="P211" s="18">
        <f t="shared" si="5"/>
        <v>94.419531639262573</v>
      </c>
      <c r="Q211" s="20">
        <f t="shared" si="60"/>
        <v>0.60105467665834034</v>
      </c>
      <c r="R211" s="20">
        <f t="shared" si="7"/>
        <v>0.89616399431702864</v>
      </c>
    </row>
    <row r="212" spans="1:18" ht="14.4">
      <c r="A212" s="15">
        <v>50303</v>
      </c>
      <c r="B212" s="15" t="s">
        <v>243</v>
      </c>
      <c r="C212" s="16">
        <v>9</v>
      </c>
      <c r="D212" s="17">
        <v>14</v>
      </c>
      <c r="E212" s="18">
        <f t="shared" si="62"/>
        <v>64.285714285714292</v>
      </c>
      <c r="F212" s="18">
        <f t="shared" si="1"/>
        <v>0.29373368146214096</v>
      </c>
      <c r="G212" s="17">
        <v>39</v>
      </c>
      <c r="H212" s="16">
        <v>42</v>
      </c>
      <c r="I212" s="19">
        <f t="shared" si="2"/>
        <v>92.857142857142861</v>
      </c>
      <c r="J212" s="19">
        <f t="shared" si="3"/>
        <v>1.1026293469041559</v>
      </c>
      <c r="K212" s="17">
        <v>3064</v>
      </c>
      <c r="L212" s="17">
        <v>3591</v>
      </c>
      <c r="M212" s="18">
        <f t="shared" si="4"/>
        <v>85.324422166527427</v>
      </c>
      <c r="N212" s="17">
        <v>3537</v>
      </c>
      <c r="O212" s="17">
        <v>3841</v>
      </c>
      <c r="P212" s="18">
        <f t="shared" si="5"/>
        <v>92.085394428534244</v>
      </c>
      <c r="Q212" s="20">
        <f t="shared" si="60"/>
        <v>0.75342689295039178</v>
      </c>
      <c r="R212" s="20">
        <f t="shared" si="7"/>
        <v>1.0083807908235389</v>
      </c>
    </row>
    <row r="213" spans="1:18" ht="14.4">
      <c r="A213" s="15">
        <v>50401</v>
      </c>
      <c r="B213" s="23" t="s">
        <v>244</v>
      </c>
      <c r="C213" s="16">
        <v>25</v>
      </c>
      <c r="D213" s="17">
        <v>46</v>
      </c>
      <c r="E213" s="18">
        <f t="shared" si="62"/>
        <v>54.347826086956516</v>
      </c>
      <c r="F213" s="18">
        <f t="shared" si="1"/>
        <v>0.27247956403269752</v>
      </c>
      <c r="G213" s="17">
        <v>42</v>
      </c>
      <c r="H213" s="16">
        <v>51</v>
      </c>
      <c r="I213" s="19">
        <f t="shared" si="2"/>
        <v>82.35294117647058</v>
      </c>
      <c r="J213" s="19">
        <f t="shared" si="3"/>
        <v>1.0700636942675159</v>
      </c>
      <c r="K213" s="17">
        <v>9175</v>
      </c>
      <c r="L213" s="17">
        <v>11117</v>
      </c>
      <c r="M213" s="18">
        <f t="shared" si="4"/>
        <v>82.531258433030501</v>
      </c>
      <c r="N213" s="17">
        <v>3925</v>
      </c>
      <c r="O213" s="17">
        <v>4524</v>
      </c>
      <c r="P213" s="18">
        <f t="shared" si="5"/>
        <v>86.759504862953136</v>
      </c>
      <c r="Q213" s="20">
        <f t="shared" si="60"/>
        <v>0.65851202464163006</v>
      </c>
      <c r="R213" s="20">
        <f t="shared" si="7"/>
        <v>0.94920944173847877</v>
      </c>
    </row>
    <row r="214" spans="1:18" ht="14.4">
      <c r="A214" s="15">
        <v>50402</v>
      </c>
      <c r="B214" s="15" t="s">
        <v>245</v>
      </c>
      <c r="C214" s="16">
        <v>11</v>
      </c>
      <c r="D214" s="17">
        <v>35</v>
      </c>
      <c r="E214" s="18">
        <f t="shared" si="62"/>
        <v>31.428571428571427</v>
      </c>
      <c r="F214" s="18">
        <f t="shared" si="1"/>
        <v>0.20419528494523853</v>
      </c>
      <c r="G214" s="17">
        <v>39</v>
      </c>
      <c r="H214" s="16">
        <v>48</v>
      </c>
      <c r="I214" s="19">
        <f t="shared" si="2"/>
        <v>81.25</v>
      </c>
      <c r="J214" s="19">
        <f t="shared" si="3"/>
        <v>1.0776457584968222</v>
      </c>
      <c r="K214" s="17">
        <v>5387</v>
      </c>
      <c r="L214" s="17">
        <v>6490</v>
      </c>
      <c r="M214" s="18">
        <f t="shared" si="4"/>
        <v>83.004622496147917</v>
      </c>
      <c r="N214" s="17">
        <v>3619</v>
      </c>
      <c r="O214" s="17">
        <v>4148</v>
      </c>
      <c r="P214" s="18">
        <f t="shared" si="5"/>
        <v>87.24686595949855</v>
      </c>
      <c r="Q214" s="20">
        <f t="shared" si="60"/>
        <v>0.37863639979845659</v>
      </c>
      <c r="R214" s="20">
        <f t="shared" si="7"/>
        <v>0.93126554296767072</v>
      </c>
    </row>
    <row r="215" spans="1:18" ht="14.4">
      <c r="A215" s="15">
        <v>50403</v>
      </c>
      <c r="B215" s="15" t="s">
        <v>246</v>
      </c>
      <c r="C215" s="16">
        <v>13</v>
      </c>
      <c r="D215" s="17">
        <v>30</v>
      </c>
      <c r="E215" s="18">
        <f t="shared" si="62"/>
        <v>43.333333333333336</v>
      </c>
      <c r="F215" s="18">
        <f t="shared" si="1"/>
        <v>0.19123271550456017</v>
      </c>
      <c r="G215" s="17">
        <v>75</v>
      </c>
      <c r="H215" s="16">
        <v>94</v>
      </c>
      <c r="I215" s="19">
        <f t="shared" si="2"/>
        <v>79.787234042553195</v>
      </c>
      <c r="J215" s="19">
        <f t="shared" si="3"/>
        <v>0.93574547723019341</v>
      </c>
      <c r="K215" s="17">
        <v>6798</v>
      </c>
      <c r="L215" s="17">
        <v>7709</v>
      </c>
      <c r="M215" s="18">
        <f t="shared" si="4"/>
        <v>88.182643663250744</v>
      </c>
      <c r="N215" s="17">
        <v>8015</v>
      </c>
      <c r="O215" s="17">
        <v>8692</v>
      </c>
      <c r="P215" s="18">
        <f t="shared" si="5"/>
        <v>92.211228716060745</v>
      </c>
      <c r="Q215" s="20">
        <f t="shared" si="60"/>
        <v>0.49140433460821814</v>
      </c>
      <c r="R215" s="20">
        <f t="shared" si="7"/>
        <v>0.86526592426434479</v>
      </c>
    </row>
    <row r="216" spans="1:18" ht="14.4">
      <c r="A216" s="15">
        <v>50404</v>
      </c>
      <c r="B216" s="15" t="s">
        <v>247</v>
      </c>
      <c r="C216" s="16">
        <v>10</v>
      </c>
      <c r="D216" s="17">
        <v>35</v>
      </c>
      <c r="E216" s="18">
        <f t="shared" si="62"/>
        <v>28.571428571428569</v>
      </c>
      <c r="F216" s="18">
        <f t="shared" si="1"/>
        <v>0.24987506246876562</v>
      </c>
      <c r="G216" s="17">
        <v>37</v>
      </c>
      <c r="H216" s="16">
        <v>44</v>
      </c>
      <c r="I216" s="19">
        <f t="shared" si="2"/>
        <v>84.090909090909093</v>
      </c>
      <c r="J216" s="19">
        <f t="shared" si="3"/>
        <v>1.0975971521803618</v>
      </c>
      <c r="K216" s="17">
        <v>4002</v>
      </c>
      <c r="L216" s="17">
        <v>5044</v>
      </c>
      <c r="M216" s="18">
        <f t="shared" si="4"/>
        <v>79.341792228390162</v>
      </c>
      <c r="N216" s="17">
        <v>3371</v>
      </c>
      <c r="O216" s="17">
        <v>3831</v>
      </c>
      <c r="P216" s="18">
        <f t="shared" si="5"/>
        <v>87.992691203341167</v>
      </c>
      <c r="Q216" s="20">
        <f t="shared" si="60"/>
        <v>0.36010566145498679</v>
      </c>
      <c r="R216" s="20">
        <f t="shared" si="7"/>
        <v>0.95565788409158325</v>
      </c>
    </row>
    <row r="217" spans="1:18" ht="14.4">
      <c r="A217" s="24">
        <v>50405</v>
      </c>
      <c r="B217" s="24" t="s">
        <v>248</v>
      </c>
      <c r="C217" s="16">
        <v>25</v>
      </c>
      <c r="D217" s="17">
        <v>46</v>
      </c>
      <c r="E217" s="18">
        <f t="shared" si="62"/>
        <v>54.347826086956516</v>
      </c>
      <c r="F217" s="18">
        <f t="shared" ref="F217:F221" si="63">(C218/K218)*100</f>
        <v>0.24841634579555336</v>
      </c>
      <c r="G217" s="17">
        <v>52</v>
      </c>
      <c r="H217" s="16">
        <v>61</v>
      </c>
      <c r="I217" s="19">
        <f t="shared" si="2"/>
        <v>85.245901639344254</v>
      </c>
      <c r="J217" s="25">
        <f t="shared" si="3"/>
        <v>1.0052194084670405</v>
      </c>
      <c r="K217" s="17">
        <v>9175</v>
      </c>
      <c r="L217" s="17">
        <v>11117</v>
      </c>
      <c r="M217" s="18">
        <f t="shared" si="4"/>
        <v>82.531258433030501</v>
      </c>
      <c r="N217" s="17">
        <v>5173</v>
      </c>
      <c r="O217" s="17">
        <v>5701</v>
      </c>
      <c r="P217" s="26">
        <f t="shared" si="5"/>
        <v>90.738466935625326</v>
      </c>
      <c r="Q217" s="20">
        <f t="shared" si="60"/>
        <v>0.65851202464163006</v>
      </c>
      <c r="R217" s="20">
        <f t="shared" si="7"/>
        <v>0.93946817174927821</v>
      </c>
    </row>
    <row r="218" spans="1:18" ht="14.4">
      <c r="A218" s="15">
        <v>50501</v>
      </c>
      <c r="B218" s="15" t="s">
        <v>249</v>
      </c>
      <c r="C218" s="16">
        <v>20</v>
      </c>
      <c r="D218" s="17">
        <v>42</v>
      </c>
      <c r="E218" s="18">
        <f t="shared" si="62"/>
        <v>47.619047619047613</v>
      </c>
      <c r="F218" s="18">
        <f t="shared" si="63"/>
        <v>0.33233632436025257</v>
      </c>
      <c r="G218" s="17">
        <v>56</v>
      </c>
      <c r="H218" s="16">
        <v>86</v>
      </c>
      <c r="I218" s="19">
        <f t="shared" si="2"/>
        <v>65.116279069767444</v>
      </c>
      <c r="J218" s="19">
        <f t="shared" si="3"/>
        <v>0.7441860465116279</v>
      </c>
      <c r="K218" s="17">
        <v>8051</v>
      </c>
      <c r="L218" s="17">
        <v>9551</v>
      </c>
      <c r="M218" s="18">
        <f t="shared" si="4"/>
        <v>84.29483823683384</v>
      </c>
      <c r="N218" s="17">
        <v>7525</v>
      </c>
      <c r="O218" s="17">
        <v>8404</v>
      </c>
      <c r="P218" s="18">
        <f t="shared" si="5"/>
        <v>89.54069490718706</v>
      </c>
      <c r="Q218" s="20">
        <f t="shared" si="60"/>
        <v>0.56491059968888802</v>
      </c>
      <c r="R218" s="20">
        <f t="shared" si="7"/>
        <v>0.72722552731206058</v>
      </c>
    </row>
    <row r="219" spans="1:18" ht="14.4">
      <c r="A219" s="15">
        <v>50502</v>
      </c>
      <c r="B219" s="15" t="s">
        <v>250</v>
      </c>
      <c r="C219" s="16">
        <v>10</v>
      </c>
      <c r="D219" s="17">
        <v>22</v>
      </c>
      <c r="E219" s="18">
        <f t="shared" si="62"/>
        <v>45.454545454545453</v>
      </c>
      <c r="F219" s="18">
        <f t="shared" si="63"/>
        <v>0.58993347558679554</v>
      </c>
      <c r="G219" s="17">
        <v>30</v>
      </c>
      <c r="H219" s="16">
        <v>47</v>
      </c>
      <c r="I219" s="19">
        <f t="shared" si="2"/>
        <v>63.829787234042556</v>
      </c>
      <c r="J219" s="19">
        <f t="shared" si="3"/>
        <v>1.1123470522803114</v>
      </c>
      <c r="K219" s="17">
        <v>3009</v>
      </c>
      <c r="L219" s="17">
        <v>3451</v>
      </c>
      <c r="M219" s="18">
        <f t="shared" si="4"/>
        <v>87.192118226600996</v>
      </c>
      <c r="N219" s="17">
        <v>2697</v>
      </c>
      <c r="O219" s="17">
        <v>2964</v>
      </c>
      <c r="P219" s="18">
        <f t="shared" si="5"/>
        <v>90.991902834008101</v>
      </c>
      <c r="Q219" s="20">
        <f t="shared" si="60"/>
        <v>0.52131484334874156</v>
      </c>
      <c r="R219" s="20">
        <f t="shared" si="7"/>
        <v>0.70148865169337093</v>
      </c>
    </row>
    <row r="220" spans="1:18" ht="14.4">
      <c r="A220" s="15">
        <v>50601</v>
      </c>
      <c r="B220" s="15" t="s">
        <v>251</v>
      </c>
      <c r="C220" s="16">
        <v>47</v>
      </c>
      <c r="D220" s="17">
        <v>87</v>
      </c>
      <c r="E220" s="18">
        <f t="shared" si="62"/>
        <v>54.022988505747129</v>
      </c>
      <c r="F220" s="18">
        <f t="shared" si="63"/>
        <v>0.31790886612504415</v>
      </c>
      <c r="G220" s="17">
        <v>57</v>
      </c>
      <c r="H220" s="16">
        <v>68</v>
      </c>
      <c r="I220" s="19">
        <f t="shared" si="2"/>
        <v>83.82352941176471</v>
      </c>
      <c r="J220" s="19">
        <f t="shared" si="3"/>
        <v>0.92233009708737856</v>
      </c>
      <c r="K220" s="17">
        <v>7967</v>
      </c>
      <c r="L220" s="17">
        <v>8903</v>
      </c>
      <c r="M220" s="18">
        <f t="shared" si="4"/>
        <v>89.486689879815799</v>
      </c>
      <c r="N220" s="17">
        <v>6180</v>
      </c>
      <c r="O220" s="17">
        <v>6550</v>
      </c>
      <c r="P220" s="18">
        <f t="shared" si="5"/>
        <v>94.351145038167942</v>
      </c>
      <c r="Q220" s="20">
        <f t="shared" si="60"/>
        <v>0.60369859001715409</v>
      </c>
      <c r="R220" s="20">
        <f t="shared" si="7"/>
        <v>0.88842090234151916</v>
      </c>
    </row>
    <row r="221" spans="1:18" ht="14.4">
      <c r="A221" s="15">
        <v>50602</v>
      </c>
      <c r="B221" s="15" t="s">
        <v>252</v>
      </c>
      <c r="C221" s="16">
        <v>9</v>
      </c>
      <c r="D221" s="17">
        <v>17</v>
      </c>
      <c r="E221" s="18">
        <f t="shared" si="62"/>
        <v>52.941176470588239</v>
      </c>
      <c r="F221" s="18">
        <f t="shared" si="63"/>
        <v>0.24544896706893024</v>
      </c>
      <c r="G221" s="17">
        <v>21</v>
      </c>
      <c r="H221" s="16">
        <v>26</v>
      </c>
      <c r="I221" s="19">
        <f t="shared" si="2"/>
        <v>80.769230769230774</v>
      </c>
      <c r="J221" s="19">
        <f t="shared" si="3"/>
        <v>1.0948905109489051</v>
      </c>
      <c r="K221" s="17">
        <v>2831</v>
      </c>
      <c r="L221" s="17">
        <v>3144</v>
      </c>
      <c r="M221" s="18">
        <f t="shared" si="4"/>
        <v>90.044529262086513</v>
      </c>
      <c r="N221" s="17">
        <v>1918</v>
      </c>
      <c r="O221" s="17">
        <v>2045</v>
      </c>
      <c r="P221" s="18">
        <f t="shared" si="5"/>
        <v>93.789731051344745</v>
      </c>
      <c r="Q221" s="20">
        <f t="shared" si="60"/>
        <v>0.58794439711596402</v>
      </c>
      <c r="R221" s="20">
        <f t="shared" si="7"/>
        <v>0.86117349803481191</v>
      </c>
    </row>
    <row r="222" spans="1:18" ht="14.4">
      <c r="A222" s="15">
        <v>50701</v>
      </c>
      <c r="B222" s="15" t="s">
        <v>253</v>
      </c>
      <c r="C222" s="16">
        <v>12</v>
      </c>
      <c r="D222" s="17">
        <v>28</v>
      </c>
      <c r="E222" s="18">
        <f t="shared" si="62"/>
        <v>42.857142857142854</v>
      </c>
      <c r="F222" s="18">
        <f t="shared" ref="F222:F345" si="64">(C222/K222)*100</f>
        <v>0.24544896706893024</v>
      </c>
      <c r="G222" s="17">
        <v>34</v>
      </c>
      <c r="H222" s="16">
        <v>58</v>
      </c>
      <c r="I222" s="19">
        <f t="shared" si="2"/>
        <v>58.620689655172406</v>
      </c>
      <c r="J222" s="19">
        <f t="shared" si="3"/>
        <v>0.79124970909937176</v>
      </c>
      <c r="K222" s="17">
        <v>4889</v>
      </c>
      <c r="L222" s="17">
        <v>5975</v>
      </c>
      <c r="M222" s="18">
        <f t="shared" si="4"/>
        <v>81.824267782426773</v>
      </c>
      <c r="N222" s="17">
        <v>4297</v>
      </c>
      <c r="O222" s="17">
        <v>4810</v>
      </c>
      <c r="P222" s="18">
        <f t="shared" si="5"/>
        <v>89.334719334719338</v>
      </c>
      <c r="Q222" s="20">
        <f t="shared" si="60"/>
        <v>0.52377056365602082</v>
      </c>
      <c r="R222" s="20">
        <f t="shared" si="7"/>
        <v>0.65619156909792709</v>
      </c>
    </row>
    <row r="223" spans="1:18" ht="14.4">
      <c r="A223" s="15">
        <v>50702</v>
      </c>
      <c r="B223" s="15" t="s">
        <v>254</v>
      </c>
      <c r="C223" s="16">
        <v>8</v>
      </c>
      <c r="D223" s="17">
        <v>14</v>
      </c>
      <c r="E223" s="18">
        <f t="shared" si="62"/>
        <v>57.142857142857139</v>
      </c>
      <c r="F223" s="18">
        <f t="shared" si="64"/>
        <v>0.33798056611744826</v>
      </c>
      <c r="G223" s="17">
        <v>4</v>
      </c>
      <c r="H223" s="16">
        <v>10</v>
      </c>
      <c r="I223" s="19">
        <f t="shared" si="2"/>
        <v>40</v>
      </c>
      <c r="J223" s="19">
        <f t="shared" si="3"/>
        <v>0.20736132711249353</v>
      </c>
      <c r="K223" s="17">
        <v>2367</v>
      </c>
      <c r="L223" s="17">
        <v>2647</v>
      </c>
      <c r="M223" s="18">
        <f t="shared" si="4"/>
        <v>89.421987155270116</v>
      </c>
      <c r="N223" s="17">
        <v>1929</v>
      </c>
      <c r="O223" s="17">
        <v>2081</v>
      </c>
      <c r="P223" s="18">
        <f t="shared" si="5"/>
        <v>92.695819317635753</v>
      </c>
      <c r="Q223" s="20">
        <f t="shared" si="60"/>
        <v>0.63902468465206108</v>
      </c>
      <c r="R223" s="20">
        <f t="shared" si="7"/>
        <v>0.43151892172109901</v>
      </c>
    </row>
    <row r="224" spans="1:18" ht="14.4">
      <c r="A224" s="15">
        <v>50801</v>
      </c>
      <c r="B224" s="15" t="s">
        <v>255</v>
      </c>
      <c r="C224" s="16">
        <v>82</v>
      </c>
      <c r="D224" s="17">
        <v>177</v>
      </c>
      <c r="E224" s="18">
        <f t="shared" si="62"/>
        <v>46.327683615819211</v>
      </c>
      <c r="F224" s="18">
        <f t="shared" si="64"/>
        <v>0.71291949226221529</v>
      </c>
      <c r="G224" s="17">
        <v>225</v>
      </c>
      <c r="H224" s="16">
        <v>244</v>
      </c>
      <c r="I224" s="19">
        <f t="shared" si="2"/>
        <v>92.213114754098356</v>
      </c>
      <c r="J224" s="19">
        <f t="shared" si="3"/>
        <v>2.02574952732511</v>
      </c>
      <c r="K224" s="17">
        <v>11502</v>
      </c>
      <c r="L224" s="17">
        <v>12479</v>
      </c>
      <c r="M224" s="18">
        <f t="shared" si="4"/>
        <v>92.170847022998643</v>
      </c>
      <c r="N224" s="17">
        <v>11107</v>
      </c>
      <c r="O224" s="17">
        <v>11466</v>
      </c>
      <c r="P224" s="18">
        <f t="shared" si="5"/>
        <v>96.869004011861165</v>
      </c>
      <c r="Q224" s="20">
        <f t="shared" si="60"/>
        <v>0.50262838101356977</v>
      </c>
      <c r="R224" s="20">
        <f t="shared" si="7"/>
        <v>0.95193623279957829</v>
      </c>
    </row>
    <row r="225" spans="1:18" ht="14.4">
      <c r="A225" s="15">
        <v>50802</v>
      </c>
      <c r="B225" s="15" t="s">
        <v>256</v>
      </c>
      <c r="C225" s="16">
        <v>18</v>
      </c>
      <c r="D225" s="17">
        <v>48</v>
      </c>
      <c r="E225" s="18">
        <f t="shared" si="62"/>
        <v>37.5</v>
      </c>
      <c r="F225" s="18">
        <f t="shared" si="64"/>
        <v>0.56692913385826771</v>
      </c>
      <c r="G225" s="17">
        <v>56</v>
      </c>
      <c r="H225" s="16">
        <v>64</v>
      </c>
      <c r="I225" s="19">
        <f t="shared" si="2"/>
        <v>87.5</v>
      </c>
      <c r="J225" s="19">
        <f t="shared" si="3"/>
        <v>2.1357742181540811</v>
      </c>
      <c r="K225" s="17">
        <v>3175</v>
      </c>
      <c r="L225" s="17">
        <v>3376</v>
      </c>
      <c r="M225" s="18">
        <f t="shared" si="4"/>
        <v>94.046208530805686</v>
      </c>
      <c r="N225" s="17">
        <v>2622</v>
      </c>
      <c r="O225" s="17">
        <v>2682</v>
      </c>
      <c r="P225" s="18">
        <f t="shared" si="5"/>
        <v>97.762863534675617</v>
      </c>
      <c r="Q225" s="20">
        <f t="shared" si="60"/>
        <v>0.39874015748031499</v>
      </c>
      <c r="R225" s="20">
        <f t="shared" si="7"/>
        <v>0.89502288329519453</v>
      </c>
    </row>
    <row r="226" spans="1:18" ht="14.4">
      <c r="A226" s="15">
        <v>50901</v>
      </c>
      <c r="B226" s="15" t="s">
        <v>257</v>
      </c>
      <c r="C226" s="16">
        <v>17</v>
      </c>
      <c r="D226" s="17">
        <v>36</v>
      </c>
      <c r="E226" s="18">
        <f t="shared" si="62"/>
        <v>47.222222222222221</v>
      </c>
      <c r="F226" s="18">
        <f t="shared" si="64"/>
        <v>0.54088450524976139</v>
      </c>
      <c r="G226" s="17">
        <v>53</v>
      </c>
      <c r="H226" s="16">
        <v>64</v>
      </c>
      <c r="I226" s="19">
        <f t="shared" si="2"/>
        <v>82.8125</v>
      </c>
      <c r="J226" s="19">
        <f t="shared" si="3"/>
        <v>1.8101092896174862</v>
      </c>
      <c r="K226" s="17">
        <v>3143</v>
      </c>
      <c r="L226" s="17">
        <v>3442</v>
      </c>
      <c r="M226" s="18">
        <f t="shared" si="4"/>
        <v>91.313190005810569</v>
      </c>
      <c r="N226" s="17">
        <v>2928</v>
      </c>
      <c r="O226" s="17">
        <v>3048</v>
      </c>
      <c r="P226" s="18">
        <f t="shared" si="5"/>
        <v>96.062992125984252</v>
      </c>
      <c r="Q226" s="20">
        <f t="shared" si="60"/>
        <v>0.51714568529713301</v>
      </c>
      <c r="R226" s="20">
        <f t="shared" si="7"/>
        <v>0.86206454918032782</v>
      </c>
    </row>
    <row r="227" spans="1:18" ht="14.4">
      <c r="A227" s="15">
        <v>50902</v>
      </c>
      <c r="B227" s="15" t="s">
        <v>258</v>
      </c>
      <c r="C227" s="16">
        <v>1</v>
      </c>
      <c r="D227" s="17">
        <v>3</v>
      </c>
      <c r="E227" s="18">
        <f t="shared" si="62"/>
        <v>33.333333333333329</v>
      </c>
      <c r="F227" s="18">
        <f t="shared" si="64"/>
        <v>0.43859649122807015</v>
      </c>
      <c r="G227" s="16">
        <v>4</v>
      </c>
      <c r="H227" s="16">
        <v>4</v>
      </c>
      <c r="I227" s="19">
        <f t="shared" si="2"/>
        <v>100</v>
      </c>
      <c r="J227" s="19">
        <f t="shared" si="3"/>
        <v>1.2779552715654952</v>
      </c>
      <c r="K227" s="16">
        <v>228</v>
      </c>
      <c r="L227" s="17">
        <v>243</v>
      </c>
      <c r="M227" s="18">
        <f t="shared" si="4"/>
        <v>93.827160493827151</v>
      </c>
      <c r="N227" s="16">
        <v>313</v>
      </c>
      <c r="O227" s="17">
        <v>327</v>
      </c>
      <c r="P227" s="18">
        <f t="shared" si="5"/>
        <v>95.718654434250766</v>
      </c>
      <c r="Q227" s="20">
        <f t="shared" si="60"/>
        <v>0.35526315789473684</v>
      </c>
      <c r="R227" s="20">
        <f t="shared" si="7"/>
        <v>1.0447284345047922</v>
      </c>
    </row>
    <row r="228" spans="1:18" ht="14.4">
      <c r="A228" s="15">
        <v>51001</v>
      </c>
      <c r="B228" s="15" t="s">
        <v>259</v>
      </c>
      <c r="C228" s="16">
        <v>6</v>
      </c>
      <c r="D228" s="17">
        <v>9</v>
      </c>
      <c r="E228" s="18">
        <f t="shared" si="62"/>
        <v>66.666666666666657</v>
      </c>
      <c r="F228" s="18">
        <f t="shared" si="64"/>
        <v>0.70838252656434475</v>
      </c>
      <c r="G228" s="17">
        <v>18</v>
      </c>
      <c r="H228" s="16">
        <v>20</v>
      </c>
      <c r="I228" s="19">
        <f t="shared" si="2"/>
        <v>90</v>
      </c>
      <c r="J228" s="19">
        <f t="shared" si="3"/>
        <v>2.2900763358778624</v>
      </c>
      <c r="K228" s="17">
        <v>847</v>
      </c>
      <c r="L228" s="17">
        <v>951</v>
      </c>
      <c r="M228" s="18">
        <f t="shared" si="4"/>
        <v>89.06414300736067</v>
      </c>
      <c r="N228" s="16">
        <v>786</v>
      </c>
      <c r="O228" s="17">
        <v>836</v>
      </c>
      <c r="P228" s="18">
        <f t="shared" si="5"/>
        <v>94.019138755980862</v>
      </c>
      <c r="Q228" s="20">
        <f t="shared" si="60"/>
        <v>0.7485242030696575</v>
      </c>
      <c r="R228" s="20">
        <f t="shared" si="7"/>
        <v>0.95725190839694652</v>
      </c>
    </row>
    <row r="229" spans="1:18" ht="14.4">
      <c r="A229" s="15">
        <v>51002</v>
      </c>
      <c r="B229" s="15" t="s">
        <v>260</v>
      </c>
      <c r="C229" s="16">
        <v>2</v>
      </c>
      <c r="D229" s="17">
        <v>2</v>
      </c>
      <c r="E229" s="18">
        <f t="shared" si="62"/>
        <v>100</v>
      </c>
      <c r="F229" s="18">
        <f t="shared" si="64"/>
        <v>0.80321285140562237</v>
      </c>
      <c r="G229" s="16">
        <v>2</v>
      </c>
      <c r="H229" s="16">
        <v>2</v>
      </c>
      <c r="I229" s="19">
        <f t="shared" si="2"/>
        <v>100</v>
      </c>
      <c r="J229" s="19">
        <f t="shared" si="3"/>
        <v>0.89285714285714279</v>
      </c>
      <c r="K229" s="16">
        <v>249</v>
      </c>
      <c r="L229" s="17">
        <v>293</v>
      </c>
      <c r="M229" s="18">
        <f t="shared" si="4"/>
        <v>84.982935153583611</v>
      </c>
      <c r="N229" s="16">
        <v>224</v>
      </c>
      <c r="O229" s="17">
        <v>239</v>
      </c>
      <c r="P229" s="18">
        <f t="shared" si="5"/>
        <v>93.723849372384933</v>
      </c>
      <c r="Q229" s="20">
        <f t="shared" si="60"/>
        <v>1.1767068273092371</v>
      </c>
      <c r="R229" s="20">
        <f t="shared" si="7"/>
        <v>1.0669642857142858</v>
      </c>
    </row>
    <row r="230" spans="1:18" ht="14.4">
      <c r="A230" s="15">
        <v>51003</v>
      </c>
      <c r="B230" s="15" t="s">
        <v>261</v>
      </c>
      <c r="C230" s="16">
        <v>5</v>
      </c>
      <c r="D230" s="17">
        <v>9</v>
      </c>
      <c r="E230" s="18">
        <f t="shared" si="62"/>
        <v>55.555555555555557</v>
      </c>
      <c r="F230" s="18">
        <f t="shared" si="64"/>
        <v>0.87260034904013961</v>
      </c>
      <c r="G230" s="16">
        <v>6</v>
      </c>
      <c r="H230" s="16">
        <v>7</v>
      </c>
      <c r="I230" s="19">
        <f t="shared" si="2"/>
        <v>85.714285714285708</v>
      </c>
      <c r="J230" s="19">
        <f t="shared" si="3"/>
        <v>1.1428571428571428</v>
      </c>
      <c r="K230" s="16">
        <v>573</v>
      </c>
      <c r="L230" s="17">
        <v>658</v>
      </c>
      <c r="M230" s="18">
        <f t="shared" si="4"/>
        <v>87.082066869300917</v>
      </c>
      <c r="N230" s="16">
        <v>525</v>
      </c>
      <c r="O230" s="17">
        <v>547</v>
      </c>
      <c r="P230" s="18">
        <f t="shared" si="5"/>
        <v>95.978062157221217</v>
      </c>
      <c r="Q230" s="20">
        <f t="shared" si="60"/>
        <v>0.63796781074267983</v>
      </c>
      <c r="R230" s="20">
        <f t="shared" si="7"/>
        <v>0.89306122448979575</v>
      </c>
    </row>
    <row r="231" spans="1:18" ht="14.4">
      <c r="A231" s="15">
        <v>51101</v>
      </c>
      <c r="B231" s="15" t="s">
        <v>262</v>
      </c>
      <c r="C231" s="16">
        <v>20</v>
      </c>
      <c r="D231" s="17">
        <v>38</v>
      </c>
      <c r="E231" s="18">
        <f t="shared" si="62"/>
        <v>52.631578947368418</v>
      </c>
      <c r="F231" s="18">
        <f t="shared" si="64"/>
        <v>0.36589828027808269</v>
      </c>
      <c r="G231" s="17">
        <v>31</v>
      </c>
      <c r="H231" s="16">
        <v>38</v>
      </c>
      <c r="I231" s="19">
        <f t="shared" si="2"/>
        <v>81.578947368421055</v>
      </c>
      <c r="J231" s="19">
        <f t="shared" si="3"/>
        <v>0.88825214899713478</v>
      </c>
      <c r="K231" s="17">
        <v>5466</v>
      </c>
      <c r="L231" s="17">
        <v>6106</v>
      </c>
      <c r="M231" s="18">
        <f t="shared" si="4"/>
        <v>89.518506387160173</v>
      </c>
      <c r="N231" s="17">
        <v>3490</v>
      </c>
      <c r="O231" s="17">
        <v>3660</v>
      </c>
      <c r="P231" s="18">
        <f t="shared" si="5"/>
        <v>95.355191256830594</v>
      </c>
      <c r="Q231" s="20">
        <f t="shared" si="60"/>
        <v>0.58794076299420339</v>
      </c>
      <c r="R231" s="20">
        <f t="shared" si="7"/>
        <v>0.85552706982355609</v>
      </c>
    </row>
    <row r="232" spans="1:18" ht="14.4">
      <c r="A232" s="15">
        <v>51102</v>
      </c>
      <c r="B232" s="15" t="s">
        <v>263</v>
      </c>
      <c r="C232" s="16">
        <v>11</v>
      </c>
      <c r="D232" s="17">
        <v>34</v>
      </c>
      <c r="E232" s="18">
        <f t="shared" si="62"/>
        <v>32.352941176470587</v>
      </c>
      <c r="F232" s="18">
        <f t="shared" si="64"/>
        <v>0.37504261847937265</v>
      </c>
      <c r="G232" s="17">
        <v>41</v>
      </c>
      <c r="H232" s="16">
        <v>47</v>
      </c>
      <c r="I232" s="19">
        <f t="shared" si="2"/>
        <v>87.2340425531915</v>
      </c>
      <c r="J232" s="19">
        <f t="shared" si="3"/>
        <v>1.3090676883780332</v>
      </c>
      <c r="K232" s="17">
        <v>2933</v>
      </c>
      <c r="L232" s="17">
        <v>3244</v>
      </c>
      <c r="M232" s="18">
        <f t="shared" si="4"/>
        <v>90.41307028360049</v>
      </c>
      <c r="N232" s="17">
        <v>3132</v>
      </c>
      <c r="O232" s="17">
        <v>3240</v>
      </c>
      <c r="P232" s="18">
        <f t="shared" si="5"/>
        <v>96.666666666666671</v>
      </c>
      <c r="Q232" s="20">
        <f t="shared" si="60"/>
        <v>0.3578347806903191</v>
      </c>
      <c r="R232" s="20">
        <f t="shared" si="7"/>
        <v>0.90242112986060163</v>
      </c>
    </row>
    <row r="233" spans="1:18" ht="14.4">
      <c r="A233" s="15">
        <v>51103</v>
      </c>
      <c r="B233" s="15" t="s">
        <v>264</v>
      </c>
      <c r="C233" s="16">
        <v>12</v>
      </c>
      <c r="D233" s="17">
        <v>30</v>
      </c>
      <c r="E233" s="18">
        <f t="shared" si="62"/>
        <v>40</v>
      </c>
      <c r="F233" s="18">
        <f t="shared" si="64"/>
        <v>0.26327336551118913</v>
      </c>
      <c r="G233" s="17">
        <v>61</v>
      </c>
      <c r="H233" s="16">
        <v>80</v>
      </c>
      <c r="I233" s="19">
        <f t="shared" si="2"/>
        <v>76.25</v>
      </c>
      <c r="J233" s="19">
        <f t="shared" si="3"/>
        <v>1.7280453257790367</v>
      </c>
      <c r="K233" s="17">
        <v>4558</v>
      </c>
      <c r="L233" s="17">
        <v>5468</v>
      </c>
      <c r="M233" s="18">
        <f t="shared" si="4"/>
        <v>83.357717629846377</v>
      </c>
      <c r="N233" s="17">
        <v>3530</v>
      </c>
      <c r="O233" s="17">
        <v>4030</v>
      </c>
      <c r="P233" s="18">
        <f t="shared" si="5"/>
        <v>87.593052109181144</v>
      </c>
      <c r="Q233" s="20">
        <f t="shared" si="60"/>
        <v>0.47985958753839403</v>
      </c>
      <c r="R233" s="20">
        <f t="shared" si="7"/>
        <v>0.87050283286118979</v>
      </c>
    </row>
    <row r="234" spans="1:18" ht="14.4">
      <c r="A234" s="15">
        <v>51201</v>
      </c>
      <c r="B234" s="15" t="s">
        <v>265</v>
      </c>
      <c r="C234" s="16">
        <v>49</v>
      </c>
      <c r="D234" s="17">
        <v>90</v>
      </c>
      <c r="E234" s="18">
        <f t="shared" si="62"/>
        <v>54.444444444444443</v>
      </c>
      <c r="F234" s="18">
        <f t="shared" si="64"/>
        <v>0.63389391979301424</v>
      </c>
      <c r="G234" s="17">
        <v>174</v>
      </c>
      <c r="H234" s="16">
        <v>189</v>
      </c>
      <c r="I234" s="19">
        <f t="shared" si="2"/>
        <v>92.063492063492063</v>
      </c>
      <c r="J234" s="19">
        <f t="shared" si="3"/>
        <v>1.8758085381630014</v>
      </c>
      <c r="K234" s="17">
        <v>7730</v>
      </c>
      <c r="L234" s="17">
        <v>8384</v>
      </c>
      <c r="M234" s="18">
        <f t="shared" si="4"/>
        <v>92.199427480916029</v>
      </c>
      <c r="N234" s="17">
        <v>9276</v>
      </c>
      <c r="O234" s="17">
        <v>9533</v>
      </c>
      <c r="P234" s="18">
        <f t="shared" si="5"/>
        <v>97.304101542011949</v>
      </c>
      <c r="Q234" s="20">
        <f t="shared" si="60"/>
        <v>0.59050740261607015</v>
      </c>
      <c r="R234" s="20">
        <f t="shared" si="7"/>
        <v>0.94614194678877739</v>
      </c>
    </row>
    <row r="235" spans="1:18" ht="14.4">
      <c r="A235" s="15">
        <v>51202</v>
      </c>
      <c r="B235" s="29" t="s">
        <v>266</v>
      </c>
      <c r="C235" s="16">
        <v>21</v>
      </c>
      <c r="D235" s="17">
        <v>34</v>
      </c>
      <c r="E235" s="18">
        <f t="shared" si="62"/>
        <v>61.764705882352942</v>
      </c>
      <c r="F235" s="18">
        <f t="shared" si="64"/>
        <v>0.56164749933137204</v>
      </c>
      <c r="G235" s="17">
        <v>15</v>
      </c>
      <c r="H235" s="16">
        <v>18</v>
      </c>
      <c r="I235" s="19">
        <f t="shared" si="2"/>
        <v>83.333333333333343</v>
      </c>
      <c r="J235" s="19">
        <f t="shared" si="3"/>
        <v>0.8537279453614115</v>
      </c>
      <c r="K235" s="17">
        <v>3739</v>
      </c>
      <c r="L235" s="17">
        <v>4088</v>
      </c>
      <c r="M235" s="18">
        <f t="shared" si="4"/>
        <v>91.462818003913895</v>
      </c>
      <c r="N235" s="17">
        <v>1757</v>
      </c>
      <c r="O235" s="17">
        <v>1821</v>
      </c>
      <c r="P235" s="18">
        <f t="shared" si="5"/>
        <v>96.485447556287752</v>
      </c>
      <c r="Q235" s="20">
        <f t="shared" si="60"/>
        <v>0.67529852272548496</v>
      </c>
      <c r="R235" s="20">
        <f t="shared" si="7"/>
        <v>0.8636881047239614</v>
      </c>
    </row>
    <row r="236" spans="1:18" ht="14.4">
      <c r="A236" s="15">
        <v>51203</v>
      </c>
      <c r="B236" s="15" t="s">
        <v>267</v>
      </c>
      <c r="C236" s="16">
        <v>18</v>
      </c>
      <c r="D236" s="17">
        <v>27</v>
      </c>
      <c r="E236" s="18">
        <f t="shared" si="62"/>
        <v>66.666666666666657</v>
      </c>
      <c r="F236" s="18">
        <f t="shared" si="64"/>
        <v>0.60140327430671559</v>
      </c>
      <c r="G236" s="17">
        <v>103</v>
      </c>
      <c r="H236" s="16">
        <v>108</v>
      </c>
      <c r="I236" s="19">
        <f t="shared" si="2"/>
        <v>95.370370370370367</v>
      </c>
      <c r="J236" s="19">
        <f t="shared" si="3"/>
        <v>2.7740371667115538</v>
      </c>
      <c r="K236" s="17">
        <v>2993</v>
      </c>
      <c r="L236" s="17">
        <v>3247</v>
      </c>
      <c r="M236" s="18">
        <f t="shared" si="4"/>
        <v>92.177394518016627</v>
      </c>
      <c r="N236" s="17">
        <v>3713</v>
      </c>
      <c r="O236" s="17">
        <v>3918</v>
      </c>
      <c r="P236" s="18">
        <f t="shared" si="5"/>
        <v>94.767738642164375</v>
      </c>
      <c r="Q236" s="20">
        <f t="shared" si="60"/>
        <v>0.72324312284218728</v>
      </c>
      <c r="R236" s="20">
        <f t="shared" si="7"/>
        <v>1.0063590388125803</v>
      </c>
    </row>
    <row r="237" spans="1:18" ht="14.4">
      <c r="A237" s="24">
        <v>51204</v>
      </c>
      <c r="B237" s="24" t="s">
        <v>268</v>
      </c>
      <c r="C237" s="16">
        <v>21</v>
      </c>
      <c r="D237" s="17">
        <v>34</v>
      </c>
      <c r="E237" s="18">
        <f t="shared" si="62"/>
        <v>61.764705882352942</v>
      </c>
      <c r="F237" s="18">
        <f t="shared" si="64"/>
        <v>0.56164749933137204</v>
      </c>
      <c r="G237" s="17">
        <v>14</v>
      </c>
      <c r="H237" s="16">
        <v>18</v>
      </c>
      <c r="I237" s="25">
        <f t="shared" si="2"/>
        <v>77.777777777777786</v>
      </c>
      <c r="J237" s="25">
        <f t="shared" si="3"/>
        <v>0.99220411055988655</v>
      </c>
      <c r="K237" s="17">
        <v>3739</v>
      </c>
      <c r="L237" s="17">
        <v>4088</v>
      </c>
      <c r="M237" s="18">
        <f t="shared" si="4"/>
        <v>91.462818003913895</v>
      </c>
      <c r="N237" s="17">
        <v>1411</v>
      </c>
      <c r="O237" s="17">
        <v>1479</v>
      </c>
      <c r="P237" s="26">
        <f t="shared" si="5"/>
        <v>95.402298850574709</v>
      </c>
      <c r="Q237" s="20">
        <f t="shared" si="60"/>
        <v>0.67529852272548496</v>
      </c>
      <c r="R237" s="20">
        <f t="shared" si="7"/>
        <v>0.81526104417670697</v>
      </c>
    </row>
    <row r="238" spans="1:18" ht="14.4">
      <c r="A238" s="15">
        <v>51301</v>
      </c>
      <c r="B238" s="15" t="s">
        <v>269</v>
      </c>
      <c r="C238" s="16">
        <v>1</v>
      </c>
      <c r="D238" s="17">
        <v>4</v>
      </c>
      <c r="E238" s="18">
        <f t="shared" si="62"/>
        <v>25</v>
      </c>
      <c r="F238" s="18">
        <f t="shared" si="64"/>
        <v>9.7560975609756101E-2</v>
      </c>
      <c r="G238" s="17">
        <v>9</v>
      </c>
      <c r="H238" s="16">
        <v>13</v>
      </c>
      <c r="I238" s="19">
        <f t="shared" si="2"/>
        <v>69.230769230769226</v>
      </c>
      <c r="J238" s="19">
        <f t="shared" si="3"/>
        <v>1.0613207547169812</v>
      </c>
      <c r="K238" s="17">
        <v>1025</v>
      </c>
      <c r="L238" s="17">
        <v>1229</v>
      </c>
      <c r="M238" s="18">
        <f t="shared" si="4"/>
        <v>83.401139137510171</v>
      </c>
      <c r="N238" s="17">
        <v>848</v>
      </c>
      <c r="O238" s="17">
        <v>1004</v>
      </c>
      <c r="P238" s="18">
        <f t="shared" si="5"/>
        <v>84.462151394422307</v>
      </c>
      <c r="Q238" s="20">
        <f t="shared" si="60"/>
        <v>0.2997560975609756</v>
      </c>
      <c r="R238" s="20">
        <f t="shared" si="7"/>
        <v>0.81966618287373005</v>
      </c>
    </row>
    <row r="239" spans="1:18" ht="14.4">
      <c r="A239" s="15">
        <v>51302</v>
      </c>
      <c r="B239" s="15" t="s">
        <v>270</v>
      </c>
      <c r="C239" s="16">
        <v>2</v>
      </c>
      <c r="D239" s="17">
        <v>6</v>
      </c>
      <c r="E239" s="18">
        <f t="shared" si="62"/>
        <v>33.333333333333329</v>
      </c>
      <c r="F239" s="18">
        <f t="shared" si="64"/>
        <v>0.11299435028248588</v>
      </c>
      <c r="G239" s="17">
        <v>15</v>
      </c>
      <c r="H239" s="16">
        <v>19</v>
      </c>
      <c r="I239" s="19">
        <f t="shared" si="2"/>
        <v>78.94736842105263</v>
      </c>
      <c r="J239" s="19">
        <f t="shared" si="3"/>
        <v>1.367365542388332</v>
      </c>
      <c r="K239" s="17">
        <v>1770</v>
      </c>
      <c r="L239" s="17">
        <v>2018</v>
      </c>
      <c r="M239" s="18">
        <f t="shared" si="4"/>
        <v>87.71060455896928</v>
      </c>
      <c r="N239" s="17">
        <v>1097</v>
      </c>
      <c r="O239" s="17">
        <v>1198</v>
      </c>
      <c r="P239" s="18">
        <f t="shared" si="5"/>
        <v>91.569282136894827</v>
      </c>
      <c r="Q239" s="20">
        <f t="shared" si="60"/>
        <v>0.38003766478342743</v>
      </c>
      <c r="R239" s="20">
        <f t="shared" si="7"/>
        <v>0.8621599577795902</v>
      </c>
    </row>
    <row r="240" spans="1:18" ht="14.4">
      <c r="A240" s="15">
        <v>51401</v>
      </c>
      <c r="B240" s="15" t="s">
        <v>271</v>
      </c>
      <c r="C240" s="16">
        <v>4</v>
      </c>
      <c r="D240" s="17">
        <v>10</v>
      </c>
      <c r="E240" s="18">
        <f t="shared" si="62"/>
        <v>40</v>
      </c>
      <c r="F240" s="18">
        <f t="shared" si="64"/>
        <v>0.49504950495049505</v>
      </c>
      <c r="G240" s="16">
        <v>4</v>
      </c>
      <c r="H240" s="16">
        <v>5</v>
      </c>
      <c r="I240" s="19">
        <f t="shared" si="2"/>
        <v>80</v>
      </c>
      <c r="J240" s="19">
        <f t="shared" si="3"/>
        <v>0.45977011494252873</v>
      </c>
      <c r="K240" s="16">
        <v>808</v>
      </c>
      <c r="L240" s="17">
        <v>907</v>
      </c>
      <c r="M240" s="18">
        <f t="shared" si="4"/>
        <v>89.084895259095916</v>
      </c>
      <c r="N240" s="16">
        <v>870</v>
      </c>
      <c r="O240" s="17">
        <v>899</v>
      </c>
      <c r="P240" s="18">
        <f t="shared" si="5"/>
        <v>96.774193548387103</v>
      </c>
      <c r="Q240" s="20">
        <f t="shared" si="60"/>
        <v>0.44900990099009902</v>
      </c>
      <c r="R240" s="20">
        <f t="shared" si="7"/>
        <v>0.82666666666666666</v>
      </c>
    </row>
    <row r="241" spans="1:18" ht="14.4">
      <c r="A241" s="15">
        <v>51402</v>
      </c>
      <c r="B241" s="15" t="s">
        <v>272</v>
      </c>
      <c r="C241" s="16">
        <v>0</v>
      </c>
      <c r="D241" s="17">
        <v>2</v>
      </c>
      <c r="E241" s="18">
        <f t="shared" si="62"/>
        <v>0</v>
      </c>
      <c r="F241" s="18">
        <f t="shared" si="64"/>
        <v>0</v>
      </c>
      <c r="G241" s="16">
        <v>3</v>
      </c>
      <c r="H241" s="16">
        <v>3</v>
      </c>
      <c r="I241" s="19">
        <f t="shared" si="2"/>
        <v>100</v>
      </c>
      <c r="J241" s="19">
        <f t="shared" si="3"/>
        <v>0.9375</v>
      </c>
      <c r="K241" s="16">
        <v>383</v>
      </c>
      <c r="L241" s="17">
        <v>404</v>
      </c>
      <c r="M241" s="18">
        <f t="shared" si="4"/>
        <v>94.801980198019791</v>
      </c>
      <c r="N241" s="16">
        <v>320</v>
      </c>
      <c r="O241" s="17">
        <v>333</v>
      </c>
      <c r="P241" s="18">
        <f t="shared" si="5"/>
        <v>96.09609609609609</v>
      </c>
      <c r="Q241" s="20">
        <f t="shared" si="60"/>
        <v>0</v>
      </c>
      <c r="R241" s="20">
        <f t="shared" si="7"/>
        <v>1.0406250000000001</v>
      </c>
    </row>
    <row r="242" spans="1:18" ht="14.4">
      <c r="A242" s="15">
        <v>51501</v>
      </c>
      <c r="B242" s="15" t="s">
        <v>273</v>
      </c>
      <c r="C242" s="16">
        <v>79</v>
      </c>
      <c r="D242" s="17">
        <v>173</v>
      </c>
      <c r="E242" s="18">
        <f t="shared" si="62"/>
        <v>45.664739884393065</v>
      </c>
      <c r="F242" s="18">
        <f t="shared" si="64"/>
        <v>0.66864155734236141</v>
      </c>
      <c r="G242" s="17">
        <v>240</v>
      </c>
      <c r="H242" s="16">
        <v>274</v>
      </c>
      <c r="I242" s="19">
        <f t="shared" si="2"/>
        <v>87.591240875912419</v>
      </c>
      <c r="J242" s="19">
        <f t="shared" si="3"/>
        <v>2.0430748276155613</v>
      </c>
      <c r="K242" s="17">
        <v>11815</v>
      </c>
      <c r="L242" s="17">
        <v>13033</v>
      </c>
      <c r="M242" s="18">
        <f t="shared" si="4"/>
        <v>90.65449244226194</v>
      </c>
      <c r="N242" s="17">
        <v>11747</v>
      </c>
      <c r="O242" s="17">
        <v>12318</v>
      </c>
      <c r="P242" s="18">
        <f t="shared" si="5"/>
        <v>95.364507225198892</v>
      </c>
      <c r="Q242" s="20">
        <f t="shared" si="60"/>
        <v>0.5037228564649131</v>
      </c>
      <c r="R242" s="20">
        <f t="shared" si="7"/>
        <v>0.91848889513023679</v>
      </c>
    </row>
    <row r="243" spans="1:18" ht="14.4">
      <c r="A243" s="15">
        <v>51601</v>
      </c>
      <c r="B243" s="15" t="s">
        <v>274</v>
      </c>
      <c r="C243" s="16">
        <v>2</v>
      </c>
      <c r="D243" s="17">
        <v>5</v>
      </c>
      <c r="E243" s="18">
        <f t="shared" si="62"/>
        <v>40</v>
      </c>
      <c r="F243" s="18">
        <f t="shared" si="64"/>
        <v>0.46189376443418012</v>
      </c>
      <c r="G243" s="16">
        <v>9</v>
      </c>
      <c r="H243" s="16">
        <v>9</v>
      </c>
      <c r="I243" s="19">
        <f t="shared" si="2"/>
        <v>100</v>
      </c>
      <c r="J243" s="19">
        <f t="shared" si="3"/>
        <v>1.8867924528301887</v>
      </c>
      <c r="K243" s="16">
        <v>433</v>
      </c>
      <c r="L243" s="17">
        <v>468</v>
      </c>
      <c r="M243" s="18">
        <f t="shared" si="4"/>
        <v>92.521367521367523</v>
      </c>
      <c r="N243" s="16">
        <v>477</v>
      </c>
      <c r="O243" s="17">
        <v>483</v>
      </c>
      <c r="P243" s="18">
        <f t="shared" si="5"/>
        <v>98.757763975155271</v>
      </c>
      <c r="Q243" s="20">
        <f t="shared" si="60"/>
        <v>0.43233256351039262</v>
      </c>
      <c r="R243" s="20">
        <f t="shared" si="7"/>
        <v>1.0125786163522013</v>
      </c>
    </row>
    <row r="244" spans="1:18" ht="14.4">
      <c r="A244" s="15">
        <v>60101</v>
      </c>
      <c r="B244" s="15" t="s">
        <v>38</v>
      </c>
      <c r="C244" s="16">
        <v>321</v>
      </c>
      <c r="D244" s="17">
        <v>745</v>
      </c>
      <c r="E244" s="18">
        <f t="shared" si="62"/>
        <v>43.087248322147651</v>
      </c>
      <c r="F244" s="18">
        <f t="shared" si="64"/>
        <v>0.734469740304313</v>
      </c>
      <c r="G244" s="17">
        <v>1361</v>
      </c>
      <c r="H244" s="17">
        <v>1484</v>
      </c>
      <c r="I244" s="19">
        <f t="shared" si="2"/>
        <v>91.711590296495956</v>
      </c>
      <c r="J244" s="19">
        <f t="shared" si="3"/>
        <v>2.6113818642311677</v>
      </c>
      <c r="K244" s="17">
        <v>43705</v>
      </c>
      <c r="L244" s="17">
        <v>47877</v>
      </c>
      <c r="M244" s="18">
        <f t="shared" si="4"/>
        <v>91.286003717860353</v>
      </c>
      <c r="N244" s="17">
        <v>52118</v>
      </c>
      <c r="O244" s="17">
        <v>53703</v>
      </c>
      <c r="P244" s="18">
        <f t="shared" si="5"/>
        <v>97.048582015902269</v>
      </c>
      <c r="Q244" s="20">
        <f t="shared" si="60"/>
        <v>0.47200278867851803</v>
      </c>
      <c r="R244" s="20">
        <f t="shared" si="7"/>
        <v>0.94500700980327768</v>
      </c>
    </row>
    <row r="245" spans="1:18" ht="14.4">
      <c r="A245" s="15">
        <v>60201</v>
      </c>
      <c r="B245" s="15" t="s">
        <v>275</v>
      </c>
      <c r="C245" s="16">
        <v>23</v>
      </c>
      <c r="D245" s="17">
        <v>78</v>
      </c>
      <c r="E245" s="18">
        <f t="shared" si="62"/>
        <v>29.487179487179489</v>
      </c>
      <c r="F245" s="18">
        <f t="shared" si="64"/>
        <v>0.54709800190294966</v>
      </c>
      <c r="G245" s="17">
        <v>92</v>
      </c>
      <c r="H245" s="16">
        <v>111</v>
      </c>
      <c r="I245" s="19">
        <f t="shared" si="2"/>
        <v>82.882882882882882</v>
      </c>
      <c r="J245" s="19">
        <f t="shared" si="3"/>
        <v>2.593010146561443</v>
      </c>
      <c r="K245" s="17">
        <v>4204</v>
      </c>
      <c r="L245" s="17">
        <v>5089</v>
      </c>
      <c r="M245" s="18">
        <f t="shared" si="4"/>
        <v>82.609550009825114</v>
      </c>
      <c r="N245" s="17">
        <v>3548</v>
      </c>
      <c r="O245" s="17">
        <v>3854</v>
      </c>
      <c r="P245" s="18">
        <f t="shared" si="5"/>
        <v>92.060197197716647</v>
      </c>
      <c r="Q245" s="20">
        <f t="shared" si="60"/>
        <v>0.35694637585693723</v>
      </c>
      <c r="R245" s="20">
        <f t="shared" si="7"/>
        <v>0.90031181124754978</v>
      </c>
    </row>
    <row r="246" spans="1:18" ht="14.4">
      <c r="A246" s="15">
        <v>60202</v>
      </c>
      <c r="B246" s="15" t="s">
        <v>276</v>
      </c>
      <c r="C246" s="16">
        <v>40</v>
      </c>
      <c r="D246" s="17">
        <v>106</v>
      </c>
      <c r="E246" s="18">
        <f t="shared" si="62"/>
        <v>37.735849056603776</v>
      </c>
      <c r="F246" s="18">
        <f t="shared" si="64"/>
        <v>0.5191434133679429</v>
      </c>
      <c r="G246" s="17">
        <v>168</v>
      </c>
      <c r="H246" s="16">
        <v>189</v>
      </c>
      <c r="I246" s="19">
        <f t="shared" si="2"/>
        <v>88.888888888888886</v>
      </c>
      <c r="J246" s="19">
        <f t="shared" si="3"/>
        <v>1.9846426461901947</v>
      </c>
      <c r="K246" s="17">
        <v>7705</v>
      </c>
      <c r="L246" s="17">
        <v>8745</v>
      </c>
      <c r="M246" s="18">
        <f t="shared" si="4"/>
        <v>88.107489994282446</v>
      </c>
      <c r="N246" s="17">
        <v>8465</v>
      </c>
      <c r="O246" s="17">
        <v>8820</v>
      </c>
      <c r="P246" s="18">
        <f t="shared" si="5"/>
        <v>95.975056689342409</v>
      </c>
      <c r="Q246" s="20">
        <f t="shared" si="60"/>
        <v>0.42829331602855292</v>
      </c>
      <c r="R246" s="20">
        <f t="shared" si="7"/>
        <v>0.92616656822209087</v>
      </c>
    </row>
    <row r="247" spans="1:18" ht="14.4">
      <c r="A247" s="15">
        <v>60301</v>
      </c>
      <c r="B247" s="15" t="s">
        <v>277</v>
      </c>
      <c r="C247" s="16">
        <v>114</v>
      </c>
      <c r="D247" s="17">
        <v>290</v>
      </c>
      <c r="E247" s="18">
        <f t="shared" si="62"/>
        <v>39.310344827586206</v>
      </c>
      <c r="F247" s="18">
        <f t="shared" si="64"/>
        <v>0.49197307094769555</v>
      </c>
      <c r="G247" s="17">
        <v>390</v>
      </c>
      <c r="H247" s="16">
        <v>475</v>
      </c>
      <c r="I247" s="19">
        <f t="shared" si="2"/>
        <v>82.10526315789474</v>
      </c>
      <c r="J247" s="19">
        <f t="shared" si="3"/>
        <v>1.6917537847568647</v>
      </c>
      <c r="K247" s="17">
        <v>23172</v>
      </c>
      <c r="L247" s="17">
        <v>26441</v>
      </c>
      <c r="M247" s="18">
        <f t="shared" si="4"/>
        <v>87.636624938542411</v>
      </c>
      <c r="N247" s="17">
        <v>23053</v>
      </c>
      <c r="O247" s="17">
        <v>24865</v>
      </c>
      <c r="P247" s="18">
        <f t="shared" si="5"/>
        <v>92.712648300824455</v>
      </c>
      <c r="Q247" s="20">
        <f t="shared" si="60"/>
        <v>0.44856068858372472</v>
      </c>
      <c r="R247" s="20">
        <f t="shared" si="7"/>
        <v>0.8855885864837777</v>
      </c>
    </row>
    <row r="248" spans="1:18" ht="14.4">
      <c r="A248" s="15">
        <v>60302</v>
      </c>
      <c r="B248" s="15" t="s">
        <v>278</v>
      </c>
      <c r="C248" s="16">
        <v>22</v>
      </c>
      <c r="D248" s="17">
        <v>38</v>
      </c>
      <c r="E248" s="18">
        <f t="shared" si="62"/>
        <v>57.894736842105267</v>
      </c>
      <c r="F248" s="18">
        <f t="shared" si="64"/>
        <v>0.67422617223414039</v>
      </c>
      <c r="G248" s="17">
        <v>63</v>
      </c>
      <c r="H248" s="16">
        <v>73</v>
      </c>
      <c r="I248" s="19">
        <f t="shared" si="2"/>
        <v>86.301369863013704</v>
      </c>
      <c r="J248" s="19">
        <f t="shared" si="3"/>
        <v>1.5734265734265735</v>
      </c>
      <c r="K248" s="17">
        <v>3263</v>
      </c>
      <c r="L248" s="17">
        <v>3684</v>
      </c>
      <c r="M248" s="18">
        <f t="shared" si="4"/>
        <v>88.572204125950051</v>
      </c>
      <c r="N248" s="17">
        <v>4004</v>
      </c>
      <c r="O248" s="17">
        <v>4152</v>
      </c>
      <c r="P248" s="18">
        <f t="shared" si="5"/>
        <v>96.435452793834301</v>
      </c>
      <c r="Q248" s="20">
        <f t="shared" si="60"/>
        <v>0.65364453118699295</v>
      </c>
      <c r="R248" s="20">
        <f t="shared" si="7"/>
        <v>0.89491330587220996</v>
      </c>
    </row>
    <row r="249" spans="1:18" ht="14.4">
      <c r="A249" s="15">
        <v>60303</v>
      </c>
      <c r="B249" s="15" t="s">
        <v>279</v>
      </c>
      <c r="C249" s="16">
        <v>57</v>
      </c>
      <c r="D249" s="17">
        <v>112</v>
      </c>
      <c r="E249" s="18">
        <f t="shared" si="62"/>
        <v>50.892857142857139</v>
      </c>
      <c r="F249" s="18">
        <f t="shared" si="64"/>
        <v>0.59412132582864297</v>
      </c>
      <c r="G249" s="17">
        <v>193</v>
      </c>
      <c r="H249" s="16">
        <v>219</v>
      </c>
      <c r="I249" s="19">
        <f t="shared" si="2"/>
        <v>88.12785388127854</v>
      </c>
      <c r="J249" s="19">
        <f t="shared" si="3"/>
        <v>1.676511466296039</v>
      </c>
      <c r="K249" s="17">
        <v>9594</v>
      </c>
      <c r="L249" s="17">
        <v>10900</v>
      </c>
      <c r="M249" s="18">
        <f t="shared" si="4"/>
        <v>88.018348623853214</v>
      </c>
      <c r="N249" s="17">
        <v>11512</v>
      </c>
      <c r="O249" s="17">
        <v>12280</v>
      </c>
      <c r="P249" s="18">
        <f t="shared" si="5"/>
        <v>93.745928338762212</v>
      </c>
      <c r="Q249" s="20">
        <f t="shared" si="60"/>
        <v>0.57820736174394705</v>
      </c>
      <c r="R249" s="20">
        <f t="shared" si="7"/>
        <v>0.94007126968563282</v>
      </c>
    </row>
    <row r="250" spans="1:18" ht="14.4">
      <c r="A250" s="15">
        <v>60401</v>
      </c>
      <c r="B250" s="15" t="s">
        <v>280</v>
      </c>
      <c r="C250" s="16">
        <v>15</v>
      </c>
      <c r="D250" s="17">
        <v>44</v>
      </c>
      <c r="E250" s="18">
        <f t="shared" si="62"/>
        <v>34.090909090909086</v>
      </c>
      <c r="F250" s="18">
        <f t="shared" si="64"/>
        <v>0.4591368227731864</v>
      </c>
      <c r="G250" s="17">
        <v>69</v>
      </c>
      <c r="H250" s="16">
        <v>81</v>
      </c>
      <c r="I250" s="19">
        <f t="shared" si="2"/>
        <v>85.18518518518519</v>
      </c>
      <c r="J250" s="19">
        <f t="shared" si="3"/>
        <v>2.0093185789167149</v>
      </c>
      <c r="K250" s="17">
        <v>3267</v>
      </c>
      <c r="L250" s="17">
        <v>3926</v>
      </c>
      <c r="M250" s="18">
        <f t="shared" si="4"/>
        <v>83.214467651553747</v>
      </c>
      <c r="N250" s="17">
        <v>3434</v>
      </c>
      <c r="O250" s="17">
        <v>3685</v>
      </c>
      <c r="P250" s="18">
        <f t="shared" si="5"/>
        <v>93.188602442333789</v>
      </c>
      <c r="Q250" s="20">
        <f t="shared" si="60"/>
        <v>0.40967526504716578</v>
      </c>
      <c r="R250" s="20">
        <f t="shared" si="7"/>
        <v>0.91411592139606124</v>
      </c>
    </row>
    <row r="251" spans="1:18" ht="14.4">
      <c r="A251" s="15">
        <v>60402</v>
      </c>
      <c r="B251" s="15" t="s">
        <v>281</v>
      </c>
      <c r="C251" s="16">
        <v>16</v>
      </c>
      <c r="D251" s="17">
        <v>39</v>
      </c>
      <c r="E251" s="18">
        <f t="shared" si="62"/>
        <v>41.025641025641022</v>
      </c>
      <c r="F251" s="18">
        <f t="shared" si="64"/>
        <v>1.2608353033884949</v>
      </c>
      <c r="G251" s="17">
        <v>28</v>
      </c>
      <c r="H251" s="16">
        <v>31</v>
      </c>
      <c r="I251" s="19">
        <f t="shared" si="2"/>
        <v>90.322580645161281</v>
      </c>
      <c r="J251" s="19">
        <f t="shared" si="3"/>
        <v>2.666666666666667</v>
      </c>
      <c r="K251" s="17">
        <v>1269</v>
      </c>
      <c r="L251" s="17">
        <v>1629</v>
      </c>
      <c r="M251" s="18">
        <f t="shared" si="4"/>
        <v>77.900552486187848</v>
      </c>
      <c r="N251" s="17">
        <v>1050</v>
      </c>
      <c r="O251" s="17">
        <v>1176</v>
      </c>
      <c r="P251" s="18">
        <f t="shared" si="5"/>
        <v>89.285714285714292</v>
      </c>
      <c r="Q251" s="20">
        <f t="shared" si="60"/>
        <v>0.52664120749227128</v>
      </c>
      <c r="R251" s="20">
        <f t="shared" si="7"/>
        <v>1.0116129032258063</v>
      </c>
    </row>
    <row r="252" spans="1:18" ht="14.4">
      <c r="A252" s="15">
        <v>60501</v>
      </c>
      <c r="B252" s="15" t="s">
        <v>282</v>
      </c>
      <c r="C252" s="16">
        <v>31</v>
      </c>
      <c r="D252" s="17">
        <v>86</v>
      </c>
      <c r="E252" s="18">
        <f t="shared" si="62"/>
        <v>36.046511627906973</v>
      </c>
      <c r="F252" s="18">
        <f t="shared" si="64"/>
        <v>0.56839017235056843</v>
      </c>
      <c r="G252" s="17">
        <v>87</v>
      </c>
      <c r="H252" s="16">
        <v>115</v>
      </c>
      <c r="I252" s="19">
        <f t="shared" si="2"/>
        <v>75.65217391304347</v>
      </c>
      <c r="J252" s="19">
        <f t="shared" si="3"/>
        <v>1.3258153002133497</v>
      </c>
      <c r="K252" s="17">
        <v>5454</v>
      </c>
      <c r="L252" s="17">
        <v>6397</v>
      </c>
      <c r="M252" s="18">
        <f t="shared" si="4"/>
        <v>85.258715022666877</v>
      </c>
      <c r="N252" s="17">
        <v>6562</v>
      </c>
      <c r="O252" s="17">
        <v>7035</v>
      </c>
      <c r="P252" s="18">
        <f t="shared" si="5"/>
        <v>93.276474769012083</v>
      </c>
      <c r="Q252" s="20">
        <f t="shared" si="60"/>
        <v>0.42278975959611459</v>
      </c>
      <c r="R252" s="20">
        <f t="shared" si="7"/>
        <v>0.81105309886964461</v>
      </c>
    </row>
    <row r="253" spans="1:18" ht="14.4">
      <c r="A253" s="15">
        <v>60502</v>
      </c>
      <c r="B253" s="15" t="s">
        <v>283</v>
      </c>
      <c r="C253" s="16">
        <v>16</v>
      </c>
      <c r="D253" s="17">
        <v>45</v>
      </c>
      <c r="E253" s="18">
        <f t="shared" si="62"/>
        <v>35.555555555555557</v>
      </c>
      <c r="F253" s="18">
        <f t="shared" si="64"/>
        <v>0.61895551257253378</v>
      </c>
      <c r="G253" s="17">
        <v>39</v>
      </c>
      <c r="H253" s="16">
        <v>53</v>
      </c>
      <c r="I253" s="19">
        <f t="shared" si="2"/>
        <v>73.584905660377359</v>
      </c>
      <c r="J253" s="19">
        <f t="shared" si="3"/>
        <v>1.9597989949748744</v>
      </c>
      <c r="K253" s="17">
        <v>2585</v>
      </c>
      <c r="L253" s="17">
        <v>3162</v>
      </c>
      <c r="M253" s="18">
        <f t="shared" si="4"/>
        <v>81.752055660974065</v>
      </c>
      <c r="N253" s="17">
        <v>1990</v>
      </c>
      <c r="O253" s="17">
        <v>2170</v>
      </c>
      <c r="P253" s="18">
        <f t="shared" si="5"/>
        <v>91.705069124423972</v>
      </c>
      <c r="Q253" s="20">
        <f t="shared" si="60"/>
        <v>0.43491940683430047</v>
      </c>
      <c r="R253" s="20">
        <f t="shared" si="7"/>
        <v>0.80240826775386354</v>
      </c>
    </row>
    <row r="254" spans="1:18" ht="14.4">
      <c r="A254" s="15">
        <v>60601</v>
      </c>
      <c r="B254" s="15" t="s">
        <v>188</v>
      </c>
      <c r="C254" s="16">
        <v>14</v>
      </c>
      <c r="D254" s="17">
        <v>55</v>
      </c>
      <c r="E254" s="18">
        <f t="shared" si="62"/>
        <v>25.454545454545453</v>
      </c>
      <c r="F254" s="18">
        <f t="shared" si="64"/>
        <v>0.28466856445709637</v>
      </c>
      <c r="G254" s="17">
        <v>79</v>
      </c>
      <c r="H254" s="16">
        <v>101</v>
      </c>
      <c r="I254" s="19">
        <f t="shared" si="2"/>
        <v>78.21782178217822</v>
      </c>
      <c r="J254" s="19">
        <f t="shared" si="3"/>
        <v>1.5746462029101058</v>
      </c>
      <c r="K254" s="17">
        <v>4918</v>
      </c>
      <c r="L254" s="17">
        <v>5946</v>
      </c>
      <c r="M254" s="18">
        <f t="shared" si="4"/>
        <v>82.71106626303397</v>
      </c>
      <c r="N254" s="17">
        <v>5017</v>
      </c>
      <c r="O254" s="17">
        <v>5314</v>
      </c>
      <c r="P254" s="18">
        <f t="shared" si="5"/>
        <v>94.410989838163346</v>
      </c>
      <c r="Q254" s="20">
        <f t="shared" si="60"/>
        <v>0.30775259713852637</v>
      </c>
      <c r="R254" s="20">
        <f t="shared" si="7"/>
        <v>0.82848217052121798</v>
      </c>
    </row>
    <row r="255" spans="1:18" ht="14.4">
      <c r="A255" s="15">
        <v>70101</v>
      </c>
      <c r="B255" s="15" t="s">
        <v>284</v>
      </c>
      <c r="C255" s="16">
        <v>1844</v>
      </c>
      <c r="D255" s="17">
        <v>4485</v>
      </c>
      <c r="E255" s="18">
        <f t="shared" si="62"/>
        <v>41.114827201783719</v>
      </c>
      <c r="F255" s="18">
        <f t="shared" si="64"/>
        <v>0.54749130813012714</v>
      </c>
      <c r="G255" s="17">
        <v>5381</v>
      </c>
      <c r="H255" s="17">
        <v>6472</v>
      </c>
      <c r="I255" s="19">
        <f t="shared" si="2"/>
        <v>83.142768850432631</v>
      </c>
      <c r="J255" s="19">
        <f t="shared" si="3"/>
        <v>1.4801509583434191</v>
      </c>
      <c r="K255" s="17">
        <v>336809</v>
      </c>
      <c r="L255" s="17">
        <v>372979</v>
      </c>
      <c r="M255" s="18">
        <f t="shared" si="4"/>
        <v>90.302403084355959</v>
      </c>
      <c r="N255" s="17">
        <v>363544</v>
      </c>
      <c r="O255" s="17">
        <v>380786</v>
      </c>
      <c r="P255" s="18">
        <f t="shared" si="5"/>
        <v>95.4719973948622</v>
      </c>
      <c r="Q255" s="20">
        <f t="shared" si="60"/>
        <v>0.45530158442601265</v>
      </c>
      <c r="R255" s="20">
        <f t="shared" si="7"/>
        <v>0.87086026394276461</v>
      </c>
    </row>
    <row r="256" spans="1:18" ht="14.4">
      <c r="A256" s="15">
        <v>70102</v>
      </c>
      <c r="B256" s="15" t="s">
        <v>285</v>
      </c>
      <c r="C256" s="16">
        <v>42</v>
      </c>
      <c r="D256" s="17">
        <v>108</v>
      </c>
      <c r="E256" s="18">
        <f t="shared" si="62"/>
        <v>38.888888888888893</v>
      </c>
      <c r="F256" s="18">
        <f t="shared" si="64"/>
        <v>0.34043932884818023</v>
      </c>
      <c r="G256" s="17">
        <v>344</v>
      </c>
      <c r="H256" s="16">
        <v>436</v>
      </c>
      <c r="I256" s="19">
        <f t="shared" si="2"/>
        <v>78.899082568807344</v>
      </c>
      <c r="J256" s="19">
        <f t="shared" si="3"/>
        <v>1.2045239679260478</v>
      </c>
      <c r="K256" s="17">
        <v>12337</v>
      </c>
      <c r="L256" s="17">
        <v>14188</v>
      </c>
      <c r="M256" s="18">
        <f t="shared" si="4"/>
        <v>86.953763744009024</v>
      </c>
      <c r="N256" s="17">
        <v>28559</v>
      </c>
      <c r="O256" s="17">
        <v>30727</v>
      </c>
      <c r="P256" s="18">
        <f t="shared" si="5"/>
        <v>92.944316073811308</v>
      </c>
      <c r="Q256" s="20">
        <f t="shared" si="60"/>
        <v>0.44723640719425761</v>
      </c>
      <c r="R256" s="20">
        <f t="shared" si="7"/>
        <v>0.84888550372623106</v>
      </c>
    </row>
    <row r="257" spans="1:18" ht="14.4">
      <c r="A257" s="15">
        <v>70103</v>
      </c>
      <c r="B257" s="15" t="s">
        <v>286</v>
      </c>
      <c r="C257" s="16">
        <v>15</v>
      </c>
      <c r="D257" s="17">
        <v>31</v>
      </c>
      <c r="E257" s="18">
        <f t="shared" si="62"/>
        <v>48.387096774193552</v>
      </c>
      <c r="F257" s="18">
        <f t="shared" si="64"/>
        <v>0.36354823073194381</v>
      </c>
      <c r="G257" s="17">
        <v>59</v>
      </c>
      <c r="H257" s="16">
        <v>72</v>
      </c>
      <c r="I257" s="19">
        <f t="shared" si="2"/>
        <v>81.944444444444443</v>
      </c>
      <c r="J257" s="19">
        <f t="shared" si="3"/>
        <v>1.1104837191793715</v>
      </c>
      <c r="K257" s="17">
        <v>4126</v>
      </c>
      <c r="L257" s="17">
        <v>4705</v>
      </c>
      <c r="M257" s="18">
        <f t="shared" si="4"/>
        <v>87.693942614240171</v>
      </c>
      <c r="N257" s="17">
        <v>5313</v>
      </c>
      <c r="O257" s="17">
        <v>5562</v>
      </c>
      <c r="P257" s="18">
        <f t="shared" si="5"/>
        <v>95.523193096008626</v>
      </c>
      <c r="Q257" s="20">
        <f t="shared" si="60"/>
        <v>0.55177239535283729</v>
      </c>
      <c r="R257" s="20">
        <f t="shared" si="7"/>
        <v>0.85784867306606438</v>
      </c>
    </row>
    <row r="258" spans="1:18" ht="14.4">
      <c r="A258" s="15">
        <v>70104</v>
      </c>
      <c r="B258" s="15" t="s">
        <v>287</v>
      </c>
      <c r="C258" s="16">
        <v>112</v>
      </c>
      <c r="D258" s="17">
        <v>271</v>
      </c>
      <c r="E258" s="18">
        <f t="shared" si="62"/>
        <v>41.328413284132843</v>
      </c>
      <c r="F258" s="18">
        <f t="shared" si="64"/>
        <v>0.48188624042681355</v>
      </c>
      <c r="G258" s="17">
        <v>489</v>
      </c>
      <c r="H258" s="16">
        <v>599</v>
      </c>
      <c r="I258" s="19">
        <f t="shared" ref="I258:I345" si="65">(G258/H258)*100</f>
        <v>81.636060100166944</v>
      </c>
      <c r="J258" s="19">
        <f t="shared" ref="J258:J345" si="66">(G258/N258)*100</f>
        <v>1.2829931258855014</v>
      </c>
      <c r="K258" s="17">
        <v>23242</v>
      </c>
      <c r="L258" s="17">
        <v>26115</v>
      </c>
      <c r="M258" s="18">
        <f t="shared" ref="M258:M345" si="67">(K258/L258)*100</f>
        <v>88.998659774076202</v>
      </c>
      <c r="N258" s="17">
        <v>38114</v>
      </c>
      <c r="O258" s="17">
        <v>39905</v>
      </c>
      <c r="P258" s="18">
        <f t="shared" ref="P258:P345" si="68">(N258/O258)*100</f>
        <v>95.511840621476011</v>
      </c>
      <c r="Q258" s="20">
        <f t="shared" si="60"/>
        <v>0.46437118703860647</v>
      </c>
      <c r="R258" s="20">
        <f t="shared" ref="R258:R345" si="69">I258/P258</f>
        <v>0.8547218812764763</v>
      </c>
    </row>
    <row r="259" spans="1:18" ht="14.4">
      <c r="A259" s="15">
        <v>70105</v>
      </c>
      <c r="B259" s="15" t="s">
        <v>288</v>
      </c>
      <c r="C259" s="16">
        <v>40</v>
      </c>
      <c r="D259" s="17">
        <v>132</v>
      </c>
      <c r="E259" s="18">
        <f t="shared" si="62"/>
        <v>30.303030303030305</v>
      </c>
      <c r="F259" s="18">
        <f t="shared" si="64"/>
        <v>0.30823765122909763</v>
      </c>
      <c r="G259" s="17">
        <v>166</v>
      </c>
      <c r="H259" s="16">
        <v>202</v>
      </c>
      <c r="I259" s="19">
        <f t="shared" si="65"/>
        <v>82.178217821782169</v>
      </c>
      <c r="J259" s="19">
        <f t="shared" si="66"/>
        <v>1.1761371687685986</v>
      </c>
      <c r="K259" s="17">
        <v>12977</v>
      </c>
      <c r="L259" s="17">
        <v>14773</v>
      </c>
      <c r="M259" s="18">
        <f t="shared" si="67"/>
        <v>87.842685981181887</v>
      </c>
      <c r="N259" s="17">
        <v>14114</v>
      </c>
      <c r="O259" s="17">
        <v>14865</v>
      </c>
      <c r="P259" s="18">
        <f t="shared" si="68"/>
        <v>94.947864110326279</v>
      </c>
      <c r="Q259" s="20">
        <f t="shared" si="60"/>
        <v>0.3449693046672318</v>
      </c>
      <c r="R259" s="20">
        <f t="shared" si="69"/>
        <v>0.86550886206659472</v>
      </c>
    </row>
    <row r="260" spans="1:18" ht="14.4">
      <c r="A260" s="15">
        <v>70201</v>
      </c>
      <c r="B260" s="15" t="s">
        <v>289</v>
      </c>
      <c r="C260" s="16">
        <v>119</v>
      </c>
      <c r="D260" s="17">
        <v>288</v>
      </c>
      <c r="E260" s="18">
        <f t="shared" si="62"/>
        <v>41.319444444444443</v>
      </c>
      <c r="F260" s="18">
        <f t="shared" si="64"/>
        <v>0.47083959800585584</v>
      </c>
      <c r="G260" s="17">
        <v>521</v>
      </c>
      <c r="H260" s="16">
        <v>649</v>
      </c>
      <c r="I260" s="19">
        <f t="shared" si="65"/>
        <v>80.277349768875197</v>
      </c>
      <c r="J260" s="19">
        <f t="shared" si="66"/>
        <v>1.2702360054612833</v>
      </c>
      <c r="K260" s="17">
        <v>25274</v>
      </c>
      <c r="L260" s="17">
        <v>29063</v>
      </c>
      <c r="M260" s="18">
        <f t="shared" si="67"/>
        <v>86.962804940990253</v>
      </c>
      <c r="N260" s="17">
        <v>41016</v>
      </c>
      <c r="O260" s="17">
        <v>43629</v>
      </c>
      <c r="P260" s="18">
        <f t="shared" si="68"/>
        <v>94.010864333356253</v>
      </c>
      <c r="Q260" s="20">
        <f t="shared" si="60"/>
        <v>0.47513927905708986</v>
      </c>
      <c r="R260" s="20">
        <f t="shared" si="69"/>
        <v>0.85391566536626096</v>
      </c>
    </row>
    <row r="261" spans="1:18" ht="14.4">
      <c r="A261" s="15">
        <v>70202</v>
      </c>
      <c r="B261" s="15" t="s">
        <v>290</v>
      </c>
      <c r="C261" s="16">
        <v>11</v>
      </c>
      <c r="D261" s="17">
        <v>23</v>
      </c>
      <c r="E261" s="18">
        <f t="shared" si="62"/>
        <v>47.826086956521742</v>
      </c>
      <c r="F261" s="18">
        <f t="shared" si="64"/>
        <v>0.30657748049052397</v>
      </c>
      <c r="G261" s="17">
        <v>32</v>
      </c>
      <c r="H261" s="16">
        <v>37</v>
      </c>
      <c r="I261" s="19">
        <f t="shared" si="65"/>
        <v>86.486486486486484</v>
      </c>
      <c r="J261" s="19">
        <f t="shared" si="66"/>
        <v>1.103448275862069</v>
      </c>
      <c r="K261" s="17">
        <v>3588</v>
      </c>
      <c r="L261" s="17">
        <v>4051</v>
      </c>
      <c r="M261" s="18">
        <f t="shared" si="67"/>
        <v>88.570723278202905</v>
      </c>
      <c r="N261" s="17">
        <v>2900</v>
      </c>
      <c r="O261" s="17">
        <v>3044</v>
      </c>
      <c r="P261" s="18">
        <f t="shared" si="68"/>
        <v>95.269382391590014</v>
      </c>
      <c r="Q261" s="20">
        <f t="shared" si="60"/>
        <v>0.53997624933352728</v>
      </c>
      <c r="R261" s="20">
        <f t="shared" si="69"/>
        <v>0.9078098788443616</v>
      </c>
    </row>
    <row r="262" spans="1:18" ht="14.4">
      <c r="A262" s="15">
        <v>70301</v>
      </c>
      <c r="B262" s="15" t="s">
        <v>291</v>
      </c>
      <c r="C262" s="16">
        <v>48</v>
      </c>
      <c r="D262" s="17">
        <v>136</v>
      </c>
      <c r="E262" s="18">
        <f t="shared" si="62"/>
        <v>35.294117647058826</v>
      </c>
      <c r="F262" s="18">
        <f t="shared" si="64"/>
        <v>0.32253729337454645</v>
      </c>
      <c r="G262" s="17">
        <v>143</v>
      </c>
      <c r="H262" s="16">
        <v>209</v>
      </c>
      <c r="I262" s="19">
        <f t="shared" si="65"/>
        <v>68.421052631578945</v>
      </c>
      <c r="J262" s="19">
        <f t="shared" si="66"/>
        <v>0.88479148620220271</v>
      </c>
      <c r="K262" s="17">
        <v>14882</v>
      </c>
      <c r="L262" s="17">
        <v>17582</v>
      </c>
      <c r="M262" s="18">
        <f t="shared" si="67"/>
        <v>84.643385280400409</v>
      </c>
      <c r="N262" s="17">
        <v>16162</v>
      </c>
      <c r="O262" s="17">
        <v>19197</v>
      </c>
      <c r="P262" s="18">
        <f t="shared" si="68"/>
        <v>84.190238058029905</v>
      </c>
      <c r="Q262" s="20">
        <f t="shared" si="60"/>
        <v>0.41697431559641734</v>
      </c>
      <c r="R262" s="20">
        <f t="shared" si="69"/>
        <v>0.81269579715902796</v>
      </c>
    </row>
    <row r="263" spans="1:18" ht="14.4">
      <c r="A263" s="15">
        <v>70302</v>
      </c>
      <c r="B263" s="15" t="s">
        <v>292</v>
      </c>
      <c r="C263" s="16">
        <v>18</v>
      </c>
      <c r="D263" s="17">
        <v>40</v>
      </c>
      <c r="E263" s="18">
        <f t="shared" si="62"/>
        <v>45</v>
      </c>
      <c r="F263" s="18">
        <f t="shared" si="64"/>
        <v>0.54928288068355202</v>
      </c>
      <c r="G263" s="17">
        <v>26</v>
      </c>
      <c r="H263" s="16">
        <v>38</v>
      </c>
      <c r="I263" s="19">
        <f t="shared" si="65"/>
        <v>68.421052631578945</v>
      </c>
      <c r="J263" s="19">
        <f t="shared" si="66"/>
        <v>0.84745762711864403</v>
      </c>
      <c r="K263" s="17">
        <v>3277</v>
      </c>
      <c r="L263" s="17">
        <v>3713</v>
      </c>
      <c r="M263" s="18">
        <f t="shared" si="67"/>
        <v>88.257473740910314</v>
      </c>
      <c r="N263" s="17">
        <v>3068</v>
      </c>
      <c r="O263" s="17">
        <v>3912</v>
      </c>
      <c r="P263" s="18">
        <f t="shared" si="68"/>
        <v>78.425357873210629</v>
      </c>
      <c r="Q263" s="20">
        <f t="shared" si="60"/>
        <v>0.5098718339945072</v>
      </c>
      <c r="R263" s="20">
        <f t="shared" si="69"/>
        <v>0.87243532560214099</v>
      </c>
    </row>
    <row r="264" spans="1:18" ht="14.4">
      <c r="A264" s="15">
        <v>70303</v>
      </c>
      <c r="B264" s="15" t="s">
        <v>293</v>
      </c>
      <c r="C264" s="16">
        <v>6</v>
      </c>
      <c r="D264" s="17">
        <v>7</v>
      </c>
      <c r="E264" s="18">
        <f t="shared" si="62"/>
        <v>85.714285714285708</v>
      </c>
      <c r="F264" s="18">
        <f t="shared" si="64"/>
        <v>0.390625</v>
      </c>
      <c r="G264" s="17">
        <v>12</v>
      </c>
      <c r="H264" s="16">
        <v>13</v>
      </c>
      <c r="I264" s="19">
        <f t="shared" si="65"/>
        <v>92.307692307692307</v>
      </c>
      <c r="J264" s="19">
        <f t="shared" si="66"/>
        <v>0.62630480167014613</v>
      </c>
      <c r="K264" s="17">
        <v>1536</v>
      </c>
      <c r="L264" s="17">
        <v>1856</v>
      </c>
      <c r="M264" s="18">
        <f t="shared" si="67"/>
        <v>82.758620689655174</v>
      </c>
      <c r="N264" s="17">
        <v>1916</v>
      </c>
      <c r="O264" s="17">
        <v>2274</v>
      </c>
      <c r="P264" s="18">
        <f t="shared" si="68"/>
        <v>84.256816182937555</v>
      </c>
      <c r="Q264" s="20">
        <f t="shared" si="60"/>
        <v>1.0357142857142856</v>
      </c>
      <c r="R264" s="20">
        <f t="shared" si="69"/>
        <v>1.0955516299983941</v>
      </c>
    </row>
    <row r="265" spans="1:18" ht="14.4">
      <c r="A265" s="15">
        <v>70401</v>
      </c>
      <c r="B265" s="15" t="s">
        <v>294</v>
      </c>
      <c r="C265" s="16">
        <v>9</v>
      </c>
      <c r="D265" s="17">
        <v>21</v>
      </c>
      <c r="E265" s="18">
        <f t="shared" si="62"/>
        <v>42.857142857142854</v>
      </c>
      <c r="F265" s="18">
        <f t="shared" si="64"/>
        <v>0.25989026855327751</v>
      </c>
      <c r="G265" s="17">
        <v>36</v>
      </c>
      <c r="H265" s="16">
        <v>46</v>
      </c>
      <c r="I265" s="19">
        <f t="shared" si="65"/>
        <v>78.260869565217391</v>
      </c>
      <c r="J265" s="19">
        <f t="shared" si="66"/>
        <v>1.0856453558504222</v>
      </c>
      <c r="K265" s="17">
        <v>3463</v>
      </c>
      <c r="L265" s="17">
        <v>3915</v>
      </c>
      <c r="M265" s="18">
        <f t="shared" si="67"/>
        <v>88.454661558109834</v>
      </c>
      <c r="N265" s="17">
        <v>3316</v>
      </c>
      <c r="O265" s="17">
        <v>3596</v>
      </c>
      <c r="P265" s="18">
        <f t="shared" si="68"/>
        <v>92.213570634037822</v>
      </c>
      <c r="Q265" s="20">
        <f t="shared" si="60"/>
        <v>0.48450971494575301</v>
      </c>
      <c r="R265" s="20">
        <f t="shared" si="69"/>
        <v>0.8486914564430692</v>
      </c>
    </row>
    <row r="266" spans="1:18" ht="14.4">
      <c r="A266" s="15">
        <v>70402</v>
      </c>
      <c r="B266" s="15" t="s">
        <v>295</v>
      </c>
      <c r="C266" s="16">
        <v>19</v>
      </c>
      <c r="D266" s="17">
        <v>40</v>
      </c>
      <c r="E266" s="18">
        <f t="shared" si="62"/>
        <v>47.5</v>
      </c>
      <c r="F266" s="18">
        <f t="shared" si="64"/>
        <v>0.33444816053511706</v>
      </c>
      <c r="G266" s="17">
        <v>62</v>
      </c>
      <c r="H266" s="16">
        <v>77</v>
      </c>
      <c r="I266" s="19">
        <f t="shared" si="65"/>
        <v>80.519480519480524</v>
      </c>
      <c r="J266" s="19">
        <f t="shared" si="66"/>
        <v>1.22626582278481</v>
      </c>
      <c r="K266" s="17">
        <v>5681</v>
      </c>
      <c r="L266" s="17">
        <v>6385</v>
      </c>
      <c r="M266" s="18">
        <f t="shared" si="67"/>
        <v>88.974158183241968</v>
      </c>
      <c r="N266" s="17">
        <v>5056</v>
      </c>
      <c r="O266" s="17">
        <v>5299</v>
      </c>
      <c r="P266" s="18">
        <f t="shared" si="68"/>
        <v>95.414229099830166</v>
      </c>
      <c r="Q266" s="20">
        <f t="shared" si="60"/>
        <v>0.53386287625418061</v>
      </c>
      <c r="R266" s="20">
        <f t="shared" si="69"/>
        <v>0.84389384349827379</v>
      </c>
    </row>
    <row r="267" spans="1:18" ht="14.4">
      <c r="A267" s="15">
        <v>70403</v>
      </c>
      <c r="B267" s="15" t="s">
        <v>296</v>
      </c>
      <c r="C267" s="16">
        <v>43</v>
      </c>
      <c r="D267" s="17">
        <v>107</v>
      </c>
      <c r="E267" s="18">
        <f t="shared" si="62"/>
        <v>40.186915887850468</v>
      </c>
      <c r="F267" s="18">
        <f t="shared" si="64"/>
        <v>0.34916768168899714</v>
      </c>
      <c r="G267" s="17">
        <v>141</v>
      </c>
      <c r="H267" s="16">
        <v>179</v>
      </c>
      <c r="I267" s="19">
        <f t="shared" si="65"/>
        <v>78.770949720670387</v>
      </c>
      <c r="J267" s="19">
        <f t="shared" si="66"/>
        <v>1.0036301516122144</v>
      </c>
      <c r="K267" s="17">
        <v>12315</v>
      </c>
      <c r="L267" s="17">
        <v>14273</v>
      </c>
      <c r="M267" s="18">
        <f t="shared" si="67"/>
        <v>86.281790793806493</v>
      </c>
      <c r="N267" s="17">
        <v>14049</v>
      </c>
      <c r="O267" s="17">
        <v>14918</v>
      </c>
      <c r="P267" s="18">
        <f t="shared" si="68"/>
        <v>94.174822362246942</v>
      </c>
      <c r="Q267" s="20">
        <f t="shared" si="60"/>
        <v>0.46576358137822954</v>
      </c>
      <c r="R267" s="20">
        <f t="shared" si="69"/>
        <v>0.83643321797491699</v>
      </c>
    </row>
    <row r="268" spans="1:18" ht="14.4">
      <c r="A268" s="15">
        <v>70404</v>
      </c>
      <c r="B268" s="15" t="s">
        <v>297</v>
      </c>
      <c r="C268" s="16">
        <v>15</v>
      </c>
      <c r="D268" s="17">
        <v>29</v>
      </c>
      <c r="E268" s="18">
        <f t="shared" si="62"/>
        <v>51.724137931034484</v>
      </c>
      <c r="F268" s="18">
        <f t="shared" si="64"/>
        <v>0.61124694376528121</v>
      </c>
      <c r="G268" s="17">
        <v>34</v>
      </c>
      <c r="H268" s="16">
        <v>38</v>
      </c>
      <c r="I268" s="19">
        <f t="shared" si="65"/>
        <v>89.473684210526315</v>
      </c>
      <c r="J268" s="19">
        <f t="shared" si="66"/>
        <v>1.2864169504351117</v>
      </c>
      <c r="K268" s="17">
        <v>2454</v>
      </c>
      <c r="L268" s="17">
        <v>2778</v>
      </c>
      <c r="M268" s="18">
        <f t="shared" si="67"/>
        <v>88.336933045356375</v>
      </c>
      <c r="N268" s="17">
        <v>2643</v>
      </c>
      <c r="O268" s="17">
        <v>2829</v>
      </c>
      <c r="P268" s="18">
        <f t="shared" si="68"/>
        <v>93.425238600212097</v>
      </c>
      <c r="Q268" s="20">
        <f t="shared" si="60"/>
        <v>0.58553241716550042</v>
      </c>
      <c r="R268" s="20">
        <f t="shared" si="69"/>
        <v>0.95770356652129751</v>
      </c>
    </row>
    <row r="269" spans="1:18" ht="14.4">
      <c r="A269" s="15">
        <v>70501</v>
      </c>
      <c r="B269" s="15" t="s">
        <v>298</v>
      </c>
      <c r="C269" s="16">
        <v>26</v>
      </c>
      <c r="D269" s="17">
        <v>44</v>
      </c>
      <c r="E269" s="18">
        <f t="shared" si="62"/>
        <v>59.090909090909093</v>
      </c>
      <c r="F269" s="18">
        <f t="shared" si="64"/>
        <v>0.36848072562358275</v>
      </c>
      <c r="G269" s="17">
        <v>94</v>
      </c>
      <c r="H269" s="16">
        <v>155</v>
      </c>
      <c r="I269" s="19">
        <f t="shared" si="65"/>
        <v>60.645161290322577</v>
      </c>
      <c r="J269" s="19">
        <f t="shared" si="66"/>
        <v>1.2161987320481304</v>
      </c>
      <c r="K269" s="17">
        <v>7056</v>
      </c>
      <c r="L269" s="17">
        <v>8947</v>
      </c>
      <c r="M269" s="18">
        <f t="shared" si="67"/>
        <v>78.864423829216506</v>
      </c>
      <c r="N269" s="17">
        <v>7729</v>
      </c>
      <c r="O269" s="17">
        <v>11519</v>
      </c>
      <c r="P269" s="18">
        <f t="shared" si="68"/>
        <v>67.097838354023793</v>
      </c>
      <c r="Q269" s="20">
        <f t="shared" si="60"/>
        <v>0.74927205730777158</v>
      </c>
      <c r="R269" s="20">
        <f t="shared" si="69"/>
        <v>0.90383181899757492</v>
      </c>
    </row>
    <row r="270" spans="1:18" ht="14.4">
      <c r="A270" s="15">
        <v>70502</v>
      </c>
      <c r="B270" s="15" t="s">
        <v>299</v>
      </c>
      <c r="C270" s="16">
        <v>45</v>
      </c>
      <c r="D270" s="17">
        <v>91</v>
      </c>
      <c r="E270" s="18">
        <f t="shared" si="62"/>
        <v>49.450549450549453</v>
      </c>
      <c r="F270" s="18">
        <f t="shared" si="64"/>
        <v>0.47453337551407782</v>
      </c>
      <c r="G270" s="17">
        <v>95</v>
      </c>
      <c r="H270" s="16">
        <v>154</v>
      </c>
      <c r="I270" s="19">
        <f t="shared" si="65"/>
        <v>61.688311688311693</v>
      </c>
      <c r="J270" s="19">
        <f t="shared" si="66"/>
        <v>0.80590430946725478</v>
      </c>
      <c r="K270" s="17">
        <v>9483</v>
      </c>
      <c r="L270" s="17">
        <v>12381</v>
      </c>
      <c r="M270" s="18">
        <f t="shared" si="67"/>
        <v>76.59316694935788</v>
      </c>
      <c r="N270" s="17">
        <v>11788</v>
      </c>
      <c r="O270" s="17">
        <v>16331</v>
      </c>
      <c r="P270" s="18">
        <f t="shared" si="68"/>
        <v>72.181740248606943</v>
      </c>
      <c r="Q270" s="20">
        <f t="shared" si="60"/>
        <v>0.6456261233230548</v>
      </c>
      <c r="R270" s="20">
        <f t="shared" si="69"/>
        <v>0.85462488817595716</v>
      </c>
    </row>
    <row r="271" spans="1:18" ht="14.4">
      <c r="A271" s="15">
        <v>70503</v>
      </c>
      <c r="B271" s="15" t="s">
        <v>300</v>
      </c>
      <c r="C271" s="16">
        <v>14</v>
      </c>
      <c r="D271" s="17">
        <v>29</v>
      </c>
      <c r="E271" s="18">
        <f t="shared" si="62"/>
        <v>48.275862068965516</v>
      </c>
      <c r="F271" s="18">
        <f t="shared" si="64"/>
        <v>0.32295271049596314</v>
      </c>
      <c r="G271" s="17">
        <v>44</v>
      </c>
      <c r="H271" s="16">
        <v>56</v>
      </c>
      <c r="I271" s="19">
        <f t="shared" si="65"/>
        <v>78.571428571428569</v>
      </c>
      <c r="J271" s="19">
        <f t="shared" si="66"/>
        <v>1.0091743119266057</v>
      </c>
      <c r="K271" s="17">
        <v>4335</v>
      </c>
      <c r="L271" s="17">
        <v>4766</v>
      </c>
      <c r="M271" s="18">
        <f t="shared" si="67"/>
        <v>90.956777171632396</v>
      </c>
      <c r="N271" s="17">
        <v>4360</v>
      </c>
      <c r="O271" s="17">
        <v>4904</v>
      </c>
      <c r="P271" s="18">
        <f t="shared" si="68"/>
        <v>88.907014681892335</v>
      </c>
      <c r="Q271" s="20">
        <f t="shared" si="60"/>
        <v>0.53075607524957247</v>
      </c>
      <c r="R271" s="20">
        <f t="shared" si="69"/>
        <v>0.88374836173001303</v>
      </c>
    </row>
    <row r="272" spans="1:18" ht="14.4">
      <c r="A272" s="15">
        <v>70601</v>
      </c>
      <c r="B272" s="15" t="s">
        <v>301</v>
      </c>
      <c r="C272" s="16">
        <v>15</v>
      </c>
      <c r="D272" s="17">
        <v>34</v>
      </c>
      <c r="E272" s="18">
        <f t="shared" si="62"/>
        <v>44.117647058823529</v>
      </c>
      <c r="F272" s="18">
        <f t="shared" si="64"/>
        <v>0.33542039355992842</v>
      </c>
      <c r="G272" s="17">
        <v>50</v>
      </c>
      <c r="H272" s="16">
        <v>57</v>
      </c>
      <c r="I272" s="19">
        <f t="shared" si="65"/>
        <v>87.719298245614027</v>
      </c>
      <c r="J272" s="19">
        <f t="shared" si="66"/>
        <v>0.94073377234242705</v>
      </c>
      <c r="K272" s="17">
        <v>4472</v>
      </c>
      <c r="L272" s="17">
        <v>4984</v>
      </c>
      <c r="M272" s="18">
        <f t="shared" si="67"/>
        <v>89.727126805778497</v>
      </c>
      <c r="N272" s="17">
        <v>5315</v>
      </c>
      <c r="O272" s="17">
        <v>5617</v>
      </c>
      <c r="P272" s="18">
        <f t="shared" si="68"/>
        <v>94.623464482820012</v>
      </c>
      <c r="Q272" s="20">
        <f t="shared" si="60"/>
        <v>0.49168683573608329</v>
      </c>
      <c r="R272" s="20">
        <f t="shared" si="69"/>
        <v>0.92703536828901978</v>
      </c>
    </row>
    <row r="273" spans="1:18" ht="14.4">
      <c r="A273" s="15">
        <v>70602</v>
      </c>
      <c r="B273" s="15" t="s">
        <v>302</v>
      </c>
      <c r="C273" s="16">
        <v>14</v>
      </c>
      <c r="D273" s="17">
        <v>33</v>
      </c>
      <c r="E273" s="18">
        <f t="shared" si="62"/>
        <v>42.424242424242422</v>
      </c>
      <c r="F273" s="18">
        <f t="shared" si="64"/>
        <v>0.2891367203634862</v>
      </c>
      <c r="G273" s="17">
        <v>46</v>
      </c>
      <c r="H273" s="16">
        <v>59</v>
      </c>
      <c r="I273" s="19">
        <f t="shared" si="65"/>
        <v>77.966101694915253</v>
      </c>
      <c r="J273" s="19">
        <f t="shared" si="66"/>
        <v>1.0092145677928916</v>
      </c>
      <c r="K273" s="17">
        <v>4842</v>
      </c>
      <c r="L273" s="17">
        <v>5689</v>
      </c>
      <c r="M273" s="18">
        <f t="shared" si="67"/>
        <v>85.111618913693093</v>
      </c>
      <c r="N273" s="17">
        <v>4558</v>
      </c>
      <c r="O273" s="17">
        <v>4857</v>
      </c>
      <c r="P273" s="18">
        <f t="shared" si="68"/>
        <v>93.843936586370191</v>
      </c>
      <c r="Q273" s="20">
        <f t="shared" si="60"/>
        <v>0.49845418246905232</v>
      </c>
      <c r="R273" s="20">
        <f t="shared" si="69"/>
        <v>0.83080595860509732</v>
      </c>
    </row>
    <row r="274" spans="1:18" ht="14.4">
      <c r="A274" s="15">
        <v>70603</v>
      </c>
      <c r="B274" s="15" t="s">
        <v>303</v>
      </c>
      <c r="C274" s="16">
        <v>1</v>
      </c>
      <c r="D274" s="17">
        <v>7</v>
      </c>
      <c r="E274" s="18">
        <f t="shared" si="62"/>
        <v>14.285714285714285</v>
      </c>
      <c r="F274" s="18">
        <f t="shared" si="64"/>
        <v>6.1766522544780732E-2</v>
      </c>
      <c r="G274" s="17">
        <v>25</v>
      </c>
      <c r="H274" s="16">
        <v>25</v>
      </c>
      <c r="I274" s="19">
        <f t="shared" si="65"/>
        <v>100</v>
      </c>
      <c r="J274" s="19">
        <f t="shared" si="66"/>
        <v>1.6350555918901242</v>
      </c>
      <c r="K274" s="17">
        <v>1619</v>
      </c>
      <c r="L274" s="17">
        <v>1836</v>
      </c>
      <c r="M274" s="18">
        <f t="shared" si="67"/>
        <v>88.180827886710247</v>
      </c>
      <c r="N274" s="17">
        <v>1529</v>
      </c>
      <c r="O274" s="17">
        <v>1624</v>
      </c>
      <c r="P274" s="18">
        <f t="shared" si="68"/>
        <v>94.150246305418719</v>
      </c>
      <c r="Q274" s="20">
        <f t="shared" si="60"/>
        <v>0.16200476484602486</v>
      </c>
      <c r="R274" s="20">
        <f t="shared" si="69"/>
        <v>1.0621321124918248</v>
      </c>
    </row>
    <row r="275" spans="1:18" ht="14.4">
      <c r="A275" s="15">
        <v>70701</v>
      </c>
      <c r="B275" s="15" t="s">
        <v>304</v>
      </c>
      <c r="C275" s="16">
        <v>5</v>
      </c>
      <c r="D275" s="17">
        <v>17</v>
      </c>
      <c r="E275" s="18">
        <f t="shared" si="62"/>
        <v>29.411764705882355</v>
      </c>
      <c r="F275" s="18">
        <f t="shared" si="64"/>
        <v>0.32258064516129031</v>
      </c>
      <c r="G275" s="17">
        <v>15</v>
      </c>
      <c r="H275" s="16">
        <v>26</v>
      </c>
      <c r="I275" s="19">
        <f t="shared" si="65"/>
        <v>57.692307692307686</v>
      </c>
      <c r="J275" s="19">
        <f t="shared" si="66"/>
        <v>0.91631032376298105</v>
      </c>
      <c r="K275" s="17">
        <v>1550</v>
      </c>
      <c r="L275" s="17">
        <v>1713</v>
      </c>
      <c r="M275" s="18">
        <f t="shared" si="67"/>
        <v>90.484530064214823</v>
      </c>
      <c r="N275" s="17">
        <v>1637</v>
      </c>
      <c r="O275" s="17">
        <v>1751</v>
      </c>
      <c r="P275" s="18">
        <f t="shared" si="68"/>
        <v>93.48943460879498</v>
      </c>
      <c r="Q275" s="20">
        <f t="shared" si="60"/>
        <v>0.3250474383301708</v>
      </c>
      <c r="R275" s="20">
        <f t="shared" si="69"/>
        <v>0.61709976034960756</v>
      </c>
    </row>
    <row r="276" spans="1:18" ht="14.4">
      <c r="A276" s="15">
        <v>70702</v>
      </c>
      <c r="B276" s="15" t="s">
        <v>305</v>
      </c>
      <c r="C276" s="16">
        <v>37</v>
      </c>
      <c r="D276" s="17">
        <v>102</v>
      </c>
      <c r="E276" s="18">
        <f t="shared" si="62"/>
        <v>36.274509803921568</v>
      </c>
      <c r="F276" s="18">
        <f t="shared" si="64"/>
        <v>0.41803186080668847</v>
      </c>
      <c r="G276" s="17">
        <v>101</v>
      </c>
      <c r="H276" s="16">
        <v>164</v>
      </c>
      <c r="I276" s="19">
        <f t="shared" si="65"/>
        <v>61.585365853658537</v>
      </c>
      <c r="J276" s="19">
        <f t="shared" si="66"/>
        <v>1.1084284460052678</v>
      </c>
      <c r="K276" s="17">
        <v>8851</v>
      </c>
      <c r="L276" s="17">
        <v>10922</v>
      </c>
      <c r="M276" s="18">
        <f t="shared" si="67"/>
        <v>81.038271378868345</v>
      </c>
      <c r="N276" s="17">
        <v>9112</v>
      </c>
      <c r="O276" s="17">
        <v>11957</v>
      </c>
      <c r="P276" s="18">
        <f t="shared" si="68"/>
        <v>76.206406289202974</v>
      </c>
      <c r="Q276" s="20">
        <f t="shared" si="60"/>
        <v>0.44762195918927955</v>
      </c>
      <c r="R276" s="20">
        <f t="shared" si="69"/>
        <v>0.80813895907835287</v>
      </c>
    </row>
    <row r="277" spans="1:18" ht="14.4">
      <c r="A277" s="15">
        <v>70703</v>
      </c>
      <c r="B277" s="15" t="s">
        <v>306</v>
      </c>
      <c r="C277" s="16">
        <v>26</v>
      </c>
      <c r="D277" s="17">
        <v>64</v>
      </c>
      <c r="E277" s="18">
        <f t="shared" si="62"/>
        <v>40.625</v>
      </c>
      <c r="F277" s="18">
        <f t="shared" si="64"/>
        <v>0.40310077519379844</v>
      </c>
      <c r="G277" s="17">
        <v>82</v>
      </c>
      <c r="H277" s="16">
        <v>126</v>
      </c>
      <c r="I277" s="19">
        <f t="shared" si="65"/>
        <v>65.079365079365076</v>
      </c>
      <c r="J277" s="19">
        <f t="shared" si="66"/>
        <v>1.1291655191407326</v>
      </c>
      <c r="K277" s="17">
        <v>6450</v>
      </c>
      <c r="L277" s="17">
        <v>8332</v>
      </c>
      <c r="M277" s="18">
        <f t="shared" si="67"/>
        <v>77.412385981757083</v>
      </c>
      <c r="N277" s="17">
        <v>7262</v>
      </c>
      <c r="O277" s="17">
        <v>9491</v>
      </c>
      <c r="P277" s="18">
        <f t="shared" si="68"/>
        <v>76.514592772099888</v>
      </c>
      <c r="Q277" s="20">
        <f t="shared" si="60"/>
        <v>0.52478682170542634</v>
      </c>
      <c r="R277" s="20">
        <f t="shared" si="69"/>
        <v>0.8505484081083089</v>
      </c>
    </row>
    <row r="278" spans="1:18" ht="14.4">
      <c r="A278" s="15">
        <v>70704</v>
      </c>
      <c r="B278" s="15" t="s">
        <v>307</v>
      </c>
      <c r="C278" s="16">
        <v>4</v>
      </c>
      <c r="D278" s="17">
        <v>8</v>
      </c>
      <c r="E278" s="18">
        <f t="shared" si="62"/>
        <v>50</v>
      </c>
      <c r="F278" s="18">
        <f t="shared" si="64"/>
        <v>0.27874564459930312</v>
      </c>
      <c r="G278" s="17">
        <v>10</v>
      </c>
      <c r="H278" s="16">
        <v>10</v>
      </c>
      <c r="I278" s="19">
        <f t="shared" si="65"/>
        <v>100</v>
      </c>
      <c r="J278" s="19">
        <f t="shared" si="66"/>
        <v>0.81037277147487841</v>
      </c>
      <c r="K278" s="17">
        <v>1435</v>
      </c>
      <c r="L278" s="17">
        <v>1557</v>
      </c>
      <c r="M278" s="18">
        <f t="shared" si="67"/>
        <v>92.164418754014136</v>
      </c>
      <c r="N278" s="17">
        <v>1234</v>
      </c>
      <c r="O278" s="17">
        <v>1343</v>
      </c>
      <c r="P278" s="18">
        <f t="shared" si="68"/>
        <v>91.883842144452714</v>
      </c>
      <c r="Q278" s="20">
        <f t="shared" si="60"/>
        <v>0.54250871080139373</v>
      </c>
      <c r="R278" s="20">
        <f t="shared" si="69"/>
        <v>1.0883306320907618</v>
      </c>
    </row>
    <row r="279" spans="1:18" ht="14.4">
      <c r="A279" s="15">
        <v>70705</v>
      </c>
      <c r="B279" s="15" t="s">
        <v>308</v>
      </c>
      <c r="C279" s="16">
        <v>19</v>
      </c>
      <c r="D279" s="17">
        <v>36</v>
      </c>
      <c r="E279" s="18">
        <f t="shared" si="62"/>
        <v>52.777777777777779</v>
      </c>
      <c r="F279" s="18">
        <f t="shared" si="64"/>
        <v>0.48235592790048232</v>
      </c>
      <c r="G279" s="17">
        <v>60</v>
      </c>
      <c r="H279" s="16">
        <v>75</v>
      </c>
      <c r="I279" s="19">
        <f t="shared" si="65"/>
        <v>80</v>
      </c>
      <c r="J279" s="19">
        <f t="shared" si="66"/>
        <v>1.4094432699083863</v>
      </c>
      <c r="K279" s="17">
        <v>3939</v>
      </c>
      <c r="L279" s="17">
        <v>4390</v>
      </c>
      <c r="M279" s="18">
        <f t="shared" si="67"/>
        <v>89.726651480637813</v>
      </c>
      <c r="N279" s="17">
        <v>4257</v>
      </c>
      <c r="O279" s="17">
        <v>4628</v>
      </c>
      <c r="P279" s="18">
        <f t="shared" si="68"/>
        <v>91.983578219533285</v>
      </c>
      <c r="Q279" s="20">
        <f t="shared" si="60"/>
        <v>0.58820625652308822</v>
      </c>
      <c r="R279" s="20">
        <f t="shared" si="69"/>
        <v>0.86972046041813478</v>
      </c>
    </row>
    <row r="280" spans="1:18" ht="14.4">
      <c r="A280" s="15">
        <v>70706</v>
      </c>
      <c r="B280" s="15" t="s">
        <v>309</v>
      </c>
      <c r="C280" s="16">
        <v>62</v>
      </c>
      <c r="D280" s="17">
        <v>122</v>
      </c>
      <c r="E280" s="18">
        <f t="shared" si="62"/>
        <v>50.819672131147541</v>
      </c>
      <c r="F280" s="18">
        <f t="shared" si="64"/>
        <v>0.6934347388435298</v>
      </c>
      <c r="G280" s="17">
        <v>118</v>
      </c>
      <c r="H280" s="16">
        <v>125</v>
      </c>
      <c r="I280" s="19">
        <f t="shared" si="65"/>
        <v>94.399999999999991</v>
      </c>
      <c r="J280" s="19">
        <f t="shared" si="66"/>
        <v>1.5079872204472844</v>
      </c>
      <c r="K280" s="17">
        <v>8941</v>
      </c>
      <c r="L280" s="17">
        <v>9545</v>
      </c>
      <c r="M280" s="18">
        <f t="shared" si="67"/>
        <v>93.672079622839192</v>
      </c>
      <c r="N280" s="17">
        <v>7825</v>
      </c>
      <c r="O280" s="17">
        <v>8150</v>
      </c>
      <c r="P280" s="18">
        <f t="shared" si="68"/>
        <v>96.012269938650306</v>
      </c>
      <c r="Q280" s="20">
        <f t="shared" si="60"/>
        <v>0.54252742477553206</v>
      </c>
      <c r="R280" s="20">
        <f t="shared" si="69"/>
        <v>0.98320766773162926</v>
      </c>
    </row>
    <row r="281" spans="1:18" ht="14.4">
      <c r="A281" s="15">
        <v>70707</v>
      </c>
      <c r="B281" s="15" t="s">
        <v>310</v>
      </c>
      <c r="C281" s="16">
        <v>4</v>
      </c>
      <c r="D281" s="17">
        <v>16</v>
      </c>
      <c r="E281" s="18">
        <f t="shared" si="62"/>
        <v>25</v>
      </c>
      <c r="F281" s="18">
        <f t="shared" si="64"/>
        <v>0.28673835125448027</v>
      </c>
      <c r="G281" s="17">
        <v>13</v>
      </c>
      <c r="H281" s="16">
        <v>19</v>
      </c>
      <c r="I281" s="19">
        <f t="shared" si="65"/>
        <v>68.421052631578945</v>
      </c>
      <c r="J281" s="19">
        <f t="shared" si="66"/>
        <v>1.0743801652892562</v>
      </c>
      <c r="K281" s="17">
        <v>1395</v>
      </c>
      <c r="L281" s="17">
        <v>1577</v>
      </c>
      <c r="M281" s="18">
        <f t="shared" si="67"/>
        <v>88.459099556119213</v>
      </c>
      <c r="N281" s="17">
        <v>1210</v>
      </c>
      <c r="O281" s="17">
        <v>1507</v>
      </c>
      <c r="P281" s="18">
        <f t="shared" si="68"/>
        <v>80.291970802919707</v>
      </c>
      <c r="Q281" s="20">
        <f t="shared" si="60"/>
        <v>0.28261648745519713</v>
      </c>
      <c r="R281" s="20">
        <f t="shared" si="69"/>
        <v>0.85215311004784688</v>
      </c>
    </row>
    <row r="282" spans="1:18" ht="14.4">
      <c r="A282" s="15">
        <v>70801</v>
      </c>
      <c r="B282" s="15" t="s">
        <v>311</v>
      </c>
      <c r="C282" s="16">
        <v>21</v>
      </c>
      <c r="D282" s="17">
        <v>49</v>
      </c>
      <c r="E282" s="18">
        <f t="shared" si="62"/>
        <v>42.857142857142854</v>
      </c>
      <c r="F282" s="18">
        <f t="shared" si="64"/>
        <v>0.53929121725731899</v>
      </c>
      <c r="G282" s="17">
        <v>66</v>
      </c>
      <c r="H282" s="16">
        <v>74</v>
      </c>
      <c r="I282" s="19">
        <f t="shared" si="65"/>
        <v>89.189189189189193</v>
      </c>
      <c r="J282" s="19">
        <f t="shared" si="66"/>
        <v>1.8116936590721933</v>
      </c>
      <c r="K282" s="17">
        <v>3894</v>
      </c>
      <c r="L282" s="17">
        <v>4363</v>
      </c>
      <c r="M282" s="18">
        <f t="shared" si="67"/>
        <v>89.250515700206279</v>
      </c>
      <c r="N282" s="17">
        <v>3643</v>
      </c>
      <c r="O282" s="17">
        <v>3793</v>
      </c>
      <c r="P282" s="18">
        <f t="shared" si="68"/>
        <v>96.045346691273409</v>
      </c>
      <c r="Q282" s="20">
        <f t="shared" si="60"/>
        <v>0.4801893022232005</v>
      </c>
      <c r="R282" s="20">
        <f t="shared" si="69"/>
        <v>0.92861541200822006</v>
      </c>
    </row>
    <row r="283" spans="1:18" ht="14.4">
      <c r="A283" s="15">
        <v>70802</v>
      </c>
      <c r="B283" s="15" t="s">
        <v>312</v>
      </c>
      <c r="C283" s="16">
        <v>3</v>
      </c>
      <c r="D283" s="17">
        <v>3</v>
      </c>
      <c r="E283" s="18">
        <f t="shared" si="62"/>
        <v>100</v>
      </c>
      <c r="F283" s="18">
        <f t="shared" si="64"/>
        <v>0.71258907363420432</v>
      </c>
      <c r="G283" s="16">
        <v>2</v>
      </c>
      <c r="H283" s="16">
        <v>2</v>
      </c>
      <c r="I283" s="19">
        <f t="shared" si="65"/>
        <v>100</v>
      </c>
      <c r="J283" s="19">
        <f t="shared" si="66"/>
        <v>0.41407867494824019</v>
      </c>
      <c r="K283" s="16">
        <v>421</v>
      </c>
      <c r="L283" s="17">
        <v>457</v>
      </c>
      <c r="M283" s="18">
        <f t="shared" si="67"/>
        <v>92.122538293216621</v>
      </c>
      <c r="N283" s="16">
        <v>483</v>
      </c>
      <c r="O283" s="17">
        <v>496</v>
      </c>
      <c r="P283" s="18">
        <f t="shared" si="68"/>
        <v>97.379032258064512</v>
      </c>
      <c r="Q283" s="20">
        <f t="shared" si="60"/>
        <v>1.0855106888361046</v>
      </c>
      <c r="R283" s="20">
        <f t="shared" si="69"/>
        <v>1.0269151138716357</v>
      </c>
    </row>
    <row r="284" spans="1:18" ht="14.4">
      <c r="A284" s="15">
        <v>70803</v>
      </c>
      <c r="B284" s="15" t="s">
        <v>313</v>
      </c>
      <c r="C284" s="16">
        <v>4</v>
      </c>
      <c r="D284" s="17">
        <v>9</v>
      </c>
      <c r="E284" s="18">
        <f t="shared" si="62"/>
        <v>44.444444444444443</v>
      </c>
      <c r="F284" s="18">
        <f t="shared" si="64"/>
        <v>0.64620355411954766</v>
      </c>
      <c r="G284" s="16">
        <v>8</v>
      </c>
      <c r="H284" s="16">
        <v>12</v>
      </c>
      <c r="I284" s="19">
        <f t="shared" si="65"/>
        <v>66.666666666666657</v>
      </c>
      <c r="J284" s="19">
        <f t="shared" si="66"/>
        <v>1.4545454545454546</v>
      </c>
      <c r="K284" s="16">
        <v>619</v>
      </c>
      <c r="L284" s="17">
        <v>697</v>
      </c>
      <c r="M284" s="18">
        <f t="shared" si="67"/>
        <v>88.809182209469157</v>
      </c>
      <c r="N284" s="16">
        <v>550</v>
      </c>
      <c r="O284" s="17">
        <v>586</v>
      </c>
      <c r="P284" s="18">
        <f t="shared" si="68"/>
        <v>93.856655290102381</v>
      </c>
      <c r="Q284" s="20">
        <f t="shared" si="60"/>
        <v>0.50044875246813858</v>
      </c>
      <c r="R284" s="20">
        <f t="shared" si="69"/>
        <v>0.71030303030303021</v>
      </c>
    </row>
    <row r="285" spans="1:18" ht="14.4">
      <c r="A285" s="15">
        <v>70804</v>
      </c>
      <c r="B285" s="15" t="s">
        <v>314</v>
      </c>
      <c r="C285" s="16">
        <v>2</v>
      </c>
      <c r="D285" s="17">
        <v>8</v>
      </c>
      <c r="E285" s="18">
        <f t="shared" si="62"/>
        <v>25</v>
      </c>
      <c r="F285" s="18">
        <f t="shared" si="64"/>
        <v>0.37383177570093462</v>
      </c>
      <c r="G285" s="16">
        <v>4</v>
      </c>
      <c r="H285" s="16">
        <v>5</v>
      </c>
      <c r="I285" s="19">
        <f t="shared" si="65"/>
        <v>80</v>
      </c>
      <c r="J285" s="19">
        <f t="shared" si="66"/>
        <v>1.098901098901099</v>
      </c>
      <c r="K285" s="16">
        <v>535</v>
      </c>
      <c r="L285" s="17">
        <v>590</v>
      </c>
      <c r="M285" s="18">
        <f t="shared" si="67"/>
        <v>90.677966101694921</v>
      </c>
      <c r="N285" s="16">
        <v>364</v>
      </c>
      <c r="O285" s="17">
        <v>388</v>
      </c>
      <c r="P285" s="18">
        <f t="shared" si="68"/>
        <v>93.814432989690715</v>
      </c>
      <c r="Q285" s="20">
        <f t="shared" si="60"/>
        <v>0.27570093457943923</v>
      </c>
      <c r="R285" s="20">
        <f t="shared" si="69"/>
        <v>0.85274725274725283</v>
      </c>
    </row>
    <row r="286" spans="1:18" ht="14.4">
      <c r="A286" s="15">
        <v>70805</v>
      </c>
      <c r="B286" s="15" t="s">
        <v>315</v>
      </c>
      <c r="C286" s="16">
        <v>4</v>
      </c>
      <c r="D286" s="17">
        <v>5</v>
      </c>
      <c r="E286" s="18">
        <f t="shared" si="62"/>
        <v>80</v>
      </c>
      <c r="F286" s="18">
        <f t="shared" si="64"/>
        <v>0.88495575221238942</v>
      </c>
      <c r="G286" s="16">
        <v>9</v>
      </c>
      <c r="H286" s="16">
        <v>10</v>
      </c>
      <c r="I286" s="19">
        <f t="shared" si="65"/>
        <v>90</v>
      </c>
      <c r="J286" s="19">
        <f t="shared" si="66"/>
        <v>2.3195876288659796</v>
      </c>
      <c r="K286" s="16">
        <v>452</v>
      </c>
      <c r="L286" s="17">
        <v>511</v>
      </c>
      <c r="M286" s="18">
        <f t="shared" si="67"/>
        <v>88.454011741682976</v>
      </c>
      <c r="N286" s="16">
        <v>388</v>
      </c>
      <c r="O286" s="17">
        <v>403</v>
      </c>
      <c r="P286" s="18">
        <f t="shared" si="68"/>
        <v>96.277915632754343</v>
      </c>
      <c r="Q286" s="20">
        <f t="shared" si="60"/>
        <v>0.90442477876106198</v>
      </c>
      <c r="R286" s="20">
        <f t="shared" si="69"/>
        <v>0.9347938144329897</v>
      </c>
    </row>
    <row r="287" spans="1:18" ht="14.4">
      <c r="A287" s="15">
        <v>70901</v>
      </c>
      <c r="B287" s="15" t="s">
        <v>316</v>
      </c>
      <c r="C287" s="16">
        <v>9</v>
      </c>
      <c r="D287" s="17">
        <v>22</v>
      </c>
      <c r="E287" s="18">
        <f t="shared" si="62"/>
        <v>40.909090909090914</v>
      </c>
      <c r="F287" s="18">
        <f t="shared" si="64"/>
        <v>0.37052284890901604</v>
      </c>
      <c r="G287" s="17">
        <v>29</v>
      </c>
      <c r="H287" s="16">
        <v>37</v>
      </c>
      <c r="I287" s="19">
        <f t="shared" si="65"/>
        <v>78.378378378378372</v>
      </c>
      <c r="J287" s="19">
        <f t="shared" si="66"/>
        <v>1.1018237082066868</v>
      </c>
      <c r="K287" s="17">
        <v>2429</v>
      </c>
      <c r="L287" s="17">
        <v>2742</v>
      </c>
      <c r="M287" s="18">
        <f t="shared" si="67"/>
        <v>88.584974471188914</v>
      </c>
      <c r="N287" s="17">
        <v>2632</v>
      </c>
      <c r="O287" s="17">
        <v>2801</v>
      </c>
      <c r="P287" s="18">
        <f t="shared" si="68"/>
        <v>93.966440556943951</v>
      </c>
      <c r="Q287" s="20">
        <f t="shared" si="60"/>
        <v>0.46180620532205552</v>
      </c>
      <c r="R287" s="20">
        <f t="shared" si="69"/>
        <v>0.83411032613160263</v>
      </c>
    </row>
    <row r="288" spans="1:18" ht="14.4">
      <c r="A288" s="15">
        <v>70902</v>
      </c>
      <c r="B288" s="15" t="s">
        <v>317</v>
      </c>
      <c r="C288" s="16">
        <v>8</v>
      </c>
      <c r="D288" s="17">
        <v>25</v>
      </c>
      <c r="E288" s="18">
        <f t="shared" si="62"/>
        <v>32</v>
      </c>
      <c r="F288" s="18">
        <f t="shared" si="64"/>
        <v>0.34542314335060448</v>
      </c>
      <c r="G288" s="17">
        <v>23</v>
      </c>
      <c r="H288" s="16">
        <v>33</v>
      </c>
      <c r="I288" s="19">
        <f t="shared" si="65"/>
        <v>69.696969696969703</v>
      </c>
      <c r="J288" s="19">
        <f t="shared" si="66"/>
        <v>0.94223678820155676</v>
      </c>
      <c r="K288" s="17">
        <v>2316</v>
      </c>
      <c r="L288" s="17">
        <v>2727</v>
      </c>
      <c r="M288" s="18">
        <f t="shared" si="67"/>
        <v>84.928492849284936</v>
      </c>
      <c r="N288" s="17">
        <v>2441</v>
      </c>
      <c r="O288" s="17">
        <v>2585</v>
      </c>
      <c r="P288" s="18">
        <f t="shared" si="68"/>
        <v>94.429400386847192</v>
      </c>
      <c r="Q288" s="20">
        <f t="shared" si="60"/>
        <v>0.37678756476683933</v>
      </c>
      <c r="R288" s="20">
        <f t="shared" si="69"/>
        <v>0.73808548409121955</v>
      </c>
    </row>
    <row r="289" spans="1:18" ht="14.4">
      <c r="A289" s="15">
        <v>70903</v>
      </c>
      <c r="B289" s="15" t="s">
        <v>318</v>
      </c>
      <c r="C289" s="16">
        <v>15</v>
      </c>
      <c r="D289" s="17">
        <v>29</v>
      </c>
      <c r="E289" s="18">
        <f t="shared" si="62"/>
        <v>51.724137931034484</v>
      </c>
      <c r="F289" s="18">
        <f t="shared" si="64"/>
        <v>0.5592841163310962</v>
      </c>
      <c r="G289" s="17">
        <v>37</v>
      </c>
      <c r="H289" s="16">
        <v>40</v>
      </c>
      <c r="I289" s="19">
        <f t="shared" si="65"/>
        <v>92.5</v>
      </c>
      <c r="J289" s="19">
        <f t="shared" si="66"/>
        <v>1.1328842620943049</v>
      </c>
      <c r="K289" s="17">
        <v>2682</v>
      </c>
      <c r="L289" s="17">
        <v>3038</v>
      </c>
      <c r="M289" s="18">
        <f t="shared" si="67"/>
        <v>88.281764318630678</v>
      </c>
      <c r="N289" s="17">
        <v>3266</v>
      </c>
      <c r="O289" s="17">
        <v>3463</v>
      </c>
      <c r="P289" s="18">
        <f t="shared" si="68"/>
        <v>94.311290788333807</v>
      </c>
      <c r="Q289" s="20">
        <f t="shared" si="60"/>
        <v>0.58589832600478287</v>
      </c>
      <c r="R289" s="20">
        <f t="shared" si="69"/>
        <v>0.98079454990814463</v>
      </c>
    </row>
    <row r="290" spans="1:18" ht="14.4">
      <c r="A290" s="15">
        <v>70904</v>
      </c>
      <c r="B290" s="15" t="s">
        <v>319</v>
      </c>
      <c r="C290" s="16">
        <v>1</v>
      </c>
      <c r="D290" s="17">
        <v>2</v>
      </c>
      <c r="E290" s="18">
        <f t="shared" si="62"/>
        <v>50</v>
      </c>
      <c r="F290" s="18">
        <f t="shared" si="64"/>
        <v>0.1589825119236884</v>
      </c>
      <c r="G290" s="16">
        <v>6</v>
      </c>
      <c r="H290" s="16">
        <v>7</v>
      </c>
      <c r="I290" s="19">
        <f t="shared" si="65"/>
        <v>85.714285714285708</v>
      </c>
      <c r="J290" s="19">
        <f t="shared" si="66"/>
        <v>1.1904761904761905</v>
      </c>
      <c r="K290" s="16">
        <v>629</v>
      </c>
      <c r="L290" s="17">
        <v>723</v>
      </c>
      <c r="M290" s="18">
        <f t="shared" si="67"/>
        <v>86.99861687413555</v>
      </c>
      <c r="N290" s="16">
        <v>504</v>
      </c>
      <c r="O290" s="17">
        <v>537</v>
      </c>
      <c r="P290" s="18">
        <f t="shared" si="68"/>
        <v>93.85474860335195</v>
      </c>
      <c r="Q290" s="20">
        <f t="shared" si="60"/>
        <v>0.57472178060413348</v>
      </c>
      <c r="R290" s="20">
        <f t="shared" si="69"/>
        <v>0.91326530612244894</v>
      </c>
    </row>
    <row r="291" spans="1:18" ht="14.4">
      <c r="A291" s="15">
        <v>71001</v>
      </c>
      <c r="B291" s="15" t="s">
        <v>320</v>
      </c>
      <c r="C291" s="16">
        <v>135</v>
      </c>
      <c r="D291" s="17">
        <v>329</v>
      </c>
      <c r="E291" s="18">
        <f t="shared" si="62"/>
        <v>41.033434650455924</v>
      </c>
      <c r="F291" s="18">
        <f t="shared" si="64"/>
        <v>0.47030134122975092</v>
      </c>
      <c r="G291" s="17">
        <v>447</v>
      </c>
      <c r="H291" s="16">
        <v>534</v>
      </c>
      <c r="I291" s="19">
        <f t="shared" si="65"/>
        <v>83.707865168539328</v>
      </c>
      <c r="J291" s="19">
        <f t="shared" si="66"/>
        <v>1.4083175803402646</v>
      </c>
      <c r="K291" s="17">
        <v>28705</v>
      </c>
      <c r="L291" s="17">
        <v>31685</v>
      </c>
      <c r="M291" s="18">
        <f t="shared" si="67"/>
        <v>90.594918731260847</v>
      </c>
      <c r="N291" s="17">
        <v>31740</v>
      </c>
      <c r="O291" s="17">
        <v>33321</v>
      </c>
      <c r="P291" s="18">
        <f t="shared" si="68"/>
        <v>95.255244440442965</v>
      </c>
      <c r="Q291" s="20">
        <f t="shared" si="60"/>
        <v>0.45293306981351539</v>
      </c>
      <c r="R291" s="20">
        <f t="shared" si="69"/>
        <v>0.87877434633928764</v>
      </c>
    </row>
    <row r="292" spans="1:18" ht="14.4">
      <c r="A292" s="15">
        <v>71002</v>
      </c>
      <c r="B292" s="15" t="s">
        <v>321</v>
      </c>
      <c r="C292" s="16">
        <v>18</v>
      </c>
      <c r="D292" s="17">
        <v>38</v>
      </c>
      <c r="E292" s="18">
        <f t="shared" si="62"/>
        <v>47.368421052631575</v>
      </c>
      <c r="F292" s="18">
        <f t="shared" si="64"/>
        <v>0.466442083441306</v>
      </c>
      <c r="G292" s="17">
        <v>41</v>
      </c>
      <c r="H292" s="16">
        <v>61</v>
      </c>
      <c r="I292" s="19">
        <f t="shared" si="65"/>
        <v>67.213114754098356</v>
      </c>
      <c r="J292" s="19">
        <f t="shared" si="66"/>
        <v>0.94753871042292592</v>
      </c>
      <c r="K292" s="17">
        <v>3859</v>
      </c>
      <c r="L292" s="17">
        <v>4426</v>
      </c>
      <c r="M292" s="18">
        <f t="shared" si="67"/>
        <v>87.189335743334837</v>
      </c>
      <c r="N292" s="17">
        <v>4327</v>
      </c>
      <c r="O292" s="17">
        <v>4740</v>
      </c>
      <c r="P292" s="18">
        <f t="shared" si="68"/>
        <v>91.286919831223628</v>
      </c>
      <c r="Q292" s="20">
        <f t="shared" si="60"/>
        <v>0.54328227929242645</v>
      </c>
      <c r="R292" s="20">
        <f t="shared" si="69"/>
        <v>0.73628417826306036</v>
      </c>
    </row>
    <row r="293" spans="1:18" ht="14.4">
      <c r="A293" s="15">
        <v>71003</v>
      </c>
      <c r="B293" s="15" t="s">
        <v>322</v>
      </c>
      <c r="C293" s="16">
        <v>20</v>
      </c>
      <c r="D293" s="17">
        <v>52</v>
      </c>
      <c r="E293" s="18">
        <f t="shared" si="62"/>
        <v>38.461538461538467</v>
      </c>
      <c r="F293" s="18">
        <f t="shared" si="64"/>
        <v>0.32066698733365401</v>
      </c>
      <c r="G293" s="17">
        <v>74</v>
      </c>
      <c r="H293" s="16">
        <v>84</v>
      </c>
      <c r="I293" s="19">
        <f t="shared" si="65"/>
        <v>88.095238095238088</v>
      </c>
      <c r="J293" s="19">
        <f t="shared" si="66"/>
        <v>1.1526479750778817</v>
      </c>
      <c r="K293" s="17">
        <v>6237</v>
      </c>
      <c r="L293" s="17">
        <v>7133</v>
      </c>
      <c r="M293" s="18">
        <f t="shared" si="67"/>
        <v>87.438665358194314</v>
      </c>
      <c r="N293" s="17">
        <v>6420</v>
      </c>
      <c r="O293" s="17">
        <v>6879</v>
      </c>
      <c r="P293" s="18">
        <f t="shared" si="68"/>
        <v>93.327518534670745</v>
      </c>
      <c r="Q293" s="20">
        <f t="shared" si="60"/>
        <v>0.43986877320210654</v>
      </c>
      <c r="R293" s="20">
        <f t="shared" si="69"/>
        <v>0.94393635959056499</v>
      </c>
    </row>
    <row r="294" spans="1:18" ht="14.4">
      <c r="A294" s="15">
        <v>71004</v>
      </c>
      <c r="B294" s="15" t="s">
        <v>323</v>
      </c>
      <c r="C294" s="16">
        <v>16</v>
      </c>
      <c r="D294" s="17">
        <v>43</v>
      </c>
      <c r="E294" s="18">
        <f t="shared" si="62"/>
        <v>37.209302325581397</v>
      </c>
      <c r="F294" s="18">
        <f t="shared" si="64"/>
        <v>0.42005775794171701</v>
      </c>
      <c r="G294" s="17">
        <v>42</v>
      </c>
      <c r="H294" s="16">
        <v>48</v>
      </c>
      <c r="I294" s="19">
        <f t="shared" si="65"/>
        <v>87.5</v>
      </c>
      <c r="J294" s="19">
        <f t="shared" si="66"/>
        <v>1.2507444907683145</v>
      </c>
      <c r="K294" s="17">
        <v>3809</v>
      </c>
      <c r="L294" s="17">
        <v>4369</v>
      </c>
      <c r="M294" s="18">
        <f t="shared" si="67"/>
        <v>87.182421606775009</v>
      </c>
      <c r="N294" s="17">
        <v>3358</v>
      </c>
      <c r="O294" s="17">
        <v>3642</v>
      </c>
      <c r="P294" s="18">
        <f t="shared" si="68"/>
        <v>92.202086765513457</v>
      </c>
      <c r="Q294" s="20">
        <f t="shared" si="60"/>
        <v>0.42679821963892128</v>
      </c>
      <c r="R294" s="20">
        <f t="shared" si="69"/>
        <v>0.94900238237045853</v>
      </c>
    </row>
    <row r="295" spans="1:18" ht="14.4">
      <c r="A295" s="15">
        <v>71005</v>
      </c>
      <c r="B295" s="15" t="s">
        <v>249</v>
      </c>
      <c r="C295" s="16">
        <v>23</v>
      </c>
      <c r="D295" s="17">
        <v>42</v>
      </c>
      <c r="E295" s="18">
        <f t="shared" si="62"/>
        <v>54.761904761904766</v>
      </c>
      <c r="F295" s="18">
        <f t="shared" si="64"/>
        <v>0.4681457358029717</v>
      </c>
      <c r="G295" s="17">
        <v>23</v>
      </c>
      <c r="H295" s="16">
        <v>32</v>
      </c>
      <c r="I295" s="19">
        <f t="shared" si="65"/>
        <v>71.875</v>
      </c>
      <c r="J295" s="19">
        <f t="shared" si="66"/>
        <v>0.65303804656445197</v>
      </c>
      <c r="K295" s="17">
        <v>4913</v>
      </c>
      <c r="L295" s="17">
        <v>5570</v>
      </c>
      <c r="M295" s="18">
        <f t="shared" si="67"/>
        <v>88.204667863554747</v>
      </c>
      <c r="N295" s="17">
        <v>3522</v>
      </c>
      <c r="O295" s="17">
        <v>3746</v>
      </c>
      <c r="P295" s="18">
        <f t="shared" si="68"/>
        <v>94.020288307528034</v>
      </c>
      <c r="Q295" s="20">
        <f t="shared" si="60"/>
        <v>0.62085041629108406</v>
      </c>
      <c r="R295" s="20">
        <f t="shared" si="69"/>
        <v>0.76446266325951162</v>
      </c>
    </row>
    <row r="296" spans="1:18" ht="14.4">
      <c r="A296" s="15">
        <v>71101</v>
      </c>
      <c r="B296" s="15" t="s">
        <v>324</v>
      </c>
      <c r="C296" s="16">
        <v>28</v>
      </c>
      <c r="D296" s="17">
        <v>59</v>
      </c>
      <c r="E296" s="18">
        <f t="shared" si="62"/>
        <v>47.457627118644069</v>
      </c>
      <c r="F296" s="18">
        <f t="shared" si="64"/>
        <v>0.51039008384979945</v>
      </c>
      <c r="G296" s="17">
        <v>72</v>
      </c>
      <c r="H296" s="16">
        <v>98</v>
      </c>
      <c r="I296" s="19">
        <f t="shared" si="65"/>
        <v>73.469387755102048</v>
      </c>
      <c r="J296" s="19">
        <f t="shared" si="66"/>
        <v>0.96826250672404512</v>
      </c>
      <c r="K296" s="17">
        <v>5486</v>
      </c>
      <c r="L296" s="17">
        <v>6248</v>
      </c>
      <c r="M296" s="18">
        <f t="shared" si="67"/>
        <v>87.804097311139557</v>
      </c>
      <c r="N296" s="17">
        <v>7436</v>
      </c>
      <c r="O296" s="17">
        <v>8273</v>
      </c>
      <c r="P296" s="18">
        <f t="shared" si="68"/>
        <v>89.882751118095001</v>
      </c>
      <c r="Q296" s="20">
        <f t="shared" si="60"/>
        <v>0.54049444811755043</v>
      </c>
      <c r="R296" s="20">
        <f t="shared" si="69"/>
        <v>0.81739139980898234</v>
      </c>
    </row>
    <row r="297" spans="1:18" ht="14.4">
      <c r="A297" s="15">
        <v>71102</v>
      </c>
      <c r="B297" s="15" t="s">
        <v>325</v>
      </c>
      <c r="C297" s="16">
        <v>15</v>
      </c>
      <c r="D297" s="17">
        <v>38</v>
      </c>
      <c r="E297" s="18">
        <f t="shared" si="62"/>
        <v>39.473684210526315</v>
      </c>
      <c r="F297" s="18">
        <f t="shared" si="64"/>
        <v>0.38363171355498721</v>
      </c>
      <c r="G297" s="17">
        <v>36</v>
      </c>
      <c r="H297" s="16">
        <v>44</v>
      </c>
      <c r="I297" s="19">
        <f t="shared" si="65"/>
        <v>81.818181818181827</v>
      </c>
      <c r="J297" s="19">
        <f t="shared" si="66"/>
        <v>0.95414789292340307</v>
      </c>
      <c r="K297" s="17">
        <v>3910</v>
      </c>
      <c r="L297" s="17">
        <v>4494</v>
      </c>
      <c r="M297" s="18">
        <f t="shared" si="67"/>
        <v>87.004895416110372</v>
      </c>
      <c r="N297" s="17">
        <v>3773</v>
      </c>
      <c r="O297" s="17">
        <v>4142</v>
      </c>
      <c r="P297" s="18">
        <f t="shared" si="68"/>
        <v>91.091260260743596</v>
      </c>
      <c r="Q297" s="20">
        <f t="shared" si="60"/>
        <v>0.45369497913581908</v>
      </c>
      <c r="R297" s="20">
        <f t="shared" si="69"/>
        <v>0.89820013011107647</v>
      </c>
    </row>
    <row r="298" spans="1:18" ht="14.4">
      <c r="A298" s="15">
        <v>71103</v>
      </c>
      <c r="B298" s="15" t="s">
        <v>326</v>
      </c>
      <c r="C298" s="16">
        <v>5</v>
      </c>
      <c r="D298" s="17">
        <v>11</v>
      </c>
      <c r="E298" s="18">
        <f t="shared" si="62"/>
        <v>45.454545454545453</v>
      </c>
      <c r="F298" s="18">
        <f t="shared" si="64"/>
        <v>0.25037556334501754</v>
      </c>
      <c r="G298" s="17">
        <v>25</v>
      </c>
      <c r="H298" s="16">
        <v>34</v>
      </c>
      <c r="I298" s="19">
        <f t="shared" si="65"/>
        <v>73.529411764705884</v>
      </c>
      <c r="J298" s="19">
        <f t="shared" si="66"/>
        <v>1.1944577161968466</v>
      </c>
      <c r="K298" s="17">
        <v>1997</v>
      </c>
      <c r="L298" s="17">
        <v>2308</v>
      </c>
      <c r="M298" s="18">
        <f t="shared" si="67"/>
        <v>86.525129982668986</v>
      </c>
      <c r="N298" s="17">
        <v>2093</v>
      </c>
      <c r="O298" s="17">
        <v>2301</v>
      </c>
      <c r="P298" s="18">
        <f t="shared" si="68"/>
        <v>90.960451977401121</v>
      </c>
      <c r="Q298" s="20">
        <f t="shared" si="60"/>
        <v>0.52533345472754578</v>
      </c>
      <c r="R298" s="20">
        <f t="shared" si="69"/>
        <v>0.80836682499086598</v>
      </c>
    </row>
    <row r="299" spans="1:18" ht="14.4">
      <c r="A299" s="15">
        <v>71104</v>
      </c>
      <c r="B299" s="15" t="s">
        <v>327</v>
      </c>
      <c r="C299" s="16">
        <v>59</v>
      </c>
      <c r="D299" s="17">
        <v>124</v>
      </c>
      <c r="E299" s="18">
        <f t="shared" si="62"/>
        <v>47.580645161290327</v>
      </c>
      <c r="F299" s="18">
        <f t="shared" si="64"/>
        <v>0.42636219106807344</v>
      </c>
      <c r="G299" s="17">
        <v>117</v>
      </c>
      <c r="H299" s="16">
        <v>151</v>
      </c>
      <c r="I299" s="19">
        <f t="shared" si="65"/>
        <v>77.483443708609272</v>
      </c>
      <c r="J299" s="19">
        <f t="shared" si="66"/>
        <v>0.96998839330127673</v>
      </c>
      <c r="K299" s="17">
        <v>13838</v>
      </c>
      <c r="L299" s="17">
        <v>16010</v>
      </c>
      <c r="M299" s="18">
        <f t="shared" si="67"/>
        <v>86.433479075577765</v>
      </c>
      <c r="N299" s="17">
        <v>12062</v>
      </c>
      <c r="O299" s="17">
        <v>13066</v>
      </c>
      <c r="P299" s="18">
        <f t="shared" si="68"/>
        <v>92.315934486453386</v>
      </c>
      <c r="Q299" s="20">
        <f t="shared" si="60"/>
        <v>0.55048860314514969</v>
      </c>
      <c r="R299" s="20">
        <f t="shared" si="69"/>
        <v>0.83932902959433664</v>
      </c>
    </row>
    <row r="300" spans="1:18" ht="14.4">
      <c r="A300" s="15">
        <v>71105</v>
      </c>
      <c r="B300" s="15" t="s">
        <v>328</v>
      </c>
      <c r="C300" s="16">
        <v>5</v>
      </c>
      <c r="D300" s="17">
        <v>14</v>
      </c>
      <c r="E300" s="18">
        <f t="shared" si="62"/>
        <v>35.714285714285715</v>
      </c>
      <c r="F300" s="18">
        <f t="shared" si="64"/>
        <v>0.24962556165751376</v>
      </c>
      <c r="G300" s="17">
        <v>13</v>
      </c>
      <c r="H300" s="16">
        <v>15</v>
      </c>
      <c r="I300" s="19">
        <f t="shared" si="65"/>
        <v>86.666666666666671</v>
      </c>
      <c r="J300" s="19">
        <f t="shared" si="66"/>
        <v>0.77380952380952384</v>
      </c>
      <c r="K300" s="17">
        <v>2003</v>
      </c>
      <c r="L300" s="17">
        <v>2190</v>
      </c>
      <c r="M300" s="18">
        <f t="shared" si="67"/>
        <v>91.461187214611869</v>
      </c>
      <c r="N300" s="17">
        <v>1680</v>
      </c>
      <c r="O300" s="17">
        <v>1816</v>
      </c>
      <c r="P300" s="18">
        <f t="shared" si="68"/>
        <v>92.511013215859023</v>
      </c>
      <c r="Q300" s="20">
        <f t="shared" si="60"/>
        <v>0.39048570002139649</v>
      </c>
      <c r="R300" s="20">
        <f t="shared" si="69"/>
        <v>0.93682539682539701</v>
      </c>
    </row>
    <row r="301" spans="1:18" ht="14.4">
      <c r="A301" s="15">
        <v>71106</v>
      </c>
      <c r="B301" s="15" t="s">
        <v>329</v>
      </c>
      <c r="C301" s="16">
        <v>22</v>
      </c>
      <c r="D301" s="17">
        <v>61</v>
      </c>
      <c r="E301" s="18">
        <f t="shared" si="62"/>
        <v>36.065573770491802</v>
      </c>
      <c r="F301" s="18">
        <f t="shared" si="64"/>
        <v>0.36466103099618763</v>
      </c>
      <c r="G301" s="17">
        <v>56</v>
      </c>
      <c r="H301" s="16">
        <v>79</v>
      </c>
      <c r="I301" s="19">
        <f t="shared" si="65"/>
        <v>70.886075949367083</v>
      </c>
      <c r="J301" s="19">
        <f t="shared" si="66"/>
        <v>0.90278897307754302</v>
      </c>
      <c r="K301" s="17">
        <v>6033</v>
      </c>
      <c r="L301" s="17">
        <v>7409</v>
      </c>
      <c r="M301" s="18">
        <f t="shared" si="67"/>
        <v>81.427992981508979</v>
      </c>
      <c r="N301" s="17">
        <v>6203</v>
      </c>
      <c r="O301" s="17">
        <v>7467</v>
      </c>
      <c r="P301" s="18">
        <f t="shared" si="68"/>
        <v>83.072184277487622</v>
      </c>
      <c r="Q301" s="20">
        <f t="shared" si="60"/>
        <v>0.44291370141815639</v>
      </c>
      <c r="R301" s="20">
        <f t="shared" si="69"/>
        <v>0.85330699518607767</v>
      </c>
    </row>
    <row r="302" spans="1:18" ht="14.4">
      <c r="A302" s="15">
        <v>71201</v>
      </c>
      <c r="B302" s="15" t="s">
        <v>330</v>
      </c>
      <c r="C302" s="16">
        <v>14</v>
      </c>
      <c r="D302" s="17">
        <v>43</v>
      </c>
      <c r="E302" s="18">
        <f t="shared" si="62"/>
        <v>32.558139534883722</v>
      </c>
      <c r="F302" s="18">
        <f t="shared" si="64"/>
        <v>0.3626003626003626</v>
      </c>
      <c r="G302" s="17">
        <v>28</v>
      </c>
      <c r="H302" s="16">
        <v>39</v>
      </c>
      <c r="I302" s="19">
        <f t="shared" si="65"/>
        <v>71.794871794871796</v>
      </c>
      <c r="J302" s="19">
        <f t="shared" si="66"/>
        <v>0.75593952483801297</v>
      </c>
      <c r="K302" s="17">
        <v>3861</v>
      </c>
      <c r="L302" s="17">
        <v>4603</v>
      </c>
      <c r="M302" s="18">
        <f t="shared" si="67"/>
        <v>83.880078209863129</v>
      </c>
      <c r="N302" s="17">
        <v>3704</v>
      </c>
      <c r="O302" s="17">
        <v>4277</v>
      </c>
      <c r="P302" s="18">
        <f t="shared" si="68"/>
        <v>86.602758943184483</v>
      </c>
      <c r="Q302" s="20">
        <f t="shared" si="60"/>
        <v>0.38815103931383005</v>
      </c>
      <c r="R302" s="20">
        <f t="shared" si="69"/>
        <v>0.82901367890568745</v>
      </c>
    </row>
    <row r="303" spans="1:18" ht="14.4">
      <c r="A303" s="15">
        <v>71301</v>
      </c>
      <c r="B303" s="15" t="s">
        <v>331</v>
      </c>
      <c r="C303" s="16">
        <v>15</v>
      </c>
      <c r="D303" s="17">
        <v>33</v>
      </c>
      <c r="E303" s="18">
        <f t="shared" si="62"/>
        <v>45.454545454545453</v>
      </c>
      <c r="F303" s="18">
        <f t="shared" si="64"/>
        <v>0.33281562014643884</v>
      </c>
      <c r="G303" s="17">
        <v>43</v>
      </c>
      <c r="H303" s="16">
        <v>53</v>
      </c>
      <c r="I303" s="19">
        <f t="shared" si="65"/>
        <v>81.132075471698116</v>
      </c>
      <c r="J303" s="19">
        <f t="shared" si="66"/>
        <v>0.94838994265549181</v>
      </c>
      <c r="K303" s="17">
        <v>4507</v>
      </c>
      <c r="L303" s="17">
        <v>5118</v>
      </c>
      <c r="M303" s="18">
        <f t="shared" si="67"/>
        <v>88.061742868307931</v>
      </c>
      <c r="N303" s="17">
        <v>4534</v>
      </c>
      <c r="O303" s="17">
        <v>4778</v>
      </c>
      <c r="P303" s="18">
        <f t="shared" si="68"/>
        <v>94.893260778568433</v>
      </c>
      <c r="Q303" s="20">
        <f t="shared" si="60"/>
        <v>0.51616677088165885</v>
      </c>
      <c r="R303" s="20">
        <f t="shared" si="69"/>
        <v>0.85498248037885671</v>
      </c>
    </row>
    <row r="304" spans="1:18" ht="14.4">
      <c r="A304" s="15">
        <v>71302</v>
      </c>
      <c r="B304" s="15" t="s">
        <v>332</v>
      </c>
      <c r="C304" s="16">
        <v>6</v>
      </c>
      <c r="D304" s="17">
        <v>11</v>
      </c>
      <c r="E304" s="18">
        <f t="shared" si="62"/>
        <v>54.54545454545454</v>
      </c>
      <c r="F304" s="18">
        <f t="shared" si="64"/>
        <v>0.27726432532347506</v>
      </c>
      <c r="G304" s="17">
        <v>9</v>
      </c>
      <c r="H304" s="16">
        <v>12</v>
      </c>
      <c r="I304" s="19">
        <f t="shared" si="65"/>
        <v>75</v>
      </c>
      <c r="J304" s="19">
        <f t="shared" si="66"/>
        <v>0.5600497822028625</v>
      </c>
      <c r="K304" s="17">
        <v>2164</v>
      </c>
      <c r="L304" s="17">
        <v>2453</v>
      </c>
      <c r="M304" s="18">
        <f t="shared" si="67"/>
        <v>88.218507949449659</v>
      </c>
      <c r="N304" s="17">
        <v>1607</v>
      </c>
      <c r="O304" s="17">
        <v>1690</v>
      </c>
      <c r="P304" s="18">
        <f t="shared" si="68"/>
        <v>95.088757396449708</v>
      </c>
      <c r="Q304" s="20">
        <f t="shared" si="60"/>
        <v>0.6182994454713493</v>
      </c>
      <c r="R304" s="20">
        <f t="shared" si="69"/>
        <v>0.78873677660236463</v>
      </c>
    </row>
    <row r="305" spans="1:18" ht="14.4">
      <c r="A305" s="15">
        <v>71401</v>
      </c>
      <c r="B305" s="15" t="s">
        <v>333</v>
      </c>
      <c r="C305" s="16">
        <v>20</v>
      </c>
      <c r="D305" s="17">
        <v>49</v>
      </c>
      <c r="E305" s="18">
        <f t="shared" si="62"/>
        <v>40.816326530612244</v>
      </c>
      <c r="F305" s="18">
        <f t="shared" si="64"/>
        <v>0.41623309053069724</v>
      </c>
      <c r="G305" s="17">
        <v>36</v>
      </c>
      <c r="H305" s="16">
        <v>50</v>
      </c>
      <c r="I305" s="19">
        <f t="shared" si="65"/>
        <v>72</v>
      </c>
      <c r="J305" s="19">
        <f t="shared" si="66"/>
        <v>0.9275959804174182</v>
      </c>
      <c r="K305" s="17">
        <v>4805</v>
      </c>
      <c r="L305" s="17">
        <v>5332</v>
      </c>
      <c r="M305" s="18">
        <f t="shared" si="67"/>
        <v>90.116279069767444</v>
      </c>
      <c r="N305" s="17">
        <v>3881</v>
      </c>
      <c r="O305" s="17">
        <v>4309</v>
      </c>
      <c r="P305" s="18">
        <f t="shared" si="68"/>
        <v>90.067300997911346</v>
      </c>
      <c r="Q305" s="20">
        <f t="shared" si="60"/>
        <v>0.45292955892034231</v>
      </c>
      <c r="R305" s="20">
        <f t="shared" si="69"/>
        <v>0.79940221592373106</v>
      </c>
    </row>
    <row r="306" spans="1:18" ht="14.4">
      <c r="A306" s="15">
        <v>71402</v>
      </c>
      <c r="B306" s="15" t="s">
        <v>334</v>
      </c>
      <c r="C306" s="16">
        <v>30</v>
      </c>
      <c r="D306" s="17">
        <v>55</v>
      </c>
      <c r="E306" s="18">
        <f t="shared" si="62"/>
        <v>54.54545454545454</v>
      </c>
      <c r="F306" s="18">
        <f t="shared" si="64"/>
        <v>0.73601570166830232</v>
      </c>
      <c r="G306" s="17">
        <v>52</v>
      </c>
      <c r="H306" s="16">
        <v>64</v>
      </c>
      <c r="I306" s="19">
        <f t="shared" si="65"/>
        <v>81.25</v>
      </c>
      <c r="J306" s="19">
        <f t="shared" si="66"/>
        <v>1.2437215977038987</v>
      </c>
      <c r="K306" s="17">
        <v>4076</v>
      </c>
      <c r="L306" s="17">
        <v>4625</v>
      </c>
      <c r="M306" s="18">
        <f t="shared" si="67"/>
        <v>88.129729729729732</v>
      </c>
      <c r="N306" s="17">
        <v>4181</v>
      </c>
      <c r="O306" s="17">
        <v>4500</v>
      </c>
      <c r="P306" s="18">
        <f t="shared" si="68"/>
        <v>92.911111111111111</v>
      </c>
      <c r="Q306" s="20">
        <f t="shared" si="60"/>
        <v>0.6189222945847086</v>
      </c>
      <c r="R306" s="20">
        <f t="shared" si="69"/>
        <v>0.87449174838555366</v>
      </c>
    </row>
    <row r="307" spans="1:18" ht="14.4">
      <c r="A307" s="15">
        <v>71403</v>
      </c>
      <c r="B307" s="15" t="s">
        <v>335</v>
      </c>
      <c r="C307" s="16">
        <v>5</v>
      </c>
      <c r="D307" s="17">
        <v>17</v>
      </c>
      <c r="E307" s="18">
        <f t="shared" si="62"/>
        <v>29.411764705882355</v>
      </c>
      <c r="F307" s="18">
        <f t="shared" si="64"/>
        <v>0.29868578255675032</v>
      </c>
      <c r="G307" s="17">
        <v>23</v>
      </c>
      <c r="H307" s="16">
        <v>27</v>
      </c>
      <c r="I307" s="19">
        <f t="shared" si="65"/>
        <v>85.18518518518519</v>
      </c>
      <c r="J307" s="19">
        <f t="shared" si="66"/>
        <v>1.0421386497507927</v>
      </c>
      <c r="K307" s="17">
        <v>1674</v>
      </c>
      <c r="L307" s="17">
        <v>1972</v>
      </c>
      <c r="M307" s="18">
        <f t="shared" si="67"/>
        <v>84.888438133874246</v>
      </c>
      <c r="N307" s="17">
        <v>2207</v>
      </c>
      <c r="O307" s="17">
        <v>2554</v>
      </c>
      <c r="P307" s="18">
        <f t="shared" si="68"/>
        <v>86.413469068128421</v>
      </c>
      <c r="Q307" s="20">
        <f t="shared" si="60"/>
        <v>0.34647550776583036</v>
      </c>
      <c r="R307" s="20">
        <f t="shared" si="69"/>
        <v>0.98578596720871314</v>
      </c>
    </row>
    <row r="308" spans="1:18" ht="14.4">
      <c r="A308" s="15">
        <v>71501</v>
      </c>
      <c r="B308" s="15" t="s">
        <v>336</v>
      </c>
      <c r="C308" s="16">
        <v>34</v>
      </c>
      <c r="D308" s="17">
        <v>75</v>
      </c>
      <c r="E308" s="18">
        <f t="shared" si="62"/>
        <v>45.333333333333329</v>
      </c>
      <c r="F308" s="18">
        <f t="shared" si="64"/>
        <v>0.43136259832529816</v>
      </c>
      <c r="G308" s="17">
        <v>91</v>
      </c>
      <c r="H308" s="16">
        <v>120</v>
      </c>
      <c r="I308" s="19">
        <f t="shared" si="65"/>
        <v>75.833333333333329</v>
      </c>
      <c r="J308" s="19">
        <f t="shared" si="66"/>
        <v>1.0523881114837514</v>
      </c>
      <c r="K308" s="17">
        <v>7882</v>
      </c>
      <c r="L308" s="17">
        <v>9170</v>
      </c>
      <c r="M308" s="18">
        <f t="shared" si="67"/>
        <v>85.954198473282446</v>
      </c>
      <c r="N308" s="17">
        <v>8647</v>
      </c>
      <c r="O308" s="17">
        <v>9830</v>
      </c>
      <c r="P308" s="18">
        <f t="shared" si="68"/>
        <v>87.965412004069179</v>
      </c>
      <c r="Q308" s="20">
        <f t="shared" si="60"/>
        <v>0.52741267021906446</v>
      </c>
      <c r="R308" s="20">
        <f t="shared" si="69"/>
        <v>0.86208126132377305</v>
      </c>
    </row>
    <row r="309" spans="1:18" ht="14.4">
      <c r="A309" s="15">
        <v>71502</v>
      </c>
      <c r="B309" s="15" t="s">
        <v>337</v>
      </c>
      <c r="C309" s="16">
        <v>6</v>
      </c>
      <c r="D309" s="17">
        <v>14</v>
      </c>
      <c r="E309" s="18">
        <f t="shared" si="62"/>
        <v>42.857142857142854</v>
      </c>
      <c r="F309" s="18">
        <f t="shared" si="64"/>
        <v>0.26143790849673199</v>
      </c>
      <c r="G309" s="17">
        <v>9</v>
      </c>
      <c r="H309" s="16">
        <v>14</v>
      </c>
      <c r="I309" s="19">
        <f t="shared" si="65"/>
        <v>64.285714285714292</v>
      </c>
      <c r="J309" s="19">
        <f t="shared" si="66"/>
        <v>0.52113491603937467</v>
      </c>
      <c r="K309" s="17">
        <v>2295</v>
      </c>
      <c r="L309" s="17">
        <v>2551</v>
      </c>
      <c r="M309" s="18">
        <f t="shared" si="67"/>
        <v>89.964719717757745</v>
      </c>
      <c r="N309" s="17">
        <v>1727</v>
      </c>
      <c r="O309" s="17">
        <v>1901</v>
      </c>
      <c r="P309" s="18">
        <f t="shared" si="68"/>
        <v>90.846922672277756</v>
      </c>
      <c r="Q309" s="20">
        <f t="shared" si="60"/>
        <v>0.47637721755368811</v>
      </c>
      <c r="R309" s="20">
        <f t="shared" si="69"/>
        <v>0.7076267681363223</v>
      </c>
    </row>
    <row r="310" spans="1:18" ht="14.4">
      <c r="A310" s="15">
        <v>71503</v>
      </c>
      <c r="B310" s="15" t="s">
        <v>283</v>
      </c>
      <c r="C310" s="16">
        <v>19</v>
      </c>
      <c r="D310" s="17">
        <v>40</v>
      </c>
      <c r="E310" s="18">
        <f t="shared" si="62"/>
        <v>47.5</v>
      </c>
      <c r="F310" s="18">
        <f t="shared" si="64"/>
        <v>0.55377440979306325</v>
      </c>
      <c r="G310" s="17">
        <v>38</v>
      </c>
      <c r="H310" s="16">
        <v>48</v>
      </c>
      <c r="I310" s="19">
        <f t="shared" si="65"/>
        <v>79.166666666666657</v>
      </c>
      <c r="J310" s="19">
        <f t="shared" si="66"/>
        <v>0.9989484752891693</v>
      </c>
      <c r="K310" s="17">
        <v>3431</v>
      </c>
      <c r="L310" s="17">
        <v>4195</v>
      </c>
      <c r="M310" s="18">
        <f t="shared" si="67"/>
        <v>81.787842669845062</v>
      </c>
      <c r="N310" s="17">
        <v>3804</v>
      </c>
      <c r="O310" s="17">
        <v>4296</v>
      </c>
      <c r="P310" s="18">
        <f t="shared" si="68"/>
        <v>88.547486033519547</v>
      </c>
      <c r="Q310" s="20">
        <f t="shared" si="60"/>
        <v>0.58077091227047506</v>
      </c>
      <c r="R310" s="20">
        <f t="shared" si="69"/>
        <v>0.89405888538380651</v>
      </c>
    </row>
    <row r="311" spans="1:18" ht="14.4">
      <c r="A311" s="15">
        <v>80101</v>
      </c>
      <c r="B311" s="15" t="s">
        <v>338</v>
      </c>
      <c r="C311" s="16">
        <v>125</v>
      </c>
      <c r="D311" s="17">
        <v>295</v>
      </c>
      <c r="E311" s="18">
        <f t="shared" si="62"/>
        <v>42.372881355932201</v>
      </c>
      <c r="F311" s="18">
        <f t="shared" si="64"/>
        <v>0.47909240734352843</v>
      </c>
      <c r="G311" s="17">
        <v>438</v>
      </c>
      <c r="H311" s="16">
        <v>505</v>
      </c>
      <c r="I311" s="19">
        <f t="shared" si="65"/>
        <v>86.732673267326732</v>
      </c>
      <c r="J311" s="19">
        <f t="shared" si="66"/>
        <v>1.3156709020455979</v>
      </c>
      <c r="K311" s="17">
        <v>26091</v>
      </c>
      <c r="L311" s="17">
        <v>29081</v>
      </c>
      <c r="M311" s="18">
        <f t="shared" si="67"/>
        <v>89.718372820742061</v>
      </c>
      <c r="N311" s="17">
        <v>33291</v>
      </c>
      <c r="O311" s="17">
        <v>34938</v>
      </c>
      <c r="P311" s="18">
        <f t="shared" si="68"/>
        <v>95.285935085007722</v>
      </c>
      <c r="Q311" s="20">
        <f t="shared" si="60"/>
        <v>0.4722876711171915</v>
      </c>
      <c r="R311" s="20">
        <f t="shared" si="69"/>
        <v>0.91023584110235845</v>
      </c>
    </row>
    <row r="312" spans="1:18" ht="14.4">
      <c r="A312" s="15">
        <v>80102</v>
      </c>
      <c r="B312" s="15" t="s">
        <v>325</v>
      </c>
      <c r="C312" s="16">
        <v>5</v>
      </c>
      <c r="D312" s="17">
        <v>11</v>
      </c>
      <c r="E312" s="18">
        <f t="shared" si="62"/>
        <v>45.454545454545453</v>
      </c>
      <c r="F312" s="18">
        <f t="shared" si="64"/>
        <v>0.4</v>
      </c>
      <c r="G312" s="17">
        <v>14</v>
      </c>
      <c r="H312" s="16">
        <v>21</v>
      </c>
      <c r="I312" s="19">
        <f t="shared" si="65"/>
        <v>66.666666666666657</v>
      </c>
      <c r="J312" s="19">
        <f t="shared" si="66"/>
        <v>0.97222222222222221</v>
      </c>
      <c r="K312" s="17">
        <v>1250</v>
      </c>
      <c r="L312" s="17">
        <v>1521</v>
      </c>
      <c r="M312" s="18">
        <f t="shared" si="67"/>
        <v>82.182774490466798</v>
      </c>
      <c r="N312" s="17">
        <v>1440</v>
      </c>
      <c r="O312" s="17">
        <v>2092</v>
      </c>
      <c r="P312" s="18">
        <f t="shared" si="68"/>
        <v>68.833652007648183</v>
      </c>
      <c r="Q312" s="20">
        <f t="shared" si="60"/>
        <v>0.55309090909090908</v>
      </c>
      <c r="R312" s="20">
        <f t="shared" si="69"/>
        <v>0.96851851851851833</v>
      </c>
    </row>
    <row r="313" spans="1:18" ht="14.4">
      <c r="A313" s="15">
        <v>80201</v>
      </c>
      <c r="B313" s="15" t="s">
        <v>339</v>
      </c>
      <c r="C313" s="16">
        <v>116</v>
      </c>
      <c r="D313" s="17">
        <v>249</v>
      </c>
      <c r="E313" s="18">
        <f t="shared" si="62"/>
        <v>46.586345381526108</v>
      </c>
      <c r="F313" s="18">
        <f t="shared" si="64"/>
        <v>0.49050699818174126</v>
      </c>
      <c r="G313" s="17">
        <v>421</v>
      </c>
      <c r="H313" s="16">
        <v>511</v>
      </c>
      <c r="I313" s="19">
        <f t="shared" si="65"/>
        <v>82.387475538160473</v>
      </c>
      <c r="J313" s="19">
        <f t="shared" si="66"/>
        <v>1.2980606172725311</v>
      </c>
      <c r="K313" s="17">
        <v>23649</v>
      </c>
      <c r="L313" s="17">
        <v>27328</v>
      </c>
      <c r="M313" s="18">
        <f t="shared" si="67"/>
        <v>86.537617096018735</v>
      </c>
      <c r="N313" s="17">
        <v>32433</v>
      </c>
      <c r="O313" s="17">
        <v>35087</v>
      </c>
      <c r="P313" s="18">
        <f t="shared" si="68"/>
        <v>92.435944936871209</v>
      </c>
      <c r="Q313" s="20">
        <f t="shared" si="60"/>
        <v>0.5383363552735192</v>
      </c>
      <c r="R313" s="20">
        <f t="shared" si="69"/>
        <v>0.89129261992644415</v>
      </c>
    </row>
    <row r="314" spans="1:18" ht="14.4">
      <c r="A314" s="15">
        <v>80202</v>
      </c>
      <c r="B314" s="15" t="s">
        <v>340</v>
      </c>
      <c r="C314" s="16">
        <v>45</v>
      </c>
      <c r="D314" s="17">
        <v>109</v>
      </c>
      <c r="E314" s="18">
        <f t="shared" si="62"/>
        <v>41.284403669724774</v>
      </c>
      <c r="F314" s="18">
        <f t="shared" si="64"/>
        <v>0.40838551592703509</v>
      </c>
      <c r="G314" s="17">
        <v>148</v>
      </c>
      <c r="H314" s="16">
        <v>183</v>
      </c>
      <c r="I314" s="19">
        <f t="shared" si="65"/>
        <v>80.874316939890718</v>
      </c>
      <c r="J314" s="19">
        <f t="shared" si="66"/>
        <v>1.3394877364467372</v>
      </c>
      <c r="K314" s="17">
        <v>11019</v>
      </c>
      <c r="L314" s="17">
        <v>12356</v>
      </c>
      <c r="M314" s="18">
        <f t="shared" si="67"/>
        <v>89.179346066688254</v>
      </c>
      <c r="N314" s="17">
        <v>11049</v>
      </c>
      <c r="O314" s="17">
        <v>11979</v>
      </c>
      <c r="P314" s="18">
        <f t="shared" si="68"/>
        <v>92.236413724017027</v>
      </c>
      <c r="Q314" s="20">
        <f t="shared" si="60"/>
        <v>0.46293682888022442</v>
      </c>
      <c r="R314" s="20">
        <f t="shared" si="69"/>
        <v>0.87681549698882333</v>
      </c>
    </row>
    <row r="315" spans="1:18" ht="14.4">
      <c r="A315" s="15">
        <v>80301</v>
      </c>
      <c r="B315" s="15" t="s">
        <v>341</v>
      </c>
      <c r="C315" s="16">
        <v>14</v>
      </c>
      <c r="D315" s="17">
        <v>35</v>
      </c>
      <c r="E315" s="18">
        <f t="shared" si="62"/>
        <v>40</v>
      </c>
      <c r="F315" s="18">
        <f t="shared" si="64"/>
        <v>0.38209606986899564</v>
      </c>
      <c r="G315" s="17">
        <v>44</v>
      </c>
      <c r="H315" s="16">
        <v>53</v>
      </c>
      <c r="I315" s="19">
        <f t="shared" si="65"/>
        <v>83.018867924528308</v>
      </c>
      <c r="J315" s="19">
        <f t="shared" si="66"/>
        <v>1.3253012048192772</v>
      </c>
      <c r="K315" s="17">
        <v>3664</v>
      </c>
      <c r="L315" s="17">
        <v>4143</v>
      </c>
      <c r="M315" s="18">
        <f t="shared" si="67"/>
        <v>88.438329712768521</v>
      </c>
      <c r="N315" s="17">
        <v>3320</v>
      </c>
      <c r="O315" s="17">
        <v>3564</v>
      </c>
      <c r="P315" s="18">
        <f t="shared" si="68"/>
        <v>93.153759820426487</v>
      </c>
      <c r="Q315" s="20">
        <f t="shared" si="60"/>
        <v>0.452292576419214</v>
      </c>
      <c r="R315" s="20">
        <f t="shared" si="69"/>
        <v>0.89120254603318938</v>
      </c>
    </row>
    <row r="316" spans="1:18" ht="14.4">
      <c r="A316" s="15">
        <v>80302</v>
      </c>
      <c r="B316" s="15" t="s">
        <v>342</v>
      </c>
      <c r="C316" s="16">
        <v>44</v>
      </c>
      <c r="D316" s="17">
        <v>116</v>
      </c>
      <c r="E316" s="18">
        <f t="shared" si="62"/>
        <v>37.931034482758619</v>
      </c>
      <c r="F316" s="18">
        <f t="shared" si="64"/>
        <v>0.38458176732803079</v>
      </c>
      <c r="G316" s="17">
        <v>135</v>
      </c>
      <c r="H316" s="16">
        <v>180</v>
      </c>
      <c r="I316" s="19">
        <f t="shared" si="65"/>
        <v>75</v>
      </c>
      <c r="J316" s="19">
        <f t="shared" si="66"/>
        <v>1.0927634774162214</v>
      </c>
      <c r="K316" s="17">
        <v>11441</v>
      </c>
      <c r="L316" s="17">
        <v>13693</v>
      </c>
      <c r="M316" s="18">
        <f t="shared" si="67"/>
        <v>83.553640546264518</v>
      </c>
      <c r="N316" s="17">
        <v>12354</v>
      </c>
      <c r="O316" s="17">
        <v>14741</v>
      </c>
      <c r="P316" s="18">
        <f t="shared" si="68"/>
        <v>83.807068719896876</v>
      </c>
      <c r="Q316" s="20">
        <f t="shared" si="60"/>
        <v>0.4539722534502349</v>
      </c>
      <c r="R316" s="20">
        <f t="shared" si="69"/>
        <v>0.89491257892180687</v>
      </c>
    </row>
    <row r="317" spans="1:18" ht="14.4">
      <c r="A317" s="15">
        <v>80303</v>
      </c>
      <c r="B317" s="15" t="s">
        <v>302</v>
      </c>
      <c r="C317" s="16">
        <v>9</v>
      </c>
      <c r="D317" s="17">
        <v>20</v>
      </c>
      <c r="E317" s="18">
        <f t="shared" si="62"/>
        <v>45</v>
      </c>
      <c r="F317" s="18">
        <f t="shared" si="64"/>
        <v>0.34285714285714286</v>
      </c>
      <c r="G317" s="17">
        <v>28</v>
      </c>
      <c r="H317" s="16">
        <v>37</v>
      </c>
      <c r="I317" s="19">
        <f t="shared" si="65"/>
        <v>75.675675675675677</v>
      </c>
      <c r="J317" s="19">
        <f t="shared" si="66"/>
        <v>0.83857442348008393</v>
      </c>
      <c r="K317" s="17">
        <v>2625</v>
      </c>
      <c r="L317" s="17">
        <v>3011</v>
      </c>
      <c r="M317" s="18">
        <f t="shared" si="67"/>
        <v>87.180338757887739</v>
      </c>
      <c r="N317" s="17">
        <v>3339</v>
      </c>
      <c r="O317" s="17">
        <v>3606</v>
      </c>
      <c r="P317" s="18">
        <f t="shared" si="68"/>
        <v>92.595673876871871</v>
      </c>
      <c r="Q317" s="20">
        <f t="shared" si="60"/>
        <v>0.51617142857142861</v>
      </c>
      <c r="R317" s="20">
        <f t="shared" si="69"/>
        <v>0.81727010028896829</v>
      </c>
    </row>
    <row r="318" spans="1:18" ht="14.4">
      <c r="A318" s="15">
        <v>80304</v>
      </c>
      <c r="B318" s="15" t="s">
        <v>343</v>
      </c>
      <c r="C318" s="16">
        <v>36</v>
      </c>
      <c r="D318" s="17">
        <v>66</v>
      </c>
      <c r="E318" s="18">
        <f t="shared" si="62"/>
        <v>54.54545454545454</v>
      </c>
      <c r="F318" s="18">
        <f t="shared" si="64"/>
        <v>0.69984447900466562</v>
      </c>
      <c r="G318" s="17">
        <v>60</v>
      </c>
      <c r="H318" s="16">
        <v>77</v>
      </c>
      <c r="I318" s="19">
        <f t="shared" si="65"/>
        <v>77.922077922077932</v>
      </c>
      <c r="J318" s="19">
        <f t="shared" si="66"/>
        <v>1.0214504596527068</v>
      </c>
      <c r="K318" s="17">
        <v>5144</v>
      </c>
      <c r="L318" s="17">
        <v>5831</v>
      </c>
      <c r="M318" s="18">
        <f t="shared" si="67"/>
        <v>88.21814440061739</v>
      </c>
      <c r="N318" s="17">
        <v>5874</v>
      </c>
      <c r="O318" s="17">
        <v>6314</v>
      </c>
      <c r="P318" s="18">
        <f t="shared" si="68"/>
        <v>93.031358885017426</v>
      </c>
      <c r="Q318" s="20">
        <f t="shared" si="60"/>
        <v>0.6183019934963947</v>
      </c>
      <c r="R318" s="20">
        <f t="shared" si="69"/>
        <v>0.83758937691521973</v>
      </c>
    </row>
    <row r="319" spans="1:18" ht="14.4">
      <c r="A319" s="15">
        <v>80401</v>
      </c>
      <c r="B319" s="23" t="s">
        <v>344</v>
      </c>
      <c r="C319" s="16">
        <v>21</v>
      </c>
      <c r="D319" s="17">
        <v>54</v>
      </c>
      <c r="E319" s="18">
        <f t="shared" si="62"/>
        <v>38.888888888888893</v>
      </c>
      <c r="F319" s="18">
        <f t="shared" si="64"/>
        <v>0.40400153905348207</v>
      </c>
      <c r="G319" s="17">
        <v>39</v>
      </c>
      <c r="H319" s="16">
        <v>51</v>
      </c>
      <c r="I319" s="19">
        <f t="shared" si="65"/>
        <v>76.470588235294116</v>
      </c>
      <c r="J319" s="19">
        <f t="shared" si="66"/>
        <v>0.79689415610952197</v>
      </c>
      <c r="K319" s="17">
        <v>5198</v>
      </c>
      <c r="L319" s="17">
        <v>5987</v>
      </c>
      <c r="M319" s="18">
        <f t="shared" si="67"/>
        <v>86.821446467345922</v>
      </c>
      <c r="N319" s="17">
        <v>4894</v>
      </c>
      <c r="O319" s="17">
        <v>5679</v>
      </c>
      <c r="P319" s="18">
        <f t="shared" si="68"/>
        <v>86.177143863356221</v>
      </c>
      <c r="Q319" s="20">
        <f t="shared" si="60"/>
        <v>0.44791800265059212</v>
      </c>
      <c r="R319" s="20">
        <f t="shared" si="69"/>
        <v>0.88736508089136756</v>
      </c>
    </row>
    <row r="320" spans="1:18" ht="14.4">
      <c r="A320" s="15">
        <v>80402</v>
      </c>
      <c r="B320" s="15" t="s">
        <v>345</v>
      </c>
      <c r="C320" s="16">
        <v>4</v>
      </c>
      <c r="D320" s="17">
        <v>10</v>
      </c>
      <c r="E320" s="18">
        <f t="shared" si="62"/>
        <v>40</v>
      </c>
      <c r="F320" s="18">
        <f t="shared" si="64"/>
        <v>0.25823111684958033</v>
      </c>
      <c r="G320" s="17">
        <v>13</v>
      </c>
      <c r="H320" s="16">
        <v>19</v>
      </c>
      <c r="I320" s="19">
        <f t="shared" si="65"/>
        <v>68.421052631578945</v>
      </c>
      <c r="J320" s="19">
        <f t="shared" si="66"/>
        <v>0.7441327990841442</v>
      </c>
      <c r="K320" s="17">
        <v>1549</v>
      </c>
      <c r="L320" s="17">
        <v>1922</v>
      </c>
      <c r="M320" s="18">
        <f t="shared" si="67"/>
        <v>80.593132154006241</v>
      </c>
      <c r="N320" s="17">
        <v>1747</v>
      </c>
      <c r="O320" s="17">
        <v>2082</v>
      </c>
      <c r="P320" s="18">
        <f t="shared" si="68"/>
        <v>83.909702209414021</v>
      </c>
      <c r="Q320" s="20">
        <f t="shared" si="60"/>
        <v>0.49632020658489351</v>
      </c>
      <c r="R320" s="20">
        <f t="shared" si="69"/>
        <v>0.81541288825957281</v>
      </c>
    </row>
    <row r="321" spans="1:18" ht="14.4">
      <c r="A321" s="15">
        <v>80501</v>
      </c>
      <c r="B321" s="23" t="s">
        <v>291</v>
      </c>
      <c r="C321" s="16">
        <v>17</v>
      </c>
      <c r="D321" s="17">
        <v>46</v>
      </c>
      <c r="E321" s="18">
        <f t="shared" si="62"/>
        <v>36.95652173913043</v>
      </c>
      <c r="F321" s="18">
        <f t="shared" si="64"/>
        <v>0.2812706816677697</v>
      </c>
      <c r="G321" s="17">
        <v>93</v>
      </c>
      <c r="H321" s="16">
        <v>108</v>
      </c>
      <c r="I321" s="19">
        <f t="shared" si="65"/>
        <v>86.111111111111114</v>
      </c>
      <c r="J321" s="19">
        <f t="shared" si="66"/>
        <v>1.4338575393154487</v>
      </c>
      <c r="K321" s="17">
        <v>6044</v>
      </c>
      <c r="L321" s="17">
        <v>7029</v>
      </c>
      <c r="M321" s="18">
        <f t="shared" si="67"/>
        <v>85.986626831697251</v>
      </c>
      <c r="N321" s="17">
        <v>6486</v>
      </c>
      <c r="O321" s="17">
        <v>7016</v>
      </c>
      <c r="P321" s="18">
        <f t="shared" si="68"/>
        <v>92.445838084378565</v>
      </c>
      <c r="Q321" s="20">
        <f t="shared" si="60"/>
        <v>0.42979383074842453</v>
      </c>
      <c r="R321" s="20">
        <f t="shared" si="69"/>
        <v>0.93147634220714703</v>
      </c>
    </row>
    <row r="322" spans="1:18" ht="14.4">
      <c r="A322" s="15">
        <v>80601</v>
      </c>
      <c r="B322" s="15" t="s">
        <v>346</v>
      </c>
      <c r="C322" s="16">
        <v>6</v>
      </c>
      <c r="D322" s="17">
        <v>12</v>
      </c>
      <c r="E322" s="18">
        <f t="shared" si="62"/>
        <v>50</v>
      </c>
      <c r="F322" s="18">
        <f t="shared" si="64"/>
        <v>0.61287027579162412</v>
      </c>
      <c r="G322" s="17">
        <v>20</v>
      </c>
      <c r="H322" s="16">
        <v>22</v>
      </c>
      <c r="I322" s="19">
        <f t="shared" si="65"/>
        <v>90.909090909090907</v>
      </c>
      <c r="J322" s="19">
        <f t="shared" si="66"/>
        <v>1.7543859649122806</v>
      </c>
      <c r="K322" s="17">
        <v>979</v>
      </c>
      <c r="L322" s="17">
        <v>1194</v>
      </c>
      <c r="M322" s="18">
        <f t="shared" si="67"/>
        <v>81.993299832495808</v>
      </c>
      <c r="N322" s="17">
        <v>1140</v>
      </c>
      <c r="O322" s="17">
        <v>1295</v>
      </c>
      <c r="P322" s="18">
        <f t="shared" si="68"/>
        <v>88.030888030888036</v>
      </c>
      <c r="Q322" s="20">
        <f t="shared" si="60"/>
        <v>0.60980592441266601</v>
      </c>
      <c r="R322" s="20">
        <f t="shared" si="69"/>
        <v>1.0326953748006378</v>
      </c>
    </row>
    <row r="323" spans="1:18" ht="14.4">
      <c r="A323" s="15">
        <v>80602</v>
      </c>
      <c r="B323" s="15" t="s">
        <v>347</v>
      </c>
      <c r="C323" s="16">
        <v>7</v>
      </c>
      <c r="D323" s="17">
        <v>15</v>
      </c>
      <c r="E323" s="18">
        <f t="shared" si="62"/>
        <v>46.666666666666664</v>
      </c>
      <c r="F323" s="18">
        <f t="shared" si="64"/>
        <v>0.21367521367521369</v>
      </c>
      <c r="G323" s="17">
        <v>33</v>
      </c>
      <c r="H323" s="16">
        <v>42</v>
      </c>
      <c r="I323" s="19">
        <f t="shared" si="65"/>
        <v>78.571428571428569</v>
      </c>
      <c r="J323" s="19">
        <f t="shared" si="66"/>
        <v>0.91311566131710009</v>
      </c>
      <c r="K323" s="17">
        <v>3276</v>
      </c>
      <c r="L323" s="17">
        <v>3838</v>
      </c>
      <c r="M323" s="18">
        <f t="shared" si="67"/>
        <v>85.356956748306416</v>
      </c>
      <c r="N323" s="17">
        <v>3614</v>
      </c>
      <c r="O323" s="17">
        <v>3970</v>
      </c>
      <c r="P323" s="18">
        <f t="shared" si="68"/>
        <v>91.032745591939545</v>
      </c>
      <c r="Q323" s="20">
        <f t="shared" si="60"/>
        <v>0.54672364672364671</v>
      </c>
      <c r="R323" s="20">
        <f t="shared" si="69"/>
        <v>0.86311170843544949</v>
      </c>
    </row>
    <row r="324" spans="1:18" ht="14.4">
      <c r="A324" s="15">
        <v>80701</v>
      </c>
      <c r="B324" s="15" t="s">
        <v>348</v>
      </c>
      <c r="C324" s="16">
        <v>7</v>
      </c>
      <c r="D324" s="17">
        <v>17</v>
      </c>
      <c r="E324" s="18">
        <f t="shared" si="62"/>
        <v>41.17647058823529</v>
      </c>
      <c r="F324" s="18">
        <f t="shared" si="64"/>
        <v>0.41395623891188649</v>
      </c>
      <c r="G324" s="17">
        <v>14</v>
      </c>
      <c r="H324" s="16">
        <v>17</v>
      </c>
      <c r="I324" s="19">
        <f t="shared" si="65"/>
        <v>82.35294117647058</v>
      </c>
      <c r="J324" s="19">
        <f t="shared" si="66"/>
        <v>0.82498526812021211</v>
      </c>
      <c r="K324" s="17">
        <v>1691</v>
      </c>
      <c r="L324" s="17">
        <v>1996</v>
      </c>
      <c r="M324" s="18">
        <f t="shared" si="67"/>
        <v>84.719438877755522</v>
      </c>
      <c r="N324" s="17">
        <v>1697</v>
      </c>
      <c r="O324" s="17">
        <v>1936</v>
      </c>
      <c r="P324" s="18">
        <f t="shared" si="68"/>
        <v>87.65495867768594</v>
      </c>
      <c r="Q324" s="20">
        <f t="shared" si="60"/>
        <v>0.48603332521654424</v>
      </c>
      <c r="R324" s="20">
        <f t="shared" si="69"/>
        <v>0.93951263475337099</v>
      </c>
    </row>
    <row r="325" spans="1:18" ht="14.4">
      <c r="A325" s="15">
        <v>80702</v>
      </c>
      <c r="B325" s="15" t="s">
        <v>326</v>
      </c>
      <c r="C325" s="16">
        <v>5</v>
      </c>
      <c r="D325" s="17">
        <v>14</v>
      </c>
      <c r="E325" s="18">
        <f t="shared" si="62"/>
        <v>35.714285714285715</v>
      </c>
      <c r="F325" s="18">
        <f t="shared" si="64"/>
        <v>0.37509377344336081</v>
      </c>
      <c r="G325" s="17">
        <v>16</v>
      </c>
      <c r="H325" s="16">
        <v>24</v>
      </c>
      <c r="I325" s="19">
        <f t="shared" si="65"/>
        <v>66.666666666666657</v>
      </c>
      <c r="J325" s="19">
        <f t="shared" si="66"/>
        <v>1.1126564673157162</v>
      </c>
      <c r="K325" s="17">
        <v>1333</v>
      </c>
      <c r="L325" s="17">
        <v>1507</v>
      </c>
      <c r="M325" s="18">
        <f t="shared" si="67"/>
        <v>88.453881884538816</v>
      </c>
      <c r="N325" s="17">
        <v>1438</v>
      </c>
      <c r="O325" s="17">
        <v>1579</v>
      </c>
      <c r="P325" s="18">
        <f t="shared" si="68"/>
        <v>91.070297656744771</v>
      </c>
      <c r="Q325" s="20">
        <f t="shared" si="60"/>
        <v>0.40376165469938918</v>
      </c>
      <c r="R325" s="20">
        <f t="shared" si="69"/>
        <v>0.73203523412146498</v>
      </c>
    </row>
    <row r="326" spans="1:18" ht="14.4">
      <c r="A326" s="15">
        <v>80703</v>
      </c>
      <c r="B326" s="15" t="s">
        <v>349</v>
      </c>
      <c r="C326" s="16">
        <v>2</v>
      </c>
      <c r="D326" s="17">
        <v>3</v>
      </c>
      <c r="E326" s="18">
        <f t="shared" si="62"/>
        <v>66.666666666666657</v>
      </c>
      <c r="F326" s="18">
        <f t="shared" si="64"/>
        <v>0.78125</v>
      </c>
      <c r="G326" s="16">
        <v>3</v>
      </c>
      <c r="H326" s="16">
        <v>4</v>
      </c>
      <c r="I326" s="19">
        <f t="shared" si="65"/>
        <v>75</v>
      </c>
      <c r="J326" s="19">
        <f t="shared" si="66"/>
        <v>1.006711409395973</v>
      </c>
      <c r="K326" s="16">
        <v>256</v>
      </c>
      <c r="L326" s="17">
        <v>295</v>
      </c>
      <c r="M326" s="18">
        <f t="shared" si="67"/>
        <v>86.779661016949149</v>
      </c>
      <c r="N326" s="16">
        <v>298</v>
      </c>
      <c r="O326" s="17">
        <v>329</v>
      </c>
      <c r="P326" s="18">
        <f t="shared" si="68"/>
        <v>90.577507598784194</v>
      </c>
      <c r="Q326" s="20">
        <f t="shared" si="60"/>
        <v>0.76822916666666663</v>
      </c>
      <c r="R326" s="20">
        <f t="shared" si="69"/>
        <v>0.82802013422818788</v>
      </c>
    </row>
    <row r="327" spans="1:18" ht="14.4">
      <c r="A327" s="15">
        <v>80801</v>
      </c>
      <c r="B327" s="15" t="s">
        <v>350</v>
      </c>
      <c r="C327" s="16">
        <v>12</v>
      </c>
      <c r="D327" s="17">
        <v>27</v>
      </c>
      <c r="E327" s="18">
        <f t="shared" si="62"/>
        <v>44.444444444444443</v>
      </c>
      <c r="F327" s="18">
        <f t="shared" si="64"/>
        <v>0.37938665823585205</v>
      </c>
      <c r="G327" s="17">
        <v>28</v>
      </c>
      <c r="H327" s="16">
        <v>39</v>
      </c>
      <c r="I327" s="19">
        <f t="shared" si="65"/>
        <v>71.794871794871796</v>
      </c>
      <c r="J327" s="19">
        <f t="shared" si="66"/>
        <v>0.79658605974395436</v>
      </c>
      <c r="K327" s="17">
        <v>3163</v>
      </c>
      <c r="L327" s="17">
        <v>3502</v>
      </c>
      <c r="M327" s="18">
        <f t="shared" si="67"/>
        <v>90.319817247287261</v>
      </c>
      <c r="N327" s="17">
        <v>3515</v>
      </c>
      <c r="O327" s="17">
        <v>3921</v>
      </c>
      <c r="P327" s="18">
        <f t="shared" si="68"/>
        <v>89.645498597296609</v>
      </c>
      <c r="Q327" s="20">
        <f t="shared" si="60"/>
        <v>0.49207854708961252</v>
      </c>
      <c r="R327" s="20">
        <f t="shared" si="69"/>
        <v>0.80087536929642189</v>
      </c>
    </row>
    <row r="328" spans="1:18" ht="14.4">
      <c r="A328" s="15">
        <v>80802</v>
      </c>
      <c r="B328" s="15" t="s">
        <v>351</v>
      </c>
      <c r="C328" s="16">
        <v>10</v>
      </c>
      <c r="D328" s="17">
        <v>13</v>
      </c>
      <c r="E328" s="18">
        <f t="shared" si="62"/>
        <v>76.923076923076934</v>
      </c>
      <c r="F328" s="18">
        <f t="shared" si="64"/>
        <v>0.69204152249134954</v>
      </c>
      <c r="G328" s="17">
        <v>16</v>
      </c>
      <c r="H328" s="16">
        <v>20</v>
      </c>
      <c r="I328" s="19">
        <f t="shared" si="65"/>
        <v>80</v>
      </c>
      <c r="J328" s="19">
        <f t="shared" si="66"/>
        <v>0.96735187424425628</v>
      </c>
      <c r="K328" s="17">
        <v>1445</v>
      </c>
      <c r="L328" s="17">
        <v>1618</v>
      </c>
      <c r="M328" s="18">
        <f t="shared" si="67"/>
        <v>89.307787391841771</v>
      </c>
      <c r="N328" s="17">
        <v>1654</v>
      </c>
      <c r="O328" s="17">
        <v>1786</v>
      </c>
      <c r="P328" s="18">
        <f t="shared" si="68"/>
        <v>92.609182530795081</v>
      </c>
      <c r="Q328" s="20">
        <f t="shared" si="60"/>
        <v>0.86132552568538745</v>
      </c>
      <c r="R328" s="20">
        <f t="shared" si="69"/>
        <v>0.86384522370012085</v>
      </c>
    </row>
    <row r="329" spans="1:18" ht="14.4">
      <c r="A329" s="15">
        <v>80803</v>
      </c>
      <c r="B329" s="15" t="s">
        <v>352</v>
      </c>
      <c r="C329" s="16">
        <v>4</v>
      </c>
      <c r="D329" s="17">
        <v>11</v>
      </c>
      <c r="E329" s="18">
        <f t="shared" si="62"/>
        <v>36.363636363636367</v>
      </c>
      <c r="F329" s="18">
        <f t="shared" si="64"/>
        <v>0.3887269193391642</v>
      </c>
      <c r="G329" s="17">
        <v>7</v>
      </c>
      <c r="H329" s="16">
        <v>9</v>
      </c>
      <c r="I329" s="19">
        <f t="shared" si="65"/>
        <v>77.777777777777786</v>
      </c>
      <c r="J329" s="19">
        <f t="shared" si="66"/>
        <v>0.67049808429118773</v>
      </c>
      <c r="K329" s="17">
        <v>1029</v>
      </c>
      <c r="L329" s="17">
        <v>1195</v>
      </c>
      <c r="M329" s="18">
        <f t="shared" si="67"/>
        <v>86.108786610878667</v>
      </c>
      <c r="N329" s="17">
        <v>1044</v>
      </c>
      <c r="O329" s="17">
        <v>1133</v>
      </c>
      <c r="P329" s="18">
        <f t="shared" si="68"/>
        <v>92.144748455428072</v>
      </c>
      <c r="Q329" s="20">
        <f t="shared" si="60"/>
        <v>0.42229878964572842</v>
      </c>
      <c r="R329" s="20">
        <f t="shared" si="69"/>
        <v>0.8440825883354619</v>
      </c>
    </row>
    <row r="330" spans="1:18" ht="14.4">
      <c r="A330" s="24">
        <v>80901</v>
      </c>
      <c r="B330" s="24" t="s">
        <v>353</v>
      </c>
      <c r="C330" s="27">
        <f t="shared" ref="C330:D330" si="70">AVERAGE(C319,C321)</f>
        <v>19</v>
      </c>
      <c r="D330" s="28">
        <f t="shared" si="70"/>
        <v>50</v>
      </c>
      <c r="E330" s="18">
        <f t="shared" si="62"/>
        <v>38</v>
      </c>
      <c r="F330" s="18">
        <f t="shared" si="64"/>
        <v>0.33801814623732435</v>
      </c>
      <c r="G330" s="17">
        <v>7</v>
      </c>
      <c r="H330" s="16">
        <v>10</v>
      </c>
      <c r="I330" s="25">
        <f t="shared" si="65"/>
        <v>70</v>
      </c>
      <c r="J330" s="25">
        <f t="shared" si="66"/>
        <v>0.60606060606060608</v>
      </c>
      <c r="K330" s="28">
        <f t="shared" ref="K330:L330" si="71">AVERAGE(K319,K321)</f>
        <v>5621</v>
      </c>
      <c r="L330" s="28">
        <f t="shared" si="71"/>
        <v>6508</v>
      </c>
      <c r="M330" s="18">
        <f t="shared" si="67"/>
        <v>86.370620774431472</v>
      </c>
      <c r="N330" s="17">
        <v>1155</v>
      </c>
      <c r="O330" s="17">
        <v>1330</v>
      </c>
      <c r="P330" s="26">
        <f t="shared" si="68"/>
        <v>86.842105263157904</v>
      </c>
      <c r="Q330" s="20">
        <f t="shared" si="60"/>
        <v>0.43996441914250134</v>
      </c>
      <c r="R330" s="20">
        <f t="shared" si="69"/>
        <v>0.80606060606060592</v>
      </c>
    </row>
    <row r="331" spans="1:18" ht="14.4">
      <c r="A331" s="15">
        <v>90101</v>
      </c>
      <c r="B331" s="15" t="s">
        <v>354</v>
      </c>
      <c r="C331" s="16">
        <v>82</v>
      </c>
      <c r="D331" s="17">
        <v>177</v>
      </c>
      <c r="E331" s="18">
        <f t="shared" si="62"/>
        <v>46.327683615819211</v>
      </c>
      <c r="F331" s="18">
        <f t="shared" si="64"/>
        <v>0.74477747502270664</v>
      </c>
      <c r="G331" s="17">
        <v>284</v>
      </c>
      <c r="H331" s="16">
        <v>310</v>
      </c>
      <c r="I331" s="19">
        <f t="shared" si="65"/>
        <v>91.612903225806448</v>
      </c>
      <c r="J331" s="19">
        <f t="shared" si="66"/>
        <v>1.9501476344159858</v>
      </c>
      <c r="K331" s="17">
        <v>11010</v>
      </c>
      <c r="L331" s="17">
        <v>12279</v>
      </c>
      <c r="M331" s="18">
        <f t="shared" si="67"/>
        <v>89.665282189103351</v>
      </c>
      <c r="N331" s="17">
        <v>14563</v>
      </c>
      <c r="O331" s="17">
        <v>15149</v>
      </c>
      <c r="P331" s="18">
        <f t="shared" si="68"/>
        <v>96.131757871806727</v>
      </c>
      <c r="Q331" s="20">
        <f t="shared" si="60"/>
        <v>0.5166735941132099</v>
      </c>
      <c r="R331" s="20">
        <f t="shared" si="69"/>
        <v>0.95299311334734726</v>
      </c>
    </row>
    <row r="332" spans="1:18" ht="14.4">
      <c r="A332" s="15">
        <v>90102</v>
      </c>
      <c r="B332" s="15" t="s">
        <v>355</v>
      </c>
      <c r="C332" s="16">
        <v>9</v>
      </c>
      <c r="D332" s="17">
        <v>25</v>
      </c>
      <c r="E332" s="18">
        <f t="shared" si="62"/>
        <v>36</v>
      </c>
      <c r="F332" s="18">
        <f t="shared" si="64"/>
        <v>0.43041606886657102</v>
      </c>
      <c r="G332" s="17">
        <v>31</v>
      </c>
      <c r="H332" s="16">
        <v>35</v>
      </c>
      <c r="I332" s="19">
        <f t="shared" si="65"/>
        <v>88.571428571428569</v>
      </c>
      <c r="J332" s="19">
        <f t="shared" si="66"/>
        <v>1.2596505485574969</v>
      </c>
      <c r="K332" s="17">
        <v>2091</v>
      </c>
      <c r="L332" s="17">
        <v>2337</v>
      </c>
      <c r="M332" s="18">
        <f t="shared" si="67"/>
        <v>89.473684210526315</v>
      </c>
      <c r="N332" s="17">
        <v>2461</v>
      </c>
      <c r="O332" s="17">
        <v>2661</v>
      </c>
      <c r="P332" s="18">
        <f t="shared" si="68"/>
        <v>92.48402856069147</v>
      </c>
      <c r="Q332" s="20">
        <f t="shared" si="60"/>
        <v>0.40235294117647058</v>
      </c>
      <c r="R332" s="20">
        <f t="shared" si="69"/>
        <v>0.9576943170604284</v>
      </c>
    </row>
    <row r="333" spans="1:18" ht="14.4">
      <c r="A333" s="15">
        <v>90103</v>
      </c>
      <c r="B333" s="15" t="s">
        <v>356</v>
      </c>
      <c r="C333" s="16">
        <v>4</v>
      </c>
      <c r="D333" s="17">
        <v>6</v>
      </c>
      <c r="E333" s="18">
        <f t="shared" si="62"/>
        <v>66.666666666666657</v>
      </c>
      <c r="F333" s="18">
        <f t="shared" si="64"/>
        <v>0.8048289738430584</v>
      </c>
      <c r="G333" s="16">
        <v>6</v>
      </c>
      <c r="H333" s="16">
        <v>8</v>
      </c>
      <c r="I333" s="19">
        <f t="shared" si="65"/>
        <v>75</v>
      </c>
      <c r="J333" s="19">
        <f t="shared" si="66"/>
        <v>0.96308186195826639</v>
      </c>
      <c r="K333" s="16">
        <v>497</v>
      </c>
      <c r="L333" s="17">
        <v>592</v>
      </c>
      <c r="M333" s="18">
        <f t="shared" si="67"/>
        <v>83.952702702702695</v>
      </c>
      <c r="N333" s="16">
        <v>623</v>
      </c>
      <c r="O333" s="17">
        <v>666</v>
      </c>
      <c r="P333" s="18">
        <f t="shared" si="68"/>
        <v>93.543543543543535</v>
      </c>
      <c r="Q333" s="20">
        <f t="shared" si="60"/>
        <v>0.79409792085848419</v>
      </c>
      <c r="R333" s="20">
        <f t="shared" si="69"/>
        <v>0.80176565008025691</v>
      </c>
    </row>
    <row r="334" spans="1:18" ht="14.4">
      <c r="A334" s="15">
        <v>90104</v>
      </c>
      <c r="B334" s="15" t="s">
        <v>357</v>
      </c>
      <c r="C334" s="16">
        <v>5</v>
      </c>
      <c r="D334" s="17">
        <v>14</v>
      </c>
      <c r="E334" s="18">
        <f t="shared" si="62"/>
        <v>35.714285714285715</v>
      </c>
      <c r="F334" s="18">
        <f t="shared" si="64"/>
        <v>0.58548009367681508</v>
      </c>
      <c r="G334" s="17">
        <v>15</v>
      </c>
      <c r="H334" s="16">
        <v>18</v>
      </c>
      <c r="I334" s="19">
        <f t="shared" si="65"/>
        <v>83.333333333333343</v>
      </c>
      <c r="J334" s="19">
        <f t="shared" si="66"/>
        <v>1.7921146953405016</v>
      </c>
      <c r="K334" s="17">
        <v>854</v>
      </c>
      <c r="L334" s="17">
        <v>1074</v>
      </c>
      <c r="M334" s="18">
        <f t="shared" si="67"/>
        <v>79.515828677839849</v>
      </c>
      <c r="N334" s="16">
        <v>837</v>
      </c>
      <c r="O334" s="17">
        <v>923</v>
      </c>
      <c r="P334" s="18">
        <f t="shared" si="68"/>
        <v>90.682556879739977</v>
      </c>
      <c r="Q334" s="20">
        <f t="shared" si="60"/>
        <v>0.4491468718634995</v>
      </c>
      <c r="R334" s="20">
        <f t="shared" si="69"/>
        <v>0.91895659099960192</v>
      </c>
    </row>
    <row r="335" spans="1:18" ht="14.4">
      <c r="A335" s="15">
        <v>90201</v>
      </c>
      <c r="B335" s="15" t="s">
        <v>358</v>
      </c>
      <c r="C335" s="16">
        <v>13</v>
      </c>
      <c r="D335" s="17">
        <v>31</v>
      </c>
      <c r="E335" s="18">
        <f t="shared" si="62"/>
        <v>41.935483870967744</v>
      </c>
      <c r="F335" s="18">
        <f t="shared" si="64"/>
        <v>0.73654390934844194</v>
      </c>
      <c r="G335" s="17">
        <v>25</v>
      </c>
      <c r="H335" s="16">
        <v>26</v>
      </c>
      <c r="I335" s="19">
        <f t="shared" si="65"/>
        <v>96.15384615384616</v>
      </c>
      <c r="J335" s="19">
        <f t="shared" si="66"/>
        <v>1.2550200803212852</v>
      </c>
      <c r="K335" s="17">
        <v>1765</v>
      </c>
      <c r="L335" s="17">
        <v>2012</v>
      </c>
      <c r="M335" s="18">
        <f t="shared" si="67"/>
        <v>87.723658051689853</v>
      </c>
      <c r="N335" s="17">
        <v>1992</v>
      </c>
      <c r="O335" s="17">
        <v>2137</v>
      </c>
      <c r="P335" s="18">
        <f t="shared" si="68"/>
        <v>93.214787084698173</v>
      </c>
      <c r="Q335" s="20">
        <f t="shared" si="60"/>
        <v>0.4780407566480856</v>
      </c>
      <c r="R335" s="20">
        <f t="shared" si="69"/>
        <v>1.031529966017918</v>
      </c>
    </row>
    <row r="336" spans="1:18" ht="14.4">
      <c r="A336" s="15">
        <v>90202</v>
      </c>
      <c r="B336" s="15" t="s">
        <v>249</v>
      </c>
      <c r="C336" s="16">
        <v>0</v>
      </c>
      <c r="D336" s="17">
        <v>2</v>
      </c>
      <c r="E336" s="18">
        <f t="shared" si="62"/>
        <v>0</v>
      </c>
      <c r="F336" s="18">
        <f t="shared" si="64"/>
        <v>0</v>
      </c>
      <c r="G336" s="17">
        <v>5</v>
      </c>
      <c r="H336" s="16">
        <v>8</v>
      </c>
      <c r="I336" s="19">
        <f t="shared" si="65"/>
        <v>62.5</v>
      </c>
      <c r="J336" s="19">
        <f t="shared" si="66"/>
        <v>0.50864699898270604</v>
      </c>
      <c r="K336" s="17">
        <v>947</v>
      </c>
      <c r="L336" s="17">
        <v>1082</v>
      </c>
      <c r="M336" s="18">
        <f t="shared" si="67"/>
        <v>87.523105360443623</v>
      </c>
      <c r="N336" s="17">
        <v>983</v>
      </c>
      <c r="O336" s="17">
        <v>1103</v>
      </c>
      <c r="P336" s="18">
        <f t="shared" si="68"/>
        <v>89.120580235720752</v>
      </c>
      <c r="Q336" s="20">
        <f t="shared" si="60"/>
        <v>0</v>
      </c>
      <c r="R336" s="20">
        <f t="shared" si="69"/>
        <v>0.70129704984740593</v>
      </c>
    </row>
    <row r="337" spans="1:19" ht="14.4">
      <c r="A337" s="15">
        <v>90203</v>
      </c>
      <c r="B337" s="15" t="s">
        <v>359</v>
      </c>
      <c r="C337" s="16">
        <v>10</v>
      </c>
      <c r="D337" s="17">
        <v>22</v>
      </c>
      <c r="E337" s="18">
        <f t="shared" si="62"/>
        <v>45.454545454545453</v>
      </c>
      <c r="F337" s="18">
        <f t="shared" si="64"/>
        <v>0.65659881812212739</v>
      </c>
      <c r="G337" s="17">
        <v>28</v>
      </c>
      <c r="H337" s="16">
        <v>37</v>
      </c>
      <c r="I337" s="19">
        <f t="shared" si="65"/>
        <v>75.675675675675677</v>
      </c>
      <c r="J337" s="19">
        <f t="shared" si="66"/>
        <v>1.2767897856817145</v>
      </c>
      <c r="K337" s="17">
        <v>1523</v>
      </c>
      <c r="L337" s="17">
        <v>1753</v>
      </c>
      <c r="M337" s="18">
        <f t="shared" si="67"/>
        <v>86.879634911580155</v>
      </c>
      <c r="N337" s="17">
        <v>2193</v>
      </c>
      <c r="O337" s="17">
        <v>2330</v>
      </c>
      <c r="P337" s="18">
        <f t="shared" si="68"/>
        <v>94.12017167381974</v>
      </c>
      <c r="Q337" s="20">
        <f t="shared" si="60"/>
        <v>0.52318987644004056</v>
      </c>
      <c r="R337" s="20">
        <f t="shared" si="69"/>
        <v>0.80403248665902571</v>
      </c>
    </row>
    <row r="338" spans="1:19" ht="14.4">
      <c r="A338" s="15">
        <v>90301</v>
      </c>
      <c r="B338" s="15" t="s">
        <v>360</v>
      </c>
      <c r="C338" s="16">
        <v>8</v>
      </c>
      <c r="D338" s="17">
        <v>16</v>
      </c>
      <c r="E338" s="18">
        <f t="shared" si="62"/>
        <v>50</v>
      </c>
      <c r="F338" s="18">
        <f t="shared" si="64"/>
        <v>0.30499428135722456</v>
      </c>
      <c r="G338" s="17">
        <v>16</v>
      </c>
      <c r="H338" s="16">
        <v>21</v>
      </c>
      <c r="I338" s="19">
        <f t="shared" si="65"/>
        <v>76.19047619047619</v>
      </c>
      <c r="J338" s="19">
        <f t="shared" si="66"/>
        <v>0.52373158756137483</v>
      </c>
      <c r="K338" s="17">
        <v>2623</v>
      </c>
      <c r="L338" s="17">
        <v>3000</v>
      </c>
      <c r="M338" s="18">
        <f t="shared" si="67"/>
        <v>87.433333333333323</v>
      </c>
      <c r="N338" s="17">
        <v>3055</v>
      </c>
      <c r="O338" s="17">
        <v>3319</v>
      </c>
      <c r="P338" s="18">
        <f t="shared" si="68"/>
        <v>92.045796926785172</v>
      </c>
      <c r="Q338" s="20">
        <f t="shared" si="60"/>
        <v>0.57186427754479607</v>
      </c>
      <c r="R338" s="20">
        <f t="shared" si="69"/>
        <v>0.82774530434104909</v>
      </c>
    </row>
    <row r="339" spans="1:19" ht="14.4">
      <c r="A339" s="15">
        <v>90302</v>
      </c>
      <c r="B339" s="15" t="s">
        <v>282</v>
      </c>
      <c r="C339" s="16">
        <v>7</v>
      </c>
      <c r="D339" s="17">
        <v>16</v>
      </c>
      <c r="E339" s="18">
        <f t="shared" si="62"/>
        <v>43.75</v>
      </c>
      <c r="F339" s="18">
        <f t="shared" si="64"/>
        <v>0.2932551319648094</v>
      </c>
      <c r="G339" s="17">
        <v>18</v>
      </c>
      <c r="H339" s="16">
        <v>32</v>
      </c>
      <c r="I339" s="19">
        <f t="shared" si="65"/>
        <v>56.25</v>
      </c>
      <c r="J339" s="19">
        <f t="shared" si="66"/>
        <v>0.62391681109185437</v>
      </c>
      <c r="K339" s="17">
        <v>2387</v>
      </c>
      <c r="L339" s="17">
        <v>2645</v>
      </c>
      <c r="M339" s="18">
        <f t="shared" si="67"/>
        <v>90.24574669187146</v>
      </c>
      <c r="N339" s="17">
        <v>2885</v>
      </c>
      <c r="O339" s="17">
        <v>3136</v>
      </c>
      <c r="P339" s="18">
        <f t="shared" si="68"/>
        <v>91.996173469387756</v>
      </c>
      <c r="Q339" s="20">
        <f t="shared" si="60"/>
        <v>0.48478739002932547</v>
      </c>
      <c r="R339" s="20">
        <f t="shared" si="69"/>
        <v>0.61143847487001735</v>
      </c>
    </row>
    <row r="340" spans="1:19" ht="14.4">
      <c r="A340" s="15">
        <v>90303</v>
      </c>
      <c r="B340" s="15" t="s">
        <v>361</v>
      </c>
      <c r="C340" s="16">
        <v>3</v>
      </c>
      <c r="D340" s="17">
        <v>15</v>
      </c>
      <c r="E340" s="18">
        <f t="shared" si="62"/>
        <v>20</v>
      </c>
      <c r="F340" s="18">
        <f t="shared" si="64"/>
        <v>0.13111888111888112</v>
      </c>
      <c r="G340" s="17">
        <v>45</v>
      </c>
      <c r="H340" s="16">
        <v>52</v>
      </c>
      <c r="I340" s="19">
        <f t="shared" si="65"/>
        <v>86.538461538461547</v>
      </c>
      <c r="J340" s="19">
        <f t="shared" si="66"/>
        <v>1.4653207424291761</v>
      </c>
      <c r="K340" s="17">
        <v>2288</v>
      </c>
      <c r="L340" s="17">
        <v>2725</v>
      </c>
      <c r="M340" s="18">
        <f t="shared" si="67"/>
        <v>83.963302752293572</v>
      </c>
      <c r="N340" s="17">
        <v>3071</v>
      </c>
      <c r="O340" s="17">
        <v>3399</v>
      </c>
      <c r="P340" s="18">
        <f t="shared" si="68"/>
        <v>90.350102971462192</v>
      </c>
      <c r="Q340" s="20">
        <f t="shared" si="60"/>
        <v>0.2381993006993007</v>
      </c>
      <c r="R340" s="20">
        <f t="shared" si="69"/>
        <v>0.95781253913784048</v>
      </c>
    </row>
    <row r="341" spans="1:19" ht="14.4">
      <c r="A341" s="15">
        <v>90401</v>
      </c>
      <c r="B341" s="15" t="s">
        <v>302</v>
      </c>
      <c r="C341" s="16">
        <v>4</v>
      </c>
      <c r="D341" s="17">
        <v>14</v>
      </c>
      <c r="E341" s="18">
        <f t="shared" si="62"/>
        <v>28.571428571428569</v>
      </c>
      <c r="F341" s="18">
        <f t="shared" si="64"/>
        <v>0.69686411149825789</v>
      </c>
      <c r="G341" s="16">
        <v>15</v>
      </c>
      <c r="H341" s="16">
        <v>15</v>
      </c>
      <c r="I341" s="19">
        <f t="shared" si="65"/>
        <v>100</v>
      </c>
      <c r="J341" s="19">
        <f t="shared" si="66"/>
        <v>1.8404907975460123</v>
      </c>
      <c r="K341" s="16">
        <v>574</v>
      </c>
      <c r="L341" s="17">
        <v>698</v>
      </c>
      <c r="M341" s="18">
        <f t="shared" si="67"/>
        <v>82.234957020057308</v>
      </c>
      <c r="N341" s="16">
        <v>815</v>
      </c>
      <c r="O341" s="17">
        <v>873</v>
      </c>
      <c r="P341" s="18">
        <f t="shared" si="68"/>
        <v>93.356242840778918</v>
      </c>
      <c r="Q341" s="20">
        <f t="shared" si="60"/>
        <v>0.34743653558984566</v>
      </c>
      <c r="R341" s="20">
        <f t="shared" si="69"/>
        <v>1.0711656441717792</v>
      </c>
    </row>
    <row r="342" spans="1:19" ht="14.4">
      <c r="A342" s="15">
        <v>90402</v>
      </c>
      <c r="B342" s="15" t="s">
        <v>362</v>
      </c>
      <c r="C342" s="16">
        <v>2</v>
      </c>
      <c r="D342" s="17">
        <v>7</v>
      </c>
      <c r="E342" s="18">
        <f t="shared" si="62"/>
        <v>28.571428571428569</v>
      </c>
      <c r="F342" s="18">
        <f t="shared" si="64"/>
        <v>0.50251256281407031</v>
      </c>
      <c r="G342" s="16">
        <v>12</v>
      </c>
      <c r="H342" s="16">
        <v>15</v>
      </c>
      <c r="I342" s="19">
        <f t="shared" si="65"/>
        <v>80</v>
      </c>
      <c r="J342" s="19">
        <f t="shared" si="66"/>
        <v>1.6438356164383561</v>
      </c>
      <c r="K342" s="16">
        <v>398</v>
      </c>
      <c r="L342" s="17">
        <v>507</v>
      </c>
      <c r="M342" s="18">
        <f t="shared" si="67"/>
        <v>78.500986193293883</v>
      </c>
      <c r="N342" s="16">
        <v>730</v>
      </c>
      <c r="O342" s="17">
        <v>801</v>
      </c>
      <c r="P342" s="18">
        <f t="shared" si="68"/>
        <v>91.136079900124841</v>
      </c>
      <c r="Q342" s="20">
        <f t="shared" si="60"/>
        <v>0.36396267049533382</v>
      </c>
      <c r="R342" s="20">
        <f t="shared" si="69"/>
        <v>0.87780821917808227</v>
      </c>
    </row>
    <row r="343" spans="1:19" ht="14.4">
      <c r="A343" s="15">
        <v>90501</v>
      </c>
      <c r="B343" s="15" t="s">
        <v>363</v>
      </c>
      <c r="C343" s="16">
        <v>2</v>
      </c>
      <c r="D343" s="17">
        <v>3</v>
      </c>
      <c r="E343" s="18">
        <f t="shared" si="62"/>
        <v>66.666666666666657</v>
      </c>
      <c r="F343" s="18">
        <f t="shared" si="64"/>
        <v>0.45351473922902497</v>
      </c>
      <c r="G343" s="16">
        <v>4</v>
      </c>
      <c r="H343" s="16">
        <v>4</v>
      </c>
      <c r="I343" s="19">
        <f t="shared" si="65"/>
        <v>100</v>
      </c>
      <c r="J343" s="19">
        <f t="shared" si="66"/>
        <v>0.82815734989648038</v>
      </c>
      <c r="K343" s="16">
        <v>441</v>
      </c>
      <c r="L343" s="17">
        <v>508</v>
      </c>
      <c r="M343" s="18">
        <f t="shared" si="67"/>
        <v>86.811023622047244</v>
      </c>
      <c r="N343" s="16">
        <v>483</v>
      </c>
      <c r="O343" s="17">
        <v>506</v>
      </c>
      <c r="P343" s="18">
        <f t="shared" si="68"/>
        <v>95.454545454545453</v>
      </c>
      <c r="Q343" s="20">
        <f t="shared" si="60"/>
        <v>0.76795162509448212</v>
      </c>
      <c r="R343" s="20">
        <f t="shared" si="69"/>
        <v>1.0476190476190477</v>
      </c>
    </row>
    <row r="344" spans="1:19" ht="14.4">
      <c r="A344" s="15">
        <v>90502</v>
      </c>
      <c r="B344" s="15" t="s">
        <v>364</v>
      </c>
      <c r="C344" s="16">
        <v>5</v>
      </c>
      <c r="D344" s="17">
        <v>11</v>
      </c>
      <c r="E344" s="18">
        <f t="shared" si="62"/>
        <v>45.454545454545453</v>
      </c>
      <c r="F344" s="18">
        <f t="shared" si="64"/>
        <v>0.58072009291521487</v>
      </c>
      <c r="G344" s="17">
        <v>10</v>
      </c>
      <c r="H344" s="16">
        <v>16</v>
      </c>
      <c r="I344" s="19">
        <f t="shared" si="65"/>
        <v>62.5</v>
      </c>
      <c r="J344" s="19">
        <f t="shared" si="66"/>
        <v>1.3227513227513228</v>
      </c>
      <c r="K344" s="17">
        <v>861</v>
      </c>
      <c r="L344" s="17">
        <v>980</v>
      </c>
      <c r="M344" s="18">
        <f t="shared" si="67"/>
        <v>87.857142857142861</v>
      </c>
      <c r="N344" s="16">
        <v>756</v>
      </c>
      <c r="O344" s="17">
        <v>831</v>
      </c>
      <c r="P344" s="18">
        <f t="shared" si="68"/>
        <v>90.974729241877256</v>
      </c>
      <c r="Q344" s="20">
        <f t="shared" si="60"/>
        <v>0.51736881005173685</v>
      </c>
      <c r="R344" s="20">
        <f t="shared" si="69"/>
        <v>0.68700396825396826</v>
      </c>
    </row>
    <row r="345" spans="1:19" ht="14.4">
      <c r="A345" s="15">
        <v>90503</v>
      </c>
      <c r="B345" s="15" t="s">
        <v>365</v>
      </c>
      <c r="C345" s="16">
        <v>1</v>
      </c>
      <c r="D345" s="17">
        <v>5</v>
      </c>
      <c r="E345" s="18">
        <f t="shared" si="62"/>
        <v>20</v>
      </c>
      <c r="F345" s="18">
        <f t="shared" si="64"/>
        <v>0.18382352941176469</v>
      </c>
      <c r="G345" s="16">
        <v>3</v>
      </c>
      <c r="H345" s="16">
        <v>3</v>
      </c>
      <c r="I345" s="19">
        <f t="shared" si="65"/>
        <v>100</v>
      </c>
      <c r="J345" s="19">
        <f t="shared" si="66"/>
        <v>0.53191489361702127</v>
      </c>
      <c r="K345" s="16">
        <v>544</v>
      </c>
      <c r="L345" s="17">
        <v>648</v>
      </c>
      <c r="M345" s="18">
        <f t="shared" si="67"/>
        <v>83.950617283950606</v>
      </c>
      <c r="N345" s="16">
        <v>564</v>
      </c>
      <c r="O345" s="17">
        <v>649</v>
      </c>
      <c r="P345" s="18">
        <f t="shared" si="68"/>
        <v>86.902927580893689</v>
      </c>
      <c r="Q345" s="20">
        <f t="shared" si="60"/>
        <v>0.2382352941176471</v>
      </c>
      <c r="R345" s="20">
        <f t="shared" si="69"/>
        <v>1.1507092198581559</v>
      </c>
    </row>
    <row r="346" spans="1:19" ht="13.2">
      <c r="D346" s="30"/>
      <c r="E346" s="31"/>
      <c r="F346" s="31"/>
      <c r="I346" s="32"/>
      <c r="J346" s="32"/>
      <c r="L346" s="30"/>
      <c r="M346" s="31"/>
      <c r="P346" s="31"/>
      <c r="Q346" s="33"/>
      <c r="R346" s="33"/>
    </row>
    <row r="347" spans="1:19" ht="14.4">
      <c r="D347" s="30"/>
      <c r="E347" s="31"/>
      <c r="F347" s="31"/>
      <c r="I347" s="32"/>
      <c r="J347" s="32"/>
      <c r="L347" s="30"/>
      <c r="M347" s="31"/>
      <c r="P347" s="34" t="s">
        <v>366</v>
      </c>
      <c r="Q347" s="35">
        <f>+AVERAGE(Q3:Q345)</f>
        <v>0.5114866119147633</v>
      </c>
      <c r="R347" s="36"/>
      <c r="S347" s="35">
        <f>+Q347+Q348</f>
        <v>0.69959324811218793</v>
      </c>
    </row>
    <row r="348" spans="1:19" ht="14.4">
      <c r="D348" s="30"/>
      <c r="E348" s="31"/>
      <c r="F348" s="31"/>
      <c r="I348" s="32"/>
      <c r="J348" s="32"/>
      <c r="L348" s="30"/>
      <c r="M348" s="31"/>
      <c r="P348" s="34" t="s">
        <v>367</v>
      </c>
      <c r="Q348" s="35">
        <f>+STDEVA(Q3:Q345)</f>
        <v>0.18810663619742463</v>
      </c>
      <c r="R348" s="36"/>
      <c r="S348" s="35">
        <f>+Q347-Q348</f>
        <v>0.32337997571733867</v>
      </c>
    </row>
    <row r="349" spans="1:19" ht="14.4">
      <c r="D349" s="30"/>
      <c r="E349" s="31"/>
      <c r="F349" s="31"/>
      <c r="I349" s="32"/>
      <c r="J349" s="32"/>
      <c r="L349" s="30"/>
      <c r="M349" s="31"/>
      <c r="P349" s="34" t="s">
        <v>368</v>
      </c>
      <c r="Q349" s="35">
        <f>+MIN(Q3:Q345)</f>
        <v>0</v>
      </c>
      <c r="R349" s="36"/>
      <c r="S349" s="37"/>
    </row>
    <row r="350" spans="1:19" ht="14.4">
      <c r="D350" s="30"/>
      <c r="E350" s="31"/>
      <c r="F350" s="31"/>
      <c r="I350" s="32"/>
      <c r="J350" s="32"/>
      <c r="L350" s="30"/>
      <c r="M350" s="31"/>
      <c r="P350" s="34" t="s">
        <v>369</v>
      </c>
      <c r="Q350" s="35">
        <f>+MAX(Q3:Q345)</f>
        <v>1.2857142857142856</v>
      </c>
      <c r="R350" s="36"/>
      <c r="S350" s="37"/>
    </row>
    <row r="351" spans="1:19" ht="14.4">
      <c r="D351" s="30"/>
      <c r="E351" s="31"/>
      <c r="F351" s="31"/>
      <c r="I351" s="32"/>
      <c r="J351" s="32"/>
      <c r="L351" s="30"/>
      <c r="M351" s="31"/>
      <c r="P351" s="34" t="s">
        <v>370</v>
      </c>
      <c r="Q351" s="35">
        <v>343</v>
      </c>
      <c r="R351" s="36"/>
      <c r="S351" s="37"/>
    </row>
    <row r="352" spans="1:19" ht="13.2">
      <c r="D352" s="30"/>
      <c r="E352" s="31"/>
      <c r="F352" s="31"/>
      <c r="I352" s="32"/>
      <c r="J352" s="32"/>
      <c r="L352" s="30"/>
      <c r="M352" s="31"/>
      <c r="P352" s="31"/>
      <c r="Q352" s="33"/>
      <c r="R352" s="33"/>
    </row>
    <row r="353" spans="4:18" ht="13.2">
      <c r="D353" s="30"/>
      <c r="E353" s="31"/>
      <c r="F353" s="31"/>
      <c r="I353" s="32"/>
      <c r="J353" s="32"/>
      <c r="L353" s="30"/>
      <c r="M353" s="31"/>
      <c r="P353" s="31"/>
      <c r="Q353" s="33"/>
      <c r="R353" s="33"/>
    </row>
    <row r="354" spans="4:18" ht="13.2">
      <c r="D354" s="30"/>
      <c r="E354" s="31"/>
      <c r="F354" s="31"/>
      <c r="I354" s="32"/>
      <c r="J354" s="32"/>
      <c r="L354" s="30"/>
      <c r="M354" s="31"/>
      <c r="P354" s="31"/>
      <c r="Q354" s="33"/>
      <c r="R354" s="33"/>
    </row>
    <row r="355" spans="4:18" ht="13.2">
      <c r="D355" s="30"/>
      <c r="E355" s="31"/>
      <c r="F355" s="31"/>
      <c r="I355" s="32"/>
      <c r="J355" s="32"/>
      <c r="L355" s="30"/>
      <c r="M355" s="31"/>
      <c r="P355" s="31"/>
      <c r="Q355" s="33"/>
      <c r="R355" s="33"/>
    </row>
    <row r="356" spans="4:18" ht="13.2">
      <c r="D356" s="30"/>
      <c r="E356" s="31"/>
      <c r="F356" s="31"/>
      <c r="I356" s="32"/>
      <c r="J356" s="32"/>
      <c r="L356" s="30"/>
      <c r="M356" s="31"/>
      <c r="P356" s="31"/>
      <c r="Q356" s="33"/>
      <c r="R356" s="33"/>
    </row>
    <row r="357" spans="4:18" ht="13.2">
      <c r="D357" s="30"/>
      <c r="E357" s="31"/>
      <c r="F357" s="31"/>
      <c r="I357" s="32"/>
      <c r="J357" s="32"/>
      <c r="L357" s="30"/>
      <c r="M357" s="31"/>
      <c r="P357" s="31"/>
      <c r="Q357" s="33"/>
      <c r="R357" s="33"/>
    </row>
    <row r="358" spans="4:18" ht="13.2">
      <c r="D358" s="30"/>
      <c r="E358" s="31"/>
      <c r="F358" s="31"/>
      <c r="I358" s="32"/>
      <c r="J358" s="32"/>
      <c r="L358" s="30"/>
      <c r="M358" s="31"/>
      <c r="P358" s="31"/>
      <c r="Q358" s="33"/>
      <c r="R358" s="33"/>
    </row>
    <row r="359" spans="4:18" ht="13.2">
      <c r="D359" s="30"/>
      <c r="E359" s="31"/>
      <c r="F359" s="31"/>
      <c r="I359" s="32"/>
      <c r="J359" s="32"/>
      <c r="L359" s="30"/>
      <c r="M359" s="31"/>
      <c r="P359" s="31"/>
      <c r="Q359" s="33"/>
      <c r="R359" s="33"/>
    </row>
    <row r="360" spans="4:18" ht="13.2">
      <c r="D360" s="30"/>
      <c r="E360" s="31"/>
      <c r="F360" s="31"/>
      <c r="I360" s="32"/>
      <c r="J360" s="32"/>
      <c r="L360" s="30"/>
      <c r="M360" s="31"/>
      <c r="P360" s="31"/>
      <c r="Q360" s="33"/>
      <c r="R360" s="33"/>
    </row>
    <row r="361" spans="4:18" ht="13.2">
      <c r="D361" s="30"/>
      <c r="E361" s="31"/>
      <c r="F361" s="31"/>
      <c r="I361" s="32"/>
      <c r="J361" s="32"/>
      <c r="L361" s="30"/>
      <c r="M361" s="31"/>
      <c r="P361" s="31"/>
      <c r="Q361" s="33"/>
      <c r="R361" s="33"/>
    </row>
    <row r="362" spans="4:18" ht="13.2">
      <c r="D362" s="30"/>
      <c r="E362" s="31"/>
      <c r="F362" s="31"/>
      <c r="I362" s="32"/>
      <c r="J362" s="32"/>
      <c r="L362" s="30"/>
      <c r="M362" s="31"/>
      <c r="P362" s="31"/>
      <c r="Q362" s="33"/>
      <c r="R362" s="33"/>
    </row>
    <row r="363" spans="4:18" ht="13.2">
      <c r="D363" s="30"/>
      <c r="E363" s="31"/>
      <c r="F363" s="31"/>
      <c r="I363" s="32"/>
      <c r="J363" s="32"/>
      <c r="L363" s="30"/>
      <c r="M363" s="31"/>
      <c r="P363" s="31"/>
      <c r="Q363" s="33"/>
      <c r="R363" s="33"/>
    </row>
    <row r="364" spans="4:18" ht="13.2">
      <c r="D364" s="30"/>
      <c r="E364" s="31"/>
      <c r="F364" s="31"/>
      <c r="I364" s="32"/>
      <c r="J364" s="32"/>
      <c r="L364" s="30"/>
      <c r="M364" s="31"/>
      <c r="P364" s="31"/>
      <c r="Q364" s="33"/>
      <c r="R364" s="33"/>
    </row>
    <row r="365" spans="4:18" ht="13.2">
      <c r="D365" s="30"/>
      <c r="E365" s="31"/>
      <c r="F365" s="31"/>
      <c r="I365" s="32"/>
      <c r="J365" s="32"/>
      <c r="L365" s="30"/>
      <c r="M365" s="31"/>
      <c r="P365" s="31"/>
      <c r="Q365" s="33"/>
      <c r="R365" s="33"/>
    </row>
    <row r="366" spans="4:18" ht="13.2">
      <c r="D366" s="30"/>
      <c r="E366" s="31"/>
      <c r="F366" s="31"/>
      <c r="I366" s="32"/>
      <c r="J366" s="32"/>
      <c r="L366" s="30"/>
      <c r="M366" s="31"/>
      <c r="P366" s="31"/>
      <c r="Q366" s="33"/>
      <c r="R366" s="33"/>
    </row>
    <row r="367" spans="4:18" ht="13.2">
      <c r="D367" s="30"/>
      <c r="E367" s="31"/>
      <c r="F367" s="31"/>
      <c r="I367" s="32"/>
      <c r="J367" s="32"/>
      <c r="L367" s="30"/>
      <c r="M367" s="31"/>
      <c r="P367" s="31"/>
      <c r="Q367" s="33"/>
      <c r="R367" s="33"/>
    </row>
    <row r="368" spans="4:18" ht="13.2">
      <c r="D368" s="30"/>
      <c r="E368" s="31"/>
      <c r="F368" s="31"/>
      <c r="I368" s="32"/>
      <c r="J368" s="32"/>
      <c r="L368" s="30"/>
      <c r="M368" s="31"/>
      <c r="P368" s="31"/>
      <c r="Q368" s="33"/>
      <c r="R368" s="33"/>
    </row>
    <row r="369" spans="4:18" ht="13.2">
      <c r="D369" s="30"/>
      <c r="E369" s="31"/>
      <c r="F369" s="31"/>
      <c r="I369" s="32"/>
      <c r="J369" s="32"/>
      <c r="L369" s="30"/>
      <c r="M369" s="31"/>
      <c r="P369" s="31"/>
      <c r="Q369" s="33"/>
      <c r="R369" s="33"/>
    </row>
    <row r="370" spans="4:18" ht="13.2">
      <c r="D370" s="30"/>
      <c r="E370" s="31"/>
      <c r="F370" s="31"/>
      <c r="I370" s="32"/>
      <c r="J370" s="32"/>
      <c r="L370" s="30"/>
      <c r="M370" s="31"/>
      <c r="P370" s="31"/>
      <c r="Q370" s="33"/>
      <c r="R370" s="33"/>
    </row>
    <row r="371" spans="4:18" ht="13.2">
      <c r="D371" s="30"/>
      <c r="E371" s="31"/>
      <c r="F371" s="31"/>
      <c r="I371" s="32"/>
      <c r="J371" s="32"/>
      <c r="L371" s="30"/>
      <c r="M371" s="31"/>
      <c r="P371" s="31"/>
      <c r="Q371" s="33"/>
      <c r="R371" s="33"/>
    </row>
    <row r="372" spans="4:18" ht="13.2">
      <c r="D372" s="30"/>
      <c r="E372" s="31"/>
      <c r="F372" s="31"/>
      <c r="I372" s="32"/>
      <c r="J372" s="32"/>
      <c r="L372" s="30"/>
      <c r="M372" s="31"/>
      <c r="P372" s="31"/>
      <c r="Q372" s="33"/>
      <c r="R372" s="33"/>
    </row>
    <row r="373" spans="4:18" ht="13.2">
      <c r="D373" s="30"/>
      <c r="E373" s="31"/>
      <c r="F373" s="31"/>
      <c r="I373" s="32"/>
      <c r="J373" s="32"/>
      <c r="L373" s="30"/>
      <c r="M373" s="31"/>
      <c r="P373" s="31"/>
      <c r="Q373" s="33"/>
      <c r="R373" s="33"/>
    </row>
    <row r="374" spans="4:18" ht="13.2">
      <c r="D374" s="30"/>
      <c r="E374" s="31"/>
      <c r="F374" s="31"/>
      <c r="I374" s="32"/>
      <c r="J374" s="32"/>
      <c r="L374" s="30"/>
      <c r="M374" s="31"/>
      <c r="P374" s="31"/>
      <c r="Q374" s="33"/>
      <c r="R374" s="33"/>
    </row>
    <row r="375" spans="4:18" ht="13.2">
      <c r="D375" s="30"/>
      <c r="E375" s="31"/>
      <c r="F375" s="31"/>
      <c r="I375" s="32"/>
      <c r="J375" s="32"/>
      <c r="L375" s="30"/>
      <c r="M375" s="31"/>
      <c r="P375" s="31"/>
      <c r="Q375" s="33"/>
      <c r="R375" s="33"/>
    </row>
    <row r="376" spans="4:18" ht="13.2">
      <c r="D376" s="30"/>
      <c r="E376" s="31"/>
      <c r="F376" s="31"/>
      <c r="I376" s="32"/>
      <c r="J376" s="32"/>
      <c r="L376" s="30"/>
      <c r="M376" s="31"/>
      <c r="P376" s="31"/>
      <c r="Q376" s="33"/>
      <c r="R376" s="33"/>
    </row>
    <row r="377" spans="4:18" ht="13.2">
      <c r="D377" s="30"/>
      <c r="E377" s="31"/>
      <c r="F377" s="31"/>
      <c r="I377" s="32"/>
      <c r="J377" s="32"/>
      <c r="L377" s="30"/>
      <c r="M377" s="31"/>
      <c r="P377" s="31"/>
      <c r="Q377" s="33"/>
      <c r="R377" s="33"/>
    </row>
    <row r="378" spans="4:18" ht="13.2">
      <c r="D378" s="30"/>
      <c r="E378" s="31"/>
      <c r="F378" s="31"/>
      <c r="I378" s="32"/>
      <c r="J378" s="32"/>
      <c r="L378" s="30"/>
      <c r="M378" s="31"/>
      <c r="P378" s="31"/>
      <c r="Q378" s="33"/>
      <c r="R378" s="33"/>
    </row>
    <row r="379" spans="4:18" ht="13.2">
      <c r="D379" s="30"/>
      <c r="E379" s="31"/>
      <c r="F379" s="31"/>
      <c r="I379" s="32"/>
      <c r="J379" s="32"/>
      <c r="L379" s="30"/>
      <c r="M379" s="31"/>
      <c r="P379" s="31"/>
      <c r="Q379" s="33"/>
      <c r="R379" s="33"/>
    </row>
    <row r="380" spans="4:18" ht="13.2">
      <c r="D380" s="30"/>
      <c r="E380" s="31"/>
      <c r="F380" s="31"/>
      <c r="I380" s="32"/>
      <c r="J380" s="32"/>
      <c r="L380" s="30"/>
      <c r="M380" s="31"/>
      <c r="P380" s="31"/>
      <c r="Q380" s="33"/>
      <c r="R380" s="33"/>
    </row>
    <row r="381" spans="4:18" ht="13.2">
      <c r="D381" s="30"/>
      <c r="E381" s="31"/>
      <c r="F381" s="31"/>
      <c r="I381" s="32"/>
      <c r="J381" s="32"/>
      <c r="L381" s="30"/>
      <c r="M381" s="31"/>
      <c r="P381" s="31"/>
      <c r="Q381" s="33"/>
      <c r="R381" s="33"/>
    </row>
    <row r="382" spans="4:18" ht="13.2">
      <c r="D382" s="30"/>
      <c r="E382" s="31"/>
      <c r="F382" s="31"/>
      <c r="I382" s="32"/>
      <c r="J382" s="32"/>
      <c r="L382" s="30"/>
      <c r="M382" s="31"/>
      <c r="P382" s="31"/>
      <c r="Q382" s="33"/>
      <c r="R382" s="33"/>
    </row>
    <row r="383" spans="4:18" ht="13.2">
      <c r="D383" s="30"/>
      <c r="E383" s="31"/>
      <c r="F383" s="31"/>
      <c r="I383" s="32"/>
      <c r="J383" s="32"/>
      <c r="L383" s="30"/>
      <c r="M383" s="31"/>
      <c r="P383" s="31"/>
      <c r="Q383" s="33"/>
      <c r="R383" s="33"/>
    </row>
    <row r="384" spans="4:18" ht="13.2">
      <c r="D384" s="30"/>
      <c r="E384" s="31"/>
      <c r="F384" s="31"/>
      <c r="I384" s="32"/>
      <c r="J384" s="32"/>
      <c r="L384" s="30"/>
      <c r="M384" s="31"/>
      <c r="P384" s="31"/>
      <c r="Q384" s="33"/>
      <c r="R384" s="33"/>
    </row>
    <row r="385" spans="4:18" ht="13.2">
      <c r="D385" s="30"/>
      <c r="E385" s="31"/>
      <c r="F385" s="31"/>
      <c r="I385" s="32"/>
      <c r="J385" s="32"/>
      <c r="L385" s="30"/>
      <c r="M385" s="31"/>
      <c r="P385" s="31"/>
      <c r="Q385" s="33"/>
      <c r="R385" s="33"/>
    </row>
    <row r="386" spans="4:18" ht="13.2">
      <c r="D386" s="30"/>
      <c r="E386" s="31"/>
      <c r="F386" s="31"/>
      <c r="I386" s="32"/>
      <c r="J386" s="32"/>
      <c r="L386" s="30"/>
      <c r="M386" s="31"/>
      <c r="P386" s="31"/>
      <c r="Q386" s="33"/>
      <c r="R386" s="33"/>
    </row>
    <row r="387" spans="4:18" ht="13.2">
      <c r="D387" s="30"/>
      <c r="E387" s="31"/>
      <c r="F387" s="31"/>
      <c r="I387" s="32"/>
      <c r="J387" s="32"/>
      <c r="L387" s="30"/>
      <c r="M387" s="31"/>
      <c r="P387" s="31"/>
      <c r="Q387" s="33"/>
      <c r="R387" s="33"/>
    </row>
    <row r="388" spans="4:18" ht="13.2">
      <c r="D388" s="30"/>
      <c r="E388" s="31"/>
      <c r="F388" s="31"/>
      <c r="I388" s="32"/>
      <c r="J388" s="32"/>
      <c r="L388" s="30"/>
      <c r="M388" s="31"/>
      <c r="P388" s="31"/>
      <c r="Q388" s="33"/>
      <c r="R388" s="33"/>
    </row>
    <row r="389" spans="4:18" ht="13.2">
      <c r="D389" s="30"/>
      <c r="E389" s="31"/>
      <c r="F389" s="31"/>
      <c r="I389" s="32"/>
      <c r="J389" s="32"/>
      <c r="L389" s="30"/>
      <c r="M389" s="31"/>
      <c r="P389" s="31"/>
      <c r="Q389" s="33"/>
      <c r="R389" s="33"/>
    </row>
    <row r="390" spans="4:18" ht="13.2">
      <c r="D390" s="30"/>
      <c r="E390" s="31"/>
      <c r="F390" s="31"/>
      <c r="I390" s="32"/>
      <c r="J390" s="32"/>
      <c r="L390" s="30"/>
      <c r="M390" s="31"/>
      <c r="P390" s="31"/>
      <c r="Q390" s="33"/>
      <c r="R390" s="33"/>
    </row>
    <row r="391" spans="4:18" ht="13.2">
      <c r="D391" s="30"/>
      <c r="E391" s="31"/>
      <c r="F391" s="31"/>
      <c r="I391" s="32"/>
      <c r="J391" s="32"/>
      <c r="L391" s="30"/>
      <c r="M391" s="31"/>
      <c r="P391" s="31"/>
      <c r="Q391" s="33"/>
      <c r="R391" s="33"/>
    </row>
    <row r="392" spans="4:18" ht="13.2">
      <c r="D392" s="30"/>
      <c r="E392" s="31"/>
      <c r="F392" s="31"/>
      <c r="I392" s="32"/>
      <c r="J392" s="32"/>
      <c r="L392" s="30"/>
      <c r="M392" s="31"/>
      <c r="P392" s="31"/>
      <c r="Q392" s="33"/>
      <c r="R392" s="33"/>
    </row>
    <row r="393" spans="4:18" ht="13.2">
      <c r="D393" s="30"/>
      <c r="E393" s="31"/>
      <c r="F393" s="31"/>
      <c r="I393" s="32"/>
      <c r="J393" s="32"/>
      <c r="L393" s="30"/>
      <c r="M393" s="31"/>
      <c r="P393" s="31"/>
      <c r="Q393" s="33"/>
      <c r="R393" s="33"/>
    </row>
    <row r="394" spans="4:18" ht="13.2">
      <c r="D394" s="30"/>
      <c r="E394" s="31"/>
      <c r="F394" s="31"/>
      <c r="I394" s="32"/>
      <c r="J394" s="32"/>
      <c r="L394" s="30"/>
      <c r="M394" s="31"/>
      <c r="P394" s="31"/>
      <c r="Q394" s="33"/>
      <c r="R394" s="33"/>
    </row>
    <row r="395" spans="4:18" ht="13.2">
      <c r="D395" s="30"/>
      <c r="E395" s="31"/>
      <c r="F395" s="31"/>
      <c r="I395" s="32"/>
      <c r="J395" s="32"/>
      <c r="L395" s="30"/>
      <c r="M395" s="31"/>
      <c r="P395" s="31"/>
      <c r="Q395" s="33"/>
      <c r="R395" s="33"/>
    </row>
    <row r="396" spans="4:18" ht="13.2">
      <c r="D396" s="30"/>
      <c r="E396" s="31"/>
      <c r="F396" s="31"/>
      <c r="I396" s="32"/>
      <c r="J396" s="32"/>
      <c r="L396" s="30"/>
      <c r="M396" s="31"/>
      <c r="P396" s="31"/>
      <c r="Q396" s="33"/>
      <c r="R396" s="33"/>
    </row>
    <row r="397" spans="4:18" ht="13.2">
      <c r="D397" s="30"/>
      <c r="E397" s="31"/>
      <c r="F397" s="31"/>
      <c r="I397" s="32"/>
      <c r="J397" s="32"/>
      <c r="L397" s="30"/>
      <c r="M397" s="31"/>
      <c r="P397" s="31"/>
      <c r="Q397" s="33"/>
      <c r="R397" s="33"/>
    </row>
    <row r="398" spans="4:18" ht="13.2">
      <c r="D398" s="30"/>
      <c r="E398" s="31"/>
      <c r="F398" s="31"/>
      <c r="I398" s="32"/>
      <c r="J398" s="32"/>
      <c r="L398" s="30"/>
      <c r="M398" s="31"/>
      <c r="P398" s="31"/>
      <c r="Q398" s="33"/>
      <c r="R398" s="33"/>
    </row>
    <row r="399" spans="4:18" ht="13.2">
      <c r="D399" s="30"/>
      <c r="E399" s="31"/>
      <c r="F399" s="31"/>
      <c r="I399" s="32"/>
      <c r="J399" s="32"/>
      <c r="L399" s="30"/>
      <c r="M399" s="31"/>
      <c r="P399" s="31"/>
      <c r="Q399" s="33"/>
      <c r="R399" s="33"/>
    </row>
    <row r="400" spans="4:18" ht="13.2">
      <c r="D400" s="30"/>
      <c r="E400" s="31"/>
      <c r="F400" s="31"/>
      <c r="I400" s="32"/>
      <c r="J400" s="32"/>
      <c r="L400" s="30"/>
      <c r="M400" s="31"/>
      <c r="P400" s="31"/>
      <c r="Q400" s="33"/>
      <c r="R400" s="33"/>
    </row>
    <row r="401" spans="4:18" ht="13.2">
      <c r="D401" s="30"/>
      <c r="E401" s="31"/>
      <c r="F401" s="31"/>
      <c r="I401" s="32"/>
      <c r="J401" s="32"/>
      <c r="L401" s="30"/>
      <c r="M401" s="31"/>
      <c r="P401" s="31"/>
      <c r="Q401" s="33"/>
      <c r="R401" s="33"/>
    </row>
    <row r="402" spans="4:18" ht="13.2">
      <c r="D402" s="30"/>
      <c r="E402" s="31"/>
      <c r="F402" s="31"/>
      <c r="I402" s="32"/>
      <c r="J402" s="32"/>
      <c r="L402" s="30"/>
      <c r="M402" s="31"/>
      <c r="P402" s="31"/>
      <c r="Q402" s="33"/>
      <c r="R402" s="33"/>
    </row>
    <row r="403" spans="4:18" ht="13.2">
      <c r="D403" s="30"/>
      <c r="E403" s="31"/>
      <c r="F403" s="31"/>
      <c r="I403" s="32"/>
      <c r="J403" s="32"/>
      <c r="L403" s="30"/>
      <c r="M403" s="31"/>
      <c r="P403" s="31"/>
      <c r="Q403" s="33"/>
      <c r="R403" s="33"/>
    </row>
    <row r="404" spans="4:18" ht="13.2">
      <c r="D404" s="30"/>
      <c r="E404" s="31"/>
      <c r="F404" s="31"/>
      <c r="I404" s="32"/>
      <c r="J404" s="32"/>
      <c r="L404" s="30"/>
      <c r="M404" s="31"/>
      <c r="P404" s="31"/>
      <c r="Q404" s="33"/>
      <c r="R404" s="33"/>
    </row>
    <row r="405" spans="4:18" ht="13.2">
      <c r="D405" s="30"/>
      <c r="E405" s="31"/>
      <c r="F405" s="31"/>
      <c r="I405" s="32"/>
      <c r="J405" s="32"/>
      <c r="L405" s="30"/>
      <c r="M405" s="31"/>
      <c r="P405" s="31"/>
      <c r="Q405" s="33"/>
      <c r="R405" s="33"/>
    </row>
    <row r="406" spans="4:18" ht="13.2">
      <c r="D406" s="30"/>
      <c r="E406" s="31"/>
      <c r="F406" s="31"/>
      <c r="I406" s="32"/>
      <c r="J406" s="32"/>
      <c r="L406" s="30"/>
      <c r="M406" s="31"/>
      <c r="P406" s="31"/>
      <c r="Q406" s="33"/>
      <c r="R406" s="33"/>
    </row>
    <row r="407" spans="4:18" ht="13.2">
      <c r="D407" s="30"/>
      <c r="E407" s="31"/>
      <c r="F407" s="31"/>
      <c r="I407" s="32"/>
      <c r="J407" s="32"/>
      <c r="L407" s="30"/>
      <c r="M407" s="31"/>
      <c r="P407" s="31"/>
      <c r="Q407" s="33"/>
      <c r="R407" s="33"/>
    </row>
    <row r="408" spans="4:18" ht="13.2">
      <c r="D408" s="30"/>
      <c r="E408" s="31"/>
      <c r="F408" s="31"/>
      <c r="I408" s="32"/>
      <c r="J408" s="32"/>
      <c r="L408" s="30"/>
      <c r="M408" s="31"/>
      <c r="P408" s="31"/>
      <c r="Q408" s="33"/>
      <c r="R408" s="33"/>
    </row>
    <row r="409" spans="4:18" ht="13.2">
      <c r="D409" s="30"/>
      <c r="E409" s="31"/>
      <c r="F409" s="31"/>
      <c r="I409" s="32"/>
      <c r="J409" s="32"/>
      <c r="L409" s="30"/>
      <c r="M409" s="31"/>
      <c r="P409" s="31"/>
      <c r="Q409" s="33"/>
      <c r="R409" s="33"/>
    </row>
    <row r="410" spans="4:18" ht="13.2">
      <c r="D410" s="30"/>
      <c r="E410" s="31"/>
      <c r="F410" s="31"/>
      <c r="I410" s="32"/>
      <c r="J410" s="32"/>
      <c r="L410" s="30"/>
      <c r="M410" s="31"/>
      <c r="P410" s="31"/>
      <c r="Q410" s="33"/>
      <c r="R410" s="33"/>
    </row>
    <row r="411" spans="4:18" ht="13.2">
      <c r="D411" s="30"/>
      <c r="E411" s="31"/>
      <c r="F411" s="31"/>
      <c r="I411" s="32"/>
      <c r="J411" s="32"/>
      <c r="L411" s="30"/>
      <c r="M411" s="31"/>
      <c r="P411" s="31"/>
      <c r="Q411" s="33"/>
      <c r="R411" s="33"/>
    </row>
    <row r="412" spans="4:18" ht="13.2">
      <c r="D412" s="30"/>
      <c r="E412" s="31"/>
      <c r="F412" s="31"/>
      <c r="I412" s="32"/>
      <c r="J412" s="32"/>
      <c r="L412" s="30"/>
      <c r="M412" s="31"/>
      <c r="P412" s="31"/>
      <c r="Q412" s="33"/>
      <c r="R412" s="33"/>
    </row>
    <row r="413" spans="4:18" ht="13.2">
      <c r="D413" s="30"/>
      <c r="E413" s="31"/>
      <c r="F413" s="31"/>
      <c r="I413" s="32"/>
      <c r="J413" s="32"/>
      <c r="L413" s="30"/>
      <c r="M413" s="31"/>
      <c r="P413" s="31"/>
      <c r="Q413" s="33"/>
      <c r="R413" s="33"/>
    </row>
    <row r="414" spans="4:18" ht="13.2">
      <c r="D414" s="30"/>
      <c r="E414" s="31"/>
      <c r="F414" s="31"/>
      <c r="I414" s="32"/>
      <c r="J414" s="32"/>
      <c r="L414" s="30"/>
      <c r="M414" s="31"/>
      <c r="P414" s="31"/>
      <c r="Q414" s="33"/>
      <c r="R414" s="33"/>
    </row>
    <row r="415" spans="4:18" ht="13.2">
      <c r="D415" s="30"/>
      <c r="E415" s="31"/>
      <c r="F415" s="31"/>
      <c r="I415" s="32"/>
      <c r="J415" s="32"/>
      <c r="L415" s="30"/>
      <c r="M415" s="31"/>
      <c r="P415" s="31"/>
      <c r="Q415" s="33"/>
      <c r="R415" s="33"/>
    </row>
    <row r="416" spans="4:18" ht="13.2">
      <c r="D416" s="30"/>
      <c r="E416" s="31"/>
      <c r="F416" s="31"/>
      <c r="I416" s="32"/>
      <c r="J416" s="32"/>
      <c r="L416" s="30"/>
      <c r="M416" s="31"/>
      <c r="P416" s="31"/>
      <c r="Q416" s="33"/>
      <c r="R416" s="33"/>
    </row>
    <row r="417" spans="4:18" ht="13.2">
      <c r="D417" s="30"/>
      <c r="E417" s="31"/>
      <c r="F417" s="31"/>
      <c r="I417" s="32"/>
      <c r="J417" s="32"/>
      <c r="L417" s="30"/>
      <c r="M417" s="31"/>
      <c r="P417" s="31"/>
      <c r="Q417" s="33"/>
      <c r="R417" s="33"/>
    </row>
    <row r="418" spans="4:18" ht="13.2">
      <c r="D418" s="30"/>
      <c r="E418" s="31"/>
      <c r="F418" s="31"/>
      <c r="I418" s="32"/>
      <c r="J418" s="32"/>
      <c r="L418" s="30"/>
      <c r="M418" s="31"/>
      <c r="P418" s="31"/>
      <c r="Q418" s="33"/>
      <c r="R418" s="33"/>
    </row>
    <row r="419" spans="4:18" ht="13.2">
      <c r="D419" s="30"/>
      <c r="E419" s="31"/>
      <c r="F419" s="31"/>
      <c r="I419" s="32"/>
      <c r="J419" s="32"/>
      <c r="L419" s="30"/>
      <c r="M419" s="31"/>
      <c r="P419" s="31"/>
      <c r="Q419" s="33"/>
      <c r="R419" s="33"/>
    </row>
    <row r="420" spans="4:18" ht="13.2">
      <c r="D420" s="30"/>
      <c r="E420" s="31"/>
      <c r="F420" s="31"/>
      <c r="I420" s="32"/>
      <c r="J420" s="32"/>
      <c r="L420" s="30"/>
      <c r="M420" s="31"/>
      <c r="P420" s="31"/>
      <c r="Q420" s="33"/>
      <c r="R420" s="33"/>
    </row>
    <row r="421" spans="4:18" ht="13.2">
      <c r="D421" s="30"/>
      <c r="E421" s="31"/>
      <c r="F421" s="31"/>
      <c r="I421" s="32"/>
      <c r="J421" s="32"/>
      <c r="L421" s="30"/>
      <c r="M421" s="31"/>
      <c r="P421" s="31"/>
      <c r="Q421" s="33"/>
      <c r="R421" s="33"/>
    </row>
    <row r="422" spans="4:18" ht="13.2">
      <c r="D422" s="30"/>
      <c r="E422" s="31"/>
      <c r="F422" s="31"/>
      <c r="I422" s="32"/>
      <c r="J422" s="32"/>
      <c r="L422" s="30"/>
      <c r="M422" s="31"/>
      <c r="P422" s="31"/>
      <c r="Q422" s="33"/>
      <c r="R422" s="33"/>
    </row>
    <row r="423" spans="4:18" ht="13.2">
      <c r="D423" s="30"/>
      <c r="E423" s="31"/>
      <c r="F423" s="31"/>
      <c r="I423" s="32"/>
      <c r="J423" s="32"/>
      <c r="L423" s="30"/>
      <c r="M423" s="31"/>
      <c r="P423" s="31"/>
      <c r="Q423" s="33"/>
      <c r="R423" s="33"/>
    </row>
    <row r="424" spans="4:18" ht="13.2">
      <c r="D424" s="30"/>
      <c r="E424" s="31"/>
      <c r="F424" s="31"/>
      <c r="I424" s="32"/>
      <c r="J424" s="32"/>
      <c r="L424" s="30"/>
      <c r="M424" s="31"/>
      <c r="P424" s="31"/>
      <c r="Q424" s="33"/>
      <c r="R424" s="33"/>
    </row>
    <row r="425" spans="4:18" ht="13.2">
      <c r="D425" s="30"/>
      <c r="E425" s="31"/>
      <c r="F425" s="31"/>
      <c r="I425" s="32"/>
      <c r="J425" s="32"/>
      <c r="L425" s="30"/>
      <c r="M425" s="31"/>
      <c r="P425" s="31"/>
      <c r="Q425" s="33"/>
      <c r="R425" s="33"/>
    </row>
    <row r="426" spans="4:18" ht="13.2">
      <c r="D426" s="30"/>
      <c r="E426" s="31"/>
      <c r="F426" s="31"/>
      <c r="I426" s="32"/>
      <c r="J426" s="32"/>
      <c r="L426" s="30"/>
      <c r="M426" s="31"/>
      <c r="P426" s="31"/>
      <c r="Q426" s="33"/>
      <c r="R426" s="33"/>
    </row>
    <row r="427" spans="4:18" ht="13.2">
      <c r="D427" s="30"/>
      <c r="E427" s="31"/>
      <c r="F427" s="31"/>
      <c r="I427" s="32"/>
      <c r="J427" s="32"/>
      <c r="L427" s="30"/>
      <c r="M427" s="31"/>
      <c r="P427" s="31"/>
      <c r="Q427" s="33"/>
      <c r="R427" s="33"/>
    </row>
    <row r="428" spans="4:18" ht="13.2">
      <c r="D428" s="30"/>
      <c r="E428" s="31"/>
      <c r="F428" s="31"/>
      <c r="I428" s="32"/>
      <c r="J428" s="32"/>
      <c r="L428" s="30"/>
      <c r="M428" s="31"/>
      <c r="P428" s="31"/>
      <c r="Q428" s="33"/>
      <c r="R428" s="33"/>
    </row>
    <row r="429" spans="4:18" ht="13.2">
      <c r="D429" s="30"/>
      <c r="E429" s="31"/>
      <c r="F429" s="31"/>
      <c r="I429" s="32"/>
      <c r="J429" s="32"/>
      <c r="L429" s="30"/>
      <c r="M429" s="31"/>
      <c r="P429" s="31"/>
      <c r="Q429" s="33"/>
      <c r="R429" s="33"/>
    </row>
    <row r="430" spans="4:18" ht="13.2">
      <c r="D430" s="30"/>
      <c r="E430" s="31"/>
      <c r="F430" s="31"/>
      <c r="I430" s="32"/>
      <c r="J430" s="32"/>
      <c r="L430" s="30"/>
      <c r="M430" s="31"/>
      <c r="P430" s="31"/>
      <c r="Q430" s="33"/>
      <c r="R430" s="33"/>
    </row>
    <row r="431" spans="4:18" ht="13.2">
      <c r="D431" s="30"/>
      <c r="E431" s="31"/>
      <c r="F431" s="31"/>
      <c r="I431" s="32"/>
      <c r="J431" s="32"/>
      <c r="L431" s="30"/>
      <c r="M431" s="31"/>
      <c r="P431" s="31"/>
      <c r="Q431" s="33"/>
      <c r="R431" s="33"/>
    </row>
    <row r="432" spans="4:18" ht="13.2">
      <c r="D432" s="30"/>
      <c r="E432" s="31"/>
      <c r="F432" s="31"/>
      <c r="I432" s="32"/>
      <c r="J432" s="32"/>
      <c r="L432" s="30"/>
      <c r="M432" s="31"/>
      <c r="P432" s="31"/>
      <c r="Q432" s="33"/>
      <c r="R432" s="33"/>
    </row>
    <row r="433" spans="4:18" ht="13.2">
      <c r="D433" s="30"/>
      <c r="E433" s="31"/>
      <c r="F433" s="31"/>
      <c r="I433" s="32"/>
      <c r="J433" s="32"/>
      <c r="L433" s="30"/>
      <c r="M433" s="31"/>
      <c r="P433" s="31"/>
      <c r="Q433" s="33"/>
      <c r="R433" s="33"/>
    </row>
    <row r="434" spans="4:18" ht="13.2">
      <c r="D434" s="30"/>
      <c r="E434" s="31"/>
      <c r="F434" s="31"/>
      <c r="I434" s="32"/>
      <c r="J434" s="32"/>
      <c r="L434" s="30"/>
      <c r="M434" s="31"/>
      <c r="P434" s="31"/>
      <c r="Q434" s="33"/>
      <c r="R434" s="33"/>
    </row>
    <row r="435" spans="4:18" ht="13.2">
      <c r="D435" s="30"/>
      <c r="E435" s="31"/>
      <c r="F435" s="31"/>
      <c r="I435" s="32"/>
      <c r="J435" s="32"/>
      <c r="L435" s="30"/>
      <c r="M435" s="31"/>
      <c r="P435" s="31"/>
      <c r="Q435" s="33"/>
      <c r="R435" s="33"/>
    </row>
    <row r="436" spans="4:18" ht="13.2">
      <c r="D436" s="30"/>
      <c r="E436" s="31"/>
      <c r="F436" s="31"/>
      <c r="I436" s="32"/>
      <c r="J436" s="32"/>
      <c r="L436" s="30"/>
      <c r="M436" s="31"/>
      <c r="P436" s="31"/>
      <c r="Q436" s="33"/>
      <c r="R436" s="33"/>
    </row>
    <row r="437" spans="4:18" ht="13.2">
      <c r="D437" s="30"/>
      <c r="E437" s="31"/>
      <c r="F437" s="31"/>
      <c r="I437" s="32"/>
      <c r="J437" s="32"/>
      <c r="L437" s="30"/>
      <c r="M437" s="31"/>
      <c r="P437" s="31"/>
      <c r="Q437" s="33"/>
      <c r="R437" s="33"/>
    </row>
    <row r="438" spans="4:18" ht="13.2">
      <c r="D438" s="30"/>
      <c r="E438" s="31"/>
      <c r="F438" s="31"/>
      <c r="I438" s="32"/>
      <c r="J438" s="32"/>
      <c r="L438" s="30"/>
      <c r="M438" s="31"/>
      <c r="P438" s="31"/>
      <c r="Q438" s="33"/>
      <c r="R438" s="33"/>
    </row>
    <row r="439" spans="4:18" ht="13.2">
      <c r="D439" s="30"/>
      <c r="E439" s="31"/>
      <c r="F439" s="31"/>
      <c r="I439" s="32"/>
      <c r="J439" s="32"/>
      <c r="L439" s="30"/>
      <c r="M439" s="31"/>
      <c r="P439" s="31"/>
      <c r="Q439" s="33"/>
      <c r="R439" s="33"/>
    </row>
    <row r="440" spans="4:18" ht="13.2">
      <c r="D440" s="30"/>
      <c r="E440" s="31"/>
      <c r="F440" s="31"/>
      <c r="I440" s="32"/>
      <c r="J440" s="32"/>
      <c r="L440" s="30"/>
      <c r="M440" s="31"/>
      <c r="P440" s="31"/>
      <c r="Q440" s="33"/>
      <c r="R440" s="33"/>
    </row>
    <row r="441" spans="4:18" ht="13.2">
      <c r="D441" s="30"/>
      <c r="E441" s="31"/>
      <c r="F441" s="31"/>
      <c r="I441" s="32"/>
      <c r="J441" s="32"/>
      <c r="L441" s="30"/>
      <c r="M441" s="31"/>
      <c r="P441" s="31"/>
      <c r="Q441" s="33"/>
      <c r="R441" s="33"/>
    </row>
    <row r="442" spans="4:18" ht="13.2">
      <c r="D442" s="30"/>
      <c r="E442" s="31"/>
      <c r="F442" s="31"/>
      <c r="I442" s="32"/>
      <c r="J442" s="32"/>
      <c r="L442" s="30"/>
      <c r="M442" s="31"/>
      <c r="P442" s="31"/>
      <c r="Q442" s="33"/>
      <c r="R442" s="33"/>
    </row>
    <row r="443" spans="4:18" ht="13.2">
      <c r="D443" s="30"/>
      <c r="E443" s="31"/>
      <c r="F443" s="31"/>
      <c r="I443" s="32"/>
      <c r="J443" s="32"/>
      <c r="L443" s="30"/>
      <c r="M443" s="31"/>
      <c r="P443" s="31"/>
      <c r="Q443" s="33"/>
      <c r="R443" s="33"/>
    </row>
    <row r="444" spans="4:18" ht="13.2">
      <c r="D444" s="30"/>
      <c r="E444" s="31"/>
      <c r="F444" s="31"/>
      <c r="I444" s="32"/>
      <c r="J444" s="32"/>
      <c r="L444" s="30"/>
      <c r="M444" s="31"/>
      <c r="P444" s="31"/>
      <c r="Q444" s="33"/>
      <c r="R444" s="33"/>
    </row>
    <row r="445" spans="4:18" ht="13.2">
      <c r="D445" s="30"/>
      <c r="E445" s="31"/>
      <c r="F445" s="31"/>
      <c r="I445" s="32"/>
      <c r="J445" s="32"/>
      <c r="L445" s="30"/>
      <c r="M445" s="31"/>
      <c r="P445" s="31"/>
      <c r="Q445" s="33"/>
      <c r="R445" s="33"/>
    </row>
    <row r="446" spans="4:18" ht="13.2">
      <c r="D446" s="30"/>
      <c r="E446" s="31"/>
      <c r="F446" s="31"/>
      <c r="I446" s="32"/>
      <c r="J446" s="32"/>
      <c r="L446" s="30"/>
      <c r="M446" s="31"/>
      <c r="P446" s="31"/>
      <c r="Q446" s="33"/>
      <c r="R446" s="33"/>
    </row>
    <row r="447" spans="4:18" ht="13.2">
      <c r="D447" s="30"/>
      <c r="E447" s="31"/>
      <c r="F447" s="31"/>
      <c r="I447" s="32"/>
      <c r="J447" s="32"/>
      <c r="L447" s="30"/>
      <c r="M447" s="31"/>
      <c r="P447" s="31"/>
      <c r="Q447" s="33"/>
      <c r="R447" s="33"/>
    </row>
    <row r="448" spans="4:18" ht="13.2">
      <c r="D448" s="30"/>
      <c r="E448" s="31"/>
      <c r="F448" s="31"/>
      <c r="I448" s="32"/>
      <c r="J448" s="32"/>
      <c r="L448" s="30"/>
      <c r="M448" s="31"/>
      <c r="P448" s="31"/>
      <c r="Q448" s="33"/>
      <c r="R448" s="33"/>
    </row>
    <row r="449" spans="4:18" ht="13.2">
      <c r="D449" s="30"/>
      <c r="E449" s="31"/>
      <c r="F449" s="31"/>
      <c r="I449" s="32"/>
      <c r="J449" s="32"/>
      <c r="L449" s="30"/>
      <c r="M449" s="31"/>
      <c r="P449" s="31"/>
      <c r="Q449" s="33"/>
      <c r="R449" s="33"/>
    </row>
    <row r="450" spans="4:18" ht="13.2">
      <c r="D450" s="30"/>
      <c r="E450" s="31"/>
      <c r="F450" s="31"/>
      <c r="I450" s="32"/>
      <c r="J450" s="32"/>
      <c r="L450" s="30"/>
      <c r="M450" s="31"/>
      <c r="P450" s="31"/>
      <c r="Q450" s="33"/>
      <c r="R450" s="33"/>
    </row>
    <row r="451" spans="4:18" ht="13.2">
      <c r="D451" s="30"/>
      <c r="E451" s="31"/>
      <c r="F451" s="31"/>
      <c r="I451" s="32"/>
      <c r="J451" s="32"/>
      <c r="L451" s="30"/>
      <c r="M451" s="31"/>
      <c r="P451" s="31"/>
      <c r="Q451" s="33"/>
      <c r="R451" s="33"/>
    </row>
    <row r="452" spans="4:18" ht="13.2">
      <c r="D452" s="30"/>
      <c r="E452" s="31"/>
      <c r="F452" s="31"/>
      <c r="I452" s="32"/>
      <c r="J452" s="32"/>
      <c r="L452" s="30"/>
      <c r="M452" s="31"/>
      <c r="P452" s="31"/>
      <c r="Q452" s="33"/>
      <c r="R452" s="33"/>
    </row>
    <row r="453" spans="4:18" ht="13.2">
      <c r="D453" s="30"/>
      <c r="E453" s="31"/>
      <c r="F453" s="31"/>
      <c r="I453" s="32"/>
      <c r="J453" s="32"/>
      <c r="L453" s="30"/>
      <c r="M453" s="31"/>
      <c r="P453" s="31"/>
      <c r="Q453" s="33"/>
      <c r="R453" s="33"/>
    </row>
    <row r="454" spans="4:18" ht="13.2">
      <c r="D454" s="30"/>
      <c r="E454" s="31"/>
      <c r="F454" s="31"/>
      <c r="I454" s="32"/>
      <c r="J454" s="32"/>
      <c r="L454" s="30"/>
      <c r="M454" s="31"/>
      <c r="P454" s="31"/>
      <c r="Q454" s="33"/>
      <c r="R454" s="33"/>
    </row>
    <row r="455" spans="4:18" ht="13.2">
      <c r="D455" s="30"/>
      <c r="E455" s="31"/>
      <c r="F455" s="31"/>
      <c r="I455" s="32"/>
      <c r="J455" s="32"/>
      <c r="L455" s="30"/>
      <c r="M455" s="31"/>
      <c r="P455" s="31"/>
      <c r="Q455" s="33"/>
      <c r="R455" s="33"/>
    </row>
    <row r="456" spans="4:18" ht="13.2">
      <c r="D456" s="30"/>
      <c r="E456" s="31"/>
      <c r="F456" s="31"/>
      <c r="I456" s="32"/>
      <c r="J456" s="32"/>
      <c r="L456" s="30"/>
      <c r="M456" s="31"/>
      <c r="P456" s="31"/>
      <c r="Q456" s="33"/>
      <c r="R456" s="33"/>
    </row>
    <row r="457" spans="4:18" ht="13.2">
      <c r="D457" s="30"/>
      <c r="E457" s="31"/>
      <c r="F457" s="31"/>
      <c r="I457" s="32"/>
      <c r="J457" s="32"/>
      <c r="L457" s="30"/>
      <c r="M457" s="31"/>
      <c r="P457" s="31"/>
      <c r="Q457" s="33"/>
      <c r="R457" s="33"/>
    </row>
    <row r="458" spans="4:18" ht="13.2">
      <c r="D458" s="30"/>
      <c r="E458" s="31"/>
      <c r="F458" s="31"/>
      <c r="I458" s="32"/>
      <c r="J458" s="32"/>
      <c r="L458" s="30"/>
      <c r="M458" s="31"/>
      <c r="P458" s="31"/>
      <c r="Q458" s="33"/>
      <c r="R458" s="33"/>
    </row>
    <row r="459" spans="4:18" ht="13.2">
      <c r="D459" s="30"/>
      <c r="E459" s="31"/>
      <c r="F459" s="31"/>
      <c r="I459" s="32"/>
      <c r="J459" s="32"/>
      <c r="L459" s="30"/>
      <c r="M459" s="31"/>
      <c r="P459" s="31"/>
      <c r="Q459" s="33"/>
      <c r="R459" s="33"/>
    </row>
    <row r="460" spans="4:18" ht="13.2">
      <c r="D460" s="30"/>
      <c r="E460" s="31"/>
      <c r="F460" s="31"/>
      <c r="I460" s="32"/>
      <c r="J460" s="32"/>
      <c r="L460" s="30"/>
      <c r="M460" s="31"/>
      <c r="P460" s="31"/>
      <c r="Q460" s="33"/>
      <c r="R460" s="33"/>
    </row>
    <row r="461" spans="4:18" ht="13.2">
      <c r="D461" s="30"/>
      <c r="E461" s="31"/>
      <c r="F461" s="31"/>
      <c r="I461" s="32"/>
      <c r="J461" s="32"/>
      <c r="L461" s="30"/>
      <c r="M461" s="31"/>
      <c r="P461" s="31"/>
      <c r="Q461" s="33"/>
      <c r="R461" s="33"/>
    </row>
    <row r="462" spans="4:18" ht="13.2">
      <c r="D462" s="30"/>
      <c r="E462" s="31"/>
      <c r="F462" s="31"/>
      <c r="I462" s="32"/>
      <c r="J462" s="32"/>
      <c r="L462" s="30"/>
      <c r="M462" s="31"/>
      <c r="P462" s="31"/>
      <c r="Q462" s="33"/>
      <c r="R462" s="33"/>
    </row>
    <row r="463" spans="4:18" ht="13.2">
      <c r="D463" s="30"/>
      <c r="E463" s="31"/>
      <c r="F463" s="31"/>
      <c r="I463" s="32"/>
      <c r="J463" s="32"/>
      <c r="L463" s="30"/>
      <c r="M463" s="31"/>
      <c r="P463" s="31"/>
      <c r="Q463" s="33"/>
      <c r="R463" s="33"/>
    </row>
    <row r="464" spans="4:18" ht="13.2">
      <c r="D464" s="30"/>
      <c r="E464" s="31"/>
      <c r="F464" s="31"/>
      <c r="I464" s="32"/>
      <c r="J464" s="32"/>
      <c r="L464" s="30"/>
      <c r="M464" s="31"/>
      <c r="P464" s="31"/>
      <c r="Q464" s="33"/>
      <c r="R464" s="33"/>
    </row>
    <row r="465" spans="4:18" ht="13.2">
      <c r="D465" s="30"/>
      <c r="E465" s="31"/>
      <c r="F465" s="31"/>
      <c r="I465" s="32"/>
      <c r="J465" s="32"/>
      <c r="L465" s="30"/>
      <c r="M465" s="31"/>
      <c r="P465" s="31"/>
      <c r="Q465" s="33"/>
      <c r="R465" s="33"/>
    </row>
    <row r="466" spans="4:18" ht="13.2">
      <c r="D466" s="30"/>
      <c r="E466" s="31"/>
      <c r="F466" s="31"/>
      <c r="I466" s="32"/>
      <c r="J466" s="32"/>
      <c r="L466" s="30"/>
      <c r="M466" s="31"/>
      <c r="P466" s="31"/>
      <c r="Q466" s="33"/>
      <c r="R466" s="33"/>
    </row>
    <row r="467" spans="4:18" ht="13.2">
      <c r="D467" s="30"/>
      <c r="E467" s="31"/>
      <c r="F467" s="31"/>
      <c r="I467" s="32"/>
      <c r="J467" s="32"/>
      <c r="L467" s="30"/>
      <c r="M467" s="31"/>
      <c r="P467" s="31"/>
      <c r="Q467" s="33"/>
      <c r="R467" s="33"/>
    </row>
    <row r="468" spans="4:18" ht="13.2">
      <c r="D468" s="30"/>
      <c r="E468" s="31"/>
      <c r="F468" s="31"/>
      <c r="I468" s="32"/>
      <c r="J468" s="32"/>
      <c r="L468" s="30"/>
      <c r="M468" s="31"/>
      <c r="P468" s="31"/>
      <c r="Q468" s="33"/>
      <c r="R468" s="33"/>
    </row>
    <row r="469" spans="4:18" ht="13.2">
      <c r="D469" s="30"/>
      <c r="E469" s="31"/>
      <c r="F469" s="31"/>
      <c r="I469" s="32"/>
      <c r="J469" s="32"/>
      <c r="L469" s="30"/>
      <c r="M469" s="31"/>
      <c r="P469" s="31"/>
      <c r="Q469" s="33"/>
      <c r="R469" s="33"/>
    </row>
    <row r="470" spans="4:18" ht="13.2">
      <c r="D470" s="30"/>
      <c r="E470" s="31"/>
      <c r="F470" s="31"/>
      <c r="I470" s="32"/>
      <c r="J470" s="32"/>
      <c r="L470" s="30"/>
      <c r="M470" s="31"/>
      <c r="P470" s="31"/>
      <c r="Q470" s="33"/>
      <c r="R470" s="33"/>
    </row>
    <row r="471" spans="4:18" ht="13.2">
      <c r="D471" s="30"/>
      <c r="E471" s="31"/>
      <c r="F471" s="31"/>
      <c r="I471" s="32"/>
      <c r="J471" s="32"/>
      <c r="L471" s="30"/>
      <c r="M471" s="31"/>
      <c r="P471" s="31"/>
      <c r="Q471" s="33"/>
      <c r="R471" s="33"/>
    </row>
    <row r="472" spans="4:18" ht="13.2">
      <c r="D472" s="30"/>
      <c r="E472" s="31"/>
      <c r="F472" s="31"/>
      <c r="I472" s="32"/>
      <c r="J472" s="32"/>
      <c r="L472" s="30"/>
      <c r="M472" s="31"/>
      <c r="P472" s="31"/>
      <c r="Q472" s="33"/>
      <c r="R472" s="33"/>
    </row>
    <row r="473" spans="4:18" ht="13.2">
      <c r="D473" s="30"/>
      <c r="E473" s="31"/>
      <c r="F473" s="31"/>
      <c r="I473" s="32"/>
      <c r="J473" s="32"/>
      <c r="L473" s="30"/>
      <c r="M473" s="31"/>
      <c r="P473" s="31"/>
      <c r="Q473" s="33"/>
      <c r="R473" s="33"/>
    </row>
    <row r="474" spans="4:18" ht="13.2">
      <c r="D474" s="30"/>
      <c r="E474" s="31"/>
      <c r="F474" s="31"/>
      <c r="I474" s="32"/>
      <c r="J474" s="32"/>
      <c r="L474" s="30"/>
      <c r="M474" s="31"/>
      <c r="P474" s="31"/>
      <c r="Q474" s="33"/>
      <c r="R474" s="33"/>
    </row>
    <row r="475" spans="4:18" ht="13.2">
      <c r="D475" s="30"/>
      <c r="E475" s="31"/>
      <c r="F475" s="31"/>
      <c r="I475" s="32"/>
      <c r="J475" s="32"/>
      <c r="L475" s="30"/>
      <c r="M475" s="31"/>
      <c r="P475" s="31"/>
      <c r="Q475" s="33"/>
      <c r="R475" s="33"/>
    </row>
    <row r="476" spans="4:18" ht="13.2">
      <c r="D476" s="30"/>
      <c r="E476" s="31"/>
      <c r="F476" s="31"/>
      <c r="I476" s="32"/>
      <c r="J476" s="32"/>
      <c r="L476" s="30"/>
      <c r="M476" s="31"/>
      <c r="P476" s="31"/>
      <c r="Q476" s="33"/>
      <c r="R476" s="33"/>
    </row>
    <row r="477" spans="4:18" ht="13.2">
      <c r="D477" s="30"/>
      <c r="E477" s="31"/>
      <c r="F477" s="31"/>
      <c r="I477" s="32"/>
      <c r="J477" s="32"/>
      <c r="L477" s="30"/>
      <c r="M477" s="31"/>
      <c r="P477" s="31"/>
      <c r="Q477" s="33"/>
      <c r="R477" s="33"/>
    </row>
    <row r="478" spans="4:18" ht="13.2">
      <c r="D478" s="30"/>
      <c r="E478" s="31"/>
      <c r="F478" s="31"/>
      <c r="I478" s="32"/>
      <c r="J478" s="32"/>
      <c r="L478" s="30"/>
      <c r="M478" s="31"/>
      <c r="P478" s="31"/>
      <c r="Q478" s="33"/>
      <c r="R478" s="33"/>
    </row>
    <row r="479" spans="4:18" ht="13.2">
      <c r="D479" s="30"/>
      <c r="E479" s="31"/>
      <c r="F479" s="31"/>
      <c r="I479" s="32"/>
      <c r="J479" s="32"/>
      <c r="L479" s="30"/>
      <c r="M479" s="31"/>
      <c r="P479" s="31"/>
      <c r="Q479" s="33"/>
      <c r="R479" s="33"/>
    </row>
    <row r="480" spans="4:18" ht="13.2">
      <c r="D480" s="30"/>
      <c r="E480" s="31"/>
      <c r="F480" s="31"/>
      <c r="I480" s="32"/>
      <c r="J480" s="32"/>
      <c r="L480" s="30"/>
      <c r="M480" s="31"/>
      <c r="P480" s="31"/>
      <c r="Q480" s="33"/>
      <c r="R480" s="33"/>
    </row>
    <row r="481" spans="4:18" ht="13.2">
      <c r="D481" s="30"/>
      <c r="E481" s="31"/>
      <c r="F481" s="31"/>
      <c r="I481" s="32"/>
      <c r="J481" s="32"/>
      <c r="L481" s="30"/>
      <c r="M481" s="31"/>
      <c r="P481" s="31"/>
      <c r="Q481" s="33"/>
      <c r="R481" s="33"/>
    </row>
    <row r="482" spans="4:18" ht="13.2">
      <c r="D482" s="30"/>
      <c r="E482" s="31"/>
      <c r="F482" s="31"/>
      <c r="I482" s="32"/>
      <c r="J482" s="32"/>
      <c r="L482" s="30"/>
      <c r="M482" s="31"/>
      <c r="P482" s="31"/>
      <c r="Q482" s="33"/>
      <c r="R482" s="33"/>
    </row>
    <row r="483" spans="4:18" ht="13.2">
      <c r="D483" s="30"/>
      <c r="E483" s="31"/>
      <c r="F483" s="31"/>
      <c r="I483" s="32"/>
      <c r="J483" s="32"/>
      <c r="L483" s="30"/>
      <c r="M483" s="31"/>
      <c r="P483" s="31"/>
      <c r="Q483" s="33"/>
      <c r="R483" s="33"/>
    </row>
    <row r="484" spans="4:18" ht="13.2">
      <c r="D484" s="30"/>
      <c r="E484" s="31"/>
      <c r="F484" s="31"/>
      <c r="I484" s="32"/>
      <c r="J484" s="32"/>
      <c r="L484" s="30"/>
      <c r="M484" s="31"/>
      <c r="P484" s="31"/>
      <c r="Q484" s="33"/>
      <c r="R484" s="33"/>
    </row>
    <row r="485" spans="4:18" ht="13.2">
      <c r="D485" s="30"/>
      <c r="E485" s="31"/>
      <c r="F485" s="31"/>
      <c r="I485" s="32"/>
      <c r="J485" s="32"/>
      <c r="L485" s="30"/>
      <c r="M485" s="31"/>
      <c r="P485" s="31"/>
      <c r="Q485" s="33"/>
      <c r="R485" s="33"/>
    </row>
    <row r="486" spans="4:18" ht="13.2">
      <c r="D486" s="30"/>
      <c r="E486" s="31"/>
      <c r="F486" s="31"/>
      <c r="I486" s="32"/>
      <c r="J486" s="32"/>
      <c r="L486" s="30"/>
      <c r="M486" s="31"/>
      <c r="P486" s="31"/>
      <c r="Q486" s="33"/>
      <c r="R486" s="33"/>
    </row>
    <row r="487" spans="4:18" ht="13.2">
      <c r="D487" s="30"/>
      <c r="E487" s="31"/>
      <c r="F487" s="31"/>
      <c r="I487" s="32"/>
      <c r="J487" s="32"/>
      <c r="L487" s="30"/>
      <c r="M487" s="31"/>
      <c r="P487" s="31"/>
      <c r="Q487" s="33"/>
      <c r="R487" s="33"/>
    </row>
    <row r="488" spans="4:18" ht="13.2">
      <c r="D488" s="30"/>
      <c r="E488" s="31"/>
      <c r="F488" s="31"/>
      <c r="I488" s="32"/>
      <c r="J488" s="32"/>
      <c r="L488" s="30"/>
      <c r="M488" s="31"/>
      <c r="P488" s="31"/>
      <c r="Q488" s="33"/>
      <c r="R488" s="33"/>
    </row>
    <row r="489" spans="4:18" ht="13.2">
      <c r="D489" s="30"/>
      <c r="E489" s="31"/>
      <c r="F489" s="31"/>
      <c r="I489" s="32"/>
      <c r="J489" s="32"/>
      <c r="L489" s="30"/>
      <c r="M489" s="31"/>
      <c r="P489" s="31"/>
      <c r="Q489" s="33"/>
      <c r="R489" s="33"/>
    </row>
    <row r="490" spans="4:18" ht="13.2">
      <c r="D490" s="30"/>
      <c r="E490" s="31"/>
      <c r="F490" s="31"/>
      <c r="I490" s="32"/>
      <c r="J490" s="32"/>
      <c r="L490" s="30"/>
      <c r="M490" s="31"/>
      <c r="P490" s="31"/>
      <c r="Q490" s="33"/>
      <c r="R490" s="33"/>
    </row>
    <row r="491" spans="4:18" ht="13.2">
      <c r="D491" s="30"/>
      <c r="E491" s="31"/>
      <c r="F491" s="31"/>
      <c r="I491" s="32"/>
      <c r="J491" s="32"/>
      <c r="L491" s="30"/>
      <c r="M491" s="31"/>
      <c r="P491" s="31"/>
      <c r="Q491" s="33"/>
      <c r="R491" s="33"/>
    </row>
    <row r="492" spans="4:18" ht="13.2">
      <c r="D492" s="30"/>
      <c r="E492" s="31"/>
      <c r="F492" s="31"/>
      <c r="I492" s="32"/>
      <c r="J492" s="32"/>
      <c r="L492" s="30"/>
      <c r="M492" s="31"/>
      <c r="P492" s="31"/>
      <c r="Q492" s="33"/>
      <c r="R492" s="33"/>
    </row>
    <row r="493" spans="4:18" ht="13.2">
      <c r="D493" s="30"/>
      <c r="E493" s="31"/>
      <c r="F493" s="31"/>
      <c r="I493" s="32"/>
      <c r="J493" s="32"/>
      <c r="L493" s="30"/>
      <c r="M493" s="31"/>
      <c r="P493" s="31"/>
      <c r="Q493" s="33"/>
      <c r="R493" s="33"/>
    </row>
    <row r="494" spans="4:18" ht="13.2">
      <c r="D494" s="30"/>
      <c r="E494" s="31"/>
      <c r="F494" s="31"/>
      <c r="I494" s="32"/>
      <c r="J494" s="32"/>
      <c r="L494" s="30"/>
      <c r="M494" s="31"/>
      <c r="P494" s="31"/>
      <c r="Q494" s="33"/>
      <c r="R494" s="33"/>
    </row>
    <row r="495" spans="4:18" ht="13.2">
      <c r="D495" s="30"/>
      <c r="E495" s="31"/>
      <c r="F495" s="31"/>
      <c r="I495" s="32"/>
      <c r="J495" s="32"/>
      <c r="L495" s="30"/>
      <c r="M495" s="31"/>
      <c r="P495" s="31"/>
      <c r="Q495" s="33"/>
      <c r="R495" s="33"/>
    </row>
    <row r="496" spans="4:18" ht="13.2">
      <c r="D496" s="30"/>
      <c r="E496" s="31"/>
      <c r="F496" s="31"/>
      <c r="I496" s="32"/>
      <c r="J496" s="32"/>
      <c r="L496" s="30"/>
      <c r="M496" s="31"/>
      <c r="P496" s="31"/>
      <c r="Q496" s="33"/>
      <c r="R496" s="33"/>
    </row>
    <row r="497" spans="4:18" ht="13.2">
      <c r="D497" s="30"/>
      <c r="E497" s="31"/>
      <c r="F497" s="31"/>
      <c r="I497" s="32"/>
      <c r="J497" s="32"/>
      <c r="L497" s="30"/>
      <c r="M497" s="31"/>
      <c r="P497" s="31"/>
      <c r="Q497" s="33"/>
      <c r="R497" s="33"/>
    </row>
    <row r="498" spans="4:18" ht="13.2">
      <c r="D498" s="30"/>
      <c r="E498" s="31"/>
      <c r="F498" s="31"/>
      <c r="I498" s="32"/>
      <c r="J498" s="32"/>
      <c r="L498" s="30"/>
      <c r="M498" s="31"/>
      <c r="P498" s="31"/>
      <c r="Q498" s="33"/>
      <c r="R498" s="33"/>
    </row>
    <row r="499" spans="4:18" ht="13.2">
      <c r="D499" s="30"/>
      <c r="E499" s="31"/>
      <c r="F499" s="31"/>
      <c r="I499" s="32"/>
      <c r="J499" s="32"/>
      <c r="L499" s="30"/>
      <c r="M499" s="31"/>
      <c r="P499" s="31"/>
      <c r="Q499" s="33"/>
      <c r="R499" s="33"/>
    </row>
    <row r="500" spans="4:18" ht="13.2">
      <c r="D500" s="30"/>
      <c r="E500" s="31"/>
      <c r="F500" s="31"/>
      <c r="I500" s="32"/>
      <c r="J500" s="32"/>
      <c r="L500" s="30"/>
      <c r="M500" s="31"/>
      <c r="P500" s="31"/>
      <c r="Q500" s="33"/>
      <c r="R500" s="33"/>
    </row>
    <row r="501" spans="4:18" ht="13.2">
      <c r="D501" s="30"/>
      <c r="E501" s="31"/>
      <c r="F501" s="31"/>
      <c r="I501" s="32"/>
      <c r="J501" s="32"/>
      <c r="L501" s="30"/>
      <c r="M501" s="31"/>
      <c r="P501" s="31"/>
      <c r="Q501" s="33"/>
      <c r="R501" s="33"/>
    </row>
    <row r="502" spans="4:18" ht="13.2">
      <c r="D502" s="30"/>
      <c r="E502" s="31"/>
      <c r="F502" s="31"/>
      <c r="I502" s="32"/>
      <c r="J502" s="32"/>
      <c r="L502" s="30"/>
      <c r="M502" s="31"/>
      <c r="P502" s="31"/>
      <c r="Q502" s="33"/>
      <c r="R502" s="33"/>
    </row>
    <row r="503" spans="4:18" ht="13.2">
      <c r="D503" s="30"/>
      <c r="E503" s="31"/>
      <c r="F503" s="31"/>
      <c r="I503" s="32"/>
      <c r="J503" s="32"/>
      <c r="L503" s="30"/>
      <c r="M503" s="31"/>
      <c r="P503" s="31"/>
      <c r="Q503" s="33"/>
      <c r="R503" s="33"/>
    </row>
    <row r="504" spans="4:18" ht="13.2">
      <c r="D504" s="30"/>
      <c r="E504" s="31"/>
      <c r="F504" s="31"/>
      <c r="I504" s="32"/>
      <c r="J504" s="32"/>
      <c r="L504" s="30"/>
      <c r="M504" s="31"/>
      <c r="P504" s="31"/>
      <c r="Q504" s="33"/>
      <c r="R504" s="33"/>
    </row>
    <row r="505" spans="4:18" ht="13.2">
      <c r="D505" s="30"/>
      <c r="E505" s="31"/>
      <c r="F505" s="31"/>
      <c r="I505" s="32"/>
      <c r="J505" s="32"/>
      <c r="L505" s="30"/>
      <c r="M505" s="31"/>
      <c r="P505" s="31"/>
      <c r="Q505" s="33"/>
      <c r="R505" s="33"/>
    </row>
    <row r="506" spans="4:18" ht="13.2">
      <c r="D506" s="30"/>
      <c r="E506" s="31"/>
      <c r="F506" s="31"/>
      <c r="I506" s="32"/>
      <c r="J506" s="32"/>
      <c r="L506" s="30"/>
      <c r="M506" s="31"/>
      <c r="P506" s="31"/>
      <c r="Q506" s="33"/>
      <c r="R506" s="33"/>
    </row>
    <row r="507" spans="4:18" ht="13.2">
      <c r="D507" s="30"/>
      <c r="E507" s="31"/>
      <c r="F507" s="31"/>
      <c r="I507" s="32"/>
      <c r="J507" s="32"/>
      <c r="L507" s="30"/>
      <c r="M507" s="31"/>
      <c r="P507" s="31"/>
      <c r="Q507" s="33"/>
      <c r="R507" s="33"/>
    </row>
    <row r="508" spans="4:18" ht="13.2">
      <c r="D508" s="30"/>
      <c r="E508" s="31"/>
      <c r="F508" s="31"/>
      <c r="I508" s="32"/>
      <c r="J508" s="32"/>
      <c r="L508" s="30"/>
      <c r="M508" s="31"/>
      <c r="P508" s="31"/>
      <c r="Q508" s="33"/>
      <c r="R508" s="33"/>
    </row>
    <row r="509" spans="4:18" ht="13.2">
      <c r="D509" s="30"/>
      <c r="E509" s="31"/>
      <c r="F509" s="31"/>
      <c r="I509" s="32"/>
      <c r="J509" s="32"/>
      <c r="L509" s="30"/>
      <c r="M509" s="31"/>
      <c r="P509" s="31"/>
      <c r="Q509" s="33"/>
      <c r="R509" s="33"/>
    </row>
    <row r="510" spans="4:18" ht="13.2">
      <c r="D510" s="30"/>
      <c r="E510" s="31"/>
      <c r="F510" s="31"/>
      <c r="I510" s="32"/>
      <c r="J510" s="32"/>
      <c r="L510" s="30"/>
      <c r="M510" s="31"/>
      <c r="P510" s="31"/>
      <c r="Q510" s="33"/>
      <c r="R510" s="33"/>
    </row>
    <row r="511" spans="4:18" ht="13.2">
      <c r="D511" s="30"/>
      <c r="E511" s="31"/>
      <c r="F511" s="31"/>
      <c r="I511" s="32"/>
      <c r="J511" s="32"/>
      <c r="L511" s="30"/>
      <c r="M511" s="31"/>
      <c r="P511" s="31"/>
      <c r="Q511" s="33"/>
      <c r="R511" s="33"/>
    </row>
    <row r="512" spans="4:18" ht="13.2">
      <c r="D512" s="30"/>
      <c r="E512" s="31"/>
      <c r="F512" s="31"/>
      <c r="I512" s="32"/>
      <c r="J512" s="32"/>
      <c r="L512" s="30"/>
      <c r="M512" s="31"/>
      <c r="P512" s="31"/>
      <c r="Q512" s="33"/>
      <c r="R512" s="33"/>
    </row>
    <row r="513" spans="4:18" ht="13.2">
      <c r="D513" s="30"/>
      <c r="E513" s="31"/>
      <c r="F513" s="31"/>
      <c r="I513" s="32"/>
      <c r="J513" s="32"/>
      <c r="L513" s="30"/>
      <c r="M513" s="31"/>
      <c r="P513" s="31"/>
      <c r="Q513" s="33"/>
      <c r="R513" s="33"/>
    </row>
    <row r="514" spans="4:18" ht="13.2">
      <c r="D514" s="30"/>
      <c r="E514" s="31"/>
      <c r="F514" s="31"/>
      <c r="I514" s="32"/>
      <c r="J514" s="32"/>
      <c r="L514" s="30"/>
      <c r="M514" s="31"/>
      <c r="P514" s="31"/>
      <c r="Q514" s="33"/>
      <c r="R514" s="33"/>
    </row>
    <row r="515" spans="4:18" ht="13.2">
      <c r="D515" s="30"/>
      <c r="E515" s="31"/>
      <c r="F515" s="31"/>
      <c r="I515" s="32"/>
      <c r="J515" s="32"/>
      <c r="L515" s="30"/>
      <c r="M515" s="31"/>
      <c r="P515" s="31"/>
      <c r="Q515" s="33"/>
      <c r="R515" s="33"/>
    </row>
    <row r="516" spans="4:18" ht="13.2">
      <c r="D516" s="30"/>
      <c r="E516" s="31"/>
      <c r="F516" s="31"/>
      <c r="I516" s="32"/>
      <c r="J516" s="32"/>
      <c r="L516" s="30"/>
      <c r="M516" s="31"/>
      <c r="P516" s="31"/>
      <c r="Q516" s="33"/>
      <c r="R516" s="33"/>
    </row>
    <row r="517" spans="4:18" ht="13.2">
      <c r="D517" s="30"/>
      <c r="E517" s="31"/>
      <c r="F517" s="31"/>
      <c r="I517" s="32"/>
      <c r="J517" s="32"/>
      <c r="L517" s="30"/>
      <c r="M517" s="31"/>
      <c r="P517" s="31"/>
      <c r="Q517" s="33"/>
      <c r="R517" s="33"/>
    </row>
    <row r="518" spans="4:18" ht="13.2">
      <c r="D518" s="30"/>
      <c r="E518" s="31"/>
      <c r="F518" s="31"/>
      <c r="I518" s="32"/>
      <c r="J518" s="32"/>
      <c r="L518" s="30"/>
      <c r="M518" s="31"/>
      <c r="P518" s="31"/>
      <c r="Q518" s="33"/>
      <c r="R518" s="33"/>
    </row>
    <row r="519" spans="4:18" ht="13.2">
      <c r="D519" s="30"/>
      <c r="E519" s="31"/>
      <c r="F519" s="31"/>
      <c r="I519" s="32"/>
      <c r="J519" s="32"/>
      <c r="L519" s="30"/>
      <c r="M519" s="31"/>
      <c r="P519" s="31"/>
      <c r="Q519" s="33"/>
      <c r="R519" s="33"/>
    </row>
    <row r="520" spans="4:18" ht="13.2">
      <c r="D520" s="30"/>
      <c r="E520" s="31"/>
      <c r="F520" s="31"/>
      <c r="I520" s="32"/>
      <c r="J520" s="32"/>
      <c r="L520" s="30"/>
      <c r="M520" s="31"/>
      <c r="P520" s="31"/>
      <c r="Q520" s="33"/>
      <c r="R520" s="33"/>
    </row>
    <row r="521" spans="4:18" ht="13.2">
      <c r="D521" s="30"/>
      <c r="E521" s="31"/>
      <c r="F521" s="31"/>
      <c r="I521" s="32"/>
      <c r="J521" s="32"/>
      <c r="L521" s="30"/>
      <c r="M521" s="31"/>
      <c r="P521" s="31"/>
      <c r="Q521" s="33"/>
      <c r="R521" s="33"/>
    </row>
    <row r="522" spans="4:18" ht="13.2">
      <c r="D522" s="30"/>
      <c r="E522" s="31"/>
      <c r="F522" s="31"/>
      <c r="I522" s="32"/>
      <c r="J522" s="32"/>
      <c r="L522" s="30"/>
      <c r="M522" s="31"/>
      <c r="P522" s="31"/>
      <c r="Q522" s="33"/>
      <c r="R522" s="33"/>
    </row>
    <row r="523" spans="4:18" ht="13.2">
      <c r="D523" s="30"/>
      <c r="E523" s="31"/>
      <c r="F523" s="31"/>
      <c r="I523" s="32"/>
      <c r="J523" s="32"/>
      <c r="L523" s="30"/>
      <c r="M523" s="31"/>
      <c r="P523" s="31"/>
      <c r="Q523" s="33"/>
      <c r="R523" s="33"/>
    </row>
    <row r="524" spans="4:18" ht="13.2">
      <c r="D524" s="30"/>
      <c r="E524" s="31"/>
      <c r="F524" s="31"/>
      <c r="I524" s="32"/>
      <c r="J524" s="32"/>
      <c r="L524" s="30"/>
      <c r="M524" s="31"/>
      <c r="P524" s="31"/>
      <c r="Q524" s="33"/>
      <c r="R524" s="33"/>
    </row>
    <row r="525" spans="4:18" ht="13.2">
      <c r="D525" s="30"/>
      <c r="E525" s="31"/>
      <c r="F525" s="31"/>
      <c r="I525" s="32"/>
      <c r="J525" s="32"/>
      <c r="L525" s="30"/>
      <c r="M525" s="31"/>
      <c r="P525" s="31"/>
      <c r="Q525" s="33"/>
      <c r="R525" s="33"/>
    </row>
    <row r="526" spans="4:18" ht="13.2">
      <c r="D526" s="30"/>
      <c r="E526" s="31"/>
      <c r="F526" s="31"/>
      <c r="I526" s="32"/>
      <c r="J526" s="32"/>
      <c r="L526" s="30"/>
      <c r="M526" s="31"/>
      <c r="P526" s="31"/>
      <c r="Q526" s="33"/>
      <c r="R526" s="33"/>
    </row>
    <row r="527" spans="4:18" ht="13.2">
      <c r="D527" s="30"/>
      <c r="E527" s="31"/>
      <c r="F527" s="31"/>
      <c r="I527" s="32"/>
      <c r="J527" s="32"/>
      <c r="L527" s="30"/>
      <c r="M527" s="31"/>
      <c r="P527" s="31"/>
      <c r="Q527" s="33"/>
      <c r="R527" s="33"/>
    </row>
    <row r="528" spans="4:18" ht="13.2">
      <c r="D528" s="30"/>
      <c r="E528" s="31"/>
      <c r="F528" s="31"/>
      <c r="I528" s="32"/>
      <c r="J528" s="32"/>
      <c r="L528" s="30"/>
      <c r="M528" s="31"/>
      <c r="P528" s="31"/>
      <c r="Q528" s="33"/>
      <c r="R528" s="33"/>
    </row>
    <row r="529" spans="4:18" ht="13.2">
      <c r="D529" s="30"/>
      <c r="E529" s="31"/>
      <c r="F529" s="31"/>
      <c r="I529" s="32"/>
      <c r="J529" s="32"/>
      <c r="L529" s="30"/>
      <c r="M529" s="31"/>
      <c r="P529" s="31"/>
      <c r="Q529" s="33"/>
      <c r="R529" s="33"/>
    </row>
    <row r="530" spans="4:18" ht="13.2">
      <c r="D530" s="30"/>
      <c r="E530" s="31"/>
      <c r="F530" s="31"/>
      <c r="I530" s="32"/>
      <c r="J530" s="32"/>
      <c r="L530" s="30"/>
      <c r="M530" s="31"/>
      <c r="P530" s="31"/>
      <c r="Q530" s="33"/>
      <c r="R530" s="33"/>
    </row>
    <row r="531" spans="4:18" ht="13.2">
      <c r="D531" s="30"/>
      <c r="E531" s="31"/>
      <c r="F531" s="31"/>
      <c r="I531" s="32"/>
      <c r="J531" s="32"/>
      <c r="L531" s="30"/>
      <c r="M531" s="31"/>
      <c r="P531" s="31"/>
      <c r="Q531" s="33"/>
      <c r="R531" s="33"/>
    </row>
    <row r="532" spans="4:18" ht="13.2">
      <c r="D532" s="30"/>
      <c r="E532" s="31"/>
      <c r="F532" s="31"/>
      <c r="I532" s="32"/>
      <c r="J532" s="32"/>
      <c r="L532" s="30"/>
      <c r="M532" s="31"/>
      <c r="P532" s="31"/>
      <c r="Q532" s="33"/>
      <c r="R532" s="33"/>
    </row>
    <row r="533" spans="4:18" ht="13.2">
      <c r="D533" s="30"/>
      <c r="E533" s="31"/>
      <c r="F533" s="31"/>
      <c r="I533" s="32"/>
      <c r="J533" s="32"/>
      <c r="L533" s="30"/>
      <c r="M533" s="31"/>
      <c r="P533" s="31"/>
      <c r="Q533" s="33"/>
      <c r="R533" s="33"/>
    </row>
    <row r="534" spans="4:18" ht="13.2">
      <c r="D534" s="30"/>
      <c r="E534" s="31"/>
      <c r="F534" s="31"/>
      <c r="I534" s="32"/>
      <c r="J534" s="32"/>
      <c r="L534" s="30"/>
      <c r="M534" s="31"/>
      <c r="P534" s="31"/>
      <c r="Q534" s="33"/>
      <c r="R534" s="33"/>
    </row>
    <row r="535" spans="4:18" ht="13.2">
      <c r="D535" s="30"/>
      <c r="E535" s="31"/>
      <c r="F535" s="31"/>
      <c r="I535" s="32"/>
      <c r="J535" s="32"/>
      <c r="L535" s="30"/>
      <c r="M535" s="31"/>
      <c r="P535" s="31"/>
      <c r="Q535" s="33"/>
      <c r="R535" s="33"/>
    </row>
    <row r="536" spans="4:18" ht="13.2">
      <c r="D536" s="30"/>
      <c r="E536" s="31"/>
      <c r="F536" s="31"/>
      <c r="I536" s="32"/>
      <c r="J536" s="32"/>
      <c r="L536" s="30"/>
      <c r="M536" s="31"/>
      <c r="P536" s="31"/>
      <c r="Q536" s="33"/>
      <c r="R536" s="33"/>
    </row>
    <row r="537" spans="4:18" ht="13.2">
      <c r="D537" s="30"/>
      <c r="E537" s="31"/>
      <c r="F537" s="31"/>
      <c r="I537" s="32"/>
      <c r="J537" s="32"/>
      <c r="L537" s="30"/>
      <c r="M537" s="31"/>
      <c r="P537" s="31"/>
      <c r="Q537" s="33"/>
      <c r="R537" s="33"/>
    </row>
    <row r="538" spans="4:18" ht="13.2">
      <c r="D538" s="30"/>
      <c r="E538" s="31"/>
      <c r="F538" s="31"/>
      <c r="I538" s="32"/>
      <c r="J538" s="32"/>
      <c r="L538" s="30"/>
      <c r="M538" s="31"/>
      <c r="P538" s="31"/>
      <c r="Q538" s="33"/>
      <c r="R538" s="33"/>
    </row>
    <row r="539" spans="4:18" ht="13.2">
      <c r="D539" s="30"/>
      <c r="E539" s="31"/>
      <c r="F539" s="31"/>
      <c r="I539" s="32"/>
      <c r="J539" s="32"/>
      <c r="L539" s="30"/>
      <c r="M539" s="31"/>
      <c r="P539" s="31"/>
      <c r="Q539" s="33"/>
      <c r="R539" s="33"/>
    </row>
    <row r="540" spans="4:18" ht="13.2">
      <c r="D540" s="30"/>
      <c r="E540" s="31"/>
      <c r="F540" s="31"/>
      <c r="I540" s="32"/>
      <c r="J540" s="32"/>
      <c r="L540" s="30"/>
      <c r="M540" s="31"/>
      <c r="P540" s="31"/>
      <c r="Q540" s="33"/>
      <c r="R540" s="33"/>
    </row>
    <row r="541" spans="4:18" ht="13.2">
      <c r="D541" s="30"/>
      <c r="E541" s="31"/>
      <c r="F541" s="31"/>
      <c r="I541" s="32"/>
      <c r="J541" s="32"/>
      <c r="L541" s="30"/>
      <c r="M541" s="31"/>
      <c r="P541" s="31"/>
      <c r="Q541" s="33"/>
      <c r="R541" s="33"/>
    </row>
    <row r="542" spans="4:18" ht="13.2">
      <c r="D542" s="30"/>
      <c r="E542" s="31"/>
      <c r="F542" s="31"/>
      <c r="I542" s="32"/>
      <c r="J542" s="32"/>
      <c r="L542" s="30"/>
      <c r="M542" s="31"/>
      <c r="P542" s="31"/>
      <c r="Q542" s="33"/>
      <c r="R542" s="33"/>
    </row>
    <row r="543" spans="4:18" ht="13.2">
      <c r="D543" s="30"/>
      <c r="E543" s="31"/>
      <c r="F543" s="31"/>
      <c r="I543" s="32"/>
      <c r="J543" s="32"/>
      <c r="L543" s="30"/>
      <c r="M543" s="31"/>
      <c r="P543" s="31"/>
      <c r="Q543" s="33"/>
      <c r="R543" s="33"/>
    </row>
    <row r="544" spans="4:18" ht="13.2">
      <c r="D544" s="30"/>
      <c r="E544" s="31"/>
      <c r="F544" s="31"/>
      <c r="I544" s="32"/>
      <c r="J544" s="32"/>
      <c r="L544" s="30"/>
      <c r="M544" s="31"/>
      <c r="P544" s="31"/>
      <c r="Q544" s="33"/>
      <c r="R544" s="33"/>
    </row>
    <row r="545" spans="4:18" ht="13.2">
      <c r="D545" s="30"/>
      <c r="E545" s="31"/>
      <c r="F545" s="31"/>
      <c r="I545" s="32"/>
      <c r="J545" s="32"/>
      <c r="L545" s="30"/>
      <c r="M545" s="31"/>
      <c r="P545" s="31"/>
      <c r="Q545" s="33"/>
      <c r="R545" s="33"/>
    </row>
    <row r="546" spans="4:18" ht="13.2">
      <c r="D546" s="30"/>
      <c r="E546" s="31"/>
      <c r="F546" s="31"/>
      <c r="I546" s="32"/>
      <c r="J546" s="32"/>
      <c r="L546" s="30"/>
      <c r="M546" s="31"/>
      <c r="P546" s="31"/>
      <c r="Q546" s="33"/>
      <c r="R546" s="33"/>
    </row>
    <row r="547" spans="4:18" ht="13.2">
      <c r="D547" s="30"/>
      <c r="E547" s="31"/>
      <c r="F547" s="31"/>
      <c r="I547" s="32"/>
      <c r="J547" s="32"/>
      <c r="L547" s="30"/>
      <c r="M547" s="31"/>
      <c r="P547" s="31"/>
      <c r="Q547" s="33"/>
      <c r="R547" s="33"/>
    </row>
    <row r="548" spans="4:18" ht="13.2">
      <c r="D548" s="30"/>
      <c r="E548" s="31"/>
      <c r="F548" s="31"/>
      <c r="I548" s="32"/>
      <c r="J548" s="32"/>
      <c r="L548" s="30"/>
      <c r="M548" s="31"/>
      <c r="P548" s="31"/>
      <c r="Q548" s="33"/>
      <c r="R548" s="33"/>
    </row>
    <row r="549" spans="4:18" ht="13.2">
      <c r="D549" s="30"/>
      <c r="E549" s="31"/>
      <c r="F549" s="31"/>
      <c r="I549" s="32"/>
      <c r="J549" s="32"/>
      <c r="L549" s="30"/>
      <c r="M549" s="31"/>
      <c r="P549" s="31"/>
      <c r="Q549" s="33"/>
      <c r="R549" s="33"/>
    </row>
    <row r="550" spans="4:18" ht="13.2">
      <c r="D550" s="30"/>
      <c r="E550" s="31"/>
      <c r="F550" s="31"/>
      <c r="I550" s="32"/>
      <c r="J550" s="32"/>
      <c r="L550" s="30"/>
      <c r="M550" s="31"/>
      <c r="P550" s="31"/>
      <c r="Q550" s="33"/>
      <c r="R550" s="33"/>
    </row>
    <row r="551" spans="4:18" ht="13.2">
      <c r="D551" s="30"/>
      <c r="E551" s="31"/>
      <c r="F551" s="31"/>
      <c r="I551" s="32"/>
      <c r="J551" s="32"/>
      <c r="L551" s="30"/>
      <c r="M551" s="31"/>
      <c r="P551" s="31"/>
      <c r="Q551" s="33"/>
      <c r="R551" s="33"/>
    </row>
    <row r="552" spans="4:18" ht="13.2">
      <c r="D552" s="30"/>
      <c r="E552" s="31"/>
      <c r="F552" s="31"/>
      <c r="I552" s="32"/>
      <c r="J552" s="32"/>
      <c r="L552" s="30"/>
      <c r="M552" s="31"/>
      <c r="P552" s="31"/>
      <c r="Q552" s="33"/>
      <c r="R552" s="33"/>
    </row>
    <row r="553" spans="4:18" ht="13.2">
      <c r="D553" s="30"/>
      <c r="E553" s="31"/>
      <c r="F553" s="31"/>
      <c r="I553" s="32"/>
      <c r="J553" s="32"/>
      <c r="L553" s="30"/>
      <c r="M553" s="31"/>
      <c r="P553" s="31"/>
      <c r="Q553" s="33"/>
      <c r="R553" s="33"/>
    </row>
    <row r="554" spans="4:18" ht="13.2">
      <c r="D554" s="30"/>
      <c r="E554" s="31"/>
      <c r="F554" s="31"/>
      <c r="I554" s="32"/>
      <c r="J554" s="32"/>
      <c r="L554" s="30"/>
      <c r="M554" s="31"/>
      <c r="P554" s="31"/>
      <c r="Q554" s="33"/>
      <c r="R554" s="33"/>
    </row>
    <row r="555" spans="4:18" ht="13.2">
      <c r="D555" s="30"/>
      <c r="E555" s="31"/>
      <c r="F555" s="31"/>
      <c r="I555" s="32"/>
      <c r="J555" s="32"/>
      <c r="L555" s="30"/>
      <c r="M555" s="31"/>
      <c r="P555" s="31"/>
      <c r="Q555" s="33"/>
      <c r="R555" s="33"/>
    </row>
    <row r="556" spans="4:18" ht="13.2">
      <c r="D556" s="30"/>
      <c r="E556" s="31"/>
      <c r="F556" s="31"/>
      <c r="I556" s="32"/>
      <c r="J556" s="32"/>
      <c r="L556" s="30"/>
      <c r="M556" s="31"/>
      <c r="P556" s="31"/>
      <c r="Q556" s="33"/>
      <c r="R556" s="33"/>
    </row>
    <row r="557" spans="4:18" ht="13.2">
      <c r="D557" s="30"/>
      <c r="E557" s="31"/>
      <c r="F557" s="31"/>
      <c r="I557" s="32"/>
      <c r="J557" s="32"/>
      <c r="L557" s="30"/>
      <c r="M557" s="31"/>
      <c r="P557" s="31"/>
      <c r="Q557" s="33"/>
      <c r="R557" s="33"/>
    </row>
    <row r="558" spans="4:18" ht="13.2">
      <c r="D558" s="30"/>
      <c r="E558" s="31"/>
      <c r="F558" s="31"/>
      <c r="I558" s="32"/>
      <c r="J558" s="32"/>
      <c r="L558" s="30"/>
      <c r="M558" s="31"/>
      <c r="P558" s="31"/>
      <c r="Q558" s="33"/>
      <c r="R558" s="33"/>
    </row>
    <row r="559" spans="4:18" ht="13.2">
      <c r="D559" s="30"/>
      <c r="E559" s="31"/>
      <c r="F559" s="31"/>
      <c r="I559" s="32"/>
      <c r="J559" s="32"/>
      <c r="L559" s="30"/>
      <c r="M559" s="31"/>
      <c r="P559" s="31"/>
      <c r="Q559" s="33"/>
      <c r="R559" s="33"/>
    </row>
    <row r="560" spans="4:18" ht="13.2">
      <c r="D560" s="30"/>
      <c r="E560" s="31"/>
      <c r="F560" s="31"/>
      <c r="I560" s="32"/>
      <c r="J560" s="32"/>
      <c r="L560" s="30"/>
      <c r="M560" s="31"/>
      <c r="P560" s="31"/>
      <c r="Q560" s="33"/>
      <c r="R560" s="33"/>
    </row>
    <row r="561" spans="4:18" ht="13.2">
      <c r="D561" s="30"/>
      <c r="E561" s="31"/>
      <c r="F561" s="31"/>
      <c r="I561" s="32"/>
      <c r="J561" s="32"/>
      <c r="L561" s="30"/>
      <c r="M561" s="31"/>
      <c r="P561" s="31"/>
      <c r="Q561" s="33"/>
      <c r="R561" s="33"/>
    </row>
    <row r="562" spans="4:18" ht="13.2">
      <c r="D562" s="30"/>
      <c r="E562" s="31"/>
      <c r="F562" s="31"/>
      <c r="I562" s="32"/>
      <c r="J562" s="32"/>
      <c r="L562" s="30"/>
      <c r="M562" s="31"/>
      <c r="P562" s="31"/>
      <c r="Q562" s="33"/>
      <c r="R562" s="33"/>
    </row>
    <row r="563" spans="4:18" ht="13.2">
      <c r="D563" s="30"/>
      <c r="E563" s="31"/>
      <c r="F563" s="31"/>
      <c r="I563" s="32"/>
      <c r="J563" s="32"/>
      <c r="L563" s="30"/>
      <c r="M563" s="31"/>
      <c r="P563" s="31"/>
      <c r="Q563" s="33"/>
      <c r="R563" s="33"/>
    </row>
    <row r="564" spans="4:18" ht="13.2">
      <c r="D564" s="30"/>
      <c r="E564" s="31"/>
      <c r="F564" s="31"/>
      <c r="I564" s="32"/>
      <c r="J564" s="32"/>
      <c r="L564" s="30"/>
      <c r="M564" s="31"/>
      <c r="P564" s="31"/>
      <c r="Q564" s="33"/>
      <c r="R564" s="33"/>
    </row>
    <row r="565" spans="4:18" ht="13.2">
      <c r="D565" s="30"/>
      <c r="E565" s="31"/>
      <c r="F565" s="31"/>
      <c r="I565" s="32"/>
      <c r="J565" s="32"/>
      <c r="L565" s="30"/>
      <c r="M565" s="31"/>
      <c r="P565" s="31"/>
      <c r="Q565" s="33"/>
      <c r="R565" s="33"/>
    </row>
    <row r="566" spans="4:18" ht="13.2">
      <c r="D566" s="30"/>
      <c r="E566" s="31"/>
      <c r="F566" s="31"/>
      <c r="I566" s="32"/>
      <c r="J566" s="32"/>
      <c r="L566" s="30"/>
      <c r="M566" s="31"/>
      <c r="P566" s="31"/>
      <c r="Q566" s="33"/>
      <c r="R566" s="33"/>
    </row>
    <row r="567" spans="4:18" ht="13.2">
      <c r="D567" s="30"/>
      <c r="E567" s="31"/>
      <c r="F567" s="31"/>
      <c r="I567" s="32"/>
      <c r="J567" s="32"/>
      <c r="L567" s="30"/>
      <c r="M567" s="31"/>
      <c r="P567" s="31"/>
      <c r="Q567" s="33"/>
      <c r="R567" s="33"/>
    </row>
    <row r="568" spans="4:18" ht="13.2">
      <c r="D568" s="30"/>
      <c r="E568" s="31"/>
      <c r="F568" s="31"/>
      <c r="I568" s="32"/>
      <c r="J568" s="32"/>
      <c r="L568" s="30"/>
      <c r="M568" s="31"/>
      <c r="P568" s="31"/>
      <c r="Q568" s="33"/>
      <c r="R568" s="33"/>
    </row>
    <row r="569" spans="4:18" ht="13.2">
      <c r="D569" s="30"/>
      <c r="E569" s="31"/>
      <c r="F569" s="31"/>
      <c r="I569" s="32"/>
      <c r="J569" s="32"/>
      <c r="L569" s="30"/>
      <c r="M569" s="31"/>
      <c r="P569" s="31"/>
      <c r="Q569" s="33"/>
      <c r="R569" s="33"/>
    </row>
    <row r="570" spans="4:18" ht="13.2">
      <c r="D570" s="30"/>
      <c r="E570" s="31"/>
      <c r="F570" s="31"/>
      <c r="I570" s="32"/>
      <c r="J570" s="32"/>
      <c r="L570" s="30"/>
      <c r="M570" s="31"/>
      <c r="P570" s="31"/>
      <c r="Q570" s="33"/>
      <c r="R570" s="33"/>
    </row>
    <row r="571" spans="4:18" ht="13.2">
      <c r="D571" s="30"/>
      <c r="E571" s="31"/>
      <c r="F571" s="31"/>
      <c r="I571" s="32"/>
      <c r="J571" s="32"/>
      <c r="L571" s="30"/>
      <c r="M571" s="31"/>
      <c r="P571" s="31"/>
      <c r="Q571" s="33"/>
      <c r="R571" s="33"/>
    </row>
    <row r="572" spans="4:18" ht="13.2">
      <c r="D572" s="30"/>
      <c r="E572" s="31"/>
      <c r="F572" s="31"/>
      <c r="I572" s="32"/>
      <c r="J572" s="32"/>
      <c r="L572" s="30"/>
      <c r="M572" s="31"/>
      <c r="P572" s="31"/>
      <c r="Q572" s="33"/>
      <c r="R572" s="33"/>
    </row>
    <row r="573" spans="4:18" ht="13.2">
      <c r="D573" s="30"/>
      <c r="E573" s="31"/>
      <c r="F573" s="31"/>
      <c r="I573" s="32"/>
      <c r="J573" s="32"/>
      <c r="L573" s="30"/>
      <c r="M573" s="31"/>
      <c r="P573" s="31"/>
      <c r="Q573" s="33"/>
      <c r="R573" s="33"/>
    </row>
    <row r="574" spans="4:18" ht="13.2">
      <c r="D574" s="30"/>
      <c r="E574" s="31"/>
      <c r="F574" s="31"/>
      <c r="I574" s="32"/>
      <c r="J574" s="32"/>
      <c r="L574" s="30"/>
      <c r="M574" s="31"/>
      <c r="P574" s="31"/>
      <c r="Q574" s="33"/>
      <c r="R574" s="33"/>
    </row>
    <row r="575" spans="4:18" ht="13.2">
      <c r="D575" s="30"/>
      <c r="E575" s="31"/>
      <c r="F575" s="31"/>
      <c r="I575" s="32"/>
      <c r="J575" s="32"/>
      <c r="L575" s="30"/>
      <c r="M575" s="31"/>
      <c r="P575" s="31"/>
      <c r="Q575" s="33"/>
      <c r="R575" s="33"/>
    </row>
    <row r="576" spans="4:18" ht="13.2">
      <c r="D576" s="30"/>
      <c r="E576" s="31"/>
      <c r="F576" s="31"/>
      <c r="I576" s="32"/>
      <c r="J576" s="32"/>
      <c r="L576" s="30"/>
      <c r="M576" s="31"/>
      <c r="P576" s="31"/>
      <c r="Q576" s="33"/>
      <c r="R576" s="33"/>
    </row>
    <row r="577" spans="4:18" ht="13.2">
      <c r="D577" s="30"/>
      <c r="E577" s="31"/>
      <c r="F577" s="31"/>
      <c r="I577" s="32"/>
      <c r="J577" s="32"/>
      <c r="L577" s="30"/>
      <c r="M577" s="31"/>
      <c r="P577" s="31"/>
      <c r="Q577" s="33"/>
      <c r="R577" s="33"/>
    </row>
    <row r="578" spans="4:18" ht="13.2">
      <c r="D578" s="30"/>
      <c r="E578" s="31"/>
      <c r="F578" s="31"/>
      <c r="I578" s="32"/>
      <c r="J578" s="32"/>
      <c r="L578" s="30"/>
      <c r="M578" s="31"/>
      <c r="P578" s="31"/>
      <c r="Q578" s="33"/>
      <c r="R578" s="33"/>
    </row>
    <row r="579" spans="4:18" ht="13.2">
      <c r="D579" s="30"/>
      <c r="E579" s="31"/>
      <c r="F579" s="31"/>
      <c r="I579" s="32"/>
      <c r="J579" s="32"/>
      <c r="L579" s="30"/>
      <c r="M579" s="31"/>
      <c r="P579" s="31"/>
      <c r="Q579" s="33"/>
      <c r="R579" s="33"/>
    </row>
    <row r="580" spans="4:18" ht="13.2">
      <c r="D580" s="30"/>
      <c r="E580" s="31"/>
      <c r="F580" s="31"/>
      <c r="I580" s="32"/>
      <c r="J580" s="32"/>
      <c r="L580" s="30"/>
      <c r="M580" s="31"/>
      <c r="P580" s="31"/>
      <c r="Q580" s="33"/>
      <c r="R580" s="33"/>
    </row>
    <row r="581" spans="4:18" ht="13.2">
      <c r="D581" s="30"/>
      <c r="E581" s="31"/>
      <c r="F581" s="31"/>
      <c r="I581" s="32"/>
      <c r="J581" s="32"/>
      <c r="L581" s="30"/>
      <c r="M581" s="31"/>
      <c r="P581" s="31"/>
      <c r="Q581" s="33"/>
      <c r="R581" s="33"/>
    </row>
    <row r="582" spans="4:18" ht="13.2">
      <c r="D582" s="30"/>
      <c r="E582" s="31"/>
      <c r="F582" s="31"/>
      <c r="I582" s="32"/>
      <c r="J582" s="32"/>
      <c r="L582" s="30"/>
      <c r="M582" s="31"/>
      <c r="P582" s="31"/>
      <c r="Q582" s="33"/>
      <c r="R582" s="33"/>
    </row>
    <row r="583" spans="4:18" ht="13.2">
      <c r="D583" s="30"/>
      <c r="E583" s="31"/>
      <c r="F583" s="31"/>
      <c r="I583" s="32"/>
      <c r="J583" s="32"/>
      <c r="L583" s="30"/>
      <c r="M583" s="31"/>
      <c r="P583" s="31"/>
      <c r="Q583" s="33"/>
      <c r="R583" s="33"/>
    </row>
    <row r="584" spans="4:18" ht="13.2">
      <c r="D584" s="30"/>
      <c r="E584" s="31"/>
      <c r="F584" s="31"/>
      <c r="I584" s="32"/>
      <c r="J584" s="32"/>
      <c r="L584" s="30"/>
      <c r="M584" s="31"/>
      <c r="P584" s="31"/>
      <c r="Q584" s="33"/>
      <c r="R584" s="33"/>
    </row>
    <row r="585" spans="4:18" ht="13.2">
      <c r="D585" s="30"/>
      <c r="E585" s="31"/>
      <c r="F585" s="31"/>
      <c r="I585" s="32"/>
      <c r="J585" s="32"/>
      <c r="L585" s="30"/>
      <c r="M585" s="31"/>
      <c r="P585" s="31"/>
      <c r="Q585" s="33"/>
      <c r="R585" s="33"/>
    </row>
    <row r="586" spans="4:18" ht="13.2">
      <c r="D586" s="30"/>
      <c r="E586" s="31"/>
      <c r="F586" s="31"/>
      <c r="I586" s="32"/>
      <c r="J586" s="32"/>
      <c r="L586" s="30"/>
      <c r="M586" s="31"/>
      <c r="P586" s="31"/>
      <c r="Q586" s="33"/>
      <c r="R586" s="33"/>
    </row>
    <row r="587" spans="4:18" ht="13.2">
      <c r="D587" s="30"/>
      <c r="E587" s="31"/>
      <c r="F587" s="31"/>
      <c r="I587" s="32"/>
      <c r="J587" s="32"/>
      <c r="L587" s="30"/>
      <c r="M587" s="31"/>
      <c r="P587" s="31"/>
      <c r="Q587" s="33"/>
      <c r="R587" s="33"/>
    </row>
    <row r="588" spans="4:18" ht="13.2">
      <c r="D588" s="30"/>
      <c r="E588" s="31"/>
      <c r="F588" s="31"/>
      <c r="I588" s="32"/>
      <c r="J588" s="32"/>
      <c r="L588" s="30"/>
      <c r="M588" s="31"/>
      <c r="P588" s="31"/>
      <c r="Q588" s="33"/>
      <c r="R588" s="33"/>
    </row>
    <row r="589" spans="4:18" ht="13.2">
      <c r="D589" s="30"/>
      <c r="E589" s="31"/>
      <c r="F589" s="31"/>
      <c r="I589" s="32"/>
      <c r="J589" s="32"/>
      <c r="L589" s="30"/>
      <c r="M589" s="31"/>
      <c r="P589" s="31"/>
      <c r="Q589" s="33"/>
      <c r="R589" s="33"/>
    </row>
    <row r="590" spans="4:18" ht="13.2">
      <c r="D590" s="30"/>
      <c r="E590" s="31"/>
      <c r="F590" s="31"/>
      <c r="I590" s="32"/>
      <c r="J590" s="32"/>
      <c r="L590" s="30"/>
      <c r="M590" s="31"/>
      <c r="P590" s="31"/>
      <c r="Q590" s="33"/>
      <c r="R590" s="33"/>
    </row>
    <row r="591" spans="4:18" ht="13.2">
      <c r="D591" s="30"/>
      <c r="E591" s="31"/>
      <c r="F591" s="31"/>
      <c r="I591" s="32"/>
      <c r="J591" s="32"/>
      <c r="L591" s="30"/>
      <c r="M591" s="31"/>
      <c r="P591" s="31"/>
      <c r="Q591" s="33"/>
      <c r="R591" s="33"/>
    </row>
    <row r="592" spans="4:18" ht="13.2">
      <c r="D592" s="30"/>
      <c r="E592" s="31"/>
      <c r="F592" s="31"/>
      <c r="I592" s="32"/>
      <c r="J592" s="32"/>
      <c r="L592" s="30"/>
      <c r="M592" s="31"/>
      <c r="P592" s="31"/>
      <c r="Q592" s="33"/>
      <c r="R592" s="33"/>
    </row>
    <row r="593" spans="4:18" ht="13.2">
      <c r="D593" s="30"/>
      <c r="E593" s="31"/>
      <c r="F593" s="31"/>
      <c r="I593" s="32"/>
      <c r="J593" s="32"/>
      <c r="L593" s="30"/>
      <c r="M593" s="31"/>
      <c r="P593" s="31"/>
      <c r="Q593" s="33"/>
      <c r="R593" s="33"/>
    </row>
    <row r="594" spans="4:18" ht="13.2">
      <c r="D594" s="30"/>
      <c r="E594" s="31"/>
      <c r="F594" s="31"/>
      <c r="I594" s="32"/>
      <c r="J594" s="32"/>
      <c r="L594" s="30"/>
      <c r="M594" s="31"/>
      <c r="P594" s="31"/>
      <c r="Q594" s="33"/>
      <c r="R594" s="33"/>
    </row>
    <row r="595" spans="4:18" ht="13.2">
      <c r="D595" s="30"/>
      <c r="E595" s="31"/>
      <c r="F595" s="31"/>
      <c r="I595" s="32"/>
      <c r="J595" s="32"/>
      <c r="L595" s="30"/>
      <c r="M595" s="31"/>
      <c r="P595" s="31"/>
      <c r="Q595" s="33"/>
      <c r="R595" s="33"/>
    </row>
    <row r="596" spans="4:18" ht="13.2">
      <c r="D596" s="30"/>
      <c r="E596" s="31"/>
      <c r="F596" s="31"/>
      <c r="I596" s="32"/>
      <c r="J596" s="32"/>
      <c r="L596" s="30"/>
      <c r="M596" s="31"/>
      <c r="P596" s="31"/>
      <c r="Q596" s="33"/>
      <c r="R596" s="33"/>
    </row>
    <row r="597" spans="4:18" ht="13.2">
      <c r="D597" s="30"/>
      <c r="E597" s="31"/>
      <c r="F597" s="31"/>
      <c r="I597" s="32"/>
      <c r="J597" s="32"/>
      <c r="L597" s="30"/>
      <c r="M597" s="31"/>
      <c r="P597" s="31"/>
      <c r="Q597" s="33"/>
      <c r="R597" s="33"/>
    </row>
    <row r="598" spans="4:18" ht="13.2">
      <c r="D598" s="30"/>
      <c r="E598" s="31"/>
      <c r="F598" s="31"/>
      <c r="I598" s="32"/>
      <c r="J598" s="32"/>
      <c r="L598" s="30"/>
      <c r="M598" s="31"/>
      <c r="P598" s="31"/>
      <c r="Q598" s="33"/>
      <c r="R598" s="33"/>
    </row>
    <row r="599" spans="4:18" ht="13.2">
      <c r="D599" s="30"/>
      <c r="E599" s="31"/>
      <c r="F599" s="31"/>
      <c r="I599" s="32"/>
      <c r="J599" s="32"/>
      <c r="L599" s="30"/>
      <c r="M599" s="31"/>
      <c r="P599" s="31"/>
      <c r="Q599" s="33"/>
      <c r="R599" s="33"/>
    </row>
    <row r="600" spans="4:18" ht="13.2">
      <c r="D600" s="30"/>
      <c r="E600" s="31"/>
      <c r="F600" s="31"/>
      <c r="I600" s="32"/>
      <c r="J600" s="32"/>
      <c r="L600" s="30"/>
      <c r="M600" s="31"/>
      <c r="P600" s="31"/>
      <c r="Q600" s="33"/>
      <c r="R600" s="33"/>
    </row>
    <row r="601" spans="4:18" ht="13.2">
      <c r="D601" s="30"/>
      <c r="E601" s="31"/>
      <c r="F601" s="31"/>
      <c r="I601" s="32"/>
      <c r="J601" s="32"/>
      <c r="L601" s="30"/>
      <c r="M601" s="31"/>
      <c r="P601" s="31"/>
      <c r="Q601" s="33"/>
      <c r="R601" s="33"/>
    </row>
    <row r="602" spans="4:18" ht="13.2">
      <c r="D602" s="30"/>
      <c r="E602" s="31"/>
      <c r="F602" s="31"/>
      <c r="I602" s="32"/>
      <c r="J602" s="32"/>
      <c r="L602" s="30"/>
      <c r="M602" s="31"/>
      <c r="P602" s="31"/>
      <c r="Q602" s="33"/>
      <c r="R602" s="33"/>
    </row>
    <row r="603" spans="4:18" ht="13.2">
      <c r="D603" s="30"/>
      <c r="E603" s="31"/>
      <c r="F603" s="31"/>
      <c r="I603" s="32"/>
      <c r="J603" s="32"/>
      <c r="L603" s="30"/>
      <c r="M603" s="31"/>
      <c r="P603" s="31"/>
      <c r="Q603" s="33"/>
      <c r="R603" s="33"/>
    </row>
    <row r="604" spans="4:18" ht="13.2">
      <c r="D604" s="30"/>
      <c r="E604" s="31"/>
      <c r="F604" s="31"/>
      <c r="I604" s="32"/>
      <c r="J604" s="32"/>
      <c r="L604" s="30"/>
      <c r="M604" s="31"/>
      <c r="P604" s="31"/>
      <c r="Q604" s="33"/>
      <c r="R604" s="33"/>
    </row>
    <row r="605" spans="4:18" ht="13.2">
      <c r="D605" s="30"/>
      <c r="E605" s="31"/>
      <c r="F605" s="31"/>
      <c r="I605" s="32"/>
      <c r="J605" s="32"/>
      <c r="L605" s="30"/>
      <c r="M605" s="31"/>
      <c r="P605" s="31"/>
      <c r="Q605" s="33"/>
      <c r="R605" s="33"/>
    </row>
    <row r="606" spans="4:18" ht="13.2">
      <c r="D606" s="30"/>
      <c r="E606" s="31"/>
      <c r="F606" s="31"/>
      <c r="I606" s="32"/>
      <c r="J606" s="32"/>
      <c r="L606" s="30"/>
      <c r="M606" s="31"/>
      <c r="P606" s="31"/>
      <c r="Q606" s="33"/>
      <c r="R606" s="33"/>
    </row>
    <row r="607" spans="4:18" ht="13.2">
      <c r="D607" s="30"/>
      <c r="E607" s="31"/>
      <c r="F607" s="31"/>
      <c r="I607" s="32"/>
      <c r="J607" s="32"/>
      <c r="L607" s="30"/>
      <c r="M607" s="31"/>
      <c r="P607" s="31"/>
      <c r="Q607" s="33"/>
      <c r="R607" s="33"/>
    </row>
    <row r="608" spans="4:18" ht="13.2">
      <c r="D608" s="30"/>
      <c r="E608" s="31"/>
      <c r="F608" s="31"/>
      <c r="I608" s="32"/>
      <c r="J608" s="32"/>
      <c r="L608" s="30"/>
      <c r="M608" s="31"/>
      <c r="P608" s="31"/>
      <c r="Q608" s="33"/>
      <c r="R608" s="33"/>
    </row>
    <row r="609" spans="4:18" ht="13.2">
      <c r="D609" s="30"/>
      <c r="E609" s="31"/>
      <c r="F609" s="31"/>
      <c r="I609" s="32"/>
      <c r="J609" s="32"/>
      <c r="L609" s="30"/>
      <c r="M609" s="31"/>
      <c r="P609" s="31"/>
      <c r="Q609" s="33"/>
      <c r="R609" s="33"/>
    </row>
    <row r="610" spans="4:18" ht="13.2">
      <c r="D610" s="30"/>
      <c r="E610" s="31"/>
      <c r="F610" s="31"/>
      <c r="I610" s="32"/>
      <c r="J610" s="32"/>
      <c r="L610" s="30"/>
      <c r="M610" s="31"/>
      <c r="P610" s="31"/>
      <c r="Q610" s="33"/>
      <c r="R610" s="33"/>
    </row>
    <row r="611" spans="4:18" ht="13.2">
      <c r="D611" s="30"/>
      <c r="E611" s="31"/>
      <c r="F611" s="31"/>
      <c r="I611" s="32"/>
      <c r="J611" s="32"/>
      <c r="L611" s="30"/>
      <c r="M611" s="31"/>
      <c r="P611" s="31"/>
      <c r="Q611" s="33"/>
      <c r="R611" s="33"/>
    </row>
    <row r="612" spans="4:18" ht="13.2">
      <c r="D612" s="30"/>
      <c r="E612" s="31"/>
      <c r="F612" s="31"/>
      <c r="I612" s="32"/>
      <c r="J612" s="32"/>
      <c r="L612" s="30"/>
      <c r="M612" s="31"/>
      <c r="P612" s="31"/>
      <c r="Q612" s="33"/>
      <c r="R612" s="33"/>
    </row>
    <row r="613" spans="4:18" ht="13.2">
      <c r="D613" s="30"/>
      <c r="E613" s="31"/>
      <c r="F613" s="31"/>
      <c r="I613" s="32"/>
      <c r="J613" s="32"/>
      <c r="L613" s="30"/>
      <c r="M613" s="31"/>
      <c r="P613" s="31"/>
      <c r="Q613" s="33"/>
      <c r="R613" s="33"/>
    </row>
    <row r="614" spans="4:18" ht="13.2">
      <c r="D614" s="30"/>
      <c r="E614" s="31"/>
      <c r="F614" s="31"/>
      <c r="I614" s="32"/>
      <c r="J614" s="32"/>
      <c r="L614" s="30"/>
      <c r="M614" s="31"/>
      <c r="P614" s="31"/>
      <c r="Q614" s="33"/>
      <c r="R614" s="33"/>
    </row>
    <row r="615" spans="4:18" ht="13.2">
      <c r="D615" s="30"/>
      <c r="E615" s="31"/>
      <c r="F615" s="31"/>
      <c r="I615" s="32"/>
      <c r="J615" s="32"/>
      <c r="L615" s="30"/>
      <c r="M615" s="31"/>
      <c r="P615" s="31"/>
      <c r="Q615" s="33"/>
      <c r="R615" s="33"/>
    </row>
    <row r="616" spans="4:18" ht="13.2">
      <c r="D616" s="30"/>
      <c r="E616" s="31"/>
      <c r="F616" s="31"/>
      <c r="I616" s="32"/>
      <c r="J616" s="32"/>
      <c r="L616" s="30"/>
      <c r="M616" s="31"/>
      <c r="P616" s="31"/>
      <c r="Q616" s="33"/>
      <c r="R616" s="33"/>
    </row>
    <row r="617" spans="4:18" ht="13.2">
      <c r="D617" s="30"/>
      <c r="E617" s="31"/>
      <c r="F617" s="31"/>
      <c r="I617" s="32"/>
      <c r="J617" s="32"/>
      <c r="L617" s="30"/>
      <c r="M617" s="31"/>
      <c r="P617" s="31"/>
      <c r="Q617" s="33"/>
      <c r="R617" s="33"/>
    </row>
    <row r="618" spans="4:18" ht="13.2">
      <c r="D618" s="30"/>
      <c r="E618" s="31"/>
      <c r="F618" s="31"/>
      <c r="I618" s="32"/>
      <c r="J618" s="32"/>
      <c r="L618" s="30"/>
      <c r="M618" s="31"/>
      <c r="P618" s="31"/>
      <c r="Q618" s="33"/>
      <c r="R618" s="33"/>
    </row>
    <row r="619" spans="4:18" ht="13.2">
      <c r="D619" s="30"/>
      <c r="E619" s="31"/>
      <c r="F619" s="31"/>
      <c r="I619" s="32"/>
      <c r="J619" s="32"/>
      <c r="L619" s="30"/>
      <c r="M619" s="31"/>
      <c r="P619" s="31"/>
      <c r="Q619" s="33"/>
      <c r="R619" s="33"/>
    </row>
    <row r="620" spans="4:18" ht="13.2">
      <c r="D620" s="30"/>
      <c r="E620" s="31"/>
      <c r="F620" s="31"/>
      <c r="I620" s="32"/>
      <c r="J620" s="32"/>
      <c r="L620" s="30"/>
      <c r="M620" s="31"/>
      <c r="P620" s="31"/>
      <c r="Q620" s="33"/>
      <c r="R620" s="33"/>
    </row>
    <row r="621" spans="4:18" ht="13.2">
      <c r="D621" s="30"/>
      <c r="E621" s="31"/>
      <c r="F621" s="31"/>
      <c r="I621" s="32"/>
      <c r="J621" s="32"/>
      <c r="L621" s="30"/>
      <c r="M621" s="31"/>
      <c r="P621" s="31"/>
      <c r="Q621" s="33"/>
      <c r="R621" s="33"/>
    </row>
    <row r="622" spans="4:18" ht="13.2">
      <c r="D622" s="30"/>
      <c r="E622" s="31"/>
      <c r="F622" s="31"/>
      <c r="I622" s="32"/>
      <c r="J622" s="32"/>
      <c r="L622" s="30"/>
      <c r="M622" s="31"/>
      <c r="P622" s="31"/>
      <c r="Q622" s="33"/>
      <c r="R622" s="33"/>
    </row>
    <row r="623" spans="4:18" ht="13.2">
      <c r="D623" s="30"/>
      <c r="E623" s="31"/>
      <c r="F623" s="31"/>
      <c r="I623" s="32"/>
      <c r="J623" s="32"/>
      <c r="L623" s="30"/>
      <c r="M623" s="31"/>
      <c r="P623" s="31"/>
      <c r="Q623" s="33"/>
      <c r="R623" s="33"/>
    </row>
    <row r="624" spans="4:18" ht="13.2">
      <c r="D624" s="30"/>
      <c r="E624" s="31"/>
      <c r="F624" s="31"/>
      <c r="I624" s="32"/>
      <c r="J624" s="32"/>
      <c r="L624" s="30"/>
      <c r="M624" s="31"/>
      <c r="P624" s="31"/>
      <c r="Q624" s="33"/>
      <c r="R624" s="33"/>
    </row>
    <row r="625" spans="4:18" ht="13.2">
      <c r="D625" s="30"/>
      <c r="E625" s="31"/>
      <c r="F625" s="31"/>
      <c r="I625" s="32"/>
      <c r="J625" s="32"/>
      <c r="L625" s="30"/>
      <c r="M625" s="31"/>
      <c r="P625" s="31"/>
      <c r="Q625" s="33"/>
      <c r="R625" s="33"/>
    </row>
    <row r="626" spans="4:18" ht="13.2">
      <c r="D626" s="30"/>
      <c r="E626" s="31"/>
      <c r="F626" s="31"/>
      <c r="I626" s="32"/>
      <c r="J626" s="32"/>
      <c r="L626" s="30"/>
      <c r="M626" s="31"/>
      <c r="P626" s="31"/>
      <c r="Q626" s="33"/>
      <c r="R626" s="33"/>
    </row>
    <row r="627" spans="4:18" ht="13.2">
      <c r="D627" s="30"/>
      <c r="E627" s="31"/>
      <c r="F627" s="31"/>
      <c r="I627" s="32"/>
      <c r="J627" s="32"/>
      <c r="L627" s="30"/>
      <c r="M627" s="31"/>
      <c r="P627" s="31"/>
      <c r="Q627" s="33"/>
      <c r="R627" s="33"/>
    </row>
    <row r="628" spans="4:18" ht="13.2">
      <c r="D628" s="30"/>
      <c r="E628" s="31"/>
      <c r="F628" s="31"/>
      <c r="I628" s="32"/>
      <c r="J628" s="32"/>
      <c r="L628" s="30"/>
      <c r="M628" s="31"/>
      <c r="P628" s="31"/>
      <c r="Q628" s="33"/>
      <c r="R628" s="33"/>
    </row>
    <row r="629" spans="4:18" ht="13.2">
      <c r="D629" s="30"/>
      <c r="E629" s="31"/>
      <c r="F629" s="31"/>
      <c r="I629" s="32"/>
      <c r="J629" s="32"/>
      <c r="L629" s="30"/>
      <c r="M629" s="31"/>
      <c r="P629" s="31"/>
      <c r="Q629" s="33"/>
      <c r="R629" s="33"/>
    </row>
    <row r="630" spans="4:18" ht="13.2">
      <c r="D630" s="30"/>
      <c r="E630" s="31"/>
      <c r="F630" s="31"/>
      <c r="I630" s="32"/>
      <c r="J630" s="32"/>
      <c r="L630" s="30"/>
      <c r="M630" s="31"/>
      <c r="P630" s="31"/>
      <c r="Q630" s="33"/>
      <c r="R630" s="33"/>
    </row>
    <row r="631" spans="4:18" ht="13.2">
      <c r="D631" s="30"/>
      <c r="E631" s="31"/>
      <c r="F631" s="31"/>
      <c r="I631" s="32"/>
      <c r="J631" s="32"/>
      <c r="L631" s="30"/>
      <c r="M631" s="31"/>
      <c r="P631" s="31"/>
      <c r="Q631" s="33"/>
      <c r="R631" s="33"/>
    </row>
    <row r="632" spans="4:18" ht="13.2">
      <c r="D632" s="30"/>
      <c r="E632" s="31"/>
      <c r="F632" s="31"/>
      <c r="I632" s="32"/>
      <c r="J632" s="32"/>
      <c r="L632" s="30"/>
      <c r="M632" s="31"/>
      <c r="P632" s="31"/>
      <c r="Q632" s="33"/>
      <c r="R632" s="33"/>
    </row>
    <row r="633" spans="4:18" ht="13.2">
      <c r="D633" s="30"/>
      <c r="E633" s="31"/>
      <c r="F633" s="31"/>
      <c r="I633" s="32"/>
      <c r="J633" s="32"/>
      <c r="L633" s="30"/>
      <c r="M633" s="31"/>
      <c r="P633" s="31"/>
      <c r="Q633" s="33"/>
      <c r="R633" s="33"/>
    </row>
    <row r="634" spans="4:18" ht="13.2">
      <c r="D634" s="30"/>
      <c r="E634" s="31"/>
      <c r="F634" s="31"/>
      <c r="I634" s="32"/>
      <c r="J634" s="32"/>
      <c r="L634" s="30"/>
      <c r="M634" s="31"/>
      <c r="P634" s="31"/>
      <c r="Q634" s="33"/>
      <c r="R634" s="33"/>
    </row>
    <row r="635" spans="4:18" ht="13.2">
      <c r="D635" s="30"/>
      <c r="E635" s="31"/>
      <c r="F635" s="31"/>
      <c r="I635" s="32"/>
      <c r="J635" s="32"/>
      <c r="L635" s="30"/>
      <c r="M635" s="31"/>
      <c r="P635" s="31"/>
      <c r="Q635" s="33"/>
      <c r="R635" s="33"/>
    </row>
    <row r="636" spans="4:18" ht="13.2">
      <c r="D636" s="30"/>
      <c r="E636" s="31"/>
      <c r="F636" s="31"/>
      <c r="I636" s="32"/>
      <c r="J636" s="32"/>
      <c r="L636" s="30"/>
      <c r="M636" s="31"/>
      <c r="P636" s="31"/>
      <c r="Q636" s="33"/>
      <c r="R636" s="33"/>
    </row>
    <row r="637" spans="4:18" ht="13.2">
      <c r="D637" s="30"/>
      <c r="E637" s="31"/>
      <c r="F637" s="31"/>
      <c r="I637" s="32"/>
      <c r="J637" s="32"/>
      <c r="L637" s="30"/>
      <c r="M637" s="31"/>
      <c r="P637" s="31"/>
      <c r="Q637" s="33"/>
      <c r="R637" s="33"/>
    </row>
    <row r="638" spans="4:18" ht="13.2">
      <c r="D638" s="30"/>
      <c r="E638" s="31"/>
      <c r="F638" s="31"/>
      <c r="I638" s="32"/>
      <c r="J638" s="32"/>
      <c r="L638" s="30"/>
      <c r="M638" s="31"/>
      <c r="P638" s="31"/>
      <c r="Q638" s="33"/>
      <c r="R638" s="33"/>
    </row>
    <row r="639" spans="4:18" ht="13.2">
      <c r="D639" s="30"/>
      <c r="E639" s="31"/>
      <c r="F639" s="31"/>
      <c r="I639" s="32"/>
      <c r="J639" s="32"/>
      <c r="L639" s="30"/>
      <c r="M639" s="31"/>
      <c r="P639" s="31"/>
      <c r="Q639" s="33"/>
      <c r="R639" s="33"/>
    </row>
    <row r="640" spans="4:18" ht="13.2">
      <c r="D640" s="30"/>
      <c r="E640" s="31"/>
      <c r="F640" s="31"/>
      <c r="I640" s="32"/>
      <c r="J640" s="32"/>
      <c r="L640" s="30"/>
      <c r="M640" s="31"/>
      <c r="P640" s="31"/>
      <c r="Q640" s="33"/>
      <c r="R640" s="33"/>
    </row>
    <row r="641" spans="4:18" ht="13.2">
      <c r="D641" s="30"/>
      <c r="E641" s="31"/>
      <c r="F641" s="31"/>
      <c r="I641" s="32"/>
      <c r="J641" s="32"/>
      <c r="L641" s="30"/>
      <c r="M641" s="31"/>
      <c r="P641" s="31"/>
      <c r="Q641" s="33"/>
      <c r="R641" s="33"/>
    </row>
    <row r="642" spans="4:18" ht="13.2">
      <c r="D642" s="30"/>
      <c r="E642" s="31"/>
      <c r="F642" s="31"/>
      <c r="I642" s="32"/>
      <c r="J642" s="32"/>
      <c r="L642" s="30"/>
      <c r="M642" s="31"/>
      <c r="P642" s="31"/>
      <c r="Q642" s="33"/>
      <c r="R642" s="33"/>
    </row>
    <row r="643" spans="4:18" ht="13.2">
      <c r="D643" s="30"/>
      <c r="E643" s="31"/>
      <c r="F643" s="31"/>
      <c r="I643" s="32"/>
      <c r="J643" s="32"/>
      <c r="L643" s="30"/>
      <c r="M643" s="31"/>
      <c r="P643" s="31"/>
      <c r="Q643" s="33"/>
      <c r="R643" s="33"/>
    </row>
    <row r="644" spans="4:18" ht="13.2">
      <c r="D644" s="30"/>
      <c r="E644" s="31"/>
      <c r="F644" s="31"/>
      <c r="I644" s="32"/>
      <c r="J644" s="32"/>
      <c r="L644" s="30"/>
      <c r="M644" s="31"/>
      <c r="P644" s="31"/>
      <c r="Q644" s="33"/>
      <c r="R644" s="33"/>
    </row>
    <row r="645" spans="4:18" ht="13.2">
      <c r="D645" s="30"/>
      <c r="E645" s="31"/>
      <c r="F645" s="31"/>
      <c r="I645" s="32"/>
      <c r="J645" s="32"/>
      <c r="L645" s="30"/>
      <c r="M645" s="31"/>
      <c r="P645" s="31"/>
      <c r="Q645" s="33"/>
      <c r="R645" s="33"/>
    </row>
    <row r="646" spans="4:18" ht="13.2">
      <c r="D646" s="30"/>
      <c r="E646" s="31"/>
      <c r="F646" s="31"/>
      <c r="I646" s="32"/>
      <c r="J646" s="32"/>
      <c r="L646" s="30"/>
      <c r="M646" s="31"/>
      <c r="P646" s="31"/>
      <c r="Q646" s="33"/>
      <c r="R646" s="33"/>
    </row>
    <row r="647" spans="4:18" ht="13.2">
      <c r="D647" s="30"/>
      <c r="E647" s="31"/>
      <c r="F647" s="31"/>
      <c r="I647" s="32"/>
      <c r="J647" s="32"/>
      <c r="L647" s="30"/>
      <c r="M647" s="31"/>
      <c r="P647" s="31"/>
      <c r="Q647" s="33"/>
      <c r="R647" s="33"/>
    </row>
    <row r="648" spans="4:18" ht="13.2">
      <c r="D648" s="30"/>
      <c r="E648" s="31"/>
      <c r="F648" s="31"/>
      <c r="I648" s="32"/>
      <c r="J648" s="32"/>
      <c r="L648" s="30"/>
      <c r="M648" s="31"/>
      <c r="P648" s="31"/>
      <c r="Q648" s="33"/>
      <c r="R648" s="33"/>
    </row>
    <row r="649" spans="4:18" ht="13.2">
      <c r="D649" s="30"/>
      <c r="E649" s="31"/>
      <c r="F649" s="31"/>
      <c r="I649" s="32"/>
      <c r="J649" s="32"/>
      <c r="L649" s="30"/>
      <c r="M649" s="31"/>
      <c r="P649" s="31"/>
      <c r="Q649" s="33"/>
      <c r="R649" s="33"/>
    </row>
    <row r="650" spans="4:18" ht="13.2">
      <c r="D650" s="30"/>
      <c r="E650" s="31"/>
      <c r="F650" s="31"/>
      <c r="I650" s="32"/>
      <c r="J650" s="32"/>
      <c r="L650" s="30"/>
      <c r="M650" s="31"/>
      <c r="P650" s="31"/>
      <c r="Q650" s="33"/>
      <c r="R650" s="33"/>
    </row>
    <row r="651" spans="4:18" ht="13.2">
      <c r="D651" s="30"/>
      <c r="E651" s="31"/>
      <c r="F651" s="31"/>
      <c r="I651" s="32"/>
      <c r="J651" s="32"/>
      <c r="L651" s="30"/>
      <c r="M651" s="31"/>
      <c r="P651" s="31"/>
      <c r="Q651" s="33"/>
      <c r="R651" s="33"/>
    </row>
    <row r="652" spans="4:18" ht="13.2">
      <c r="D652" s="30"/>
      <c r="E652" s="31"/>
      <c r="F652" s="31"/>
      <c r="I652" s="32"/>
      <c r="J652" s="32"/>
      <c r="L652" s="30"/>
      <c r="M652" s="31"/>
      <c r="P652" s="31"/>
      <c r="Q652" s="33"/>
      <c r="R652" s="33"/>
    </row>
    <row r="653" spans="4:18" ht="13.2">
      <c r="D653" s="30"/>
      <c r="E653" s="31"/>
      <c r="F653" s="31"/>
      <c r="I653" s="32"/>
      <c r="J653" s="32"/>
      <c r="L653" s="30"/>
      <c r="M653" s="31"/>
      <c r="P653" s="31"/>
      <c r="Q653" s="33"/>
      <c r="R653" s="33"/>
    </row>
    <row r="654" spans="4:18" ht="13.2">
      <c r="D654" s="30"/>
      <c r="E654" s="31"/>
      <c r="F654" s="31"/>
      <c r="I654" s="32"/>
      <c r="J654" s="32"/>
      <c r="L654" s="30"/>
      <c r="M654" s="31"/>
      <c r="P654" s="31"/>
      <c r="Q654" s="33"/>
      <c r="R654" s="33"/>
    </row>
    <row r="655" spans="4:18" ht="13.2">
      <c r="D655" s="30"/>
      <c r="E655" s="31"/>
      <c r="F655" s="31"/>
      <c r="I655" s="32"/>
      <c r="J655" s="32"/>
      <c r="L655" s="30"/>
      <c r="M655" s="31"/>
      <c r="P655" s="31"/>
      <c r="Q655" s="33"/>
      <c r="R655" s="33"/>
    </row>
    <row r="656" spans="4:18" ht="13.2">
      <c r="D656" s="30"/>
      <c r="E656" s="31"/>
      <c r="F656" s="31"/>
      <c r="I656" s="32"/>
      <c r="J656" s="32"/>
      <c r="L656" s="30"/>
      <c r="M656" s="31"/>
      <c r="P656" s="31"/>
      <c r="Q656" s="33"/>
      <c r="R656" s="33"/>
    </row>
    <row r="657" spans="4:18" ht="13.2">
      <c r="D657" s="30"/>
      <c r="E657" s="31"/>
      <c r="F657" s="31"/>
      <c r="I657" s="32"/>
      <c r="J657" s="32"/>
      <c r="L657" s="30"/>
      <c r="M657" s="31"/>
      <c r="P657" s="31"/>
      <c r="Q657" s="33"/>
      <c r="R657" s="33"/>
    </row>
    <row r="658" spans="4:18" ht="13.2">
      <c r="D658" s="30"/>
      <c r="E658" s="31"/>
      <c r="F658" s="31"/>
      <c r="I658" s="32"/>
      <c r="J658" s="32"/>
      <c r="L658" s="30"/>
      <c r="M658" s="31"/>
      <c r="P658" s="31"/>
      <c r="Q658" s="33"/>
      <c r="R658" s="33"/>
    </row>
    <row r="659" spans="4:18" ht="13.2">
      <c r="D659" s="30"/>
      <c r="E659" s="31"/>
      <c r="F659" s="31"/>
      <c r="I659" s="32"/>
      <c r="J659" s="32"/>
      <c r="L659" s="30"/>
      <c r="M659" s="31"/>
      <c r="P659" s="31"/>
      <c r="Q659" s="33"/>
      <c r="R659" s="33"/>
    </row>
    <row r="660" spans="4:18" ht="13.2">
      <c r="D660" s="30"/>
      <c r="E660" s="31"/>
      <c r="F660" s="31"/>
      <c r="I660" s="32"/>
      <c r="J660" s="32"/>
      <c r="L660" s="30"/>
      <c r="M660" s="31"/>
      <c r="P660" s="31"/>
      <c r="Q660" s="33"/>
      <c r="R660" s="33"/>
    </row>
    <row r="661" spans="4:18" ht="13.2">
      <c r="D661" s="30"/>
      <c r="E661" s="31"/>
      <c r="F661" s="31"/>
      <c r="I661" s="32"/>
      <c r="J661" s="32"/>
      <c r="L661" s="30"/>
      <c r="M661" s="31"/>
      <c r="P661" s="31"/>
      <c r="Q661" s="33"/>
      <c r="R661" s="33"/>
    </row>
    <row r="662" spans="4:18" ht="13.2">
      <c r="D662" s="30"/>
      <c r="E662" s="31"/>
      <c r="F662" s="31"/>
      <c r="I662" s="32"/>
      <c r="J662" s="32"/>
      <c r="L662" s="30"/>
      <c r="M662" s="31"/>
      <c r="P662" s="31"/>
      <c r="Q662" s="33"/>
      <c r="R662" s="33"/>
    </row>
    <row r="663" spans="4:18" ht="13.2">
      <c r="D663" s="30"/>
      <c r="E663" s="31"/>
      <c r="F663" s="31"/>
      <c r="I663" s="32"/>
      <c r="J663" s="32"/>
      <c r="L663" s="30"/>
      <c r="M663" s="31"/>
      <c r="P663" s="31"/>
      <c r="Q663" s="33"/>
      <c r="R663" s="33"/>
    </row>
    <row r="664" spans="4:18" ht="13.2">
      <c r="D664" s="30"/>
      <c r="E664" s="31"/>
      <c r="F664" s="31"/>
      <c r="I664" s="32"/>
      <c r="J664" s="32"/>
      <c r="L664" s="30"/>
      <c r="M664" s="31"/>
      <c r="P664" s="31"/>
      <c r="Q664" s="33"/>
      <c r="R664" s="33"/>
    </row>
    <row r="665" spans="4:18" ht="13.2">
      <c r="D665" s="30"/>
      <c r="E665" s="31"/>
      <c r="F665" s="31"/>
      <c r="I665" s="32"/>
      <c r="J665" s="32"/>
      <c r="L665" s="30"/>
      <c r="M665" s="31"/>
      <c r="P665" s="31"/>
      <c r="Q665" s="33"/>
      <c r="R665" s="33"/>
    </row>
    <row r="666" spans="4:18" ht="13.2">
      <c r="D666" s="30"/>
      <c r="E666" s="31"/>
      <c r="F666" s="31"/>
      <c r="I666" s="32"/>
      <c r="J666" s="32"/>
      <c r="L666" s="30"/>
      <c r="M666" s="31"/>
      <c r="P666" s="31"/>
      <c r="Q666" s="33"/>
      <c r="R666" s="33"/>
    </row>
    <row r="667" spans="4:18" ht="13.2">
      <c r="D667" s="30"/>
      <c r="E667" s="31"/>
      <c r="F667" s="31"/>
      <c r="I667" s="32"/>
      <c r="J667" s="32"/>
      <c r="L667" s="30"/>
      <c r="M667" s="31"/>
      <c r="P667" s="31"/>
      <c r="Q667" s="33"/>
      <c r="R667" s="33"/>
    </row>
    <row r="668" spans="4:18" ht="13.2">
      <c r="D668" s="30"/>
      <c r="E668" s="31"/>
      <c r="F668" s="31"/>
      <c r="I668" s="32"/>
      <c r="J668" s="32"/>
      <c r="L668" s="30"/>
      <c r="M668" s="31"/>
      <c r="P668" s="31"/>
      <c r="Q668" s="33"/>
      <c r="R668" s="33"/>
    </row>
    <row r="669" spans="4:18" ht="13.2">
      <c r="D669" s="30"/>
      <c r="E669" s="31"/>
      <c r="F669" s="31"/>
      <c r="I669" s="32"/>
      <c r="J669" s="32"/>
      <c r="L669" s="30"/>
      <c r="M669" s="31"/>
      <c r="P669" s="31"/>
      <c r="Q669" s="33"/>
      <c r="R669" s="33"/>
    </row>
    <row r="670" spans="4:18" ht="13.2">
      <c r="D670" s="30"/>
      <c r="E670" s="31"/>
      <c r="F670" s="31"/>
      <c r="I670" s="32"/>
      <c r="J670" s="32"/>
      <c r="L670" s="30"/>
      <c r="M670" s="31"/>
      <c r="P670" s="31"/>
      <c r="Q670" s="33"/>
      <c r="R670" s="33"/>
    </row>
    <row r="671" spans="4:18" ht="13.2">
      <c r="D671" s="30"/>
      <c r="E671" s="31"/>
      <c r="F671" s="31"/>
      <c r="I671" s="32"/>
      <c r="J671" s="32"/>
      <c r="L671" s="30"/>
      <c r="M671" s="31"/>
      <c r="P671" s="31"/>
      <c r="Q671" s="33"/>
      <c r="R671" s="33"/>
    </row>
    <row r="672" spans="4:18" ht="13.2">
      <c r="D672" s="30"/>
      <c r="E672" s="31"/>
      <c r="F672" s="31"/>
      <c r="I672" s="32"/>
      <c r="J672" s="32"/>
      <c r="L672" s="30"/>
      <c r="M672" s="31"/>
      <c r="P672" s="31"/>
      <c r="Q672" s="33"/>
      <c r="R672" s="33"/>
    </row>
    <row r="673" spans="4:18" ht="13.2">
      <c r="D673" s="30"/>
      <c r="E673" s="31"/>
      <c r="F673" s="31"/>
      <c r="I673" s="32"/>
      <c r="J673" s="32"/>
      <c r="L673" s="30"/>
      <c r="M673" s="31"/>
      <c r="P673" s="31"/>
      <c r="Q673" s="33"/>
      <c r="R673" s="33"/>
    </row>
    <row r="674" spans="4:18" ht="13.2">
      <c r="D674" s="30"/>
      <c r="E674" s="31"/>
      <c r="F674" s="31"/>
      <c r="I674" s="32"/>
      <c r="J674" s="32"/>
      <c r="L674" s="30"/>
      <c r="M674" s="31"/>
      <c r="P674" s="31"/>
      <c r="Q674" s="33"/>
      <c r="R674" s="33"/>
    </row>
    <row r="675" spans="4:18" ht="13.2">
      <c r="D675" s="30"/>
      <c r="E675" s="31"/>
      <c r="F675" s="31"/>
      <c r="I675" s="32"/>
      <c r="J675" s="32"/>
      <c r="L675" s="30"/>
      <c r="M675" s="31"/>
      <c r="P675" s="31"/>
      <c r="Q675" s="33"/>
      <c r="R675" s="33"/>
    </row>
    <row r="676" spans="4:18" ht="13.2">
      <c r="D676" s="30"/>
      <c r="E676" s="31"/>
      <c r="F676" s="31"/>
      <c r="I676" s="32"/>
      <c r="J676" s="32"/>
      <c r="L676" s="30"/>
      <c r="M676" s="31"/>
      <c r="P676" s="31"/>
      <c r="Q676" s="33"/>
      <c r="R676" s="33"/>
    </row>
    <row r="677" spans="4:18" ht="13.2">
      <c r="D677" s="30"/>
      <c r="E677" s="31"/>
      <c r="F677" s="31"/>
      <c r="I677" s="32"/>
      <c r="J677" s="32"/>
      <c r="L677" s="30"/>
      <c r="M677" s="31"/>
      <c r="P677" s="31"/>
      <c r="Q677" s="33"/>
      <c r="R677" s="33"/>
    </row>
    <row r="678" spans="4:18" ht="13.2">
      <c r="D678" s="30"/>
      <c r="E678" s="31"/>
      <c r="F678" s="31"/>
      <c r="I678" s="32"/>
      <c r="J678" s="32"/>
      <c r="L678" s="30"/>
      <c r="M678" s="31"/>
      <c r="P678" s="31"/>
      <c r="Q678" s="33"/>
      <c r="R678" s="33"/>
    </row>
    <row r="679" spans="4:18" ht="13.2">
      <c r="D679" s="30"/>
      <c r="E679" s="31"/>
      <c r="F679" s="31"/>
      <c r="I679" s="32"/>
      <c r="J679" s="32"/>
      <c r="L679" s="30"/>
      <c r="M679" s="31"/>
      <c r="P679" s="31"/>
      <c r="Q679" s="33"/>
      <c r="R679" s="33"/>
    </row>
    <row r="680" spans="4:18" ht="13.2">
      <c r="D680" s="30"/>
      <c r="E680" s="31"/>
      <c r="F680" s="31"/>
      <c r="I680" s="32"/>
      <c r="J680" s="32"/>
      <c r="L680" s="30"/>
      <c r="M680" s="31"/>
      <c r="P680" s="31"/>
      <c r="Q680" s="33"/>
      <c r="R680" s="33"/>
    </row>
    <row r="681" spans="4:18" ht="13.2">
      <c r="D681" s="30"/>
      <c r="E681" s="31"/>
      <c r="F681" s="31"/>
      <c r="I681" s="32"/>
      <c r="J681" s="32"/>
      <c r="L681" s="30"/>
      <c r="M681" s="31"/>
      <c r="P681" s="31"/>
      <c r="Q681" s="33"/>
      <c r="R681" s="33"/>
    </row>
    <row r="682" spans="4:18" ht="13.2">
      <c r="D682" s="30"/>
      <c r="E682" s="31"/>
      <c r="F682" s="31"/>
      <c r="I682" s="32"/>
      <c r="J682" s="32"/>
      <c r="L682" s="30"/>
      <c r="M682" s="31"/>
      <c r="P682" s="31"/>
      <c r="Q682" s="33"/>
      <c r="R682" s="33"/>
    </row>
    <row r="683" spans="4:18" ht="13.2">
      <c r="D683" s="30"/>
      <c r="E683" s="31"/>
      <c r="F683" s="31"/>
      <c r="I683" s="32"/>
      <c r="J683" s="32"/>
      <c r="L683" s="30"/>
      <c r="M683" s="31"/>
      <c r="P683" s="31"/>
      <c r="Q683" s="33"/>
      <c r="R683" s="33"/>
    </row>
    <row r="684" spans="4:18" ht="13.2">
      <c r="D684" s="30"/>
      <c r="E684" s="31"/>
      <c r="F684" s="31"/>
      <c r="I684" s="32"/>
      <c r="J684" s="32"/>
      <c r="L684" s="30"/>
      <c r="M684" s="31"/>
      <c r="P684" s="31"/>
      <c r="Q684" s="33"/>
      <c r="R684" s="33"/>
    </row>
    <row r="685" spans="4:18" ht="13.2">
      <c r="D685" s="30"/>
      <c r="E685" s="31"/>
      <c r="F685" s="31"/>
      <c r="I685" s="32"/>
      <c r="J685" s="32"/>
      <c r="L685" s="30"/>
      <c r="M685" s="31"/>
      <c r="P685" s="31"/>
      <c r="Q685" s="33"/>
      <c r="R685" s="33"/>
    </row>
    <row r="686" spans="4:18" ht="13.2">
      <c r="D686" s="30"/>
      <c r="E686" s="31"/>
      <c r="F686" s="31"/>
      <c r="I686" s="32"/>
      <c r="J686" s="32"/>
      <c r="L686" s="30"/>
      <c r="M686" s="31"/>
      <c r="P686" s="31"/>
      <c r="Q686" s="33"/>
      <c r="R686" s="33"/>
    </row>
    <row r="687" spans="4:18" ht="13.2">
      <c r="D687" s="30"/>
      <c r="E687" s="31"/>
      <c r="F687" s="31"/>
      <c r="I687" s="32"/>
      <c r="J687" s="32"/>
      <c r="L687" s="30"/>
      <c r="M687" s="31"/>
      <c r="P687" s="31"/>
      <c r="Q687" s="33"/>
      <c r="R687" s="33"/>
    </row>
    <row r="688" spans="4:18" ht="13.2">
      <c r="D688" s="30"/>
      <c r="E688" s="31"/>
      <c r="F688" s="31"/>
      <c r="I688" s="32"/>
      <c r="J688" s="32"/>
      <c r="L688" s="30"/>
      <c r="M688" s="31"/>
      <c r="P688" s="31"/>
      <c r="Q688" s="33"/>
      <c r="R688" s="33"/>
    </row>
    <row r="689" spans="4:18" ht="13.2">
      <c r="D689" s="30"/>
      <c r="E689" s="31"/>
      <c r="F689" s="31"/>
      <c r="I689" s="32"/>
      <c r="J689" s="32"/>
      <c r="L689" s="30"/>
      <c r="M689" s="31"/>
      <c r="P689" s="31"/>
      <c r="Q689" s="33"/>
      <c r="R689" s="33"/>
    </row>
    <row r="690" spans="4:18" ht="13.2">
      <c r="D690" s="30"/>
      <c r="E690" s="31"/>
      <c r="F690" s="31"/>
      <c r="I690" s="32"/>
      <c r="J690" s="32"/>
      <c r="L690" s="30"/>
      <c r="M690" s="31"/>
      <c r="P690" s="31"/>
      <c r="Q690" s="33"/>
      <c r="R690" s="33"/>
    </row>
    <row r="691" spans="4:18" ht="13.2">
      <c r="D691" s="30"/>
      <c r="E691" s="31"/>
      <c r="F691" s="31"/>
      <c r="I691" s="32"/>
      <c r="J691" s="32"/>
      <c r="L691" s="30"/>
      <c r="M691" s="31"/>
      <c r="P691" s="31"/>
      <c r="Q691" s="33"/>
      <c r="R691" s="33"/>
    </row>
    <row r="692" spans="4:18" ht="13.2">
      <c r="D692" s="30"/>
      <c r="E692" s="31"/>
      <c r="F692" s="31"/>
      <c r="I692" s="32"/>
      <c r="J692" s="32"/>
      <c r="L692" s="30"/>
      <c r="M692" s="31"/>
      <c r="P692" s="31"/>
      <c r="Q692" s="33"/>
      <c r="R692" s="33"/>
    </row>
    <row r="693" spans="4:18" ht="13.2">
      <c r="D693" s="30"/>
      <c r="E693" s="31"/>
      <c r="F693" s="31"/>
      <c r="I693" s="32"/>
      <c r="J693" s="32"/>
      <c r="L693" s="30"/>
      <c r="M693" s="31"/>
      <c r="P693" s="31"/>
      <c r="Q693" s="33"/>
      <c r="R693" s="33"/>
    </row>
    <row r="694" spans="4:18" ht="13.2">
      <c r="D694" s="30"/>
      <c r="E694" s="31"/>
      <c r="F694" s="31"/>
      <c r="I694" s="32"/>
      <c r="J694" s="32"/>
      <c r="L694" s="30"/>
      <c r="M694" s="31"/>
      <c r="P694" s="31"/>
      <c r="Q694" s="33"/>
      <c r="R694" s="33"/>
    </row>
    <row r="695" spans="4:18" ht="13.2">
      <c r="D695" s="30"/>
      <c r="E695" s="31"/>
      <c r="F695" s="31"/>
      <c r="I695" s="32"/>
      <c r="J695" s="32"/>
      <c r="L695" s="30"/>
      <c r="M695" s="31"/>
      <c r="P695" s="31"/>
      <c r="Q695" s="33"/>
      <c r="R695" s="33"/>
    </row>
    <row r="696" spans="4:18" ht="13.2">
      <c r="D696" s="30"/>
      <c r="E696" s="31"/>
      <c r="F696" s="31"/>
      <c r="I696" s="32"/>
      <c r="J696" s="32"/>
      <c r="L696" s="30"/>
      <c r="M696" s="31"/>
      <c r="P696" s="31"/>
      <c r="Q696" s="33"/>
      <c r="R696" s="33"/>
    </row>
    <row r="697" spans="4:18" ht="13.2">
      <c r="D697" s="30"/>
      <c r="E697" s="31"/>
      <c r="F697" s="31"/>
      <c r="I697" s="32"/>
      <c r="J697" s="32"/>
      <c r="L697" s="30"/>
      <c r="M697" s="31"/>
      <c r="P697" s="31"/>
      <c r="Q697" s="33"/>
      <c r="R697" s="33"/>
    </row>
    <row r="698" spans="4:18" ht="13.2">
      <c r="D698" s="30"/>
      <c r="E698" s="31"/>
      <c r="F698" s="31"/>
      <c r="I698" s="32"/>
      <c r="J698" s="32"/>
      <c r="L698" s="30"/>
      <c r="M698" s="31"/>
      <c r="P698" s="31"/>
      <c r="Q698" s="33"/>
      <c r="R698" s="33"/>
    </row>
    <row r="699" spans="4:18" ht="13.2">
      <c r="D699" s="30"/>
      <c r="E699" s="31"/>
      <c r="F699" s="31"/>
      <c r="I699" s="32"/>
      <c r="J699" s="32"/>
      <c r="L699" s="30"/>
      <c r="M699" s="31"/>
      <c r="P699" s="31"/>
      <c r="Q699" s="33"/>
      <c r="R699" s="33"/>
    </row>
    <row r="700" spans="4:18" ht="13.2">
      <c r="D700" s="30"/>
      <c r="E700" s="31"/>
      <c r="F700" s="31"/>
      <c r="I700" s="32"/>
      <c r="J700" s="32"/>
      <c r="L700" s="30"/>
      <c r="M700" s="31"/>
      <c r="P700" s="31"/>
      <c r="Q700" s="33"/>
      <c r="R700" s="33"/>
    </row>
    <row r="701" spans="4:18" ht="13.2">
      <c r="D701" s="30"/>
      <c r="E701" s="31"/>
      <c r="F701" s="31"/>
      <c r="I701" s="32"/>
      <c r="J701" s="32"/>
      <c r="L701" s="30"/>
      <c r="M701" s="31"/>
      <c r="P701" s="31"/>
      <c r="Q701" s="33"/>
      <c r="R701" s="33"/>
    </row>
    <row r="702" spans="4:18" ht="13.2">
      <c r="D702" s="30"/>
      <c r="E702" s="31"/>
      <c r="F702" s="31"/>
      <c r="I702" s="32"/>
      <c r="J702" s="32"/>
      <c r="L702" s="30"/>
      <c r="M702" s="31"/>
      <c r="P702" s="31"/>
      <c r="Q702" s="33"/>
      <c r="R702" s="33"/>
    </row>
    <row r="703" spans="4:18" ht="13.2">
      <c r="D703" s="30"/>
      <c r="E703" s="31"/>
      <c r="F703" s="31"/>
      <c r="I703" s="32"/>
      <c r="J703" s="32"/>
      <c r="L703" s="30"/>
      <c r="M703" s="31"/>
      <c r="P703" s="31"/>
      <c r="Q703" s="33"/>
      <c r="R703" s="33"/>
    </row>
    <row r="704" spans="4:18" ht="13.2">
      <c r="D704" s="30"/>
      <c r="E704" s="31"/>
      <c r="F704" s="31"/>
      <c r="I704" s="32"/>
      <c r="J704" s="32"/>
      <c r="L704" s="30"/>
      <c r="M704" s="31"/>
      <c r="P704" s="31"/>
      <c r="Q704" s="33"/>
      <c r="R704" s="33"/>
    </row>
    <row r="705" spans="4:18" ht="13.2">
      <c r="D705" s="30"/>
      <c r="E705" s="31"/>
      <c r="F705" s="31"/>
      <c r="I705" s="32"/>
      <c r="J705" s="32"/>
      <c r="L705" s="30"/>
      <c r="M705" s="31"/>
      <c r="P705" s="31"/>
      <c r="Q705" s="33"/>
      <c r="R705" s="33"/>
    </row>
    <row r="706" spans="4:18" ht="13.2">
      <c r="D706" s="30"/>
      <c r="E706" s="31"/>
      <c r="F706" s="31"/>
      <c r="I706" s="32"/>
      <c r="J706" s="32"/>
      <c r="L706" s="30"/>
      <c r="M706" s="31"/>
      <c r="P706" s="31"/>
      <c r="Q706" s="33"/>
      <c r="R706" s="33"/>
    </row>
    <row r="707" spans="4:18" ht="13.2">
      <c r="D707" s="30"/>
      <c r="E707" s="31"/>
      <c r="F707" s="31"/>
      <c r="I707" s="32"/>
      <c r="J707" s="32"/>
      <c r="L707" s="30"/>
      <c r="M707" s="31"/>
      <c r="P707" s="31"/>
      <c r="Q707" s="33"/>
      <c r="R707" s="33"/>
    </row>
    <row r="708" spans="4:18" ht="13.2">
      <c r="D708" s="30"/>
      <c r="E708" s="31"/>
      <c r="F708" s="31"/>
      <c r="I708" s="32"/>
      <c r="J708" s="32"/>
      <c r="L708" s="30"/>
      <c r="M708" s="31"/>
      <c r="P708" s="31"/>
      <c r="Q708" s="33"/>
      <c r="R708" s="33"/>
    </row>
    <row r="709" spans="4:18" ht="13.2">
      <c r="D709" s="30"/>
      <c r="E709" s="31"/>
      <c r="F709" s="31"/>
      <c r="I709" s="32"/>
      <c r="J709" s="32"/>
      <c r="L709" s="30"/>
      <c r="M709" s="31"/>
      <c r="P709" s="31"/>
      <c r="Q709" s="33"/>
      <c r="R709" s="33"/>
    </row>
    <row r="710" spans="4:18" ht="13.2">
      <c r="D710" s="30"/>
      <c r="E710" s="31"/>
      <c r="F710" s="31"/>
      <c r="I710" s="32"/>
      <c r="J710" s="32"/>
      <c r="L710" s="30"/>
      <c r="M710" s="31"/>
      <c r="P710" s="31"/>
      <c r="Q710" s="33"/>
      <c r="R710" s="33"/>
    </row>
    <row r="711" spans="4:18" ht="13.2">
      <c r="D711" s="30"/>
      <c r="E711" s="31"/>
      <c r="F711" s="31"/>
      <c r="I711" s="32"/>
      <c r="J711" s="32"/>
      <c r="L711" s="30"/>
      <c r="M711" s="31"/>
      <c r="P711" s="31"/>
      <c r="Q711" s="33"/>
      <c r="R711" s="33"/>
    </row>
    <row r="712" spans="4:18" ht="13.2">
      <c r="D712" s="30"/>
      <c r="E712" s="31"/>
      <c r="F712" s="31"/>
      <c r="I712" s="32"/>
      <c r="J712" s="32"/>
      <c r="L712" s="30"/>
      <c r="M712" s="31"/>
      <c r="P712" s="31"/>
      <c r="Q712" s="33"/>
      <c r="R712" s="33"/>
    </row>
    <row r="713" spans="4:18" ht="13.2">
      <c r="D713" s="30"/>
      <c r="E713" s="31"/>
      <c r="F713" s="31"/>
      <c r="I713" s="32"/>
      <c r="J713" s="32"/>
      <c r="L713" s="30"/>
      <c r="M713" s="31"/>
      <c r="P713" s="31"/>
      <c r="Q713" s="33"/>
      <c r="R713" s="33"/>
    </row>
    <row r="714" spans="4:18" ht="13.2">
      <c r="D714" s="30"/>
      <c r="E714" s="31"/>
      <c r="F714" s="31"/>
      <c r="I714" s="32"/>
      <c r="J714" s="32"/>
      <c r="L714" s="30"/>
      <c r="M714" s="31"/>
      <c r="P714" s="31"/>
      <c r="Q714" s="33"/>
      <c r="R714" s="33"/>
    </row>
    <row r="715" spans="4:18" ht="13.2">
      <c r="D715" s="30"/>
      <c r="E715" s="31"/>
      <c r="F715" s="31"/>
      <c r="I715" s="32"/>
      <c r="J715" s="32"/>
      <c r="L715" s="30"/>
      <c r="M715" s="31"/>
      <c r="P715" s="31"/>
      <c r="Q715" s="33"/>
      <c r="R715" s="33"/>
    </row>
    <row r="716" spans="4:18" ht="13.2">
      <c r="D716" s="30"/>
      <c r="E716" s="31"/>
      <c r="F716" s="31"/>
      <c r="I716" s="32"/>
      <c r="J716" s="32"/>
      <c r="L716" s="30"/>
      <c r="M716" s="31"/>
      <c r="P716" s="31"/>
      <c r="Q716" s="33"/>
      <c r="R716" s="33"/>
    </row>
    <row r="717" spans="4:18" ht="13.2">
      <c r="D717" s="30"/>
      <c r="E717" s="31"/>
      <c r="F717" s="31"/>
      <c r="I717" s="32"/>
      <c r="J717" s="32"/>
      <c r="L717" s="30"/>
      <c r="M717" s="31"/>
      <c r="P717" s="31"/>
      <c r="Q717" s="33"/>
      <c r="R717" s="33"/>
    </row>
    <row r="718" spans="4:18" ht="13.2">
      <c r="D718" s="30"/>
      <c r="E718" s="31"/>
      <c r="F718" s="31"/>
      <c r="I718" s="32"/>
      <c r="J718" s="32"/>
      <c r="L718" s="30"/>
      <c r="M718" s="31"/>
      <c r="P718" s="31"/>
      <c r="Q718" s="33"/>
      <c r="R718" s="33"/>
    </row>
    <row r="719" spans="4:18" ht="13.2">
      <c r="D719" s="30"/>
      <c r="E719" s="31"/>
      <c r="F719" s="31"/>
      <c r="I719" s="32"/>
      <c r="J719" s="32"/>
      <c r="L719" s="30"/>
      <c r="M719" s="31"/>
      <c r="P719" s="31"/>
      <c r="Q719" s="33"/>
      <c r="R719" s="33"/>
    </row>
    <row r="720" spans="4:18" ht="13.2">
      <c r="D720" s="30"/>
      <c r="E720" s="31"/>
      <c r="F720" s="31"/>
      <c r="I720" s="32"/>
      <c r="J720" s="32"/>
      <c r="L720" s="30"/>
      <c r="M720" s="31"/>
      <c r="P720" s="31"/>
      <c r="Q720" s="33"/>
      <c r="R720" s="33"/>
    </row>
    <row r="721" spans="4:18" ht="13.2">
      <c r="D721" s="30"/>
      <c r="E721" s="31"/>
      <c r="F721" s="31"/>
      <c r="I721" s="32"/>
      <c r="J721" s="32"/>
      <c r="L721" s="30"/>
      <c r="M721" s="31"/>
      <c r="P721" s="31"/>
      <c r="Q721" s="33"/>
      <c r="R721" s="33"/>
    </row>
    <row r="722" spans="4:18" ht="13.2">
      <c r="D722" s="30"/>
      <c r="E722" s="31"/>
      <c r="F722" s="31"/>
      <c r="I722" s="32"/>
      <c r="J722" s="32"/>
      <c r="L722" s="30"/>
      <c r="M722" s="31"/>
      <c r="P722" s="31"/>
      <c r="Q722" s="33"/>
      <c r="R722" s="33"/>
    </row>
    <row r="723" spans="4:18" ht="13.2">
      <c r="D723" s="30"/>
      <c r="E723" s="31"/>
      <c r="F723" s="31"/>
      <c r="I723" s="32"/>
      <c r="J723" s="32"/>
      <c r="L723" s="30"/>
      <c r="M723" s="31"/>
      <c r="P723" s="31"/>
      <c r="Q723" s="33"/>
      <c r="R723" s="33"/>
    </row>
    <row r="724" spans="4:18" ht="13.2">
      <c r="D724" s="30"/>
      <c r="E724" s="31"/>
      <c r="F724" s="31"/>
      <c r="I724" s="32"/>
      <c r="J724" s="32"/>
      <c r="L724" s="30"/>
      <c r="M724" s="31"/>
      <c r="P724" s="31"/>
      <c r="Q724" s="33"/>
      <c r="R724" s="33"/>
    </row>
    <row r="725" spans="4:18" ht="13.2">
      <c r="D725" s="30"/>
      <c r="E725" s="31"/>
      <c r="F725" s="31"/>
      <c r="I725" s="32"/>
      <c r="J725" s="32"/>
      <c r="L725" s="30"/>
      <c r="M725" s="31"/>
      <c r="P725" s="31"/>
      <c r="Q725" s="33"/>
      <c r="R725" s="33"/>
    </row>
    <row r="726" spans="4:18" ht="13.2">
      <c r="D726" s="30"/>
      <c r="E726" s="31"/>
      <c r="F726" s="31"/>
      <c r="I726" s="32"/>
      <c r="J726" s="32"/>
      <c r="L726" s="30"/>
      <c r="M726" s="31"/>
      <c r="P726" s="31"/>
      <c r="Q726" s="33"/>
      <c r="R726" s="33"/>
    </row>
    <row r="727" spans="4:18" ht="13.2">
      <c r="D727" s="30"/>
      <c r="E727" s="31"/>
      <c r="F727" s="31"/>
      <c r="I727" s="32"/>
      <c r="J727" s="32"/>
      <c r="L727" s="30"/>
      <c r="M727" s="31"/>
      <c r="P727" s="31"/>
      <c r="Q727" s="33"/>
      <c r="R727" s="33"/>
    </row>
    <row r="728" spans="4:18" ht="13.2">
      <c r="D728" s="30"/>
      <c r="E728" s="31"/>
      <c r="F728" s="31"/>
      <c r="I728" s="32"/>
      <c r="J728" s="32"/>
      <c r="L728" s="30"/>
      <c r="M728" s="31"/>
      <c r="P728" s="31"/>
      <c r="Q728" s="33"/>
      <c r="R728" s="33"/>
    </row>
    <row r="729" spans="4:18" ht="13.2">
      <c r="D729" s="30"/>
      <c r="E729" s="31"/>
      <c r="F729" s="31"/>
      <c r="I729" s="32"/>
      <c r="J729" s="32"/>
      <c r="L729" s="30"/>
      <c r="M729" s="31"/>
      <c r="P729" s="31"/>
      <c r="Q729" s="33"/>
      <c r="R729" s="33"/>
    </row>
    <row r="730" spans="4:18" ht="13.2">
      <c r="D730" s="30"/>
      <c r="E730" s="31"/>
      <c r="F730" s="31"/>
      <c r="I730" s="32"/>
      <c r="J730" s="32"/>
      <c r="L730" s="30"/>
      <c r="M730" s="31"/>
      <c r="P730" s="31"/>
      <c r="Q730" s="33"/>
      <c r="R730" s="33"/>
    </row>
    <row r="731" spans="4:18" ht="13.2">
      <c r="D731" s="30"/>
      <c r="E731" s="31"/>
      <c r="F731" s="31"/>
      <c r="I731" s="32"/>
      <c r="J731" s="32"/>
      <c r="L731" s="30"/>
      <c r="M731" s="31"/>
      <c r="P731" s="31"/>
      <c r="Q731" s="33"/>
      <c r="R731" s="33"/>
    </row>
    <row r="732" spans="4:18" ht="13.2">
      <c r="D732" s="30"/>
      <c r="E732" s="31"/>
      <c r="F732" s="31"/>
      <c r="I732" s="32"/>
      <c r="J732" s="32"/>
      <c r="L732" s="30"/>
      <c r="M732" s="31"/>
      <c r="P732" s="31"/>
      <c r="Q732" s="33"/>
      <c r="R732" s="33"/>
    </row>
    <row r="733" spans="4:18" ht="13.2">
      <c r="D733" s="30"/>
      <c r="E733" s="31"/>
      <c r="F733" s="31"/>
      <c r="I733" s="32"/>
      <c r="J733" s="32"/>
      <c r="L733" s="30"/>
      <c r="M733" s="31"/>
      <c r="P733" s="31"/>
      <c r="Q733" s="33"/>
      <c r="R733" s="33"/>
    </row>
    <row r="734" spans="4:18" ht="13.2">
      <c r="D734" s="30"/>
      <c r="E734" s="31"/>
      <c r="F734" s="31"/>
      <c r="I734" s="32"/>
      <c r="J734" s="32"/>
      <c r="L734" s="30"/>
      <c r="M734" s="31"/>
      <c r="P734" s="31"/>
      <c r="Q734" s="33"/>
      <c r="R734" s="33"/>
    </row>
    <row r="735" spans="4:18" ht="13.2">
      <c r="D735" s="30"/>
      <c r="E735" s="31"/>
      <c r="F735" s="31"/>
      <c r="I735" s="32"/>
      <c r="J735" s="32"/>
      <c r="L735" s="30"/>
      <c r="M735" s="31"/>
      <c r="P735" s="31"/>
      <c r="Q735" s="33"/>
      <c r="R735" s="33"/>
    </row>
    <row r="736" spans="4:18" ht="13.2">
      <c r="D736" s="30"/>
      <c r="E736" s="31"/>
      <c r="F736" s="31"/>
      <c r="I736" s="32"/>
      <c r="J736" s="32"/>
      <c r="L736" s="30"/>
      <c r="M736" s="31"/>
      <c r="P736" s="31"/>
      <c r="Q736" s="33"/>
      <c r="R736" s="33"/>
    </row>
    <row r="737" spans="4:18" ht="13.2">
      <c r="D737" s="30"/>
      <c r="E737" s="31"/>
      <c r="F737" s="31"/>
      <c r="I737" s="32"/>
      <c r="J737" s="32"/>
      <c r="L737" s="30"/>
      <c r="M737" s="31"/>
      <c r="P737" s="31"/>
      <c r="Q737" s="33"/>
      <c r="R737" s="33"/>
    </row>
    <row r="738" spans="4:18" ht="13.2">
      <c r="D738" s="30"/>
      <c r="E738" s="31"/>
      <c r="F738" s="31"/>
      <c r="I738" s="32"/>
      <c r="J738" s="32"/>
      <c r="L738" s="30"/>
      <c r="M738" s="31"/>
      <c r="P738" s="31"/>
      <c r="Q738" s="33"/>
      <c r="R738" s="33"/>
    </row>
    <row r="739" spans="4:18" ht="13.2">
      <c r="D739" s="30"/>
      <c r="E739" s="31"/>
      <c r="F739" s="31"/>
      <c r="I739" s="32"/>
      <c r="J739" s="32"/>
      <c r="L739" s="30"/>
      <c r="M739" s="31"/>
      <c r="P739" s="31"/>
      <c r="Q739" s="33"/>
      <c r="R739" s="33"/>
    </row>
    <row r="740" spans="4:18" ht="13.2">
      <c r="D740" s="30"/>
      <c r="E740" s="31"/>
      <c r="F740" s="31"/>
      <c r="I740" s="32"/>
      <c r="J740" s="32"/>
      <c r="L740" s="30"/>
      <c r="M740" s="31"/>
      <c r="P740" s="31"/>
      <c r="Q740" s="33"/>
      <c r="R740" s="33"/>
    </row>
    <row r="741" spans="4:18" ht="13.2">
      <c r="D741" s="30"/>
      <c r="E741" s="31"/>
      <c r="F741" s="31"/>
      <c r="I741" s="32"/>
      <c r="J741" s="32"/>
      <c r="L741" s="30"/>
      <c r="M741" s="31"/>
      <c r="P741" s="31"/>
      <c r="Q741" s="33"/>
      <c r="R741" s="33"/>
    </row>
    <row r="742" spans="4:18" ht="13.2">
      <c r="D742" s="30"/>
      <c r="E742" s="31"/>
      <c r="F742" s="31"/>
      <c r="I742" s="32"/>
      <c r="J742" s="32"/>
      <c r="L742" s="30"/>
      <c r="M742" s="31"/>
      <c r="P742" s="31"/>
      <c r="Q742" s="33"/>
      <c r="R742" s="33"/>
    </row>
    <row r="743" spans="4:18" ht="13.2">
      <c r="D743" s="30"/>
      <c r="E743" s="31"/>
      <c r="F743" s="31"/>
      <c r="I743" s="32"/>
      <c r="J743" s="32"/>
      <c r="L743" s="30"/>
      <c r="M743" s="31"/>
      <c r="P743" s="31"/>
      <c r="Q743" s="33"/>
      <c r="R743" s="33"/>
    </row>
    <row r="744" spans="4:18" ht="13.2">
      <c r="D744" s="30"/>
      <c r="E744" s="31"/>
      <c r="F744" s="31"/>
      <c r="I744" s="32"/>
      <c r="J744" s="32"/>
      <c r="L744" s="30"/>
      <c r="M744" s="31"/>
      <c r="P744" s="31"/>
      <c r="Q744" s="33"/>
      <c r="R744" s="33"/>
    </row>
    <row r="745" spans="4:18" ht="13.2">
      <c r="D745" s="30"/>
      <c r="E745" s="31"/>
      <c r="F745" s="31"/>
      <c r="I745" s="32"/>
      <c r="J745" s="32"/>
      <c r="L745" s="30"/>
      <c r="M745" s="31"/>
      <c r="P745" s="31"/>
      <c r="Q745" s="33"/>
      <c r="R745" s="33"/>
    </row>
    <row r="746" spans="4:18" ht="13.2">
      <c r="D746" s="30"/>
      <c r="E746" s="31"/>
      <c r="F746" s="31"/>
      <c r="I746" s="32"/>
      <c r="J746" s="32"/>
      <c r="L746" s="30"/>
      <c r="M746" s="31"/>
      <c r="P746" s="31"/>
      <c r="Q746" s="33"/>
      <c r="R746" s="33"/>
    </row>
    <row r="747" spans="4:18" ht="13.2">
      <c r="D747" s="30"/>
      <c r="E747" s="31"/>
      <c r="F747" s="31"/>
      <c r="I747" s="32"/>
      <c r="J747" s="32"/>
      <c r="L747" s="30"/>
      <c r="M747" s="31"/>
      <c r="P747" s="31"/>
      <c r="Q747" s="33"/>
      <c r="R747" s="33"/>
    </row>
    <row r="748" spans="4:18" ht="13.2">
      <c r="D748" s="30"/>
      <c r="E748" s="31"/>
      <c r="F748" s="31"/>
      <c r="I748" s="32"/>
      <c r="J748" s="32"/>
      <c r="L748" s="30"/>
      <c r="M748" s="31"/>
      <c r="P748" s="31"/>
      <c r="Q748" s="33"/>
      <c r="R748" s="33"/>
    </row>
    <row r="749" spans="4:18" ht="13.2">
      <c r="D749" s="30"/>
      <c r="E749" s="31"/>
      <c r="F749" s="31"/>
      <c r="I749" s="32"/>
      <c r="J749" s="32"/>
      <c r="L749" s="30"/>
      <c r="M749" s="31"/>
      <c r="P749" s="31"/>
      <c r="Q749" s="33"/>
      <c r="R749" s="33"/>
    </row>
    <row r="750" spans="4:18" ht="13.2">
      <c r="D750" s="30"/>
      <c r="E750" s="31"/>
      <c r="F750" s="31"/>
      <c r="I750" s="32"/>
      <c r="J750" s="32"/>
      <c r="L750" s="30"/>
      <c r="M750" s="31"/>
      <c r="P750" s="31"/>
      <c r="Q750" s="33"/>
      <c r="R750" s="33"/>
    </row>
    <row r="751" spans="4:18" ht="13.2">
      <c r="D751" s="30"/>
      <c r="E751" s="31"/>
      <c r="F751" s="31"/>
      <c r="I751" s="32"/>
      <c r="J751" s="32"/>
      <c r="L751" s="30"/>
      <c r="M751" s="31"/>
      <c r="P751" s="31"/>
      <c r="Q751" s="33"/>
      <c r="R751" s="33"/>
    </row>
    <row r="752" spans="4:18" ht="13.2">
      <c r="D752" s="30"/>
      <c r="E752" s="31"/>
      <c r="F752" s="31"/>
      <c r="I752" s="32"/>
      <c r="J752" s="32"/>
      <c r="L752" s="30"/>
      <c r="M752" s="31"/>
      <c r="P752" s="31"/>
      <c r="Q752" s="33"/>
      <c r="R752" s="33"/>
    </row>
    <row r="753" spans="4:18" ht="13.2">
      <c r="D753" s="30"/>
      <c r="E753" s="31"/>
      <c r="F753" s="31"/>
      <c r="I753" s="32"/>
      <c r="J753" s="32"/>
      <c r="L753" s="30"/>
      <c r="M753" s="31"/>
      <c r="P753" s="31"/>
      <c r="Q753" s="33"/>
      <c r="R753" s="33"/>
    </row>
    <row r="754" spans="4:18" ht="13.2">
      <c r="D754" s="30"/>
      <c r="E754" s="31"/>
      <c r="F754" s="31"/>
      <c r="I754" s="32"/>
      <c r="J754" s="32"/>
      <c r="L754" s="30"/>
      <c r="M754" s="31"/>
      <c r="P754" s="31"/>
      <c r="Q754" s="33"/>
      <c r="R754" s="33"/>
    </row>
    <row r="755" spans="4:18" ht="13.2">
      <c r="D755" s="30"/>
      <c r="E755" s="31"/>
      <c r="F755" s="31"/>
      <c r="I755" s="32"/>
      <c r="J755" s="32"/>
      <c r="L755" s="30"/>
      <c r="M755" s="31"/>
      <c r="P755" s="31"/>
      <c r="Q755" s="33"/>
      <c r="R755" s="33"/>
    </row>
    <row r="756" spans="4:18" ht="13.2">
      <c r="D756" s="30"/>
      <c r="E756" s="31"/>
      <c r="F756" s="31"/>
      <c r="I756" s="32"/>
      <c r="J756" s="32"/>
      <c r="L756" s="30"/>
      <c r="M756" s="31"/>
      <c r="P756" s="31"/>
      <c r="Q756" s="33"/>
      <c r="R756" s="33"/>
    </row>
    <row r="757" spans="4:18" ht="13.2">
      <c r="D757" s="30"/>
      <c r="E757" s="31"/>
      <c r="F757" s="31"/>
      <c r="I757" s="32"/>
      <c r="J757" s="32"/>
      <c r="L757" s="30"/>
      <c r="M757" s="31"/>
      <c r="P757" s="31"/>
      <c r="Q757" s="33"/>
      <c r="R757" s="33"/>
    </row>
    <row r="758" spans="4:18" ht="13.2">
      <c r="D758" s="30"/>
      <c r="E758" s="31"/>
      <c r="F758" s="31"/>
      <c r="I758" s="32"/>
      <c r="J758" s="32"/>
      <c r="L758" s="30"/>
      <c r="M758" s="31"/>
      <c r="P758" s="31"/>
      <c r="Q758" s="33"/>
      <c r="R758" s="33"/>
    </row>
    <row r="759" spans="4:18" ht="13.2">
      <c r="D759" s="30"/>
      <c r="E759" s="31"/>
      <c r="F759" s="31"/>
      <c r="I759" s="32"/>
      <c r="J759" s="32"/>
      <c r="L759" s="30"/>
      <c r="M759" s="31"/>
      <c r="P759" s="31"/>
      <c r="Q759" s="33"/>
      <c r="R759" s="33"/>
    </row>
    <row r="760" spans="4:18" ht="13.2">
      <c r="D760" s="30"/>
      <c r="E760" s="31"/>
      <c r="F760" s="31"/>
      <c r="I760" s="32"/>
      <c r="J760" s="32"/>
      <c r="L760" s="30"/>
      <c r="M760" s="31"/>
      <c r="P760" s="31"/>
      <c r="Q760" s="33"/>
      <c r="R760" s="33"/>
    </row>
    <row r="761" spans="4:18" ht="13.2">
      <c r="D761" s="30"/>
      <c r="E761" s="31"/>
      <c r="F761" s="31"/>
      <c r="I761" s="32"/>
      <c r="J761" s="32"/>
      <c r="L761" s="30"/>
      <c r="M761" s="31"/>
      <c r="P761" s="31"/>
      <c r="Q761" s="33"/>
      <c r="R761" s="33"/>
    </row>
    <row r="762" spans="4:18" ht="13.2">
      <c r="D762" s="30"/>
      <c r="E762" s="31"/>
      <c r="F762" s="31"/>
      <c r="I762" s="32"/>
      <c r="J762" s="32"/>
      <c r="L762" s="30"/>
      <c r="M762" s="31"/>
      <c r="P762" s="31"/>
      <c r="Q762" s="33"/>
      <c r="R762" s="33"/>
    </row>
    <row r="763" spans="4:18" ht="13.2">
      <c r="D763" s="30"/>
      <c r="E763" s="31"/>
      <c r="F763" s="31"/>
      <c r="I763" s="32"/>
      <c r="J763" s="32"/>
      <c r="L763" s="30"/>
      <c r="M763" s="31"/>
      <c r="P763" s="31"/>
      <c r="Q763" s="33"/>
      <c r="R763" s="33"/>
    </row>
    <row r="764" spans="4:18" ht="13.2">
      <c r="D764" s="30"/>
      <c r="E764" s="31"/>
      <c r="F764" s="31"/>
      <c r="I764" s="32"/>
      <c r="J764" s="32"/>
      <c r="L764" s="30"/>
      <c r="M764" s="31"/>
      <c r="P764" s="31"/>
      <c r="Q764" s="33"/>
      <c r="R764" s="33"/>
    </row>
    <row r="765" spans="4:18" ht="13.2">
      <c r="D765" s="30"/>
      <c r="E765" s="31"/>
      <c r="F765" s="31"/>
      <c r="I765" s="32"/>
      <c r="J765" s="32"/>
      <c r="L765" s="30"/>
      <c r="M765" s="31"/>
      <c r="P765" s="31"/>
      <c r="Q765" s="33"/>
      <c r="R765" s="33"/>
    </row>
    <row r="766" spans="4:18" ht="13.2">
      <c r="D766" s="30"/>
      <c r="E766" s="31"/>
      <c r="F766" s="31"/>
      <c r="I766" s="32"/>
      <c r="J766" s="32"/>
      <c r="L766" s="30"/>
      <c r="M766" s="31"/>
      <c r="P766" s="31"/>
      <c r="Q766" s="33"/>
      <c r="R766" s="33"/>
    </row>
    <row r="767" spans="4:18" ht="13.2">
      <c r="D767" s="30"/>
      <c r="E767" s="31"/>
      <c r="F767" s="31"/>
      <c r="I767" s="32"/>
      <c r="J767" s="32"/>
      <c r="L767" s="30"/>
      <c r="M767" s="31"/>
      <c r="P767" s="31"/>
      <c r="Q767" s="33"/>
      <c r="R767" s="33"/>
    </row>
    <row r="768" spans="4:18" ht="13.2">
      <c r="D768" s="30"/>
      <c r="E768" s="31"/>
      <c r="F768" s="31"/>
      <c r="I768" s="32"/>
      <c r="J768" s="32"/>
      <c r="L768" s="30"/>
      <c r="M768" s="31"/>
      <c r="P768" s="31"/>
      <c r="Q768" s="33"/>
      <c r="R768" s="33"/>
    </row>
    <row r="769" spans="4:18" ht="13.2">
      <c r="D769" s="30"/>
      <c r="E769" s="31"/>
      <c r="F769" s="31"/>
      <c r="I769" s="32"/>
      <c r="J769" s="32"/>
      <c r="L769" s="30"/>
      <c r="M769" s="31"/>
      <c r="P769" s="31"/>
      <c r="Q769" s="33"/>
      <c r="R769" s="33"/>
    </row>
    <row r="770" spans="4:18" ht="13.2">
      <c r="D770" s="30"/>
      <c r="E770" s="31"/>
      <c r="F770" s="31"/>
      <c r="I770" s="32"/>
      <c r="J770" s="32"/>
      <c r="L770" s="30"/>
      <c r="M770" s="31"/>
      <c r="P770" s="31"/>
      <c r="Q770" s="33"/>
      <c r="R770" s="33"/>
    </row>
    <row r="771" spans="4:18" ht="13.2">
      <c r="D771" s="30"/>
      <c r="E771" s="31"/>
      <c r="F771" s="31"/>
      <c r="I771" s="32"/>
      <c r="J771" s="32"/>
      <c r="L771" s="30"/>
      <c r="M771" s="31"/>
      <c r="P771" s="31"/>
      <c r="Q771" s="33"/>
      <c r="R771" s="33"/>
    </row>
    <row r="772" spans="4:18" ht="13.2">
      <c r="D772" s="30"/>
      <c r="E772" s="31"/>
      <c r="F772" s="31"/>
      <c r="I772" s="32"/>
      <c r="J772" s="32"/>
      <c r="L772" s="30"/>
      <c r="M772" s="31"/>
      <c r="P772" s="31"/>
      <c r="Q772" s="33"/>
      <c r="R772" s="33"/>
    </row>
    <row r="773" spans="4:18" ht="13.2">
      <c r="D773" s="30"/>
      <c r="E773" s="31"/>
      <c r="F773" s="31"/>
      <c r="I773" s="32"/>
      <c r="J773" s="32"/>
      <c r="L773" s="30"/>
      <c r="M773" s="31"/>
      <c r="P773" s="31"/>
      <c r="Q773" s="33"/>
      <c r="R773" s="33"/>
    </row>
    <row r="774" spans="4:18" ht="13.2">
      <c r="D774" s="30"/>
      <c r="E774" s="31"/>
      <c r="F774" s="31"/>
      <c r="I774" s="32"/>
      <c r="J774" s="32"/>
      <c r="L774" s="30"/>
      <c r="M774" s="31"/>
      <c r="P774" s="31"/>
      <c r="Q774" s="33"/>
      <c r="R774" s="33"/>
    </row>
    <row r="775" spans="4:18" ht="13.2">
      <c r="D775" s="30"/>
      <c r="E775" s="31"/>
      <c r="F775" s="31"/>
      <c r="I775" s="32"/>
      <c r="J775" s="32"/>
      <c r="L775" s="30"/>
      <c r="M775" s="31"/>
      <c r="P775" s="31"/>
      <c r="Q775" s="33"/>
      <c r="R775" s="33"/>
    </row>
    <row r="776" spans="4:18" ht="13.2">
      <c r="D776" s="30"/>
      <c r="E776" s="31"/>
      <c r="F776" s="31"/>
      <c r="I776" s="32"/>
      <c r="J776" s="32"/>
      <c r="L776" s="30"/>
      <c r="M776" s="31"/>
      <c r="P776" s="31"/>
      <c r="Q776" s="33"/>
      <c r="R776" s="33"/>
    </row>
    <row r="777" spans="4:18" ht="13.2">
      <c r="D777" s="30"/>
      <c r="E777" s="31"/>
      <c r="F777" s="31"/>
      <c r="I777" s="32"/>
      <c r="J777" s="32"/>
      <c r="L777" s="30"/>
      <c r="M777" s="31"/>
      <c r="P777" s="31"/>
      <c r="Q777" s="33"/>
      <c r="R777" s="33"/>
    </row>
    <row r="778" spans="4:18" ht="13.2">
      <c r="D778" s="30"/>
      <c r="E778" s="31"/>
      <c r="F778" s="31"/>
      <c r="I778" s="32"/>
      <c r="J778" s="32"/>
      <c r="L778" s="30"/>
      <c r="M778" s="31"/>
      <c r="P778" s="31"/>
      <c r="Q778" s="33"/>
      <c r="R778" s="33"/>
    </row>
    <row r="779" spans="4:18" ht="13.2">
      <c r="D779" s="30"/>
      <c r="E779" s="31"/>
      <c r="F779" s="31"/>
      <c r="I779" s="32"/>
      <c r="J779" s="32"/>
      <c r="L779" s="30"/>
      <c r="M779" s="31"/>
      <c r="P779" s="31"/>
      <c r="Q779" s="33"/>
      <c r="R779" s="33"/>
    </row>
    <row r="780" spans="4:18" ht="13.2">
      <c r="D780" s="30"/>
      <c r="E780" s="31"/>
      <c r="F780" s="31"/>
      <c r="I780" s="32"/>
      <c r="J780" s="32"/>
      <c r="L780" s="30"/>
      <c r="M780" s="31"/>
      <c r="P780" s="31"/>
      <c r="Q780" s="33"/>
      <c r="R780" s="33"/>
    </row>
    <row r="781" spans="4:18" ht="13.2">
      <c r="D781" s="30"/>
      <c r="E781" s="31"/>
      <c r="F781" s="31"/>
      <c r="I781" s="32"/>
      <c r="J781" s="32"/>
      <c r="L781" s="30"/>
      <c r="M781" s="31"/>
      <c r="P781" s="31"/>
      <c r="Q781" s="33"/>
      <c r="R781" s="33"/>
    </row>
    <row r="782" spans="4:18" ht="13.2">
      <c r="D782" s="30"/>
      <c r="E782" s="31"/>
      <c r="F782" s="31"/>
      <c r="I782" s="32"/>
      <c r="J782" s="32"/>
      <c r="L782" s="30"/>
      <c r="M782" s="31"/>
      <c r="P782" s="31"/>
      <c r="Q782" s="33"/>
      <c r="R782" s="33"/>
    </row>
    <row r="783" spans="4:18" ht="13.2">
      <c r="D783" s="30"/>
      <c r="E783" s="31"/>
      <c r="F783" s="31"/>
      <c r="I783" s="32"/>
      <c r="J783" s="32"/>
      <c r="L783" s="30"/>
      <c r="M783" s="31"/>
      <c r="P783" s="31"/>
      <c r="Q783" s="33"/>
      <c r="R783" s="33"/>
    </row>
    <row r="784" spans="4:18" ht="13.2">
      <c r="D784" s="30"/>
      <c r="E784" s="31"/>
      <c r="F784" s="31"/>
      <c r="I784" s="32"/>
      <c r="J784" s="32"/>
      <c r="L784" s="30"/>
      <c r="M784" s="31"/>
      <c r="P784" s="31"/>
      <c r="Q784" s="33"/>
      <c r="R784" s="33"/>
    </row>
    <row r="785" spans="4:18" ht="13.2">
      <c r="D785" s="30"/>
      <c r="E785" s="31"/>
      <c r="F785" s="31"/>
      <c r="I785" s="32"/>
      <c r="J785" s="32"/>
      <c r="L785" s="30"/>
      <c r="M785" s="31"/>
      <c r="P785" s="31"/>
      <c r="Q785" s="33"/>
      <c r="R785" s="33"/>
    </row>
    <row r="786" spans="4:18" ht="13.2">
      <c r="D786" s="30"/>
      <c r="E786" s="31"/>
      <c r="F786" s="31"/>
      <c r="I786" s="32"/>
      <c r="J786" s="32"/>
      <c r="L786" s="30"/>
      <c r="M786" s="31"/>
      <c r="P786" s="31"/>
      <c r="Q786" s="33"/>
      <c r="R786" s="33"/>
    </row>
    <row r="787" spans="4:18" ht="13.2">
      <c r="D787" s="30"/>
      <c r="E787" s="31"/>
      <c r="F787" s="31"/>
      <c r="I787" s="32"/>
      <c r="J787" s="32"/>
      <c r="L787" s="30"/>
      <c r="M787" s="31"/>
      <c r="P787" s="31"/>
      <c r="Q787" s="33"/>
      <c r="R787" s="33"/>
    </row>
    <row r="788" spans="4:18" ht="13.2">
      <c r="D788" s="30"/>
      <c r="E788" s="31"/>
      <c r="F788" s="31"/>
      <c r="I788" s="32"/>
      <c r="J788" s="32"/>
      <c r="L788" s="30"/>
      <c r="M788" s="31"/>
      <c r="P788" s="31"/>
      <c r="Q788" s="33"/>
      <c r="R788" s="33"/>
    </row>
    <row r="789" spans="4:18" ht="13.2">
      <c r="D789" s="30"/>
      <c r="E789" s="31"/>
      <c r="F789" s="31"/>
      <c r="I789" s="32"/>
      <c r="J789" s="32"/>
      <c r="L789" s="30"/>
      <c r="M789" s="31"/>
      <c r="P789" s="31"/>
      <c r="Q789" s="33"/>
      <c r="R789" s="33"/>
    </row>
    <row r="790" spans="4:18" ht="13.2">
      <c r="D790" s="30"/>
      <c r="E790" s="31"/>
      <c r="F790" s="31"/>
      <c r="I790" s="32"/>
      <c r="J790" s="32"/>
      <c r="L790" s="30"/>
      <c r="M790" s="31"/>
      <c r="P790" s="31"/>
      <c r="Q790" s="33"/>
      <c r="R790" s="33"/>
    </row>
    <row r="791" spans="4:18" ht="13.2">
      <c r="D791" s="30"/>
      <c r="E791" s="31"/>
      <c r="F791" s="31"/>
      <c r="I791" s="32"/>
      <c r="J791" s="32"/>
      <c r="L791" s="30"/>
      <c r="M791" s="31"/>
      <c r="P791" s="31"/>
      <c r="Q791" s="33"/>
      <c r="R791" s="33"/>
    </row>
    <row r="792" spans="4:18" ht="13.2">
      <c r="D792" s="30"/>
      <c r="E792" s="31"/>
      <c r="F792" s="31"/>
      <c r="I792" s="32"/>
      <c r="J792" s="32"/>
      <c r="L792" s="30"/>
      <c r="M792" s="31"/>
      <c r="P792" s="31"/>
      <c r="Q792" s="33"/>
      <c r="R792" s="33"/>
    </row>
    <row r="793" spans="4:18" ht="13.2">
      <c r="D793" s="30"/>
      <c r="E793" s="31"/>
      <c r="F793" s="31"/>
      <c r="I793" s="32"/>
      <c r="J793" s="32"/>
      <c r="L793" s="30"/>
      <c r="M793" s="31"/>
      <c r="P793" s="31"/>
      <c r="Q793" s="33"/>
      <c r="R793" s="33"/>
    </row>
    <row r="794" spans="4:18" ht="13.2">
      <c r="D794" s="30"/>
      <c r="E794" s="31"/>
      <c r="F794" s="31"/>
      <c r="I794" s="32"/>
      <c r="J794" s="32"/>
      <c r="L794" s="30"/>
      <c r="M794" s="31"/>
      <c r="P794" s="31"/>
      <c r="Q794" s="33"/>
      <c r="R794" s="33"/>
    </row>
    <row r="795" spans="4:18" ht="13.2">
      <c r="D795" s="30"/>
      <c r="E795" s="31"/>
      <c r="F795" s="31"/>
      <c r="I795" s="32"/>
      <c r="J795" s="32"/>
      <c r="L795" s="30"/>
      <c r="M795" s="31"/>
      <c r="P795" s="31"/>
      <c r="Q795" s="33"/>
      <c r="R795" s="33"/>
    </row>
    <row r="796" spans="4:18" ht="13.2">
      <c r="D796" s="30"/>
      <c r="E796" s="31"/>
      <c r="F796" s="31"/>
      <c r="I796" s="32"/>
      <c r="J796" s="32"/>
      <c r="L796" s="30"/>
      <c r="M796" s="31"/>
      <c r="P796" s="31"/>
      <c r="Q796" s="33"/>
      <c r="R796" s="33"/>
    </row>
    <row r="797" spans="4:18" ht="13.2">
      <c r="D797" s="30"/>
      <c r="E797" s="31"/>
      <c r="F797" s="31"/>
      <c r="I797" s="32"/>
      <c r="J797" s="32"/>
      <c r="L797" s="30"/>
      <c r="M797" s="31"/>
      <c r="P797" s="31"/>
      <c r="Q797" s="33"/>
      <c r="R797" s="33"/>
    </row>
    <row r="798" spans="4:18" ht="13.2">
      <c r="D798" s="30"/>
      <c r="E798" s="31"/>
      <c r="F798" s="31"/>
      <c r="I798" s="32"/>
      <c r="J798" s="32"/>
      <c r="L798" s="30"/>
      <c r="M798" s="31"/>
      <c r="P798" s="31"/>
      <c r="Q798" s="33"/>
      <c r="R798" s="33"/>
    </row>
    <row r="799" spans="4:18" ht="13.2">
      <c r="D799" s="30"/>
      <c r="E799" s="31"/>
      <c r="F799" s="31"/>
      <c r="I799" s="32"/>
      <c r="J799" s="32"/>
      <c r="L799" s="30"/>
      <c r="M799" s="31"/>
      <c r="P799" s="31"/>
      <c r="Q799" s="33"/>
      <c r="R799" s="33"/>
    </row>
    <row r="800" spans="4:18" ht="13.2">
      <c r="D800" s="30"/>
      <c r="E800" s="31"/>
      <c r="F800" s="31"/>
      <c r="I800" s="32"/>
      <c r="J800" s="32"/>
      <c r="L800" s="30"/>
      <c r="M800" s="31"/>
      <c r="P800" s="31"/>
      <c r="Q800" s="33"/>
      <c r="R800" s="33"/>
    </row>
    <row r="801" spans="4:18" ht="13.2">
      <c r="D801" s="30"/>
      <c r="E801" s="31"/>
      <c r="F801" s="31"/>
      <c r="I801" s="32"/>
      <c r="J801" s="32"/>
      <c r="L801" s="30"/>
      <c r="M801" s="31"/>
      <c r="P801" s="31"/>
      <c r="Q801" s="33"/>
      <c r="R801" s="33"/>
    </row>
    <row r="802" spans="4:18" ht="13.2">
      <c r="D802" s="30"/>
      <c r="E802" s="31"/>
      <c r="F802" s="31"/>
      <c r="I802" s="32"/>
      <c r="J802" s="32"/>
      <c r="L802" s="30"/>
      <c r="M802" s="31"/>
      <c r="P802" s="31"/>
      <c r="Q802" s="33"/>
      <c r="R802" s="33"/>
    </row>
    <row r="803" spans="4:18" ht="13.2">
      <c r="D803" s="30"/>
      <c r="E803" s="31"/>
      <c r="F803" s="31"/>
      <c r="I803" s="32"/>
      <c r="J803" s="32"/>
      <c r="L803" s="30"/>
      <c r="M803" s="31"/>
      <c r="P803" s="31"/>
      <c r="Q803" s="33"/>
      <c r="R803" s="33"/>
    </row>
    <row r="804" spans="4:18" ht="13.2">
      <c r="D804" s="30"/>
      <c r="E804" s="31"/>
      <c r="F804" s="31"/>
      <c r="I804" s="32"/>
      <c r="J804" s="32"/>
      <c r="L804" s="30"/>
      <c r="M804" s="31"/>
      <c r="P804" s="31"/>
      <c r="Q804" s="33"/>
      <c r="R804" s="33"/>
    </row>
    <row r="805" spans="4:18" ht="13.2">
      <c r="D805" s="30"/>
      <c r="E805" s="31"/>
      <c r="F805" s="31"/>
      <c r="I805" s="32"/>
      <c r="J805" s="32"/>
      <c r="L805" s="30"/>
      <c r="M805" s="31"/>
      <c r="P805" s="31"/>
      <c r="Q805" s="33"/>
      <c r="R805" s="33"/>
    </row>
    <row r="806" spans="4:18" ht="13.2">
      <c r="D806" s="30"/>
      <c r="E806" s="31"/>
      <c r="F806" s="31"/>
      <c r="I806" s="32"/>
      <c r="J806" s="32"/>
      <c r="L806" s="30"/>
      <c r="M806" s="31"/>
      <c r="P806" s="31"/>
      <c r="Q806" s="33"/>
      <c r="R806" s="33"/>
    </row>
    <row r="807" spans="4:18" ht="13.2">
      <c r="D807" s="30"/>
      <c r="E807" s="31"/>
      <c r="F807" s="31"/>
      <c r="I807" s="32"/>
      <c r="J807" s="32"/>
      <c r="L807" s="30"/>
      <c r="M807" s="31"/>
      <c r="P807" s="31"/>
      <c r="Q807" s="33"/>
      <c r="R807" s="33"/>
    </row>
    <row r="808" spans="4:18" ht="13.2">
      <c r="D808" s="30"/>
      <c r="E808" s="31"/>
      <c r="F808" s="31"/>
      <c r="I808" s="32"/>
      <c r="J808" s="32"/>
      <c r="L808" s="30"/>
      <c r="M808" s="31"/>
      <c r="P808" s="31"/>
      <c r="Q808" s="33"/>
      <c r="R808" s="33"/>
    </row>
    <row r="809" spans="4:18" ht="13.2">
      <c r="D809" s="30"/>
      <c r="E809" s="31"/>
      <c r="F809" s="31"/>
      <c r="I809" s="32"/>
      <c r="J809" s="32"/>
      <c r="L809" s="30"/>
      <c r="M809" s="31"/>
      <c r="P809" s="31"/>
      <c r="Q809" s="33"/>
      <c r="R809" s="33"/>
    </row>
    <row r="810" spans="4:18" ht="13.2">
      <c r="D810" s="30"/>
      <c r="E810" s="31"/>
      <c r="F810" s="31"/>
      <c r="I810" s="32"/>
      <c r="J810" s="32"/>
      <c r="L810" s="30"/>
      <c r="M810" s="31"/>
      <c r="P810" s="31"/>
      <c r="Q810" s="33"/>
      <c r="R810" s="33"/>
    </row>
    <row r="811" spans="4:18" ht="13.2">
      <c r="D811" s="30"/>
      <c r="E811" s="31"/>
      <c r="F811" s="31"/>
      <c r="I811" s="32"/>
      <c r="J811" s="32"/>
      <c r="L811" s="30"/>
      <c r="M811" s="31"/>
      <c r="P811" s="31"/>
      <c r="Q811" s="33"/>
      <c r="R811" s="33"/>
    </row>
    <row r="812" spans="4:18" ht="13.2">
      <c r="D812" s="30"/>
      <c r="E812" s="31"/>
      <c r="F812" s="31"/>
      <c r="I812" s="32"/>
      <c r="J812" s="32"/>
      <c r="L812" s="30"/>
      <c r="M812" s="31"/>
      <c r="P812" s="31"/>
      <c r="Q812" s="33"/>
      <c r="R812" s="33"/>
    </row>
    <row r="813" spans="4:18" ht="13.2">
      <c r="D813" s="30"/>
      <c r="E813" s="31"/>
      <c r="F813" s="31"/>
      <c r="I813" s="32"/>
      <c r="J813" s="32"/>
      <c r="L813" s="30"/>
      <c r="M813" s="31"/>
      <c r="P813" s="31"/>
      <c r="Q813" s="33"/>
      <c r="R813" s="33"/>
    </row>
    <row r="814" spans="4:18" ht="13.2">
      <c r="D814" s="30"/>
      <c r="E814" s="31"/>
      <c r="F814" s="31"/>
      <c r="I814" s="32"/>
      <c r="J814" s="32"/>
      <c r="L814" s="30"/>
      <c r="M814" s="31"/>
      <c r="P814" s="31"/>
      <c r="Q814" s="33"/>
      <c r="R814" s="33"/>
    </row>
    <row r="815" spans="4:18" ht="13.2">
      <c r="D815" s="30"/>
      <c r="E815" s="31"/>
      <c r="F815" s="31"/>
      <c r="I815" s="32"/>
      <c r="J815" s="32"/>
      <c r="L815" s="30"/>
      <c r="M815" s="31"/>
      <c r="P815" s="31"/>
      <c r="Q815" s="33"/>
      <c r="R815" s="33"/>
    </row>
    <row r="816" spans="4:18" ht="13.2">
      <c r="D816" s="30"/>
      <c r="E816" s="31"/>
      <c r="F816" s="31"/>
      <c r="I816" s="32"/>
      <c r="J816" s="32"/>
      <c r="L816" s="30"/>
      <c r="M816" s="31"/>
      <c r="P816" s="31"/>
      <c r="Q816" s="33"/>
      <c r="R816" s="33"/>
    </row>
    <row r="817" spans="4:18" ht="13.2">
      <c r="D817" s="30"/>
      <c r="E817" s="31"/>
      <c r="F817" s="31"/>
      <c r="I817" s="32"/>
      <c r="J817" s="32"/>
      <c r="L817" s="30"/>
      <c r="M817" s="31"/>
      <c r="P817" s="31"/>
      <c r="Q817" s="33"/>
      <c r="R817" s="33"/>
    </row>
    <row r="818" spans="4:18" ht="13.2">
      <c r="D818" s="30"/>
      <c r="E818" s="31"/>
      <c r="F818" s="31"/>
      <c r="I818" s="32"/>
      <c r="J818" s="32"/>
      <c r="L818" s="30"/>
      <c r="M818" s="31"/>
      <c r="P818" s="31"/>
      <c r="Q818" s="33"/>
      <c r="R818" s="33"/>
    </row>
    <row r="819" spans="4:18" ht="13.2">
      <c r="D819" s="30"/>
      <c r="E819" s="31"/>
      <c r="F819" s="31"/>
      <c r="I819" s="32"/>
      <c r="J819" s="32"/>
      <c r="L819" s="30"/>
      <c r="M819" s="31"/>
      <c r="P819" s="31"/>
      <c r="Q819" s="33"/>
      <c r="R819" s="33"/>
    </row>
    <row r="820" spans="4:18" ht="13.2">
      <c r="D820" s="30"/>
      <c r="E820" s="31"/>
      <c r="F820" s="31"/>
      <c r="I820" s="32"/>
      <c r="J820" s="32"/>
      <c r="L820" s="30"/>
      <c r="M820" s="31"/>
      <c r="P820" s="31"/>
      <c r="Q820" s="33"/>
      <c r="R820" s="33"/>
    </row>
    <row r="821" spans="4:18" ht="13.2">
      <c r="D821" s="30"/>
      <c r="E821" s="31"/>
      <c r="F821" s="31"/>
      <c r="I821" s="32"/>
      <c r="J821" s="32"/>
      <c r="L821" s="30"/>
      <c r="M821" s="31"/>
      <c r="P821" s="31"/>
      <c r="Q821" s="33"/>
      <c r="R821" s="33"/>
    </row>
    <row r="822" spans="4:18" ht="13.2">
      <c r="D822" s="30"/>
      <c r="E822" s="31"/>
      <c r="F822" s="31"/>
      <c r="I822" s="32"/>
      <c r="J822" s="32"/>
      <c r="L822" s="30"/>
      <c r="M822" s="31"/>
      <c r="P822" s="31"/>
      <c r="Q822" s="33"/>
      <c r="R822" s="33"/>
    </row>
    <row r="823" spans="4:18" ht="13.2">
      <c r="D823" s="30"/>
      <c r="E823" s="31"/>
      <c r="F823" s="31"/>
      <c r="I823" s="32"/>
      <c r="J823" s="32"/>
      <c r="L823" s="30"/>
      <c r="M823" s="31"/>
      <c r="P823" s="31"/>
      <c r="Q823" s="33"/>
      <c r="R823" s="33"/>
    </row>
    <row r="824" spans="4:18" ht="13.2">
      <c r="D824" s="30"/>
      <c r="E824" s="31"/>
      <c r="F824" s="31"/>
      <c r="I824" s="32"/>
      <c r="J824" s="32"/>
      <c r="L824" s="30"/>
      <c r="M824" s="31"/>
      <c r="P824" s="31"/>
      <c r="Q824" s="33"/>
      <c r="R824" s="33"/>
    </row>
    <row r="825" spans="4:18" ht="13.2">
      <c r="D825" s="30"/>
      <c r="E825" s="31"/>
      <c r="F825" s="31"/>
      <c r="I825" s="32"/>
      <c r="J825" s="32"/>
      <c r="L825" s="30"/>
      <c r="M825" s="31"/>
      <c r="P825" s="31"/>
      <c r="Q825" s="33"/>
      <c r="R825" s="33"/>
    </row>
    <row r="826" spans="4:18" ht="13.2">
      <c r="D826" s="30"/>
      <c r="E826" s="31"/>
      <c r="F826" s="31"/>
      <c r="I826" s="32"/>
      <c r="J826" s="32"/>
      <c r="L826" s="30"/>
      <c r="M826" s="31"/>
      <c r="P826" s="31"/>
      <c r="Q826" s="33"/>
      <c r="R826" s="33"/>
    </row>
    <row r="827" spans="4:18" ht="13.2">
      <c r="D827" s="30"/>
      <c r="E827" s="31"/>
      <c r="F827" s="31"/>
      <c r="I827" s="32"/>
      <c r="J827" s="32"/>
      <c r="L827" s="30"/>
      <c r="M827" s="31"/>
      <c r="P827" s="31"/>
      <c r="Q827" s="33"/>
      <c r="R827" s="33"/>
    </row>
    <row r="828" spans="4:18" ht="13.2">
      <c r="D828" s="30"/>
      <c r="E828" s="31"/>
      <c r="F828" s="31"/>
      <c r="I828" s="32"/>
      <c r="J828" s="32"/>
      <c r="L828" s="30"/>
      <c r="M828" s="31"/>
      <c r="P828" s="31"/>
      <c r="Q828" s="33"/>
      <c r="R828" s="33"/>
    </row>
    <row r="829" spans="4:18" ht="13.2">
      <c r="D829" s="30"/>
      <c r="E829" s="31"/>
      <c r="F829" s="31"/>
      <c r="I829" s="32"/>
      <c r="J829" s="32"/>
      <c r="L829" s="30"/>
      <c r="M829" s="31"/>
      <c r="P829" s="31"/>
      <c r="Q829" s="33"/>
      <c r="R829" s="33"/>
    </row>
    <row r="830" spans="4:18" ht="13.2">
      <c r="D830" s="30"/>
      <c r="E830" s="31"/>
      <c r="F830" s="31"/>
      <c r="I830" s="32"/>
      <c r="J830" s="32"/>
      <c r="L830" s="30"/>
      <c r="M830" s="31"/>
      <c r="P830" s="31"/>
      <c r="Q830" s="33"/>
      <c r="R830" s="33"/>
    </row>
    <row r="831" spans="4:18" ht="13.2">
      <c r="D831" s="30"/>
      <c r="E831" s="31"/>
      <c r="F831" s="31"/>
      <c r="I831" s="32"/>
      <c r="J831" s="32"/>
      <c r="L831" s="30"/>
      <c r="M831" s="31"/>
      <c r="P831" s="31"/>
      <c r="Q831" s="33"/>
      <c r="R831" s="33"/>
    </row>
    <row r="832" spans="4:18" ht="13.2">
      <c r="D832" s="30"/>
      <c r="E832" s="31"/>
      <c r="F832" s="31"/>
      <c r="I832" s="32"/>
      <c r="J832" s="32"/>
      <c r="L832" s="30"/>
      <c r="M832" s="31"/>
      <c r="P832" s="31"/>
      <c r="Q832" s="33"/>
      <c r="R832" s="33"/>
    </row>
    <row r="833" spans="4:18" ht="13.2">
      <c r="D833" s="30"/>
      <c r="E833" s="31"/>
      <c r="F833" s="31"/>
      <c r="I833" s="32"/>
      <c r="J833" s="32"/>
      <c r="L833" s="30"/>
      <c r="M833" s="31"/>
      <c r="P833" s="31"/>
      <c r="Q833" s="33"/>
      <c r="R833" s="33"/>
    </row>
    <row r="834" spans="4:18" ht="13.2">
      <c r="D834" s="30"/>
      <c r="E834" s="31"/>
      <c r="F834" s="31"/>
      <c r="I834" s="32"/>
      <c r="J834" s="32"/>
      <c r="L834" s="30"/>
      <c r="M834" s="31"/>
      <c r="P834" s="31"/>
      <c r="Q834" s="33"/>
      <c r="R834" s="33"/>
    </row>
    <row r="835" spans="4:18" ht="13.2">
      <c r="D835" s="30"/>
      <c r="E835" s="31"/>
      <c r="F835" s="31"/>
      <c r="I835" s="32"/>
      <c r="J835" s="32"/>
      <c r="L835" s="30"/>
      <c r="M835" s="31"/>
      <c r="P835" s="31"/>
      <c r="Q835" s="33"/>
      <c r="R835" s="33"/>
    </row>
    <row r="836" spans="4:18" ht="13.2">
      <c r="D836" s="30"/>
      <c r="E836" s="31"/>
      <c r="F836" s="31"/>
      <c r="I836" s="32"/>
      <c r="J836" s="32"/>
      <c r="L836" s="30"/>
      <c r="M836" s="31"/>
      <c r="P836" s="31"/>
      <c r="Q836" s="33"/>
      <c r="R836" s="33"/>
    </row>
    <row r="837" spans="4:18" ht="13.2">
      <c r="D837" s="30"/>
      <c r="E837" s="31"/>
      <c r="F837" s="31"/>
      <c r="I837" s="32"/>
      <c r="J837" s="32"/>
      <c r="L837" s="30"/>
      <c r="M837" s="31"/>
      <c r="P837" s="31"/>
      <c r="Q837" s="33"/>
      <c r="R837" s="33"/>
    </row>
    <row r="838" spans="4:18" ht="13.2">
      <c r="D838" s="30"/>
      <c r="E838" s="31"/>
      <c r="F838" s="31"/>
      <c r="I838" s="32"/>
      <c r="J838" s="32"/>
      <c r="L838" s="30"/>
      <c r="M838" s="31"/>
      <c r="P838" s="31"/>
      <c r="Q838" s="33"/>
      <c r="R838" s="33"/>
    </row>
    <row r="839" spans="4:18" ht="13.2">
      <c r="D839" s="30"/>
      <c r="E839" s="31"/>
      <c r="F839" s="31"/>
      <c r="I839" s="32"/>
      <c r="J839" s="32"/>
      <c r="L839" s="30"/>
      <c r="M839" s="31"/>
      <c r="P839" s="31"/>
      <c r="Q839" s="33"/>
      <c r="R839" s="33"/>
    </row>
    <row r="840" spans="4:18" ht="13.2">
      <c r="D840" s="30"/>
      <c r="E840" s="31"/>
      <c r="F840" s="31"/>
      <c r="I840" s="32"/>
      <c r="J840" s="32"/>
      <c r="L840" s="30"/>
      <c r="M840" s="31"/>
      <c r="P840" s="31"/>
      <c r="Q840" s="33"/>
      <c r="R840" s="33"/>
    </row>
    <row r="841" spans="4:18" ht="13.2">
      <c r="D841" s="30"/>
      <c r="E841" s="31"/>
      <c r="F841" s="31"/>
      <c r="I841" s="32"/>
      <c r="J841" s="32"/>
      <c r="L841" s="30"/>
      <c r="M841" s="31"/>
      <c r="P841" s="31"/>
      <c r="Q841" s="33"/>
      <c r="R841" s="33"/>
    </row>
    <row r="842" spans="4:18" ht="13.2">
      <c r="D842" s="30"/>
      <c r="E842" s="31"/>
      <c r="F842" s="31"/>
      <c r="I842" s="32"/>
      <c r="J842" s="32"/>
      <c r="L842" s="30"/>
      <c r="M842" s="31"/>
      <c r="P842" s="31"/>
      <c r="Q842" s="33"/>
      <c r="R842" s="33"/>
    </row>
    <row r="843" spans="4:18" ht="13.2">
      <c r="D843" s="30"/>
      <c r="E843" s="31"/>
      <c r="F843" s="31"/>
      <c r="I843" s="32"/>
      <c r="J843" s="32"/>
      <c r="L843" s="30"/>
      <c r="M843" s="31"/>
      <c r="P843" s="31"/>
      <c r="Q843" s="33"/>
      <c r="R843" s="33"/>
    </row>
    <row r="844" spans="4:18" ht="13.2">
      <c r="D844" s="30"/>
      <c r="E844" s="31"/>
      <c r="F844" s="31"/>
      <c r="I844" s="32"/>
      <c r="J844" s="32"/>
      <c r="L844" s="30"/>
      <c r="M844" s="31"/>
      <c r="P844" s="31"/>
      <c r="Q844" s="33"/>
      <c r="R844" s="33"/>
    </row>
    <row r="845" spans="4:18" ht="13.2">
      <c r="D845" s="30"/>
      <c r="E845" s="31"/>
      <c r="F845" s="31"/>
      <c r="I845" s="32"/>
      <c r="J845" s="32"/>
      <c r="L845" s="30"/>
      <c r="M845" s="31"/>
      <c r="P845" s="31"/>
      <c r="Q845" s="33"/>
      <c r="R845" s="33"/>
    </row>
    <row r="846" spans="4:18" ht="13.2">
      <c r="D846" s="30"/>
      <c r="E846" s="31"/>
      <c r="F846" s="31"/>
      <c r="I846" s="32"/>
      <c r="J846" s="32"/>
      <c r="L846" s="30"/>
      <c r="M846" s="31"/>
      <c r="P846" s="31"/>
      <c r="Q846" s="33"/>
      <c r="R846" s="33"/>
    </row>
    <row r="847" spans="4:18" ht="13.2">
      <c r="D847" s="30"/>
      <c r="E847" s="31"/>
      <c r="F847" s="31"/>
      <c r="I847" s="32"/>
      <c r="J847" s="32"/>
      <c r="L847" s="30"/>
      <c r="M847" s="31"/>
      <c r="P847" s="31"/>
      <c r="Q847" s="33"/>
      <c r="R847" s="33"/>
    </row>
    <row r="848" spans="4:18" ht="13.2">
      <c r="D848" s="30"/>
      <c r="E848" s="31"/>
      <c r="F848" s="31"/>
      <c r="I848" s="32"/>
      <c r="J848" s="32"/>
      <c r="L848" s="30"/>
      <c r="M848" s="31"/>
      <c r="P848" s="31"/>
      <c r="Q848" s="33"/>
      <c r="R848" s="33"/>
    </row>
    <row r="849" spans="4:18" ht="13.2">
      <c r="D849" s="30"/>
      <c r="E849" s="31"/>
      <c r="F849" s="31"/>
      <c r="I849" s="32"/>
      <c r="J849" s="32"/>
      <c r="L849" s="30"/>
      <c r="M849" s="31"/>
      <c r="P849" s="31"/>
      <c r="Q849" s="33"/>
      <c r="R849" s="33"/>
    </row>
    <row r="850" spans="4:18" ht="13.2">
      <c r="D850" s="30"/>
      <c r="E850" s="31"/>
      <c r="F850" s="31"/>
      <c r="I850" s="32"/>
      <c r="J850" s="32"/>
      <c r="L850" s="30"/>
      <c r="M850" s="31"/>
      <c r="P850" s="31"/>
      <c r="Q850" s="33"/>
      <c r="R850" s="33"/>
    </row>
    <row r="851" spans="4:18" ht="13.2">
      <c r="D851" s="30"/>
      <c r="E851" s="31"/>
      <c r="F851" s="31"/>
      <c r="I851" s="32"/>
      <c r="J851" s="32"/>
      <c r="L851" s="30"/>
      <c r="M851" s="31"/>
      <c r="P851" s="31"/>
      <c r="Q851" s="33"/>
      <c r="R851" s="33"/>
    </row>
    <row r="852" spans="4:18" ht="13.2">
      <c r="D852" s="30"/>
      <c r="E852" s="31"/>
      <c r="F852" s="31"/>
      <c r="I852" s="32"/>
      <c r="J852" s="32"/>
      <c r="L852" s="30"/>
      <c r="M852" s="31"/>
      <c r="P852" s="31"/>
      <c r="Q852" s="33"/>
      <c r="R852" s="33"/>
    </row>
    <row r="853" spans="4:18" ht="13.2">
      <c r="D853" s="30"/>
      <c r="E853" s="31"/>
      <c r="F853" s="31"/>
      <c r="I853" s="32"/>
      <c r="J853" s="32"/>
      <c r="L853" s="30"/>
      <c r="M853" s="31"/>
      <c r="P853" s="31"/>
      <c r="Q853" s="33"/>
      <c r="R853" s="33"/>
    </row>
    <row r="854" spans="4:18" ht="13.2">
      <c r="D854" s="30"/>
      <c r="E854" s="31"/>
      <c r="F854" s="31"/>
      <c r="I854" s="32"/>
      <c r="J854" s="32"/>
      <c r="L854" s="30"/>
      <c r="M854" s="31"/>
      <c r="P854" s="31"/>
      <c r="Q854" s="33"/>
      <c r="R854" s="33"/>
    </row>
    <row r="855" spans="4:18" ht="13.2">
      <c r="D855" s="30"/>
      <c r="E855" s="31"/>
      <c r="F855" s="31"/>
      <c r="I855" s="32"/>
      <c r="J855" s="32"/>
      <c r="L855" s="30"/>
      <c r="M855" s="31"/>
      <c r="P855" s="31"/>
      <c r="Q855" s="33"/>
      <c r="R855" s="33"/>
    </row>
    <row r="856" spans="4:18" ht="13.2">
      <c r="D856" s="30"/>
      <c r="E856" s="31"/>
      <c r="F856" s="31"/>
      <c r="I856" s="32"/>
      <c r="J856" s="32"/>
      <c r="L856" s="30"/>
      <c r="M856" s="31"/>
      <c r="P856" s="31"/>
      <c r="Q856" s="33"/>
      <c r="R856" s="33"/>
    </row>
    <row r="857" spans="4:18" ht="13.2">
      <c r="D857" s="30"/>
      <c r="E857" s="31"/>
      <c r="F857" s="31"/>
      <c r="I857" s="32"/>
      <c r="J857" s="32"/>
      <c r="L857" s="30"/>
      <c r="M857" s="31"/>
      <c r="P857" s="31"/>
      <c r="Q857" s="33"/>
      <c r="R857" s="33"/>
    </row>
    <row r="858" spans="4:18" ht="13.2">
      <c r="D858" s="30"/>
      <c r="E858" s="31"/>
      <c r="F858" s="31"/>
      <c r="I858" s="32"/>
      <c r="J858" s="32"/>
      <c r="L858" s="30"/>
      <c r="M858" s="31"/>
      <c r="P858" s="31"/>
      <c r="Q858" s="33"/>
      <c r="R858" s="33"/>
    </row>
    <row r="859" spans="4:18" ht="13.2">
      <c r="D859" s="30"/>
      <c r="E859" s="31"/>
      <c r="F859" s="31"/>
      <c r="I859" s="32"/>
      <c r="J859" s="32"/>
      <c r="L859" s="30"/>
      <c r="M859" s="31"/>
      <c r="P859" s="31"/>
      <c r="Q859" s="33"/>
      <c r="R859" s="33"/>
    </row>
    <row r="860" spans="4:18" ht="13.2">
      <c r="D860" s="30"/>
      <c r="E860" s="31"/>
      <c r="F860" s="31"/>
      <c r="I860" s="32"/>
      <c r="J860" s="32"/>
      <c r="L860" s="30"/>
      <c r="M860" s="31"/>
      <c r="P860" s="31"/>
      <c r="Q860" s="33"/>
      <c r="R860" s="33"/>
    </row>
    <row r="861" spans="4:18" ht="13.2">
      <c r="D861" s="30"/>
      <c r="E861" s="31"/>
      <c r="F861" s="31"/>
      <c r="I861" s="32"/>
      <c r="J861" s="32"/>
      <c r="L861" s="30"/>
      <c r="M861" s="31"/>
      <c r="P861" s="31"/>
      <c r="Q861" s="33"/>
      <c r="R861" s="33"/>
    </row>
    <row r="862" spans="4:18" ht="13.2">
      <c r="D862" s="30"/>
      <c r="E862" s="31"/>
      <c r="F862" s="31"/>
      <c r="I862" s="32"/>
      <c r="J862" s="32"/>
      <c r="L862" s="30"/>
      <c r="M862" s="31"/>
      <c r="P862" s="31"/>
      <c r="Q862" s="33"/>
      <c r="R862" s="33"/>
    </row>
    <row r="863" spans="4:18" ht="13.2">
      <c r="D863" s="30"/>
      <c r="E863" s="31"/>
      <c r="F863" s="31"/>
      <c r="I863" s="32"/>
      <c r="J863" s="32"/>
      <c r="L863" s="30"/>
      <c r="M863" s="31"/>
      <c r="P863" s="31"/>
      <c r="Q863" s="33"/>
      <c r="R863" s="33"/>
    </row>
    <row r="864" spans="4:18" ht="13.2">
      <c r="D864" s="30"/>
      <c r="E864" s="31"/>
      <c r="F864" s="31"/>
      <c r="I864" s="32"/>
      <c r="J864" s="32"/>
      <c r="L864" s="30"/>
      <c r="M864" s="31"/>
      <c r="P864" s="31"/>
      <c r="Q864" s="33"/>
      <c r="R864" s="33"/>
    </row>
    <row r="865" spans="4:18" ht="13.2">
      <c r="D865" s="30"/>
      <c r="E865" s="31"/>
      <c r="F865" s="31"/>
      <c r="I865" s="32"/>
      <c r="J865" s="32"/>
      <c r="L865" s="30"/>
      <c r="M865" s="31"/>
      <c r="P865" s="31"/>
      <c r="Q865" s="33"/>
      <c r="R865" s="33"/>
    </row>
    <row r="866" spans="4:18" ht="13.2">
      <c r="D866" s="30"/>
      <c r="E866" s="31"/>
      <c r="F866" s="31"/>
      <c r="I866" s="32"/>
      <c r="J866" s="32"/>
      <c r="L866" s="30"/>
      <c r="M866" s="31"/>
      <c r="P866" s="31"/>
      <c r="Q866" s="33"/>
      <c r="R866" s="33"/>
    </row>
    <row r="867" spans="4:18" ht="13.2">
      <c r="D867" s="30"/>
      <c r="E867" s="31"/>
      <c r="F867" s="31"/>
      <c r="I867" s="32"/>
      <c r="J867" s="32"/>
      <c r="L867" s="30"/>
      <c r="M867" s="31"/>
      <c r="P867" s="31"/>
      <c r="Q867" s="33"/>
      <c r="R867" s="33"/>
    </row>
    <row r="868" spans="4:18" ht="13.2">
      <c r="D868" s="30"/>
      <c r="E868" s="31"/>
      <c r="F868" s="31"/>
      <c r="I868" s="32"/>
      <c r="J868" s="32"/>
      <c r="L868" s="30"/>
      <c r="M868" s="31"/>
      <c r="P868" s="31"/>
      <c r="Q868" s="33"/>
      <c r="R868" s="33"/>
    </row>
    <row r="869" spans="4:18" ht="13.2">
      <c r="D869" s="30"/>
      <c r="E869" s="31"/>
      <c r="F869" s="31"/>
      <c r="I869" s="32"/>
      <c r="J869" s="32"/>
      <c r="L869" s="30"/>
      <c r="M869" s="31"/>
      <c r="P869" s="31"/>
      <c r="Q869" s="33"/>
      <c r="R869" s="33"/>
    </row>
    <row r="870" spans="4:18" ht="13.2">
      <c r="D870" s="30"/>
      <c r="E870" s="31"/>
      <c r="F870" s="31"/>
      <c r="I870" s="32"/>
      <c r="J870" s="32"/>
      <c r="L870" s="30"/>
      <c r="M870" s="31"/>
      <c r="P870" s="31"/>
      <c r="Q870" s="33"/>
      <c r="R870" s="33"/>
    </row>
    <row r="871" spans="4:18" ht="13.2">
      <c r="D871" s="30"/>
      <c r="E871" s="31"/>
      <c r="F871" s="31"/>
      <c r="I871" s="32"/>
      <c r="J871" s="32"/>
      <c r="L871" s="30"/>
      <c r="M871" s="31"/>
      <c r="P871" s="31"/>
      <c r="Q871" s="33"/>
      <c r="R871" s="33"/>
    </row>
    <row r="872" spans="4:18" ht="13.2">
      <c r="D872" s="30"/>
      <c r="E872" s="31"/>
      <c r="F872" s="31"/>
      <c r="I872" s="32"/>
      <c r="J872" s="32"/>
      <c r="L872" s="30"/>
      <c r="M872" s="31"/>
      <c r="P872" s="31"/>
      <c r="Q872" s="33"/>
      <c r="R872" s="33"/>
    </row>
    <row r="873" spans="4:18" ht="13.2">
      <c r="D873" s="30"/>
      <c r="E873" s="31"/>
      <c r="F873" s="31"/>
      <c r="I873" s="32"/>
      <c r="J873" s="32"/>
      <c r="L873" s="30"/>
      <c r="M873" s="31"/>
      <c r="P873" s="31"/>
      <c r="Q873" s="33"/>
      <c r="R873" s="33"/>
    </row>
    <row r="874" spans="4:18" ht="13.2">
      <c r="D874" s="30"/>
      <c r="E874" s="31"/>
      <c r="F874" s="31"/>
      <c r="I874" s="32"/>
      <c r="J874" s="32"/>
      <c r="L874" s="30"/>
      <c r="M874" s="31"/>
      <c r="P874" s="31"/>
      <c r="Q874" s="33"/>
      <c r="R874" s="33"/>
    </row>
    <row r="875" spans="4:18" ht="13.2">
      <c r="D875" s="30"/>
      <c r="E875" s="31"/>
      <c r="F875" s="31"/>
      <c r="I875" s="32"/>
      <c r="J875" s="32"/>
      <c r="L875" s="30"/>
      <c r="M875" s="31"/>
      <c r="P875" s="31"/>
      <c r="Q875" s="33"/>
      <c r="R875" s="33"/>
    </row>
    <row r="876" spans="4:18" ht="13.2">
      <c r="D876" s="30"/>
      <c r="E876" s="31"/>
      <c r="F876" s="31"/>
      <c r="I876" s="32"/>
      <c r="J876" s="32"/>
      <c r="L876" s="30"/>
      <c r="M876" s="31"/>
      <c r="P876" s="31"/>
      <c r="Q876" s="33"/>
      <c r="R876" s="33"/>
    </row>
    <row r="877" spans="4:18" ht="13.2">
      <c r="D877" s="30"/>
      <c r="E877" s="31"/>
      <c r="F877" s="31"/>
      <c r="I877" s="32"/>
      <c r="J877" s="32"/>
      <c r="L877" s="30"/>
      <c r="M877" s="31"/>
      <c r="P877" s="31"/>
      <c r="Q877" s="33"/>
      <c r="R877" s="33"/>
    </row>
    <row r="878" spans="4:18" ht="13.2">
      <c r="D878" s="30"/>
      <c r="E878" s="31"/>
      <c r="F878" s="31"/>
      <c r="I878" s="32"/>
      <c r="J878" s="32"/>
      <c r="L878" s="30"/>
      <c r="M878" s="31"/>
      <c r="P878" s="31"/>
      <c r="Q878" s="33"/>
      <c r="R878" s="33"/>
    </row>
    <row r="879" spans="4:18" ht="13.2">
      <c r="D879" s="30"/>
      <c r="E879" s="31"/>
      <c r="F879" s="31"/>
      <c r="I879" s="32"/>
      <c r="J879" s="32"/>
      <c r="L879" s="30"/>
      <c r="M879" s="31"/>
      <c r="P879" s="31"/>
      <c r="Q879" s="33"/>
      <c r="R879" s="33"/>
    </row>
    <row r="880" spans="4:18" ht="13.2">
      <c r="D880" s="30"/>
      <c r="E880" s="31"/>
      <c r="F880" s="31"/>
      <c r="I880" s="32"/>
      <c r="J880" s="32"/>
      <c r="L880" s="30"/>
      <c r="M880" s="31"/>
      <c r="P880" s="31"/>
      <c r="Q880" s="33"/>
      <c r="R880" s="33"/>
    </row>
    <row r="881" spans="4:18" ht="13.2">
      <c r="D881" s="30"/>
      <c r="E881" s="31"/>
      <c r="F881" s="31"/>
      <c r="I881" s="32"/>
      <c r="J881" s="32"/>
      <c r="L881" s="30"/>
      <c r="M881" s="31"/>
      <c r="P881" s="31"/>
      <c r="Q881" s="33"/>
      <c r="R881" s="33"/>
    </row>
    <row r="882" spans="4:18" ht="13.2">
      <c r="D882" s="30"/>
      <c r="E882" s="31"/>
      <c r="F882" s="31"/>
      <c r="I882" s="32"/>
      <c r="J882" s="32"/>
      <c r="L882" s="30"/>
      <c r="M882" s="31"/>
      <c r="P882" s="31"/>
      <c r="Q882" s="33"/>
      <c r="R882" s="33"/>
    </row>
    <row r="883" spans="4:18" ht="13.2">
      <c r="D883" s="30"/>
      <c r="E883" s="31"/>
      <c r="F883" s="31"/>
      <c r="I883" s="32"/>
      <c r="J883" s="32"/>
      <c r="L883" s="30"/>
      <c r="M883" s="31"/>
      <c r="P883" s="31"/>
      <c r="Q883" s="33"/>
      <c r="R883" s="33"/>
    </row>
    <row r="884" spans="4:18" ht="13.2">
      <c r="D884" s="30"/>
      <c r="E884" s="31"/>
      <c r="F884" s="31"/>
      <c r="I884" s="32"/>
      <c r="J884" s="32"/>
      <c r="L884" s="30"/>
      <c r="M884" s="31"/>
      <c r="P884" s="31"/>
      <c r="Q884" s="33"/>
      <c r="R884" s="33"/>
    </row>
    <row r="885" spans="4:18" ht="13.2">
      <c r="D885" s="30"/>
      <c r="E885" s="31"/>
      <c r="F885" s="31"/>
      <c r="I885" s="32"/>
      <c r="J885" s="32"/>
      <c r="L885" s="30"/>
      <c r="M885" s="31"/>
      <c r="P885" s="31"/>
      <c r="Q885" s="33"/>
      <c r="R885" s="33"/>
    </row>
    <row r="886" spans="4:18" ht="13.2">
      <c r="D886" s="30"/>
      <c r="E886" s="31"/>
      <c r="F886" s="31"/>
      <c r="I886" s="32"/>
      <c r="J886" s="32"/>
      <c r="L886" s="30"/>
      <c r="M886" s="31"/>
      <c r="P886" s="31"/>
      <c r="Q886" s="33"/>
      <c r="R886" s="33"/>
    </row>
    <row r="887" spans="4:18" ht="13.2">
      <c r="D887" s="30"/>
      <c r="E887" s="31"/>
      <c r="F887" s="31"/>
      <c r="I887" s="32"/>
      <c r="J887" s="32"/>
      <c r="L887" s="30"/>
      <c r="M887" s="31"/>
      <c r="P887" s="31"/>
      <c r="Q887" s="33"/>
      <c r="R887" s="33"/>
    </row>
    <row r="888" spans="4:18" ht="13.2">
      <c r="D888" s="30"/>
      <c r="E888" s="31"/>
      <c r="F888" s="31"/>
      <c r="I888" s="32"/>
      <c r="J888" s="32"/>
      <c r="L888" s="30"/>
      <c r="M888" s="31"/>
      <c r="P888" s="31"/>
      <c r="Q888" s="33"/>
      <c r="R888" s="33"/>
    </row>
    <row r="889" spans="4:18" ht="13.2">
      <c r="D889" s="30"/>
      <c r="E889" s="31"/>
      <c r="F889" s="31"/>
      <c r="I889" s="32"/>
      <c r="J889" s="32"/>
      <c r="L889" s="30"/>
      <c r="M889" s="31"/>
      <c r="P889" s="31"/>
      <c r="Q889" s="33"/>
      <c r="R889" s="33"/>
    </row>
    <row r="890" spans="4:18" ht="13.2">
      <c r="D890" s="30"/>
      <c r="E890" s="31"/>
      <c r="F890" s="31"/>
      <c r="I890" s="32"/>
      <c r="J890" s="32"/>
      <c r="L890" s="30"/>
      <c r="M890" s="31"/>
      <c r="P890" s="31"/>
      <c r="Q890" s="33"/>
      <c r="R890" s="33"/>
    </row>
    <row r="891" spans="4:18" ht="13.2">
      <c r="D891" s="30"/>
      <c r="E891" s="31"/>
      <c r="F891" s="31"/>
      <c r="I891" s="32"/>
      <c r="J891" s="32"/>
      <c r="L891" s="30"/>
      <c r="M891" s="31"/>
      <c r="P891" s="31"/>
      <c r="Q891" s="33"/>
      <c r="R891" s="33"/>
    </row>
    <row r="892" spans="4:18" ht="13.2">
      <c r="D892" s="30"/>
      <c r="E892" s="31"/>
      <c r="F892" s="31"/>
      <c r="I892" s="32"/>
      <c r="J892" s="32"/>
      <c r="L892" s="30"/>
      <c r="M892" s="31"/>
      <c r="P892" s="31"/>
      <c r="Q892" s="33"/>
      <c r="R892" s="33"/>
    </row>
    <row r="893" spans="4:18" ht="13.2">
      <c r="D893" s="30"/>
      <c r="E893" s="31"/>
      <c r="F893" s="31"/>
      <c r="I893" s="32"/>
      <c r="J893" s="32"/>
      <c r="L893" s="30"/>
      <c r="M893" s="31"/>
      <c r="P893" s="31"/>
      <c r="Q893" s="33"/>
      <c r="R893" s="33"/>
    </row>
    <row r="894" spans="4:18" ht="13.2">
      <c r="D894" s="30"/>
      <c r="E894" s="31"/>
      <c r="F894" s="31"/>
      <c r="I894" s="32"/>
      <c r="J894" s="32"/>
      <c r="L894" s="30"/>
      <c r="M894" s="31"/>
      <c r="P894" s="31"/>
      <c r="Q894" s="33"/>
      <c r="R894" s="33"/>
    </row>
    <row r="895" spans="4:18" ht="13.2">
      <c r="D895" s="30"/>
      <c r="E895" s="31"/>
      <c r="F895" s="31"/>
      <c r="I895" s="32"/>
      <c r="J895" s="32"/>
      <c r="L895" s="30"/>
      <c r="M895" s="31"/>
      <c r="P895" s="31"/>
      <c r="Q895" s="33"/>
      <c r="R895" s="33"/>
    </row>
    <row r="896" spans="4:18" ht="13.2">
      <c r="D896" s="30"/>
      <c r="E896" s="31"/>
      <c r="F896" s="31"/>
      <c r="I896" s="32"/>
      <c r="J896" s="32"/>
      <c r="L896" s="30"/>
      <c r="M896" s="31"/>
      <c r="P896" s="31"/>
      <c r="Q896" s="33"/>
      <c r="R896" s="33"/>
    </row>
    <row r="897" spans="4:18" ht="13.2">
      <c r="D897" s="30"/>
      <c r="E897" s="31"/>
      <c r="F897" s="31"/>
      <c r="I897" s="32"/>
      <c r="J897" s="32"/>
      <c r="L897" s="30"/>
      <c r="M897" s="31"/>
      <c r="P897" s="31"/>
      <c r="Q897" s="33"/>
      <c r="R897" s="33"/>
    </row>
    <row r="898" spans="4:18" ht="13.2">
      <c r="D898" s="30"/>
      <c r="E898" s="31"/>
      <c r="F898" s="31"/>
      <c r="I898" s="32"/>
      <c r="J898" s="32"/>
      <c r="L898" s="30"/>
      <c r="M898" s="31"/>
      <c r="P898" s="31"/>
      <c r="Q898" s="33"/>
      <c r="R898" s="33"/>
    </row>
    <row r="899" spans="4:18" ht="13.2">
      <c r="D899" s="30"/>
      <c r="E899" s="31"/>
      <c r="F899" s="31"/>
      <c r="I899" s="32"/>
      <c r="J899" s="32"/>
      <c r="L899" s="30"/>
      <c r="M899" s="31"/>
      <c r="P899" s="31"/>
      <c r="Q899" s="33"/>
      <c r="R899" s="33"/>
    </row>
    <row r="900" spans="4:18" ht="13.2">
      <c r="D900" s="30"/>
      <c r="E900" s="31"/>
      <c r="F900" s="31"/>
      <c r="I900" s="32"/>
      <c r="J900" s="32"/>
      <c r="L900" s="30"/>
      <c r="M900" s="31"/>
      <c r="P900" s="31"/>
      <c r="Q900" s="33"/>
      <c r="R900" s="33"/>
    </row>
    <row r="901" spans="4:18" ht="13.2">
      <c r="D901" s="30"/>
      <c r="E901" s="31"/>
      <c r="F901" s="31"/>
      <c r="I901" s="32"/>
      <c r="J901" s="32"/>
      <c r="L901" s="30"/>
      <c r="M901" s="31"/>
      <c r="P901" s="31"/>
      <c r="Q901" s="33"/>
      <c r="R901" s="33"/>
    </row>
    <row r="902" spans="4:18" ht="13.2">
      <c r="D902" s="30"/>
      <c r="E902" s="31"/>
      <c r="F902" s="31"/>
      <c r="I902" s="32"/>
      <c r="J902" s="32"/>
      <c r="L902" s="30"/>
      <c r="M902" s="31"/>
      <c r="P902" s="31"/>
      <c r="Q902" s="33"/>
      <c r="R902" s="33"/>
    </row>
    <row r="903" spans="4:18" ht="13.2">
      <c r="D903" s="30"/>
      <c r="E903" s="31"/>
      <c r="F903" s="31"/>
      <c r="I903" s="32"/>
      <c r="J903" s="32"/>
      <c r="L903" s="30"/>
      <c r="M903" s="31"/>
      <c r="P903" s="31"/>
      <c r="Q903" s="33"/>
      <c r="R903" s="33"/>
    </row>
    <row r="904" spans="4:18" ht="13.2">
      <c r="D904" s="30"/>
      <c r="E904" s="31"/>
      <c r="F904" s="31"/>
      <c r="I904" s="32"/>
      <c r="J904" s="32"/>
      <c r="L904" s="30"/>
      <c r="M904" s="31"/>
      <c r="P904" s="31"/>
      <c r="Q904" s="33"/>
      <c r="R904" s="33"/>
    </row>
    <row r="905" spans="4:18" ht="13.2">
      <c r="D905" s="30"/>
      <c r="E905" s="31"/>
      <c r="F905" s="31"/>
      <c r="I905" s="32"/>
      <c r="J905" s="32"/>
      <c r="L905" s="30"/>
      <c r="M905" s="31"/>
      <c r="P905" s="31"/>
      <c r="Q905" s="33"/>
      <c r="R905" s="33"/>
    </row>
    <row r="906" spans="4:18" ht="13.2">
      <c r="D906" s="30"/>
      <c r="E906" s="31"/>
      <c r="F906" s="31"/>
      <c r="I906" s="32"/>
      <c r="J906" s="32"/>
      <c r="L906" s="30"/>
      <c r="M906" s="31"/>
      <c r="P906" s="31"/>
      <c r="Q906" s="33"/>
      <c r="R906" s="33"/>
    </row>
    <row r="907" spans="4:18" ht="13.2">
      <c r="D907" s="30"/>
      <c r="E907" s="31"/>
      <c r="F907" s="31"/>
      <c r="I907" s="32"/>
      <c r="J907" s="32"/>
      <c r="L907" s="30"/>
      <c r="M907" s="31"/>
      <c r="P907" s="31"/>
      <c r="Q907" s="33"/>
      <c r="R907" s="33"/>
    </row>
    <row r="908" spans="4:18" ht="13.2">
      <c r="D908" s="30"/>
      <c r="E908" s="31"/>
      <c r="F908" s="31"/>
      <c r="I908" s="32"/>
      <c r="J908" s="32"/>
      <c r="L908" s="30"/>
      <c r="M908" s="31"/>
      <c r="P908" s="31"/>
      <c r="Q908" s="33"/>
      <c r="R908" s="33"/>
    </row>
    <row r="909" spans="4:18" ht="13.2">
      <c r="D909" s="30"/>
      <c r="E909" s="31"/>
      <c r="F909" s="31"/>
      <c r="I909" s="32"/>
      <c r="J909" s="32"/>
      <c r="L909" s="30"/>
      <c r="M909" s="31"/>
      <c r="P909" s="31"/>
      <c r="Q909" s="33"/>
      <c r="R909" s="33"/>
    </row>
    <row r="910" spans="4:18" ht="13.2">
      <c r="D910" s="30"/>
      <c r="E910" s="31"/>
      <c r="F910" s="31"/>
      <c r="I910" s="32"/>
      <c r="J910" s="32"/>
      <c r="L910" s="30"/>
      <c r="M910" s="31"/>
      <c r="P910" s="31"/>
      <c r="Q910" s="33"/>
      <c r="R910" s="33"/>
    </row>
    <row r="911" spans="4:18" ht="13.2">
      <c r="D911" s="30"/>
      <c r="E911" s="31"/>
      <c r="F911" s="31"/>
      <c r="I911" s="32"/>
      <c r="J911" s="32"/>
      <c r="L911" s="30"/>
      <c r="M911" s="31"/>
      <c r="P911" s="31"/>
      <c r="Q911" s="33"/>
      <c r="R911" s="33"/>
    </row>
    <row r="912" spans="4:18" ht="13.2">
      <c r="D912" s="30"/>
      <c r="E912" s="31"/>
      <c r="F912" s="31"/>
      <c r="I912" s="32"/>
      <c r="J912" s="32"/>
      <c r="L912" s="30"/>
      <c r="M912" s="31"/>
      <c r="P912" s="31"/>
      <c r="Q912" s="33"/>
      <c r="R912" s="33"/>
    </row>
    <row r="913" spans="4:18" ht="13.2">
      <c r="D913" s="30"/>
      <c r="E913" s="31"/>
      <c r="F913" s="31"/>
      <c r="I913" s="32"/>
      <c r="J913" s="32"/>
      <c r="L913" s="30"/>
      <c r="M913" s="31"/>
      <c r="P913" s="31"/>
      <c r="Q913" s="33"/>
      <c r="R913" s="33"/>
    </row>
    <row r="914" spans="4:18" ht="13.2">
      <c r="D914" s="30"/>
      <c r="E914" s="31"/>
      <c r="F914" s="31"/>
      <c r="I914" s="32"/>
      <c r="J914" s="32"/>
      <c r="L914" s="30"/>
      <c r="M914" s="31"/>
      <c r="P914" s="31"/>
      <c r="Q914" s="33"/>
      <c r="R914" s="33"/>
    </row>
    <row r="915" spans="4:18" ht="13.2">
      <c r="D915" s="30"/>
      <c r="E915" s="31"/>
      <c r="F915" s="31"/>
      <c r="I915" s="32"/>
      <c r="J915" s="32"/>
      <c r="L915" s="30"/>
      <c r="M915" s="31"/>
      <c r="P915" s="31"/>
      <c r="Q915" s="33"/>
      <c r="R915" s="33"/>
    </row>
    <row r="916" spans="4:18" ht="13.2">
      <c r="D916" s="30"/>
      <c r="E916" s="31"/>
      <c r="F916" s="31"/>
      <c r="I916" s="32"/>
      <c r="J916" s="32"/>
      <c r="L916" s="30"/>
      <c r="M916" s="31"/>
      <c r="P916" s="31"/>
      <c r="Q916" s="33"/>
      <c r="R916" s="33"/>
    </row>
    <row r="917" spans="4:18" ht="13.2">
      <c r="D917" s="30"/>
      <c r="E917" s="31"/>
      <c r="F917" s="31"/>
      <c r="I917" s="32"/>
      <c r="J917" s="32"/>
      <c r="L917" s="30"/>
      <c r="M917" s="31"/>
      <c r="P917" s="31"/>
      <c r="Q917" s="33"/>
      <c r="R917" s="33"/>
    </row>
    <row r="918" spans="4:18" ht="13.2">
      <c r="D918" s="30"/>
      <c r="E918" s="31"/>
      <c r="F918" s="31"/>
      <c r="I918" s="32"/>
      <c r="J918" s="32"/>
      <c r="L918" s="30"/>
      <c r="M918" s="31"/>
      <c r="P918" s="31"/>
      <c r="Q918" s="33"/>
      <c r="R918" s="33"/>
    </row>
    <row r="919" spans="4:18" ht="13.2">
      <c r="D919" s="30"/>
      <c r="E919" s="31"/>
      <c r="F919" s="31"/>
      <c r="I919" s="32"/>
      <c r="J919" s="32"/>
      <c r="L919" s="30"/>
      <c r="M919" s="31"/>
      <c r="P919" s="31"/>
      <c r="Q919" s="33"/>
      <c r="R919" s="33"/>
    </row>
    <row r="920" spans="4:18" ht="13.2">
      <c r="D920" s="30"/>
      <c r="E920" s="31"/>
      <c r="F920" s="31"/>
      <c r="I920" s="32"/>
      <c r="J920" s="32"/>
      <c r="L920" s="30"/>
      <c r="M920" s="31"/>
      <c r="P920" s="31"/>
      <c r="Q920" s="33"/>
      <c r="R920" s="33"/>
    </row>
    <row r="921" spans="4:18" ht="13.2">
      <c r="D921" s="30"/>
      <c r="E921" s="31"/>
      <c r="F921" s="31"/>
      <c r="I921" s="32"/>
      <c r="J921" s="32"/>
      <c r="L921" s="30"/>
      <c r="M921" s="31"/>
      <c r="P921" s="31"/>
      <c r="Q921" s="33"/>
      <c r="R921" s="33"/>
    </row>
    <row r="922" spans="4:18" ht="13.2">
      <c r="D922" s="30"/>
      <c r="E922" s="31"/>
      <c r="F922" s="31"/>
      <c r="I922" s="32"/>
      <c r="J922" s="32"/>
      <c r="L922" s="30"/>
      <c r="M922" s="31"/>
      <c r="P922" s="31"/>
      <c r="Q922" s="33"/>
      <c r="R922" s="33"/>
    </row>
    <row r="923" spans="4:18" ht="13.2">
      <c r="D923" s="30"/>
      <c r="E923" s="31"/>
      <c r="F923" s="31"/>
      <c r="I923" s="32"/>
      <c r="J923" s="32"/>
      <c r="L923" s="30"/>
      <c r="M923" s="31"/>
      <c r="P923" s="31"/>
      <c r="Q923" s="33"/>
      <c r="R923" s="33"/>
    </row>
    <row r="924" spans="4:18" ht="13.2">
      <c r="D924" s="30"/>
      <c r="E924" s="31"/>
      <c r="F924" s="31"/>
      <c r="I924" s="32"/>
      <c r="J924" s="32"/>
      <c r="L924" s="30"/>
      <c r="M924" s="31"/>
      <c r="P924" s="31"/>
      <c r="Q924" s="33"/>
      <c r="R924" s="33"/>
    </row>
    <row r="925" spans="4:18" ht="13.2">
      <c r="D925" s="30"/>
      <c r="E925" s="31"/>
      <c r="F925" s="31"/>
      <c r="I925" s="32"/>
      <c r="J925" s="32"/>
      <c r="L925" s="30"/>
      <c r="M925" s="31"/>
      <c r="P925" s="31"/>
      <c r="Q925" s="33"/>
      <c r="R925" s="33"/>
    </row>
    <row r="926" spans="4:18" ht="13.2">
      <c r="D926" s="30"/>
      <c r="E926" s="31"/>
      <c r="F926" s="31"/>
      <c r="I926" s="32"/>
      <c r="J926" s="32"/>
      <c r="L926" s="30"/>
      <c r="M926" s="31"/>
      <c r="P926" s="31"/>
      <c r="Q926" s="33"/>
      <c r="R926" s="33"/>
    </row>
    <row r="927" spans="4:18" ht="13.2">
      <c r="D927" s="30"/>
      <c r="E927" s="31"/>
      <c r="F927" s="31"/>
      <c r="I927" s="32"/>
      <c r="J927" s="32"/>
      <c r="L927" s="30"/>
      <c r="M927" s="31"/>
      <c r="P927" s="31"/>
      <c r="Q927" s="33"/>
      <c r="R927" s="33"/>
    </row>
    <row r="928" spans="4:18" ht="13.2">
      <c r="D928" s="30"/>
      <c r="E928" s="31"/>
      <c r="F928" s="31"/>
      <c r="I928" s="32"/>
      <c r="J928" s="32"/>
      <c r="L928" s="30"/>
      <c r="M928" s="31"/>
      <c r="P928" s="31"/>
      <c r="Q928" s="33"/>
      <c r="R928" s="33"/>
    </row>
    <row r="929" spans="4:18" ht="13.2">
      <c r="D929" s="30"/>
      <c r="E929" s="31"/>
      <c r="F929" s="31"/>
      <c r="I929" s="32"/>
      <c r="J929" s="32"/>
      <c r="L929" s="30"/>
      <c r="M929" s="31"/>
      <c r="P929" s="31"/>
      <c r="Q929" s="33"/>
      <c r="R929" s="33"/>
    </row>
    <row r="930" spans="4:18" ht="13.2">
      <c r="D930" s="30"/>
      <c r="E930" s="31"/>
      <c r="F930" s="31"/>
      <c r="I930" s="32"/>
      <c r="J930" s="32"/>
      <c r="L930" s="30"/>
      <c r="M930" s="31"/>
      <c r="P930" s="31"/>
      <c r="Q930" s="33"/>
      <c r="R930" s="33"/>
    </row>
    <row r="931" spans="4:18" ht="13.2">
      <c r="D931" s="30"/>
      <c r="E931" s="31"/>
      <c r="F931" s="31"/>
      <c r="I931" s="32"/>
      <c r="J931" s="32"/>
      <c r="L931" s="30"/>
      <c r="M931" s="31"/>
      <c r="P931" s="31"/>
      <c r="Q931" s="33"/>
      <c r="R931" s="33"/>
    </row>
    <row r="932" spans="4:18" ht="13.2">
      <c r="D932" s="30"/>
      <c r="E932" s="31"/>
      <c r="F932" s="31"/>
      <c r="I932" s="32"/>
      <c r="J932" s="32"/>
      <c r="L932" s="30"/>
      <c r="M932" s="31"/>
      <c r="P932" s="31"/>
      <c r="Q932" s="33"/>
      <c r="R932" s="33"/>
    </row>
    <row r="933" spans="4:18" ht="13.2">
      <c r="D933" s="30"/>
      <c r="E933" s="31"/>
      <c r="F933" s="31"/>
      <c r="I933" s="32"/>
      <c r="J933" s="32"/>
      <c r="L933" s="30"/>
      <c r="M933" s="31"/>
      <c r="P933" s="31"/>
      <c r="Q933" s="33"/>
      <c r="R933" s="33"/>
    </row>
    <row r="934" spans="4:18" ht="13.2">
      <c r="D934" s="30"/>
      <c r="E934" s="31"/>
      <c r="F934" s="31"/>
      <c r="I934" s="32"/>
      <c r="J934" s="32"/>
      <c r="L934" s="30"/>
      <c r="M934" s="31"/>
      <c r="P934" s="31"/>
      <c r="Q934" s="33"/>
      <c r="R934" s="33"/>
    </row>
    <row r="935" spans="4:18" ht="13.2">
      <c r="D935" s="30"/>
      <c r="E935" s="31"/>
      <c r="F935" s="31"/>
      <c r="I935" s="32"/>
      <c r="J935" s="32"/>
      <c r="L935" s="30"/>
      <c r="M935" s="31"/>
      <c r="P935" s="31"/>
      <c r="Q935" s="33"/>
      <c r="R935" s="33"/>
    </row>
    <row r="936" spans="4:18" ht="13.2">
      <c r="D936" s="30"/>
      <c r="E936" s="31"/>
      <c r="F936" s="31"/>
      <c r="I936" s="32"/>
      <c r="J936" s="32"/>
      <c r="L936" s="30"/>
      <c r="M936" s="31"/>
      <c r="P936" s="31"/>
      <c r="Q936" s="33"/>
      <c r="R936" s="33"/>
    </row>
    <row r="937" spans="4:18" ht="13.2">
      <c r="D937" s="30"/>
      <c r="E937" s="31"/>
      <c r="F937" s="31"/>
      <c r="I937" s="32"/>
      <c r="J937" s="32"/>
      <c r="L937" s="30"/>
      <c r="M937" s="31"/>
      <c r="P937" s="31"/>
      <c r="Q937" s="33"/>
      <c r="R937" s="33"/>
    </row>
    <row r="938" spans="4:18" ht="13.2">
      <c r="D938" s="30"/>
      <c r="E938" s="31"/>
      <c r="F938" s="31"/>
      <c r="I938" s="32"/>
      <c r="J938" s="32"/>
      <c r="L938" s="30"/>
      <c r="M938" s="31"/>
      <c r="P938" s="31"/>
      <c r="Q938" s="33"/>
      <c r="R938" s="33"/>
    </row>
    <row r="939" spans="4:18" ht="13.2">
      <c r="D939" s="30"/>
      <c r="E939" s="31"/>
      <c r="F939" s="31"/>
      <c r="I939" s="32"/>
      <c r="J939" s="32"/>
      <c r="L939" s="30"/>
      <c r="M939" s="31"/>
      <c r="P939" s="31"/>
      <c r="Q939" s="33"/>
      <c r="R939" s="33"/>
    </row>
    <row r="940" spans="4:18" ht="13.2">
      <c r="D940" s="30"/>
      <c r="E940" s="31"/>
      <c r="F940" s="31"/>
      <c r="I940" s="32"/>
      <c r="J940" s="32"/>
      <c r="L940" s="30"/>
      <c r="M940" s="31"/>
      <c r="P940" s="31"/>
      <c r="Q940" s="33"/>
      <c r="R940" s="33"/>
    </row>
    <row r="941" spans="4:18" ht="13.2">
      <c r="D941" s="30"/>
      <c r="E941" s="31"/>
      <c r="F941" s="31"/>
      <c r="I941" s="32"/>
      <c r="J941" s="32"/>
      <c r="L941" s="30"/>
      <c r="M941" s="31"/>
      <c r="P941" s="31"/>
      <c r="Q941" s="33"/>
      <c r="R941" s="33"/>
    </row>
    <row r="942" spans="4:18" ht="13.2">
      <c r="D942" s="30"/>
      <c r="E942" s="31"/>
      <c r="F942" s="31"/>
      <c r="I942" s="32"/>
      <c r="J942" s="32"/>
      <c r="L942" s="30"/>
      <c r="M942" s="31"/>
      <c r="P942" s="31"/>
      <c r="Q942" s="33"/>
      <c r="R942" s="33"/>
    </row>
    <row r="943" spans="4:18" ht="13.2">
      <c r="D943" s="30"/>
      <c r="E943" s="31"/>
      <c r="F943" s="31"/>
      <c r="I943" s="32"/>
      <c r="J943" s="32"/>
      <c r="L943" s="30"/>
      <c r="M943" s="31"/>
      <c r="P943" s="31"/>
      <c r="Q943" s="33"/>
      <c r="R943" s="33"/>
    </row>
    <row r="944" spans="4:18" ht="13.2">
      <c r="D944" s="30"/>
      <c r="E944" s="31"/>
      <c r="F944" s="31"/>
      <c r="I944" s="32"/>
      <c r="J944" s="32"/>
      <c r="L944" s="30"/>
      <c r="M944" s="31"/>
      <c r="P944" s="31"/>
      <c r="Q944" s="33"/>
      <c r="R944" s="33"/>
    </row>
    <row r="945" spans="4:18" ht="13.2">
      <c r="D945" s="30"/>
      <c r="E945" s="31"/>
      <c r="F945" s="31"/>
      <c r="I945" s="32"/>
      <c r="J945" s="32"/>
      <c r="L945" s="30"/>
      <c r="M945" s="31"/>
      <c r="P945" s="31"/>
      <c r="Q945" s="33"/>
      <c r="R945" s="33"/>
    </row>
    <row r="946" spans="4:18" ht="13.2">
      <c r="D946" s="30"/>
      <c r="E946" s="31"/>
      <c r="F946" s="31"/>
      <c r="I946" s="32"/>
      <c r="J946" s="32"/>
      <c r="L946" s="30"/>
      <c r="M946" s="31"/>
      <c r="P946" s="31"/>
      <c r="Q946" s="33"/>
      <c r="R946" s="33"/>
    </row>
    <row r="947" spans="4:18" ht="13.2">
      <c r="D947" s="30"/>
      <c r="E947" s="31"/>
      <c r="F947" s="31"/>
      <c r="I947" s="32"/>
      <c r="J947" s="32"/>
      <c r="L947" s="30"/>
      <c r="M947" s="31"/>
      <c r="P947" s="31"/>
      <c r="Q947" s="33"/>
      <c r="R947" s="33"/>
    </row>
    <row r="948" spans="4:18" ht="13.2">
      <c r="D948" s="30"/>
      <c r="E948" s="31"/>
      <c r="F948" s="31"/>
      <c r="I948" s="32"/>
      <c r="J948" s="32"/>
      <c r="L948" s="30"/>
      <c r="M948" s="31"/>
      <c r="P948" s="31"/>
      <c r="Q948" s="33"/>
      <c r="R948" s="33"/>
    </row>
    <row r="949" spans="4:18" ht="13.2">
      <c r="D949" s="30"/>
      <c r="E949" s="31"/>
      <c r="F949" s="31"/>
      <c r="I949" s="32"/>
      <c r="J949" s="32"/>
      <c r="L949" s="30"/>
      <c r="M949" s="31"/>
      <c r="P949" s="31"/>
      <c r="Q949" s="33"/>
      <c r="R949" s="33"/>
    </row>
    <row r="950" spans="4:18" ht="13.2">
      <c r="D950" s="30"/>
      <c r="E950" s="31"/>
      <c r="F950" s="31"/>
      <c r="I950" s="32"/>
      <c r="J950" s="32"/>
      <c r="L950" s="30"/>
      <c r="M950" s="31"/>
      <c r="P950" s="31"/>
      <c r="Q950" s="33"/>
      <c r="R950" s="33"/>
    </row>
    <row r="951" spans="4:18" ht="13.2">
      <c r="D951" s="30"/>
      <c r="E951" s="31"/>
      <c r="F951" s="31"/>
      <c r="I951" s="32"/>
      <c r="J951" s="32"/>
      <c r="L951" s="30"/>
      <c r="M951" s="31"/>
      <c r="P951" s="31"/>
      <c r="Q951" s="33"/>
      <c r="R951" s="33"/>
    </row>
    <row r="952" spans="4:18" ht="13.2">
      <c r="D952" s="30"/>
      <c r="E952" s="31"/>
      <c r="F952" s="31"/>
      <c r="I952" s="32"/>
      <c r="J952" s="32"/>
      <c r="L952" s="30"/>
      <c r="M952" s="31"/>
      <c r="P952" s="31"/>
      <c r="Q952" s="33"/>
      <c r="R952" s="33"/>
    </row>
    <row r="953" spans="4:18" ht="13.2">
      <c r="D953" s="30"/>
      <c r="E953" s="31"/>
      <c r="F953" s="31"/>
      <c r="I953" s="32"/>
      <c r="J953" s="32"/>
      <c r="L953" s="30"/>
      <c r="M953" s="31"/>
      <c r="P953" s="31"/>
      <c r="Q953" s="33"/>
      <c r="R953" s="33"/>
    </row>
    <row r="954" spans="4:18" ht="13.2">
      <c r="D954" s="30"/>
      <c r="E954" s="31"/>
      <c r="F954" s="31"/>
      <c r="I954" s="32"/>
      <c r="J954" s="32"/>
      <c r="L954" s="30"/>
      <c r="M954" s="31"/>
      <c r="P954" s="31"/>
      <c r="Q954" s="33"/>
      <c r="R954" s="33"/>
    </row>
    <row r="955" spans="4:18" ht="13.2">
      <c r="D955" s="30"/>
      <c r="E955" s="31"/>
      <c r="F955" s="31"/>
      <c r="I955" s="32"/>
      <c r="J955" s="32"/>
      <c r="L955" s="30"/>
      <c r="M955" s="31"/>
      <c r="P955" s="31"/>
      <c r="Q955" s="33"/>
      <c r="R955" s="33"/>
    </row>
    <row r="956" spans="4:18" ht="13.2">
      <c r="D956" s="30"/>
      <c r="E956" s="31"/>
      <c r="F956" s="31"/>
      <c r="I956" s="32"/>
      <c r="J956" s="32"/>
      <c r="L956" s="30"/>
      <c r="M956" s="31"/>
      <c r="P956" s="31"/>
      <c r="Q956" s="33"/>
      <c r="R956" s="33"/>
    </row>
    <row r="957" spans="4:18" ht="13.2">
      <c r="D957" s="30"/>
      <c r="E957" s="31"/>
      <c r="F957" s="31"/>
      <c r="I957" s="32"/>
      <c r="J957" s="32"/>
      <c r="L957" s="30"/>
      <c r="M957" s="31"/>
      <c r="P957" s="31"/>
      <c r="Q957" s="33"/>
      <c r="R957" s="33"/>
    </row>
    <row r="958" spans="4:18" ht="13.2">
      <c r="D958" s="30"/>
      <c r="E958" s="31"/>
      <c r="F958" s="31"/>
      <c r="I958" s="32"/>
      <c r="J958" s="32"/>
      <c r="L958" s="30"/>
      <c r="M958" s="31"/>
      <c r="P958" s="31"/>
      <c r="Q958" s="33"/>
      <c r="R958" s="33"/>
    </row>
    <row r="959" spans="4:18" ht="13.2">
      <c r="D959" s="30"/>
      <c r="E959" s="31"/>
      <c r="F959" s="31"/>
      <c r="I959" s="32"/>
      <c r="J959" s="32"/>
      <c r="L959" s="30"/>
      <c r="M959" s="31"/>
      <c r="P959" s="31"/>
      <c r="Q959" s="33"/>
      <c r="R959" s="33"/>
    </row>
    <row r="960" spans="4:18" ht="13.2">
      <c r="D960" s="30"/>
      <c r="E960" s="31"/>
      <c r="F960" s="31"/>
      <c r="I960" s="32"/>
      <c r="J960" s="32"/>
      <c r="L960" s="30"/>
      <c r="M960" s="31"/>
      <c r="P960" s="31"/>
      <c r="Q960" s="33"/>
      <c r="R960" s="33"/>
    </row>
    <row r="961" spans="4:18" ht="13.2">
      <c r="D961" s="30"/>
      <c r="E961" s="31"/>
      <c r="F961" s="31"/>
      <c r="I961" s="32"/>
      <c r="J961" s="32"/>
      <c r="L961" s="30"/>
      <c r="M961" s="31"/>
      <c r="P961" s="31"/>
      <c r="Q961" s="33"/>
      <c r="R961" s="33"/>
    </row>
    <row r="962" spans="4:18" ht="13.2">
      <c r="D962" s="30"/>
      <c r="E962" s="31"/>
      <c r="F962" s="31"/>
      <c r="I962" s="32"/>
      <c r="J962" s="32"/>
      <c r="L962" s="30"/>
      <c r="M962" s="31"/>
      <c r="P962" s="31"/>
      <c r="Q962" s="33"/>
      <c r="R962" s="33"/>
    </row>
    <row r="963" spans="4:18" ht="13.2">
      <c r="D963" s="30"/>
      <c r="E963" s="31"/>
      <c r="F963" s="31"/>
      <c r="I963" s="32"/>
      <c r="J963" s="32"/>
      <c r="L963" s="30"/>
      <c r="M963" s="31"/>
      <c r="P963" s="31"/>
      <c r="Q963" s="33"/>
      <c r="R963" s="33"/>
    </row>
    <row r="964" spans="4:18" ht="13.2">
      <c r="D964" s="30"/>
      <c r="E964" s="31"/>
      <c r="F964" s="31"/>
      <c r="I964" s="32"/>
      <c r="J964" s="32"/>
      <c r="L964" s="30"/>
      <c r="M964" s="31"/>
      <c r="P964" s="31"/>
      <c r="Q964" s="33"/>
      <c r="R964" s="33"/>
    </row>
    <row r="965" spans="4:18" ht="13.2">
      <c r="D965" s="30"/>
      <c r="E965" s="31"/>
      <c r="F965" s="31"/>
      <c r="I965" s="32"/>
      <c r="J965" s="32"/>
      <c r="L965" s="30"/>
      <c r="M965" s="31"/>
      <c r="P965" s="31"/>
      <c r="Q965" s="33"/>
      <c r="R965" s="33"/>
    </row>
    <row r="966" spans="4:18" ht="13.2">
      <c r="D966" s="30"/>
      <c r="E966" s="31"/>
      <c r="F966" s="31"/>
      <c r="I966" s="32"/>
      <c r="J966" s="32"/>
      <c r="L966" s="30"/>
      <c r="M966" s="31"/>
      <c r="P966" s="31"/>
      <c r="Q966" s="33"/>
      <c r="R966" s="33"/>
    </row>
    <row r="967" spans="4:18" ht="13.2">
      <c r="D967" s="30"/>
      <c r="E967" s="31"/>
      <c r="F967" s="31"/>
      <c r="I967" s="32"/>
      <c r="J967" s="32"/>
      <c r="L967" s="30"/>
      <c r="M967" s="31"/>
      <c r="P967" s="31"/>
      <c r="Q967" s="33"/>
      <c r="R967" s="33"/>
    </row>
    <row r="968" spans="4:18" ht="13.2">
      <c r="D968" s="30"/>
      <c r="E968" s="31"/>
      <c r="F968" s="31"/>
      <c r="I968" s="32"/>
      <c r="J968" s="32"/>
      <c r="L968" s="30"/>
      <c r="M968" s="31"/>
      <c r="P968" s="31"/>
      <c r="Q968" s="33"/>
      <c r="R968" s="33"/>
    </row>
    <row r="969" spans="4:18" ht="13.2">
      <c r="D969" s="30"/>
      <c r="E969" s="31"/>
      <c r="F969" s="31"/>
      <c r="I969" s="32"/>
      <c r="J969" s="32"/>
      <c r="L969" s="30"/>
      <c r="M969" s="31"/>
      <c r="P969" s="31"/>
      <c r="Q969" s="33"/>
      <c r="R969" s="33"/>
    </row>
    <row r="970" spans="4:18" ht="13.2">
      <c r="D970" s="30"/>
      <c r="E970" s="31"/>
      <c r="F970" s="31"/>
      <c r="I970" s="32"/>
      <c r="J970" s="32"/>
      <c r="L970" s="30"/>
      <c r="M970" s="31"/>
      <c r="P970" s="31"/>
      <c r="Q970" s="33"/>
      <c r="R970" s="33"/>
    </row>
    <row r="971" spans="4:18" ht="13.2">
      <c r="D971" s="30"/>
      <c r="E971" s="31"/>
      <c r="F971" s="31"/>
      <c r="I971" s="32"/>
      <c r="J971" s="32"/>
      <c r="L971" s="30"/>
      <c r="M971" s="31"/>
      <c r="P971" s="31"/>
      <c r="Q971" s="33"/>
      <c r="R971" s="33"/>
    </row>
    <row r="972" spans="4:18" ht="13.2">
      <c r="D972" s="30"/>
      <c r="E972" s="31"/>
      <c r="F972" s="31"/>
      <c r="I972" s="32"/>
      <c r="J972" s="32"/>
      <c r="L972" s="30"/>
      <c r="M972" s="31"/>
      <c r="P972" s="31"/>
      <c r="Q972" s="33"/>
      <c r="R972" s="33"/>
    </row>
    <row r="973" spans="4:18" ht="13.2">
      <c r="D973" s="30"/>
      <c r="E973" s="31"/>
      <c r="F973" s="31"/>
      <c r="I973" s="32"/>
      <c r="J973" s="32"/>
      <c r="L973" s="30"/>
      <c r="M973" s="31"/>
      <c r="P973" s="31"/>
      <c r="Q973" s="33"/>
      <c r="R973" s="33"/>
    </row>
    <row r="974" spans="4:18" ht="13.2">
      <c r="D974" s="30"/>
      <c r="E974" s="31"/>
      <c r="F974" s="31"/>
      <c r="I974" s="32"/>
      <c r="J974" s="32"/>
      <c r="L974" s="30"/>
      <c r="M974" s="31"/>
      <c r="P974" s="31"/>
      <c r="Q974" s="33"/>
      <c r="R974" s="33"/>
    </row>
    <row r="975" spans="4:18" ht="13.2">
      <c r="D975" s="30"/>
      <c r="E975" s="31"/>
      <c r="F975" s="31"/>
      <c r="I975" s="32"/>
      <c r="J975" s="32"/>
      <c r="L975" s="30"/>
      <c r="M975" s="31"/>
      <c r="P975" s="31"/>
      <c r="Q975" s="33"/>
      <c r="R975" s="33"/>
    </row>
    <row r="976" spans="4:18" ht="13.2">
      <c r="D976" s="30"/>
      <c r="E976" s="31"/>
      <c r="F976" s="31"/>
      <c r="I976" s="32"/>
      <c r="J976" s="32"/>
      <c r="L976" s="30"/>
      <c r="M976" s="31"/>
      <c r="P976" s="31"/>
      <c r="Q976" s="33"/>
      <c r="R976" s="33"/>
    </row>
    <row r="977" spans="4:18" ht="13.2">
      <c r="D977" s="30"/>
      <c r="E977" s="31"/>
      <c r="F977" s="31"/>
      <c r="I977" s="32"/>
      <c r="J977" s="32"/>
      <c r="L977" s="30"/>
      <c r="M977" s="31"/>
      <c r="P977" s="31"/>
      <c r="Q977" s="33"/>
      <c r="R977" s="33"/>
    </row>
    <row r="978" spans="4:18" ht="13.2">
      <c r="D978" s="30"/>
      <c r="E978" s="31"/>
      <c r="F978" s="31"/>
      <c r="I978" s="32"/>
      <c r="J978" s="32"/>
      <c r="L978" s="30"/>
      <c r="M978" s="31"/>
      <c r="P978" s="31"/>
      <c r="Q978" s="33"/>
      <c r="R978" s="33"/>
    </row>
    <row r="979" spans="4:18" ht="13.2">
      <c r="D979" s="30"/>
      <c r="E979" s="31"/>
      <c r="F979" s="31"/>
      <c r="I979" s="32"/>
      <c r="J979" s="32"/>
      <c r="L979" s="30"/>
      <c r="M979" s="31"/>
      <c r="P979" s="31"/>
      <c r="Q979" s="33"/>
      <c r="R979" s="33"/>
    </row>
    <row r="980" spans="4:18" ht="13.2">
      <c r="D980" s="30"/>
      <c r="E980" s="31"/>
      <c r="F980" s="31"/>
      <c r="I980" s="32"/>
      <c r="J980" s="32"/>
      <c r="L980" s="30"/>
      <c r="M980" s="31"/>
      <c r="P980" s="31"/>
      <c r="Q980" s="33"/>
      <c r="R980" s="33"/>
    </row>
    <row r="981" spans="4:18" ht="13.2">
      <c r="D981" s="30"/>
      <c r="E981" s="31"/>
      <c r="F981" s="31"/>
      <c r="I981" s="32"/>
      <c r="J981" s="32"/>
      <c r="L981" s="30"/>
      <c r="M981" s="31"/>
      <c r="P981" s="31"/>
      <c r="Q981" s="33"/>
      <c r="R981" s="33"/>
    </row>
    <row r="982" spans="4:18" ht="13.2">
      <c r="D982" s="30"/>
      <c r="E982" s="31"/>
      <c r="F982" s="31"/>
      <c r="I982" s="32"/>
      <c r="J982" s="32"/>
      <c r="L982" s="30"/>
      <c r="M982" s="31"/>
      <c r="P982" s="31"/>
      <c r="Q982" s="33"/>
      <c r="R982" s="33"/>
    </row>
    <row r="983" spans="4:18" ht="13.2">
      <c r="D983" s="30"/>
      <c r="E983" s="31"/>
      <c r="F983" s="31"/>
      <c r="I983" s="32"/>
      <c r="J983" s="32"/>
      <c r="L983" s="30"/>
      <c r="M983" s="31"/>
      <c r="P983" s="31"/>
      <c r="Q983" s="33"/>
      <c r="R983" s="33"/>
    </row>
    <row r="984" spans="4:18" ht="13.2">
      <c r="D984" s="30"/>
      <c r="E984" s="31"/>
      <c r="F984" s="31"/>
      <c r="I984" s="32"/>
      <c r="J984" s="32"/>
      <c r="L984" s="30"/>
      <c r="M984" s="31"/>
      <c r="P984" s="31"/>
      <c r="Q984" s="33"/>
      <c r="R984" s="33"/>
    </row>
    <row r="985" spans="4:18" ht="13.2">
      <c r="D985" s="30"/>
      <c r="E985" s="31"/>
      <c r="F985" s="31"/>
      <c r="I985" s="32"/>
      <c r="J985" s="32"/>
      <c r="L985" s="30"/>
      <c r="M985" s="31"/>
      <c r="P985" s="31"/>
      <c r="Q985" s="33"/>
      <c r="R985" s="33"/>
    </row>
    <row r="986" spans="4:18" ht="13.2">
      <c r="D986" s="30"/>
      <c r="E986" s="31"/>
      <c r="F986" s="31"/>
      <c r="I986" s="32"/>
      <c r="J986" s="32"/>
      <c r="L986" s="30"/>
      <c r="M986" s="31"/>
      <c r="P986" s="31"/>
      <c r="Q986" s="33"/>
      <c r="R986" s="33"/>
    </row>
    <row r="987" spans="4:18" ht="13.2">
      <c r="D987" s="30"/>
      <c r="E987" s="31"/>
      <c r="F987" s="31"/>
      <c r="I987" s="32"/>
      <c r="J987" s="32"/>
      <c r="L987" s="30"/>
      <c r="M987" s="31"/>
      <c r="P987" s="31"/>
      <c r="Q987" s="33"/>
      <c r="R987" s="33"/>
    </row>
    <row r="988" spans="4:18" ht="13.2">
      <c r="D988" s="30"/>
      <c r="E988" s="31"/>
      <c r="F988" s="31"/>
      <c r="I988" s="32"/>
      <c r="J988" s="32"/>
      <c r="L988" s="30"/>
      <c r="M988" s="31"/>
      <c r="P988" s="31"/>
      <c r="Q988" s="33"/>
      <c r="R988" s="33"/>
    </row>
    <row r="989" spans="4:18" ht="13.2">
      <c r="D989" s="30"/>
      <c r="E989" s="31"/>
      <c r="F989" s="31"/>
      <c r="I989" s="32"/>
      <c r="J989" s="32"/>
      <c r="L989" s="30"/>
      <c r="M989" s="31"/>
      <c r="P989" s="31"/>
      <c r="Q989" s="33"/>
      <c r="R989" s="33"/>
    </row>
    <row r="990" spans="4:18" ht="13.2">
      <c r="D990" s="30"/>
      <c r="E990" s="31"/>
      <c r="F990" s="31"/>
      <c r="I990" s="32"/>
      <c r="J990" s="32"/>
      <c r="L990" s="30"/>
      <c r="M990" s="31"/>
      <c r="P990" s="31"/>
      <c r="Q990" s="33"/>
      <c r="R990" s="33"/>
    </row>
    <row r="991" spans="4:18" ht="13.2">
      <c r="D991" s="30"/>
      <c r="E991" s="31"/>
      <c r="F991" s="31"/>
      <c r="I991" s="32"/>
      <c r="J991" s="32"/>
      <c r="L991" s="30"/>
      <c r="M991" s="31"/>
      <c r="P991" s="31"/>
      <c r="Q991" s="33"/>
      <c r="R991" s="33"/>
    </row>
    <row r="992" spans="4:18" ht="13.2">
      <c r="D992" s="30"/>
      <c r="E992" s="31"/>
      <c r="F992" s="31"/>
      <c r="I992" s="32"/>
      <c r="J992" s="32"/>
      <c r="L992" s="30"/>
      <c r="M992" s="31"/>
      <c r="P992" s="31"/>
      <c r="Q992" s="33"/>
      <c r="R992" s="33"/>
    </row>
    <row r="993" spans="4:18" ht="13.2">
      <c r="D993" s="30"/>
      <c r="E993" s="31"/>
      <c r="F993" s="31"/>
      <c r="I993" s="32"/>
      <c r="J993" s="32"/>
      <c r="L993" s="30"/>
      <c r="M993" s="31"/>
      <c r="P993" s="31"/>
      <c r="Q993" s="33"/>
      <c r="R993" s="33"/>
    </row>
    <row r="994" spans="4:18" ht="13.2">
      <c r="D994" s="30"/>
      <c r="E994" s="31"/>
      <c r="F994" s="31"/>
      <c r="I994" s="32"/>
      <c r="J994" s="32"/>
      <c r="L994" s="30"/>
      <c r="M994" s="31"/>
      <c r="P994" s="31"/>
      <c r="Q994" s="33"/>
      <c r="R994" s="33"/>
    </row>
    <row r="995" spans="4:18" ht="13.2">
      <c r="D995" s="30"/>
      <c r="E995" s="31"/>
      <c r="F995" s="31"/>
      <c r="I995" s="32"/>
      <c r="J995" s="32"/>
      <c r="L995" s="30"/>
      <c r="M995" s="31"/>
      <c r="P995" s="31"/>
      <c r="Q995" s="33"/>
      <c r="R995" s="33"/>
    </row>
    <row r="996" spans="4:18" ht="13.2">
      <c r="D996" s="30"/>
      <c r="E996" s="31"/>
      <c r="F996" s="31"/>
      <c r="I996" s="32"/>
      <c r="J996" s="32"/>
      <c r="L996" s="30"/>
      <c r="M996" s="31"/>
      <c r="P996" s="31"/>
      <c r="Q996" s="33"/>
      <c r="R996" s="33"/>
    </row>
    <row r="997" spans="4:18" ht="13.2">
      <c r="D997" s="30"/>
      <c r="E997" s="31"/>
      <c r="F997" s="31"/>
      <c r="I997" s="32"/>
      <c r="J997" s="32"/>
      <c r="L997" s="30"/>
      <c r="M997" s="31"/>
      <c r="P997" s="31"/>
      <c r="Q997" s="33"/>
      <c r="R997" s="33"/>
    </row>
    <row r="998" spans="4:18" ht="13.2">
      <c r="D998" s="30"/>
      <c r="E998" s="31"/>
      <c r="F998" s="31"/>
      <c r="I998" s="32"/>
      <c r="J998" s="32"/>
      <c r="L998" s="30"/>
      <c r="M998" s="31"/>
      <c r="P998" s="31"/>
      <c r="Q998" s="33"/>
      <c r="R998" s="33"/>
    </row>
    <row r="999" spans="4:18" ht="13.2">
      <c r="D999" s="30"/>
      <c r="E999" s="31"/>
      <c r="F999" s="31"/>
      <c r="I999" s="32"/>
      <c r="J999" s="32"/>
      <c r="L999" s="30"/>
      <c r="M999" s="31"/>
      <c r="P999" s="31"/>
      <c r="Q999" s="33"/>
      <c r="R999" s="33"/>
    </row>
    <row r="1000" spans="4:18" ht="13.2">
      <c r="D1000" s="30"/>
      <c r="E1000" s="31"/>
      <c r="F1000" s="31"/>
      <c r="I1000" s="32"/>
      <c r="J1000" s="32"/>
      <c r="L1000" s="30"/>
      <c r="M1000" s="31"/>
      <c r="P1000" s="31"/>
      <c r="Q1000" s="33"/>
      <c r="R1000" s="33"/>
    </row>
    <row r="1001" spans="4:18" ht="13.2">
      <c r="D1001" s="30"/>
      <c r="E1001" s="31"/>
      <c r="F1001" s="31"/>
      <c r="I1001" s="32"/>
      <c r="J1001" s="32"/>
      <c r="L1001" s="30"/>
      <c r="M1001" s="31"/>
      <c r="P1001" s="31"/>
      <c r="Q1001" s="33"/>
      <c r="R1001" s="33"/>
    </row>
  </sheetData>
  <autoFilter ref="A2:R346" xr:uid="{00000000-0009-0000-0000-000000000000}">
    <sortState xmlns:xlrd2="http://schemas.microsoft.com/office/spreadsheetml/2017/richdata2" ref="A2:R346">
      <sortCondition ref="A2:A346"/>
      <sortCondition ref="E2:E346"/>
      <sortCondition descending="1" ref="Q2:Q346"/>
      <sortCondition descending="1" ref="R2:R346"/>
    </sortState>
  </autoFilter>
  <mergeCells count="1">
    <mergeCell ref="C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outlinePr summaryBelow="0" summaryRight="0"/>
  </sheetPr>
  <dimension ref="A1:T1000"/>
  <sheetViews>
    <sheetView workbookViewId="0"/>
  </sheetViews>
  <sheetFormatPr baseColWidth="10" defaultColWidth="12.6640625" defaultRowHeight="15.75" customHeight="1"/>
  <sheetData>
    <row r="1" spans="1:20">
      <c r="A1" s="7" t="s">
        <v>1</v>
      </c>
      <c r="B1" s="7" t="s">
        <v>2</v>
      </c>
      <c r="C1" s="38" t="s">
        <v>17</v>
      </c>
      <c r="D1" s="38" t="s">
        <v>18</v>
      </c>
      <c r="E1" s="13"/>
      <c r="F1" s="13"/>
      <c r="G1" s="13"/>
      <c r="H1" s="13"/>
      <c r="I1" s="13"/>
      <c r="J1" s="13"/>
      <c r="K1" s="13"/>
      <c r="L1" s="13"/>
      <c r="M1" s="13"/>
      <c r="N1" s="13"/>
      <c r="O1" s="13"/>
      <c r="P1" s="13"/>
      <c r="Q1" s="13"/>
      <c r="R1" s="13"/>
      <c r="S1" s="13"/>
      <c r="T1" s="13"/>
    </row>
    <row r="2" spans="1:20">
      <c r="A2" s="15">
        <v>10101</v>
      </c>
      <c r="B2" s="15" t="s">
        <v>25</v>
      </c>
      <c r="C2" s="20">
        <v>0.51295835375697429</v>
      </c>
      <c r="D2" s="20">
        <v>0.9514413771059228</v>
      </c>
    </row>
    <row r="3" spans="1:20">
      <c r="A3" s="15">
        <v>10102</v>
      </c>
      <c r="B3" s="15" t="s">
        <v>27</v>
      </c>
      <c r="C3" s="20">
        <v>0.47598219913287626</v>
      </c>
      <c r="D3" s="20">
        <v>0.98225865020490744</v>
      </c>
    </row>
    <row r="4" spans="1:20">
      <c r="A4" s="15">
        <v>10103</v>
      </c>
      <c r="B4" s="15" t="s">
        <v>30</v>
      </c>
      <c r="C4" s="20">
        <v>0.50337194964149257</v>
      </c>
      <c r="D4" s="20">
        <v>0.98784054072694649</v>
      </c>
    </row>
    <row r="5" spans="1:20">
      <c r="A5" s="15">
        <v>10201</v>
      </c>
      <c r="B5" s="15" t="s">
        <v>33</v>
      </c>
      <c r="C5" s="20">
        <v>0.59573553816974856</v>
      </c>
      <c r="D5" s="20">
        <v>0.82906976744186034</v>
      </c>
    </row>
    <row r="6" spans="1:20">
      <c r="A6" s="15">
        <v>10202</v>
      </c>
      <c r="B6" s="15" t="s">
        <v>35</v>
      </c>
      <c r="C6" s="20">
        <v>0.51636178861788617</v>
      </c>
      <c r="D6" s="20">
        <v>0.80453384418901663</v>
      </c>
    </row>
    <row r="7" spans="1:20">
      <c r="A7" s="15">
        <v>10301</v>
      </c>
      <c r="B7" s="15" t="s">
        <v>37</v>
      </c>
      <c r="C7" s="20">
        <v>0.43571428571428572</v>
      </c>
      <c r="D7" s="20">
        <v>0.88496699618829222</v>
      </c>
    </row>
    <row r="8" spans="1:20">
      <c r="A8" s="15">
        <v>10302</v>
      </c>
      <c r="B8" s="15" t="s">
        <v>39</v>
      </c>
      <c r="C8" s="20">
        <v>0.38397053665380565</v>
      </c>
      <c r="D8" s="20">
        <v>0.63809839968863757</v>
      </c>
    </row>
    <row r="9" spans="1:20">
      <c r="A9" s="15">
        <v>10303</v>
      </c>
      <c r="B9" s="15" t="s">
        <v>41</v>
      </c>
      <c r="C9" s="20">
        <v>0.45619218458724642</v>
      </c>
      <c r="D9" s="20">
        <v>0.8696282160022617</v>
      </c>
    </row>
    <row r="10" spans="1:20">
      <c r="A10" s="15">
        <v>10304</v>
      </c>
      <c r="B10" s="15" t="s">
        <v>43</v>
      </c>
      <c r="C10" s="20">
        <v>0.33726559959533187</v>
      </c>
      <c r="D10" s="20">
        <v>0.81313131313131326</v>
      </c>
    </row>
    <row r="11" spans="1:20">
      <c r="A11" s="15">
        <v>10401</v>
      </c>
      <c r="B11" s="15" t="s">
        <v>45</v>
      </c>
      <c r="C11" s="20">
        <v>0.48266871522685478</v>
      </c>
      <c r="D11" s="20">
        <v>0.88752495433886935</v>
      </c>
    </row>
    <row r="12" spans="1:20">
      <c r="A12" s="15">
        <v>10402</v>
      </c>
      <c r="B12" s="15" t="s">
        <v>47</v>
      </c>
      <c r="C12" s="20">
        <v>0.65533889691328306</v>
      </c>
      <c r="D12" s="20">
        <v>0.95700850873264676</v>
      </c>
    </row>
    <row r="13" spans="1:20">
      <c r="A13" s="15">
        <v>10403</v>
      </c>
      <c r="B13" s="15" t="s">
        <v>49</v>
      </c>
      <c r="C13" s="20">
        <v>0.50460606361582205</v>
      </c>
      <c r="D13" s="20">
        <v>1.0387961029923451</v>
      </c>
    </row>
    <row r="14" spans="1:20">
      <c r="A14" s="15">
        <v>10404</v>
      </c>
      <c r="B14" s="15" t="s">
        <v>50</v>
      </c>
      <c r="C14" s="20">
        <v>0.40478533094812158</v>
      </c>
      <c r="D14" s="20">
        <v>0.65543478260869559</v>
      </c>
    </row>
    <row r="15" spans="1:20">
      <c r="A15" s="15">
        <v>10405</v>
      </c>
      <c r="B15" s="15" t="s">
        <v>51</v>
      </c>
      <c r="C15" s="20">
        <v>0.62390051562026094</v>
      </c>
      <c r="D15" s="20">
        <v>0.69269293924466335</v>
      </c>
    </row>
    <row r="16" spans="1:20">
      <c r="A16" s="15">
        <v>10501</v>
      </c>
      <c r="B16" s="15" t="s">
        <v>52</v>
      </c>
      <c r="C16" s="20">
        <v>0.6120964982320064</v>
      </c>
      <c r="D16" s="20">
        <v>0.88019157491585442</v>
      </c>
    </row>
    <row r="17" spans="1:4">
      <c r="A17" s="15">
        <v>10502</v>
      </c>
      <c r="B17" s="15" t="s">
        <v>53</v>
      </c>
      <c r="C17" s="20">
        <v>0.58327727054300815</v>
      </c>
      <c r="D17" s="20">
        <v>0.94748792270531401</v>
      </c>
    </row>
    <row r="18" spans="1:4">
      <c r="A18" s="15">
        <v>10601</v>
      </c>
      <c r="B18" s="15" t="s">
        <v>54</v>
      </c>
      <c r="C18" s="20">
        <v>0.61009969657563934</v>
      </c>
      <c r="D18" s="20">
        <v>0.90753214941824878</v>
      </c>
    </row>
    <row r="19" spans="1:4">
      <c r="A19" s="15">
        <v>10602</v>
      </c>
      <c r="B19" s="15" t="s">
        <v>55</v>
      </c>
      <c r="C19" s="20">
        <v>0.41037668118508591</v>
      </c>
      <c r="D19" s="20">
        <v>0.59897959183673477</v>
      </c>
    </row>
    <row r="20" spans="1:4">
      <c r="A20" s="15">
        <v>10701</v>
      </c>
      <c r="B20" s="15" t="s">
        <v>56</v>
      </c>
      <c r="C20" s="20">
        <v>0.41629277733790798</v>
      </c>
      <c r="D20" s="20">
        <v>0.95778429852729496</v>
      </c>
    </row>
    <row r="21" spans="1:4">
      <c r="A21" s="15">
        <v>10702</v>
      </c>
      <c r="B21" s="15" t="s">
        <v>57</v>
      </c>
      <c r="C21" s="20">
        <v>0.58988610507315453</v>
      </c>
      <c r="D21" s="20">
        <v>0.71154003043154523</v>
      </c>
    </row>
    <row r="22" spans="1:4">
      <c r="A22" s="15">
        <v>10703</v>
      </c>
      <c r="B22" s="15" t="s">
        <v>58</v>
      </c>
      <c r="C22" s="20">
        <v>0.48640181241134395</v>
      </c>
      <c r="D22" s="20">
        <v>0.58276140242010543</v>
      </c>
    </row>
    <row r="23" spans="1:4">
      <c r="A23" s="15">
        <v>10704</v>
      </c>
      <c r="B23" s="15" t="s">
        <v>59</v>
      </c>
      <c r="C23" s="20">
        <v>0.41305614406779662</v>
      </c>
      <c r="D23" s="20">
        <v>0.79829631883176133</v>
      </c>
    </row>
    <row r="24" spans="1:4">
      <c r="A24" s="15">
        <v>10801</v>
      </c>
      <c r="B24" s="15" t="s">
        <v>60</v>
      </c>
      <c r="C24" s="20">
        <v>0.54413188728575579</v>
      </c>
      <c r="D24" s="20">
        <v>0.84931211454694433</v>
      </c>
    </row>
    <row r="25" spans="1:4">
      <c r="A25" s="15">
        <v>10901</v>
      </c>
      <c r="B25" s="15" t="s">
        <v>61</v>
      </c>
      <c r="C25" s="20">
        <v>0.4816864295125165</v>
      </c>
      <c r="D25" s="20">
        <v>0.9070568798678309</v>
      </c>
    </row>
    <row r="26" spans="1:4">
      <c r="A26" s="15">
        <v>10902</v>
      </c>
      <c r="B26" s="15" t="s">
        <v>62</v>
      </c>
      <c r="C26" s="20">
        <v>0.48455939482259441</v>
      </c>
      <c r="D26" s="20">
        <v>0.84389743589743593</v>
      </c>
    </row>
    <row r="27" spans="1:4">
      <c r="A27" s="15">
        <v>10903</v>
      </c>
      <c r="B27" s="15" t="s">
        <v>63</v>
      </c>
      <c r="C27" s="20">
        <v>0.30921052631578955</v>
      </c>
      <c r="D27" s="20">
        <v>0.85066764669851769</v>
      </c>
    </row>
    <row r="28" spans="1:4">
      <c r="A28" s="15">
        <v>11001</v>
      </c>
      <c r="B28" s="15" t="s">
        <v>64</v>
      </c>
      <c r="C28" s="20">
        <v>0.46748303408208747</v>
      </c>
      <c r="D28" s="20">
        <v>0.8820319740500463</v>
      </c>
    </row>
    <row r="29" spans="1:4">
      <c r="A29" s="15">
        <v>11002</v>
      </c>
      <c r="B29" s="15" t="s">
        <v>65</v>
      </c>
      <c r="C29" s="20">
        <v>0.3182787361891839</v>
      </c>
      <c r="D29" s="20">
        <v>0.85490246079306387</v>
      </c>
    </row>
    <row r="30" spans="1:4">
      <c r="A30" s="15">
        <v>11003</v>
      </c>
      <c r="B30" s="15" t="s">
        <v>66</v>
      </c>
      <c r="C30" s="20">
        <v>0.49459654784114021</v>
      </c>
      <c r="D30" s="20">
        <v>1.113015873015873</v>
      </c>
    </row>
    <row r="31" spans="1:4">
      <c r="A31" s="15">
        <v>20101</v>
      </c>
      <c r="B31" s="15" t="s">
        <v>67</v>
      </c>
      <c r="C31" s="20">
        <v>0.47746510068784487</v>
      </c>
      <c r="D31" s="20">
        <v>0.93264613600202229</v>
      </c>
    </row>
    <row r="32" spans="1:4">
      <c r="A32" s="15">
        <v>20102</v>
      </c>
      <c r="B32" s="15" t="s">
        <v>68</v>
      </c>
      <c r="C32" s="20">
        <v>0.43917747903883086</v>
      </c>
      <c r="D32" s="20">
        <v>0.84378109452736327</v>
      </c>
    </row>
    <row r="33" spans="1:4">
      <c r="A33" s="15">
        <v>20103</v>
      </c>
      <c r="B33" s="15" t="s">
        <v>69</v>
      </c>
      <c r="C33" s="20">
        <v>0.51035973444495908</v>
      </c>
      <c r="D33" s="20">
        <v>0.85041446604086923</v>
      </c>
    </row>
    <row r="34" spans="1:4">
      <c r="A34" s="15">
        <v>20104</v>
      </c>
      <c r="B34" s="15" t="s">
        <v>70</v>
      </c>
      <c r="C34" s="20">
        <v>0.46445084253279462</v>
      </c>
      <c r="D34" s="20">
        <v>0.92605747025636509</v>
      </c>
    </row>
    <row r="35" spans="1:4">
      <c r="A35" s="15">
        <v>20105</v>
      </c>
      <c r="B35" s="15" t="s">
        <v>71</v>
      </c>
      <c r="C35" s="20">
        <v>0.53028334067977079</v>
      </c>
      <c r="D35" s="20">
        <v>0.93697248896488095</v>
      </c>
    </row>
    <row r="36" spans="1:4">
      <c r="A36" s="15">
        <v>20201</v>
      </c>
      <c r="B36" s="15" t="s">
        <v>72</v>
      </c>
      <c r="C36" s="20">
        <v>0.55580482184946778</v>
      </c>
      <c r="D36" s="20">
        <v>0.95925914533069467</v>
      </c>
    </row>
    <row r="37" spans="1:4">
      <c r="A37" s="15">
        <v>20202</v>
      </c>
      <c r="B37" s="15" t="s">
        <v>73</v>
      </c>
      <c r="C37" s="20">
        <v>0.64855875831485588</v>
      </c>
      <c r="D37" s="20">
        <v>0.83385646213143805</v>
      </c>
    </row>
    <row r="38" spans="1:4">
      <c r="A38" s="15">
        <v>20203</v>
      </c>
      <c r="B38" s="15" t="s">
        <v>74</v>
      </c>
      <c r="C38" s="20">
        <v>0.91434097817076543</v>
      </c>
      <c r="D38" s="20">
        <v>1.0486600846262342</v>
      </c>
    </row>
    <row r="39" spans="1:4">
      <c r="A39" s="15">
        <v>20204</v>
      </c>
      <c r="B39" s="15" t="s">
        <v>75</v>
      </c>
      <c r="C39" s="20">
        <v>0.66135946111451327</v>
      </c>
      <c r="D39" s="20">
        <v>0.95458231954582318</v>
      </c>
    </row>
    <row r="40" spans="1:4">
      <c r="A40" s="15">
        <v>20205</v>
      </c>
      <c r="B40" s="15" t="s">
        <v>76</v>
      </c>
      <c r="C40" s="20">
        <v>0.38203011996936953</v>
      </c>
      <c r="D40" s="20">
        <v>0.97644141351518909</v>
      </c>
    </row>
    <row r="41" spans="1:4">
      <c r="A41" s="15">
        <v>20206</v>
      </c>
      <c r="B41" s="15" t="s">
        <v>77</v>
      </c>
      <c r="C41" s="20">
        <v>1.0524737631184407</v>
      </c>
      <c r="D41" s="20">
        <v>1.0311457174638488</v>
      </c>
    </row>
    <row r="42" spans="1:4">
      <c r="A42" s="15">
        <v>20301</v>
      </c>
      <c r="B42" s="15" t="s">
        <v>78</v>
      </c>
      <c r="C42" s="20">
        <v>0.56862331081081074</v>
      </c>
      <c r="D42" s="20">
        <v>0.88455463966595271</v>
      </c>
    </row>
    <row r="43" spans="1:4">
      <c r="A43" s="15">
        <v>20302</v>
      </c>
      <c r="B43" s="15" t="s">
        <v>79</v>
      </c>
      <c r="C43" s="20">
        <v>0.72640382317801666</v>
      </c>
      <c r="D43" s="20">
        <v>0.89486493064005845</v>
      </c>
    </row>
    <row r="44" spans="1:4">
      <c r="A44" s="15">
        <v>20303</v>
      </c>
      <c r="B44" s="15" t="s">
        <v>80</v>
      </c>
      <c r="C44" s="20">
        <v>0.66191860465116281</v>
      </c>
      <c r="D44" s="20">
        <v>0.87399180219489636</v>
      </c>
    </row>
    <row r="45" spans="1:4">
      <c r="A45" s="15">
        <v>20304</v>
      </c>
      <c r="B45" s="15" t="s">
        <v>81</v>
      </c>
      <c r="C45" s="20">
        <v>0.4036405295315682</v>
      </c>
      <c r="D45" s="20">
        <v>0.91074548631333729</v>
      </c>
    </row>
    <row r="46" spans="1:4">
      <c r="A46" s="15">
        <v>20305</v>
      </c>
      <c r="B46" s="15" t="s">
        <v>82</v>
      </c>
      <c r="C46" s="20">
        <v>0.56144067796610164</v>
      </c>
      <c r="D46" s="20">
        <v>0.96412776412776413</v>
      </c>
    </row>
    <row r="47" spans="1:4">
      <c r="A47" s="15">
        <v>20306</v>
      </c>
      <c r="B47" s="15" t="s">
        <v>83</v>
      </c>
      <c r="C47" s="20">
        <v>0.72401433691756256</v>
      </c>
      <c r="D47" s="20">
        <v>1.0059798652637952</v>
      </c>
    </row>
    <row r="48" spans="1:4">
      <c r="A48" s="15">
        <v>20307</v>
      </c>
      <c r="B48" s="15" t="s">
        <v>84</v>
      </c>
      <c r="C48" s="20">
        <v>0</v>
      </c>
      <c r="D48" s="20">
        <v>1.0343473994111874</v>
      </c>
    </row>
    <row r="49" spans="1:4">
      <c r="A49" s="15">
        <v>20308</v>
      </c>
      <c r="B49" s="15" t="s">
        <v>85</v>
      </c>
      <c r="C49" s="20">
        <v>0.47475487950151191</v>
      </c>
      <c r="D49" s="20">
        <v>0.85044067796610168</v>
      </c>
    </row>
    <row r="50" spans="1:4">
      <c r="A50" s="15">
        <v>20401</v>
      </c>
      <c r="B50" s="15" t="s">
        <v>86</v>
      </c>
      <c r="C50" s="20">
        <v>0.56296296296296289</v>
      </c>
      <c r="D50" s="20">
        <v>0.8239108024523899</v>
      </c>
    </row>
    <row r="51" spans="1:4">
      <c r="A51" s="15">
        <v>20402</v>
      </c>
      <c r="B51" s="15" t="s">
        <v>87</v>
      </c>
      <c r="C51" s="20">
        <v>0.67653159671972984</v>
      </c>
      <c r="D51" s="20">
        <v>0.78222963496455777</v>
      </c>
    </row>
    <row r="52" spans="1:4">
      <c r="A52" s="15">
        <v>20403</v>
      </c>
      <c r="B52" s="15" t="s">
        <v>88</v>
      </c>
      <c r="C52" s="20">
        <v>0.34965735098651846</v>
      </c>
      <c r="D52" s="20">
        <v>0.84426310339726829</v>
      </c>
    </row>
    <row r="53" spans="1:4">
      <c r="A53" s="15">
        <v>20404</v>
      </c>
      <c r="B53" s="15" t="s">
        <v>89</v>
      </c>
      <c r="C53" s="20">
        <v>0.38087563792640339</v>
      </c>
      <c r="D53" s="20">
        <v>0.79988946204863665</v>
      </c>
    </row>
    <row r="54" spans="1:4">
      <c r="A54" s="15">
        <v>20405</v>
      </c>
      <c r="B54" s="15" t="s">
        <v>90</v>
      </c>
      <c r="C54" s="20">
        <v>0.6878983050847457</v>
      </c>
      <c r="D54" s="20">
        <v>0.98630933161123668</v>
      </c>
    </row>
    <row r="55" spans="1:4">
      <c r="A55" s="15">
        <v>20501</v>
      </c>
      <c r="B55" s="15" t="s">
        <v>91</v>
      </c>
      <c r="C55" s="20">
        <v>0.44419889502762427</v>
      </c>
      <c r="D55" s="20">
        <v>0.85340535066250323</v>
      </c>
    </row>
    <row r="56" spans="1:4">
      <c r="A56" s="15">
        <v>20502</v>
      </c>
      <c r="B56" s="15" t="s">
        <v>92</v>
      </c>
      <c r="C56" s="20">
        <v>0.5793135435992578</v>
      </c>
      <c r="D56" s="20">
        <v>0.58412698412698416</v>
      </c>
    </row>
    <row r="57" spans="1:4">
      <c r="A57" s="15">
        <v>20503</v>
      </c>
      <c r="B57" s="15" t="s">
        <v>93</v>
      </c>
      <c r="C57" s="20">
        <v>0.55322862129144845</v>
      </c>
      <c r="D57" s="20">
        <v>0.82392197125256672</v>
      </c>
    </row>
    <row r="58" spans="1:4">
      <c r="A58" s="15">
        <v>20601</v>
      </c>
      <c r="B58" s="15" t="s">
        <v>94</v>
      </c>
      <c r="C58" s="20">
        <v>0.49437669187620348</v>
      </c>
      <c r="D58" s="20">
        <v>0.89919055065627551</v>
      </c>
    </row>
    <row r="59" spans="1:4">
      <c r="A59" s="15">
        <v>20602</v>
      </c>
      <c r="B59" s="15" t="s">
        <v>95</v>
      </c>
      <c r="C59" s="20">
        <v>0.3834169708029197</v>
      </c>
      <c r="D59" s="20">
        <v>0.83847393874261156</v>
      </c>
    </row>
    <row r="60" spans="1:4">
      <c r="A60" s="15">
        <v>20603</v>
      </c>
      <c r="B60" s="15" t="s">
        <v>96</v>
      </c>
      <c r="C60" s="20">
        <v>0.64133757564414506</v>
      </c>
      <c r="D60" s="20">
        <v>0.81106194690265487</v>
      </c>
    </row>
    <row r="61" spans="1:4">
      <c r="A61" s="15">
        <v>20604</v>
      </c>
      <c r="B61" s="15" t="s">
        <v>97</v>
      </c>
      <c r="C61" s="20">
        <v>0.56076134699853597</v>
      </c>
      <c r="D61" s="20">
        <v>0.64494163424124518</v>
      </c>
    </row>
    <row r="62" spans="1:4">
      <c r="A62" s="15">
        <v>20605</v>
      </c>
      <c r="B62" s="15" t="s">
        <v>98</v>
      </c>
      <c r="C62" s="20">
        <v>0</v>
      </c>
      <c r="D62" s="20">
        <v>0.27352941176470591</v>
      </c>
    </row>
    <row r="63" spans="1:4">
      <c r="A63" s="15">
        <v>20606</v>
      </c>
      <c r="B63" s="15" t="s">
        <v>99</v>
      </c>
      <c r="C63" s="20">
        <v>0.533651916128833</v>
      </c>
      <c r="D63" s="20">
        <v>0.79466362599771956</v>
      </c>
    </row>
    <row r="64" spans="1:4">
      <c r="A64" s="15">
        <v>20607</v>
      </c>
      <c r="B64" s="15" t="s">
        <v>100</v>
      </c>
      <c r="C64" s="20">
        <v>0.53490307725815989</v>
      </c>
      <c r="D64" s="20">
        <v>0.75107301587301578</v>
      </c>
    </row>
    <row r="65" spans="1:4">
      <c r="A65" s="15">
        <v>20608</v>
      </c>
      <c r="B65" s="15" t="s">
        <v>101</v>
      </c>
      <c r="C65" s="20">
        <v>0.65502262443438908</v>
      </c>
      <c r="D65" s="20">
        <v>0.80338321405335067</v>
      </c>
    </row>
    <row r="66" spans="1:4">
      <c r="A66" s="15">
        <v>20701</v>
      </c>
      <c r="B66" s="15" t="s">
        <v>102</v>
      </c>
      <c r="C66" s="20">
        <v>0.5093726865108742</v>
      </c>
      <c r="D66" s="20">
        <v>0.82403891138042884</v>
      </c>
    </row>
    <row r="67" spans="1:4">
      <c r="A67" s="15">
        <v>20702</v>
      </c>
      <c r="B67" s="15" t="s">
        <v>103</v>
      </c>
      <c r="C67" s="20">
        <v>0.43014048531289911</v>
      </c>
      <c r="D67" s="20">
        <v>0.86796181357677638</v>
      </c>
    </row>
    <row r="68" spans="1:4">
      <c r="A68" s="15">
        <v>20801</v>
      </c>
      <c r="B68" s="15" t="s">
        <v>104</v>
      </c>
      <c r="C68" s="20">
        <v>0.54530424934496502</v>
      </c>
      <c r="D68" s="20">
        <v>0.93946260181613972</v>
      </c>
    </row>
    <row r="69" spans="1:4">
      <c r="A69" s="15">
        <v>20802</v>
      </c>
      <c r="B69" s="15" t="s">
        <v>105</v>
      </c>
      <c r="C69" s="20">
        <v>0.703125</v>
      </c>
      <c r="D69" s="20">
        <v>0.81661631419939573</v>
      </c>
    </row>
    <row r="70" spans="1:4">
      <c r="A70" s="15">
        <v>20803</v>
      </c>
      <c r="B70" s="15" t="s">
        <v>106</v>
      </c>
      <c r="C70" s="20">
        <v>0.34950485914626644</v>
      </c>
      <c r="D70" s="20">
        <v>0.96837019702574156</v>
      </c>
    </row>
    <row r="71" spans="1:4">
      <c r="A71" s="15">
        <v>20804</v>
      </c>
      <c r="B71" s="15" t="s">
        <v>107</v>
      </c>
      <c r="C71" s="20">
        <v>0.40527018012008009</v>
      </c>
      <c r="D71" s="20">
        <v>0.93348702185792343</v>
      </c>
    </row>
    <row r="72" spans="1:4">
      <c r="A72" s="15">
        <v>20805</v>
      </c>
      <c r="B72" s="15" t="s">
        <v>108</v>
      </c>
      <c r="C72" s="20">
        <v>0.55970790378006874</v>
      </c>
      <c r="D72" s="20">
        <v>0.96911847276810792</v>
      </c>
    </row>
    <row r="73" spans="1:4">
      <c r="A73" s="15">
        <v>20806</v>
      </c>
      <c r="B73" s="15" t="s">
        <v>109</v>
      </c>
      <c r="C73" s="20">
        <v>0.52247114112332904</v>
      </c>
      <c r="D73" s="20">
        <v>0.86909930715935335</v>
      </c>
    </row>
    <row r="74" spans="1:4">
      <c r="A74" s="15">
        <v>20807</v>
      </c>
      <c r="B74" s="15" t="s">
        <v>110</v>
      </c>
      <c r="C74" s="20">
        <v>0.72560975609756084</v>
      </c>
      <c r="D74" s="20">
        <v>1.0284090909090908</v>
      </c>
    </row>
    <row r="75" spans="1:4">
      <c r="A75" s="15">
        <v>20901</v>
      </c>
      <c r="B75" s="15" t="s">
        <v>111</v>
      </c>
      <c r="C75" s="20">
        <v>0.62009914375844977</v>
      </c>
      <c r="D75" s="20">
        <v>0.71802957807742485</v>
      </c>
    </row>
    <row r="76" spans="1:4">
      <c r="A76" s="15">
        <v>20902</v>
      </c>
      <c r="B76" s="15" t="s">
        <v>112</v>
      </c>
      <c r="C76" s="20">
        <v>0.45543878804421994</v>
      </c>
      <c r="D76" s="20">
        <v>0.86893521055515743</v>
      </c>
    </row>
    <row r="77" spans="1:4">
      <c r="A77" s="15">
        <v>20903</v>
      </c>
      <c r="B77" s="15" t="s">
        <v>113</v>
      </c>
      <c r="C77" s="20">
        <v>0.36903535873669746</v>
      </c>
      <c r="D77" s="20">
        <v>0.80162472892499415</v>
      </c>
    </row>
    <row r="78" spans="1:4">
      <c r="A78" s="15">
        <v>20904</v>
      </c>
      <c r="B78" s="15" t="s">
        <v>114</v>
      </c>
      <c r="C78" s="20">
        <v>0.55681818181818177</v>
      </c>
      <c r="D78" s="20">
        <v>0.73831514133781129</v>
      </c>
    </row>
    <row r="79" spans="1:4">
      <c r="A79" s="15">
        <v>20905</v>
      </c>
      <c r="B79" s="15" t="s">
        <v>115</v>
      </c>
      <c r="C79" s="20">
        <v>0.38518672414688615</v>
      </c>
      <c r="D79" s="20">
        <v>0.69947104677060135</v>
      </c>
    </row>
    <row r="80" spans="1:4">
      <c r="A80" s="15">
        <v>21001</v>
      </c>
      <c r="B80" s="15" t="s">
        <v>116</v>
      </c>
      <c r="C80" s="20">
        <v>0.3373447204968944</v>
      </c>
      <c r="D80" s="20">
        <v>0.72294448941049516</v>
      </c>
    </row>
    <row r="81" spans="1:4">
      <c r="A81" s="15">
        <v>21002</v>
      </c>
      <c r="B81" s="15" t="s">
        <v>117</v>
      </c>
      <c r="C81" s="20">
        <v>0.69523448363038809</v>
      </c>
      <c r="D81" s="20">
        <v>0.80681365793905979</v>
      </c>
    </row>
    <row r="82" spans="1:4">
      <c r="A82" s="15">
        <v>21003</v>
      </c>
      <c r="B82" s="15" t="s">
        <v>118</v>
      </c>
      <c r="C82" s="20">
        <v>0.33229444098146993</v>
      </c>
      <c r="D82" s="20">
        <v>0.78457984406583881</v>
      </c>
    </row>
    <row r="83" spans="1:4">
      <c r="A83" s="15">
        <v>21004</v>
      </c>
      <c r="B83" s="15" t="s">
        <v>119</v>
      </c>
      <c r="C83" s="20">
        <v>0.61306904776255633</v>
      </c>
      <c r="D83" s="20">
        <v>0.92780671330877729</v>
      </c>
    </row>
    <row r="84" spans="1:4">
      <c r="A84" s="15">
        <v>21005</v>
      </c>
      <c r="B84" s="15" t="s">
        <v>120</v>
      </c>
      <c r="C84" s="20">
        <v>0.33394625176803394</v>
      </c>
      <c r="D84" s="20">
        <v>0.96882494004796171</v>
      </c>
    </row>
    <row r="85" spans="1:4">
      <c r="A85" s="15">
        <v>21006</v>
      </c>
      <c r="B85" s="15" t="s">
        <v>121</v>
      </c>
      <c r="C85" s="20">
        <v>0.21605206073752711</v>
      </c>
      <c r="D85" s="20">
        <v>0.97172784575454196</v>
      </c>
    </row>
    <row r="86" spans="1:4">
      <c r="A86" s="15">
        <v>21101</v>
      </c>
      <c r="B86" s="15" t="s">
        <v>122</v>
      </c>
      <c r="C86" s="20">
        <v>0.45849689120655562</v>
      </c>
      <c r="D86" s="20">
        <v>0.76563574606650109</v>
      </c>
    </row>
    <row r="87" spans="1:4">
      <c r="A87" s="15">
        <v>21102</v>
      </c>
      <c r="B87" s="15" t="s">
        <v>123</v>
      </c>
      <c r="C87" s="20">
        <v>0.44306762050757958</v>
      </c>
      <c r="D87" s="20">
        <v>0.79938880126182954</v>
      </c>
    </row>
    <row r="88" spans="1:4">
      <c r="A88" s="15">
        <v>21103</v>
      </c>
      <c r="B88" s="15" t="s">
        <v>124</v>
      </c>
      <c r="C88" s="20">
        <v>0.49785065094571351</v>
      </c>
      <c r="D88" s="20">
        <v>0.87793952967525202</v>
      </c>
    </row>
    <row r="89" spans="1:4">
      <c r="A89" s="15">
        <v>21104</v>
      </c>
      <c r="B89" s="15" t="s">
        <v>125</v>
      </c>
      <c r="C89" s="20">
        <v>0.54244842644180091</v>
      </c>
      <c r="D89" s="20">
        <v>0.84804903925498065</v>
      </c>
    </row>
    <row r="90" spans="1:4">
      <c r="A90" s="15">
        <v>21105</v>
      </c>
      <c r="B90" s="15" t="s">
        <v>126</v>
      </c>
      <c r="C90" s="20">
        <v>0.47980939254558175</v>
      </c>
      <c r="D90" s="20">
        <v>0.75339268287825367</v>
      </c>
    </row>
    <row r="91" spans="1:4">
      <c r="A91" s="15">
        <v>21201</v>
      </c>
      <c r="B91" s="15" t="s">
        <v>127</v>
      </c>
      <c r="C91" s="20">
        <v>0.67733039851424792</v>
      </c>
      <c r="D91" s="20">
        <v>0.81637964646132188</v>
      </c>
    </row>
    <row r="92" spans="1:4">
      <c r="A92" s="15">
        <v>21202</v>
      </c>
      <c r="B92" s="15" t="s">
        <v>128</v>
      </c>
      <c r="C92" s="20">
        <v>0.46156515703626588</v>
      </c>
      <c r="D92" s="20">
        <v>0.95473489082644003</v>
      </c>
    </row>
    <row r="93" spans="1:4">
      <c r="A93" s="15">
        <v>21203</v>
      </c>
      <c r="B93" s="15" t="s">
        <v>129</v>
      </c>
      <c r="C93" s="20">
        <v>0.5466540999057492</v>
      </c>
      <c r="D93" s="20">
        <v>0.95651296168846067</v>
      </c>
    </row>
    <row r="94" spans="1:4">
      <c r="A94" s="15">
        <v>21204</v>
      </c>
      <c r="B94" s="15" t="s">
        <v>130</v>
      </c>
      <c r="C94" s="20">
        <v>0.48898521887436036</v>
      </c>
      <c r="D94" s="20">
        <v>0.94849277357192019</v>
      </c>
    </row>
    <row r="95" spans="1:4">
      <c r="A95" s="15">
        <v>21301</v>
      </c>
      <c r="B95" s="15" t="s">
        <v>131</v>
      </c>
      <c r="C95" s="20">
        <v>0.5557071960297767</v>
      </c>
      <c r="D95" s="20">
        <v>0.86128332501086247</v>
      </c>
    </row>
    <row r="96" spans="1:4">
      <c r="A96" s="15">
        <v>21302</v>
      </c>
      <c r="B96" s="15" t="s">
        <v>132</v>
      </c>
      <c r="C96" s="20">
        <v>0.42103646971694875</v>
      </c>
      <c r="D96" s="20">
        <v>0.88416480941768083</v>
      </c>
    </row>
    <row r="97" spans="1:4">
      <c r="A97" s="15">
        <v>21303</v>
      </c>
      <c r="B97" s="15" t="s">
        <v>133</v>
      </c>
      <c r="C97" s="20">
        <v>0.56279558591697332</v>
      </c>
      <c r="D97" s="20">
        <v>0.81128772995177711</v>
      </c>
    </row>
    <row r="98" spans="1:4">
      <c r="A98" s="15">
        <v>21304</v>
      </c>
      <c r="B98" s="15" t="s">
        <v>134</v>
      </c>
      <c r="C98" s="20">
        <v>0.57583713047064378</v>
      </c>
      <c r="D98" s="20">
        <v>0.88971497855107429</v>
      </c>
    </row>
    <row r="99" spans="1:4">
      <c r="A99" s="15">
        <v>21305</v>
      </c>
      <c r="B99" s="15" t="s">
        <v>135</v>
      </c>
      <c r="C99" s="20">
        <v>0.56847065543338571</v>
      </c>
      <c r="D99" s="20">
        <v>0.92405612244897961</v>
      </c>
    </row>
    <row r="100" spans="1:4">
      <c r="A100" s="15">
        <v>21306</v>
      </c>
      <c r="B100" s="15" t="s">
        <v>136</v>
      </c>
      <c r="C100" s="20">
        <v>0.45232132177033496</v>
      </c>
      <c r="D100" s="20">
        <v>1.0086463501063074</v>
      </c>
    </row>
    <row r="101" spans="1:4">
      <c r="A101" s="15">
        <v>21307</v>
      </c>
      <c r="B101" s="15" t="s">
        <v>137</v>
      </c>
      <c r="C101" s="20">
        <v>0.29493711192485267</v>
      </c>
      <c r="D101" s="20">
        <v>0.69516728624535307</v>
      </c>
    </row>
    <row r="102" spans="1:4">
      <c r="A102" s="15">
        <v>21401</v>
      </c>
      <c r="B102" s="15" t="s">
        <v>138</v>
      </c>
      <c r="C102" s="20">
        <v>0.5252941176470588</v>
      </c>
      <c r="D102" s="20">
        <v>0.94316533720087037</v>
      </c>
    </row>
    <row r="103" spans="1:4">
      <c r="A103" s="15">
        <v>21402</v>
      </c>
      <c r="B103" s="15" t="s">
        <v>139</v>
      </c>
      <c r="C103" s="20">
        <v>0.46115689255140413</v>
      </c>
      <c r="D103" s="20">
        <v>0.80999453221675444</v>
      </c>
    </row>
    <row r="104" spans="1:4">
      <c r="A104" s="15">
        <v>21501</v>
      </c>
      <c r="B104" s="15" t="s">
        <v>140</v>
      </c>
      <c r="C104" s="20">
        <v>0.4710258156710338</v>
      </c>
      <c r="D104" s="20">
        <v>0.99317160168083662</v>
      </c>
    </row>
    <row r="105" spans="1:4">
      <c r="A105" s="15">
        <v>21502</v>
      </c>
      <c r="B105" s="15" t="s">
        <v>141</v>
      </c>
      <c r="C105" s="20">
        <v>0.45987206823027726</v>
      </c>
      <c r="D105" s="20">
        <v>0.87770953757225434</v>
      </c>
    </row>
    <row r="106" spans="1:4">
      <c r="A106" s="15">
        <v>21601</v>
      </c>
      <c r="B106" s="15" t="s">
        <v>142</v>
      </c>
      <c r="C106" s="20">
        <v>0.58295001533272006</v>
      </c>
      <c r="D106" s="20">
        <v>0.88356549691936781</v>
      </c>
    </row>
    <row r="107" spans="1:4">
      <c r="A107" s="15">
        <v>21602</v>
      </c>
      <c r="B107" s="15" t="s">
        <v>143</v>
      </c>
      <c r="C107" s="20">
        <v>0.171875</v>
      </c>
      <c r="D107" s="20">
        <v>0.41123882503192849</v>
      </c>
    </row>
    <row r="108" spans="1:4">
      <c r="A108" s="15">
        <v>21701</v>
      </c>
      <c r="B108" s="15" t="s">
        <v>144</v>
      </c>
      <c r="C108" s="20">
        <v>0.52857580867698917</v>
      </c>
      <c r="D108" s="20">
        <v>0.99779285099052528</v>
      </c>
    </row>
    <row r="109" spans="1:4">
      <c r="A109" s="15">
        <v>21702</v>
      </c>
      <c r="B109" s="15" t="s">
        <v>145</v>
      </c>
      <c r="C109" s="20">
        <v>0.79411313812662887</v>
      </c>
      <c r="D109" s="20">
        <v>1.0335980452046427</v>
      </c>
    </row>
    <row r="110" spans="1:4">
      <c r="A110" s="15">
        <v>21703</v>
      </c>
      <c r="B110" s="15" t="s">
        <v>146</v>
      </c>
      <c r="C110" s="20">
        <v>1.0661654135338348</v>
      </c>
      <c r="D110" s="20">
        <v>1.0868085106382979</v>
      </c>
    </row>
    <row r="111" spans="1:4">
      <c r="A111" s="15">
        <v>21801</v>
      </c>
      <c r="B111" s="15" t="s">
        <v>147</v>
      </c>
      <c r="C111" s="20">
        <v>0.32626367899947889</v>
      </c>
      <c r="D111" s="20">
        <v>0.76490438695163099</v>
      </c>
    </row>
    <row r="112" spans="1:4">
      <c r="A112" s="15">
        <v>21802</v>
      </c>
      <c r="B112" s="15" t="s">
        <v>148</v>
      </c>
      <c r="C112" s="20">
        <v>0.56505190311418685</v>
      </c>
      <c r="D112" s="20">
        <v>0.6901660280970624</v>
      </c>
    </row>
    <row r="113" spans="1:4">
      <c r="A113" s="15">
        <v>21803</v>
      </c>
      <c r="B113" s="15" t="s">
        <v>149</v>
      </c>
      <c r="C113" s="20">
        <v>0.40959119496855345</v>
      </c>
      <c r="D113" s="20">
        <v>1.0463576158940397</v>
      </c>
    </row>
    <row r="114" spans="1:4">
      <c r="A114" s="15">
        <v>21901</v>
      </c>
      <c r="B114" s="15" t="s">
        <v>150</v>
      </c>
      <c r="C114" s="20">
        <v>0.44873949579831934</v>
      </c>
      <c r="D114" s="20">
        <v>1.0444444444444445</v>
      </c>
    </row>
    <row r="115" spans="1:4">
      <c r="A115" s="15">
        <v>21902</v>
      </c>
      <c r="B115" s="15" t="s">
        <v>151</v>
      </c>
      <c r="C115" s="20">
        <v>1.0844504021447721</v>
      </c>
      <c r="D115" s="20">
        <v>0.68585260892953204</v>
      </c>
    </row>
    <row r="116" spans="1:4">
      <c r="A116" s="15">
        <v>22001</v>
      </c>
      <c r="B116" s="15" t="s">
        <v>152</v>
      </c>
      <c r="C116" s="20">
        <v>0.58727160589006244</v>
      </c>
      <c r="D116" s="20">
        <v>0.84134891172928694</v>
      </c>
    </row>
    <row r="117" spans="1:4">
      <c r="A117" s="15">
        <v>22002</v>
      </c>
      <c r="B117" s="15" t="s">
        <v>153</v>
      </c>
      <c r="C117" s="20">
        <v>0.47553845137420725</v>
      </c>
      <c r="D117" s="20">
        <v>0.87313432835820892</v>
      </c>
    </row>
    <row r="118" spans="1:4">
      <c r="A118" s="15">
        <v>30101</v>
      </c>
      <c r="B118" s="15" t="s">
        <v>31</v>
      </c>
      <c r="C118" s="20">
        <v>0.48980367716148837</v>
      </c>
      <c r="D118" s="20">
        <v>0.93062725358016207</v>
      </c>
    </row>
    <row r="119" spans="1:4">
      <c r="A119" s="15">
        <v>30201</v>
      </c>
      <c r="B119" s="15" t="s">
        <v>154</v>
      </c>
      <c r="C119" s="20">
        <v>0.53702639505389982</v>
      </c>
      <c r="D119" s="20">
        <v>0.83914544224395937</v>
      </c>
    </row>
    <row r="120" spans="1:4">
      <c r="A120" s="15">
        <v>30202</v>
      </c>
      <c r="B120" s="15" t="s">
        <v>155</v>
      </c>
      <c r="C120" s="20">
        <v>0</v>
      </c>
      <c r="D120" s="20">
        <v>0.9350194552529183</v>
      </c>
    </row>
    <row r="121" spans="1:4">
      <c r="A121" s="15">
        <v>30203</v>
      </c>
      <c r="B121" s="15" t="s">
        <v>156</v>
      </c>
      <c r="C121" s="20">
        <v>0.49552261849621732</v>
      </c>
      <c r="D121" s="20">
        <v>0.86442718021665388</v>
      </c>
    </row>
    <row r="122" spans="1:4">
      <c r="A122" s="15">
        <v>30301</v>
      </c>
      <c r="B122" s="15" t="s">
        <v>157</v>
      </c>
      <c r="C122" s="20">
        <v>0.39293196603815189</v>
      </c>
      <c r="D122" s="20">
        <v>0.84237582063669025</v>
      </c>
    </row>
    <row r="123" spans="1:4">
      <c r="A123" s="15">
        <v>30302</v>
      </c>
      <c r="B123" s="15" t="s">
        <v>158</v>
      </c>
      <c r="C123" s="20">
        <v>0.17785502889087237</v>
      </c>
      <c r="D123" s="20">
        <v>1.0366019268217688</v>
      </c>
    </row>
    <row r="124" spans="1:4">
      <c r="A124" s="15">
        <v>30303</v>
      </c>
      <c r="B124" s="15" t="s">
        <v>159</v>
      </c>
      <c r="C124" s="20">
        <v>0.63842058562555459</v>
      </c>
      <c r="D124" s="20">
        <v>0.84274753774429589</v>
      </c>
    </row>
    <row r="125" spans="1:4">
      <c r="A125" s="15">
        <v>30401</v>
      </c>
      <c r="B125" s="15" t="s">
        <v>160</v>
      </c>
      <c r="C125" s="20">
        <v>0.64590459045904591</v>
      </c>
      <c r="D125" s="20">
        <v>0.86406747891283986</v>
      </c>
    </row>
    <row r="126" spans="1:4">
      <c r="A126" s="15">
        <v>30402</v>
      </c>
      <c r="B126" s="15" t="s">
        <v>161</v>
      </c>
      <c r="C126" s="20">
        <v>0.59744779582366592</v>
      </c>
      <c r="D126" s="20">
        <v>0.65374897006316945</v>
      </c>
    </row>
    <row r="127" spans="1:4">
      <c r="A127" s="15">
        <v>30403</v>
      </c>
      <c r="B127" s="15" t="s">
        <v>162</v>
      </c>
      <c r="C127" s="20">
        <v>0.42141007908642769</v>
      </c>
      <c r="D127" s="20">
        <v>0.87487018387136561</v>
      </c>
    </row>
    <row r="128" spans="1:4">
      <c r="A128" s="15">
        <v>30404</v>
      </c>
      <c r="B128" s="15" t="s">
        <v>163</v>
      </c>
      <c r="C128" s="20">
        <v>0.68927335640138399</v>
      </c>
      <c r="D128" s="20">
        <v>0.87753623188405794</v>
      </c>
    </row>
    <row r="129" spans="1:4">
      <c r="A129" s="15">
        <v>30501</v>
      </c>
      <c r="B129" s="15" t="s">
        <v>164</v>
      </c>
      <c r="C129" s="20">
        <v>0.58182392586352139</v>
      </c>
      <c r="D129" s="20">
        <v>0.94449423433112267</v>
      </c>
    </row>
    <row r="130" spans="1:4">
      <c r="A130" s="15">
        <v>30502</v>
      </c>
      <c r="B130" s="15" t="s">
        <v>165</v>
      </c>
      <c r="C130" s="20">
        <v>0.45567412805830293</v>
      </c>
      <c r="D130" s="20">
        <v>0.97767857142857151</v>
      </c>
    </row>
    <row r="131" spans="1:4">
      <c r="A131" s="15">
        <v>30601</v>
      </c>
      <c r="B131" s="15" t="s">
        <v>166</v>
      </c>
      <c r="C131" s="20">
        <v>0.54369810517351502</v>
      </c>
      <c r="D131" s="20">
        <v>0.92338521140872354</v>
      </c>
    </row>
    <row r="132" spans="1:4">
      <c r="A132" s="15">
        <v>30602</v>
      </c>
      <c r="B132" s="15" t="s">
        <v>167</v>
      </c>
      <c r="C132" s="20">
        <v>0.65060950907818671</v>
      </c>
      <c r="D132" s="20">
        <v>0.91760663948506727</v>
      </c>
    </row>
    <row r="133" spans="1:4">
      <c r="A133" s="15">
        <v>30701</v>
      </c>
      <c r="B133" s="15" t="s">
        <v>168</v>
      </c>
      <c r="C133" s="20">
        <v>0.5949724521422991</v>
      </c>
      <c r="D133" s="20">
        <v>0.93237368918082586</v>
      </c>
    </row>
    <row r="134" spans="1:4">
      <c r="A134" s="15">
        <v>30702</v>
      </c>
      <c r="B134" s="15" t="s">
        <v>169</v>
      </c>
      <c r="C134" s="20">
        <v>0.24208566108007448</v>
      </c>
      <c r="D134" s="20">
        <v>0.90239251040221902</v>
      </c>
    </row>
    <row r="135" spans="1:4">
      <c r="A135" s="15">
        <v>30703</v>
      </c>
      <c r="B135" s="15" t="s">
        <v>170</v>
      </c>
      <c r="C135" s="20">
        <v>0.50473036896877954</v>
      </c>
      <c r="D135" s="20">
        <v>0.68022947925860544</v>
      </c>
    </row>
    <row r="136" spans="1:4">
      <c r="A136" s="15">
        <v>30801</v>
      </c>
      <c r="B136" s="15" t="s">
        <v>171</v>
      </c>
      <c r="C136" s="20">
        <v>0.53091224884537946</v>
      </c>
      <c r="D136" s="20">
        <v>0.9297527833568896</v>
      </c>
    </row>
    <row r="137" spans="1:4">
      <c r="A137" s="15">
        <v>30802</v>
      </c>
      <c r="B137" s="15" t="s">
        <v>172</v>
      </c>
      <c r="C137" s="20">
        <v>0.65220938137321549</v>
      </c>
      <c r="D137" s="20">
        <v>1.0504648074369192</v>
      </c>
    </row>
    <row r="138" spans="1:4">
      <c r="A138" s="15">
        <v>30803</v>
      </c>
      <c r="B138" s="15" t="s">
        <v>173</v>
      </c>
      <c r="C138" s="20">
        <v>0.45505551618237655</v>
      </c>
      <c r="D138" s="20">
        <v>0.93097245341781654</v>
      </c>
    </row>
    <row r="139" spans="1:4">
      <c r="A139" s="15">
        <v>30901</v>
      </c>
      <c r="B139" s="15" t="s">
        <v>174</v>
      </c>
      <c r="C139" s="20">
        <v>0.51549619834710736</v>
      </c>
      <c r="D139" s="20">
        <v>0.92981255941249741</v>
      </c>
    </row>
    <row r="140" spans="1:4">
      <c r="A140" s="15">
        <v>30902</v>
      </c>
      <c r="B140" s="15" t="s">
        <v>175</v>
      </c>
      <c r="C140" s="20">
        <v>0.48426092526824494</v>
      </c>
      <c r="D140" s="20">
        <v>0.87958474867371483</v>
      </c>
    </row>
    <row r="141" spans="1:4">
      <c r="A141" s="15">
        <v>30903</v>
      </c>
      <c r="B141" s="15" t="s">
        <v>176</v>
      </c>
      <c r="C141" s="20">
        <v>0.48173916248230653</v>
      </c>
      <c r="D141" s="20">
        <v>0.95469788320204196</v>
      </c>
    </row>
    <row r="142" spans="1:4">
      <c r="A142" s="15">
        <v>30904</v>
      </c>
      <c r="B142" s="15" t="s">
        <v>177</v>
      </c>
      <c r="C142" s="20">
        <v>0.45397480977098104</v>
      </c>
      <c r="D142" s="20">
        <v>0.85525323091381789</v>
      </c>
    </row>
    <row r="143" spans="1:4">
      <c r="A143" s="15">
        <v>30905</v>
      </c>
      <c r="B143" s="15" t="s">
        <v>178</v>
      </c>
      <c r="C143" s="20">
        <v>0.44926410045286125</v>
      </c>
      <c r="D143" s="20">
        <v>0.87038977205160095</v>
      </c>
    </row>
    <row r="144" spans="1:4">
      <c r="A144" s="15">
        <v>31001</v>
      </c>
      <c r="B144" s="15" t="s">
        <v>179</v>
      </c>
      <c r="C144" s="20">
        <v>0.48509009879319559</v>
      </c>
      <c r="D144" s="20">
        <v>0.91489319044304407</v>
      </c>
    </row>
    <row r="145" spans="1:4">
      <c r="A145" s="15">
        <v>31002</v>
      </c>
      <c r="B145" s="15" t="s">
        <v>180</v>
      </c>
      <c r="C145" s="20">
        <v>0.59559457646607905</v>
      </c>
      <c r="D145" s="20">
        <v>0.88516740796376059</v>
      </c>
    </row>
    <row r="146" spans="1:4">
      <c r="A146" s="15">
        <v>31003</v>
      </c>
      <c r="B146" s="15" t="s">
        <v>181</v>
      </c>
      <c r="C146" s="20">
        <v>0.6877099236641222</v>
      </c>
      <c r="D146" s="20">
        <v>0.81792512088941316</v>
      </c>
    </row>
    <row r="147" spans="1:4">
      <c r="A147" s="15">
        <v>31101</v>
      </c>
      <c r="B147" s="15" t="s">
        <v>182</v>
      </c>
      <c r="C147" s="20">
        <v>0.76573766149680678</v>
      </c>
      <c r="D147" s="20">
        <v>0.8682412517333723</v>
      </c>
    </row>
    <row r="148" spans="1:4">
      <c r="A148" s="15">
        <v>31201</v>
      </c>
      <c r="B148" s="15" t="s">
        <v>183</v>
      </c>
      <c r="C148" s="20">
        <v>0.65517718715393136</v>
      </c>
      <c r="D148" s="20">
        <v>0.57589025102159952</v>
      </c>
    </row>
    <row r="149" spans="1:4">
      <c r="A149" s="15">
        <v>31202</v>
      </c>
      <c r="B149" s="15" t="s">
        <v>184</v>
      </c>
      <c r="C149" s="20">
        <v>0.49222873900293251</v>
      </c>
      <c r="D149" s="20">
        <v>0.84782930074409912</v>
      </c>
    </row>
    <row r="150" spans="1:4">
      <c r="A150" s="15">
        <v>31203</v>
      </c>
      <c r="B150" s="15" t="s">
        <v>185</v>
      </c>
      <c r="C150" s="20">
        <v>0.45761973875181433</v>
      </c>
      <c r="D150" s="20">
        <v>0.68151447661469933</v>
      </c>
    </row>
    <row r="151" spans="1:4">
      <c r="A151" s="15">
        <v>31204</v>
      </c>
      <c r="B151" s="15" t="s">
        <v>186</v>
      </c>
      <c r="C151" s="20">
        <v>0.48357132508009076</v>
      </c>
      <c r="D151" s="20">
        <v>0.82037510732684593</v>
      </c>
    </row>
    <row r="152" spans="1:4">
      <c r="A152" s="15">
        <v>31205</v>
      </c>
      <c r="B152" s="15" t="s">
        <v>187</v>
      </c>
      <c r="C152" s="20">
        <v>0.53327414146451224</v>
      </c>
      <c r="D152" s="20">
        <v>0.79725110292400092</v>
      </c>
    </row>
    <row r="153" spans="1:4">
      <c r="A153" s="15">
        <v>31206</v>
      </c>
      <c r="B153" s="15" t="s">
        <v>188</v>
      </c>
      <c r="C153" s="20">
        <v>0.66419360216885459</v>
      </c>
      <c r="D153" s="20">
        <v>0.81094737546586571</v>
      </c>
    </row>
    <row r="154" spans="1:4">
      <c r="A154" s="15">
        <v>31301</v>
      </c>
      <c r="B154" s="15" t="s">
        <v>189</v>
      </c>
      <c r="C154" s="20">
        <v>0.59839778131146804</v>
      </c>
      <c r="D154" s="20">
        <v>0.83556052558009497</v>
      </c>
    </row>
    <row r="155" spans="1:4">
      <c r="A155" s="15">
        <v>31302</v>
      </c>
      <c r="B155" s="15" t="s">
        <v>190</v>
      </c>
      <c r="C155" s="20">
        <v>0.28464240102171134</v>
      </c>
      <c r="D155" s="20">
        <v>0.73602299762093581</v>
      </c>
    </row>
    <row r="156" spans="1:4">
      <c r="A156" s="15">
        <v>31303</v>
      </c>
      <c r="B156" s="15" t="s">
        <v>191</v>
      </c>
      <c r="C156" s="20">
        <v>0.49298780487804877</v>
      </c>
      <c r="D156" s="20">
        <v>0.3266917293233082</v>
      </c>
    </row>
    <row r="157" spans="1:4">
      <c r="A157" s="15">
        <v>31304</v>
      </c>
      <c r="B157" s="15" t="s">
        <v>192</v>
      </c>
      <c r="C157" s="20">
        <v>0.59839778131146804</v>
      </c>
      <c r="D157" s="20">
        <v>0.92349229462443883</v>
      </c>
    </row>
    <row r="158" spans="1:4">
      <c r="A158" s="15">
        <v>31401</v>
      </c>
      <c r="B158" s="15" t="s">
        <v>193</v>
      </c>
      <c r="C158" s="20">
        <v>0.50214378569495077</v>
      </c>
      <c r="D158" s="20">
        <v>0.929881349525288</v>
      </c>
    </row>
    <row r="159" spans="1:4">
      <c r="A159" s="15">
        <v>31402</v>
      </c>
      <c r="B159" s="15" t="s">
        <v>194</v>
      </c>
      <c r="C159" s="20">
        <v>0.5480577689243028</v>
      </c>
      <c r="D159" s="20">
        <v>0.94868228536334254</v>
      </c>
    </row>
    <row r="160" spans="1:4">
      <c r="A160" s="15">
        <v>31403</v>
      </c>
      <c r="B160" s="15" t="s">
        <v>195</v>
      </c>
      <c r="C160" s="20">
        <v>0.41231817719458858</v>
      </c>
      <c r="D160" s="20">
        <v>0.92386131883072742</v>
      </c>
    </row>
    <row r="161" spans="1:4">
      <c r="A161" s="15">
        <v>31404</v>
      </c>
      <c r="B161" s="15" t="s">
        <v>196</v>
      </c>
      <c r="C161" s="20">
        <v>0.22542955326460482</v>
      </c>
      <c r="D161" s="20">
        <v>1.0586080586080586</v>
      </c>
    </row>
    <row r="162" spans="1:4">
      <c r="A162" s="15">
        <v>31405</v>
      </c>
      <c r="B162" s="15" t="s">
        <v>197</v>
      </c>
      <c r="C162" s="20"/>
      <c r="D162" s="20">
        <v>1.0431654676258992</v>
      </c>
    </row>
    <row r="163" spans="1:4">
      <c r="A163" s="15">
        <v>31501</v>
      </c>
      <c r="B163" s="15" t="s">
        <v>198</v>
      </c>
      <c r="C163" s="20">
        <v>0.14254979526684708</v>
      </c>
      <c r="D163" s="20">
        <v>0.72757623554153517</v>
      </c>
    </row>
    <row r="164" spans="1:4">
      <c r="A164" s="15">
        <v>31601</v>
      </c>
      <c r="B164" s="15" t="s">
        <v>199</v>
      </c>
      <c r="C164" s="20">
        <v>0.65514175122920804</v>
      </c>
      <c r="D164" s="20">
        <v>0.88609534030326109</v>
      </c>
    </row>
    <row r="165" spans="1:4">
      <c r="A165" s="15">
        <v>31602</v>
      </c>
      <c r="B165" s="15" t="s">
        <v>200</v>
      </c>
      <c r="C165" s="20">
        <v>0.58881525340865881</v>
      </c>
      <c r="D165" s="20">
        <v>0.74100727352876339</v>
      </c>
    </row>
    <row r="166" spans="1:4">
      <c r="A166" s="15">
        <v>40101</v>
      </c>
      <c r="B166" s="15" t="s">
        <v>34</v>
      </c>
      <c r="C166" s="20">
        <v>0.53812251859352178</v>
      </c>
      <c r="D166" s="20">
        <v>0.96359957350330505</v>
      </c>
    </row>
    <row r="167" spans="1:4">
      <c r="A167" s="15">
        <v>40102</v>
      </c>
      <c r="B167" s="15" t="s">
        <v>201</v>
      </c>
      <c r="C167" s="20">
        <v>0.49532233373022622</v>
      </c>
      <c r="D167" s="20">
        <v>0.93775528066285452</v>
      </c>
    </row>
    <row r="168" spans="1:4">
      <c r="A168" s="15">
        <v>40103</v>
      </c>
      <c r="B168" s="15" t="s">
        <v>202</v>
      </c>
      <c r="C168" s="20">
        <v>0.6073752711496746</v>
      </c>
      <c r="D168" s="20">
        <v>0.80805000762311341</v>
      </c>
    </row>
    <row r="169" spans="1:4">
      <c r="A169" s="15">
        <v>40104</v>
      </c>
      <c r="B169" s="15" t="s">
        <v>203</v>
      </c>
      <c r="C169" s="20">
        <v>0.78643912944170713</v>
      </c>
      <c r="D169" s="20">
        <v>0.92022216611966678</v>
      </c>
    </row>
    <row r="170" spans="1:4">
      <c r="A170" s="15">
        <v>40201</v>
      </c>
      <c r="B170" s="15" t="s">
        <v>204</v>
      </c>
      <c r="C170" s="20">
        <v>0.55810117302052786</v>
      </c>
      <c r="D170" s="20">
        <v>0.88350049597707481</v>
      </c>
    </row>
    <row r="171" spans="1:4">
      <c r="A171" s="15">
        <v>40202</v>
      </c>
      <c r="B171" s="15" t="s">
        <v>205</v>
      </c>
      <c r="C171" s="20">
        <v>1.1076746849942727</v>
      </c>
      <c r="D171" s="20">
        <v>0.91167664670658677</v>
      </c>
    </row>
    <row r="172" spans="1:4">
      <c r="A172" s="15">
        <v>40301</v>
      </c>
      <c r="B172" s="15" t="s">
        <v>206</v>
      </c>
      <c r="C172" s="20">
        <v>0.57413305024770001</v>
      </c>
      <c r="D172" s="20">
        <v>0.95208260367617492</v>
      </c>
    </row>
    <row r="173" spans="1:4">
      <c r="A173" s="15">
        <v>40302</v>
      </c>
      <c r="B173" s="15" t="s">
        <v>207</v>
      </c>
      <c r="C173" s="20">
        <v>1.0961098398169336</v>
      </c>
      <c r="D173" s="20">
        <v>0</v>
      </c>
    </row>
    <row r="174" spans="1:4">
      <c r="A174" s="15">
        <v>40401</v>
      </c>
      <c r="B174" s="15" t="s">
        <v>208</v>
      </c>
      <c r="C174" s="20">
        <v>0.9182598517362468</v>
      </c>
      <c r="D174" s="20">
        <v>0.93221288515406164</v>
      </c>
    </row>
    <row r="175" spans="1:4">
      <c r="A175" s="15">
        <v>40402</v>
      </c>
      <c r="B175" s="15" t="s">
        <v>209</v>
      </c>
      <c r="C175" s="20">
        <v>0.58299253489126901</v>
      </c>
      <c r="D175" s="20">
        <v>0.89958743678466857</v>
      </c>
    </row>
    <row r="176" spans="1:4">
      <c r="A176" s="15">
        <v>40501</v>
      </c>
      <c r="B176" s="15" t="s">
        <v>210</v>
      </c>
      <c r="C176" s="20">
        <v>1.2857142857142856</v>
      </c>
      <c r="D176" s="20">
        <v>1.0438596491228069</v>
      </c>
    </row>
    <row r="177" spans="1:4">
      <c r="A177" s="15">
        <v>40502</v>
      </c>
      <c r="B177" s="15" t="s">
        <v>211</v>
      </c>
      <c r="C177" s="20">
        <v>0.366965620328849</v>
      </c>
      <c r="D177" s="20">
        <v>0.82204155374887089</v>
      </c>
    </row>
    <row r="178" spans="1:4">
      <c r="A178" s="15">
        <v>40503</v>
      </c>
      <c r="B178" s="15" t="s">
        <v>212</v>
      </c>
      <c r="C178" s="20">
        <v>0</v>
      </c>
      <c r="D178" s="20">
        <v>0.9460784313725491</v>
      </c>
    </row>
    <row r="179" spans="1:4">
      <c r="A179" s="15">
        <v>40504</v>
      </c>
      <c r="B179" s="15" t="s">
        <v>213</v>
      </c>
      <c r="C179" s="20">
        <v>0</v>
      </c>
      <c r="D179" s="20">
        <v>1.0422535211267607</v>
      </c>
    </row>
    <row r="180" spans="1:4">
      <c r="A180" s="15">
        <v>40505</v>
      </c>
      <c r="B180" s="15" t="s">
        <v>214</v>
      </c>
      <c r="C180" s="20">
        <v>0</v>
      </c>
      <c r="D180" s="20">
        <v>0.81525423728813551</v>
      </c>
    </row>
    <row r="181" spans="1:4">
      <c r="A181" s="15">
        <v>40601</v>
      </c>
      <c r="B181" s="15" t="s">
        <v>215</v>
      </c>
      <c r="C181" s="20">
        <v>0.72655217965653884</v>
      </c>
      <c r="D181" s="20">
        <v>0.95591029196602095</v>
      </c>
    </row>
    <row r="182" spans="1:4">
      <c r="A182" s="15">
        <v>40602</v>
      </c>
      <c r="B182" s="15" t="s">
        <v>216</v>
      </c>
      <c r="C182" s="20">
        <v>0.64797081623347019</v>
      </c>
      <c r="D182" s="20">
        <v>0.88722000347282515</v>
      </c>
    </row>
    <row r="183" spans="1:4">
      <c r="A183" s="15">
        <v>40603</v>
      </c>
      <c r="B183" s="15" t="s">
        <v>217</v>
      </c>
      <c r="C183" s="20">
        <v>0.39506688963210707</v>
      </c>
      <c r="D183" s="20">
        <v>0.88459583121504815</v>
      </c>
    </row>
    <row r="184" spans="1:4">
      <c r="A184" s="15">
        <v>40701</v>
      </c>
      <c r="B184" s="15" t="s">
        <v>218</v>
      </c>
      <c r="C184" s="20">
        <v>0.56199374717661321</v>
      </c>
      <c r="D184" s="20">
        <v>0.96701563025455817</v>
      </c>
    </row>
    <row r="185" spans="1:4">
      <c r="A185" s="15">
        <v>40702</v>
      </c>
      <c r="B185" s="15" t="s">
        <v>219</v>
      </c>
      <c r="C185" s="20">
        <v>0.52845884413309974</v>
      </c>
      <c r="D185" s="20">
        <v>0.95424995279328861</v>
      </c>
    </row>
    <row r="186" spans="1:4">
      <c r="A186" s="15">
        <v>40801</v>
      </c>
      <c r="B186" s="15" t="s">
        <v>220</v>
      </c>
      <c r="C186" s="20">
        <v>0.43985077677841367</v>
      </c>
      <c r="D186" s="20">
        <v>0.93703214442976668</v>
      </c>
    </row>
    <row r="187" spans="1:4">
      <c r="A187" s="15">
        <v>40802</v>
      </c>
      <c r="B187" s="15" t="s">
        <v>221</v>
      </c>
      <c r="C187" s="20">
        <v>0.68311688311688312</v>
      </c>
      <c r="D187" s="20">
        <v>0.95336159903089035</v>
      </c>
    </row>
    <row r="188" spans="1:4">
      <c r="A188" s="15">
        <v>40901</v>
      </c>
      <c r="B188" s="15" t="s">
        <v>222</v>
      </c>
      <c r="C188" s="20">
        <v>0.32786177105831532</v>
      </c>
      <c r="D188" s="20">
        <v>0.86982389338410282</v>
      </c>
    </row>
    <row r="189" spans="1:4">
      <c r="A189" s="15">
        <v>40902</v>
      </c>
      <c r="B189" s="15" t="s">
        <v>223</v>
      </c>
      <c r="C189" s="20">
        <v>0.35333333333333328</v>
      </c>
      <c r="D189" s="20">
        <v>1.0457142857142858</v>
      </c>
    </row>
    <row r="190" spans="1:4">
      <c r="A190" s="15">
        <v>40903</v>
      </c>
      <c r="B190" s="15" t="s">
        <v>224</v>
      </c>
      <c r="C190" s="20">
        <v>0.40290955091714103</v>
      </c>
      <c r="D190" s="20">
        <v>0.57116788321167877</v>
      </c>
    </row>
    <row r="191" spans="1:4">
      <c r="A191" s="15">
        <v>41001</v>
      </c>
      <c r="B191" s="15" t="s">
        <v>225</v>
      </c>
      <c r="C191" s="20">
        <v>0.47070104410824626</v>
      </c>
      <c r="D191" s="20">
        <v>0.94687500000000002</v>
      </c>
    </row>
    <row r="192" spans="1:4">
      <c r="A192" s="15">
        <v>41101</v>
      </c>
      <c r="B192" s="15" t="s">
        <v>226</v>
      </c>
      <c r="C192" s="20">
        <v>0.13794095092024539</v>
      </c>
      <c r="D192" s="20">
        <v>0.93881856540084385</v>
      </c>
    </row>
    <row r="193" spans="1:4">
      <c r="A193" s="15">
        <v>41201</v>
      </c>
      <c r="B193" s="15" t="s">
        <v>227</v>
      </c>
      <c r="C193" s="20">
        <v>1.1301775147928994</v>
      </c>
      <c r="D193" s="20">
        <v>0.94167343623070665</v>
      </c>
    </row>
    <row r="194" spans="1:4">
      <c r="A194" s="15">
        <v>41202</v>
      </c>
      <c r="B194" s="15" t="s">
        <v>228</v>
      </c>
      <c r="C194" s="20">
        <v>1.0938967136150233</v>
      </c>
      <c r="D194" s="20">
        <v>1.0519877675840978</v>
      </c>
    </row>
    <row r="195" spans="1:4">
      <c r="A195" s="15">
        <v>41301</v>
      </c>
      <c r="B195" s="15" t="s">
        <v>183</v>
      </c>
      <c r="C195" s="20">
        <v>0.72090792838874673</v>
      </c>
      <c r="D195" s="20">
        <v>1.0525931336742147</v>
      </c>
    </row>
    <row r="196" spans="1:4">
      <c r="A196" s="15">
        <v>41401</v>
      </c>
      <c r="B196" s="15" t="s">
        <v>229</v>
      </c>
      <c r="C196" s="20">
        <v>0.51747304827873553</v>
      </c>
      <c r="D196" s="20">
        <v>0.89000938086303938</v>
      </c>
    </row>
    <row r="197" spans="1:4">
      <c r="A197" s="15">
        <v>41501</v>
      </c>
      <c r="B197" s="15" t="s">
        <v>230</v>
      </c>
      <c r="C197" s="20">
        <v>0</v>
      </c>
      <c r="D197" s="20">
        <v>1.0325443786982249</v>
      </c>
    </row>
    <row r="198" spans="1:4">
      <c r="A198" s="15">
        <v>41502</v>
      </c>
      <c r="B198" s="15" t="s">
        <v>231</v>
      </c>
      <c r="C198" s="20">
        <v>0</v>
      </c>
      <c r="D198" s="20">
        <v>0.80833333333333335</v>
      </c>
    </row>
    <row r="199" spans="1:4">
      <c r="A199" s="15">
        <v>41503</v>
      </c>
      <c r="B199" s="15" t="s">
        <v>232</v>
      </c>
      <c r="C199" s="20">
        <v>0</v>
      </c>
      <c r="D199" s="20">
        <v>1.0391459074733096</v>
      </c>
    </row>
    <row r="200" spans="1:4">
      <c r="A200" s="15">
        <v>41601</v>
      </c>
      <c r="B200" s="15" t="s">
        <v>233</v>
      </c>
      <c r="C200" s="20">
        <v>0.34121405750798722</v>
      </c>
      <c r="D200" s="20">
        <v>1.0461982675649664</v>
      </c>
    </row>
    <row r="201" spans="1:4">
      <c r="A201" s="15">
        <v>50101</v>
      </c>
      <c r="B201" s="15" t="s">
        <v>36</v>
      </c>
      <c r="C201" s="20">
        <v>0.53320914308730238</v>
      </c>
      <c r="D201" s="20">
        <v>0.95444800638674454</v>
      </c>
    </row>
    <row r="202" spans="1:4">
      <c r="A202" s="15">
        <v>50102</v>
      </c>
      <c r="B202" s="15" t="s">
        <v>234</v>
      </c>
      <c r="C202" s="20">
        <v>0.27826086956521739</v>
      </c>
      <c r="D202" s="20">
        <v>0.89192757953142399</v>
      </c>
    </row>
    <row r="203" spans="1:4">
      <c r="A203" s="15">
        <v>50103</v>
      </c>
      <c r="B203" s="15" t="s">
        <v>235</v>
      </c>
      <c r="C203" s="20">
        <v>0.56716322280954679</v>
      </c>
      <c r="D203" s="20">
        <v>0.83116883116883122</v>
      </c>
    </row>
    <row r="204" spans="1:4">
      <c r="A204" s="15">
        <v>50104</v>
      </c>
      <c r="B204" s="15" t="s">
        <v>236</v>
      </c>
      <c r="C204" s="20">
        <v>0.36151761517615172</v>
      </c>
      <c r="D204" s="20">
        <v>1.0314371257485031</v>
      </c>
    </row>
    <row r="205" spans="1:4">
      <c r="A205" s="15">
        <v>50201</v>
      </c>
      <c r="B205" s="15" t="s">
        <v>237</v>
      </c>
      <c r="C205" s="20">
        <v>0.53227865528548901</v>
      </c>
      <c r="D205" s="20">
        <v>0.84554165172476703</v>
      </c>
    </row>
    <row r="206" spans="1:4">
      <c r="A206" s="15">
        <v>50202</v>
      </c>
      <c r="B206" s="15" t="s">
        <v>238</v>
      </c>
      <c r="C206" s="20">
        <v>0.59610853398129737</v>
      </c>
      <c r="D206" s="20">
        <v>0.9206926406926409</v>
      </c>
    </row>
    <row r="207" spans="1:4">
      <c r="A207" s="15">
        <v>50203</v>
      </c>
      <c r="B207" s="15" t="s">
        <v>239</v>
      </c>
      <c r="C207" s="20">
        <v>0.4361716700011059</v>
      </c>
      <c r="D207" s="20">
        <v>0.96833348568373012</v>
      </c>
    </row>
    <row r="208" spans="1:4">
      <c r="A208" s="15">
        <v>50204</v>
      </c>
      <c r="B208" s="15" t="s">
        <v>240</v>
      </c>
      <c r="C208" s="20">
        <v>0.59861899406272079</v>
      </c>
      <c r="D208" s="20">
        <v>0.99237929028504934</v>
      </c>
    </row>
    <row r="209" spans="1:4">
      <c r="A209" s="15">
        <v>50301</v>
      </c>
      <c r="B209" s="15" t="s">
        <v>241</v>
      </c>
      <c r="C209" s="20">
        <v>0.68271193725153112</v>
      </c>
      <c r="D209" s="20">
        <v>0.91087551568098446</v>
      </c>
    </row>
    <row r="210" spans="1:4">
      <c r="A210" s="15">
        <v>50302</v>
      </c>
      <c r="B210" s="15" t="s">
        <v>242</v>
      </c>
      <c r="C210" s="20">
        <v>0.60105467665834034</v>
      </c>
      <c r="D210" s="20">
        <v>0.89616399431702864</v>
      </c>
    </row>
    <row r="211" spans="1:4">
      <c r="A211" s="15">
        <v>50303</v>
      </c>
      <c r="B211" s="15" t="s">
        <v>243</v>
      </c>
      <c r="C211" s="20">
        <v>0.75342689295039178</v>
      </c>
      <c r="D211" s="20">
        <v>1.0083807908235389</v>
      </c>
    </row>
    <row r="212" spans="1:4">
      <c r="A212" s="15">
        <v>50401</v>
      </c>
      <c r="B212" s="15" t="s">
        <v>244</v>
      </c>
      <c r="C212" s="20">
        <v>0.65851202464163006</v>
      </c>
      <c r="D212" s="20">
        <v>0.94920944173847877</v>
      </c>
    </row>
    <row r="213" spans="1:4">
      <c r="A213" s="15">
        <v>50402</v>
      </c>
      <c r="B213" s="15" t="s">
        <v>245</v>
      </c>
      <c r="C213" s="20">
        <v>0.37863639979845659</v>
      </c>
      <c r="D213" s="20">
        <v>0.93126554296767072</v>
      </c>
    </row>
    <row r="214" spans="1:4">
      <c r="A214" s="15">
        <v>50403</v>
      </c>
      <c r="B214" s="15" t="s">
        <v>246</v>
      </c>
      <c r="C214" s="20">
        <v>0.49140433460821814</v>
      </c>
      <c r="D214" s="20">
        <v>0.86526592426434479</v>
      </c>
    </row>
    <row r="215" spans="1:4">
      <c r="A215" s="15">
        <v>50404</v>
      </c>
      <c r="B215" s="15" t="s">
        <v>247</v>
      </c>
      <c r="C215" s="20">
        <v>0.36010566145498679</v>
      </c>
      <c r="D215" s="20">
        <v>0.95565788409158325</v>
      </c>
    </row>
    <row r="216" spans="1:4">
      <c r="A216" s="15">
        <v>50405</v>
      </c>
      <c r="B216" s="15" t="s">
        <v>248</v>
      </c>
      <c r="C216" s="20">
        <v>0.65851202464163006</v>
      </c>
      <c r="D216" s="20">
        <v>0.93946817174927821</v>
      </c>
    </row>
    <row r="217" spans="1:4">
      <c r="A217" s="15">
        <v>50501</v>
      </c>
      <c r="B217" s="15" t="s">
        <v>249</v>
      </c>
      <c r="C217" s="20">
        <v>0.56491059968888802</v>
      </c>
      <c r="D217" s="20">
        <v>0.72722552731206058</v>
      </c>
    </row>
    <row r="218" spans="1:4">
      <c r="A218" s="15">
        <v>50502</v>
      </c>
      <c r="B218" s="15" t="s">
        <v>250</v>
      </c>
      <c r="C218" s="20">
        <v>0.52131484334874156</v>
      </c>
      <c r="D218" s="20">
        <v>0.70148865169337093</v>
      </c>
    </row>
    <row r="219" spans="1:4">
      <c r="A219" s="15">
        <v>50601</v>
      </c>
      <c r="B219" s="15" t="s">
        <v>251</v>
      </c>
      <c r="C219" s="20">
        <v>0.60369859001715409</v>
      </c>
      <c r="D219" s="20">
        <v>0.88842090234151916</v>
      </c>
    </row>
    <row r="220" spans="1:4">
      <c r="A220" s="15">
        <v>50602</v>
      </c>
      <c r="B220" s="15" t="s">
        <v>252</v>
      </c>
      <c r="C220" s="20">
        <v>0.58794439711596402</v>
      </c>
      <c r="D220" s="20">
        <v>0.86117349803481191</v>
      </c>
    </row>
    <row r="221" spans="1:4">
      <c r="A221" s="15">
        <v>50701</v>
      </c>
      <c r="B221" s="15" t="s">
        <v>253</v>
      </c>
      <c r="C221" s="20">
        <v>0.52377056365602082</v>
      </c>
      <c r="D221" s="20">
        <v>0.65619156909792709</v>
      </c>
    </row>
    <row r="222" spans="1:4">
      <c r="A222" s="15">
        <v>50702</v>
      </c>
      <c r="B222" s="15" t="s">
        <v>254</v>
      </c>
      <c r="C222" s="20">
        <v>0.63902468465206108</v>
      </c>
      <c r="D222" s="20">
        <v>0.43151892172109901</v>
      </c>
    </row>
    <row r="223" spans="1:4">
      <c r="A223" s="15">
        <v>50801</v>
      </c>
      <c r="B223" s="15" t="s">
        <v>255</v>
      </c>
      <c r="C223" s="20">
        <v>0.50262838101356977</v>
      </c>
      <c r="D223" s="20">
        <v>0.95193623279957829</v>
      </c>
    </row>
    <row r="224" spans="1:4">
      <c r="A224" s="15">
        <v>50802</v>
      </c>
      <c r="B224" s="15" t="s">
        <v>256</v>
      </c>
      <c r="C224" s="20">
        <v>0.39874015748031499</v>
      </c>
      <c r="D224" s="20">
        <v>0.89502288329519453</v>
      </c>
    </row>
    <row r="225" spans="1:4">
      <c r="A225" s="15">
        <v>50901</v>
      </c>
      <c r="B225" s="15" t="s">
        <v>257</v>
      </c>
      <c r="C225" s="20">
        <v>0.51714568529713301</v>
      </c>
      <c r="D225" s="20">
        <v>0.86206454918032782</v>
      </c>
    </row>
    <row r="226" spans="1:4">
      <c r="A226" s="15">
        <v>50902</v>
      </c>
      <c r="B226" s="15" t="s">
        <v>258</v>
      </c>
      <c r="C226" s="20">
        <v>0.35526315789473684</v>
      </c>
      <c r="D226" s="20">
        <v>1.0447284345047922</v>
      </c>
    </row>
    <row r="227" spans="1:4">
      <c r="A227" s="15">
        <v>51001</v>
      </c>
      <c r="B227" s="15" t="s">
        <v>259</v>
      </c>
      <c r="C227" s="20">
        <v>0.7485242030696575</v>
      </c>
      <c r="D227" s="20">
        <v>0.95725190839694652</v>
      </c>
    </row>
    <row r="228" spans="1:4">
      <c r="A228" s="15">
        <v>51002</v>
      </c>
      <c r="B228" s="15" t="s">
        <v>260</v>
      </c>
      <c r="C228" s="20">
        <v>1.1767068273092371</v>
      </c>
      <c r="D228" s="20">
        <v>1.0669642857142858</v>
      </c>
    </row>
    <row r="229" spans="1:4">
      <c r="A229" s="15">
        <v>51003</v>
      </c>
      <c r="B229" s="15" t="s">
        <v>261</v>
      </c>
      <c r="C229" s="20">
        <v>0.63796781074267983</v>
      </c>
      <c r="D229" s="20">
        <v>0.89306122448979575</v>
      </c>
    </row>
    <row r="230" spans="1:4">
      <c r="A230" s="15">
        <v>51101</v>
      </c>
      <c r="B230" s="15" t="s">
        <v>262</v>
      </c>
      <c r="C230" s="20">
        <v>0.58794076299420339</v>
      </c>
      <c r="D230" s="20">
        <v>0.85552706982355609</v>
      </c>
    </row>
    <row r="231" spans="1:4">
      <c r="A231" s="15">
        <v>51102</v>
      </c>
      <c r="B231" s="15" t="s">
        <v>263</v>
      </c>
      <c r="C231" s="20">
        <v>0.3578347806903191</v>
      </c>
      <c r="D231" s="20">
        <v>0.90242112986060163</v>
      </c>
    </row>
    <row r="232" spans="1:4">
      <c r="A232" s="15">
        <v>51103</v>
      </c>
      <c r="B232" s="15" t="s">
        <v>264</v>
      </c>
      <c r="C232" s="20">
        <v>0.47985958753839403</v>
      </c>
      <c r="D232" s="20">
        <v>0.87050283286118979</v>
      </c>
    </row>
    <row r="233" spans="1:4">
      <c r="A233" s="15">
        <v>51201</v>
      </c>
      <c r="B233" s="15" t="s">
        <v>265</v>
      </c>
      <c r="C233" s="20">
        <v>0.59050740261607015</v>
      </c>
      <c r="D233" s="20">
        <v>0.94614194678877739</v>
      </c>
    </row>
    <row r="234" spans="1:4">
      <c r="A234" s="15">
        <v>51202</v>
      </c>
      <c r="B234" s="15" t="s">
        <v>266</v>
      </c>
      <c r="C234" s="20">
        <v>0.67529852272548496</v>
      </c>
      <c r="D234" s="20">
        <v>0.8636881047239614</v>
      </c>
    </row>
    <row r="235" spans="1:4">
      <c r="A235" s="15">
        <v>51203</v>
      </c>
      <c r="B235" s="15" t="s">
        <v>267</v>
      </c>
      <c r="C235" s="20">
        <v>0.72324312284218728</v>
      </c>
      <c r="D235" s="20">
        <v>1.0063590388125803</v>
      </c>
    </row>
    <row r="236" spans="1:4">
      <c r="A236" s="15">
        <v>51204</v>
      </c>
      <c r="B236" s="15" t="s">
        <v>268</v>
      </c>
      <c r="C236" s="20">
        <v>0.67529852272548496</v>
      </c>
      <c r="D236" s="20">
        <v>0.81526104417670697</v>
      </c>
    </row>
    <row r="237" spans="1:4">
      <c r="A237" s="15">
        <v>51301</v>
      </c>
      <c r="B237" s="15" t="s">
        <v>269</v>
      </c>
      <c r="C237" s="20">
        <v>0.2997560975609756</v>
      </c>
      <c r="D237" s="20">
        <v>0.81966618287373005</v>
      </c>
    </row>
    <row r="238" spans="1:4">
      <c r="A238" s="15">
        <v>51302</v>
      </c>
      <c r="B238" s="15" t="s">
        <v>270</v>
      </c>
      <c r="C238" s="20">
        <v>0.38003766478342743</v>
      </c>
      <c r="D238" s="20">
        <v>0.8621599577795902</v>
      </c>
    </row>
    <row r="239" spans="1:4">
      <c r="A239" s="15">
        <v>51401</v>
      </c>
      <c r="B239" s="15" t="s">
        <v>271</v>
      </c>
      <c r="C239" s="20">
        <v>0.44900990099009902</v>
      </c>
      <c r="D239" s="20">
        <v>0.82666666666666666</v>
      </c>
    </row>
    <row r="240" spans="1:4">
      <c r="A240" s="15">
        <v>51402</v>
      </c>
      <c r="B240" s="15" t="s">
        <v>272</v>
      </c>
      <c r="C240" s="20">
        <v>0</v>
      </c>
      <c r="D240" s="20">
        <v>1.0406250000000001</v>
      </c>
    </row>
    <row r="241" spans="1:4">
      <c r="A241" s="15">
        <v>51501</v>
      </c>
      <c r="B241" s="15" t="s">
        <v>273</v>
      </c>
      <c r="C241" s="20">
        <v>0.5037228564649131</v>
      </c>
      <c r="D241" s="20">
        <v>0.91848889513023679</v>
      </c>
    </row>
    <row r="242" spans="1:4">
      <c r="A242" s="15">
        <v>51601</v>
      </c>
      <c r="B242" s="15" t="s">
        <v>274</v>
      </c>
      <c r="C242" s="20">
        <v>0.43233256351039262</v>
      </c>
      <c r="D242" s="20">
        <v>1.0125786163522013</v>
      </c>
    </row>
    <row r="243" spans="1:4">
      <c r="A243" s="15">
        <v>60101</v>
      </c>
      <c r="B243" s="15" t="s">
        <v>38</v>
      </c>
      <c r="C243" s="20">
        <v>0.47200278867851803</v>
      </c>
      <c r="D243" s="20">
        <v>0.94500700980327768</v>
      </c>
    </row>
    <row r="244" spans="1:4">
      <c r="A244" s="15">
        <v>60201</v>
      </c>
      <c r="B244" s="15" t="s">
        <v>275</v>
      </c>
      <c r="C244" s="20">
        <v>0.35694637585693723</v>
      </c>
      <c r="D244" s="20">
        <v>0.90031181124754978</v>
      </c>
    </row>
    <row r="245" spans="1:4">
      <c r="A245" s="15">
        <v>60202</v>
      </c>
      <c r="B245" s="15" t="s">
        <v>276</v>
      </c>
      <c r="C245" s="20">
        <v>0.42829331602855292</v>
      </c>
      <c r="D245" s="20">
        <v>0.92616656822209087</v>
      </c>
    </row>
    <row r="246" spans="1:4">
      <c r="A246" s="15">
        <v>60301</v>
      </c>
      <c r="B246" s="15" t="s">
        <v>277</v>
      </c>
      <c r="C246" s="20">
        <v>0.44856068858372472</v>
      </c>
      <c r="D246" s="20">
        <v>0.8855885864837777</v>
      </c>
    </row>
    <row r="247" spans="1:4">
      <c r="A247" s="15">
        <v>60302</v>
      </c>
      <c r="B247" s="15" t="s">
        <v>278</v>
      </c>
      <c r="C247" s="20">
        <v>0.65364453118699295</v>
      </c>
      <c r="D247" s="20">
        <v>0.89491330587220996</v>
      </c>
    </row>
    <row r="248" spans="1:4">
      <c r="A248" s="15">
        <v>60303</v>
      </c>
      <c r="B248" s="15" t="s">
        <v>279</v>
      </c>
      <c r="C248" s="20">
        <v>0.57820736174394705</v>
      </c>
      <c r="D248" s="20">
        <v>0.94007126968563282</v>
      </c>
    </row>
    <row r="249" spans="1:4">
      <c r="A249" s="15">
        <v>60401</v>
      </c>
      <c r="B249" s="15" t="s">
        <v>280</v>
      </c>
      <c r="C249" s="20">
        <v>0.40967526504716578</v>
      </c>
      <c r="D249" s="20">
        <v>0.91411592139606124</v>
      </c>
    </row>
    <row r="250" spans="1:4">
      <c r="A250" s="15">
        <v>60402</v>
      </c>
      <c r="B250" s="15" t="s">
        <v>281</v>
      </c>
      <c r="C250" s="20">
        <v>0.52664120749227128</v>
      </c>
      <c r="D250" s="20">
        <v>1.0116129032258063</v>
      </c>
    </row>
    <row r="251" spans="1:4">
      <c r="A251" s="15">
        <v>60501</v>
      </c>
      <c r="B251" s="15" t="s">
        <v>282</v>
      </c>
      <c r="C251" s="20">
        <v>0.42278975959611459</v>
      </c>
      <c r="D251" s="20">
        <v>0.81105309886964461</v>
      </c>
    </row>
    <row r="252" spans="1:4">
      <c r="A252" s="15">
        <v>60502</v>
      </c>
      <c r="B252" s="15" t="s">
        <v>283</v>
      </c>
      <c r="C252" s="20">
        <v>0.43491940683430047</v>
      </c>
      <c r="D252" s="20">
        <v>0.80240826775386354</v>
      </c>
    </row>
    <row r="253" spans="1:4">
      <c r="A253" s="15">
        <v>60601</v>
      </c>
      <c r="B253" s="15" t="s">
        <v>188</v>
      </c>
      <c r="C253" s="20">
        <v>0.30775259713852637</v>
      </c>
      <c r="D253" s="20">
        <v>0.82848217052121798</v>
      </c>
    </row>
    <row r="254" spans="1:4">
      <c r="A254" s="15">
        <v>70101</v>
      </c>
      <c r="B254" s="15" t="s">
        <v>284</v>
      </c>
      <c r="C254" s="20">
        <v>0.45530158442601265</v>
      </c>
      <c r="D254" s="20">
        <v>0.87086026394276461</v>
      </c>
    </row>
    <row r="255" spans="1:4">
      <c r="A255" s="15">
        <v>70102</v>
      </c>
      <c r="B255" s="15" t="s">
        <v>285</v>
      </c>
      <c r="C255" s="20">
        <v>0.44723640719425761</v>
      </c>
      <c r="D255" s="20">
        <v>0.84888550372623106</v>
      </c>
    </row>
    <row r="256" spans="1:4">
      <c r="A256" s="15">
        <v>70103</v>
      </c>
      <c r="B256" s="15" t="s">
        <v>286</v>
      </c>
      <c r="C256" s="20">
        <v>0.55177239535283729</v>
      </c>
      <c r="D256" s="20">
        <v>0.85784867306606438</v>
      </c>
    </row>
    <row r="257" spans="1:4">
      <c r="A257" s="15">
        <v>70104</v>
      </c>
      <c r="B257" s="15" t="s">
        <v>287</v>
      </c>
      <c r="C257" s="20">
        <v>0.46437118703860647</v>
      </c>
      <c r="D257" s="20">
        <v>0.8547218812764763</v>
      </c>
    </row>
    <row r="258" spans="1:4">
      <c r="A258" s="15">
        <v>70105</v>
      </c>
      <c r="B258" s="15" t="s">
        <v>288</v>
      </c>
      <c r="C258" s="20">
        <v>0.3449693046672318</v>
      </c>
      <c r="D258" s="20">
        <v>0.86550886206659472</v>
      </c>
    </row>
    <row r="259" spans="1:4">
      <c r="A259" s="15">
        <v>70201</v>
      </c>
      <c r="B259" s="15" t="s">
        <v>289</v>
      </c>
      <c r="C259" s="20">
        <v>0.47513927905708986</v>
      </c>
      <c r="D259" s="20">
        <v>0.85391566536626096</v>
      </c>
    </row>
    <row r="260" spans="1:4">
      <c r="A260" s="15">
        <v>70202</v>
      </c>
      <c r="B260" s="15" t="s">
        <v>290</v>
      </c>
      <c r="C260" s="20">
        <v>0.53997624933352728</v>
      </c>
      <c r="D260" s="20">
        <v>0.9078098788443616</v>
      </c>
    </row>
    <row r="261" spans="1:4">
      <c r="A261" s="15">
        <v>70301</v>
      </c>
      <c r="B261" s="15" t="s">
        <v>291</v>
      </c>
      <c r="C261" s="20">
        <v>0.41697431559641734</v>
      </c>
      <c r="D261" s="20">
        <v>0.81269579715902796</v>
      </c>
    </row>
    <row r="262" spans="1:4">
      <c r="A262" s="15">
        <v>70302</v>
      </c>
      <c r="B262" s="15" t="s">
        <v>292</v>
      </c>
      <c r="C262" s="20">
        <v>0.5098718339945072</v>
      </c>
      <c r="D262" s="20">
        <v>0.87243532560214099</v>
      </c>
    </row>
    <row r="263" spans="1:4">
      <c r="A263" s="15">
        <v>70303</v>
      </c>
      <c r="B263" s="15" t="s">
        <v>293</v>
      </c>
      <c r="C263" s="20">
        <v>1.0357142857142856</v>
      </c>
      <c r="D263" s="20">
        <v>1.0955516299983941</v>
      </c>
    </row>
    <row r="264" spans="1:4">
      <c r="A264" s="15">
        <v>70401</v>
      </c>
      <c r="B264" s="15" t="s">
        <v>294</v>
      </c>
      <c r="C264" s="20">
        <v>0.48450971494575301</v>
      </c>
      <c r="D264" s="20">
        <v>0.8486914564430692</v>
      </c>
    </row>
    <row r="265" spans="1:4">
      <c r="A265" s="15">
        <v>70402</v>
      </c>
      <c r="B265" s="15" t="s">
        <v>295</v>
      </c>
      <c r="C265" s="20">
        <v>0.53386287625418061</v>
      </c>
      <c r="D265" s="20">
        <v>0.84389384349827379</v>
      </c>
    </row>
    <row r="266" spans="1:4">
      <c r="A266" s="15">
        <v>70403</v>
      </c>
      <c r="B266" s="15" t="s">
        <v>296</v>
      </c>
      <c r="C266" s="20">
        <v>0.46576358137822954</v>
      </c>
      <c r="D266" s="20">
        <v>0.83643321797491699</v>
      </c>
    </row>
    <row r="267" spans="1:4">
      <c r="A267" s="15">
        <v>70404</v>
      </c>
      <c r="B267" s="15" t="s">
        <v>297</v>
      </c>
      <c r="C267" s="20">
        <v>0.58553241716550042</v>
      </c>
      <c r="D267" s="20">
        <v>0.95770356652129751</v>
      </c>
    </row>
    <row r="268" spans="1:4">
      <c r="A268" s="15">
        <v>70501</v>
      </c>
      <c r="B268" s="15" t="s">
        <v>298</v>
      </c>
      <c r="C268" s="20">
        <v>0.74927205730777158</v>
      </c>
      <c r="D268" s="20">
        <v>0.90383181899757492</v>
      </c>
    </row>
    <row r="269" spans="1:4">
      <c r="A269" s="15">
        <v>70502</v>
      </c>
      <c r="B269" s="15" t="s">
        <v>299</v>
      </c>
      <c r="C269" s="20">
        <v>0.6456261233230548</v>
      </c>
      <c r="D269" s="20">
        <v>0.85462488817595716</v>
      </c>
    </row>
    <row r="270" spans="1:4">
      <c r="A270" s="15">
        <v>70503</v>
      </c>
      <c r="B270" s="15" t="s">
        <v>300</v>
      </c>
      <c r="C270" s="20">
        <v>0.53075607524957247</v>
      </c>
      <c r="D270" s="20">
        <v>0.88374836173001303</v>
      </c>
    </row>
    <row r="271" spans="1:4">
      <c r="A271" s="15">
        <v>70601</v>
      </c>
      <c r="B271" s="15" t="s">
        <v>301</v>
      </c>
      <c r="C271" s="20">
        <v>0.49168683573608329</v>
      </c>
      <c r="D271" s="20">
        <v>0.92703536828901978</v>
      </c>
    </row>
    <row r="272" spans="1:4">
      <c r="A272" s="15">
        <v>70602</v>
      </c>
      <c r="B272" s="15" t="s">
        <v>302</v>
      </c>
      <c r="C272" s="20">
        <v>0.49845418246905232</v>
      </c>
      <c r="D272" s="20">
        <v>0.83080595860509732</v>
      </c>
    </row>
    <row r="273" spans="1:4">
      <c r="A273" s="15">
        <v>70603</v>
      </c>
      <c r="B273" s="15" t="s">
        <v>303</v>
      </c>
      <c r="C273" s="20">
        <v>0.16200476484602486</v>
      </c>
      <c r="D273" s="20">
        <v>1.0621321124918248</v>
      </c>
    </row>
    <row r="274" spans="1:4">
      <c r="A274" s="15">
        <v>70701</v>
      </c>
      <c r="B274" s="15" t="s">
        <v>304</v>
      </c>
      <c r="C274" s="20">
        <v>0.3250474383301708</v>
      </c>
      <c r="D274" s="20">
        <v>0.61709976034960756</v>
      </c>
    </row>
    <row r="275" spans="1:4">
      <c r="A275" s="15">
        <v>70702</v>
      </c>
      <c r="B275" s="15" t="s">
        <v>305</v>
      </c>
      <c r="C275" s="20">
        <v>0.44762195918927955</v>
      </c>
      <c r="D275" s="20">
        <v>0.80813895907835287</v>
      </c>
    </row>
    <row r="276" spans="1:4">
      <c r="A276" s="15">
        <v>70703</v>
      </c>
      <c r="B276" s="15" t="s">
        <v>306</v>
      </c>
      <c r="C276" s="20">
        <v>0.52478682170542634</v>
      </c>
      <c r="D276" s="20">
        <v>0.8505484081083089</v>
      </c>
    </row>
    <row r="277" spans="1:4">
      <c r="A277" s="15">
        <v>70704</v>
      </c>
      <c r="B277" s="15" t="s">
        <v>307</v>
      </c>
      <c r="C277" s="20">
        <v>0.54250871080139373</v>
      </c>
      <c r="D277" s="20">
        <v>1.0883306320907618</v>
      </c>
    </row>
    <row r="278" spans="1:4">
      <c r="A278" s="15">
        <v>70705</v>
      </c>
      <c r="B278" s="15" t="s">
        <v>308</v>
      </c>
      <c r="C278" s="20">
        <v>0.58820625652308822</v>
      </c>
      <c r="D278" s="20">
        <v>0.86972046041813478</v>
      </c>
    </row>
    <row r="279" spans="1:4">
      <c r="A279" s="15">
        <v>70706</v>
      </c>
      <c r="B279" s="15" t="s">
        <v>309</v>
      </c>
      <c r="C279" s="20">
        <v>0.54252742477553206</v>
      </c>
      <c r="D279" s="20">
        <v>0.98320766773162926</v>
      </c>
    </row>
    <row r="280" spans="1:4">
      <c r="A280" s="15">
        <v>70707</v>
      </c>
      <c r="B280" s="15" t="s">
        <v>310</v>
      </c>
      <c r="C280" s="20">
        <v>0.28261648745519713</v>
      </c>
      <c r="D280" s="20">
        <v>0.85215311004784688</v>
      </c>
    </row>
    <row r="281" spans="1:4">
      <c r="A281" s="15">
        <v>70801</v>
      </c>
      <c r="B281" s="15" t="s">
        <v>311</v>
      </c>
      <c r="C281" s="20">
        <v>0.4801893022232005</v>
      </c>
      <c r="D281" s="20">
        <v>0.92861541200822006</v>
      </c>
    </row>
    <row r="282" spans="1:4">
      <c r="A282" s="15">
        <v>70802</v>
      </c>
      <c r="B282" s="15" t="s">
        <v>312</v>
      </c>
      <c r="C282" s="20">
        <v>1.0855106888361046</v>
      </c>
      <c r="D282" s="20">
        <v>1.0269151138716357</v>
      </c>
    </row>
    <row r="283" spans="1:4">
      <c r="A283" s="15">
        <v>70803</v>
      </c>
      <c r="B283" s="15" t="s">
        <v>313</v>
      </c>
      <c r="C283" s="20">
        <v>0.50044875246813858</v>
      </c>
      <c r="D283" s="20">
        <v>0.71030303030303021</v>
      </c>
    </row>
    <row r="284" spans="1:4">
      <c r="A284" s="15">
        <v>70804</v>
      </c>
      <c r="B284" s="15" t="s">
        <v>314</v>
      </c>
      <c r="C284" s="20">
        <v>0.27570093457943923</v>
      </c>
      <c r="D284" s="20">
        <v>0.85274725274725283</v>
      </c>
    </row>
    <row r="285" spans="1:4">
      <c r="A285" s="15">
        <v>70805</v>
      </c>
      <c r="B285" s="15" t="s">
        <v>315</v>
      </c>
      <c r="C285" s="20">
        <v>0.90442477876106198</v>
      </c>
      <c r="D285" s="20">
        <v>0.9347938144329897</v>
      </c>
    </row>
    <row r="286" spans="1:4">
      <c r="A286" s="15">
        <v>70901</v>
      </c>
      <c r="B286" s="15" t="s">
        <v>316</v>
      </c>
      <c r="C286" s="20">
        <v>0.46180620532205552</v>
      </c>
      <c r="D286" s="20">
        <v>0.83411032613160263</v>
      </c>
    </row>
    <row r="287" spans="1:4">
      <c r="A287" s="15">
        <v>70902</v>
      </c>
      <c r="B287" s="15" t="s">
        <v>317</v>
      </c>
      <c r="C287" s="20">
        <v>0.37678756476683933</v>
      </c>
      <c r="D287" s="20">
        <v>0.73808548409121955</v>
      </c>
    </row>
    <row r="288" spans="1:4">
      <c r="A288" s="15">
        <v>70903</v>
      </c>
      <c r="B288" s="15" t="s">
        <v>318</v>
      </c>
      <c r="C288" s="20">
        <v>0.58589832600478287</v>
      </c>
      <c r="D288" s="20">
        <v>0.98079454990814463</v>
      </c>
    </row>
    <row r="289" spans="1:4">
      <c r="A289" s="15">
        <v>70904</v>
      </c>
      <c r="B289" s="15" t="s">
        <v>319</v>
      </c>
      <c r="C289" s="20">
        <v>0.57472178060413348</v>
      </c>
      <c r="D289" s="20">
        <v>0.91326530612244894</v>
      </c>
    </row>
    <row r="290" spans="1:4">
      <c r="A290" s="15">
        <v>71001</v>
      </c>
      <c r="B290" s="15" t="s">
        <v>320</v>
      </c>
      <c r="C290" s="20">
        <v>0.45293306981351539</v>
      </c>
      <c r="D290" s="20">
        <v>0.87877434633928764</v>
      </c>
    </row>
    <row r="291" spans="1:4">
      <c r="A291" s="15">
        <v>71002</v>
      </c>
      <c r="B291" s="15" t="s">
        <v>321</v>
      </c>
      <c r="C291" s="20">
        <v>0.54328227929242645</v>
      </c>
      <c r="D291" s="20">
        <v>0.73628417826306036</v>
      </c>
    </row>
    <row r="292" spans="1:4">
      <c r="A292" s="15">
        <v>71003</v>
      </c>
      <c r="B292" s="15" t="s">
        <v>322</v>
      </c>
      <c r="C292" s="20">
        <v>0.43986877320210654</v>
      </c>
      <c r="D292" s="20">
        <v>0.94393635959056499</v>
      </c>
    </row>
    <row r="293" spans="1:4">
      <c r="A293" s="15">
        <v>71004</v>
      </c>
      <c r="B293" s="15" t="s">
        <v>323</v>
      </c>
      <c r="C293" s="20">
        <v>0.42679821963892128</v>
      </c>
      <c r="D293" s="20">
        <v>0.94900238237045853</v>
      </c>
    </row>
    <row r="294" spans="1:4">
      <c r="A294" s="15">
        <v>71005</v>
      </c>
      <c r="B294" s="15" t="s">
        <v>249</v>
      </c>
      <c r="C294" s="20">
        <v>0.62085041629108406</v>
      </c>
      <c r="D294" s="20">
        <v>0.76446266325951162</v>
      </c>
    </row>
    <row r="295" spans="1:4">
      <c r="A295" s="15">
        <v>71101</v>
      </c>
      <c r="B295" s="15" t="s">
        <v>324</v>
      </c>
      <c r="C295" s="20">
        <v>0.54049444811755043</v>
      </c>
      <c r="D295" s="20">
        <v>0.81739139980898234</v>
      </c>
    </row>
    <row r="296" spans="1:4">
      <c r="A296" s="15">
        <v>71102</v>
      </c>
      <c r="B296" s="15" t="s">
        <v>325</v>
      </c>
      <c r="C296" s="20">
        <v>0.45369497913581908</v>
      </c>
      <c r="D296" s="20">
        <v>0.89820013011107647</v>
      </c>
    </row>
    <row r="297" spans="1:4">
      <c r="A297" s="15">
        <v>71103</v>
      </c>
      <c r="B297" s="15" t="s">
        <v>326</v>
      </c>
      <c r="C297" s="20">
        <v>0.52533345472754578</v>
      </c>
      <c r="D297" s="20">
        <v>0.80836682499086598</v>
      </c>
    </row>
    <row r="298" spans="1:4">
      <c r="A298" s="15">
        <v>71104</v>
      </c>
      <c r="B298" s="15" t="s">
        <v>327</v>
      </c>
      <c r="C298" s="20">
        <v>0.55048860314514969</v>
      </c>
      <c r="D298" s="20">
        <v>0.83932902959433664</v>
      </c>
    </row>
    <row r="299" spans="1:4">
      <c r="A299" s="15">
        <v>71105</v>
      </c>
      <c r="B299" s="15" t="s">
        <v>328</v>
      </c>
      <c r="C299" s="20">
        <v>0.39048570002139649</v>
      </c>
      <c r="D299" s="20">
        <v>0.93682539682539701</v>
      </c>
    </row>
    <row r="300" spans="1:4">
      <c r="A300" s="15">
        <v>71106</v>
      </c>
      <c r="B300" s="15" t="s">
        <v>329</v>
      </c>
      <c r="C300" s="20">
        <v>0.44291370141815639</v>
      </c>
      <c r="D300" s="20">
        <v>0.85330699518607767</v>
      </c>
    </row>
    <row r="301" spans="1:4">
      <c r="A301" s="15">
        <v>71201</v>
      </c>
      <c r="B301" s="15" t="s">
        <v>330</v>
      </c>
      <c r="C301" s="20">
        <v>0.38815103931383005</v>
      </c>
      <c r="D301" s="20">
        <v>0.82901367890568745</v>
      </c>
    </row>
    <row r="302" spans="1:4">
      <c r="A302" s="15">
        <v>71301</v>
      </c>
      <c r="B302" s="15" t="s">
        <v>331</v>
      </c>
      <c r="C302" s="20">
        <v>0.51616677088165885</v>
      </c>
      <c r="D302" s="20">
        <v>0.85498248037885671</v>
      </c>
    </row>
    <row r="303" spans="1:4">
      <c r="A303" s="15">
        <v>71302</v>
      </c>
      <c r="B303" s="15" t="s">
        <v>332</v>
      </c>
      <c r="C303" s="20">
        <v>0.6182994454713493</v>
      </c>
      <c r="D303" s="20">
        <v>0.78873677660236463</v>
      </c>
    </row>
    <row r="304" spans="1:4">
      <c r="A304" s="15">
        <v>71401</v>
      </c>
      <c r="B304" s="15" t="s">
        <v>333</v>
      </c>
      <c r="C304" s="20">
        <v>0.45292955892034231</v>
      </c>
      <c r="D304" s="20">
        <v>0.79940221592373106</v>
      </c>
    </row>
    <row r="305" spans="1:4">
      <c r="A305" s="15">
        <v>71402</v>
      </c>
      <c r="B305" s="15" t="s">
        <v>334</v>
      </c>
      <c r="C305" s="20">
        <v>0.6189222945847086</v>
      </c>
      <c r="D305" s="20">
        <v>0.87449174838555366</v>
      </c>
    </row>
    <row r="306" spans="1:4">
      <c r="A306" s="15">
        <v>71403</v>
      </c>
      <c r="B306" s="15" t="s">
        <v>335</v>
      </c>
      <c r="C306" s="20">
        <v>0.34647550776583036</v>
      </c>
      <c r="D306" s="20">
        <v>0.98578596720871314</v>
      </c>
    </row>
    <row r="307" spans="1:4">
      <c r="A307" s="15">
        <v>71501</v>
      </c>
      <c r="B307" s="15" t="s">
        <v>336</v>
      </c>
      <c r="C307" s="20">
        <v>0.52741267021906446</v>
      </c>
      <c r="D307" s="20">
        <v>0.86208126132377305</v>
      </c>
    </row>
    <row r="308" spans="1:4">
      <c r="A308" s="15">
        <v>71502</v>
      </c>
      <c r="B308" s="15" t="s">
        <v>337</v>
      </c>
      <c r="C308" s="20">
        <v>0.47637721755368811</v>
      </c>
      <c r="D308" s="20">
        <v>0.7076267681363223</v>
      </c>
    </row>
    <row r="309" spans="1:4">
      <c r="A309" s="15">
        <v>71503</v>
      </c>
      <c r="B309" s="15" t="s">
        <v>283</v>
      </c>
      <c r="C309" s="20">
        <v>0.58077091227047506</v>
      </c>
      <c r="D309" s="20">
        <v>0.89405888538380651</v>
      </c>
    </row>
    <row r="310" spans="1:4">
      <c r="A310" s="15">
        <v>80101</v>
      </c>
      <c r="B310" s="15" t="s">
        <v>338</v>
      </c>
      <c r="C310" s="20">
        <v>0.4722876711171915</v>
      </c>
      <c r="D310" s="20">
        <v>0.91023584110235845</v>
      </c>
    </row>
    <row r="311" spans="1:4">
      <c r="A311" s="15">
        <v>80102</v>
      </c>
      <c r="B311" s="15" t="s">
        <v>325</v>
      </c>
      <c r="C311" s="20">
        <v>0.55309090909090908</v>
      </c>
      <c r="D311" s="20">
        <v>0.96851851851851833</v>
      </c>
    </row>
    <row r="312" spans="1:4">
      <c r="A312" s="15">
        <v>80201</v>
      </c>
      <c r="B312" s="15" t="s">
        <v>339</v>
      </c>
      <c r="C312" s="20">
        <v>0.5383363552735192</v>
      </c>
      <c r="D312" s="20">
        <v>0.89129261992644415</v>
      </c>
    </row>
    <row r="313" spans="1:4">
      <c r="A313" s="15">
        <v>80202</v>
      </c>
      <c r="B313" s="15" t="s">
        <v>340</v>
      </c>
      <c r="C313" s="20">
        <v>0.46293682888022442</v>
      </c>
      <c r="D313" s="20">
        <v>0.87681549698882333</v>
      </c>
    </row>
    <row r="314" spans="1:4">
      <c r="A314" s="15">
        <v>80301</v>
      </c>
      <c r="B314" s="15" t="s">
        <v>341</v>
      </c>
      <c r="C314" s="20">
        <v>0.452292576419214</v>
      </c>
      <c r="D314" s="20">
        <v>0.89120254603318938</v>
      </c>
    </row>
    <row r="315" spans="1:4">
      <c r="A315" s="15">
        <v>80302</v>
      </c>
      <c r="B315" s="15" t="s">
        <v>342</v>
      </c>
      <c r="C315" s="20">
        <v>0.4539722534502349</v>
      </c>
      <c r="D315" s="20">
        <v>0.89491257892180687</v>
      </c>
    </row>
    <row r="316" spans="1:4">
      <c r="A316" s="15">
        <v>80303</v>
      </c>
      <c r="B316" s="15" t="s">
        <v>302</v>
      </c>
      <c r="C316" s="20">
        <v>0.51617142857142861</v>
      </c>
      <c r="D316" s="20">
        <v>0.81727010028896829</v>
      </c>
    </row>
    <row r="317" spans="1:4">
      <c r="A317" s="15">
        <v>80304</v>
      </c>
      <c r="B317" s="15" t="s">
        <v>343</v>
      </c>
      <c r="C317" s="20">
        <v>0.6183019934963947</v>
      </c>
      <c r="D317" s="20">
        <v>0.83758937691521973</v>
      </c>
    </row>
    <row r="318" spans="1:4">
      <c r="A318" s="15">
        <v>80401</v>
      </c>
      <c r="B318" s="15" t="s">
        <v>344</v>
      </c>
      <c r="C318" s="20">
        <v>0.44791800265059212</v>
      </c>
      <c r="D318" s="20">
        <v>0.88736508089136756</v>
      </c>
    </row>
    <row r="319" spans="1:4">
      <c r="A319" s="15">
        <v>80402</v>
      </c>
      <c r="B319" s="15" t="s">
        <v>345</v>
      </c>
      <c r="C319" s="20">
        <v>0.49632020658489351</v>
      </c>
      <c r="D319" s="20">
        <v>0.81541288825957281</v>
      </c>
    </row>
    <row r="320" spans="1:4">
      <c r="A320" s="15">
        <v>80501</v>
      </c>
      <c r="B320" s="15" t="s">
        <v>291</v>
      </c>
      <c r="C320" s="20">
        <v>0.42979383074842453</v>
      </c>
      <c r="D320" s="20">
        <v>0.93147634220714703</v>
      </c>
    </row>
    <row r="321" spans="1:4">
      <c r="A321" s="15">
        <v>80601</v>
      </c>
      <c r="B321" s="15" t="s">
        <v>346</v>
      </c>
      <c r="C321" s="20">
        <v>0.60980592441266601</v>
      </c>
      <c r="D321" s="20">
        <v>1.0326953748006378</v>
      </c>
    </row>
    <row r="322" spans="1:4">
      <c r="A322" s="15">
        <v>80602</v>
      </c>
      <c r="B322" s="15" t="s">
        <v>347</v>
      </c>
      <c r="C322" s="20">
        <v>0.54672364672364671</v>
      </c>
      <c r="D322" s="20">
        <v>0.86311170843544949</v>
      </c>
    </row>
    <row r="323" spans="1:4">
      <c r="A323" s="15">
        <v>80701</v>
      </c>
      <c r="B323" s="15" t="s">
        <v>348</v>
      </c>
      <c r="C323" s="20">
        <v>0.48603332521654424</v>
      </c>
      <c r="D323" s="20">
        <v>0.93951263475337099</v>
      </c>
    </row>
    <row r="324" spans="1:4">
      <c r="A324" s="15">
        <v>80702</v>
      </c>
      <c r="B324" s="15" t="s">
        <v>326</v>
      </c>
      <c r="C324" s="20">
        <v>0.40376165469938918</v>
      </c>
      <c r="D324" s="20">
        <v>0.73203523412146498</v>
      </c>
    </row>
    <row r="325" spans="1:4">
      <c r="A325" s="15">
        <v>80703</v>
      </c>
      <c r="B325" s="15" t="s">
        <v>349</v>
      </c>
      <c r="C325" s="20">
        <v>0.76822916666666663</v>
      </c>
      <c r="D325" s="20">
        <v>0.82802013422818788</v>
      </c>
    </row>
    <row r="326" spans="1:4">
      <c r="A326" s="15">
        <v>80801</v>
      </c>
      <c r="B326" s="15" t="s">
        <v>350</v>
      </c>
      <c r="C326" s="20">
        <v>0.49207854708961252</v>
      </c>
      <c r="D326" s="20">
        <v>0.80087536929642189</v>
      </c>
    </row>
    <row r="327" spans="1:4">
      <c r="A327" s="15">
        <v>80802</v>
      </c>
      <c r="B327" s="15" t="s">
        <v>351</v>
      </c>
      <c r="C327" s="20">
        <v>0.86132552568538745</v>
      </c>
      <c r="D327" s="20">
        <v>0.86384522370012085</v>
      </c>
    </row>
    <row r="328" spans="1:4">
      <c r="A328" s="15">
        <v>80803</v>
      </c>
      <c r="B328" s="15" t="s">
        <v>352</v>
      </c>
      <c r="C328" s="20">
        <v>0.42229878964572842</v>
      </c>
      <c r="D328" s="20">
        <v>0.8440825883354619</v>
      </c>
    </row>
    <row r="329" spans="1:4">
      <c r="A329" s="15">
        <v>80901</v>
      </c>
      <c r="B329" s="15" t="s">
        <v>353</v>
      </c>
      <c r="C329" s="20">
        <v>0.43996441914250134</v>
      </c>
      <c r="D329" s="20">
        <v>0.80606060606060592</v>
      </c>
    </row>
    <row r="330" spans="1:4">
      <c r="A330" s="15">
        <v>90101</v>
      </c>
      <c r="B330" s="15" t="s">
        <v>354</v>
      </c>
      <c r="C330" s="20">
        <v>0.5166735941132099</v>
      </c>
      <c r="D330" s="20">
        <v>0.95299311334734726</v>
      </c>
    </row>
    <row r="331" spans="1:4">
      <c r="A331" s="15">
        <v>90102</v>
      </c>
      <c r="B331" s="15" t="s">
        <v>355</v>
      </c>
      <c r="C331" s="20">
        <v>0.40235294117647058</v>
      </c>
      <c r="D331" s="20">
        <v>0.9576943170604284</v>
      </c>
    </row>
    <row r="332" spans="1:4">
      <c r="A332" s="15">
        <v>90103</v>
      </c>
      <c r="B332" s="15" t="s">
        <v>356</v>
      </c>
      <c r="C332" s="20">
        <v>0.79409792085848419</v>
      </c>
      <c r="D332" s="20">
        <v>0.80176565008025691</v>
      </c>
    </row>
    <row r="333" spans="1:4">
      <c r="A333" s="15">
        <v>90104</v>
      </c>
      <c r="B333" s="15" t="s">
        <v>357</v>
      </c>
      <c r="C333" s="20">
        <v>0.4491468718634995</v>
      </c>
      <c r="D333" s="20">
        <v>0.91895659099960192</v>
      </c>
    </row>
    <row r="334" spans="1:4">
      <c r="A334" s="15">
        <v>90201</v>
      </c>
      <c r="B334" s="15" t="s">
        <v>358</v>
      </c>
      <c r="C334" s="20">
        <v>0.4780407566480856</v>
      </c>
      <c r="D334" s="20">
        <v>1.031529966017918</v>
      </c>
    </row>
    <row r="335" spans="1:4">
      <c r="A335" s="15">
        <v>90202</v>
      </c>
      <c r="B335" s="15" t="s">
        <v>249</v>
      </c>
      <c r="C335" s="20">
        <v>0</v>
      </c>
      <c r="D335" s="20">
        <v>0.70129704984740593</v>
      </c>
    </row>
    <row r="336" spans="1:4">
      <c r="A336" s="15">
        <v>90203</v>
      </c>
      <c r="B336" s="15" t="s">
        <v>359</v>
      </c>
      <c r="C336" s="20">
        <v>0.52318987644004056</v>
      </c>
      <c r="D336" s="20">
        <v>0.80403248665902571</v>
      </c>
    </row>
    <row r="337" spans="1:4">
      <c r="A337" s="15">
        <v>90301</v>
      </c>
      <c r="B337" s="15" t="s">
        <v>360</v>
      </c>
      <c r="C337" s="20">
        <v>0.57186427754479607</v>
      </c>
      <c r="D337" s="20">
        <v>0.82774530434104909</v>
      </c>
    </row>
    <row r="338" spans="1:4">
      <c r="A338" s="15">
        <v>90302</v>
      </c>
      <c r="B338" s="15" t="s">
        <v>282</v>
      </c>
      <c r="C338" s="20">
        <v>0.48478739002932547</v>
      </c>
      <c r="D338" s="20">
        <v>0.61143847487001735</v>
      </c>
    </row>
    <row r="339" spans="1:4">
      <c r="A339" s="15">
        <v>90303</v>
      </c>
      <c r="B339" s="15" t="s">
        <v>361</v>
      </c>
      <c r="C339" s="20">
        <v>0.2381993006993007</v>
      </c>
      <c r="D339" s="20">
        <v>0.95781253913784048</v>
      </c>
    </row>
    <row r="340" spans="1:4">
      <c r="A340" s="15">
        <v>90401</v>
      </c>
      <c r="B340" s="15" t="s">
        <v>302</v>
      </c>
      <c r="C340" s="20">
        <v>0.34743653558984566</v>
      </c>
      <c r="D340" s="20">
        <v>1.0711656441717792</v>
      </c>
    </row>
    <row r="341" spans="1:4">
      <c r="A341" s="15">
        <v>90402</v>
      </c>
      <c r="B341" s="15" t="s">
        <v>362</v>
      </c>
      <c r="C341" s="20">
        <v>0.36396267049533382</v>
      </c>
      <c r="D341" s="20">
        <v>0.87780821917808227</v>
      </c>
    </row>
    <row r="342" spans="1:4">
      <c r="A342" s="15">
        <v>90501</v>
      </c>
      <c r="B342" s="15" t="s">
        <v>363</v>
      </c>
      <c r="C342" s="20">
        <v>0.76795162509448212</v>
      </c>
      <c r="D342" s="20">
        <v>1.0476190476190477</v>
      </c>
    </row>
    <row r="343" spans="1:4">
      <c r="A343" s="15">
        <v>90502</v>
      </c>
      <c r="B343" s="15" t="s">
        <v>364</v>
      </c>
      <c r="C343" s="20">
        <v>0.51736881005173685</v>
      </c>
      <c r="D343" s="20">
        <v>0.68700396825396826</v>
      </c>
    </row>
    <row r="344" spans="1:4">
      <c r="A344" s="15">
        <v>90503</v>
      </c>
      <c r="B344" s="15" t="s">
        <v>365</v>
      </c>
      <c r="C344" s="20">
        <v>0.2382352941176471</v>
      </c>
      <c r="D344" s="20">
        <v>1.1507092198581559</v>
      </c>
    </row>
    <row r="345" spans="1:4">
      <c r="C345" s="33"/>
      <c r="D345" s="33"/>
    </row>
    <row r="346" spans="1:4">
      <c r="C346" s="33"/>
      <c r="D346" s="33"/>
    </row>
    <row r="347" spans="1:4">
      <c r="C347" s="33"/>
      <c r="D347" s="33"/>
    </row>
    <row r="348" spans="1:4">
      <c r="C348" s="33"/>
      <c r="D348" s="33"/>
    </row>
    <row r="349" spans="1:4">
      <c r="C349" s="33"/>
      <c r="D349" s="33"/>
    </row>
    <row r="350" spans="1:4">
      <c r="C350" s="33"/>
      <c r="D350" s="33"/>
    </row>
    <row r="351" spans="1:4">
      <c r="C351" s="33"/>
      <c r="D351" s="33"/>
    </row>
    <row r="352" spans="1:4">
      <c r="C352" s="33"/>
      <c r="D352" s="33"/>
    </row>
    <row r="353" spans="3:4">
      <c r="C353" s="33"/>
      <c r="D353" s="33"/>
    </row>
    <row r="354" spans="3:4">
      <c r="C354" s="33"/>
      <c r="D354" s="33"/>
    </row>
    <row r="355" spans="3:4">
      <c r="C355" s="33"/>
      <c r="D355" s="33"/>
    </row>
    <row r="356" spans="3:4">
      <c r="C356" s="33"/>
      <c r="D356" s="33"/>
    </row>
    <row r="357" spans="3:4">
      <c r="C357" s="33"/>
      <c r="D357" s="33"/>
    </row>
    <row r="358" spans="3:4">
      <c r="C358" s="33"/>
      <c r="D358" s="33"/>
    </row>
    <row r="359" spans="3:4">
      <c r="C359" s="33"/>
      <c r="D359" s="33"/>
    </row>
    <row r="360" spans="3:4">
      <c r="C360" s="33"/>
      <c r="D360" s="33"/>
    </row>
    <row r="361" spans="3:4">
      <c r="C361" s="33"/>
      <c r="D361" s="33"/>
    </row>
    <row r="362" spans="3:4">
      <c r="C362" s="33"/>
      <c r="D362" s="33"/>
    </row>
    <row r="363" spans="3:4">
      <c r="C363" s="33"/>
      <c r="D363" s="33"/>
    </row>
    <row r="364" spans="3:4">
      <c r="C364" s="33"/>
      <c r="D364" s="33"/>
    </row>
    <row r="365" spans="3:4">
      <c r="C365" s="33"/>
      <c r="D365" s="33"/>
    </row>
    <row r="366" spans="3:4">
      <c r="C366" s="33"/>
      <c r="D366" s="33"/>
    </row>
    <row r="367" spans="3:4">
      <c r="C367" s="33"/>
      <c r="D367" s="33"/>
    </row>
    <row r="368" spans="3:4">
      <c r="C368" s="33"/>
      <c r="D368" s="33"/>
    </row>
    <row r="369" spans="3:4">
      <c r="C369" s="33"/>
      <c r="D369" s="33"/>
    </row>
    <row r="370" spans="3:4">
      <c r="C370" s="33"/>
      <c r="D370" s="33"/>
    </row>
    <row r="371" spans="3:4">
      <c r="C371" s="33"/>
      <c r="D371" s="33"/>
    </row>
    <row r="372" spans="3:4">
      <c r="C372" s="33"/>
      <c r="D372" s="33"/>
    </row>
    <row r="373" spans="3:4">
      <c r="C373" s="33"/>
      <c r="D373" s="33"/>
    </row>
    <row r="374" spans="3:4">
      <c r="C374" s="33"/>
      <c r="D374" s="33"/>
    </row>
    <row r="375" spans="3:4">
      <c r="C375" s="33"/>
      <c r="D375" s="33"/>
    </row>
    <row r="376" spans="3:4">
      <c r="C376" s="33"/>
      <c r="D376" s="33"/>
    </row>
    <row r="377" spans="3:4">
      <c r="C377" s="33"/>
      <c r="D377" s="33"/>
    </row>
    <row r="378" spans="3:4">
      <c r="C378" s="33"/>
      <c r="D378" s="33"/>
    </row>
    <row r="379" spans="3:4">
      <c r="C379" s="33"/>
      <c r="D379" s="33"/>
    </row>
    <row r="380" spans="3:4">
      <c r="C380" s="33"/>
      <c r="D380" s="33"/>
    </row>
    <row r="381" spans="3:4">
      <c r="C381" s="33"/>
      <c r="D381" s="33"/>
    </row>
    <row r="382" spans="3:4">
      <c r="C382" s="33"/>
      <c r="D382" s="33"/>
    </row>
    <row r="383" spans="3:4">
      <c r="C383" s="33"/>
      <c r="D383" s="33"/>
    </row>
    <row r="384" spans="3:4">
      <c r="C384" s="33"/>
      <c r="D384" s="33"/>
    </row>
    <row r="385" spans="3:4">
      <c r="C385" s="33"/>
      <c r="D385" s="33"/>
    </row>
    <row r="386" spans="3:4">
      <c r="C386" s="33"/>
      <c r="D386" s="33"/>
    </row>
    <row r="387" spans="3:4">
      <c r="C387" s="33"/>
      <c r="D387" s="33"/>
    </row>
    <row r="388" spans="3:4">
      <c r="C388" s="33"/>
      <c r="D388" s="33"/>
    </row>
    <row r="389" spans="3:4">
      <c r="C389" s="33"/>
      <c r="D389" s="33"/>
    </row>
    <row r="390" spans="3:4">
      <c r="C390" s="33"/>
      <c r="D390" s="33"/>
    </row>
    <row r="391" spans="3:4">
      <c r="C391" s="33"/>
      <c r="D391" s="33"/>
    </row>
    <row r="392" spans="3:4">
      <c r="C392" s="33"/>
      <c r="D392" s="33"/>
    </row>
    <row r="393" spans="3:4">
      <c r="C393" s="33"/>
      <c r="D393" s="33"/>
    </row>
    <row r="394" spans="3:4">
      <c r="C394" s="33"/>
      <c r="D394" s="33"/>
    </row>
    <row r="395" spans="3:4">
      <c r="C395" s="33"/>
      <c r="D395" s="33"/>
    </row>
    <row r="396" spans="3:4">
      <c r="C396" s="33"/>
      <c r="D396" s="33"/>
    </row>
    <row r="397" spans="3:4">
      <c r="C397" s="33"/>
      <c r="D397" s="33"/>
    </row>
    <row r="398" spans="3:4">
      <c r="C398" s="33"/>
      <c r="D398" s="33"/>
    </row>
    <row r="399" spans="3:4">
      <c r="C399" s="33"/>
      <c r="D399" s="33"/>
    </row>
    <row r="400" spans="3:4">
      <c r="C400" s="33"/>
      <c r="D400" s="33"/>
    </row>
    <row r="401" spans="3:4">
      <c r="C401" s="33"/>
      <c r="D401" s="33"/>
    </row>
    <row r="402" spans="3:4">
      <c r="C402" s="33"/>
      <c r="D402" s="33"/>
    </row>
    <row r="403" spans="3:4">
      <c r="C403" s="33"/>
      <c r="D403" s="33"/>
    </row>
    <row r="404" spans="3:4">
      <c r="C404" s="33"/>
      <c r="D404" s="33"/>
    </row>
    <row r="405" spans="3:4">
      <c r="C405" s="33"/>
      <c r="D405" s="33"/>
    </row>
    <row r="406" spans="3:4">
      <c r="C406" s="33"/>
      <c r="D406" s="33"/>
    </row>
    <row r="407" spans="3:4">
      <c r="C407" s="33"/>
      <c r="D407" s="33"/>
    </row>
    <row r="408" spans="3:4">
      <c r="C408" s="33"/>
      <c r="D408" s="33"/>
    </row>
    <row r="409" spans="3:4">
      <c r="C409" s="33"/>
      <c r="D409" s="33"/>
    </row>
    <row r="410" spans="3:4">
      <c r="C410" s="33"/>
      <c r="D410" s="33"/>
    </row>
    <row r="411" spans="3:4">
      <c r="C411" s="33"/>
      <c r="D411" s="33"/>
    </row>
    <row r="412" spans="3:4">
      <c r="C412" s="33"/>
      <c r="D412" s="33"/>
    </row>
    <row r="413" spans="3:4">
      <c r="C413" s="33"/>
      <c r="D413" s="33"/>
    </row>
    <row r="414" spans="3:4">
      <c r="C414" s="33"/>
      <c r="D414" s="33"/>
    </row>
    <row r="415" spans="3:4">
      <c r="C415" s="33"/>
      <c r="D415" s="33"/>
    </row>
    <row r="416" spans="3:4">
      <c r="C416" s="33"/>
      <c r="D416" s="33"/>
    </row>
    <row r="417" spans="3:4">
      <c r="C417" s="33"/>
      <c r="D417" s="33"/>
    </row>
    <row r="418" spans="3:4">
      <c r="C418" s="33"/>
      <c r="D418" s="33"/>
    </row>
    <row r="419" spans="3:4">
      <c r="C419" s="33"/>
      <c r="D419" s="33"/>
    </row>
    <row r="420" spans="3:4">
      <c r="C420" s="33"/>
      <c r="D420" s="33"/>
    </row>
    <row r="421" spans="3:4">
      <c r="C421" s="33"/>
      <c r="D421" s="33"/>
    </row>
    <row r="422" spans="3:4">
      <c r="C422" s="33"/>
      <c r="D422" s="33"/>
    </row>
    <row r="423" spans="3:4">
      <c r="C423" s="33"/>
      <c r="D423" s="33"/>
    </row>
    <row r="424" spans="3:4">
      <c r="C424" s="33"/>
      <c r="D424" s="33"/>
    </row>
    <row r="425" spans="3:4">
      <c r="C425" s="33"/>
      <c r="D425" s="33"/>
    </row>
    <row r="426" spans="3:4">
      <c r="C426" s="33"/>
      <c r="D426" s="33"/>
    </row>
    <row r="427" spans="3:4">
      <c r="C427" s="33"/>
      <c r="D427" s="33"/>
    </row>
    <row r="428" spans="3:4">
      <c r="C428" s="33"/>
      <c r="D428" s="33"/>
    </row>
    <row r="429" spans="3:4">
      <c r="C429" s="33"/>
      <c r="D429" s="33"/>
    </row>
    <row r="430" spans="3:4">
      <c r="C430" s="33"/>
      <c r="D430" s="33"/>
    </row>
    <row r="431" spans="3:4">
      <c r="C431" s="33"/>
      <c r="D431" s="33"/>
    </row>
    <row r="432" spans="3:4">
      <c r="C432" s="33"/>
      <c r="D432" s="33"/>
    </row>
    <row r="433" spans="3:4">
      <c r="C433" s="33"/>
      <c r="D433" s="33"/>
    </row>
    <row r="434" spans="3:4">
      <c r="C434" s="33"/>
      <c r="D434" s="33"/>
    </row>
    <row r="435" spans="3:4">
      <c r="C435" s="33"/>
      <c r="D435" s="33"/>
    </row>
    <row r="436" spans="3:4">
      <c r="C436" s="33"/>
      <c r="D436" s="33"/>
    </row>
    <row r="437" spans="3:4">
      <c r="C437" s="33"/>
      <c r="D437" s="33"/>
    </row>
    <row r="438" spans="3:4">
      <c r="C438" s="33"/>
      <c r="D438" s="33"/>
    </row>
    <row r="439" spans="3:4">
      <c r="C439" s="33"/>
      <c r="D439" s="33"/>
    </row>
    <row r="440" spans="3:4">
      <c r="C440" s="33"/>
      <c r="D440" s="33"/>
    </row>
    <row r="441" spans="3:4">
      <c r="C441" s="33"/>
      <c r="D441" s="33"/>
    </row>
    <row r="442" spans="3:4">
      <c r="C442" s="33"/>
      <c r="D442" s="33"/>
    </row>
    <row r="443" spans="3:4">
      <c r="C443" s="33"/>
      <c r="D443" s="33"/>
    </row>
    <row r="444" spans="3:4">
      <c r="C444" s="33"/>
      <c r="D444" s="33"/>
    </row>
    <row r="445" spans="3:4">
      <c r="C445" s="33"/>
      <c r="D445" s="33"/>
    </row>
    <row r="446" spans="3:4">
      <c r="C446" s="33"/>
      <c r="D446" s="33"/>
    </row>
    <row r="447" spans="3:4">
      <c r="C447" s="33"/>
      <c r="D447" s="33"/>
    </row>
    <row r="448" spans="3:4">
      <c r="C448" s="33"/>
      <c r="D448" s="33"/>
    </row>
    <row r="449" spans="3:4">
      <c r="C449" s="33"/>
      <c r="D449" s="33"/>
    </row>
    <row r="450" spans="3:4">
      <c r="C450" s="33"/>
      <c r="D450" s="33"/>
    </row>
    <row r="451" spans="3:4">
      <c r="C451" s="33"/>
      <c r="D451" s="33"/>
    </row>
    <row r="452" spans="3:4">
      <c r="C452" s="33"/>
      <c r="D452" s="33"/>
    </row>
    <row r="453" spans="3:4">
      <c r="C453" s="33"/>
      <c r="D453" s="33"/>
    </row>
    <row r="454" spans="3:4">
      <c r="C454" s="33"/>
      <c r="D454" s="33"/>
    </row>
    <row r="455" spans="3:4">
      <c r="C455" s="33"/>
      <c r="D455" s="33"/>
    </row>
    <row r="456" spans="3:4">
      <c r="C456" s="33"/>
      <c r="D456" s="33"/>
    </row>
    <row r="457" spans="3:4">
      <c r="C457" s="33"/>
      <c r="D457" s="33"/>
    </row>
    <row r="458" spans="3:4">
      <c r="C458" s="33"/>
      <c r="D458" s="33"/>
    </row>
    <row r="459" spans="3:4">
      <c r="C459" s="33"/>
      <c r="D459" s="33"/>
    </row>
    <row r="460" spans="3:4">
      <c r="C460" s="33"/>
      <c r="D460" s="33"/>
    </row>
    <row r="461" spans="3:4">
      <c r="C461" s="33"/>
      <c r="D461" s="33"/>
    </row>
    <row r="462" spans="3:4">
      <c r="C462" s="33"/>
      <c r="D462" s="33"/>
    </row>
    <row r="463" spans="3:4">
      <c r="C463" s="33"/>
      <c r="D463" s="33"/>
    </row>
    <row r="464" spans="3:4">
      <c r="C464" s="33"/>
      <c r="D464" s="33"/>
    </row>
    <row r="465" spans="3:4">
      <c r="C465" s="33"/>
      <c r="D465" s="33"/>
    </row>
    <row r="466" spans="3:4">
      <c r="C466" s="33"/>
      <c r="D466" s="33"/>
    </row>
    <row r="467" spans="3:4">
      <c r="C467" s="33"/>
      <c r="D467" s="33"/>
    </row>
    <row r="468" spans="3:4">
      <c r="C468" s="33"/>
      <c r="D468" s="33"/>
    </row>
    <row r="469" spans="3:4">
      <c r="C469" s="33"/>
      <c r="D469" s="33"/>
    </row>
    <row r="470" spans="3:4">
      <c r="C470" s="33"/>
      <c r="D470" s="33"/>
    </row>
    <row r="471" spans="3:4">
      <c r="C471" s="33"/>
      <c r="D471" s="33"/>
    </row>
    <row r="472" spans="3:4">
      <c r="C472" s="33"/>
      <c r="D472" s="33"/>
    </row>
    <row r="473" spans="3:4">
      <c r="C473" s="33"/>
      <c r="D473" s="33"/>
    </row>
    <row r="474" spans="3:4">
      <c r="C474" s="33"/>
      <c r="D474" s="33"/>
    </row>
    <row r="475" spans="3:4">
      <c r="C475" s="33"/>
      <c r="D475" s="33"/>
    </row>
    <row r="476" spans="3:4">
      <c r="C476" s="33"/>
      <c r="D476" s="33"/>
    </row>
    <row r="477" spans="3:4">
      <c r="C477" s="33"/>
      <c r="D477" s="33"/>
    </row>
    <row r="478" spans="3:4">
      <c r="C478" s="33"/>
      <c r="D478" s="33"/>
    </row>
    <row r="479" spans="3:4">
      <c r="C479" s="33"/>
      <c r="D479" s="33"/>
    </row>
    <row r="480" spans="3:4">
      <c r="C480" s="33"/>
      <c r="D480" s="33"/>
    </row>
    <row r="481" spans="3:4">
      <c r="C481" s="33"/>
      <c r="D481" s="33"/>
    </row>
    <row r="482" spans="3:4">
      <c r="C482" s="33"/>
      <c r="D482" s="33"/>
    </row>
    <row r="483" spans="3:4">
      <c r="C483" s="33"/>
      <c r="D483" s="33"/>
    </row>
    <row r="484" spans="3:4">
      <c r="C484" s="33"/>
      <c r="D484" s="33"/>
    </row>
    <row r="485" spans="3:4">
      <c r="C485" s="33"/>
      <c r="D485" s="33"/>
    </row>
    <row r="486" spans="3:4">
      <c r="C486" s="33"/>
      <c r="D486" s="33"/>
    </row>
    <row r="487" spans="3:4">
      <c r="C487" s="33"/>
      <c r="D487" s="33"/>
    </row>
    <row r="488" spans="3:4">
      <c r="C488" s="33"/>
      <c r="D488" s="33"/>
    </row>
    <row r="489" spans="3:4">
      <c r="C489" s="33"/>
      <c r="D489" s="33"/>
    </row>
    <row r="490" spans="3:4">
      <c r="C490" s="33"/>
      <c r="D490" s="33"/>
    </row>
    <row r="491" spans="3:4">
      <c r="C491" s="33"/>
      <c r="D491" s="33"/>
    </row>
    <row r="492" spans="3:4">
      <c r="C492" s="33"/>
      <c r="D492" s="33"/>
    </row>
    <row r="493" spans="3:4">
      <c r="C493" s="33"/>
      <c r="D493" s="33"/>
    </row>
    <row r="494" spans="3:4">
      <c r="C494" s="33"/>
      <c r="D494" s="33"/>
    </row>
    <row r="495" spans="3:4">
      <c r="C495" s="33"/>
      <c r="D495" s="33"/>
    </row>
    <row r="496" spans="3:4">
      <c r="C496" s="33"/>
      <c r="D496" s="33"/>
    </row>
    <row r="497" spans="3:4">
      <c r="C497" s="33"/>
      <c r="D497" s="33"/>
    </row>
    <row r="498" spans="3:4">
      <c r="C498" s="33"/>
      <c r="D498" s="33"/>
    </row>
    <row r="499" spans="3:4">
      <c r="C499" s="33"/>
      <c r="D499" s="33"/>
    </row>
    <row r="500" spans="3:4">
      <c r="C500" s="33"/>
      <c r="D500" s="33"/>
    </row>
    <row r="501" spans="3:4">
      <c r="C501" s="33"/>
      <c r="D501" s="33"/>
    </row>
    <row r="502" spans="3:4">
      <c r="C502" s="33"/>
      <c r="D502" s="33"/>
    </row>
    <row r="503" spans="3:4">
      <c r="C503" s="33"/>
      <c r="D503" s="33"/>
    </row>
    <row r="504" spans="3:4">
      <c r="C504" s="33"/>
      <c r="D504" s="33"/>
    </row>
    <row r="505" spans="3:4">
      <c r="C505" s="33"/>
      <c r="D505" s="33"/>
    </row>
    <row r="506" spans="3:4">
      <c r="C506" s="33"/>
      <c r="D506" s="33"/>
    </row>
    <row r="507" spans="3:4">
      <c r="C507" s="33"/>
      <c r="D507" s="33"/>
    </row>
    <row r="508" spans="3:4">
      <c r="C508" s="33"/>
      <c r="D508" s="33"/>
    </row>
    <row r="509" spans="3:4">
      <c r="C509" s="33"/>
      <c r="D509" s="33"/>
    </row>
    <row r="510" spans="3:4">
      <c r="C510" s="33"/>
      <c r="D510" s="33"/>
    </row>
    <row r="511" spans="3:4">
      <c r="C511" s="33"/>
      <c r="D511" s="33"/>
    </row>
    <row r="512" spans="3:4">
      <c r="C512" s="33"/>
      <c r="D512" s="33"/>
    </row>
    <row r="513" spans="3:4">
      <c r="C513" s="33"/>
      <c r="D513" s="33"/>
    </row>
    <row r="514" spans="3:4">
      <c r="C514" s="33"/>
      <c r="D514" s="33"/>
    </row>
    <row r="515" spans="3:4">
      <c r="C515" s="33"/>
      <c r="D515" s="33"/>
    </row>
    <row r="516" spans="3:4">
      <c r="C516" s="33"/>
      <c r="D516" s="33"/>
    </row>
    <row r="517" spans="3:4">
      <c r="C517" s="33"/>
      <c r="D517" s="33"/>
    </row>
    <row r="518" spans="3:4">
      <c r="C518" s="33"/>
      <c r="D518" s="33"/>
    </row>
    <row r="519" spans="3:4">
      <c r="C519" s="33"/>
      <c r="D519" s="33"/>
    </row>
    <row r="520" spans="3:4">
      <c r="C520" s="33"/>
      <c r="D520" s="33"/>
    </row>
    <row r="521" spans="3:4">
      <c r="C521" s="33"/>
      <c r="D521" s="33"/>
    </row>
    <row r="522" spans="3:4">
      <c r="C522" s="33"/>
      <c r="D522" s="33"/>
    </row>
    <row r="523" spans="3:4">
      <c r="C523" s="33"/>
      <c r="D523" s="33"/>
    </row>
    <row r="524" spans="3:4">
      <c r="C524" s="33"/>
      <c r="D524" s="33"/>
    </row>
    <row r="525" spans="3:4">
      <c r="C525" s="33"/>
      <c r="D525" s="33"/>
    </row>
    <row r="526" spans="3:4">
      <c r="C526" s="33"/>
      <c r="D526" s="33"/>
    </row>
    <row r="527" spans="3:4">
      <c r="C527" s="33"/>
      <c r="D527" s="33"/>
    </row>
    <row r="528" spans="3:4">
      <c r="C528" s="33"/>
      <c r="D528" s="33"/>
    </row>
    <row r="529" spans="3:4">
      <c r="C529" s="33"/>
      <c r="D529" s="33"/>
    </row>
    <row r="530" spans="3:4">
      <c r="C530" s="33"/>
      <c r="D530" s="33"/>
    </row>
    <row r="531" spans="3:4">
      <c r="C531" s="33"/>
      <c r="D531" s="33"/>
    </row>
    <row r="532" spans="3:4">
      <c r="C532" s="33"/>
      <c r="D532" s="33"/>
    </row>
    <row r="533" spans="3:4">
      <c r="C533" s="33"/>
      <c r="D533" s="33"/>
    </row>
    <row r="534" spans="3:4">
      <c r="C534" s="33"/>
      <c r="D534" s="33"/>
    </row>
    <row r="535" spans="3:4">
      <c r="C535" s="33"/>
      <c r="D535" s="33"/>
    </row>
    <row r="536" spans="3:4">
      <c r="C536" s="33"/>
      <c r="D536" s="33"/>
    </row>
    <row r="537" spans="3:4">
      <c r="C537" s="33"/>
      <c r="D537" s="33"/>
    </row>
    <row r="538" spans="3:4">
      <c r="C538" s="33"/>
      <c r="D538" s="33"/>
    </row>
    <row r="539" spans="3:4">
      <c r="C539" s="33"/>
      <c r="D539" s="33"/>
    </row>
    <row r="540" spans="3:4">
      <c r="C540" s="33"/>
      <c r="D540" s="33"/>
    </row>
    <row r="541" spans="3:4">
      <c r="C541" s="33"/>
      <c r="D541" s="33"/>
    </row>
    <row r="542" spans="3:4">
      <c r="C542" s="33"/>
      <c r="D542" s="33"/>
    </row>
    <row r="543" spans="3:4">
      <c r="C543" s="33"/>
      <c r="D543" s="33"/>
    </row>
    <row r="544" spans="3:4">
      <c r="C544" s="33"/>
      <c r="D544" s="33"/>
    </row>
    <row r="545" spans="3:4">
      <c r="C545" s="33"/>
      <c r="D545" s="33"/>
    </row>
    <row r="546" spans="3:4">
      <c r="C546" s="33"/>
      <c r="D546" s="33"/>
    </row>
    <row r="547" spans="3:4">
      <c r="C547" s="33"/>
      <c r="D547" s="33"/>
    </row>
    <row r="548" spans="3:4">
      <c r="C548" s="33"/>
      <c r="D548" s="33"/>
    </row>
    <row r="549" spans="3:4">
      <c r="C549" s="33"/>
      <c r="D549" s="33"/>
    </row>
    <row r="550" spans="3:4">
      <c r="C550" s="33"/>
      <c r="D550" s="33"/>
    </row>
    <row r="551" spans="3:4">
      <c r="C551" s="33"/>
      <c r="D551" s="33"/>
    </row>
    <row r="552" spans="3:4">
      <c r="C552" s="33"/>
      <c r="D552" s="33"/>
    </row>
    <row r="553" spans="3:4">
      <c r="C553" s="33"/>
      <c r="D553" s="33"/>
    </row>
    <row r="554" spans="3:4">
      <c r="C554" s="33"/>
      <c r="D554" s="33"/>
    </row>
    <row r="555" spans="3:4">
      <c r="C555" s="33"/>
      <c r="D555" s="33"/>
    </row>
    <row r="556" spans="3:4">
      <c r="C556" s="33"/>
      <c r="D556" s="33"/>
    </row>
    <row r="557" spans="3:4">
      <c r="C557" s="33"/>
      <c r="D557" s="33"/>
    </row>
    <row r="558" spans="3:4">
      <c r="C558" s="33"/>
      <c r="D558" s="33"/>
    </row>
    <row r="559" spans="3:4">
      <c r="C559" s="33"/>
      <c r="D559" s="33"/>
    </row>
    <row r="560" spans="3:4">
      <c r="C560" s="33"/>
      <c r="D560" s="33"/>
    </row>
    <row r="561" spans="3:4">
      <c r="C561" s="33"/>
      <c r="D561" s="33"/>
    </row>
    <row r="562" spans="3:4">
      <c r="C562" s="33"/>
      <c r="D562" s="33"/>
    </row>
    <row r="563" spans="3:4">
      <c r="C563" s="33"/>
      <c r="D563" s="33"/>
    </row>
    <row r="564" spans="3:4">
      <c r="C564" s="33"/>
      <c r="D564" s="33"/>
    </row>
    <row r="565" spans="3:4">
      <c r="C565" s="33"/>
      <c r="D565" s="33"/>
    </row>
    <row r="566" spans="3:4">
      <c r="C566" s="33"/>
      <c r="D566" s="33"/>
    </row>
    <row r="567" spans="3:4">
      <c r="C567" s="33"/>
      <c r="D567" s="33"/>
    </row>
    <row r="568" spans="3:4">
      <c r="C568" s="33"/>
      <c r="D568" s="33"/>
    </row>
    <row r="569" spans="3:4">
      <c r="C569" s="33"/>
      <c r="D569" s="33"/>
    </row>
    <row r="570" spans="3:4">
      <c r="C570" s="33"/>
      <c r="D570" s="33"/>
    </row>
    <row r="571" spans="3:4">
      <c r="C571" s="33"/>
      <c r="D571" s="33"/>
    </row>
    <row r="572" spans="3:4">
      <c r="C572" s="33"/>
      <c r="D572" s="33"/>
    </row>
    <row r="573" spans="3:4">
      <c r="C573" s="33"/>
      <c r="D573" s="33"/>
    </row>
    <row r="574" spans="3:4">
      <c r="C574" s="33"/>
      <c r="D574" s="33"/>
    </row>
    <row r="575" spans="3:4">
      <c r="C575" s="33"/>
      <c r="D575" s="33"/>
    </row>
    <row r="576" spans="3:4">
      <c r="C576" s="33"/>
      <c r="D576" s="33"/>
    </row>
    <row r="577" spans="3:4">
      <c r="C577" s="33"/>
      <c r="D577" s="33"/>
    </row>
    <row r="578" spans="3:4">
      <c r="C578" s="33"/>
      <c r="D578" s="33"/>
    </row>
    <row r="579" spans="3:4">
      <c r="C579" s="33"/>
      <c r="D579" s="33"/>
    </row>
    <row r="580" spans="3:4">
      <c r="C580" s="33"/>
      <c r="D580" s="33"/>
    </row>
    <row r="581" spans="3:4">
      <c r="C581" s="33"/>
      <c r="D581" s="33"/>
    </row>
    <row r="582" spans="3:4">
      <c r="C582" s="33"/>
      <c r="D582" s="33"/>
    </row>
    <row r="583" spans="3:4">
      <c r="C583" s="33"/>
      <c r="D583" s="33"/>
    </row>
    <row r="584" spans="3:4">
      <c r="C584" s="33"/>
      <c r="D584" s="33"/>
    </row>
    <row r="585" spans="3:4">
      <c r="C585" s="33"/>
      <c r="D585" s="33"/>
    </row>
    <row r="586" spans="3:4">
      <c r="C586" s="33"/>
      <c r="D586" s="33"/>
    </row>
    <row r="587" spans="3:4">
      <c r="C587" s="33"/>
      <c r="D587" s="33"/>
    </row>
    <row r="588" spans="3:4">
      <c r="C588" s="33"/>
      <c r="D588" s="33"/>
    </row>
    <row r="589" spans="3:4">
      <c r="C589" s="33"/>
      <c r="D589" s="33"/>
    </row>
    <row r="590" spans="3:4">
      <c r="C590" s="33"/>
      <c r="D590" s="33"/>
    </row>
    <row r="591" spans="3:4">
      <c r="C591" s="33"/>
      <c r="D591" s="33"/>
    </row>
    <row r="592" spans="3:4">
      <c r="C592" s="33"/>
      <c r="D592" s="33"/>
    </row>
    <row r="593" spans="3:4">
      <c r="C593" s="33"/>
      <c r="D593" s="33"/>
    </row>
    <row r="594" spans="3:4">
      <c r="C594" s="33"/>
      <c r="D594" s="33"/>
    </row>
    <row r="595" spans="3:4">
      <c r="C595" s="33"/>
      <c r="D595" s="33"/>
    </row>
    <row r="596" spans="3:4">
      <c r="C596" s="33"/>
      <c r="D596" s="33"/>
    </row>
    <row r="597" spans="3:4">
      <c r="C597" s="33"/>
      <c r="D597" s="33"/>
    </row>
    <row r="598" spans="3:4">
      <c r="C598" s="33"/>
      <c r="D598" s="33"/>
    </row>
    <row r="599" spans="3:4">
      <c r="C599" s="33"/>
      <c r="D599" s="33"/>
    </row>
    <row r="600" spans="3:4">
      <c r="C600" s="33"/>
      <c r="D600" s="33"/>
    </row>
    <row r="601" spans="3:4">
      <c r="C601" s="33"/>
      <c r="D601" s="33"/>
    </row>
    <row r="602" spans="3:4">
      <c r="C602" s="33"/>
      <c r="D602" s="33"/>
    </row>
    <row r="603" spans="3:4">
      <c r="C603" s="33"/>
      <c r="D603" s="33"/>
    </row>
    <row r="604" spans="3:4">
      <c r="C604" s="33"/>
      <c r="D604" s="33"/>
    </row>
    <row r="605" spans="3:4">
      <c r="C605" s="33"/>
      <c r="D605" s="33"/>
    </row>
    <row r="606" spans="3:4">
      <c r="C606" s="33"/>
      <c r="D606" s="33"/>
    </row>
    <row r="607" spans="3:4">
      <c r="C607" s="33"/>
      <c r="D607" s="33"/>
    </row>
    <row r="608" spans="3:4">
      <c r="C608" s="33"/>
      <c r="D608" s="33"/>
    </row>
    <row r="609" spans="3:4">
      <c r="C609" s="33"/>
      <c r="D609" s="33"/>
    </row>
    <row r="610" spans="3:4">
      <c r="C610" s="33"/>
      <c r="D610" s="33"/>
    </row>
    <row r="611" spans="3:4">
      <c r="C611" s="33"/>
      <c r="D611" s="33"/>
    </row>
    <row r="612" spans="3:4">
      <c r="C612" s="33"/>
      <c r="D612" s="33"/>
    </row>
    <row r="613" spans="3:4">
      <c r="C613" s="33"/>
      <c r="D613" s="33"/>
    </row>
    <row r="614" spans="3:4">
      <c r="C614" s="33"/>
      <c r="D614" s="33"/>
    </row>
    <row r="615" spans="3:4">
      <c r="C615" s="33"/>
      <c r="D615" s="33"/>
    </row>
    <row r="616" spans="3:4">
      <c r="C616" s="33"/>
      <c r="D616" s="33"/>
    </row>
    <row r="617" spans="3:4">
      <c r="C617" s="33"/>
      <c r="D617" s="33"/>
    </row>
    <row r="618" spans="3:4">
      <c r="C618" s="33"/>
      <c r="D618" s="33"/>
    </row>
    <row r="619" spans="3:4">
      <c r="C619" s="33"/>
      <c r="D619" s="33"/>
    </row>
    <row r="620" spans="3:4">
      <c r="C620" s="33"/>
      <c r="D620" s="33"/>
    </row>
    <row r="621" spans="3:4">
      <c r="C621" s="33"/>
      <c r="D621" s="33"/>
    </row>
    <row r="622" spans="3:4">
      <c r="C622" s="33"/>
      <c r="D622" s="33"/>
    </row>
    <row r="623" spans="3:4">
      <c r="C623" s="33"/>
      <c r="D623" s="33"/>
    </row>
    <row r="624" spans="3:4">
      <c r="C624" s="33"/>
      <c r="D624" s="33"/>
    </row>
    <row r="625" spans="3:4">
      <c r="C625" s="33"/>
      <c r="D625" s="33"/>
    </row>
    <row r="626" spans="3:4">
      <c r="C626" s="33"/>
      <c r="D626" s="33"/>
    </row>
    <row r="627" spans="3:4">
      <c r="C627" s="33"/>
      <c r="D627" s="33"/>
    </row>
    <row r="628" spans="3:4">
      <c r="C628" s="33"/>
      <c r="D628" s="33"/>
    </row>
    <row r="629" spans="3:4">
      <c r="C629" s="33"/>
      <c r="D629" s="33"/>
    </row>
    <row r="630" spans="3:4">
      <c r="C630" s="33"/>
      <c r="D630" s="33"/>
    </row>
    <row r="631" spans="3:4">
      <c r="C631" s="33"/>
      <c r="D631" s="33"/>
    </row>
    <row r="632" spans="3:4">
      <c r="C632" s="33"/>
      <c r="D632" s="33"/>
    </row>
    <row r="633" spans="3:4">
      <c r="C633" s="33"/>
      <c r="D633" s="33"/>
    </row>
    <row r="634" spans="3:4">
      <c r="C634" s="33"/>
      <c r="D634" s="33"/>
    </row>
    <row r="635" spans="3:4">
      <c r="C635" s="33"/>
      <c r="D635" s="33"/>
    </row>
    <row r="636" spans="3:4">
      <c r="C636" s="33"/>
      <c r="D636" s="33"/>
    </row>
    <row r="637" spans="3:4">
      <c r="C637" s="33"/>
      <c r="D637" s="33"/>
    </row>
    <row r="638" spans="3:4">
      <c r="C638" s="33"/>
      <c r="D638" s="33"/>
    </row>
    <row r="639" spans="3:4">
      <c r="C639" s="33"/>
      <c r="D639" s="33"/>
    </row>
    <row r="640" spans="3:4">
      <c r="C640" s="33"/>
      <c r="D640" s="33"/>
    </row>
    <row r="641" spans="3:4">
      <c r="C641" s="33"/>
      <c r="D641" s="33"/>
    </row>
    <row r="642" spans="3:4">
      <c r="C642" s="33"/>
      <c r="D642" s="33"/>
    </row>
    <row r="643" spans="3:4">
      <c r="C643" s="33"/>
      <c r="D643" s="33"/>
    </row>
    <row r="644" spans="3:4">
      <c r="C644" s="33"/>
      <c r="D644" s="33"/>
    </row>
    <row r="645" spans="3:4">
      <c r="C645" s="33"/>
      <c r="D645" s="33"/>
    </row>
    <row r="646" spans="3:4">
      <c r="C646" s="33"/>
      <c r="D646" s="33"/>
    </row>
    <row r="647" spans="3:4">
      <c r="C647" s="33"/>
      <c r="D647" s="33"/>
    </row>
    <row r="648" spans="3:4">
      <c r="C648" s="33"/>
      <c r="D648" s="33"/>
    </row>
    <row r="649" spans="3:4">
      <c r="C649" s="33"/>
      <c r="D649" s="33"/>
    </row>
    <row r="650" spans="3:4">
      <c r="C650" s="33"/>
      <c r="D650" s="33"/>
    </row>
    <row r="651" spans="3:4">
      <c r="C651" s="33"/>
      <c r="D651" s="33"/>
    </row>
    <row r="652" spans="3:4">
      <c r="C652" s="33"/>
      <c r="D652" s="33"/>
    </row>
    <row r="653" spans="3:4">
      <c r="C653" s="33"/>
      <c r="D653" s="33"/>
    </row>
    <row r="654" spans="3:4">
      <c r="C654" s="33"/>
      <c r="D654" s="33"/>
    </row>
    <row r="655" spans="3:4">
      <c r="C655" s="33"/>
      <c r="D655" s="33"/>
    </row>
    <row r="656" spans="3:4">
      <c r="C656" s="33"/>
      <c r="D656" s="33"/>
    </row>
    <row r="657" spans="3:4">
      <c r="C657" s="33"/>
      <c r="D657" s="33"/>
    </row>
    <row r="658" spans="3:4">
      <c r="C658" s="33"/>
      <c r="D658" s="33"/>
    </row>
    <row r="659" spans="3:4">
      <c r="C659" s="33"/>
      <c r="D659" s="33"/>
    </row>
    <row r="660" spans="3:4">
      <c r="C660" s="33"/>
      <c r="D660" s="33"/>
    </row>
    <row r="661" spans="3:4">
      <c r="C661" s="33"/>
      <c r="D661" s="33"/>
    </row>
    <row r="662" spans="3:4">
      <c r="C662" s="33"/>
      <c r="D662" s="33"/>
    </row>
    <row r="663" spans="3:4">
      <c r="C663" s="33"/>
      <c r="D663" s="33"/>
    </row>
    <row r="664" spans="3:4">
      <c r="C664" s="33"/>
      <c r="D664" s="33"/>
    </row>
    <row r="665" spans="3:4">
      <c r="C665" s="33"/>
      <c r="D665" s="33"/>
    </row>
    <row r="666" spans="3:4">
      <c r="C666" s="33"/>
      <c r="D666" s="33"/>
    </row>
    <row r="667" spans="3:4">
      <c r="C667" s="33"/>
      <c r="D667" s="33"/>
    </row>
    <row r="668" spans="3:4">
      <c r="C668" s="33"/>
      <c r="D668" s="33"/>
    </row>
    <row r="669" spans="3:4">
      <c r="C669" s="33"/>
      <c r="D669" s="33"/>
    </row>
    <row r="670" spans="3:4">
      <c r="C670" s="33"/>
      <c r="D670" s="33"/>
    </row>
    <row r="671" spans="3:4">
      <c r="C671" s="33"/>
      <c r="D671" s="33"/>
    </row>
    <row r="672" spans="3:4">
      <c r="C672" s="33"/>
      <c r="D672" s="33"/>
    </row>
    <row r="673" spans="3:4">
      <c r="C673" s="33"/>
      <c r="D673" s="33"/>
    </row>
    <row r="674" spans="3:4">
      <c r="C674" s="33"/>
      <c r="D674" s="33"/>
    </row>
    <row r="675" spans="3:4">
      <c r="C675" s="33"/>
      <c r="D675" s="33"/>
    </row>
    <row r="676" spans="3:4">
      <c r="C676" s="33"/>
      <c r="D676" s="33"/>
    </row>
    <row r="677" spans="3:4">
      <c r="C677" s="33"/>
      <c r="D677" s="33"/>
    </row>
    <row r="678" spans="3:4">
      <c r="C678" s="33"/>
      <c r="D678" s="33"/>
    </row>
    <row r="679" spans="3:4">
      <c r="C679" s="33"/>
      <c r="D679" s="33"/>
    </row>
    <row r="680" spans="3:4">
      <c r="C680" s="33"/>
      <c r="D680" s="33"/>
    </row>
    <row r="681" spans="3:4">
      <c r="C681" s="33"/>
      <c r="D681" s="33"/>
    </row>
    <row r="682" spans="3:4">
      <c r="C682" s="33"/>
      <c r="D682" s="33"/>
    </row>
    <row r="683" spans="3:4">
      <c r="C683" s="33"/>
      <c r="D683" s="33"/>
    </row>
    <row r="684" spans="3:4">
      <c r="C684" s="33"/>
      <c r="D684" s="33"/>
    </row>
    <row r="685" spans="3:4">
      <c r="C685" s="33"/>
      <c r="D685" s="33"/>
    </row>
    <row r="686" spans="3:4">
      <c r="C686" s="33"/>
      <c r="D686" s="33"/>
    </row>
    <row r="687" spans="3:4">
      <c r="C687" s="33"/>
      <c r="D687" s="33"/>
    </row>
    <row r="688" spans="3:4">
      <c r="C688" s="33"/>
      <c r="D688" s="33"/>
    </row>
    <row r="689" spans="3:4">
      <c r="C689" s="33"/>
      <c r="D689" s="33"/>
    </row>
    <row r="690" spans="3:4">
      <c r="C690" s="33"/>
      <c r="D690" s="33"/>
    </row>
    <row r="691" spans="3:4">
      <c r="C691" s="33"/>
      <c r="D691" s="33"/>
    </row>
    <row r="692" spans="3:4">
      <c r="C692" s="33"/>
      <c r="D692" s="33"/>
    </row>
    <row r="693" spans="3:4">
      <c r="C693" s="33"/>
      <c r="D693" s="33"/>
    </row>
    <row r="694" spans="3:4">
      <c r="C694" s="33"/>
      <c r="D694" s="33"/>
    </row>
    <row r="695" spans="3:4">
      <c r="C695" s="33"/>
      <c r="D695" s="33"/>
    </row>
    <row r="696" spans="3:4">
      <c r="C696" s="33"/>
      <c r="D696" s="33"/>
    </row>
    <row r="697" spans="3:4">
      <c r="C697" s="33"/>
      <c r="D697" s="33"/>
    </row>
    <row r="698" spans="3:4">
      <c r="C698" s="33"/>
      <c r="D698" s="33"/>
    </row>
    <row r="699" spans="3:4">
      <c r="C699" s="33"/>
      <c r="D699" s="33"/>
    </row>
    <row r="700" spans="3:4">
      <c r="C700" s="33"/>
      <c r="D700" s="33"/>
    </row>
    <row r="701" spans="3:4">
      <c r="C701" s="33"/>
      <c r="D701" s="33"/>
    </row>
    <row r="702" spans="3:4">
      <c r="C702" s="33"/>
      <c r="D702" s="33"/>
    </row>
    <row r="703" spans="3:4">
      <c r="C703" s="33"/>
      <c r="D703" s="33"/>
    </row>
    <row r="704" spans="3:4">
      <c r="C704" s="33"/>
      <c r="D704" s="33"/>
    </row>
    <row r="705" spans="3:4">
      <c r="C705" s="33"/>
      <c r="D705" s="33"/>
    </row>
    <row r="706" spans="3:4">
      <c r="C706" s="33"/>
      <c r="D706" s="33"/>
    </row>
    <row r="707" spans="3:4">
      <c r="C707" s="33"/>
      <c r="D707" s="33"/>
    </row>
    <row r="708" spans="3:4">
      <c r="C708" s="33"/>
      <c r="D708" s="33"/>
    </row>
    <row r="709" spans="3:4">
      <c r="C709" s="33"/>
      <c r="D709" s="33"/>
    </row>
    <row r="710" spans="3:4">
      <c r="C710" s="33"/>
      <c r="D710" s="33"/>
    </row>
    <row r="711" spans="3:4">
      <c r="C711" s="33"/>
      <c r="D711" s="33"/>
    </row>
    <row r="712" spans="3:4">
      <c r="C712" s="33"/>
      <c r="D712" s="33"/>
    </row>
    <row r="713" spans="3:4">
      <c r="C713" s="33"/>
      <c r="D713" s="33"/>
    </row>
    <row r="714" spans="3:4">
      <c r="C714" s="33"/>
      <c r="D714" s="33"/>
    </row>
    <row r="715" spans="3:4">
      <c r="C715" s="33"/>
      <c r="D715" s="33"/>
    </row>
    <row r="716" spans="3:4">
      <c r="C716" s="33"/>
      <c r="D716" s="33"/>
    </row>
    <row r="717" spans="3:4">
      <c r="C717" s="33"/>
      <c r="D717" s="33"/>
    </row>
    <row r="718" spans="3:4">
      <c r="C718" s="33"/>
      <c r="D718" s="33"/>
    </row>
    <row r="719" spans="3:4">
      <c r="C719" s="33"/>
      <c r="D719" s="33"/>
    </row>
    <row r="720" spans="3:4">
      <c r="C720" s="33"/>
      <c r="D720" s="33"/>
    </row>
    <row r="721" spans="3:4">
      <c r="C721" s="33"/>
      <c r="D721" s="33"/>
    </row>
    <row r="722" spans="3:4">
      <c r="C722" s="33"/>
      <c r="D722" s="33"/>
    </row>
    <row r="723" spans="3:4">
      <c r="C723" s="33"/>
      <c r="D723" s="33"/>
    </row>
    <row r="724" spans="3:4">
      <c r="C724" s="33"/>
      <c r="D724" s="33"/>
    </row>
    <row r="725" spans="3:4">
      <c r="C725" s="33"/>
      <c r="D725" s="33"/>
    </row>
    <row r="726" spans="3:4">
      <c r="C726" s="33"/>
      <c r="D726" s="33"/>
    </row>
    <row r="727" spans="3:4">
      <c r="C727" s="33"/>
      <c r="D727" s="33"/>
    </row>
    <row r="728" spans="3:4">
      <c r="C728" s="33"/>
      <c r="D728" s="33"/>
    </row>
    <row r="729" spans="3:4">
      <c r="C729" s="33"/>
      <c r="D729" s="33"/>
    </row>
    <row r="730" spans="3:4">
      <c r="C730" s="33"/>
      <c r="D730" s="33"/>
    </row>
    <row r="731" spans="3:4">
      <c r="C731" s="33"/>
      <c r="D731" s="33"/>
    </row>
    <row r="732" spans="3:4">
      <c r="C732" s="33"/>
      <c r="D732" s="33"/>
    </row>
    <row r="733" spans="3:4">
      <c r="C733" s="33"/>
      <c r="D733" s="33"/>
    </row>
    <row r="734" spans="3:4">
      <c r="C734" s="33"/>
      <c r="D734" s="33"/>
    </row>
    <row r="735" spans="3:4">
      <c r="C735" s="33"/>
      <c r="D735" s="33"/>
    </row>
    <row r="736" spans="3:4">
      <c r="C736" s="33"/>
      <c r="D736" s="33"/>
    </row>
    <row r="737" spans="3:4">
      <c r="C737" s="33"/>
      <c r="D737" s="33"/>
    </row>
    <row r="738" spans="3:4">
      <c r="C738" s="33"/>
      <c r="D738" s="33"/>
    </row>
    <row r="739" spans="3:4">
      <c r="C739" s="33"/>
      <c r="D739" s="33"/>
    </row>
    <row r="740" spans="3:4">
      <c r="C740" s="33"/>
      <c r="D740" s="33"/>
    </row>
    <row r="741" spans="3:4">
      <c r="C741" s="33"/>
      <c r="D741" s="33"/>
    </row>
    <row r="742" spans="3:4">
      <c r="C742" s="33"/>
      <c r="D742" s="33"/>
    </row>
    <row r="743" spans="3:4">
      <c r="C743" s="33"/>
      <c r="D743" s="33"/>
    </row>
    <row r="744" spans="3:4">
      <c r="C744" s="33"/>
      <c r="D744" s="33"/>
    </row>
    <row r="745" spans="3:4">
      <c r="C745" s="33"/>
      <c r="D745" s="33"/>
    </row>
    <row r="746" spans="3:4">
      <c r="C746" s="33"/>
      <c r="D746" s="33"/>
    </row>
    <row r="747" spans="3:4">
      <c r="C747" s="33"/>
      <c r="D747" s="33"/>
    </row>
    <row r="748" spans="3:4">
      <c r="C748" s="33"/>
      <c r="D748" s="33"/>
    </row>
    <row r="749" spans="3:4">
      <c r="C749" s="33"/>
      <c r="D749" s="33"/>
    </row>
    <row r="750" spans="3:4">
      <c r="C750" s="33"/>
      <c r="D750" s="33"/>
    </row>
    <row r="751" spans="3:4">
      <c r="C751" s="33"/>
      <c r="D751" s="33"/>
    </row>
    <row r="752" spans="3:4">
      <c r="C752" s="33"/>
      <c r="D752" s="33"/>
    </row>
    <row r="753" spans="3:4">
      <c r="C753" s="33"/>
      <c r="D753" s="33"/>
    </row>
    <row r="754" spans="3:4">
      <c r="C754" s="33"/>
      <c r="D754" s="33"/>
    </row>
    <row r="755" spans="3:4">
      <c r="C755" s="33"/>
      <c r="D755" s="33"/>
    </row>
    <row r="756" spans="3:4">
      <c r="C756" s="33"/>
      <c r="D756" s="33"/>
    </row>
    <row r="757" spans="3:4">
      <c r="C757" s="33"/>
      <c r="D757" s="33"/>
    </row>
    <row r="758" spans="3:4">
      <c r="C758" s="33"/>
      <c r="D758" s="33"/>
    </row>
    <row r="759" spans="3:4">
      <c r="C759" s="33"/>
      <c r="D759" s="33"/>
    </row>
    <row r="760" spans="3:4">
      <c r="C760" s="33"/>
      <c r="D760" s="33"/>
    </row>
    <row r="761" spans="3:4">
      <c r="C761" s="33"/>
      <c r="D761" s="33"/>
    </row>
    <row r="762" spans="3:4">
      <c r="C762" s="33"/>
      <c r="D762" s="33"/>
    </row>
    <row r="763" spans="3:4">
      <c r="C763" s="33"/>
      <c r="D763" s="33"/>
    </row>
    <row r="764" spans="3:4">
      <c r="C764" s="33"/>
      <c r="D764" s="33"/>
    </row>
    <row r="765" spans="3:4">
      <c r="C765" s="33"/>
      <c r="D765" s="33"/>
    </row>
    <row r="766" spans="3:4">
      <c r="C766" s="33"/>
      <c r="D766" s="33"/>
    </row>
    <row r="767" spans="3:4">
      <c r="C767" s="33"/>
      <c r="D767" s="33"/>
    </row>
    <row r="768" spans="3:4">
      <c r="C768" s="33"/>
      <c r="D768" s="33"/>
    </row>
    <row r="769" spans="3:4">
      <c r="C769" s="33"/>
      <c r="D769" s="33"/>
    </row>
    <row r="770" spans="3:4">
      <c r="C770" s="33"/>
      <c r="D770" s="33"/>
    </row>
    <row r="771" spans="3:4">
      <c r="C771" s="33"/>
      <c r="D771" s="33"/>
    </row>
    <row r="772" spans="3:4">
      <c r="C772" s="33"/>
      <c r="D772" s="33"/>
    </row>
    <row r="773" spans="3:4">
      <c r="C773" s="33"/>
      <c r="D773" s="33"/>
    </row>
    <row r="774" spans="3:4">
      <c r="C774" s="33"/>
      <c r="D774" s="33"/>
    </row>
    <row r="775" spans="3:4">
      <c r="C775" s="33"/>
      <c r="D775" s="33"/>
    </row>
    <row r="776" spans="3:4">
      <c r="C776" s="33"/>
      <c r="D776" s="33"/>
    </row>
    <row r="777" spans="3:4">
      <c r="C777" s="33"/>
      <c r="D777" s="33"/>
    </row>
    <row r="778" spans="3:4">
      <c r="C778" s="33"/>
      <c r="D778" s="33"/>
    </row>
    <row r="779" spans="3:4">
      <c r="C779" s="33"/>
      <c r="D779" s="33"/>
    </row>
    <row r="780" spans="3:4">
      <c r="C780" s="33"/>
      <c r="D780" s="33"/>
    </row>
    <row r="781" spans="3:4">
      <c r="C781" s="33"/>
      <c r="D781" s="33"/>
    </row>
    <row r="782" spans="3:4">
      <c r="C782" s="33"/>
      <c r="D782" s="33"/>
    </row>
    <row r="783" spans="3:4">
      <c r="C783" s="33"/>
      <c r="D783" s="33"/>
    </row>
    <row r="784" spans="3:4">
      <c r="C784" s="33"/>
      <c r="D784" s="33"/>
    </row>
    <row r="785" spans="3:4">
      <c r="C785" s="33"/>
      <c r="D785" s="33"/>
    </row>
    <row r="786" spans="3:4">
      <c r="C786" s="33"/>
      <c r="D786" s="33"/>
    </row>
    <row r="787" spans="3:4">
      <c r="C787" s="33"/>
      <c r="D787" s="33"/>
    </row>
    <row r="788" spans="3:4">
      <c r="C788" s="33"/>
      <c r="D788" s="33"/>
    </row>
    <row r="789" spans="3:4">
      <c r="C789" s="33"/>
      <c r="D789" s="33"/>
    </row>
    <row r="790" spans="3:4">
      <c r="C790" s="33"/>
      <c r="D790" s="33"/>
    </row>
    <row r="791" spans="3:4">
      <c r="C791" s="33"/>
      <c r="D791" s="33"/>
    </row>
    <row r="792" spans="3:4">
      <c r="C792" s="33"/>
      <c r="D792" s="33"/>
    </row>
    <row r="793" spans="3:4">
      <c r="C793" s="33"/>
      <c r="D793" s="33"/>
    </row>
    <row r="794" spans="3:4">
      <c r="C794" s="33"/>
      <c r="D794" s="33"/>
    </row>
    <row r="795" spans="3:4">
      <c r="C795" s="33"/>
      <c r="D795" s="33"/>
    </row>
    <row r="796" spans="3:4">
      <c r="C796" s="33"/>
      <c r="D796" s="33"/>
    </row>
    <row r="797" spans="3:4">
      <c r="C797" s="33"/>
      <c r="D797" s="33"/>
    </row>
    <row r="798" spans="3:4">
      <c r="C798" s="33"/>
      <c r="D798" s="33"/>
    </row>
    <row r="799" spans="3:4">
      <c r="C799" s="33"/>
      <c r="D799" s="33"/>
    </row>
    <row r="800" spans="3:4">
      <c r="C800" s="33"/>
      <c r="D800" s="33"/>
    </row>
    <row r="801" spans="3:4">
      <c r="C801" s="33"/>
      <c r="D801" s="33"/>
    </row>
    <row r="802" spans="3:4">
      <c r="C802" s="33"/>
      <c r="D802" s="33"/>
    </row>
    <row r="803" spans="3:4">
      <c r="C803" s="33"/>
      <c r="D803" s="33"/>
    </row>
    <row r="804" spans="3:4">
      <c r="C804" s="33"/>
      <c r="D804" s="33"/>
    </row>
    <row r="805" spans="3:4">
      <c r="C805" s="33"/>
      <c r="D805" s="33"/>
    </row>
    <row r="806" spans="3:4">
      <c r="C806" s="33"/>
      <c r="D806" s="33"/>
    </row>
    <row r="807" spans="3:4">
      <c r="C807" s="33"/>
      <c r="D807" s="33"/>
    </row>
    <row r="808" spans="3:4">
      <c r="C808" s="33"/>
      <c r="D808" s="33"/>
    </row>
    <row r="809" spans="3:4">
      <c r="C809" s="33"/>
      <c r="D809" s="33"/>
    </row>
    <row r="810" spans="3:4">
      <c r="C810" s="33"/>
      <c r="D810" s="33"/>
    </row>
    <row r="811" spans="3:4">
      <c r="C811" s="33"/>
      <c r="D811" s="33"/>
    </row>
    <row r="812" spans="3:4">
      <c r="C812" s="33"/>
      <c r="D812" s="33"/>
    </row>
    <row r="813" spans="3:4">
      <c r="C813" s="33"/>
      <c r="D813" s="33"/>
    </row>
    <row r="814" spans="3:4">
      <c r="C814" s="33"/>
      <c r="D814" s="33"/>
    </row>
    <row r="815" spans="3:4">
      <c r="C815" s="33"/>
      <c r="D815" s="33"/>
    </row>
    <row r="816" spans="3:4">
      <c r="C816" s="33"/>
      <c r="D816" s="33"/>
    </row>
    <row r="817" spans="3:4">
      <c r="C817" s="33"/>
      <c r="D817" s="33"/>
    </row>
    <row r="818" spans="3:4">
      <c r="C818" s="33"/>
      <c r="D818" s="33"/>
    </row>
    <row r="819" spans="3:4">
      <c r="C819" s="33"/>
      <c r="D819" s="33"/>
    </row>
    <row r="820" spans="3:4">
      <c r="C820" s="33"/>
      <c r="D820" s="33"/>
    </row>
    <row r="821" spans="3:4">
      <c r="C821" s="33"/>
      <c r="D821" s="33"/>
    </row>
    <row r="822" spans="3:4">
      <c r="C822" s="33"/>
      <c r="D822" s="33"/>
    </row>
    <row r="823" spans="3:4">
      <c r="C823" s="33"/>
      <c r="D823" s="33"/>
    </row>
    <row r="824" spans="3:4">
      <c r="C824" s="33"/>
      <c r="D824" s="33"/>
    </row>
    <row r="825" spans="3:4">
      <c r="C825" s="33"/>
      <c r="D825" s="33"/>
    </row>
    <row r="826" spans="3:4">
      <c r="C826" s="33"/>
      <c r="D826" s="33"/>
    </row>
    <row r="827" spans="3:4">
      <c r="C827" s="33"/>
      <c r="D827" s="33"/>
    </row>
    <row r="828" spans="3:4">
      <c r="C828" s="33"/>
      <c r="D828" s="33"/>
    </row>
    <row r="829" spans="3:4">
      <c r="C829" s="33"/>
      <c r="D829" s="33"/>
    </row>
    <row r="830" spans="3:4">
      <c r="C830" s="33"/>
      <c r="D830" s="33"/>
    </row>
    <row r="831" spans="3:4">
      <c r="C831" s="33"/>
      <c r="D831" s="33"/>
    </row>
    <row r="832" spans="3:4">
      <c r="C832" s="33"/>
      <c r="D832" s="33"/>
    </row>
    <row r="833" spans="3:4">
      <c r="C833" s="33"/>
      <c r="D833" s="33"/>
    </row>
    <row r="834" spans="3:4">
      <c r="C834" s="33"/>
      <c r="D834" s="33"/>
    </row>
    <row r="835" spans="3:4">
      <c r="C835" s="33"/>
      <c r="D835" s="33"/>
    </row>
    <row r="836" spans="3:4">
      <c r="C836" s="33"/>
      <c r="D836" s="33"/>
    </row>
    <row r="837" spans="3:4">
      <c r="C837" s="33"/>
      <c r="D837" s="33"/>
    </row>
    <row r="838" spans="3:4">
      <c r="C838" s="33"/>
      <c r="D838" s="33"/>
    </row>
    <row r="839" spans="3:4">
      <c r="C839" s="33"/>
      <c r="D839" s="33"/>
    </row>
    <row r="840" spans="3:4">
      <c r="C840" s="33"/>
      <c r="D840" s="33"/>
    </row>
    <row r="841" spans="3:4">
      <c r="C841" s="33"/>
      <c r="D841" s="33"/>
    </row>
    <row r="842" spans="3:4">
      <c r="C842" s="33"/>
      <c r="D842" s="33"/>
    </row>
    <row r="843" spans="3:4">
      <c r="C843" s="33"/>
      <c r="D843" s="33"/>
    </row>
    <row r="844" spans="3:4">
      <c r="C844" s="33"/>
      <c r="D844" s="33"/>
    </row>
    <row r="845" spans="3:4">
      <c r="C845" s="33"/>
      <c r="D845" s="33"/>
    </row>
    <row r="846" spans="3:4">
      <c r="C846" s="33"/>
      <c r="D846" s="33"/>
    </row>
    <row r="847" spans="3:4">
      <c r="C847" s="33"/>
      <c r="D847" s="33"/>
    </row>
    <row r="848" spans="3:4">
      <c r="C848" s="33"/>
      <c r="D848" s="33"/>
    </row>
    <row r="849" spans="3:4">
      <c r="C849" s="33"/>
      <c r="D849" s="33"/>
    </row>
    <row r="850" spans="3:4">
      <c r="C850" s="33"/>
      <c r="D850" s="33"/>
    </row>
    <row r="851" spans="3:4">
      <c r="C851" s="33"/>
      <c r="D851" s="33"/>
    </row>
    <row r="852" spans="3:4">
      <c r="C852" s="33"/>
      <c r="D852" s="33"/>
    </row>
    <row r="853" spans="3:4">
      <c r="C853" s="33"/>
      <c r="D853" s="33"/>
    </row>
    <row r="854" spans="3:4">
      <c r="C854" s="33"/>
      <c r="D854" s="33"/>
    </row>
    <row r="855" spans="3:4">
      <c r="C855" s="33"/>
      <c r="D855" s="33"/>
    </row>
    <row r="856" spans="3:4">
      <c r="C856" s="33"/>
      <c r="D856" s="33"/>
    </row>
    <row r="857" spans="3:4">
      <c r="C857" s="33"/>
      <c r="D857" s="33"/>
    </row>
    <row r="858" spans="3:4">
      <c r="C858" s="33"/>
      <c r="D858" s="33"/>
    </row>
    <row r="859" spans="3:4">
      <c r="C859" s="33"/>
      <c r="D859" s="33"/>
    </row>
    <row r="860" spans="3:4">
      <c r="C860" s="33"/>
      <c r="D860" s="33"/>
    </row>
    <row r="861" spans="3:4">
      <c r="C861" s="33"/>
      <c r="D861" s="33"/>
    </row>
    <row r="862" spans="3:4">
      <c r="C862" s="33"/>
      <c r="D862" s="33"/>
    </row>
    <row r="863" spans="3:4">
      <c r="C863" s="33"/>
      <c r="D863" s="33"/>
    </row>
    <row r="864" spans="3:4">
      <c r="C864" s="33"/>
      <c r="D864" s="33"/>
    </row>
    <row r="865" spans="3:4">
      <c r="C865" s="33"/>
      <c r="D865" s="33"/>
    </row>
    <row r="866" spans="3:4">
      <c r="C866" s="33"/>
      <c r="D866" s="33"/>
    </row>
    <row r="867" spans="3:4">
      <c r="C867" s="33"/>
      <c r="D867" s="33"/>
    </row>
    <row r="868" spans="3:4">
      <c r="C868" s="33"/>
      <c r="D868" s="33"/>
    </row>
    <row r="869" spans="3:4">
      <c r="C869" s="33"/>
      <c r="D869" s="33"/>
    </row>
    <row r="870" spans="3:4">
      <c r="C870" s="33"/>
      <c r="D870" s="33"/>
    </row>
    <row r="871" spans="3:4">
      <c r="C871" s="33"/>
      <c r="D871" s="33"/>
    </row>
    <row r="872" spans="3:4">
      <c r="C872" s="33"/>
      <c r="D872" s="33"/>
    </row>
    <row r="873" spans="3:4">
      <c r="C873" s="33"/>
      <c r="D873" s="33"/>
    </row>
    <row r="874" spans="3:4">
      <c r="C874" s="33"/>
      <c r="D874" s="33"/>
    </row>
    <row r="875" spans="3:4">
      <c r="C875" s="33"/>
      <c r="D875" s="33"/>
    </row>
    <row r="876" spans="3:4">
      <c r="C876" s="33"/>
      <c r="D876" s="33"/>
    </row>
    <row r="877" spans="3:4">
      <c r="C877" s="33"/>
      <c r="D877" s="33"/>
    </row>
    <row r="878" spans="3:4">
      <c r="C878" s="33"/>
      <c r="D878" s="33"/>
    </row>
    <row r="879" spans="3:4">
      <c r="C879" s="33"/>
      <c r="D879" s="33"/>
    </row>
    <row r="880" spans="3:4">
      <c r="C880" s="33"/>
      <c r="D880" s="33"/>
    </row>
    <row r="881" spans="3:4">
      <c r="C881" s="33"/>
      <c r="D881" s="33"/>
    </row>
    <row r="882" spans="3:4">
      <c r="C882" s="33"/>
      <c r="D882" s="33"/>
    </row>
    <row r="883" spans="3:4">
      <c r="C883" s="33"/>
      <c r="D883" s="33"/>
    </row>
    <row r="884" spans="3:4">
      <c r="C884" s="33"/>
      <c r="D884" s="33"/>
    </row>
    <row r="885" spans="3:4">
      <c r="C885" s="33"/>
      <c r="D885" s="33"/>
    </row>
    <row r="886" spans="3:4">
      <c r="C886" s="33"/>
      <c r="D886" s="33"/>
    </row>
    <row r="887" spans="3:4">
      <c r="C887" s="33"/>
      <c r="D887" s="33"/>
    </row>
    <row r="888" spans="3:4">
      <c r="C888" s="33"/>
      <c r="D888" s="33"/>
    </row>
    <row r="889" spans="3:4">
      <c r="C889" s="33"/>
      <c r="D889" s="33"/>
    </row>
    <row r="890" spans="3:4">
      <c r="C890" s="33"/>
      <c r="D890" s="33"/>
    </row>
    <row r="891" spans="3:4">
      <c r="C891" s="33"/>
      <c r="D891" s="33"/>
    </row>
    <row r="892" spans="3:4">
      <c r="C892" s="33"/>
      <c r="D892" s="33"/>
    </row>
    <row r="893" spans="3:4">
      <c r="C893" s="33"/>
      <c r="D893" s="33"/>
    </row>
    <row r="894" spans="3:4">
      <c r="C894" s="33"/>
      <c r="D894" s="33"/>
    </row>
    <row r="895" spans="3:4">
      <c r="C895" s="33"/>
      <c r="D895" s="33"/>
    </row>
    <row r="896" spans="3:4">
      <c r="C896" s="33"/>
      <c r="D896" s="33"/>
    </row>
    <row r="897" spans="3:4">
      <c r="C897" s="33"/>
      <c r="D897" s="33"/>
    </row>
    <row r="898" spans="3:4">
      <c r="C898" s="33"/>
      <c r="D898" s="33"/>
    </row>
    <row r="899" spans="3:4">
      <c r="C899" s="33"/>
      <c r="D899" s="33"/>
    </row>
    <row r="900" spans="3:4">
      <c r="C900" s="33"/>
      <c r="D900" s="33"/>
    </row>
    <row r="901" spans="3:4">
      <c r="C901" s="33"/>
      <c r="D901" s="33"/>
    </row>
    <row r="902" spans="3:4">
      <c r="C902" s="33"/>
      <c r="D902" s="33"/>
    </row>
    <row r="903" spans="3:4">
      <c r="C903" s="33"/>
      <c r="D903" s="33"/>
    </row>
    <row r="904" spans="3:4">
      <c r="C904" s="33"/>
      <c r="D904" s="33"/>
    </row>
    <row r="905" spans="3:4">
      <c r="C905" s="33"/>
      <c r="D905" s="33"/>
    </row>
    <row r="906" spans="3:4">
      <c r="C906" s="33"/>
      <c r="D906" s="33"/>
    </row>
    <row r="907" spans="3:4">
      <c r="C907" s="33"/>
      <c r="D907" s="33"/>
    </row>
    <row r="908" spans="3:4">
      <c r="C908" s="33"/>
      <c r="D908" s="33"/>
    </row>
    <row r="909" spans="3:4">
      <c r="C909" s="33"/>
      <c r="D909" s="33"/>
    </row>
    <row r="910" spans="3:4">
      <c r="C910" s="33"/>
      <c r="D910" s="33"/>
    </row>
    <row r="911" spans="3:4">
      <c r="C911" s="33"/>
      <c r="D911" s="33"/>
    </row>
    <row r="912" spans="3:4">
      <c r="C912" s="33"/>
      <c r="D912" s="33"/>
    </row>
    <row r="913" spans="3:4">
      <c r="C913" s="33"/>
      <c r="D913" s="33"/>
    </row>
    <row r="914" spans="3:4">
      <c r="C914" s="33"/>
      <c r="D914" s="33"/>
    </row>
    <row r="915" spans="3:4">
      <c r="C915" s="33"/>
      <c r="D915" s="33"/>
    </row>
    <row r="916" spans="3:4">
      <c r="C916" s="33"/>
      <c r="D916" s="33"/>
    </row>
    <row r="917" spans="3:4">
      <c r="C917" s="33"/>
      <c r="D917" s="33"/>
    </row>
    <row r="918" spans="3:4">
      <c r="C918" s="33"/>
      <c r="D918" s="33"/>
    </row>
    <row r="919" spans="3:4">
      <c r="C919" s="33"/>
      <c r="D919" s="33"/>
    </row>
    <row r="920" spans="3:4">
      <c r="C920" s="33"/>
      <c r="D920" s="33"/>
    </row>
    <row r="921" spans="3:4">
      <c r="C921" s="33"/>
      <c r="D921" s="33"/>
    </row>
    <row r="922" spans="3:4">
      <c r="C922" s="33"/>
      <c r="D922" s="33"/>
    </row>
    <row r="923" spans="3:4">
      <c r="C923" s="33"/>
      <c r="D923" s="33"/>
    </row>
    <row r="924" spans="3:4">
      <c r="C924" s="33"/>
      <c r="D924" s="33"/>
    </row>
    <row r="925" spans="3:4">
      <c r="C925" s="33"/>
      <c r="D925" s="33"/>
    </row>
    <row r="926" spans="3:4">
      <c r="C926" s="33"/>
      <c r="D926" s="33"/>
    </row>
    <row r="927" spans="3:4">
      <c r="C927" s="33"/>
      <c r="D927" s="33"/>
    </row>
    <row r="928" spans="3:4">
      <c r="C928" s="33"/>
      <c r="D928" s="33"/>
    </row>
    <row r="929" spans="3:4">
      <c r="C929" s="33"/>
      <c r="D929" s="33"/>
    </row>
    <row r="930" spans="3:4">
      <c r="C930" s="33"/>
      <c r="D930" s="33"/>
    </row>
    <row r="931" spans="3:4">
      <c r="C931" s="33"/>
      <c r="D931" s="33"/>
    </row>
    <row r="932" spans="3:4">
      <c r="C932" s="33"/>
      <c r="D932" s="33"/>
    </row>
    <row r="933" spans="3:4">
      <c r="C933" s="33"/>
      <c r="D933" s="33"/>
    </row>
    <row r="934" spans="3:4">
      <c r="C934" s="33"/>
      <c r="D934" s="33"/>
    </row>
    <row r="935" spans="3:4">
      <c r="C935" s="33"/>
      <c r="D935" s="33"/>
    </row>
    <row r="936" spans="3:4">
      <c r="C936" s="33"/>
      <c r="D936" s="33"/>
    </row>
    <row r="937" spans="3:4">
      <c r="C937" s="33"/>
      <c r="D937" s="33"/>
    </row>
    <row r="938" spans="3:4">
      <c r="C938" s="33"/>
      <c r="D938" s="33"/>
    </row>
    <row r="939" spans="3:4">
      <c r="C939" s="33"/>
      <c r="D939" s="33"/>
    </row>
    <row r="940" spans="3:4">
      <c r="C940" s="33"/>
      <c r="D940" s="33"/>
    </row>
    <row r="941" spans="3:4">
      <c r="C941" s="33"/>
      <c r="D941" s="33"/>
    </row>
    <row r="942" spans="3:4">
      <c r="C942" s="33"/>
      <c r="D942" s="33"/>
    </row>
    <row r="943" spans="3:4">
      <c r="C943" s="33"/>
      <c r="D943" s="33"/>
    </row>
    <row r="944" spans="3:4">
      <c r="C944" s="33"/>
      <c r="D944" s="33"/>
    </row>
    <row r="945" spans="3:4">
      <c r="C945" s="33"/>
      <c r="D945" s="33"/>
    </row>
    <row r="946" spans="3:4">
      <c r="C946" s="33"/>
      <c r="D946" s="33"/>
    </row>
    <row r="947" spans="3:4">
      <c r="C947" s="33"/>
      <c r="D947" s="33"/>
    </row>
    <row r="948" spans="3:4">
      <c r="C948" s="33"/>
      <c r="D948" s="33"/>
    </row>
    <row r="949" spans="3:4">
      <c r="C949" s="33"/>
      <c r="D949" s="33"/>
    </row>
    <row r="950" spans="3:4">
      <c r="C950" s="33"/>
      <c r="D950" s="33"/>
    </row>
    <row r="951" spans="3:4">
      <c r="C951" s="33"/>
      <c r="D951" s="33"/>
    </row>
    <row r="952" spans="3:4">
      <c r="C952" s="33"/>
      <c r="D952" s="33"/>
    </row>
    <row r="953" spans="3:4">
      <c r="C953" s="33"/>
      <c r="D953" s="33"/>
    </row>
    <row r="954" spans="3:4">
      <c r="C954" s="33"/>
      <c r="D954" s="33"/>
    </row>
    <row r="955" spans="3:4">
      <c r="C955" s="33"/>
      <c r="D955" s="33"/>
    </row>
    <row r="956" spans="3:4">
      <c r="C956" s="33"/>
      <c r="D956" s="33"/>
    </row>
    <row r="957" spans="3:4">
      <c r="C957" s="33"/>
      <c r="D957" s="33"/>
    </row>
    <row r="958" spans="3:4">
      <c r="C958" s="33"/>
      <c r="D958" s="33"/>
    </row>
    <row r="959" spans="3:4">
      <c r="C959" s="33"/>
      <c r="D959" s="33"/>
    </row>
    <row r="960" spans="3:4">
      <c r="C960" s="33"/>
      <c r="D960" s="33"/>
    </row>
    <row r="961" spans="3:4">
      <c r="C961" s="33"/>
      <c r="D961" s="33"/>
    </row>
    <row r="962" spans="3:4">
      <c r="C962" s="33"/>
      <c r="D962" s="33"/>
    </row>
    <row r="963" spans="3:4">
      <c r="C963" s="33"/>
      <c r="D963" s="33"/>
    </row>
    <row r="964" spans="3:4">
      <c r="C964" s="33"/>
      <c r="D964" s="33"/>
    </row>
    <row r="965" spans="3:4">
      <c r="C965" s="33"/>
      <c r="D965" s="33"/>
    </row>
    <row r="966" spans="3:4">
      <c r="C966" s="33"/>
      <c r="D966" s="33"/>
    </row>
    <row r="967" spans="3:4">
      <c r="C967" s="33"/>
      <c r="D967" s="33"/>
    </row>
    <row r="968" spans="3:4">
      <c r="C968" s="33"/>
      <c r="D968" s="33"/>
    </row>
    <row r="969" spans="3:4">
      <c r="C969" s="33"/>
      <c r="D969" s="33"/>
    </row>
    <row r="970" spans="3:4">
      <c r="C970" s="33"/>
      <c r="D970" s="33"/>
    </row>
    <row r="971" spans="3:4">
      <c r="C971" s="33"/>
      <c r="D971" s="33"/>
    </row>
    <row r="972" spans="3:4">
      <c r="C972" s="33"/>
      <c r="D972" s="33"/>
    </row>
    <row r="973" spans="3:4">
      <c r="C973" s="33"/>
      <c r="D973" s="33"/>
    </row>
    <row r="974" spans="3:4">
      <c r="C974" s="33"/>
      <c r="D974" s="33"/>
    </row>
    <row r="975" spans="3:4">
      <c r="C975" s="33"/>
      <c r="D975" s="33"/>
    </row>
    <row r="976" spans="3:4">
      <c r="C976" s="33"/>
      <c r="D976" s="33"/>
    </row>
    <row r="977" spans="3:4">
      <c r="C977" s="33"/>
      <c r="D977" s="33"/>
    </row>
    <row r="978" spans="3:4">
      <c r="C978" s="33"/>
      <c r="D978" s="33"/>
    </row>
    <row r="979" spans="3:4">
      <c r="C979" s="33"/>
      <c r="D979" s="33"/>
    </row>
    <row r="980" spans="3:4">
      <c r="C980" s="33"/>
      <c r="D980" s="33"/>
    </row>
    <row r="981" spans="3:4">
      <c r="C981" s="33"/>
      <c r="D981" s="33"/>
    </row>
    <row r="982" spans="3:4">
      <c r="C982" s="33"/>
      <c r="D982" s="33"/>
    </row>
    <row r="983" spans="3:4">
      <c r="C983" s="33"/>
      <c r="D983" s="33"/>
    </row>
    <row r="984" spans="3:4">
      <c r="C984" s="33"/>
      <c r="D984" s="33"/>
    </row>
    <row r="985" spans="3:4">
      <c r="C985" s="33"/>
      <c r="D985" s="33"/>
    </row>
    <row r="986" spans="3:4">
      <c r="C986" s="33"/>
      <c r="D986" s="33"/>
    </row>
    <row r="987" spans="3:4">
      <c r="C987" s="33"/>
      <c r="D987" s="33"/>
    </row>
    <row r="988" spans="3:4">
      <c r="C988" s="33"/>
      <c r="D988" s="33"/>
    </row>
    <row r="989" spans="3:4">
      <c r="C989" s="33"/>
      <c r="D989" s="33"/>
    </row>
    <row r="990" spans="3:4">
      <c r="C990" s="33"/>
      <c r="D990" s="33"/>
    </row>
    <row r="991" spans="3:4">
      <c r="C991" s="33"/>
      <c r="D991" s="33"/>
    </row>
    <row r="992" spans="3:4">
      <c r="C992" s="33"/>
      <c r="D992" s="33"/>
    </row>
    <row r="993" spans="3:4">
      <c r="C993" s="33"/>
      <c r="D993" s="33"/>
    </row>
    <row r="994" spans="3:4">
      <c r="C994" s="33"/>
      <c r="D994" s="33"/>
    </row>
    <row r="995" spans="3:4">
      <c r="C995" s="33"/>
      <c r="D995" s="33"/>
    </row>
    <row r="996" spans="3:4">
      <c r="C996" s="33"/>
      <c r="D996" s="33"/>
    </row>
    <row r="997" spans="3:4">
      <c r="C997" s="33"/>
      <c r="D997" s="33"/>
    </row>
    <row r="998" spans="3:4">
      <c r="C998" s="33"/>
      <c r="D998" s="33"/>
    </row>
    <row r="999" spans="3:4">
      <c r="C999" s="33"/>
      <c r="D999" s="33"/>
    </row>
    <row r="1000" spans="3:4">
      <c r="C1000" s="33"/>
      <c r="D1000" s="33"/>
    </row>
  </sheetData>
  <autoFilter ref="A1:D34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outlinePr summaryBelow="0" summaryRight="0"/>
  </sheetPr>
  <dimension ref="A1:D344"/>
  <sheetViews>
    <sheetView workbookViewId="0"/>
  </sheetViews>
  <sheetFormatPr baseColWidth="10" defaultColWidth="12.6640625" defaultRowHeight="15.75" customHeight="1"/>
  <sheetData>
    <row r="1" spans="1:4">
      <c r="A1" s="7" t="s">
        <v>1</v>
      </c>
      <c r="B1" s="7" t="s">
        <v>2</v>
      </c>
      <c r="C1" s="14" t="s">
        <v>371</v>
      </c>
      <c r="D1" s="14" t="s">
        <v>372</v>
      </c>
    </row>
    <row r="2" spans="1:4">
      <c r="A2" s="15">
        <v>10101</v>
      </c>
      <c r="B2" s="15" t="s">
        <v>25</v>
      </c>
      <c r="C2" s="15"/>
      <c r="D2" s="15"/>
    </row>
    <row r="3" spans="1:4">
      <c r="A3" s="15">
        <v>10102</v>
      </c>
      <c r="B3" s="15" t="s">
        <v>27</v>
      </c>
      <c r="C3" s="15"/>
      <c r="D3" s="15"/>
    </row>
    <row r="4" spans="1:4">
      <c r="A4" s="15">
        <v>10103</v>
      </c>
      <c r="B4" s="15" t="s">
        <v>30</v>
      </c>
      <c r="C4" s="15"/>
      <c r="D4" s="15"/>
    </row>
    <row r="5" spans="1:4">
      <c r="A5" s="15">
        <v>10201</v>
      </c>
      <c r="B5" s="15" t="s">
        <v>33</v>
      </c>
      <c r="C5" s="15"/>
      <c r="D5" s="15"/>
    </row>
    <row r="6" spans="1:4">
      <c r="A6" s="15">
        <v>10202</v>
      </c>
      <c r="B6" s="15" t="s">
        <v>35</v>
      </c>
      <c r="C6" s="15"/>
      <c r="D6" s="15"/>
    </row>
    <row r="7" spans="1:4">
      <c r="A7" s="15">
        <v>10301</v>
      </c>
      <c r="B7" s="15" t="s">
        <v>37</v>
      </c>
      <c r="C7" s="15"/>
      <c r="D7" s="15"/>
    </row>
    <row r="8" spans="1:4">
      <c r="A8" s="15">
        <v>10302</v>
      </c>
      <c r="B8" s="15" t="s">
        <v>39</v>
      </c>
      <c r="C8" s="15"/>
      <c r="D8" s="15"/>
    </row>
    <row r="9" spans="1:4">
      <c r="A9" s="15">
        <v>10303</v>
      </c>
      <c r="B9" s="15" t="s">
        <v>41</v>
      </c>
      <c r="C9" s="15"/>
      <c r="D9" s="15"/>
    </row>
    <row r="10" spans="1:4">
      <c r="A10" s="15">
        <v>10304</v>
      </c>
      <c r="B10" s="15" t="s">
        <v>43</v>
      </c>
      <c r="C10" s="15"/>
      <c r="D10" s="15"/>
    </row>
    <row r="11" spans="1:4">
      <c r="A11" s="15">
        <v>10401</v>
      </c>
      <c r="B11" s="15" t="s">
        <v>45</v>
      </c>
      <c r="C11" s="15"/>
      <c r="D11" s="15"/>
    </row>
    <row r="12" spans="1:4">
      <c r="A12" s="15">
        <v>10402</v>
      </c>
      <c r="B12" s="15" t="s">
        <v>47</v>
      </c>
      <c r="C12" s="15"/>
      <c r="D12" s="15"/>
    </row>
    <row r="13" spans="1:4">
      <c r="A13" s="15">
        <v>10403</v>
      </c>
      <c r="B13" s="15" t="s">
        <v>49</v>
      </c>
      <c r="C13" s="15"/>
      <c r="D13" s="15"/>
    </row>
    <row r="14" spans="1:4">
      <c r="A14" s="15">
        <v>10404</v>
      </c>
      <c r="B14" s="15" t="s">
        <v>50</v>
      </c>
      <c r="C14" s="15"/>
      <c r="D14" s="15"/>
    </row>
    <row r="15" spans="1:4">
      <c r="A15" s="15">
        <v>10405</v>
      </c>
      <c r="B15" s="15" t="s">
        <v>51</v>
      </c>
      <c r="C15" s="15"/>
      <c r="D15" s="15"/>
    </row>
    <row r="16" spans="1:4">
      <c r="A16" s="15">
        <v>10501</v>
      </c>
      <c r="B16" s="15" t="s">
        <v>52</v>
      </c>
      <c r="C16" s="15"/>
      <c r="D16" s="15"/>
    </row>
    <row r="17" spans="1:4">
      <c r="A17" s="15">
        <v>10502</v>
      </c>
      <c r="B17" s="15" t="s">
        <v>53</v>
      </c>
      <c r="C17" s="15"/>
      <c r="D17" s="15"/>
    </row>
    <row r="18" spans="1:4">
      <c r="A18" s="15">
        <v>10601</v>
      </c>
      <c r="B18" s="15" t="s">
        <v>54</v>
      </c>
      <c r="C18" s="15"/>
      <c r="D18" s="15"/>
    </row>
    <row r="19" spans="1:4">
      <c r="A19" s="15">
        <v>10602</v>
      </c>
      <c r="B19" s="15" t="s">
        <v>55</v>
      </c>
      <c r="C19" s="15"/>
      <c r="D19" s="15"/>
    </row>
    <row r="20" spans="1:4">
      <c r="A20" s="15">
        <v>10701</v>
      </c>
      <c r="B20" s="15" t="s">
        <v>56</v>
      </c>
      <c r="C20" s="15"/>
      <c r="D20" s="15"/>
    </row>
    <row r="21" spans="1:4">
      <c r="A21" s="15">
        <v>10702</v>
      </c>
      <c r="B21" s="15" t="s">
        <v>57</v>
      </c>
      <c r="C21" s="15"/>
      <c r="D21" s="15"/>
    </row>
    <row r="22" spans="1:4">
      <c r="A22" s="15">
        <v>10703</v>
      </c>
      <c r="B22" s="15" t="s">
        <v>58</v>
      </c>
      <c r="C22" s="15"/>
      <c r="D22" s="15"/>
    </row>
    <row r="23" spans="1:4">
      <c r="A23" s="15">
        <v>10704</v>
      </c>
      <c r="B23" s="15" t="s">
        <v>59</v>
      </c>
      <c r="C23" s="15"/>
      <c r="D23" s="15"/>
    </row>
    <row r="24" spans="1:4">
      <c r="A24" s="15">
        <v>10801</v>
      </c>
      <c r="B24" s="15" t="s">
        <v>60</v>
      </c>
      <c r="C24" s="15"/>
      <c r="D24" s="15"/>
    </row>
    <row r="25" spans="1:4">
      <c r="A25" s="15">
        <v>10901</v>
      </c>
      <c r="B25" s="15" t="s">
        <v>61</v>
      </c>
      <c r="C25" s="15"/>
      <c r="D25" s="15"/>
    </row>
    <row r="26" spans="1:4">
      <c r="A26" s="15">
        <v>10902</v>
      </c>
      <c r="B26" s="15" t="s">
        <v>62</v>
      </c>
      <c r="C26" s="15"/>
      <c r="D26" s="15"/>
    </row>
    <row r="27" spans="1:4">
      <c r="A27" s="15">
        <v>10903</v>
      </c>
      <c r="B27" s="15" t="s">
        <v>63</v>
      </c>
      <c r="C27" s="15"/>
      <c r="D27" s="15"/>
    </row>
    <row r="28" spans="1:4">
      <c r="A28" s="15">
        <v>11001</v>
      </c>
      <c r="B28" s="15" t="s">
        <v>64</v>
      </c>
      <c r="C28" s="15"/>
      <c r="D28" s="15"/>
    </row>
    <row r="29" spans="1:4">
      <c r="A29" s="15">
        <v>11002</v>
      </c>
      <c r="B29" s="15" t="s">
        <v>65</v>
      </c>
      <c r="C29" s="15"/>
      <c r="D29" s="15"/>
    </row>
    <row r="30" spans="1:4">
      <c r="A30" s="15">
        <v>11003</v>
      </c>
      <c r="B30" s="15" t="s">
        <v>66</v>
      </c>
      <c r="C30" s="15"/>
      <c r="D30" s="15"/>
    </row>
    <row r="31" spans="1:4">
      <c r="A31" s="15">
        <v>20101</v>
      </c>
      <c r="B31" s="15" t="s">
        <v>67</v>
      </c>
      <c r="C31" s="15"/>
      <c r="D31" s="15"/>
    </row>
    <row r="32" spans="1:4">
      <c r="A32" s="15">
        <v>20102</v>
      </c>
      <c r="B32" s="15" t="s">
        <v>68</v>
      </c>
      <c r="C32" s="15"/>
      <c r="D32" s="15"/>
    </row>
    <row r="33" spans="1:4">
      <c r="A33" s="15">
        <v>20103</v>
      </c>
      <c r="B33" s="15" t="s">
        <v>69</v>
      </c>
      <c r="C33" s="15"/>
      <c r="D33" s="15"/>
    </row>
    <row r="34" spans="1:4">
      <c r="A34" s="15">
        <v>20104</v>
      </c>
      <c r="B34" s="15" t="s">
        <v>70</v>
      </c>
      <c r="C34" s="15"/>
      <c r="D34" s="15"/>
    </row>
    <row r="35" spans="1:4">
      <c r="A35" s="15">
        <v>20105</v>
      </c>
      <c r="B35" s="15" t="s">
        <v>71</v>
      </c>
      <c r="C35" s="15"/>
      <c r="D35" s="15"/>
    </row>
    <row r="36" spans="1:4">
      <c r="A36" s="15">
        <v>20201</v>
      </c>
      <c r="B36" s="15" t="s">
        <v>72</v>
      </c>
      <c r="C36" s="15"/>
      <c r="D36" s="15"/>
    </row>
    <row r="37" spans="1:4">
      <c r="A37" s="15">
        <v>20202</v>
      </c>
      <c r="B37" s="15" t="s">
        <v>73</v>
      </c>
      <c r="C37" s="15"/>
      <c r="D37" s="15"/>
    </row>
    <row r="38" spans="1:4">
      <c r="A38" s="15">
        <v>20203</v>
      </c>
      <c r="B38" s="15" t="s">
        <v>74</v>
      </c>
      <c r="C38" s="15"/>
      <c r="D38" s="15"/>
    </row>
    <row r="39" spans="1:4">
      <c r="A39" s="15">
        <v>20204</v>
      </c>
      <c r="B39" s="15" t="s">
        <v>75</v>
      </c>
      <c r="C39" s="15"/>
      <c r="D39" s="15"/>
    </row>
    <row r="40" spans="1:4">
      <c r="A40" s="15">
        <v>20205</v>
      </c>
      <c r="B40" s="15" t="s">
        <v>76</v>
      </c>
      <c r="C40" s="15"/>
      <c r="D40" s="15"/>
    </row>
    <row r="41" spans="1:4">
      <c r="A41" s="15">
        <v>20206</v>
      </c>
      <c r="B41" s="15" t="s">
        <v>77</v>
      </c>
      <c r="C41" s="15"/>
      <c r="D41" s="15"/>
    </row>
    <row r="42" spans="1:4">
      <c r="A42" s="15">
        <v>20301</v>
      </c>
      <c r="B42" s="15" t="s">
        <v>78</v>
      </c>
      <c r="C42" s="15"/>
      <c r="D42" s="15"/>
    </row>
    <row r="43" spans="1:4">
      <c r="A43" s="15">
        <v>20302</v>
      </c>
      <c r="B43" s="15" t="s">
        <v>79</v>
      </c>
      <c r="C43" s="15"/>
      <c r="D43" s="15"/>
    </row>
    <row r="44" spans="1:4">
      <c r="A44" s="15">
        <v>20303</v>
      </c>
      <c r="B44" s="15" t="s">
        <v>80</v>
      </c>
      <c r="C44" s="15"/>
      <c r="D44" s="15"/>
    </row>
    <row r="45" spans="1:4">
      <c r="A45" s="15">
        <v>20304</v>
      </c>
      <c r="B45" s="15" t="s">
        <v>81</v>
      </c>
      <c r="C45" s="15"/>
      <c r="D45" s="15"/>
    </row>
    <row r="46" spans="1:4">
      <c r="A46" s="15">
        <v>20305</v>
      </c>
      <c r="B46" s="15" t="s">
        <v>82</v>
      </c>
      <c r="C46" s="15"/>
      <c r="D46" s="15"/>
    </row>
    <row r="47" spans="1:4">
      <c r="A47" s="15">
        <v>20306</v>
      </c>
      <c r="B47" s="15" t="s">
        <v>83</v>
      </c>
      <c r="C47" s="15"/>
      <c r="D47" s="15"/>
    </row>
    <row r="48" spans="1:4">
      <c r="A48" s="15">
        <v>20307</v>
      </c>
      <c r="B48" s="15" t="s">
        <v>84</v>
      </c>
      <c r="C48" s="15"/>
      <c r="D48" s="15"/>
    </row>
    <row r="49" spans="1:4">
      <c r="A49" s="15">
        <v>20308</v>
      </c>
      <c r="B49" s="15" t="s">
        <v>85</v>
      </c>
      <c r="C49" s="15"/>
      <c r="D49" s="15"/>
    </row>
    <row r="50" spans="1:4">
      <c r="A50" s="15">
        <v>20401</v>
      </c>
      <c r="B50" s="15" t="s">
        <v>86</v>
      </c>
      <c r="C50" s="15"/>
      <c r="D50" s="15"/>
    </row>
    <row r="51" spans="1:4">
      <c r="A51" s="15">
        <v>20402</v>
      </c>
      <c r="B51" s="15" t="s">
        <v>87</v>
      </c>
      <c r="C51" s="15"/>
      <c r="D51" s="15"/>
    </row>
    <row r="52" spans="1:4">
      <c r="A52" s="15">
        <v>20403</v>
      </c>
      <c r="B52" s="15" t="s">
        <v>88</v>
      </c>
      <c r="C52" s="15"/>
      <c r="D52" s="15"/>
    </row>
    <row r="53" spans="1:4">
      <c r="A53" s="15">
        <v>20404</v>
      </c>
      <c r="B53" s="15" t="s">
        <v>89</v>
      </c>
      <c r="C53" s="15"/>
      <c r="D53" s="15"/>
    </row>
    <row r="54" spans="1:4">
      <c r="A54" s="15">
        <v>20405</v>
      </c>
      <c r="B54" s="15" t="s">
        <v>90</v>
      </c>
      <c r="C54" s="15"/>
      <c r="D54" s="15"/>
    </row>
    <row r="55" spans="1:4">
      <c r="A55" s="15">
        <v>20501</v>
      </c>
      <c r="B55" s="15" t="s">
        <v>91</v>
      </c>
      <c r="C55" s="15"/>
      <c r="D55" s="15"/>
    </row>
    <row r="56" spans="1:4">
      <c r="A56" s="15">
        <v>20502</v>
      </c>
      <c r="B56" s="15" t="s">
        <v>92</v>
      </c>
      <c r="C56" s="15"/>
      <c r="D56" s="15"/>
    </row>
    <row r="57" spans="1:4">
      <c r="A57" s="15">
        <v>20503</v>
      </c>
      <c r="B57" s="15" t="s">
        <v>93</v>
      </c>
      <c r="C57" s="15"/>
      <c r="D57" s="15"/>
    </row>
    <row r="58" spans="1:4">
      <c r="A58" s="15">
        <v>20601</v>
      </c>
      <c r="B58" s="15" t="s">
        <v>94</v>
      </c>
      <c r="C58" s="15"/>
      <c r="D58" s="15"/>
    </row>
    <row r="59" spans="1:4">
      <c r="A59" s="15">
        <v>20602</v>
      </c>
      <c r="B59" s="15" t="s">
        <v>95</v>
      </c>
      <c r="C59" s="15"/>
      <c r="D59" s="15"/>
    </row>
    <row r="60" spans="1:4">
      <c r="A60" s="15">
        <v>20603</v>
      </c>
      <c r="B60" s="15" t="s">
        <v>96</v>
      </c>
      <c r="C60" s="15"/>
      <c r="D60" s="15"/>
    </row>
    <row r="61" spans="1:4">
      <c r="A61" s="15">
        <v>20604</v>
      </c>
      <c r="B61" s="15" t="s">
        <v>97</v>
      </c>
      <c r="C61" s="15"/>
      <c r="D61" s="15"/>
    </row>
    <row r="62" spans="1:4">
      <c r="A62" s="15">
        <v>20605</v>
      </c>
      <c r="B62" s="15" t="s">
        <v>98</v>
      </c>
      <c r="C62" s="15"/>
      <c r="D62" s="15"/>
    </row>
    <row r="63" spans="1:4">
      <c r="A63" s="15">
        <v>20606</v>
      </c>
      <c r="B63" s="15" t="s">
        <v>99</v>
      </c>
      <c r="C63" s="15"/>
      <c r="D63" s="15"/>
    </row>
    <row r="64" spans="1:4">
      <c r="A64" s="15">
        <v>20607</v>
      </c>
      <c r="B64" s="15" t="s">
        <v>100</v>
      </c>
      <c r="C64" s="15"/>
      <c r="D64" s="15"/>
    </row>
    <row r="65" spans="1:4">
      <c r="A65" s="15">
        <v>20608</v>
      </c>
      <c r="B65" s="15" t="s">
        <v>101</v>
      </c>
      <c r="C65" s="15"/>
      <c r="D65" s="15"/>
    </row>
    <row r="66" spans="1:4">
      <c r="A66" s="15">
        <v>20701</v>
      </c>
      <c r="B66" s="15" t="s">
        <v>102</v>
      </c>
      <c r="C66" s="15"/>
      <c r="D66" s="15"/>
    </row>
    <row r="67" spans="1:4">
      <c r="A67" s="15">
        <v>20702</v>
      </c>
      <c r="B67" s="15" t="s">
        <v>103</v>
      </c>
      <c r="C67" s="15"/>
      <c r="D67" s="15"/>
    </row>
    <row r="68" spans="1:4">
      <c r="A68" s="15">
        <v>20801</v>
      </c>
      <c r="B68" s="15" t="s">
        <v>104</v>
      </c>
      <c r="C68" s="15"/>
      <c r="D68" s="15"/>
    </row>
    <row r="69" spans="1:4">
      <c r="A69" s="15">
        <v>20802</v>
      </c>
      <c r="B69" s="15" t="s">
        <v>105</v>
      </c>
      <c r="C69" s="15"/>
      <c r="D69" s="15"/>
    </row>
    <row r="70" spans="1:4">
      <c r="A70" s="15">
        <v>20803</v>
      </c>
      <c r="B70" s="15" t="s">
        <v>106</v>
      </c>
      <c r="C70" s="15"/>
      <c r="D70" s="15"/>
    </row>
    <row r="71" spans="1:4">
      <c r="A71" s="15">
        <v>20804</v>
      </c>
      <c r="B71" s="15" t="s">
        <v>107</v>
      </c>
      <c r="C71" s="15"/>
      <c r="D71" s="15"/>
    </row>
    <row r="72" spans="1:4">
      <c r="A72" s="15">
        <v>20805</v>
      </c>
      <c r="B72" s="15" t="s">
        <v>108</v>
      </c>
      <c r="C72" s="15"/>
      <c r="D72" s="15"/>
    </row>
    <row r="73" spans="1:4">
      <c r="A73" s="15">
        <v>20806</v>
      </c>
      <c r="B73" s="15" t="s">
        <v>109</v>
      </c>
      <c r="C73" s="15"/>
      <c r="D73" s="15"/>
    </row>
    <row r="74" spans="1:4">
      <c r="A74" s="15">
        <v>20807</v>
      </c>
      <c r="B74" s="15" t="s">
        <v>110</v>
      </c>
      <c r="C74" s="15"/>
      <c r="D74" s="15"/>
    </row>
    <row r="75" spans="1:4">
      <c r="A75" s="15">
        <v>20901</v>
      </c>
      <c r="B75" s="15" t="s">
        <v>111</v>
      </c>
      <c r="C75" s="15"/>
      <c r="D75" s="15"/>
    </row>
    <row r="76" spans="1:4">
      <c r="A76" s="15">
        <v>20902</v>
      </c>
      <c r="B76" s="15" t="s">
        <v>112</v>
      </c>
      <c r="C76" s="15"/>
      <c r="D76" s="15"/>
    </row>
    <row r="77" spans="1:4">
      <c r="A77" s="15">
        <v>20903</v>
      </c>
      <c r="B77" s="15" t="s">
        <v>113</v>
      </c>
      <c r="C77" s="15"/>
      <c r="D77" s="15"/>
    </row>
    <row r="78" spans="1:4">
      <c r="A78" s="15">
        <v>20904</v>
      </c>
      <c r="B78" s="15" t="s">
        <v>114</v>
      </c>
      <c r="C78" s="15"/>
      <c r="D78" s="15"/>
    </row>
    <row r="79" spans="1:4">
      <c r="A79" s="15">
        <v>20905</v>
      </c>
      <c r="B79" s="15" t="s">
        <v>115</v>
      </c>
      <c r="C79" s="15"/>
      <c r="D79" s="15"/>
    </row>
    <row r="80" spans="1:4">
      <c r="A80" s="15">
        <v>21001</v>
      </c>
      <c r="B80" s="15" t="s">
        <v>116</v>
      </c>
      <c r="C80" s="15"/>
      <c r="D80" s="15"/>
    </row>
    <row r="81" spans="1:4">
      <c r="A81" s="15">
        <v>21002</v>
      </c>
      <c r="B81" s="15" t="s">
        <v>117</v>
      </c>
      <c r="C81" s="15"/>
      <c r="D81" s="15"/>
    </row>
    <row r="82" spans="1:4">
      <c r="A82" s="15">
        <v>21003</v>
      </c>
      <c r="B82" s="15" t="s">
        <v>118</v>
      </c>
      <c r="C82" s="15"/>
      <c r="D82" s="15"/>
    </row>
    <row r="83" spans="1:4">
      <c r="A83" s="15">
        <v>21004</v>
      </c>
      <c r="B83" s="15" t="s">
        <v>119</v>
      </c>
      <c r="C83" s="15"/>
      <c r="D83" s="15"/>
    </row>
    <row r="84" spans="1:4">
      <c r="A84" s="15">
        <v>21005</v>
      </c>
      <c r="B84" s="15" t="s">
        <v>120</v>
      </c>
      <c r="C84" s="15"/>
      <c r="D84" s="15"/>
    </row>
    <row r="85" spans="1:4">
      <c r="A85" s="15">
        <v>21006</v>
      </c>
      <c r="B85" s="15" t="s">
        <v>121</v>
      </c>
      <c r="C85" s="15"/>
      <c r="D85" s="15"/>
    </row>
    <row r="86" spans="1:4">
      <c r="A86" s="15">
        <v>21101</v>
      </c>
      <c r="B86" s="15" t="s">
        <v>122</v>
      </c>
      <c r="C86" s="15"/>
      <c r="D86" s="15"/>
    </row>
    <row r="87" spans="1:4">
      <c r="A87" s="15">
        <v>21102</v>
      </c>
      <c r="B87" s="15" t="s">
        <v>123</v>
      </c>
      <c r="C87" s="15"/>
      <c r="D87" s="15"/>
    </row>
    <row r="88" spans="1:4">
      <c r="A88" s="15">
        <v>21103</v>
      </c>
      <c r="B88" s="15" t="s">
        <v>124</v>
      </c>
      <c r="C88" s="15"/>
      <c r="D88" s="15"/>
    </row>
    <row r="89" spans="1:4">
      <c r="A89" s="15">
        <v>21104</v>
      </c>
      <c r="B89" s="15" t="s">
        <v>125</v>
      </c>
      <c r="C89" s="15"/>
      <c r="D89" s="15"/>
    </row>
    <row r="90" spans="1:4">
      <c r="A90" s="15">
        <v>21105</v>
      </c>
      <c r="B90" s="15" t="s">
        <v>126</v>
      </c>
      <c r="C90" s="15"/>
      <c r="D90" s="15"/>
    </row>
    <row r="91" spans="1:4">
      <c r="A91" s="15">
        <v>21201</v>
      </c>
      <c r="B91" s="15" t="s">
        <v>127</v>
      </c>
      <c r="C91" s="15"/>
      <c r="D91" s="15"/>
    </row>
    <row r="92" spans="1:4">
      <c r="A92" s="15">
        <v>21202</v>
      </c>
      <c r="B92" s="15" t="s">
        <v>128</v>
      </c>
      <c r="C92" s="15"/>
      <c r="D92" s="15"/>
    </row>
    <row r="93" spans="1:4">
      <c r="A93" s="15">
        <v>21203</v>
      </c>
      <c r="B93" s="15" t="s">
        <v>129</v>
      </c>
      <c r="C93" s="15"/>
      <c r="D93" s="15"/>
    </row>
    <row r="94" spans="1:4">
      <c r="A94" s="15">
        <v>21204</v>
      </c>
      <c r="B94" s="15" t="s">
        <v>130</v>
      </c>
      <c r="C94" s="15"/>
      <c r="D94" s="15"/>
    </row>
    <row r="95" spans="1:4">
      <c r="A95" s="15">
        <v>21301</v>
      </c>
      <c r="B95" s="15" t="s">
        <v>131</v>
      </c>
      <c r="C95" s="15"/>
      <c r="D95" s="15"/>
    </row>
    <row r="96" spans="1:4">
      <c r="A96" s="15">
        <v>21302</v>
      </c>
      <c r="B96" s="15" t="s">
        <v>132</v>
      </c>
      <c r="C96" s="15"/>
      <c r="D96" s="15"/>
    </row>
    <row r="97" spans="1:4">
      <c r="A97" s="15">
        <v>21303</v>
      </c>
      <c r="B97" s="15" t="s">
        <v>133</v>
      </c>
      <c r="C97" s="15"/>
      <c r="D97" s="15"/>
    </row>
    <row r="98" spans="1:4">
      <c r="A98" s="15">
        <v>21304</v>
      </c>
      <c r="B98" s="15" t="s">
        <v>134</v>
      </c>
      <c r="C98" s="15"/>
      <c r="D98" s="15"/>
    </row>
    <row r="99" spans="1:4">
      <c r="A99" s="15">
        <v>21305</v>
      </c>
      <c r="B99" s="15" t="s">
        <v>135</v>
      </c>
      <c r="C99" s="15"/>
      <c r="D99" s="15"/>
    </row>
    <row r="100" spans="1:4">
      <c r="A100" s="15">
        <v>21306</v>
      </c>
      <c r="B100" s="15" t="s">
        <v>136</v>
      </c>
      <c r="C100" s="15"/>
      <c r="D100" s="15"/>
    </row>
    <row r="101" spans="1:4">
      <c r="A101" s="15">
        <v>21307</v>
      </c>
      <c r="B101" s="15" t="s">
        <v>137</v>
      </c>
      <c r="C101" s="15"/>
      <c r="D101" s="15"/>
    </row>
    <row r="102" spans="1:4">
      <c r="A102" s="15">
        <v>21401</v>
      </c>
      <c r="B102" s="15" t="s">
        <v>138</v>
      </c>
      <c r="C102" s="15"/>
      <c r="D102" s="15"/>
    </row>
    <row r="103" spans="1:4">
      <c r="A103" s="15">
        <v>21402</v>
      </c>
      <c r="B103" s="15" t="s">
        <v>139</v>
      </c>
      <c r="C103" s="15"/>
      <c r="D103" s="15"/>
    </row>
    <row r="104" spans="1:4">
      <c r="A104" s="15">
        <v>21501</v>
      </c>
      <c r="B104" s="15" t="s">
        <v>140</v>
      </c>
      <c r="C104" s="15"/>
      <c r="D104" s="15"/>
    </row>
    <row r="105" spans="1:4">
      <c r="A105" s="15">
        <v>21502</v>
      </c>
      <c r="B105" s="15" t="s">
        <v>141</v>
      </c>
      <c r="C105" s="15"/>
      <c r="D105" s="15"/>
    </row>
    <row r="106" spans="1:4">
      <c r="A106" s="15">
        <v>21601</v>
      </c>
      <c r="B106" s="15" t="s">
        <v>142</v>
      </c>
      <c r="C106" s="15"/>
      <c r="D106" s="15"/>
    </row>
    <row r="107" spans="1:4">
      <c r="A107" s="15">
        <v>21602</v>
      </c>
      <c r="B107" s="15" t="s">
        <v>143</v>
      </c>
      <c r="C107" s="15"/>
      <c r="D107" s="15"/>
    </row>
    <row r="108" spans="1:4">
      <c r="A108" s="15">
        <v>21701</v>
      </c>
      <c r="B108" s="15" t="s">
        <v>144</v>
      </c>
      <c r="C108" s="15"/>
      <c r="D108" s="15"/>
    </row>
    <row r="109" spans="1:4">
      <c r="A109" s="15">
        <v>21702</v>
      </c>
      <c r="B109" s="15" t="s">
        <v>145</v>
      </c>
      <c r="C109" s="15"/>
      <c r="D109" s="15"/>
    </row>
    <row r="110" spans="1:4">
      <c r="A110" s="15">
        <v>21703</v>
      </c>
      <c r="B110" s="15" t="s">
        <v>146</v>
      </c>
      <c r="C110" s="15"/>
      <c r="D110" s="15"/>
    </row>
    <row r="111" spans="1:4">
      <c r="A111" s="15">
        <v>21801</v>
      </c>
      <c r="B111" s="15" t="s">
        <v>147</v>
      </c>
      <c r="C111" s="15"/>
      <c r="D111" s="15"/>
    </row>
    <row r="112" spans="1:4">
      <c r="A112" s="15">
        <v>21802</v>
      </c>
      <c r="B112" s="15" t="s">
        <v>148</v>
      </c>
      <c r="C112" s="15"/>
      <c r="D112" s="15"/>
    </row>
    <row r="113" spans="1:4">
      <c r="A113" s="15">
        <v>21803</v>
      </c>
      <c r="B113" s="15" t="s">
        <v>149</v>
      </c>
      <c r="C113" s="15"/>
      <c r="D113" s="15"/>
    </row>
    <row r="114" spans="1:4">
      <c r="A114" s="15">
        <v>21901</v>
      </c>
      <c r="B114" s="15" t="s">
        <v>150</v>
      </c>
      <c r="C114" s="15"/>
      <c r="D114" s="15"/>
    </row>
    <row r="115" spans="1:4">
      <c r="A115" s="15">
        <v>21902</v>
      </c>
      <c r="B115" s="15" t="s">
        <v>151</v>
      </c>
      <c r="C115" s="15"/>
      <c r="D115" s="15"/>
    </row>
    <row r="116" spans="1:4">
      <c r="A116" s="15">
        <v>22001</v>
      </c>
      <c r="B116" s="15" t="s">
        <v>152</v>
      </c>
      <c r="C116" s="15"/>
      <c r="D116" s="15"/>
    </row>
    <row r="117" spans="1:4">
      <c r="A117" s="15">
        <v>22002</v>
      </c>
      <c r="B117" s="15" t="s">
        <v>153</v>
      </c>
      <c r="C117" s="15"/>
      <c r="D117" s="15"/>
    </row>
    <row r="118" spans="1:4">
      <c r="A118" s="15">
        <v>30101</v>
      </c>
      <c r="B118" s="15" t="s">
        <v>31</v>
      </c>
      <c r="C118" s="15"/>
      <c r="D118" s="15"/>
    </row>
    <row r="119" spans="1:4">
      <c r="A119" s="15">
        <v>30201</v>
      </c>
      <c r="B119" s="15" t="s">
        <v>154</v>
      </c>
      <c r="C119" s="15"/>
      <c r="D119" s="15"/>
    </row>
    <row r="120" spans="1:4">
      <c r="A120" s="15">
        <v>30202</v>
      </c>
      <c r="B120" s="15" t="s">
        <v>155</v>
      </c>
      <c r="C120" s="15"/>
      <c r="D120" s="15"/>
    </row>
    <row r="121" spans="1:4">
      <c r="A121" s="15">
        <v>30203</v>
      </c>
      <c r="B121" s="15" t="s">
        <v>156</v>
      </c>
      <c r="C121" s="15"/>
      <c r="D121" s="15"/>
    </row>
    <row r="122" spans="1:4">
      <c r="A122" s="15">
        <v>30301</v>
      </c>
      <c r="B122" s="15" t="s">
        <v>157</v>
      </c>
      <c r="C122" s="15"/>
      <c r="D122" s="15"/>
    </row>
    <row r="123" spans="1:4">
      <c r="A123" s="15">
        <v>30302</v>
      </c>
      <c r="B123" s="15" t="s">
        <v>158</v>
      </c>
      <c r="C123" s="15"/>
      <c r="D123" s="15"/>
    </row>
    <row r="124" spans="1:4">
      <c r="A124" s="15">
        <v>30303</v>
      </c>
      <c r="B124" s="15" t="s">
        <v>159</v>
      </c>
      <c r="C124" s="15"/>
      <c r="D124" s="15"/>
    </row>
    <row r="125" spans="1:4">
      <c r="A125" s="15">
        <v>30401</v>
      </c>
      <c r="B125" s="15" t="s">
        <v>160</v>
      </c>
      <c r="C125" s="15"/>
      <c r="D125" s="15"/>
    </row>
    <row r="126" spans="1:4">
      <c r="A126" s="15">
        <v>30402</v>
      </c>
      <c r="B126" s="15" t="s">
        <v>161</v>
      </c>
      <c r="C126" s="15"/>
      <c r="D126" s="15"/>
    </row>
    <row r="127" spans="1:4">
      <c r="A127" s="15">
        <v>30403</v>
      </c>
      <c r="B127" s="15" t="s">
        <v>162</v>
      </c>
      <c r="C127" s="15"/>
      <c r="D127" s="15"/>
    </row>
    <row r="128" spans="1:4">
      <c r="A128" s="15">
        <v>30404</v>
      </c>
      <c r="B128" s="15" t="s">
        <v>163</v>
      </c>
      <c r="C128" s="15"/>
      <c r="D128" s="15"/>
    </row>
    <row r="129" spans="1:4">
      <c r="A129" s="15">
        <v>30501</v>
      </c>
      <c r="B129" s="15" t="s">
        <v>164</v>
      </c>
      <c r="C129" s="15"/>
      <c r="D129" s="15"/>
    </row>
    <row r="130" spans="1:4">
      <c r="A130" s="15">
        <v>30502</v>
      </c>
      <c r="B130" s="15" t="s">
        <v>165</v>
      </c>
      <c r="C130" s="15"/>
      <c r="D130" s="15"/>
    </row>
    <row r="131" spans="1:4">
      <c r="A131" s="15">
        <v>30601</v>
      </c>
      <c r="B131" s="15" t="s">
        <v>166</v>
      </c>
      <c r="C131" s="15"/>
      <c r="D131" s="15"/>
    </row>
    <row r="132" spans="1:4">
      <c r="A132" s="15">
        <v>30602</v>
      </c>
      <c r="B132" s="15" t="s">
        <v>167</v>
      </c>
      <c r="C132" s="15"/>
      <c r="D132" s="15"/>
    </row>
    <row r="133" spans="1:4">
      <c r="A133" s="15">
        <v>30701</v>
      </c>
      <c r="B133" s="15" t="s">
        <v>168</v>
      </c>
      <c r="C133" s="15"/>
      <c r="D133" s="15"/>
    </row>
    <row r="134" spans="1:4">
      <c r="A134" s="15">
        <v>30702</v>
      </c>
      <c r="B134" s="15" t="s">
        <v>169</v>
      </c>
      <c r="C134" s="15"/>
      <c r="D134" s="15"/>
    </row>
    <row r="135" spans="1:4">
      <c r="A135" s="15">
        <v>30703</v>
      </c>
      <c r="B135" s="15" t="s">
        <v>170</v>
      </c>
      <c r="C135" s="15"/>
      <c r="D135" s="15"/>
    </row>
    <row r="136" spans="1:4">
      <c r="A136" s="15">
        <v>30801</v>
      </c>
      <c r="B136" s="15" t="s">
        <v>171</v>
      </c>
      <c r="C136" s="15"/>
      <c r="D136" s="15"/>
    </row>
    <row r="137" spans="1:4">
      <c r="A137" s="15">
        <v>30802</v>
      </c>
      <c r="B137" s="15" t="s">
        <v>172</v>
      </c>
      <c r="C137" s="15"/>
      <c r="D137" s="15"/>
    </row>
    <row r="138" spans="1:4">
      <c r="A138" s="15">
        <v>30803</v>
      </c>
      <c r="B138" s="15" t="s">
        <v>173</v>
      </c>
      <c r="C138" s="15"/>
      <c r="D138" s="15"/>
    </row>
    <row r="139" spans="1:4">
      <c r="A139" s="15">
        <v>30901</v>
      </c>
      <c r="B139" s="15" t="s">
        <v>174</v>
      </c>
      <c r="C139" s="15"/>
      <c r="D139" s="15"/>
    </row>
    <row r="140" spans="1:4">
      <c r="A140" s="15">
        <v>30902</v>
      </c>
      <c r="B140" s="15" t="s">
        <v>175</v>
      </c>
      <c r="C140" s="15"/>
      <c r="D140" s="15"/>
    </row>
    <row r="141" spans="1:4">
      <c r="A141" s="15">
        <v>30903</v>
      </c>
      <c r="B141" s="15" t="s">
        <v>176</v>
      </c>
      <c r="C141" s="15"/>
      <c r="D141" s="15"/>
    </row>
    <row r="142" spans="1:4">
      <c r="A142" s="15">
        <v>30904</v>
      </c>
      <c r="B142" s="15" t="s">
        <v>177</v>
      </c>
      <c r="C142" s="15"/>
      <c r="D142" s="15"/>
    </row>
    <row r="143" spans="1:4">
      <c r="A143" s="15">
        <v>30905</v>
      </c>
      <c r="B143" s="15" t="s">
        <v>178</v>
      </c>
      <c r="C143" s="15"/>
      <c r="D143" s="15"/>
    </row>
    <row r="144" spans="1:4">
      <c r="A144" s="15">
        <v>31001</v>
      </c>
      <c r="B144" s="15" t="s">
        <v>179</v>
      </c>
      <c r="C144" s="15"/>
      <c r="D144" s="15"/>
    </row>
    <row r="145" spans="1:4">
      <c r="A145" s="15">
        <v>31002</v>
      </c>
      <c r="B145" s="15" t="s">
        <v>180</v>
      </c>
      <c r="C145" s="15"/>
      <c r="D145" s="15"/>
    </row>
    <row r="146" spans="1:4">
      <c r="A146" s="15">
        <v>31003</v>
      </c>
      <c r="B146" s="15" t="s">
        <v>181</v>
      </c>
      <c r="C146" s="15"/>
      <c r="D146" s="15"/>
    </row>
    <row r="147" spans="1:4">
      <c r="A147" s="15">
        <v>31101</v>
      </c>
      <c r="B147" s="15" t="s">
        <v>182</v>
      </c>
      <c r="C147" s="15"/>
      <c r="D147" s="15"/>
    </row>
    <row r="148" spans="1:4">
      <c r="A148" s="15">
        <v>31201</v>
      </c>
      <c r="B148" s="15" t="s">
        <v>183</v>
      </c>
      <c r="C148" s="15"/>
      <c r="D148" s="15"/>
    </row>
    <row r="149" spans="1:4">
      <c r="A149" s="15">
        <v>31202</v>
      </c>
      <c r="B149" s="15" t="s">
        <v>184</v>
      </c>
      <c r="C149" s="15"/>
      <c r="D149" s="15"/>
    </row>
    <row r="150" spans="1:4">
      <c r="A150" s="15">
        <v>31203</v>
      </c>
      <c r="B150" s="15" t="s">
        <v>185</v>
      </c>
      <c r="C150" s="15"/>
      <c r="D150" s="15"/>
    </row>
    <row r="151" spans="1:4">
      <c r="A151" s="15">
        <v>31204</v>
      </c>
      <c r="B151" s="15" t="s">
        <v>186</v>
      </c>
      <c r="C151" s="15"/>
      <c r="D151" s="15"/>
    </row>
    <row r="152" spans="1:4">
      <c r="A152" s="15">
        <v>31205</v>
      </c>
      <c r="B152" s="15" t="s">
        <v>187</v>
      </c>
      <c r="C152" s="15"/>
      <c r="D152" s="15"/>
    </row>
    <row r="153" spans="1:4">
      <c r="A153" s="15">
        <v>31206</v>
      </c>
      <c r="B153" s="15" t="s">
        <v>188</v>
      </c>
      <c r="C153" s="15"/>
      <c r="D153" s="15"/>
    </row>
    <row r="154" spans="1:4">
      <c r="A154" s="15">
        <v>31301</v>
      </c>
      <c r="B154" s="15" t="s">
        <v>189</v>
      </c>
      <c r="C154" s="15"/>
      <c r="D154" s="15"/>
    </row>
    <row r="155" spans="1:4">
      <c r="A155" s="15">
        <v>31302</v>
      </c>
      <c r="B155" s="15" t="s">
        <v>190</v>
      </c>
      <c r="C155" s="15"/>
      <c r="D155" s="15"/>
    </row>
    <row r="156" spans="1:4">
      <c r="A156" s="15">
        <v>31303</v>
      </c>
      <c r="B156" s="15" t="s">
        <v>191</v>
      </c>
      <c r="C156" s="15"/>
      <c r="D156" s="15"/>
    </row>
    <row r="157" spans="1:4">
      <c r="A157" s="15">
        <v>31304</v>
      </c>
      <c r="B157" s="15" t="s">
        <v>192</v>
      </c>
      <c r="C157" s="15"/>
      <c r="D157" s="15"/>
    </row>
    <row r="158" spans="1:4">
      <c r="A158" s="15">
        <v>31401</v>
      </c>
      <c r="B158" s="15" t="s">
        <v>193</v>
      </c>
      <c r="C158" s="15"/>
      <c r="D158" s="15"/>
    </row>
    <row r="159" spans="1:4">
      <c r="A159" s="15">
        <v>31402</v>
      </c>
      <c r="B159" s="15" t="s">
        <v>194</v>
      </c>
      <c r="C159" s="15"/>
      <c r="D159" s="15"/>
    </row>
    <row r="160" spans="1:4">
      <c r="A160" s="15">
        <v>31403</v>
      </c>
      <c r="B160" s="15" t="s">
        <v>195</v>
      </c>
      <c r="C160" s="15"/>
      <c r="D160" s="15"/>
    </row>
    <row r="161" spans="1:4">
      <c r="A161" s="15">
        <v>31404</v>
      </c>
      <c r="B161" s="15" t="s">
        <v>196</v>
      </c>
      <c r="C161" s="15"/>
      <c r="D161" s="15"/>
    </row>
    <row r="162" spans="1:4">
      <c r="A162" s="15">
        <v>31405</v>
      </c>
      <c r="B162" s="15" t="s">
        <v>197</v>
      </c>
      <c r="C162" s="15"/>
      <c r="D162" s="15"/>
    </row>
    <row r="163" spans="1:4">
      <c r="A163" s="15">
        <v>31501</v>
      </c>
      <c r="B163" s="15" t="s">
        <v>198</v>
      </c>
      <c r="C163" s="15"/>
      <c r="D163" s="15"/>
    </row>
    <row r="164" spans="1:4">
      <c r="A164" s="15">
        <v>31601</v>
      </c>
      <c r="B164" s="15" t="s">
        <v>199</v>
      </c>
      <c r="C164" s="15"/>
      <c r="D164" s="15"/>
    </row>
    <row r="165" spans="1:4">
      <c r="A165" s="15">
        <v>31602</v>
      </c>
      <c r="B165" s="15" t="s">
        <v>200</v>
      </c>
      <c r="C165" s="15"/>
      <c r="D165" s="15"/>
    </row>
    <row r="166" spans="1:4">
      <c r="A166" s="15">
        <v>40101</v>
      </c>
      <c r="B166" s="15" t="s">
        <v>34</v>
      </c>
      <c r="C166" s="15"/>
      <c r="D166" s="15"/>
    </row>
    <row r="167" spans="1:4">
      <c r="A167" s="15">
        <v>40102</v>
      </c>
      <c r="B167" s="15" t="s">
        <v>201</v>
      </c>
      <c r="C167" s="15"/>
      <c r="D167" s="15"/>
    </row>
    <row r="168" spans="1:4">
      <c r="A168" s="15">
        <v>40103</v>
      </c>
      <c r="B168" s="15" t="s">
        <v>202</v>
      </c>
      <c r="C168" s="15"/>
      <c r="D168" s="15"/>
    </row>
    <row r="169" spans="1:4">
      <c r="A169" s="15">
        <v>40104</v>
      </c>
      <c r="B169" s="15" t="s">
        <v>203</v>
      </c>
      <c r="C169" s="15"/>
      <c r="D169" s="15"/>
    </row>
    <row r="170" spans="1:4">
      <c r="A170" s="15">
        <v>40201</v>
      </c>
      <c r="B170" s="15" t="s">
        <v>204</v>
      </c>
      <c r="C170" s="15"/>
      <c r="D170" s="15"/>
    </row>
    <row r="171" spans="1:4">
      <c r="A171" s="15">
        <v>40202</v>
      </c>
      <c r="B171" s="15" t="s">
        <v>205</v>
      </c>
      <c r="C171" s="15"/>
      <c r="D171" s="15"/>
    </row>
    <row r="172" spans="1:4">
      <c r="A172" s="15">
        <v>40301</v>
      </c>
      <c r="B172" s="15" t="s">
        <v>206</v>
      </c>
      <c r="C172" s="15"/>
      <c r="D172" s="15"/>
    </row>
    <row r="173" spans="1:4">
      <c r="A173" s="15">
        <v>40302</v>
      </c>
      <c r="B173" s="15" t="s">
        <v>207</v>
      </c>
      <c r="C173" s="15"/>
      <c r="D173" s="15"/>
    </row>
    <row r="174" spans="1:4">
      <c r="A174" s="15">
        <v>40401</v>
      </c>
      <c r="B174" s="15" t="s">
        <v>208</v>
      </c>
      <c r="C174" s="15"/>
      <c r="D174" s="15"/>
    </row>
    <row r="175" spans="1:4">
      <c r="A175" s="15">
        <v>40402</v>
      </c>
      <c r="B175" s="15" t="s">
        <v>209</v>
      </c>
      <c r="C175" s="15"/>
      <c r="D175" s="15"/>
    </row>
    <row r="176" spans="1:4">
      <c r="A176" s="15">
        <v>40501</v>
      </c>
      <c r="B176" s="15" t="s">
        <v>210</v>
      </c>
      <c r="C176" s="15"/>
      <c r="D176" s="15"/>
    </row>
    <row r="177" spans="1:4">
      <c r="A177" s="15">
        <v>40502</v>
      </c>
      <c r="B177" s="15" t="s">
        <v>211</v>
      </c>
      <c r="C177" s="15"/>
      <c r="D177" s="15"/>
    </row>
    <row r="178" spans="1:4">
      <c r="A178" s="15">
        <v>40503</v>
      </c>
      <c r="B178" s="15" t="s">
        <v>212</v>
      </c>
      <c r="C178" s="15"/>
      <c r="D178" s="15"/>
    </row>
    <row r="179" spans="1:4">
      <c r="A179" s="15">
        <v>40504</v>
      </c>
      <c r="B179" s="15" t="s">
        <v>213</v>
      </c>
      <c r="C179" s="15"/>
      <c r="D179" s="15"/>
    </row>
    <row r="180" spans="1:4">
      <c r="A180" s="15">
        <v>40505</v>
      </c>
      <c r="B180" s="15" t="s">
        <v>214</v>
      </c>
      <c r="C180" s="15"/>
      <c r="D180" s="15"/>
    </row>
    <row r="181" spans="1:4">
      <c r="A181" s="15">
        <v>40601</v>
      </c>
      <c r="B181" s="15" t="s">
        <v>215</v>
      </c>
      <c r="C181" s="15"/>
      <c r="D181" s="15"/>
    </row>
    <row r="182" spans="1:4">
      <c r="A182" s="15">
        <v>40602</v>
      </c>
      <c r="B182" s="15" t="s">
        <v>216</v>
      </c>
      <c r="C182" s="15"/>
      <c r="D182" s="15"/>
    </row>
    <row r="183" spans="1:4">
      <c r="A183" s="15">
        <v>40603</v>
      </c>
      <c r="B183" s="15" t="s">
        <v>217</v>
      </c>
      <c r="C183" s="15"/>
      <c r="D183" s="15"/>
    </row>
    <row r="184" spans="1:4">
      <c r="A184" s="15">
        <v>40701</v>
      </c>
      <c r="B184" s="15" t="s">
        <v>218</v>
      </c>
      <c r="C184" s="15"/>
      <c r="D184" s="15"/>
    </row>
    <row r="185" spans="1:4">
      <c r="A185" s="15">
        <v>40702</v>
      </c>
      <c r="B185" s="15" t="s">
        <v>219</v>
      </c>
      <c r="C185" s="15"/>
      <c r="D185" s="15"/>
    </row>
    <row r="186" spans="1:4">
      <c r="A186" s="15">
        <v>40801</v>
      </c>
      <c r="B186" s="15" t="s">
        <v>220</v>
      </c>
      <c r="C186" s="15"/>
      <c r="D186" s="15"/>
    </row>
    <row r="187" spans="1:4">
      <c r="A187" s="15">
        <v>40802</v>
      </c>
      <c r="B187" s="15" t="s">
        <v>221</v>
      </c>
      <c r="C187" s="15"/>
      <c r="D187" s="15"/>
    </row>
    <row r="188" spans="1:4">
      <c r="A188" s="15">
        <v>40901</v>
      </c>
      <c r="B188" s="15" t="s">
        <v>222</v>
      </c>
      <c r="C188" s="15"/>
      <c r="D188" s="15"/>
    </row>
    <row r="189" spans="1:4">
      <c r="A189" s="15">
        <v>40902</v>
      </c>
      <c r="B189" s="15" t="s">
        <v>223</v>
      </c>
      <c r="C189" s="15"/>
      <c r="D189" s="15"/>
    </row>
    <row r="190" spans="1:4">
      <c r="A190" s="15">
        <v>40903</v>
      </c>
      <c r="B190" s="15" t="s">
        <v>224</v>
      </c>
      <c r="C190" s="15"/>
      <c r="D190" s="15"/>
    </row>
    <row r="191" spans="1:4">
      <c r="A191" s="15">
        <v>41001</v>
      </c>
      <c r="B191" s="15" t="s">
        <v>225</v>
      </c>
      <c r="C191" s="15"/>
      <c r="D191" s="15"/>
    </row>
    <row r="192" spans="1:4">
      <c r="A192" s="15">
        <v>41101</v>
      </c>
      <c r="B192" s="15" t="s">
        <v>226</v>
      </c>
      <c r="C192" s="15"/>
      <c r="D192" s="15"/>
    </row>
    <row r="193" spans="1:4">
      <c r="A193" s="15">
        <v>41201</v>
      </c>
      <c r="B193" s="15" t="s">
        <v>227</v>
      </c>
      <c r="C193" s="15"/>
      <c r="D193" s="15"/>
    </row>
    <row r="194" spans="1:4">
      <c r="A194" s="15">
        <v>41202</v>
      </c>
      <c r="B194" s="15" t="s">
        <v>228</v>
      </c>
      <c r="C194" s="15"/>
      <c r="D194" s="15"/>
    </row>
    <row r="195" spans="1:4">
      <c r="A195" s="15">
        <v>41301</v>
      </c>
      <c r="B195" s="15" t="s">
        <v>183</v>
      </c>
      <c r="C195" s="15"/>
      <c r="D195" s="15"/>
    </row>
    <row r="196" spans="1:4">
      <c r="A196" s="15">
        <v>41401</v>
      </c>
      <c r="B196" s="15" t="s">
        <v>229</v>
      </c>
      <c r="C196" s="15"/>
      <c r="D196" s="15"/>
    </row>
    <row r="197" spans="1:4">
      <c r="A197" s="15">
        <v>41501</v>
      </c>
      <c r="B197" s="15" t="s">
        <v>230</v>
      </c>
      <c r="C197" s="15"/>
      <c r="D197" s="15"/>
    </row>
    <row r="198" spans="1:4">
      <c r="A198" s="15">
        <v>41502</v>
      </c>
      <c r="B198" s="15" t="s">
        <v>231</v>
      </c>
      <c r="C198" s="15"/>
      <c r="D198" s="15"/>
    </row>
    <row r="199" spans="1:4">
      <c r="A199" s="15">
        <v>41503</v>
      </c>
      <c r="B199" s="15" t="s">
        <v>232</v>
      </c>
      <c r="C199" s="15"/>
      <c r="D199" s="15"/>
    </row>
    <row r="200" spans="1:4">
      <c r="A200" s="15">
        <v>41601</v>
      </c>
      <c r="B200" s="15" t="s">
        <v>233</v>
      </c>
      <c r="C200" s="15"/>
      <c r="D200" s="15"/>
    </row>
    <row r="201" spans="1:4">
      <c r="A201" s="15">
        <v>50101</v>
      </c>
      <c r="B201" s="15" t="s">
        <v>36</v>
      </c>
      <c r="C201" s="15"/>
      <c r="D201" s="15"/>
    </row>
    <row r="202" spans="1:4">
      <c r="A202" s="15">
        <v>50102</v>
      </c>
      <c r="B202" s="15" t="s">
        <v>234</v>
      </c>
      <c r="C202" s="15"/>
      <c r="D202" s="15"/>
    </row>
    <row r="203" spans="1:4">
      <c r="A203" s="15">
        <v>50103</v>
      </c>
      <c r="B203" s="15" t="s">
        <v>235</v>
      </c>
      <c r="C203" s="15"/>
      <c r="D203" s="15"/>
    </row>
    <row r="204" spans="1:4">
      <c r="A204" s="15">
        <v>50104</v>
      </c>
      <c r="B204" s="15" t="s">
        <v>236</v>
      </c>
      <c r="C204" s="15"/>
      <c r="D204" s="15"/>
    </row>
    <row r="205" spans="1:4">
      <c r="A205" s="15">
        <v>50201</v>
      </c>
      <c r="B205" s="15" t="s">
        <v>237</v>
      </c>
      <c r="C205" s="15"/>
      <c r="D205" s="15"/>
    </row>
    <row r="206" spans="1:4">
      <c r="A206" s="15">
        <v>50202</v>
      </c>
      <c r="B206" s="15" t="s">
        <v>238</v>
      </c>
      <c r="C206" s="15"/>
      <c r="D206" s="15"/>
    </row>
    <row r="207" spans="1:4">
      <c r="A207" s="15">
        <v>50203</v>
      </c>
      <c r="B207" s="15" t="s">
        <v>239</v>
      </c>
      <c r="C207" s="15"/>
      <c r="D207" s="15"/>
    </row>
    <row r="208" spans="1:4">
      <c r="A208" s="15">
        <v>50204</v>
      </c>
      <c r="B208" s="15" t="s">
        <v>240</v>
      </c>
      <c r="C208" s="15"/>
      <c r="D208" s="15"/>
    </row>
    <row r="209" spans="1:4">
      <c r="A209" s="15">
        <v>50301</v>
      </c>
      <c r="B209" s="15" t="s">
        <v>241</v>
      </c>
      <c r="C209" s="15"/>
      <c r="D209" s="15"/>
    </row>
    <row r="210" spans="1:4">
      <c r="A210" s="15">
        <v>50302</v>
      </c>
      <c r="B210" s="15" t="s">
        <v>242</v>
      </c>
      <c r="C210" s="15"/>
      <c r="D210" s="15"/>
    </row>
    <row r="211" spans="1:4">
      <c r="A211" s="15">
        <v>50303</v>
      </c>
      <c r="B211" s="15" t="s">
        <v>243</v>
      </c>
      <c r="C211" s="15"/>
      <c r="D211" s="15"/>
    </row>
    <row r="212" spans="1:4">
      <c r="A212" s="15">
        <v>50401</v>
      </c>
      <c r="B212" s="15" t="s">
        <v>244</v>
      </c>
      <c r="C212" s="15"/>
      <c r="D212" s="15"/>
    </row>
    <row r="213" spans="1:4">
      <c r="A213" s="15">
        <v>50402</v>
      </c>
      <c r="B213" s="15" t="s">
        <v>245</v>
      </c>
      <c r="C213" s="15"/>
      <c r="D213" s="15"/>
    </row>
    <row r="214" spans="1:4">
      <c r="A214" s="15">
        <v>50403</v>
      </c>
      <c r="B214" s="15" t="s">
        <v>246</v>
      </c>
      <c r="C214" s="15"/>
      <c r="D214" s="15"/>
    </row>
    <row r="215" spans="1:4">
      <c r="A215" s="15">
        <v>50404</v>
      </c>
      <c r="B215" s="15" t="s">
        <v>247</v>
      </c>
      <c r="C215" s="15"/>
      <c r="D215" s="15"/>
    </row>
    <row r="216" spans="1:4">
      <c r="A216" s="15">
        <v>50405</v>
      </c>
      <c r="B216" s="15" t="s">
        <v>248</v>
      </c>
      <c r="C216" s="15"/>
      <c r="D216" s="15"/>
    </row>
    <row r="217" spans="1:4">
      <c r="A217" s="15">
        <v>50501</v>
      </c>
      <c r="B217" s="15" t="s">
        <v>249</v>
      </c>
      <c r="C217" s="15"/>
      <c r="D217" s="15"/>
    </row>
    <row r="218" spans="1:4">
      <c r="A218" s="15">
        <v>50502</v>
      </c>
      <c r="B218" s="15" t="s">
        <v>250</v>
      </c>
      <c r="C218" s="15"/>
      <c r="D218" s="15"/>
    </row>
    <row r="219" spans="1:4">
      <c r="A219" s="15">
        <v>50601</v>
      </c>
      <c r="B219" s="15" t="s">
        <v>251</v>
      </c>
      <c r="C219" s="15"/>
      <c r="D219" s="15"/>
    </row>
    <row r="220" spans="1:4">
      <c r="A220" s="15">
        <v>50602</v>
      </c>
      <c r="B220" s="15" t="s">
        <v>252</v>
      </c>
      <c r="C220" s="15"/>
      <c r="D220" s="15"/>
    </row>
    <row r="221" spans="1:4">
      <c r="A221" s="15">
        <v>50701</v>
      </c>
      <c r="B221" s="15" t="s">
        <v>253</v>
      </c>
      <c r="C221" s="15"/>
      <c r="D221" s="15"/>
    </row>
    <row r="222" spans="1:4">
      <c r="A222" s="15">
        <v>50702</v>
      </c>
      <c r="B222" s="15" t="s">
        <v>254</v>
      </c>
      <c r="C222" s="15"/>
      <c r="D222" s="15"/>
    </row>
    <row r="223" spans="1:4">
      <c r="A223" s="15">
        <v>50801</v>
      </c>
      <c r="B223" s="15" t="s">
        <v>255</v>
      </c>
      <c r="C223" s="15"/>
      <c r="D223" s="15"/>
    </row>
    <row r="224" spans="1:4">
      <c r="A224" s="15">
        <v>50802</v>
      </c>
      <c r="B224" s="15" t="s">
        <v>256</v>
      </c>
      <c r="C224" s="15"/>
      <c r="D224" s="15"/>
    </row>
    <row r="225" spans="1:4">
      <c r="A225" s="15">
        <v>50901</v>
      </c>
      <c r="B225" s="15" t="s">
        <v>257</v>
      </c>
      <c r="C225" s="15"/>
      <c r="D225" s="15"/>
    </row>
    <row r="226" spans="1:4">
      <c r="A226" s="15">
        <v>50902</v>
      </c>
      <c r="B226" s="15" t="s">
        <v>258</v>
      </c>
      <c r="C226" s="15"/>
      <c r="D226" s="15"/>
    </row>
    <row r="227" spans="1:4">
      <c r="A227" s="15">
        <v>51001</v>
      </c>
      <c r="B227" s="15" t="s">
        <v>259</v>
      </c>
      <c r="C227" s="15"/>
      <c r="D227" s="15"/>
    </row>
    <row r="228" spans="1:4">
      <c r="A228" s="15">
        <v>51002</v>
      </c>
      <c r="B228" s="15" t="s">
        <v>260</v>
      </c>
      <c r="C228" s="15"/>
      <c r="D228" s="15"/>
    </row>
    <row r="229" spans="1:4">
      <c r="A229" s="15">
        <v>51003</v>
      </c>
      <c r="B229" s="15" t="s">
        <v>261</v>
      </c>
      <c r="C229" s="15"/>
      <c r="D229" s="15"/>
    </row>
    <row r="230" spans="1:4">
      <c r="A230" s="15">
        <v>51101</v>
      </c>
      <c r="B230" s="15" t="s">
        <v>262</v>
      </c>
      <c r="C230" s="15"/>
      <c r="D230" s="15"/>
    </row>
    <row r="231" spans="1:4">
      <c r="A231" s="15">
        <v>51102</v>
      </c>
      <c r="B231" s="15" t="s">
        <v>263</v>
      </c>
      <c r="C231" s="15"/>
      <c r="D231" s="15"/>
    </row>
    <row r="232" spans="1:4">
      <c r="A232" s="15">
        <v>51103</v>
      </c>
      <c r="B232" s="15" t="s">
        <v>264</v>
      </c>
      <c r="C232" s="15"/>
      <c r="D232" s="15"/>
    </row>
    <row r="233" spans="1:4">
      <c r="A233" s="15">
        <v>51201</v>
      </c>
      <c r="B233" s="15" t="s">
        <v>265</v>
      </c>
      <c r="C233" s="15"/>
      <c r="D233" s="15"/>
    </row>
    <row r="234" spans="1:4">
      <c r="A234" s="15">
        <v>51202</v>
      </c>
      <c r="B234" s="15" t="s">
        <v>266</v>
      </c>
      <c r="C234" s="15"/>
      <c r="D234" s="15"/>
    </row>
    <row r="235" spans="1:4">
      <c r="A235" s="15">
        <v>51203</v>
      </c>
      <c r="B235" s="15" t="s">
        <v>267</v>
      </c>
      <c r="C235" s="15"/>
      <c r="D235" s="15"/>
    </row>
    <row r="236" spans="1:4">
      <c r="A236" s="15">
        <v>51204</v>
      </c>
      <c r="B236" s="15" t="s">
        <v>268</v>
      </c>
      <c r="C236" s="15"/>
      <c r="D236" s="15"/>
    </row>
    <row r="237" spans="1:4">
      <c r="A237" s="15">
        <v>51301</v>
      </c>
      <c r="B237" s="15" t="s">
        <v>269</v>
      </c>
      <c r="C237" s="15"/>
      <c r="D237" s="15"/>
    </row>
    <row r="238" spans="1:4">
      <c r="A238" s="15">
        <v>51302</v>
      </c>
      <c r="B238" s="15" t="s">
        <v>270</v>
      </c>
      <c r="C238" s="15"/>
      <c r="D238" s="15"/>
    </row>
    <row r="239" spans="1:4">
      <c r="A239" s="15">
        <v>51401</v>
      </c>
      <c r="B239" s="15" t="s">
        <v>271</v>
      </c>
      <c r="C239" s="15"/>
      <c r="D239" s="15"/>
    </row>
    <row r="240" spans="1:4">
      <c r="A240" s="15">
        <v>51402</v>
      </c>
      <c r="B240" s="15" t="s">
        <v>272</v>
      </c>
      <c r="C240" s="15"/>
      <c r="D240" s="15"/>
    </row>
    <row r="241" spans="1:4">
      <c r="A241" s="15">
        <v>51501</v>
      </c>
      <c r="B241" s="15" t="s">
        <v>273</v>
      </c>
      <c r="C241" s="15"/>
      <c r="D241" s="15"/>
    </row>
    <row r="242" spans="1:4">
      <c r="A242" s="15">
        <v>51601</v>
      </c>
      <c r="B242" s="15" t="s">
        <v>274</v>
      </c>
      <c r="C242" s="15"/>
      <c r="D242" s="15"/>
    </row>
    <row r="243" spans="1:4">
      <c r="A243" s="15">
        <v>60101</v>
      </c>
      <c r="B243" s="15" t="s">
        <v>38</v>
      </c>
      <c r="C243" s="15"/>
      <c r="D243" s="15"/>
    </row>
    <row r="244" spans="1:4">
      <c r="A244" s="15">
        <v>60201</v>
      </c>
      <c r="B244" s="15" t="s">
        <v>275</v>
      </c>
      <c r="C244" s="15"/>
      <c r="D244" s="15"/>
    </row>
    <row r="245" spans="1:4">
      <c r="A245" s="15">
        <v>60202</v>
      </c>
      <c r="B245" s="15" t="s">
        <v>276</v>
      </c>
      <c r="C245" s="15"/>
      <c r="D245" s="15"/>
    </row>
    <row r="246" spans="1:4">
      <c r="A246" s="15">
        <v>60301</v>
      </c>
      <c r="B246" s="15" t="s">
        <v>277</v>
      </c>
      <c r="C246" s="15"/>
      <c r="D246" s="15"/>
    </row>
    <row r="247" spans="1:4">
      <c r="A247" s="15">
        <v>60302</v>
      </c>
      <c r="B247" s="15" t="s">
        <v>278</v>
      </c>
      <c r="C247" s="15"/>
      <c r="D247" s="15"/>
    </row>
    <row r="248" spans="1:4">
      <c r="A248" s="15">
        <v>60303</v>
      </c>
      <c r="B248" s="15" t="s">
        <v>279</v>
      </c>
      <c r="C248" s="15"/>
      <c r="D248" s="15"/>
    </row>
    <row r="249" spans="1:4">
      <c r="A249" s="15">
        <v>60401</v>
      </c>
      <c r="B249" s="15" t="s">
        <v>280</v>
      </c>
      <c r="C249" s="15"/>
      <c r="D249" s="15"/>
    </row>
    <row r="250" spans="1:4">
      <c r="A250" s="15">
        <v>60402</v>
      </c>
      <c r="B250" s="15" t="s">
        <v>281</v>
      </c>
      <c r="C250" s="15"/>
      <c r="D250" s="15"/>
    </row>
    <row r="251" spans="1:4">
      <c r="A251" s="15">
        <v>60501</v>
      </c>
      <c r="B251" s="15" t="s">
        <v>282</v>
      </c>
      <c r="C251" s="15"/>
      <c r="D251" s="15"/>
    </row>
    <row r="252" spans="1:4">
      <c r="A252" s="15">
        <v>60502</v>
      </c>
      <c r="B252" s="15" t="s">
        <v>283</v>
      </c>
      <c r="C252" s="15"/>
      <c r="D252" s="15"/>
    </row>
    <row r="253" spans="1:4">
      <c r="A253" s="15">
        <v>60601</v>
      </c>
      <c r="B253" s="15" t="s">
        <v>188</v>
      </c>
      <c r="C253" s="15"/>
      <c r="D253" s="15"/>
    </row>
    <row r="254" spans="1:4">
      <c r="A254" s="15">
        <v>70101</v>
      </c>
      <c r="B254" s="15" t="s">
        <v>284</v>
      </c>
      <c r="C254" s="15"/>
      <c r="D254" s="15"/>
    </row>
    <row r="255" spans="1:4">
      <c r="A255" s="15">
        <v>70102</v>
      </c>
      <c r="B255" s="15" t="s">
        <v>285</v>
      </c>
      <c r="C255" s="15"/>
      <c r="D255" s="15"/>
    </row>
    <row r="256" spans="1:4">
      <c r="A256" s="15">
        <v>70103</v>
      </c>
      <c r="B256" s="15" t="s">
        <v>286</v>
      </c>
      <c r="C256" s="15"/>
      <c r="D256" s="15"/>
    </row>
    <row r="257" spans="1:4">
      <c r="A257" s="15">
        <v>70104</v>
      </c>
      <c r="B257" s="15" t="s">
        <v>287</v>
      </c>
      <c r="C257" s="15"/>
      <c r="D257" s="15"/>
    </row>
    <row r="258" spans="1:4">
      <c r="A258" s="15">
        <v>70105</v>
      </c>
      <c r="B258" s="15" t="s">
        <v>288</v>
      </c>
      <c r="C258" s="15"/>
      <c r="D258" s="15"/>
    </row>
    <row r="259" spans="1:4">
      <c r="A259" s="15">
        <v>70201</v>
      </c>
      <c r="B259" s="15" t="s">
        <v>289</v>
      </c>
      <c r="C259" s="15"/>
      <c r="D259" s="15"/>
    </row>
    <row r="260" spans="1:4">
      <c r="A260" s="15">
        <v>70202</v>
      </c>
      <c r="B260" s="15" t="s">
        <v>290</v>
      </c>
      <c r="C260" s="15"/>
      <c r="D260" s="15"/>
    </row>
    <row r="261" spans="1:4">
      <c r="A261" s="15">
        <v>70301</v>
      </c>
      <c r="B261" s="15" t="s">
        <v>291</v>
      </c>
      <c r="C261" s="15"/>
      <c r="D261" s="15"/>
    </row>
    <row r="262" spans="1:4">
      <c r="A262" s="15">
        <v>70302</v>
      </c>
      <c r="B262" s="15" t="s">
        <v>292</v>
      </c>
      <c r="C262" s="15"/>
      <c r="D262" s="15"/>
    </row>
    <row r="263" spans="1:4">
      <c r="A263" s="15">
        <v>70303</v>
      </c>
      <c r="B263" s="15" t="s">
        <v>293</v>
      </c>
      <c r="C263" s="15"/>
      <c r="D263" s="15"/>
    </row>
    <row r="264" spans="1:4">
      <c r="A264" s="15">
        <v>70401</v>
      </c>
      <c r="B264" s="15" t="s">
        <v>294</v>
      </c>
      <c r="C264" s="15"/>
      <c r="D264" s="15"/>
    </row>
    <row r="265" spans="1:4">
      <c r="A265" s="15">
        <v>70402</v>
      </c>
      <c r="B265" s="15" t="s">
        <v>295</v>
      </c>
      <c r="C265" s="15"/>
      <c r="D265" s="15"/>
    </row>
    <row r="266" spans="1:4">
      <c r="A266" s="15">
        <v>70403</v>
      </c>
      <c r="B266" s="15" t="s">
        <v>296</v>
      </c>
      <c r="C266" s="15"/>
      <c r="D266" s="15"/>
    </row>
    <row r="267" spans="1:4">
      <c r="A267" s="15">
        <v>70404</v>
      </c>
      <c r="B267" s="15" t="s">
        <v>297</v>
      </c>
      <c r="C267" s="15"/>
      <c r="D267" s="15"/>
    </row>
    <row r="268" spans="1:4">
      <c r="A268" s="15">
        <v>70501</v>
      </c>
      <c r="B268" s="15" t="s">
        <v>298</v>
      </c>
      <c r="C268" s="15"/>
      <c r="D268" s="15"/>
    </row>
    <row r="269" spans="1:4">
      <c r="A269" s="15">
        <v>70502</v>
      </c>
      <c r="B269" s="15" t="s">
        <v>299</v>
      </c>
      <c r="C269" s="15"/>
      <c r="D269" s="15"/>
    </row>
    <row r="270" spans="1:4">
      <c r="A270" s="15">
        <v>70503</v>
      </c>
      <c r="B270" s="15" t="s">
        <v>300</v>
      </c>
      <c r="C270" s="15"/>
      <c r="D270" s="15"/>
    </row>
    <row r="271" spans="1:4">
      <c r="A271" s="15">
        <v>70601</v>
      </c>
      <c r="B271" s="15" t="s">
        <v>301</v>
      </c>
      <c r="C271" s="15"/>
      <c r="D271" s="15"/>
    </row>
    <row r="272" spans="1:4">
      <c r="A272" s="15">
        <v>70602</v>
      </c>
      <c r="B272" s="15" t="s">
        <v>302</v>
      </c>
      <c r="C272" s="15"/>
      <c r="D272" s="15"/>
    </row>
    <row r="273" spans="1:4">
      <c r="A273" s="15">
        <v>70603</v>
      </c>
      <c r="B273" s="15" t="s">
        <v>303</v>
      </c>
      <c r="C273" s="15"/>
      <c r="D273" s="15"/>
    </row>
    <row r="274" spans="1:4">
      <c r="A274" s="15">
        <v>70701</v>
      </c>
      <c r="B274" s="15" t="s">
        <v>304</v>
      </c>
      <c r="C274" s="15"/>
      <c r="D274" s="15"/>
    </row>
    <row r="275" spans="1:4">
      <c r="A275" s="15">
        <v>70702</v>
      </c>
      <c r="B275" s="15" t="s">
        <v>305</v>
      </c>
      <c r="C275" s="15"/>
      <c r="D275" s="15"/>
    </row>
    <row r="276" spans="1:4">
      <c r="A276" s="15">
        <v>70703</v>
      </c>
      <c r="B276" s="15" t="s">
        <v>306</v>
      </c>
      <c r="C276" s="15"/>
      <c r="D276" s="15"/>
    </row>
    <row r="277" spans="1:4">
      <c r="A277" s="15">
        <v>70704</v>
      </c>
      <c r="B277" s="15" t="s">
        <v>307</v>
      </c>
      <c r="C277" s="15"/>
      <c r="D277" s="15"/>
    </row>
    <row r="278" spans="1:4">
      <c r="A278" s="15">
        <v>70705</v>
      </c>
      <c r="B278" s="15" t="s">
        <v>308</v>
      </c>
      <c r="C278" s="15"/>
      <c r="D278" s="15"/>
    </row>
    <row r="279" spans="1:4">
      <c r="A279" s="15">
        <v>70706</v>
      </c>
      <c r="B279" s="15" t="s">
        <v>309</v>
      </c>
      <c r="C279" s="15"/>
      <c r="D279" s="15"/>
    </row>
    <row r="280" spans="1:4">
      <c r="A280" s="15">
        <v>70707</v>
      </c>
      <c r="B280" s="15" t="s">
        <v>310</v>
      </c>
      <c r="C280" s="15"/>
      <c r="D280" s="15"/>
    </row>
    <row r="281" spans="1:4">
      <c r="A281" s="15">
        <v>70801</v>
      </c>
      <c r="B281" s="15" t="s">
        <v>311</v>
      </c>
      <c r="C281" s="15"/>
      <c r="D281" s="15"/>
    </row>
    <row r="282" spans="1:4">
      <c r="A282" s="15">
        <v>70802</v>
      </c>
      <c r="B282" s="15" t="s">
        <v>312</v>
      </c>
      <c r="C282" s="15"/>
      <c r="D282" s="15"/>
    </row>
    <row r="283" spans="1:4">
      <c r="A283" s="15">
        <v>70803</v>
      </c>
      <c r="B283" s="15" t="s">
        <v>313</v>
      </c>
      <c r="C283" s="15"/>
      <c r="D283" s="15"/>
    </row>
    <row r="284" spans="1:4">
      <c r="A284" s="15">
        <v>70804</v>
      </c>
      <c r="B284" s="15" t="s">
        <v>314</v>
      </c>
      <c r="C284" s="15"/>
      <c r="D284" s="15"/>
    </row>
    <row r="285" spans="1:4">
      <c r="A285" s="15">
        <v>70805</v>
      </c>
      <c r="B285" s="15" t="s">
        <v>315</v>
      </c>
      <c r="C285" s="15"/>
      <c r="D285" s="15"/>
    </row>
    <row r="286" spans="1:4">
      <c r="A286" s="15">
        <v>70901</v>
      </c>
      <c r="B286" s="15" t="s">
        <v>316</v>
      </c>
      <c r="C286" s="15"/>
      <c r="D286" s="15"/>
    </row>
    <row r="287" spans="1:4">
      <c r="A287" s="15">
        <v>70902</v>
      </c>
      <c r="B287" s="15" t="s">
        <v>317</v>
      </c>
      <c r="C287" s="15"/>
      <c r="D287" s="15"/>
    </row>
    <row r="288" spans="1:4">
      <c r="A288" s="15">
        <v>70903</v>
      </c>
      <c r="B288" s="15" t="s">
        <v>318</v>
      </c>
      <c r="C288" s="15"/>
      <c r="D288" s="15"/>
    </row>
    <row r="289" spans="1:4">
      <c r="A289" s="15">
        <v>70904</v>
      </c>
      <c r="B289" s="15" t="s">
        <v>319</v>
      </c>
      <c r="C289" s="15"/>
      <c r="D289" s="15"/>
    </row>
    <row r="290" spans="1:4">
      <c r="A290" s="15">
        <v>71001</v>
      </c>
      <c r="B290" s="15" t="s">
        <v>320</v>
      </c>
      <c r="C290" s="15"/>
      <c r="D290" s="15"/>
    </row>
    <row r="291" spans="1:4">
      <c r="A291" s="15">
        <v>71002</v>
      </c>
      <c r="B291" s="15" t="s">
        <v>321</v>
      </c>
      <c r="C291" s="15"/>
      <c r="D291" s="15"/>
    </row>
    <row r="292" spans="1:4">
      <c r="A292" s="15">
        <v>71003</v>
      </c>
      <c r="B292" s="15" t="s">
        <v>322</v>
      </c>
      <c r="C292" s="15"/>
      <c r="D292" s="15"/>
    </row>
    <row r="293" spans="1:4">
      <c r="A293" s="15">
        <v>71004</v>
      </c>
      <c r="B293" s="15" t="s">
        <v>323</v>
      </c>
      <c r="C293" s="15"/>
      <c r="D293" s="15"/>
    </row>
    <row r="294" spans="1:4">
      <c r="A294" s="15">
        <v>71005</v>
      </c>
      <c r="B294" s="15" t="s">
        <v>249</v>
      </c>
      <c r="C294" s="15"/>
      <c r="D294" s="15"/>
    </row>
    <row r="295" spans="1:4">
      <c r="A295" s="15">
        <v>71101</v>
      </c>
      <c r="B295" s="15" t="s">
        <v>324</v>
      </c>
      <c r="C295" s="15"/>
      <c r="D295" s="15"/>
    </row>
    <row r="296" spans="1:4">
      <c r="A296" s="15">
        <v>71102</v>
      </c>
      <c r="B296" s="15" t="s">
        <v>325</v>
      </c>
      <c r="C296" s="15"/>
      <c r="D296" s="15"/>
    </row>
    <row r="297" spans="1:4">
      <c r="A297" s="15">
        <v>71103</v>
      </c>
      <c r="B297" s="15" t="s">
        <v>326</v>
      </c>
      <c r="C297" s="15"/>
      <c r="D297" s="15"/>
    </row>
    <row r="298" spans="1:4">
      <c r="A298" s="15">
        <v>71104</v>
      </c>
      <c r="B298" s="15" t="s">
        <v>327</v>
      </c>
      <c r="C298" s="15"/>
      <c r="D298" s="15"/>
    </row>
    <row r="299" spans="1:4">
      <c r="A299" s="15">
        <v>71105</v>
      </c>
      <c r="B299" s="15" t="s">
        <v>328</v>
      </c>
      <c r="C299" s="15"/>
      <c r="D299" s="15"/>
    </row>
    <row r="300" spans="1:4">
      <c r="A300" s="15">
        <v>71106</v>
      </c>
      <c r="B300" s="15" t="s">
        <v>329</v>
      </c>
      <c r="C300" s="15"/>
      <c r="D300" s="15"/>
    </row>
    <row r="301" spans="1:4">
      <c r="A301" s="15">
        <v>71201</v>
      </c>
      <c r="B301" s="15" t="s">
        <v>330</v>
      </c>
      <c r="C301" s="15"/>
      <c r="D301" s="15"/>
    </row>
    <row r="302" spans="1:4">
      <c r="A302" s="15">
        <v>71301</v>
      </c>
      <c r="B302" s="15" t="s">
        <v>331</v>
      </c>
      <c r="C302" s="15"/>
      <c r="D302" s="15"/>
    </row>
    <row r="303" spans="1:4">
      <c r="A303" s="15">
        <v>71302</v>
      </c>
      <c r="B303" s="15" t="s">
        <v>332</v>
      </c>
      <c r="C303" s="15"/>
      <c r="D303" s="15"/>
    </row>
    <row r="304" spans="1:4">
      <c r="A304" s="15">
        <v>71401</v>
      </c>
      <c r="B304" s="15" t="s">
        <v>333</v>
      </c>
      <c r="C304" s="15"/>
      <c r="D304" s="15"/>
    </row>
    <row r="305" spans="1:4">
      <c r="A305" s="15">
        <v>71402</v>
      </c>
      <c r="B305" s="15" t="s">
        <v>334</v>
      </c>
      <c r="C305" s="15"/>
      <c r="D305" s="15"/>
    </row>
    <row r="306" spans="1:4">
      <c r="A306" s="15">
        <v>71403</v>
      </c>
      <c r="B306" s="15" t="s">
        <v>335</v>
      </c>
      <c r="C306" s="15"/>
      <c r="D306" s="15"/>
    </row>
    <row r="307" spans="1:4">
      <c r="A307" s="15">
        <v>71501</v>
      </c>
      <c r="B307" s="15" t="s">
        <v>336</v>
      </c>
      <c r="C307" s="15"/>
      <c r="D307" s="15"/>
    </row>
    <row r="308" spans="1:4">
      <c r="A308" s="15">
        <v>71502</v>
      </c>
      <c r="B308" s="15" t="s">
        <v>337</v>
      </c>
      <c r="C308" s="15"/>
      <c r="D308" s="15"/>
    </row>
    <row r="309" spans="1:4">
      <c r="A309" s="15">
        <v>71503</v>
      </c>
      <c r="B309" s="15" t="s">
        <v>283</v>
      </c>
      <c r="C309" s="15"/>
      <c r="D309" s="15"/>
    </row>
    <row r="310" spans="1:4">
      <c r="A310" s="15">
        <v>80101</v>
      </c>
      <c r="B310" s="15" t="s">
        <v>338</v>
      </c>
      <c r="C310" s="15"/>
      <c r="D310" s="15"/>
    </row>
    <row r="311" spans="1:4">
      <c r="A311" s="15">
        <v>80102</v>
      </c>
      <c r="B311" s="15" t="s">
        <v>325</v>
      </c>
      <c r="C311" s="15"/>
      <c r="D311" s="15"/>
    </row>
    <row r="312" spans="1:4">
      <c r="A312" s="15">
        <v>80201</v>
      </c>
      <c r="B312" s="15" t="s">
        <v>339</v>
      </c>
      <c r="C312" s="15"/>
      <c r="D312" s="15"/>
    </row>
    <row r="313" spans="1:4">
      <c r="A313" s="15">
        <v>80202</v>
      </c>
      <c r="B313" s="15" t="s">
        <v>340</v>
      </c>
      <c r="C313" s="15"/>
      <c r="D313" s="15"/>
    </row>
    <row r="314" spans="1:4">
      <c r="A314" s="15">
        <v>80301</v>
      </c>
      <c r="B314" s="15" t="s">
        <v>341</v>
      </c>
      <c r="C314" s="15"/>
      <c r="D314" s="15"/>
    </row>
    <row r="315" spans="1:4">
      <c r="A315" s="15">
        <v>80302</v>
      </c>
      <c r="B315" s="15" t="s">
        <v>342</v>
      </c>
      <c r="C315" s="15"/>
      <c r="D315" s="15"/>
    </row>
    <row r="316" spans="1:4">
      <c r="A316" s="15">
        <v>80303</v>
      </c>
      <c r="B316" s="15" t="s">
        <v>302</v>
      </c>
      <c r="C316" s="15"/>
      <c r="D316" s="15"/>
    </row>
    <row r="317" spans="1:4">
      <c r="A317" s="15">
        <v>80304</v>
      </c>
      <c r="B317" s="15" t="s">
        <v>343</v>
      </c>
      <c r="C317" s="15"/>
      <c r="D317" s="15"/>
    </row>
    <row r="318" spans="1:4">
      <c r="A318" s="15">
        <v>80401</v>
      </c>
      <c r="B318" s="15" t="s">
        <v>344</v>
      </c>
      <c r="C318" s="15"/>
      <c r="D318" s="15"/>
    </row>
    <row r="319" spans="1:4">
      <c r="A319" s="15">
        <v>80402</v>
      </c>
      <c r="B319" s="15" t="s">
        <v>345</v>
      </c>
      <c r="C319" s="15"/>
      <c r="D319" s="15"/>
    </row>
    <row r="320" spans="1:4">
      <c r="A320" s="15">
        <v>80501</v>
      </c>
      <c r="B320" s="15" t="s">
        <v>291</v>
      </c>
      <c r="C320" s="15"/>
      <c r="D320" s="15"/>
    </row>
    <row r="321" spans="1:4">
      <c r="A321" s="15">
        <v>80601</v>
      </c>
      <c r="B321" s="15" t="s">
        <v>346</v>
      </c>
      <c r="C321" s="15"/>
      <c r="D321" s="15"/>
    </row>
    <row r="322" spans="1:4">
      <c r="A322" s="15">
        <v>80602</v>
      </c>
      <c r="B322" s="15" t="s">
        <v>347</v>
      </c>
      <c r="C322" s="15"/>
      <c r="D322" s="15"/>
    </row>
    <row r="323" spans="1:4">
      <c r="A323" s="15">
        <v>80701</v>
      </c>
      <c r="B323" s="15" t="s">
        <v>348</v>
      </c>
      <c r="C323" s="15"/>
      <c r="D323" s="15"/>
    </row>
    <row r="324" spans="1:4">
      <c r="A324" s="15">
        <v>80702</v>
      </c>
      <c r="B324" s="15" t="s">
        <v>326</v>
      </c>
      <c r="C324" s="15"/>
      <c r="D324" s="15"/>
    </row>
    <row r="325" spans="1:4">
      <c r="A325" s="15">
        <v>80703</v>
      </c>
      <c r="B325" s="15" t="s">
        <v>349</v>
      </c>
      <c r="C325" s="15"/>
      <c r="D325" s="15"/>
    </row>
    <row r="326" spans="1:4">
      <c r="A326" s="15">
        <v>80801</v>
      </c>
      <c r="B326" s="15" t="s">
        <v>350</v>
      </c>
      <c r="C326" s="15"/>
      <c r="D326" s="15"/>
    </row>
    <row r="327" spans="1:4">
      <c r="A327" s="15">
        <v>80802</v>
      </c>
      <c r="B327" s="15" t="s">
        <v>351</v>
      </c>
      <c r="C327" s="15"/>
      <c r="D327" s="15"/>
    </row>
    <row r="328" spans="1:4">
      <c r="A328" s="15">
        <v>80803</v>
      </c>
      <c r="B328" s="15" t="s">
        <v>352</v>
      </c>
      <c r="C328" s="15"/>
      <c r="D328" s="15"/>
    </row>
    <row r="329" spans="1:4">
      <c r="A329" s="15">
        <v>80901</v>
      </c>
      <c r="B329" s="15" t="s">
        <v>353</v>
      </c>
      <c r="C329" s="15"/>
      <c r="D329" s="15"/>
    </row>
    <row r="330" spans="1:4">
      <c r="A330" s="15">
        <v>90101</v>
      </c>
      <c r="B330" s="15" t="s">
        <v>354</v>
      </c>
      <c r="C330" s="15"/>
      <c r="D330" s="15"/>
    </row>
    <row r="331" spans="1:4">
      <c r="A331" s="15">
        <v>90102</v>
      </c>
      <c r="B331" s="15" t="s">
        <v>355</v>
      </c>
      <c r="C331" s="15"/>
      <c r="D331" s="15"/>
    </row>
    <row r="332" spans="1:4">
      <c r="A332" s="15">
        <v>90103</v>
      </c>
      <c r="B332" s="15" t="s">
        <v>356</v>
      </c>
      <c r="C332" s="15"/>
      <c r="D332" s="15"/>
    </row>
    <row r="333" spans="1:4">
      <c r="A333" s="15">
        <v>90104</v>
      </c>
      <c r="B333" s="15" t="s">
        <v>357</v>
      </c>
      <c r="C333" s="15"/>
      <c r="D333" s="15"/>
    </row>
    <row r="334" spans="1:4">
      <c r="A334" s="15">
        <v>90201</v>
      </c>
      <c r="B334" s="15" t="s">
        <v>358</v>
      </c>
      <c r="C334" s="15"/>
      <c r="D334" s="15"/>
    </row>
    <row r="335" spans="1:4">
      <c r="A335" s="15">
        <v>90202</v>
      </c>
      <c r="B335" s="15" t="s">
        <v>249</v>
      </c>
      <c r="C335" s="15"/>
      <c r="D335" s="15"/>
    </row>
    <row r="336" spans="1:4">
      <c r="A336" s="15">
        <v>90203</v>
      </c>
      <c r="B336" s="15" t="s">
        <v>359</v>
      </c>
      <c r="C336" s="15"/>
      <c r="D336" s="15"/>
    </row>
    <row r="337" spans="1:4">
      <c r="A337" s="15">
        <v>90301</v>
      </c>
      <c r="B337" s="15" t="s">
        <v>360</v>
      </c>
      <c r="C337" s="15"/>
      <c r="D337" s="15"/>
    </row>
    <row r="338" spans="1:4">
      <c r="A338" s="15">
        <v>90302</v>
      </c>
      <c r="B338" s="15" t="s">
        <v>282</v>
      </c>
      <c r="C338" s="15"/>
      <c r="D338" s="15"/>
    </row>
    <row r="339" spans="1:4">
      <c r="A339" s="15">
        <v>90303</v>
      </c>
      <c r="B339" s="15" t="s">
        <v>361</v>
      </c>
      <c r="C339" s="15"/>
      <c r="D339" s="15"/>
    </row>
    <row r="340" spans="1:4">
      <c r="A340" s="15">
        <v>90401</v>
      </c>
      <c r="B340" s="15" t="s">
        <v>302</v>
      </c>
      <c r="C340" s="15"/>
      <c r="D340" s="15"/>
    </row>
    <row r="341" spans="1:4">
      <c r="A341" s="15">
        <v>90402</v>
      </c>
      <c r="B341" s="15" t="s">
        <v>362</v>
      </c>
      <c r="C341" s="15"/>
      <c r="D341" s="15"/>
    </row>
    <row r="342" spans="1:4">
      <c r="A342" s="15">
        <v>90501</v>
      </c>
      <c r="B342" s="15" t="s">
        <v>363</v>
      </c>
      <c r="C342" s="15"/>
      <c r="D342" s="15"/>
    </row>
    <row r="343" spans="1:4">
      <c r="A343" s="15">
        <v>90502</v>
      </c>
      <c r="B343" s="15" t="s">
        <v>364</v>
      </c>
      <c r="C343" s="15"/>
      <c r="D343" s="15"/>
    </row>
    <row r="344" spans="1:4">
      <c r="A344" s="15">
        <v>90503</v>
      </c>
      <c r="B344" s="15" t="s">
        <v>365</v>
      </c>
      <c r="C344" s="15"/>
      <c r="D344"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outlinePr summaryBelow="0" summaryRight="0"/>
  </sheetPr>
  <dimension ref="A1:Z12"/>
  <sheetViews>
    <sheetView workbookViewId="0"/>
  </sheetViews>
  <sheetFormatPr baseColWidth="10" defaultColWidth="12.6640625" defaultRowHeight="15.75" customHeight="1"/>
  <sheetData>
    <row r="1" spans="1:26">
      <c r="A1" s="39" t="s">
        <v>19</v>
      </c>
      <c r="B1" s="39" t="s">
        <v>20</v>
      </c>
      <c r="C1" s="40" t="s">
        <v>17</v>
      </c>
      <c r="D1" s="40" t="s">
        <v>18</v>
      </c>
      <c r="E1" s="41"/>
      <c r="F1" s="41"/>
      <c r="G1" s="41"/>
      <c r="H1" s="41"/>
      <c r="I1" s="41"/>
      <c r="J1" s="41"/>
      <c r="K1" s="41"/>
      <c r="L1" s="41"/>
      <c r="M1" s="41"/>
      <c r="N1" s="41"/>
      <c r="O1" s="41"/>
      <c r="P1" s="41"/>
      <c r="Q1" s="41"/>
      <c r="R1" s="41"/>
      <c r="S1" s="41"/>
      <c r="T1" s="41"/>
      <c r="U1" s="41"/>
      <c r="V1" s="41"/>
      <c r="W1" s="41"/>
      <c r="X1" s="41"/>
      <c r="Y1" s="41"/>
      <c r="Z1" s="41"/>
    </row>
    <row r="2" spans="1:26">
      <c r="A2" s="15">
        <v>1</v>
      </c>
      <c r="B2" s="15" t="s">
        <v>26</v>
      </c>
      <c r="C2" s="20">
        <v>0.52300577424347572</v>
      </c>
      <c r="D2" s="20">
        <v>0.92162540615596955</v>
      </c>
    </row>
    <row r="3" spans="1:26">
      <c r="A3" s="15">
        <v>2</v>
      </c>
      <c r="B3" s="15" t="s">
        <v>28</v>
      </c>
      <c r="C3" s="20">
        <v>0.51387614667228365</v>
      </c>
      <c r="D3" s="20">
        <v>0.92523268431935235</v>
      </c>
    </row>
    <row r="4" spans="1:26">
      <c r="A4" s="15">
        <v>3</v>
      </c>
      <c r="B4" s="15" t="s">
        <v>31</v>
      </c>
      <c r="C4" s="20">
        <v>0.51116206071138082</v>
      </c>
      <c r="D4" s="20">
        <v>0.90731791840277554</v>
      </c>
    </row>
    <row r="5" spans="1:26">
      <c r="A5" s="15">
        <v>4</v>
      </c>
      <c r="B5" s="15" t="s">
        <v>34</v>
      </c>
      <c r="C5" s="20">
        <v>0.54547329894544028</v>
      </c>
      <c r="D5" s="20">
        <v>0.95702642526870185</v>
      </c>
    </row>
    <row r="6" spans="1:26">
      <c r="A6" s="15">
        <v>5</v>
      </c>
      <c r="B6" s="15" t="s">
        <v>36</v>
      </c>
      <c r="C6" s="20">
        <v>0.54462878173979135</v>
      </c>
      <c r="D6" s="20">
        <v>0.9295079777779317</v>
      </c>
    </row>
    <row r="7" spans="1:26">
      <c r="A7" s="15">
        <v>6</v>
      </c>
      <c r="B7" s="15" t="s">
        <v>38</v>
      </c>
      <c r="C7" s="20">
        <v>0.46328773240149862</v>
      </c>
      <c r="D7" s="20">
        <v>0.9219142999551394</v>
      </c>
    </row>
    <row r="8" spans="1:26">
      <c r="A8" s="15">
        <v>7</v>
      </c>
      <c r="B8" s="15" t="s">
        <v>40</v>
      </c>
      <c r="C8" s="20">
        <v>0.47056837015734249</v>
      </c>
      <c r="D8" s="20">
        <v>0.87205991909341551</v>
      </c>
    </row>
    <row r="9" spans="1:26">
      <c r="A9" s="15">
        <v>8</v>
      </c>
      <c r="B9" s="15" t="s">
        <v>42</v>
      </c>
      <c r="C9" s="20">
        <v>0.49661857903381018</v>
      </c>
      <c r="D9" s="20">
        <v>0.89426552864943865</v>
      </c>
    </row>
    <row r="10" spans="1:26">
      <c r="A10" s="15">
        <v>9</v>
      </c>
      <c r="B10" s="15" t="s">
        <v>44</v>
      </c>
      <c r="C10" s="20">
        <v>0.48550727125875548</v>
      </c>
      <c r="D10" s="20">
        <v>0.92081637092369928</v>
      </c>
    </row>
    <row r="11" spans="1:26">
      <c r="A11" s="15">
        <v>10</v>
      </c>
      <c r="B11" s="15" t="s">
        <v>48</v>
      </c>
      <c r="C11" s="20">
        <v>0.50517128226210561</v>
      </c>
      <c r="D11" s="20">
        <v>0.91057307738139159</v>
      </c>
    </row>
    <row r="12" spans="1:26">
      <c r="A12" s="15">
        <v>11</v>
      </c>
      <c r="B12" s="15" t="s">
        <v>46</v>
      </c>
      <c r="C12" s="20">
        <v>0.49946034633716779</v>
      </c>
      <c r="D12" s="20">
        <v>0.90181463499457082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D12"/>
  <sheetViews>
    <sheetView workbookViewId="0"/>
  </sheetViews>
  <sheetFormatPr baseColWidth="10" defaultColWidth="12.6640625" defaultRowHeight="15.75" customHeight="1"/>
  <sheetData>
    <row r="1" spans="1:4">
      <c r="A1" s="39" t="s">
        <v>19</v>
      </c>
      <c r="B1" s="39" t="s">
        <v>20</v>
      </c>
      <c r="C1" s="14" t="s">
        <v>371</v>
      </c>
      <c r="D1" s="14" t="s">
        <v>372</v>
      </c>
    </row>
    <row r="2" spans="1:4">
      <c r="A2" s="15">
        <v>1</v>
      </c>
      <c r="B2" s="15" t="s">
        <v>26</v>
      </c>
      <c r="C2" s="15"/>
      <c r="D2" s="15"/>
    </row>
    <row r="3" spans="1:4">
      <c r="A3" s="15">
        <v>2</v>
      </c>
      <c r="B3" s="15" t="s">
        <v>28</v>
      </c>
      <c r="C3" s="15"/>
      <c r="D3" s="15"/>
    </row>
    <row r="4" spans="1:4">
      <c r="A4" s="15">
        <v>3</v>
      </c>
      <c r="B4" s="15" t="s">
        <v>31</v>
      </c>
      <c r="C4" s="15"/>
      <c r="D4" s="15"/>
    </row>
    <row r="5" spans="1:4">
      <c r="A5" s="15">
        <v>4</v>
      </c>
      <c r="B5" s="15" t="s">
        <v>34</v>
      </c>
      <c r="C5" s="15"/>
      <c r="D5" s="15"/>
    </row>
    <row r="6" spans="1:4">
      <c r="A6" s="15">
        <v>5</v>
      </c>
      <c r="B6" s="15" t="s">
        <v>36</v>
      </c>
      <c r="C6" s="15"/>
      <c r="D6" s="15"/>
    </row>
    <row r="7" spans="1:4">
      <c r="A7" s="15">
        <v>6</v>
      </c>
      <c r="B7" s="15" t="s">
        <v>38</v>
      </c>
      <c r="C7" s="15"/>
      <c r="D7" s="15"/>
    </row>
    <row r="8" spans="1:4">
      <c r="A8" s="15">
        <v>7</v>
      </c>
      <c r="B8" s="15" t="s">
        <v>40</v>
      </c>
      <c r="C8" s="15"/>
      <c r="D8" s="15"/>
    </row>
    <row r="9" spans="1:4">
      <c r="A9" s="15">
        <v>8</v>
      </c>
      <c r="B9" s="15" t="s">
        <v>42</v>
      </c>
      <c r="C9" s="15"/>
      <c r="D9" s="15"/>
    </row>
    <row r="10" spans="1:4">
      <c r="A10" s="15">
        <v>9</v>
      </c>
      <c r="B10" s="15" t="s">
        <v>44</v>
      </c>
      <c r="C10" s="15"/>
      <c r="D10" s="15"/>
    </row>
    <row r="11" spans="1:4">
      <c r="A11" s="15">
        <v>10</v>
      </c>
      <c r="B11" s="15" t="s">
        <v>48</v>
      </c>
      <c r="C11" s="15"/>
      <c r="D11" s="15"/>
    </row>
    <row r="12" spans="1:4">
      <c r="A12" s="15">
        <v>11</v>
      </c>
      <c r="B12" s="15" t="s">
        <v>46</v>
      </c>
      <c r="C12" s="15"/>
      <c r="D12"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2"/>
  <sheetViews>
    <sheetView workbookViewId="0"/>
  </sheetViews>
  <sheetFormatPr baseColWidth="10" defaultColWidth="12.6640625" defaultRowHeight="15.75" customHeight="1"/>
  <sheetData>
    <row r="1" spans="1:10" ht="15.75" customHeight="1">
      <c r="A1" s="42" t="s">
        <v>373</v>
      </c>
      <c r="B1" s="42" t="s">
        <v>374</v>
      </c>
      <c r="C1" s="43" t="s">
        <v>375</v>
      </c>
      <c r="D1" s="43" t="s">
        <v>376</v>
      </c>
      <c r="E1" s="44" t="s">
        <v>377</v>
      </c>
      <c r="F1" s="44" t="s">
        <v>378</v>
      </c>
      <c r="G1" s="45" t="s">
        <v>379</v>
      </c>
      <c r="H1" s="45" t="s">
        <v>380</v>
      </c>
      <c r="I1" s="46" t="s">
        <v>381</v>
      </c>
      <c r="J1" s="46" t="s">
        <v>382</v>
      </c>
    </row>
    <row r="2" spans="1:10" ht="15.75" customHeight="1">
      <c r="A2" s="16">
        <v>10</v>
      </c>
      <c r="B2" s="27" t="s">
        <v>383</v>
      </c>
      <c r="C2" s="16">
        <v>1</v>
      </c>
      <c r="D2" s="20">
        <v>0.69959324811218837</v>
      </c>
      <c r="E2" s="20">
        <v>0.69959324811218837</v>
      </c>
      <c r="F2" s="20">
        <v>0.5114866119147633</v>
      </c>
      <c r="G2" s="20">
        <v>0.5114866119147633</v>
      </c>
      <c r="H2" s="20">
        <v>0.32337997571733823</v>
      </c>
      <c r="I2" s="20">
        <v>0.32337997571733823</v>
      </c>
      <c r="J2" s="1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tabSelected="1" workbookViewId="0">
      <selection activeCell="L16" sqref="L16"/>
    </sheetView>
  </sheetViews>
  <sheetFormatPr baseColWidth="10" defaultColWidth="12.6640625" defaultRowHeight="15.7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Datos procesados (CENSO)</vt:lpstr>
      <vt:lpstr>Indicador_MUN</vt:lpstr>
      <vt:lpstr>Absoluto_MUN</vt:lpstr>
      <vt:lpstr>Indicador_DEP</vt:lpstr>
      <vt:lpstr>Absoluto_DEP</vt:lpstr>
      <vt:lpstr>Umbral</vt:lpstr>
      <vt:lpstr>Mapa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Paolo</dc:creator>
  <cp:lastModifiedBy>Paolo</cp:lastModifiedBy>
  <dcterms:created xsi:type="dcterms:W3CDTF">2026-05-24T23:26:24Z</dcterms:created>
  <dcterms:modified xsi:type="dcterms:W3CDTF">2026-05-24T23:26:24Z</dcterms:modified>
</cp:coreProperties>
</file>