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DSN\Atlas2025\Indicadores_Fabiana\"/>
    </mc:Choice>
  </mc:AlternateContent>
  <xr:revisionPtr revIDLastSave="0" documentId="13_ncr:1_{BE2673CF-264F-4640-8F9E-F38A9543808B}" xr6:coauthVersionLast="47" xr6:coauthVersionMax="47" xr10:uidLastSave="{00000000-0000-0000-0000-000000000000}"/>
  <bookViews>
    <workbookView xWindow="-108" yWindow="-108" windowWidth="23256" windowHeight="12456" tabRatio="727" activeTab="6" xr2:uid="{00000000-000D-0000-FFFF-FFFF00000000}"/>
  </bookViews>
  <sheets>
    <sheet name="datos_2016" sheetId="1" r:id="rId1"/>
    <sheet name="datos_2023" sheetId="2" r:id="rId2"/>
    <sheet name="Indicador_MUN" sheetId="3" r:id="rId3"/>
    <sheet name="Absoluto_MUN" sheetId="5" r:id="rId4"/>
    <sheet name="Indicador_DEP" sheetId="4" r:id="rId5"/>
    <sheet name="Absoluto_DEP" sheetId="6" r:id="rId6"/>
    <sheet name="Umbral" sheetId="7" r:id="rId7"/>
    <sheet name="Map" sheetId="8" r:id="rId8"/>
  </sheets>
  <calcPr calcId="191029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D344" i="5" l="1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N3" i="2"/>
  <c r="N4" i="2"/>
  <c r="N5" i="2"/>
  <c r="N6" i="2"/>
  <c r="N7" i="2"/>
  <c r="N8" i="2"/>
  <c r="N9" i="2"/>
  <c r="N10" i="2"/>
  <c r="N11" i="2"/>
  <c r="N15" i="2"/>
  <c r="N16" i="2"/>
  <c r="N17" i="2"/>
  <c r="N18" i="2"/>
  <c r="N2" i="2"/>
  <c r="N3" i="1"/>
  <c r="N4" i="1"/>
  <c r="N5" i="1"/>
  <c r="N6" i="1"/>
  <c r="N7" i="1"/>
  <c r="N8" i="1"/>
  <c r="N9" i="1"/>
  <c r="N10" i="1"/>
  <c r="N11" i="1"/>
  <c r="N15" i="1"/>
  <c r="N16" i="1"/>
  <c r="N17" i="1"/>
  <c r="N18" i="1"/>
  <c r="N2" i="1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D215" i="3" s="1"/>
  <c r="G204" i="2"/>
  <c r="D214" i="3" s="1"/>
  <c r="G203" i="2"/>
  <c r="D213" i="3" s="1"/>
  <c r="G202" i="2"/>
  <c r="G201" i="2"/>
  <c r="G200" i="2"/>
  <c r="G199" i="2"/>
  <c r="D209" i="3" s="1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D63" i="3" s="1"/>
  <c r="G59" i="2"/>
  <c r="D62" i="3" s="1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212" i="3"/>
  <c r="D211" i="3"/>
  <c r="D210" i="3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C209" i="3" s="1"/>
  <c r="G205" i="1"/>
  <c r="C207" i="3" s="1"/>
  <c r="G204" i="1"/>
  <c r="C206" i="3" s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8" i="3"/>
  <c r="D7" i="3"/>
  <c r="D6" i="3"/>
  <c r="D5" i="3"/>
  <c r="D4" i="3"/>
  <c r="D3" i="3"/>
  <c r="D2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8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83" i="3"/>
  <c r="D61" i="3"/>
  <c r="D60" i="3"/>
  <c r="D59" i="3"/>
  <c r="D58" i="3"/>
  <c r="D57" i="3"/>
  <c r="D56" i="3"/>
  <c r="D55" i="3"/>
  <c r="D54" i="3"/>
  <c r="D53" i="3"/>
  <c r="D52" i="3"/>
  <c r="D51" i="3"/>
  <c r="D50" i="3"/>
  <c r="D15" i="3"/>
  <c r="D14" i="3"/>
  <c r="D13" i="3"/>
  <c r="D12" i="3"/>
  <c r="D11" i="3"/>
  <c r="D10" i="3"/>
  <c r="D9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</calcChain>
</file>

<file path=xl/sharedStrings.xml><?xml version="1.0" encoding="utf-8"?>
<sst xmlns="http://schemas.openxmlformats.org/spreadsheetml/2006/main" count="767" uniqueCount="376">
  <si>
    <t>COD_MUNI</t>
  </si>
  <si>
    <t>n_id_unicos</t>
  </si>
  <si>
    <t>n_id_zero_1_12</t>
  </si>
  <si>
    <t>n_id_zero_6_12</t>
  </si>
  <si>
    <t>n_id_zero_12</t>
  </si>
  <si>
    <t>COD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</si>
  <si>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</si>
  <si>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</si>
  <si>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</si>
  <si>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</si>
  <si>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</si>
  <si>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</si>
  <si>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</si>
  <si>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</si>
  <si>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</si>
  <si>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</si>
  <si>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</si>
  <si>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</si>
  <si>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</si>
  <si>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</si>
  <si>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</si>
  <si>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</si>
  <si>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</si>
  <si>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</si>
  <si>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</si>
  <si>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</si>
  <si>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</si>
  <si>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</si>
  <si>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</si>
  <si>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</si>
  <si>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</si>
  <si>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</si>
  <si>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</si>
  <si>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</si>
  <si>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</si>
  <si>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</si>
  <si>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</si>
  <si>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</si>
  <si>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</si>
  <si>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</si>
  <si>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</si>
  <si>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</si>
  <si>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</si>
  <si>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</si>
  <si>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</si>
  <si>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</si>
  <si>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</si>
  <si>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</si>
  <si>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</si>
  <si>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</si>
  <si>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</si>
  <si>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</si>
  <si>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</si>
  <si>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</si>
  <si>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</si>
  <si>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</si>
  <si>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</si>
  <si>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</si>
  <si>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</si>
  <si>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</si>
  <si>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</si>
  <si>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</si>
  <si>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</si>
  <si>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</si>
  <si>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</si>
  <si>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</si>
  <si>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</si>
  <si>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</si>
  <si>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</si>
  <si>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</si>
  <si>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</si>
  <si>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</si>
  <si>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</si>
  <si>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</si>
  <si>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</si>
  <si>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</si>
  <si>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</si>
  <si>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</si>
  <si>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</si>
  <si>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</si>
  <si>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</si>
  <si>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</si>
  <si>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</si>
  <si>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</si>
  <si>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</si>
  <si>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</si>
  <si>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</si>
  <si>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</si>
  <si>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</si>
  <si>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</si>
  <si>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</si>
  <si>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</si>
  <si>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</si>
  <si>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</si>
  <si>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</si>
  <si>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</si>
  <si>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</si>
  <si>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</si>
  <si>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</si>
  <si>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</si>
  <si>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</si>
  <si>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</si>
  <si>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</si>
  <si>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</si>
  <si>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</si>
  <si>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</si>
  <si>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</si>
  <si>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</si>
  <si>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</si>
  <si>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</si>
  <si>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</si>
  <si>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</si>
  <si>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</si>
  <si>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</si>
  <si>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</si>
  <si>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</si>
  <si>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</si>
  <si>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</si>
  <si>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</si>
  <si>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</si>
  <si>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</si>
  <si>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</si>
  <si>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</si>
  <si>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</si>
  <si>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</si>
  <si>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</si>
  <si>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</si>
  <si>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</si>
  <si>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</si>
  <si>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</si>
  <si>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</si>
  <si>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</si>
  <si>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</si>
  <si>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</si>
  <si>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</si>
  <si>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</si>
  <si>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</si>
  <si>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</si>
  <si>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</si>
  <si>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</si>
  <si>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</si>
  <si>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</si>
  <si>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</si>
  <si>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</si>
  <si>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</si>
  <si>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</si>
  <si>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</si>
  <si>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</si>
  <si>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</si>
  <si>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</si>
  <si>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</si>
  <si>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</si>
  <si>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</si>
  <si>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</si>
  <si>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</si>
  <si>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</si>
  <si>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</si>
  <si>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</si>
  <si>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</si>
  <si>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</si>
  <si>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</si>
  <si>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</si>
  <si>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</si>
  <si>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</si>
  <si>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</si>
  <si>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</si>
  <si>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</si>
  <si>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</si>
  <si>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</si>
  <si>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</si>
  <si>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</si>
  <si>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</si>
  <si>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</si>
  <si>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</si>
  <si>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</si>
  <si>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</si>
  <si>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</si>
  <si>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</si>
  <si>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</si>
  <si>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</si>
  <si>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</si>
  <si>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</si>
  <si>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</si>
  <si>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</si>
  <si>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</si>
  <si>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</si>
  <si>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</si>
  <si>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</si>
  <si>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</si>
  <si>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</si>
  <si>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</si>
  <si>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</si>
  <si>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</si>
  <si>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</si>
  <si>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</si>
  <si>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</si>
  <si>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</si>
  <si>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</si>
  <si>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</si>
  <si>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</si>
  <si>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</si>
  <si>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</si>
  <si>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</si>
  <si>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</si>
  <si>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</si>
  <si>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</si>
  <si>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</si>
  <si>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</si>
  <si>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</si>
  <si>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</si>
  <si>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</si>
  <si>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</si>
  <si>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</si>
  <si>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</si>
  <si>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</si>
  <si>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</si>
  <si>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</si>
  <si>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</si>
  <si>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</si>
  <si>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</si>
  <si>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</si>
  <si>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</si>
  <si>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</si>
  <si>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</si>
  <si>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</si>
  <si>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</si>
  <si>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</si>
  <si>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</si>
  <si>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</si>
  <si>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</si>
  <si>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</si>
  <si>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</si>
  <si>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</si>
  <si>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</si>
  <si>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</si>
  <si>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</si>
  <si>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</si>
  <si>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</si>
  <si>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</si>
  <si>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</si>
  <si>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</si>
  <si>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</si>
  <si>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</si>
  <si>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</si>
  <si>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</si>
  <si>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</si>
  <si>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</si>
  <si>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</si>
  <si>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</si>
  <si>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</si>
  <si>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</si>
  <si>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</si>
  <si>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</si>
  <si>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</si>
  <si>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</si>
  <si>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</si>
  <si>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</si>
  <si>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</si>
  <si>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</si>
  <si>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</si>
  <si>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</si>
  <si>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</si>
  <si>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</si>
  <si>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</si>
  <si>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</si>
  <si>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</si>
  <si>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</si>
  <si>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</si>
  <si>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</si>
  <si>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</si>
  <si>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</si>
  <si>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</si>
  <si>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</si>
  <si>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</si>
  <si>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</si>
  <si>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</si>
  <si>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</si>
  <si>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</si>
  <si>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</si>
  <si>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</si>
  <si>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</si>
  <si>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</si>
  <si>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</si>
  <si>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</si>
  <si>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</si>
  <si>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</si>
  <si>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</si>
  <si>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</si>
  <si>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</si>
  <si>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</si>
  <si>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</si>
  <si>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</si>
  <si>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</si>
  <si>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</si>
  <si>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</si>
  <si>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</si>
  <si>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</si>
  <si>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</si>
  <si>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</si>
  <si>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</si>
  <si>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</si>
  <si>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</si>
  <si>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</si>
  <si>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</si>
  <si>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</si>
  <si>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</si>
  <si>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</si>
  <si>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</si>
  <si>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</si>
  <si>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</si>
  <si>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</si>
  <si>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</si>
  <si>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</si>
  <si>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</si>
  <si>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</si>
  <si>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</si>
  <si>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</si>
  <si>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</si>
  <si>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</si>
  <si>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</si>
  <si>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</si>
  <si>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</si>
  <si>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</si>
  <si>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</si>
  <si>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</si>
  <si>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</si>
  <si>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</si>
  <si>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</si>
  <si>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</si>
  <si>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</si>
  <si>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</si>
  <si>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</si>
  <si>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</si>
  <si>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</si>
  <si>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</si>
  <si>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</si>
  <si>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</si>
  <si>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</si>
  <si>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</si>
  <si>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</si>
  <si>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</si>
  <si>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</si>
  <si>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</si>
  <si>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</si>
  <si>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</si>
  <si>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Porcentaje de medidores eléctricos residenciales con consumo cero</t>
  </si>
  <si>
    <t>Porcentaje de medidores eléctricos residenciales con consumo cero 2016</t>
  </si>
  <si>
    <t>Porcentaje de medidores eléctricos residenciales con consumo cero 2023</t>
  </si>
  <si>
    <t>DEP</t>
  </si>
  <si>
    <t>Etiquetas de fila</t>
  </si>
  <si>
    <t>Total general</t>
  </si>
  <si>
    <t>Suma de n_id_unicos</t>
  </si>
  <si>
    <t>Suma de n_id_zero_6_12</t>
  </si>
  <si>
    <t>id_departamento</t>
  </si>
  <si>
    <t>Departamento</t>
  </si>
  <si>
    <t>Chuquisaca</t>
  </si>
  <si>
    <t>La Paz</t>
  </si>
  <si>
    <t>Santa Cruz</t>
  </si>
  <si>
    <t>Beni</t>
  </si>
  <si>
    <t>Pando</t>
  </si>
  <si>
    <t>Gran Chaco</t>
  </si>
  <si>
    <t>Bolivia</t>
  </si>
  <si>
    <t>Porcentaje de medidores eléctricos residenciales con consumo cero 2016 (%)</t>
  </si>
  <si>
    <t>Porcentaje de medidores eléctricos residenciales con consumo cero 2023 (%)</t>
  </si>
  <si>
    <t>Número de medidores con 6 o más meses con consumo cero 2016</t>
  </si>
  <si>
    <t>Número de medidores con 6 o más meses con consumo cero 2023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</si>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</sst>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_-;\-* #,##0.00_-;_-* &quot;-&quot;??_-;_-@_-"/>
    <numFmt numFmtId="166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212529"/>
      <name val="Segoe U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/>
    <xf numFmtId="0" fontId="4" fillId="3" borderId="2" xfId="0" applyFont="1" applyFill="1" applyBorder="1"/>
    <xf numFmtId="164" fontId="4" fillId="3" borderId="2" xfId="3" applyNumberFormat="1" applyFont="1" applyFill="1" applyBorder="1" applyAlignment="1">
      <alignment horizontal="left" indent="1"/>
    </xf>
    <xf numFmtId="0" fontId="4" fillId="0" borderId="2" xfId="0" applyFont="1" applyBorder="1"/>
    <xf numFmtId="164" fontId="4" fillId="0" borderId="2" xfId="3" applyNumberFormat="1" applyFont="1" applyFill="1" applyBorder="1" applyAlignment="1">
      <alignment horizontal="left" indent="1"/>
    </xf>
    <xf numFmtId="0" fontId="3" fillId="2" borderId="3" xfId="0" applyFont="1" applyFill="1" applyBorder="1" applyAlignment="1">
      <alignment wrapText="1"/>
    </xf>
    <xf numFmtId="0" fontId="4" fillId="3" borderId="4" xfId="0" applyFont="1" applyFill="1" applyBorder="1"/>
    <xf numFmtId="164" fontId="4" fillId="3" borderId="4" xfId="3" applyNumberFormat="1" applyFont="1" applyFill="1" applyBorder="1" applyAlignment="1">
      <alignment horizontal="left" indent="1"/>
    </xf>
    <xf numFmtId="166" fontId="0" fillId="0" borderId="0" xfId="0" applyNumberFormat="1"/>
    <xf numFmtId="2" fontId="0" fillId="0" borderId="0" xfId="0" applyNumberFormat="1"/>
    <xf numFmtId="0" fontId="6" fillId="3" borderId="2" xfId="0" applyFont="1" applyFill="1" applyBorder="1"/>
    <xf numFmtId="164" fontId="6" fillId="3" borderId="2" xfId="3" applyNumberFormat="1" applyFont="1" applyFill="1" applyBorder="1" applyAlignment="1">
      <alignment horizontal="left" indent="1"/>
    </xf>
    <xf numFmtId="2" fontId="4" fillId="3" borderId="3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2" fontId="0" fillId="0" borderId="1" xfId="0" applyNumberFormat="1" applyBorder="1"/>
    <xf numFmtId="1" fontId="4" fillId="3" borderId="3" xfId="1" applyNumberFormat="1" applyFont="1" applyFill="1" applyBorder="1"/>
    <xf numFmtId="0" fontId="1" fillId="4" borderId="5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4">
    <cellStyle name="Millares 2" xfId="3" xr:uid="{503ADE39-8104-4FA7-B6A3-B3E53CE3E60E}"/>
    <cellStyle name="Normal" xfId="0" builtinId="0"/>
    <cellStyle name="Normal 2" xfId="2" xr:uid="{2B2981B9-FE79-4419-BE64-3CB7B26695B1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6.916207175927" createdVersion="8" refreshedVersion="8" minRefreshableVersion="3" recordCount="321" xr:uid="{70AA4D28-F91C-4F6F-AE72-D6C01A030183}">
  <cacheSource type="worksheet">
    <worksheetSource ref="A1:G322" sheet="datos_2023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401" count="321">
        <n v="10101"/>
        <n v="10102"/>
        <n v="10103"/>
        <n v="10201"/>
        <n v="10202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405"/>
        <n v="50501"/>
        <n v="50502"/>
        <n v="50601"/>
        <n v="50602"/>
        <n v="50701"/>
        <n v="50702"/>
        <n v="50801"/>
        <n v="50901"/>
        <n v="50902"/>
        <n v="51001"/>
        <n v="51002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402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2"/>
        <n v="90303"/>
        <n v="90401"/>
      </sharedItems>
    </cacheField>
    <cacheField name="n_id_unicos" numFmtId="0">
      <sharedItems containsSemiMixedTypes="0" containsString="0" containsNumber="1" containsInteger="1" minValue="14" maxValue="409919"/>
    </cacheField>
    <cacheField name="n_id_zero_1_12" numFmtId="0">
      <sharedItems containsSemiMixedTypes="0" containsString="0" containsNumber="1" containsInteger="1" minValue="0" maxValue="57174"/>
    </cacheField>
    <cacheField name="n_id_zero_6_12" numFmtId="0">
      <sharedItems containsSemiMixedTypes="0" containsString="0" containsNumber="1" containsInteger="1" minValue="0" maxValue="23531"/>
    </cacheField>
    <cacheField name="n_id_zero_12" numFmtId="0">
      <sharedItems containsSemiMixedTypes="0" containsString="0" containsNumber="1" containsInteger="1" minValue="0" maxValue="11555"/>
    </cacheField>
    <cacheField name="Porcentaje de medidores eléctricos residenciales con consumo cero 2016" numFmtId="166">
      <sharedItems containsSemiMixedTypes="0" containsString="0" containsNumber="1" minValue="0" maxValue="0.44512195121951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6.917374074073" createdVersion="8" refreshedVersion="8" minRefreshableVersion="3" recordCount="329" xr:uid="{101CFF74-67B4-4A48-896D-183BB40DAD83}">
  <cacheSource type="worksheet">
    <worksheetSource ref="A1:G330" sheet="datos_2016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502" count="329">
        <n v="10101"/>
        <n v="10102"/>
        <n v="10103"/>
        <n v="10201"/>
        <n v="10202"/>
        <n v="10301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5"/>
        <n v="20306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5"/>
        <n v="20806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204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2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501"/>
        <n v="50502"/>
        <n v="50601"/>
        <n v="50602"/>
        <n v="50701"/>
        <n v="50702"/>
        <n v="50801"/>
        <n v="50802"/>
        <n v="50901"/>
        <n v="50902"/>
        <n v="51001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106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1"/>
        <n v="90302"/>
        <n v="90303"/>
        <n v="90501"/>
        <n v="90502"/>
      </sharedItems>
    </cacheField>
    <cacheField name="n_id_unicos" numFmtId="0">
      <sharedItems containsSemiMixedTypes="0" containsString="0" containsNumber="1" containsInteger="1" minValue="6" maxValue="323773"/>
    </cacheField>
    <cacheField name="n_id_zero_1_12" numFmtId="0">
      <sharedItems containsSemiMixedTypes="0" containsString="0" containsNumber="1" containsInteger="1" minValue="0" maxValue="55961"/>
    </cacheField>
    <cacheField name="n_id_zero_6_12" numFmtId="0">
      <sharedItems containsSemiMixedTypes="0" containsString="0" containsNumber="1" containsInteger="1" minValue="0" maxValue="20483"/>
    </cacheField>
    <cacheField name="n_id_zero_12" numFmtId="0">
      <sharedItems containsSemiMixedTypes="0" containsString="0" containsNumber="1" containsInteger="1" minValue="0" maxValue="5379"/>
    </cacheField>
    <cacheField name="Porcentaje de medidores eléctricos residenciales con consumo cero 2016" numFmtId="166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x v="0"/>
    <x v="0"/>
    <n v="94034"/>
    <n v="14999"/>
    <n v="5059"/>
    <n v="942"/>
    <n v="5.3799689474020036E-2"/>
  </r>
  <r>
    <x v="0"/>
    <x v="1"/>
    <n v="3211"/>
    <n v="1356"/>
    <n v="529"/>
    <n v="117"/>
    <n v="0.16474618498909996"/>
  </r>
  <r>
    <x v="0"/>
    <x v="2"/>
    <n v="2038"/>
    <n v="1030"/>
    <n v="315"/>
    <n v="35"/>
    <n v="0.15456329735034346"/>
  </r>
  <r>
    <x v="0"/>
    <x v="3"/>
    <n v="1403"/>
    <n v="646"/>
    <n v="249"/>
    <n v="62"/>
    <n v="0.17747683535281539"/>
  </r>
  <r>
    <x v="0"/>
    <x v="4"/>
    <n v="2422"/>
    <n v="1114"/>
    <n v="403"/>
    <n v="66"/>
    <n v="0.16639141205615193"/>
  </r>
  <r>
    <x v="0"/>
    <x v="5"/>
    <n v="1447"/>
    <n v="447"/>
    <n v="124"/>
    <n v="17"/>
    <n v="8.5694540428472701E-2"/>
  </r>
  <r>
    <x v="0"/>
    <x v="6"/>
    <n v="1812"/>
    <n v="491"/>
    <n v="200"/>
    <n v="18"/>
    <n v="0.11037527593818984"/>
  </r>
  <r>
    <x v="0"/>
    <x v="7"/>
    <n v="1447"/>
    <n v="518"/>
    <n v="148"/>
    <n v="19"/>
    <n v="0.1022805805114029"/>
  </r>
  <r>
    <x v="0"/>
    <x v="8"/>
    <n v="2638"/>
    <n v="703"/>
    <n v="286"/>
    <n v="89"/>
    <n v="0.10841546626231995"/>
  </r>
  <r>
    <x v="0"/>
    <x v="9"/>
    <n v="2034"/>
    <n v="739"/>
    <n v="281"/>
    <n v="50"/>
    <n v="0.13815142576204523"/>
  </r>
  <r>
    <x v="0"/>
    <x v="10"/>
    <n v="1557"/>
    <n v="581"/>
    <n v="227"/>
    <n v="41"/>
    <n v="0.14579319203596661"/>
  </r>
  <r>
    <x v="0"/>
    <x v="11"/>
    <n v="1080"/>
    <n v="385"/>
    <n v="126"/>
    <n v="29"/>
    <n v="0.11666666666666667"/>
  </r>
  <r>
    <x v="0"/>
    <x v="12"/>
    <n v="1010"/>
    <n v="300"/>
    <n v="126"/>
    <n v="42"/>
    <n v="0.12475247524752475"/>
  </r>
  <r>
    <x v="0"/>
    <x v="13"/>
    <n v="6168"/>
    <n v="1390"/>
    <n v="457"/>
    <n v="95"/>
    <n v="7.4092088197146563E-2"/>
  </r>
  <r>
    <x v="0"/>
    <x v="14"/>
    <n v="1821"/>
    <n v="621"/>
    <n v="134"/>
    <n v="7"/>
    <n v="7.3585941790225151E-2"/>
  </r>
  <r>
    <x v="0"/>
    <x v="15"/>
    <n v="3707"/>
    <n v="1635"/>
    <n v="545"/>
    <n v="79"/>
    <n v="0.14701915295387105"/>
  </r>
  <r>
    <x v="0"/>
    <x v="16"/>
    <n v="2214"/>
    <n v="1014"/>
    <n v="351"/>
    <n v="60"/>
    <n v="0.15853658536585366"/>
  </r>
  <r>
    <x v="0"/>
    <x v="17"/>
    <n v="4285"/>
    <n v="1654"/>
    <n v="689"/>
    <n v="172"/>
    <n v="0.16079346557759627"/>
  </r>
  <r>
    <x v="0"/>
    <x v="18"/>
    <n v="7082"/>
    <n v="4149"/>
    <n v="1629"/>
    <n v="316"/>
    <n v="0.23001976842699803"/>
  </r>
  <r>
    <x v="0"/>
    <x v="19"/>
    <n v="1385"/>
    <n v="474"/>
    <n v="176"/>
    <n v="57"/>
    <n v="0.12707581227436823"/>
  </r>
  <r>
    <x v="0"/>
    <x v="20"/>
    <n v="2588"/>
    <n v="1171"/>
    <n v="350"/>
    <n v="73"/>
    <n v="0.13523956723338484"/>
  </r>
  <r>
    <x v="0"/>
    <x v="21"/>
    <n v="3250"/>
    <n v="1151"/>
    <n v="501"/>
    <n v="136"/>
    <n v="0.15415384615384614"/>
  </r>
  <r>
    <x v="0"/>
    <x v="22"/>
    <n v="1044"/>
    <n v="495"/>
    <n v="195"/>
    <n v="37"/>
    <n v="0.18678160919540229"/>
  </r>
  <r>
    <x v="0"/>
    <x v="23"/>
    <n v="2821"/>
    <n v="784"/>
    <n v="306"/>
    <n v="68"/>
    <n v="0.10847217298830202"/>
  </r>
  <r>
    <x v="0"/>
    <x v="24"/>
    <n v="978"/>
    <n v="397"/>
    <n v="165"/>
    <n v="29"/>
    <n v="0.16871165644171779"/>
  </r>
  <r>
    <x v="0"/>
    <x v="25"/>
    <n v="2081"/>
    <n v="465"/>
    <n v="118"/>
    <n v="18"/>
    <n v="5.6703507928880348E-2"/>
  </r>
  <r>
    <x v="0"/>
    <x v="26"/>
    <n v="35"/>
    <n v="10"/>
    <n v="5"/>
    <n v="2"/>
    <n v="0.14285714285714285"/>
  </r>
  <r>
    <x v="0"/>
    <x v="27"/>
    <n v="900"/>
    <n v="273"/>
    <n v="63"/>
    <n v="8"/>
    <n v="7.0000000000000007E-2"/>
  </r>
  <r>
    <x v="1"/>
    <x v="28"/>
    <n v="306258"/>
    <n v="55566"/>
    <n v="18239"/>
    <n v="4859"/>
    <n v="5.9554362661546803E-2"/>
  </r>
  <r>
    <x v="1"/>
    <x v="29"/>
    <n v="4317"/>
    <n v="1034"/>
    <n v="426"/>
    <n v="106"/>
    <n v="9.8679638637943018E-2"/>
  </r>
  <r>
    <x v="1"/>
    <x v="30"/>
    <n v="7111"/>
    <n v="1820"/>
    <n v="833"/>
    <n v="237"/>
    <n v="0.11714245535086486"/>
  </r>
  <r>
    <x v="1"/>
    <x v="31"/>
    <n v="11684"/>
    <n v="3988"/>
    <n v="1978"/>
    <n v="552"/>
    <n v="0.16929133858267717"/>
  </r>
  <r>
    <x v="1"/>
    <x v="32"/>
    <n v="309035"/>
    <n v="57174"/>
    <n v="23531"/>
    <n v="6897"/>
    <n v="7.6143478893976407E-2"/>
  </r>
  <r>
    <x v="1"/>
    <x v="33"/>
    <n v="13461"/>
    <n v="4235"/>
    <n v="1833"/>
    <n v="453"/>
    <n v="0.13617116113215957"/>
  </r>
  <r>
    <x v="1"/>
    <x v="34"/>
    <n v="3348"/>
    <n v="1338"/>
    <n v="563"/>
    <n v="89"/>
    <n v="0.16816009557945041"/>
  </r>
  <r>
    <x v="1"/>
    <x v="35"/>
    <n v="1326"/>
    <n v="559"/>
    <n v="231"/>
    <n v="40"/>
    <n v="0.17420814479638008"/>
  </r>
  <r>
    <x v="1"/>
    <x v="36"/>
    <n v="2197"/>
    <n v="851"/>
    <n v="373"/>
    <n v="73"/>
    <n v="0.16977696859353664"/>
  </r>
  <r>
    <x v="1"/>
    <x v="37"/>
    <n v="2725"/>
    <n v="1286"/>
    <n v="649"/>
    <n v="188"/>
    <n v="0.23816513761467889"/>
  </r>
  <r>
    <x v="1"/>
    <x v="38"/>
    <n v="1156"/>
    <n v="570"/>
    <n v="258"/>
    <n v="57"/>
    <n v="0.22318339100346021"/>
  </r>
  <r>
    <x v="1"/>
    <x v="39"/>
    <n v="2821"/>
    <n v="1367"/>
    <n v="755"/>
    <n v="273"/>
    <n v="0.2676355902162354"/>
  </r>
  <r>
    <x v="1"/>
    <x v="40"/>
    <n v="3295"/>
    <n v="1919"/>
    <n v="1009"/>
    <n v="303"/>
    <n v="0.30622154779969651"/>
  </r>
  <r>
    <x v="1"/>
    <x v="41"/>
    <n v="1698"/>
    <n v="1081"/>
    <n v="587"/>
    <n v="132"/>
    <n v="0.34570082449941109"/>
  </r>
  <r>
    <x v="1"/>
    <x v="42"/>
    <n v="1155"/>
    <n v="572"/>
    <n v="299"/>
    <n v="86"/>
    <n v="0.25887445887445887"/>
  </r>
  <r>
    <x v="1"/>
    <x v="43"/>
    <n v="99"/>
    <n v="53"/>
    <n v="22"/>
    <n v="5"/>
    <n v="0.22222222222222221"/>
  </r>
  <r>
    <x v="1"/>
    <x v="44"/>
    <n v="1478"/>
    <n v="953"/>
    <n v="535"/>
    <n v="132"/>
    <n v="0.36197564276048716"/>
  </r>
  <r>
    <x v="1"/>
    <x v="45"/>
    <n v="3879"/>
    <n v="1666"/>
    <n v="616"/>
    <n v="89"/>
    <n v="0.15880381541634442"/>
  </r>
  <r>
    <x v="1"/>
    <x v="46"/>
    <n v="2958"/>
    <n v="1156"/>
    <n v="424"/>
    <n v="45"/>
    <n v="0.14334009465855307"/>
  </r>
  <r>
    <x v="1"/>
    <x v="47"/>
    <n v="3450"/>
    <n v="1260"/>
    <n v="514"/>
    <n v="74"/>
    <n v="0.14898550724637682"/>
  </r>
  <r>
    <x v="1"/>
    <x v="48"/>
    <n v="1137"/>
    <n v="375"/>
    <n v="129"/>
    <n v="16"/>
    <n v="0.11345646437994723"/>
  </r>
  <r>
    <x v="1"/>
    <x v="49"/>
    <n v="2112"/>
    <n v="752"/>
    <n v="246"/>
    <n v="41"/>
    <n v="0.11647727272727272"/>
  </r>
  <r>
    <x v="1"/>
    <x v="50"/>
    <n v="3409"/>
    <n v="1181"/>
    <n v="471"/>
    <n v="79"/>
    <n v="0.13816368436491641"/>
  </r>
  <r>
    <x v="1"/>
    <x v="51"/>
    <n v="1478"/>
    <n v="522"/>
    <n v="202"/>
    <n v="39"/>
    <n v="0.13667117726657646"/>
  </r>
  <r>
    <x v="1"/>
    <x v="52"/>
    <n v="1060"/>
    <n v="299"/>
    <n v="135"/>
    <n v="36"/>
    <n v="0.12735849056603774"/>
  </r>
  <r>
    <x v="1"/>
    <x v="53"/>
    <n v="6630"/>
    <n v="2032"/>
    <n v="806"/>
    <n v="149"/>
    <n v="0.12156862745098039"/>
  </r>
  <r>
    <x v="1"/>
    <x v="54"/>
    <n v="3037"/>
    <n v="444"/>
    <n v="110"/>
    <n v="16"/>
    <n v="3.621995390187685E-2"/>
  </r>
  <r>
    <x v="1"/>
    <x v="55"/>
    <n v="1790"/>
    <n v="507"/>
    <n v="229"/>
    <n v="85"/>
    <n v="0.12793296089385475"/>
  </r>
  <r>
    <x v="1"/>
    <x v="56"/>
    <n v="787"/>
    <n v="235"/>
    <n v="99"/>
    <n v="15"/>
    <n v="0.12579415501905972"/>
  </r>
  <r>
    <x v="1"/>
    <x v="57"/>
    <n v="579"/>
    <n v="243"/>
    <n v="107"/>
    <n v="14"/>
    <n v="0.1848013816925734"/>
  </r>
  <r>
    <x v="1"/>
    <x v="58"/>
    <n v="2199"/>
    <n v="513"/>
    <n v="154"/>
    <n v="48"/>
    <n v="7.0031832651205092E-2"/>
  </r>
  <r>
    <x v="1"/>
    <x v="59"/>
    <n v="3426"/>
    <n v="608"/>
    <n v="148"/>
    <n v="55"/>
    <n v="4.3199065966141273E-2"/>
  </r>
  <r>
    <x v="1"/>
    <x v="60"/>
    <n v="2368"/>
    <n v="535"/>
    <n v="240"/>
    <n v="91"/>
    <n v="0.10135135135135136"/>
  </r>
  <r>
    <x v="1"/>
    <x v="61"/>
    <n v="4085"/>
    <n v="913"/>
    <n v="332"/>
    <n v="84"/>
    <n v="8.1272949816401471E-2"/>
  </r>
  <r>
    <x v="1"/>
    <x v="62"/>
    <n v="1626"/>
    <n v="532"/>
    <n v="158"/>
    <n v="36"/>
    <n v="9.7170971709717099E-2"/>
  </r>
  <r>
    <x v="1"/>
    <x v="63"/>
    <n v="39347"/>
    <n v="11907"/>
    <n v="6632"/>
    <n v="2005"/>
    <n v="0.16855160495082216"/>
  </r>
  <r>
    <x v="1"/>
    <x v="64"/>
    <n v="2599"/>
    <n v="1101"/>
    <n v="497"/>
    <n v="152"/>
    <n v="0.19122739515198153"/>
  </r>
  <r>
    <x v="1"/>
    <x v="65"/>
    <n v="3063"/>
    <n v="1168"/>
    <n v="582"/>
    <n v="234"/>
    <n v="0.19000979431929482"/>
  </r>
  <r>
    <x v="1"/>
    <x v="66"/>
    <n v="2124"/>
    <n v="611"/>
    <n v="263"/>
    <n v="82"/>
    <n v="0.12382297551789077"/>
  </r>
  <r>
    <x v="1"/>
    <x v="67"/>
    <n v="1704"/>
    <n v="762"/>
    <n v="405"/>
    <n v="155"/>
    <n v="0.23767605633802816"/>
  </r>
  <r>
    <x v="1"/>
    <x v="68"/>
    <n v="2788"/>
    <n v="731"/>
    <n v="352"/>
    <n v="84"/>
    <n v="0.12625538020086083"/>
  </r>
  <r>
    <x v="1"/>
    <x v="69"/>
    <n v="3501"/>
    <n v="973"/>
    <n v="389"/>
    <n v="93"/>
    <n v="0.1111111111111111"/>
  </r>
  <r>
    <x v="1"/>
    <x v="70"/>
    <n v="1582"/>
    <n v="602"/>
    <n v="275"/>
    <n v="57"/>
    <n v="0.1738305941845765"/>
  </r>
  <r>
    <x v="1"/>
    <x v="71"/>
    <n v="259"/>
    <n v="91"/>
    <n v="30"/>
    <n v="1"/>
    <n v="0.11583011583011583"/>
  </r>
  <r>
    <x v="1"/>
    <x v="72"/>
    <n v="2019"/>
    <n v="539"/>
    <n v="136"/>
    <n v="22"/>
    <n v="6.7360079247152052E-2"/>
  </r>
  <r>
    <x v="1"/>
    <x v="73"/>
    <n v="2694"/>
    <n v="1082"/>
    <n v="249"/>
    <n v="45"/>
    <n v="9.2427616926503336E-2"/>
  </r>
  <r>
    <x v="1"/>
    <x v="74"/>
    <n v="1829"/>
    <n v="651"/>
    <n v="147"/>
    <n v="11"/>
    <n v="8.0371787862219796E-2"/>
  </r>
  <r>
    <x v="1"/>
    <x v="75"/>
    <n v="3250"/>
    <n v="912"/>
    <n v="115"/>
    <n v="7"/>
    <n v="3.5384615384615382E-2"/>
  </r>
  <r>
    <x v="1"/>
    <x v="76"/>
    <n v="1962"/>
    <n v="944"/>
    <n v="388"/>
    <n v="132"/>
    <n v="0.19775739041794088"/>
  </r>
  <r>
    <x v="1"/>
    <x v="77"/>
    <n v="1076"/>
    <n v="465"/>
    <n v="178"/>
    <n v="42"/>
    <n v="0.1654275092936803"/>
  </r>
  <r>
    <x v="1"/>
    <x v="78"/>
    <n v="792"/>
    <n v="233"/>
    <n v="67"/>
    <n v="10"/>
    <n v="8.4595959595959599E-2"/>
  </r>
  <r>
    <x v="1"/>
    <x v="79"/>
    <n v="5682"/>
    <n v="1217"/>
    <n v="479"/>
    <n v="102"/>
    <n v="8.4301302358324531E-2"/>
  </r>
  <r>
    <x v="1"/>
    <x v="80"/>
    <n v="5374"/>
    <n v="1300"/>
    <n v="482"/>
    <n v="110"/>
    <n v="8.9691105321920359E-2"/>
  </r>
  <r>
    <x v="1"/>
    <x v="81"/>
    <n v="1403"/>
    <n v="366"/>
    <n v="112"/>
    <n v="19"/>
    <n v="7.9828937990021387E-2"/>
  </r>
  <r>
    <x v="1"/>
    <x v="82"/>
    <n v="6324"/>
    <n v="1505"/>
    <n v="695"/>
    <n v="250"/>
    <n v="0.109898798228969"/>
  </r>
  <r>
    <x v="1"/>
    <x v="83"/>
    <n v="11541"/>
    <n v="2801"/>
    <n v="844"/>
    <n v="157"/>
    <n v="7.3130577939519978E-2"/>
  </r>
  <r>
    <x v="1"/>
    <x v="84"/>
    <n v="19173"/>
    <n v="7448"/>
    <n v="3750"/>
    <n v="1037"/>
    <n v="0.19558754498513534"/>
  </r>
  <r>
    <x v="1"/>
    <x v="85"/>
    <n v="7893"/>
    <n v="2963"/>
    <n v="1573"/>
    <n v="505"/>
    <n v="0.19929051057899405"/>
  </r>
  <r>
    <x v="1"/>
    <x v="86"/>
    <n v="4903"/>
    <n v="1493"/>
    <n v="643"/>
    <n v="180"/>
    <n v="0.1311441974301448"/>
  </r>
  <r>
    <x v="1"/>
    <x v="87"/>
    <n v="5769"/>
    <n v="1988"/>
    <n v="853"/>
    <n v="164"/>
    <n v="0.14785924770324146"/>
  </r>
  <r>
    <x v="1"/>
    <x v="88"/>
    <n v="2444"/>
    <n v="1361"/>
    <n v="750"/>
    <n v="176"/>
    <n v="0.30687397708674302"/>
  </r>
  <r>
    <x v="1"/>
    <x v="89"/>
    <n v="2060"/>
    <n v="868"/>
    <n v="428"/>
    <n v="112"/>
    <n v="0.20776699029126214"/>
  </r>
  <r>
    <x v="1"/>
    <x v="90"/>
    <n v="3085"/>
    <n v="1160"/>
    <n v="607"/>
    <n v="187"/>
    <n v="0.19675850891410049"/>
  </r>
  <r>
    <x v="1"/>
    <x v="91"/>
    <n v="7024"/>
    <n v="1749"/>
    <n v="756"/>
    <n v="171"/>
    <n v="0.10763097949886105"/>
  </r>
  <r>
    <x v="1"/>
    <x v="92"/>
    <n v="2137"/>
    <n v="626"/>
    <n v="302"/>
    <n v="113"/>
    <n v="0.14131960692559664"/>
  </r>
  <r>
    <x v="1"/>
    <x v="93"/>
    <n v="660"/>
    <n v="245"/>
    <n v="96"/>
    <n v="31"/>
    <n v="0.14545454545454545"/>
  </r>
  <r>
    <x v="1"/>
    <x v="94"/>
    <n v="6499"/>
    <n v="1557"/>
    <n v="552"/>
    <n v="131"/>
    <n v="8.4936144022157253E-2"/>
  </r>
  <r>
    <x v="1"/>
    <x v="95"/>
    <n v="5127"/>
    <n v="966"/>
    <n v="366"/>
    <n v="87"/>
    <n v="7.1386775892334692E-2"/>
  </r>
  <r>
    <x v="1"/>
    <x v="96"/>
    <n v="1379"/>
    <n v="178"/>
    <n v="47"/>
    <n v="8"/>
    <n v="3.4082668600435101E-2"/>
  </r>
  <r>
    <x v="1"/>
    <x v="97"/>
    <n v="2078"/>
    <n v="281"/>
    <n v="42"/>
    <n v="4"/>
    <n v="2.0211742059672761E-2"/>
  </r>
  <r>
    <x v="1"/>
    <x v="98"/>
    <n v="2377"/>
    <n v="764"/>
    <n v="288"/>
    <n v="69"/>
    <n v="0.12116112747160286"/>
  </r>
  <r>
    <x v="1"/>
    <x v="99"/>
    <n v="524"/>
    <n v="190"/>
    <n v="64"/>
    <n v="24"/>
    <n v="0.12213740458015267"/>
  </r>
  <r>
    <x v="1"/>
    <x v="100"/>
    <n v="5202"/>
    <n v="1697"/>
    <n v="723"/>
    <n v="145"/>
    <n v="0.1389850057670127"/>
  </r>
  <r>
    <x v="1"/>
    <x v="101"/>
    <n v="1541"/>
    <n v="700"/>
    <n v="340"/>
    <n v="65"/>
    <n v="0.22063595068137573"/>
  </r>
  <r>
    <x v="1"/>
    <x v="102"/>
    <n v="509"/>
    <n v="251"/>
    <n v="99"/>
    <n v="17"/>
    <n v="0.19449901768172889"/>
  </r>
  <r>
    <x v="1"/>
    <x v="103"/>
    <n v="1490"/>
    <n v="728"/>
    <n v="285"/>
    <n v="84"/>
    <n v="0.1912751677852349"/>
  </r>
  <r>
    <x v="1"/>
    <x v="104"/>
    <n v="1334"/>
    <n v="706"/>
    <n v="272"/>
    <n v="86"/>
    <n v="0.20389805097451275"/>
  </r>
  <r>
    <x v="1"/>
    <x v="105"/>
    <n v="325"/>
    <n v="172"/>
    <n v="90"/>
    <n v="14"/>
    <n v="0.27692307692307694"/>
  </r>
  <r>
    <x v="1"/>
    <x v="106"/>
    <n v="1687"/>
    <n v="891"/>
    <n v="404"/>
    <n v="97"/>
    <n v="0.23947836395969177"/>
  </r>
  <r>
    <x v="1"/>
    <x v="107"/>
    <n v="282"/>
    <n v="95"/>
    <n v="37"/>
    <n v="9"/>
    <n v="0.13120567375886524"/>
  </r>
  <r>
    <x v="1"/>
    <x v="108"/>
    <n v="14142"/>
    <n v="4865"/>
    <n v="2132"/>
    <n v="609"/>
    <n v="0.1507566115118088"/>
  </r>
  <r>
    <x v="1"/>
    <x v="109"/>
    <n v="2212"/>
    <n v="626"/>
    <n v="302"/>
    <n v="112"/>
    <n v="0.13652802893309224"/>
  </r>
  <r>
    <x v="2"/>
    <x v="110"/>
    <n v="256927"/>
    <n v="38444"/>
    <n v="14972"/>
    <n v="153"/>
    <n v="5.8273361694177725E-2"/>
  </r>
  <r>
    <x v="2"/>
    <x v="111"/>
    <n v="4872"/>
    <n v="935"/>
    <n v="291"/>
    <n v="0"/>
    <n v="5.972906403940887E-2"/>
  </r>
  <r>
    <x v="2"/>
    <x v="112"/>
    <n v="594"/>
    <n v="153"/>
    <n v="63"/>
    <n v="0"/>
    <n v="0.10606060606060606"/>
  </r>
  <r>
    <x v="2"/>
    <x v="113"/>
    <n v="1441"/>
    <n v="297"/>
    <n v="107"/>
    <n v="0"/>
    <n v="7.4253990284524632E-2"/>
  </r>
  <r>
    <x v="2"/>
    <x v="114"/>
    <n v="3800"/>
    <n v="1703"/>
    <n v="579"/>
    <n v="0"/>
    <n v="0.15236842105263157"/>
  </r>
  <r>
    <x v="2"/>
    <x v="115"/>
    <n v="1747"/>
    <n v="780"/>
    <n v="309"/>
    <n v="0"/>
    <n v="0.17687464224384658"/>
  </r>
  <r>
    <x v="2"/>
    <x v="116"/>
    <n v="2232"/>
    <n v="992"/>
    <n v="251"/>
    <n v="0"/>
    <n v="0.11245519713261649"/>
  </r>
  <r>
    <x v="2"/>
    <x v="117"/>
    <n v="2863"/>
    <n v="708"/>
    <n v="323"/>
    <n v="0"/>
    <n v="0.11281872162067762"/>
  </r>
  <r>
    <x v="2"/>
    <x v="118"/>
    <n v="1629"/>
    <n v="696"/>
    <n v="305"/>
    <n v="0"/>
    <n v="0.18723143032535297"/>
  </r>
  <r>
    <x v="2"/>
    <x v="119"/>
    <n v="5419"/>
    <n v="1741"/>
    <n v="866"/>
    <n v="0"/>
    <n v="0.15980808267207972"/>
  </r>
  <r>
    <x v="2"/>
    <x v="120"/>
    <n v="781"/>
    <n v="304"/>
    <n v="129"/>
    <n v="0"/>
    <n v="0.16517285531370038"/>
  </r>
  <r>
    <x v="2"/>
    <x v="121"/>
    <n v="4894"/>
    <n v="1116"/>
    <n v="403"/>
    <n v="0"/>
    <n v="8.2345729464650588E-2"/>
  </r>
  <r>
    <x v="2"/>
    <x v="122"/>
    <n v="2936"/>
    <n v="1096"/>
    <n v="417"/>
    <n v="0"/>
    <n v="0.1420299727520436"/>
  </r>
  <r>
    <x v="2"/>
    <x v="123"/>
    <n v="1359"/>
    <n v="610"/>
    <n v="216"/>
    <n v="0"/>
    <n v="0.15894039735099338"/>
  </r>
  <r>
    <x v="2"/>
    <x v="124"/>
    <n v="1958"/>
    <n v="986"/>
    <n v="345"/>
    <n v="0"/>
    <n v="0.17620020429009192"/>
  </r>
  <r>
    <x v="2"/>
    <x v="125"/>
    <n v="5826"/>
    <n v="1112"/>
    <n v="425"/>
    <n v="0"/>
    <n v="7.2948849982835559E-2"/>
  </r>
  <r>
    <x v="2"/>
    <x v="126"/>
    <n v="802"/>
    <n v="195"/>
    <n v="60"/>
    <n v="0"/>
    <n v="7.4812967581047385E-2"/>
  </r>
  <r>
    <x v="2"/>
    <x v="127"/>
    <n v="7706"/>
    <n v="1666"/>
    <n v="770"/>
    <n v="0"/>
    <n v="9.9922138593303914E-2"/>
  </r>
  <r>
    <x v="2"/>
    <x v="128"/>
    <n v="1899"/>
    <n v="489"/>
    <n v="223"/>
    <n v="0"/>
    <n v="0.11743022643496577"/>
  </r>
  <r>
    <x v="2"/>
    <x v="129"/>
    <n v="2559"/>
    <n v="656"/>
    <n v="339"/>
    <n v="0"/>
    <n v="0.13247362250879249"/>
  </r>
  <r>
    <x v="2"/>
    <x v="130"/>
    <n v="51546"/>
    <n v="6489"/>
    <n v="2344"/>
    <n v="0"/>
    <n v="4.5473945601986573E-2"/>
  </r>
  <r>
    <x v="2"/>
    <x v="131"/>
    <n v="18626"/>
    <n v="2805"/>
    <n v="928"/>
    <n v="0"/>
    <n v="4.9822828304520561E-2"/>
  </r>
  <r>
    <x v="2"/>
    <x v="132"/>
    <n v="21207"/>
    <n v="2560"/>
    <n v="793"/>
    <n v="0"/>
    <n v="3.7393313528551894E-2"/>
  </r>
  <r>
    <x v="2"/>
    <x v="133"/>
    <n v="19379"/>
    <n v="3193"/>
    <n v="1236"/>
    <n v="0"/>
    <n v="6.3780380824603952E-2"/>
  </r>
  <r>
    <x v="2"/>
    <x v="134"/>
    <n v="24166"/>
    <n v="2633"/>
    <n v="846"/>
    <n v="0"/>
    <n v="3.5007862285856159E-2"/>
  </r>
  <r>
    <x v="2"/>
    <x v="135"/>
    <n v="63642"/>
    <n v="11067"/>
    <n v="4415"/>
    <n v="0"/>
    <n v="6.9372427013607366E-2"/>
  </r>
  <r>
    <x v="2"/>
    <x v="136"/>
    <n v="6126"/>
    <n v="1584"/>
    <n v="604"/>
    <n v="0"/>
    <n v="9.8596147567744041E-2"/>
  </r>
  <r>
    <x v="2"/>
    <x v="137"/>
    <n v="26349"/>
    <n v="5951"/>
    <n v="1532"/>
    <n v="0"/>
    <n v="5.8142624008501273E-2"/>
  </r>
  <r>
    <x v="2"/>
    <x v="138"/>
    <n v="3652"/>
    <n v="1704"/>
    <n v="612"/>
    <n v="0"/>
    <n v="0.16757940854326397"/>
  </r>
  <r>
    <x v="2"/>
    <x v="139"/>
    <n v="3025"/>
    <n v="741"/>
    <n v="236"/>
    <n v="0"/>
    <n v="7.8016528925619832E-2"/>
  </r>
  <r>
    <x v="2"/>
    <x v="140"/>
    <n v="2145"/>
    <n v="480"/>
    <n v="147"/>
    <n v="0"/>
    <n v="6.8531468531468534E-2"/>
  </r>
  <r>
    <x v="2"/>
    <x v="141"/>
    <n v="2827"/>
    <n v="800"/>
    <n v="317"/>
    <n v="0"/>
    <n v="0.11213300318358684"/>
  </r>
  <r>
    <x v="2"/>
    <x v="142"/>
    <n v="7809"/>
    <n v="1386"/>
    <n v="356"/>
    <n v="0"/>
    <n v="4.5588423613778975E-2"/>
  </r>
  <r>
    <x v="2"/>
    <x v="143"/>
    <n v="16749"/>
    <n v="2842"/>
    <n v="822"/>
    <n v="0"/>
    <n v="4.9077556869066813E-2"/>
  </r>
  <r>
    <x v="2"/>
    <x v="144"/>
    <n v="12187"/>
    <n v="1779"/>
    <n v="692"/>
    <n v="0"/>
    <n v="5.6781816689915485E-2"/>
  </r>
  <r>
    <x v="2"/>
    <x v="145"/>
    <n v="5018"/>
    <n v="913"/>
    <n v="302"/>
    <n v="0"/>
    <n v="6.0183339976086089E-2"/>
  </r>
  <r>
    <x v="2"/>
    <x v="146"/>
    <n v="507"/>
    <n v="195"/>
    <n v="74"/>
    <n v="0"/>
    <n v="0.14595660749506903"/>
  </r>
  <r>
    <x v="2"/>
    <x v="147"/>
    <n v="337"/>
    <n v="155"/>
    <n v="56"/>
    <n v="0"/>
    <n v="0.16617210682492581"/>
  </r>
  <r>
    <x v="2"/>
    <x v="148"/>
    <n v="12413"/>
    <n v="2134"/>
    <n v="844"/>
    <n v="0"/>
    <n v="6.7993232900990894E-2"/>
  </r>
  <r>
    <x v="2"/>
    <x v="149"/>
    <n v="3167"/>
    <n v="943"/>
    <n v="471"/>
    <n v="0"/>
    <n v="0.14872118724344807"/>
  </r>
  <r>
    <x v="2"/>
    <x v="150"/>
    <n v="5300"/>
    <n v="1166"/>
    <n v="581"/>
    <n v="0"/>
    <n v="0.10962264150943396"/>
  </r>
  <r>
    <x v="2"/>
    <x v="151"/>
    <n v="370"/>
    <n v="143"/>
    <n v="71"/>
    <n v="0"/>
    <n v="0.1918918918918919"/>
  </r>
  <r>
    <x v="2"/>
    <x v="152"/>
    <n v="1223"/>
    <n v="632"/>
    <n v="240"/>
    <n v="0"/>
    <n v="0.19623875715453803"/>
  </r>
  <r>
    <x v="2"/>
    <x v="153"/>
    <n v="5698"/>
    <n v="1516"/>
    <n v="611"/>
    <n v="0"/>
    <n v="0.10723060723060723"/>
  </r>
  <r>
    <x v="2"/>
    <x v="154"/>
    <n v="6752"/>
    <n v="867"/>
    <n v="230"/>
    <n v="0"/>
    <n v="3.4063981042654026E-2"/>
  </r>
  <r>
    <x v="3"/>
    <x v="155"/>
    <n v="105068"/>
    <n v="19382"/>
    <n v="7436"/>
    <n v="2090"/>
    <n v="7.0773213537899268E-2"/>
  </r>
  <r>
    <x v="3"/>
    <x v="156"/>
    <n v="5142"/>
    <n v="1995"/>
    <n v="826"/>
    <n v="205"/>
    <n v="0.16063788409179308"/>
  </r>
  <r>
    <x v="3"/>
    <x v="157"/>
    <n v="489"/>
    <n v="172"/>
    <n v="38"/>
    <n v="4"/>
    <n v="7.7709611451942745E-2"/>
  </r>
  <r>
    <x v="3"/>
    <x v="158"/>
    <n v="2596"/>
    <n v="1278"/>
    <n v="417"/>
    <n v="62"/>
    <n v="0.16063174114021572"/>
  </r>
  <r>
    <x v="3"/>
    <x v="159"/>
    <n v="9925"/>
    <n v="3506"/>
    <n v="1331"/>
    <n v="241"/>
    <n v="0.13410579345088161"/>
  </r>
  <r>
    <x v="3"/>
    <x v="160"/>
    <n v="121"/>
    <n v="68"/>
    <n v="24"/>
    <n v="2"/>
    <n v="0.19834710743801653"/>
  </r>
  <r>
    <x v="3"/>
    <x v="161"/>
    <n v="2280"/>
    <n v="1555"/>
    <n v="691"/>
    <n v="87"/>
    <n v="0.30307017543859649"/>
  </r>
  <r>
    <x v="3"/>
    <x v="162"/>
    <n v="720"/>
    <n v="459"/>
    <n v="179"/>
    <n v="27"/>
    <n v="0.24861111111111112"/>
  </r>
  <r>
    <x v="3"/>
    <x v="163"/>
    <n v="906"/>
    <n v="404"/>
    <n v="128"/>
    <n v="24"/>
    <n v="0.141280353200883"/>
  </r>
  <r>
    <x v="3"/>
    <x v="164"/>
    <n v="545"/>
    <n v="329"/>
    <n v="126"/>
    <n v="12"/>
    <n v="0.23119266055045873"/>
  </r>
  <r>
    <x v="3"/>
    <x v="165"/>
    <n v="675"/>
    <n v="439"/>
    <n v="125"/>
    <n v="10"/>
    <n v="0.18518518518518517"/>
  </r>
  <r>
    <x v="3"/>
    <x v="166"/>
    <n v="243"/>
    <n v="234"/>
    <n v="85"/>
    <n v="6"/>
    <n v="0.34979423868312759"/>
  </r>
  <r>
    <x v="3"/>
    <x v="167"/>
    <n v="51"/>
    <n v="48"/>
    <n v="11"/>
    <n v="2"/>
    <n v="0.21568627450980393"/>
  </r>
  <r>
    <x v="3"/>
    <x v="168"/>
    <n v="59"/>
    <n v="50"/>
    <n v="16"/>
    <n v="0"/>
    <n v="0.2711864406779661"/>
  </r>
  <r>
    <x v="3"/>
    <x v="169"/>
    <n v="155"/>
    <n v="127"/>
    <n v="54"/>
    <n v="4"/>
    <n v="0.34838709677419355"/>
  </r>
  <r>
    <x v="3"/>
    <x v="170"/>
    <n v="653"/>
    <n v="440"/>
    <n v="220"/>
    <n v="44"/>
    <n v="0.33690658499234305"/>
  </r>
  <r>
    <x v="3"/>
    <x v="171"/>
    <n v="2205"/>
    <n v="1121"/>
    <n v="185"/>
    <n v="14"/>
    <n v="8.390022675736962E-2"/>
  </r>
  <r>
    <x v="3"/>
    <x v="172"/>
    <n v="292"/>
    <n v="195"/>
    <n v="116"/>
    <n v="19"/>
    <n v="0.39726027397260272"/>
  </r>
  <r>
    <x v="3"/>
    <x v="173"/>
    <n v="6194"/>
    <n v="1568"/>
    <n v="521"/>
    <n v="85"/>
    <n v="8.4113658379076528E-2"/>
  </r>
  <r>
    <x v="3"/>
    <x v="174"/>
    <n v="1322"/>
    <n v="439"/>
    <n v="163"/>
    <n v="43"/>
    <n v="0.12329803328290469"/>
  </r>
  <r>
    <x v="3"/>
    <x v="175"/>
    <n v="3176"/>
    <n v="1873"/>
    <n v="531"/>
    <n v="40"/>
    <n v="0.16719143576826195"/>
  </r>
  <r>
    <x v="3"/>
    <x v="176"/>
    <n v="396"/>
    <n v="203"/>
    <n v="83"/>
    <n v="8"/>
    <n v="0.20959595959595959"/>
  </r>
  <r>
    <x v="3"/>
    <x v="177"/>
    <n v="1149"/>
    <n v="674"/>
    <n v="256"/>
    <n v="11"/>
    <n v="0.22280243690165361"/>
  </r>
  <r>
    <x v="3"/>
    <x v="178"/>
    <n v="153"/>
    <n v="79"/>
    <n v="33"/>
    <n v="4"/>
    <n v="0.21568627450980393"/>
  </r>
  <r>
    <x v="3"/>
    <x v="179"/>
    <n v="353"/>
    <n v="186"/>
    <n v="72"/>
    <n v="12"/>
    <n v="0.20396600566572237"/>
  </r>
  <r>
    <x v="3"/>
    <x v="180"/>
    <n v="1618"/>
    <n v="977"/>
    <n v="483"/>
    <n v="85"/>
    <n v="0.29851668726823238"/>
  </r>
  <r>
    <x v="3"/>
    <x v="181"/>
    <n v="1369"/>
    <n v="460"/>
    <n v="136"/>
    <n v="18"/>
    <n v="9.9342585829072322E-2"/>
  </r>
  <r>
    <x v="3"/>
    <x v="182"/>
    <n v="1501"/>
    <n v="1048"/>
    <n v="465"/>
    <n v="60"/>
    <n v="0.30979347101932048"/>
  </r>
  <r>
    <x v="3"/>
    <x v="183"/>
    <n v="324"/>
    <n v="242"/>
    <n v="106"/>
    <n v="21"/>
    <n v="0.3271604938271605"/>
  </r>
  <r>
    <x v="3"/>
    <x v="184"/>
    <n v="874"/>
    <n v="439"/>
    <n v="146"/>
    <n v="27"/>
    <n v="0.16704805491990846"/>
  </r>
  <r>
    <x v="3"/>
    <x v="185"/>
    <n v="2025"/>
    <n v="943"/>
    <n v="358"/>
    <n v="33"/>
    <n v="0.17679012345679013"/>
  </r>
  <r>
    <x v="3"/>
    <x v="186"/>
    <n v="146"/>
    <n v="92"/>
    <n v="29"/>
    <n v="3"/>
    <n v="0.19863013698630136"/>
  </r>
  <r>
    <x v="3"/>
    <x v="187"/>
    <n v="127"/>
    <n v="92"/>
    <n v="32"/>
    <n v="1"/>
    <n v="0.25196850393700787"/>
  </r>
  <r>
    <x v="3"/>
    <x v="188"/>
    <n v="816"/>
    <n v="550"/>
    <n v="188"/>
    <n v="24"/>
    <n v="0.23039215686274508"/>
  </r>
  <r>
    <x v="3"/>
    <x v="189"/>
    <n v="1412"/>
    <n v="874"/>
    <n v="332"/>
    <n v="62"/>
    <n v="0.23512747875354106"/>
  </r>
  <r>
    <x v="4"/>
    <x v="190"/>
    <n v="54925"/>
    <n v="8700"/>
    <n v="3655"/>
    <n v="1388"/>
    <n v="6.6545289030496127E-2"/>
  </r>
  <r>
    <x v="4"/>
    <x v="191"/>
    <n v="3807"/>
    <n v="2782"/>
    <n v="1326"/>
    <n v="285"/>
    <n v="0.34830575256107171"/>
  </r>
  <r>
    <x v="4"/>
    <x v="192"/>
    <n v="1556"/>
    <n v="1039"/>
    <n v="528"/>
    <n v="135"/>
    <n v="0.33933161953727509"/>
  </r>
  <r>
    <x v="4"/>
    <x v="193"/>
    <n v="328"/>
    <n v="312"/>
    <n v="146"/>
    <n v="33"/>
    <n v="0.4451219512195122"/>
  </r>
  <r>
    <x v="4"/>
    <x v="194"/>
    <n v="5205"/>
    <n v="255"/>
    <n v="0"/>
    <n v="0"/>
    <n v="0"/>
  </r>
  <r>
    <x v="4"/>
    <x v="195"/>
    <n v="1613"/>
    <n v="1184"/>
    <n v="636"/>
    <n v="0"/>
    <n v="0.39429634221946686"/>
  </r>
  <r>
    <x v="4"/>
    <x v="196"/>
    <n v="10556"/>
    <n v="2654"/>
    <n v="454"/>
    <n v="0"/>
    <n v="4.3008715422508524E-2"/>
  </r>
  <r>
    <x v="4"/>
    <x v="197"/>
    <n v="7544"/>
    <n v="3301"/>
    <n v="1603"/>
    <n v="750"/>
    <n v="0.21248674443266172"/>
  </r>
  <r>
    <x v="4"/>
    <x v="198"/>
    <n v="2394"/>
    <n v="1504"/>
    <n v="862"/>
    <n v="476"/>
    <n v="0.36006683375104426"/>
  </r>
  <r>
    <x v="4"/>
    <x v="199"/>
    <n v="1364"/>
    <n v="475"/>
    <n v="69"/>
    <n v="24"/>
    <n v="5.0586510263929615E-2"/>
  </r>
  <r>
    <x v="4"/>
    <x v="200"/>
    <n v="6071"/>
    <n v="2769"/>
    <n v="726"/>
    <n v="31"/>
    <n v="0.11958491187613243"/>
  </r>
  <r>
    <x v="4"/>
    <x v="201"/>
    <n v="3305"/>
    <n v="958"/>
    <n v="329"/>
    <n v="98"/>
    <n v="9.9546142208774585E-2"/>
  </r>
  <r>
    <x v="4"/>
    <x v="202"/>
    <n v="5238"/>
    <n v="3169"/>
    <n v="1327"/>
    <n v="286"/>
    <n v="0.25334096983581522"/>
  </r>
  <r>
    <x v="4"/>
    <x v="203"/>
    <n v="2296"/>
    <n v="1105"/>
    <n v="348"/>
    <n v="34"/>
    <n v="0.15156794425087108"/>
  </r>
  <r>
    <x v="4"/>
    <x v="204"/>
    <n v="3404"/>
    <n v="1416"/>
    <n v="0"/>
    <n v="0"/>
    <n v="0"/>
  </r>
  <r>
    <x v="4"/>
    <x v="205"/>
    <n v="3283"/>
    <n v="1819"/>
    <n v="812"/>
    <n v="277"/>
    <n v="0.24733475479744135"/>
  </r>
  <r>
    <x v="4"/>
    <x v="206"/>
    <n v="1866"/>
    <n v="1098"/>
    <n v="529"/>
    <n v="112"/>
    <n v="0.28349410503751338"/>
  </r>
  <r>
    <x v="4"/>
    <x v="207"/>
    <n v="5611"/>
    <n v="2348"/>
    <n v="839"/>
    <n v="235"/>
    <n v="0.14952771342006774"/>
  </r>
  <r>
    <x v="4"/>
    <x v="208"/>
    <n v="2474"/>
    <n v="681"/>
    <n v="150"/>
    <n v="17"/>
    <n v="6.0630557801131774E-2"/>
  </r>
  <r>
    <x v="4"/>
    <x v="209"/>
    <n v="3622"/>
    <n v="1855"/>
    <n v="741"/>
    <n v="89"/>
    <n v="0.20458310325786858"/>
  </r>
  <r>
    <x v="4"/>
    <x v="210"/>
    <n v="1481"/>
    <n v="1183"/>
    <n v="496"/>
    <n v="117"/>
    <n v="0.3349088453747468"/>
  </r>
  <r>
    <x v="4"/>
    <x v="211"/>
    <n v="13908"/>
    <n v="3110"/>
    <n v="1314"/>
    <n v="438"/>
    <n v="9.4477998274374461E-2"/>
  </r>
  <r>
    <x v="4"/>
    <x v="212"/>
    <n v="3176"/>
    <n v="1112"/>
    <n v="473"/>
    <n v="128"/>
    <n v="0.14892947103274559"/>
  </r>
  <r>
    <x v="4"/>
    <x v="213"/>
    <n v="213"/>
    <n v="91"/>
    <n v="52"/>
    <n v="9"/>
    <n v="0.24413145539906103"/>
  </r>
  <r>
    <x v="4"/>
    <x v="214"/>
    <n v="334"/>
    <n v="171"/>
    <n v="79"/>
    <n v="32"/>
    <n v="0.23652694610778444"/>
  </r>
  <r>
    <x v="4"/>
    <x v="215"/>
    <n v="41"/>
    <n v="15"/>
    <n v="9"/>
    <n v="6"/>
    <n v="0.21951219512195122"/>
  </r>
  <r>
    <x v="4"/>
    <x v="216"/>
    <n v="205"/>
    <n v="106"/>
    <n v="49"/>
    <n v="24"/>
    <n v="0.23902439024390243"/>
  </r>
  <r>
    <x v="4"/>
    <x v="217"/>
    <n v="5960"/>
    <n v="3402"/>
    <n v="1687"/>
    <n v="920"/>
    <n v="0.28305369127516777"/>
  </r>
  <r>
    <x v="4"/>
    <x v="218"/>
    <n v="3272"/>
    <n v="1622"/>
    <n v="698"/>
    <n v="353"/>
    <n v="0.21332518337408313"/>
  </r>
  <r>
    <x v="4"/>
    <x v="219"/>
    <n v="1613"/>
    <n v="846"/>
    <n v="488"/>
    <n v="356"/>
    <n v="0.30254184748915064"/>
  </r>
  <r>
    <x v="4"/>
    <x v="220"/>
    <n v="10260"/>
    <n v="3285"/>
    <n v="1174"/>
    <n v="221"/>
    <n v="0.11442495126705653"/>
  </r>
  <r>
    <x v="4"/>
    <x v="221"/>
    <n v="2833"/>
    <n v="1433"/>
    <n v="523"/>
    <n v="72"/>
    <n v="0.18460995411224851"/>
  </r>
  <r>
    <x v="4"/>
    <x v="222"/>
    <n v="2388"/>
    <n v="766"/>
    <n v="398"/>
    <n v="52"/>
    <n v="0.16666666666666666"/>
  </r>
  <r>
    <x v="4"/>
    <x v="223"/>
    <n v="742"/>
    <n v="180"/>
    <n v="52"/>
    <n v="0"/>
    <n v="7.0080862533692723E-2"/>
  </r>
  <r>
    <x v="4"/>
    <x v="224"/>
    <n v="1134"/>
    <n v="626"/>
    <n v="289"/>
    <n v="52"/>
    <n v="0.25485008818342153"/>
  </r>
  <r>
    <x v="4"/>
    <x v="225"/>
    <n v="1545"/>
    <n v="954"/>
    <n v="485"/>
    <n v="119"/>
    <n v="0.31391585760517798"/>
  </r>
  <r>
    <x v="4"/>
    <x v="226"/>
    <n v="453"/>
    <n v="320"/>
    <n v="200"/>
    <n v="57"/>
    <n v="0.44150110375275936"/>
  </r>
  <r>
    <x v="4"/>
    <x v="227"/>
    <n v="12159"/>
    <n v="2241"/>
    <n v="764"/>
    <n v="172"/>
    <n v="6.2834114647586148E-2"/>
  </r>
  <r>
    <x v="4"/>
    <x v="228"/>
    <n v="483"/>
    <n v="266"/>
    <n v="138"/>
    <n v="62"/>
    <n v="0.2857142857142857"/>
  </r>
  <r>
    <x v="5"/>
    <x v="229"/>
    <n v="64377"/>
    <n v="10224"/>
    <n v="3753"/>
    <n v="1227"/>
    <n v="5.8297217950510273E-2"/>
  </r>
  <r>
    <x v="5"/>
    <x v="230"/>
    <n v="5098"/>
    <n v="1929"/>
    <n v="884"/>
    <n v="393"/>
    <n v="0.17340133385641429"/>
  </r>
  <r>
    <x v="5"/>
    <x v="231"/>
    <n v="9863"/>
    <n v="1451"/>
    <n v="460"/>
    <n v="103"/>
    <n v="4.6638953665213423E-2"/>
  </r>
  <r>
    <x v="5"/>
    <x v="232"/>
    <n v="24688"/>
    <n v="3318"/>
    <n v="1094"/>
    <n v="344"/>
    <n v="4.4313026571613741E-2"/>
  </r>
  <r>
    <x v="5"/>
    <x v="233"/>
    <n v="4291"/>
    <n v="994"/>
    <n v="470"/>
    <n v="222"/>
    <n v="0.109531577720811"/>
  </r>
  <r>
    <x v="5"/>
    <x v="234"/>
    <n v="13183"/>
    <n v="2505"/>
    <n v="754"/>
    <n v="185"/>
    <n v="5.7194872183873167E-2"/>
  </r>
  <r>
    <x v="5"/>
    <x v="235"/>
    <n v="4235"/>
    <n v="1097"/>
    <n v="489"/>
    <n v="203"/>
    <n v="0.1154663518299882"/>
  </r>
  <r>
    <x v="5"/>
    <x v="236"/>
    <n v="1392"/>
    <n v="996"/>
    <n v="529"/>
    <n v="158"/>
    <n v="0.38002873563218392"/>
  </r>
  <r>
    <x v="5"/>
    <x v="237"/>
    <n v="8136"/>
    <n v="1929"/>
    <n v="917"/>
    <n v="369"/>
    <n v="0.11270894788593903"/>
  </r>
  <r>
    <x v="5"/>
    <x v="238"/>
    <n v="2943"/>
    <n v="1363"/>
    <n v="500"/>
    <n v="174"/>
    <n v="0.16989466530750935"/>
  </r>
  <r>
    <x v="5"/>
    <x v="239"/>
    <n v="5889"/>
    <n v="2031"/>
    <n v="705"/>
    <n v="90"/>
    <n v="0.11971472236372899"/>
  </r>
  <r>
    <x v="6"/>
    <x v="240"/>
    <n v="409919"/>
    <n v="50510"/>
    <n v="23314"/>
    <n v="11555"/>
    <n v="5.6874650845654871E-2"/>
  </r>
  <r>
    <x v="6"/>
    <x v="241"/>
    <n v="22345"/>
    <n v="5017"/>
    <n v="2601"/>
    <n v="1409"/>
    <n v="0.11640187961512642"/>
  </r>
  <r>
    <x v="6"/>
    <x v="242"/>
    <n v="7722"/>
    <n v="1447"/>
    <n v="676"/>
    <n v="330"/>
    <n v="8.7542087542087546E-2"/>
  </r>
  <r>
    <x v="6"/>
    <x v="243"/>
    <n v="38451"/>
    <n v="5176"/>
    <n v="2373"/>
    <n v="1115"/>
    <n v="6.1714909885308575E-2"/>
  </r>
  <r>
    <x v="6"/>
    <x v="244"/>
    <n v="15075"/>
    <n v="2279"/>
    <n v="1034"/>
    <n v="506"/>
    <n v="6.8590381426202315E-2"/>
  </r>
  <r>
    <x v="6"/>
    <x v="245"/>
    <n v="45650"/>
    <n v="8126"/>
    <n v="3877"/>
    <n v="2013"/>
    <n v="8.4928806133625412E-2"/>
  </r>
  <r>
    <x v="6"/>
    <x v="246"/>
    <n v="2166"/>
    <n v="399"/>
    <n v="237"/>
    <n v="145"/>
    <n v="0.10941828254847645"/>
  </r>
  <r>
    <x v="6"/>
    <x v="247"/>
    <n v="277"/>
    <n v="33"/>
    <n v="18"/>
    <n v="9"/>
    <n v="6.4981949458483748E-2"/>
  </r>
  <r>
    <x v="6"/>
    <x v="248"/>
    <n v="69"/>
    <n v="14"/>
    <n v="5"/>
    <n v="2"/>
    <n v="7.2463768115942032E-2"/>
  </r>
  <r>
    <x v="6"/>
    <x v="249"/>
    <n v="14"/>
    <n v="3"/>
    <n v="2"/>
    <n v="2"/>
    <n v="0.14285714285714285"/>
  </r>
  <r>
    <x v="6"/>
    <x v="250"/>
    <n v="3881"/>
    <n v="793"/>
    <n v="431"/>
    <n v="219"/>
    <n v="0.11105385209997423"/>
  </r>
  <r>
    <x v="6"/>
    <x v="251"/>
    <n v="4508"/>
    <n v="836"/>
    <n v="423"/>
    <n v="239"/>
    <n v="9.3833185448092285E-2"/>
  </r>
  <r>
    <x v="6"/>
    <x v="252"/>
    <n v="13088"/>
    <n v="2370"/>
    <n v="1168"/>
    <n v="620"/>
    <n v="8.9242053789731046E-2"/>
  </r>
  <r>
    <x v="6"/>
    <x v="253"/>
    <n v="1835"/>
    <n v="356"/>
    <n v="179"/>
    <n v="107"/>
    <n v="9.7547683923705719E-2"/>
  </r>
  <r>
    <x v="6"/>
    <x v="254"/>
    <n v="261"/>
    <n v="58"/>
    <n v="34"/>
    <n v="22"/>
    <n v="0.13026819923371646"/>
  </r>
  <r>
    <x v="6"/>
    <x v="255"/>
    <n v="6126"/>
    <n v="1058"/>
    <n v="488"/>
    <n v="295"/>
    <n v="7.9660463597779951E-2"/>
  </r>
  <r>
    <x v="6"/>
    <x v="256"/>
    <n v="309"/>
    <n v="67"/>
    <n v="39"/>
    <n v="17"/>
    <n v="0.12621359223300971"/>
  </r>
  <r>
    <x v="6"/>
    <x v="257"/>
    <n v="4766"/>
    <n v="618"/>
    <n v="275"/>
    <n v="135"/>
    <n v="5.7700377675199331E-2"/>
  </r>
  <r>
    <x v="6"/>
    <x v="258"/>
    <n v="3730"/>
    <n v="812"/>
    <n v="425"/>
    <n v="226"/>
    <n v="0.11394101876675604"/>
  </r>
  <r>
    <x v="6"/>
    <x v="259"/>
    <n v="1170"/>
    <n v="211"/>
    <n v="125"/>
    <n v="87"/>
    <n v="0.10683760683760683"/>
  </r>
  <r>
    <x v="6"/>
    <x v="260"/>
    <n v="134"/>
    <n v="32"/>
    <n v="16"/>
    <n v="15"/>
    <n v="0.11940298507462686"/>
  </r>
  <r>
    <x v="6"/>
    <x v="261"/>
    <n v="1008"/>
    <n v="218"/>
    <n v="120"/>
    <n v="70"/>
    <n v="0.11904761904761904"/>
  </r>
  <r>
    <x v="6"/>
    <x v="262"/>
    <n v="4563"/>
    <n v="901"/>
    <n v="529"/>
    <n v="328"/>
    <n v="0.11593250054788516"/>
  </r>
  <r>
    <x v="6"/>
    <x v="263"/>
    <n v="128"/>
    <n v="25"/>
    <n v="17"/>
    <n v="10"/>
    <n v="0.1328125"/>
  </r>
  <r>
    <x v="6"/>
    <x v="264"/>
    <n v="237"/>
    <n v="66"/>
    <n v="37"/>
    <n v="28"/>
    <n v="0.15611814345991562"/>
  </r>
  <r>
    <x v="6"/>
    <x v="265"/>
    <n v="1430"/>
    <n v="208"/>
    <n v="110"/>
    <n v="55"/>
    <n v="7.6923076923076927E-2"/>
  </r>
  <r>
    <x v="6"/>
    <x v="266"/>
    <n v="169"/>
    <n v="31"/>
    <n v="17"/>
    <n v="8"/>
    <n v="0.10059171597633136"/>
  </r>
  <r>
    <x v="6"/>
    <x v="267"/>
    <n v="422"/>
    <n v="105"/>
    <n v="44"/>
    <n v="5"/>
    <n v="0.10426540284360189"/>
  </r>
  <r>
    <x v="6"/>
    <x v="268"/>
    <n v="52"/>
    <n v="21"/>
    <n v="12"/>
    <n v="2"/>
    <n v="0.23076923076923078"/>
  </r>
  <r>
    <x v="6"/>
    <x v="269"/>
    <n v="37"/>
    <n v="8"/>
    <n v="3"/>
    <n v="0"/>
    <n v="8.1081081081081086E-2"/>
  </r>
  <r>
    <x v="6"/>
    <x v="270"/>
    <n v="16"/>
    <n v="7"/>
    <n v="3"/>
    <n v="0"/>
    <n v="0.1875"/>
  </r>
  <r>
    <x v="6"/>
    <x v="271"/>
    <n v="482"/>
    <n v="128"/>
    <n v="64"/>
    <n v="22"/>
    <n v="0.13278008298755187"/>
  </r>
  <r>
    <x v="6"/>
    <x v="272"/>
    <n v="219"/>
    <n v="36"/>
    <n v="17"/>
    <n v="7"/>
    <n v="7.7625570776255703E-2"/>
  </r>
  <r>
    <x v="6"/>
    <x v="273"/>
    <n v="267"/>
    <n v="57"/>
    <n v="28"/>
    <n v="15"/>
    <n v="0.10486891385767791"/>
  </r>
  <r>
    <x v="6"/>
    <x v="274"/>
    <n v="38"/>
    <n v="9"/>
    <n v="3"/>
    <n v="1"/>
    <n v="7.8947368421052627E-2"/>
  </r>
  <r>
    <x v="6"/>
    <x v="275"/>
    <n v="31358"/>
    <n v="4352"/>
    <n v="1879"/>
    <n v="786"/>
    <n v="5.9920913323553801E-2"/>
  </r>
  <r>
    <x v="6"/>
    <x v="276"/>
    <n v="3179"/>
    <n v="628"/>
    <n v="327"/>
    <n v="171"/>
    <n v="0.10286253538848694"/>
  </r>
  <r>
    <x v="6"/>
    <x v="277"/>
    <n v="5193"/>
    <n v="787"/>
    <n v="397"/>
    <n v="205"/>
    <n v="7.6449066050452527E-2"/>
  </r>
  <r>
    <x v="6"/>
    <x v="278"/>
    <n v="2937"/>
    <n v="491"/>
    <n v="225"/>
    <n v="102"/>
    <n v="7.6608784473953015E-2"/>
  </r>
  <r>
    <x v="6"/>
    <x v="279"/>
    <n v="3357"/>
    <n v="573"/>
    <n v="318"/>
    <n v="173"/>
    <n v="9.472743521000894E-2"/>
  </r>
  <r>
    <x v="6"/>
    <x v="280"/>
    <n v="541"/>
    <n v="118"/>
    <n v="54"/>
    <n v="31"/>
    <n v="9.9815157116451017E-2"/>
  </r>
  <r>
    <x v="6"/>
    <x v="281"/>
    <n v="149"/>
    <n v="33"/>
    <n v="25"/>
    <n v="14"/>
    <n v="0.16778523489932887"/>
  </r>
  <r>
    <x v="6"/>
    <x v="282"/>
    <n v="147"/>
    <n v="41"/>
    <n v="17"/>
    <n v="7"/>
    <n v="0.11564625850340136"/>
  </r>
  <r>
    <x v="6"/>
    <x v="283"/>
    <n v="1308"/>
    <n v="253"/>
    <n v="122"/>
    <n v="64"/>
    <n v="9.3272171253822631E-2"/>
  </r>
  <r>
    <x v="6"/>
    <x v="284"/>
    <n v="152"/>
    <n v="25"/>
    <n v="12"/>
    <n v="11"/>
    <n v="7.8947368421052627E-2"/>
  </r>
  <r>
    <x v="6"/>
    <x v="285"/>
    <n v="17"/>
    <n v="0"/>
    <n v="0"/>
    <n v="0"/>
    <n v="0"/>
  </r>
  <r>
    <x v="6"/>
    <x v="286"/>
    <n v="338"/>
    <n v="74"/>
    <n v="24"/>
    <n v="15"/>
    <n v="7.1005917159763315E-2"/>
  </r>
  <r>
    <x v="6"/>
    <x v="287"/>
    <n v="101"/>
    <n v="23"/>
    <n v="10"/>
    <n v="5"/>
    <n v="9.9009900990099015E-2"/>
  </r>
  <r>
    <x v="6"/>
    <x v="288"/>
    <n v="201"/>
    <n v="39"/>
    <n v="23"/>
    <n v="14"/>
    <n v="0.11442786069651742"/>
  </r>
  <r>
    <x v="6"/>
    <x v="289"/>
    <n v="307"/>
    <n v="44"/>
    <n v="23"/>
    <n v="14"/>
    <n v="7.4918566775244305E-2"/>
  </r>
  <r>
    <x v="6"/>
    <x v="290"/>
    <n v="23"/>
    <n v="3"/>
    <n v="2"/>
    <n v="0"/>
    <n v="8.6956521739130432E-2"/>
  </r>
  <r>
    <x v="6"/>
    <x v="291"/>
    <n v="590"/>
    <n v="179"/>
    <n v="79"/>
    <n v="48"/>
    <n v="0.13389830508474576"/>
  </r>
  <r>
    <x v="6"/>
    <x v="292"/>
    <n v="76"/>
    <n v="29"/>
    <n v="18"/>
    <n v="12"/>
    <n v="0.23684210526315788"/>
  </r>
  <r>
    <x v="6"/>
    <x v="293"/>
    <n v="151"/>
    <n v="41"/>
    <n v="16"/>
    <n v="7"/>
    <n v="0.10596026490066225"/>
  </r>
  <r>
    <x v="7"/>
    <x v="294"/>
    <n v="32338"/>
    <n v="3196"/>
    <n v="507"/>
    <n v="75"/>
    <n v="1.5678149545426432E-2"/>
  </r>
  <r>
    <x v="7"/>
    <x v="295"/>
    <n v="488"/>
    <n v="76"/>
    <n v="20"/>
    <n v="2"/>
    <n v="4.0983606557377046E-2"/>
  </r>
  <r>
    <x v="7"/>
    <x v="296"/>
    <n v="21881"/>
    <n v="2201"/>
    <n v="301"/>
    <n v="42"/>
    <n v="1.3756226863488872E-2"/>
  </r>
  <r>
    <x v="7"/>
    <x v="297"/>
    <n v="9037"/>
    <n v="699"/>
    <n v="74"/>
    <n v="13"/>
    <n v="8.1885581498284832E-3"/>
  </r>
  <r>
    <x v="7"/>
    <x v="298"/>
    <n v="2157"/>
    <n v="278"/>
    <n v="73"/>
    <n v="19"/>
    <n v="3.3843300880853036E-2"/>
  </r>
  <r>
    <x v="7"/>
    <x v="299"/>
    <n v="8319"/>
    <n v="1365"/>
    <n v="303"/>
    <n v="41"/>
    <n v="3.6422646952758743E-2"/>
  </r>
  <r>
    <x v="7"/>
    <x v="300"/>
    <n v="1821"/>
    <n v="318"/>
    <n v="50"/>
    <n v="0"/>
    <n v="2.7457440966501923E-2"/>
  </r>
  <r>
    <x v="7"/>
    <x v="301"/>
    <n v="5492"/>
    <n v="1225"/>
    <n v="276"/>
    <n v="41"/>
    <n v="5.0254916241806266E-2"/>
  </r>
  <r>
    <x v="7"/>
    <x v="302"/>
    <n v="3206"/>
    <n v="309"/>
    <n v="78"/>
    <n v="17"/>
    <n v="2.4329382407985028E-2"/>
  </r>
  <r>
    <x v="7"/>
    <x v="303"/>
    <n v="175"/>
    <n v="17"/>
    <n v="0"/>
    <n v="0"/>
    <n v="0"/>
  </r>
  <r>
    <x v="7"/>
    <x v="304"/>
    <n v="3497"/>
    <n v="617"/>
    <n v="120"/>
    <n v="20"/>
    <n v="3.4315127251930228E-2"/>
  </r>
  <r>
    <x v="7"/>
    <x v="305"/>
    <n v="331"/>
    <n v="82"/>
    <n v="25"/>
    <n v="12"/>
    <n v="7.5528700906344406E-2"/>
  </r>
  <r>
    <x v="7"/>
    <x v="306"/>
    <n v="1258"/>
    <n v="282"/>
    <n v="110"/>
    <n v="47"/>
    <n v="8.7440381558028621E-2"/>
  </r>
  <r>
    <x v="7"/>
    <x v="307"/>
    <n v="1149"/>
    <n v="124"/>
    <n v="17"/>
    <n v="2"/>
    <n v="1.4795474325500435E-2"/>
  </r>
  <r>
    <x v="7"/>
    <x v="308"/>
    <n v="1019"/>
    <n v="110"/>
    <n v="18"/>
    <n v="0"/>
    <n v="1.7664376840039256E-2"/>
  </r>
  <r>
    <x v="7"/>
    <x v="309"/>
    <n v="2874"/>
    <n v="267"/>
    <n v="34"/>
    <n v="4"/>
    <n v="1.1830201809324982E-2"/>
  </r>
  <r>
    <x v="7"/>
    <x v="310"/>
    <n v="1117"/>
    <n v="170"/>
    <n v="29"/>
    <n v="3"/>
    <n v="2.5962399283795883E-2"/>
  </r>
  <r>
    <x v="7"/>
    <x v="311"/>
    <n v="997"/>
    <n v="99"/>
    <n v="7"/>
    <n v="0"/>
    <n v="7.0210631895687063E-3"/>
  </r>
  <r>
    <x v="8"/>
    <x v="312"/>
    <n v="14926"/>
    <n v="1561"/>
    <n v="247"/>
    <n v="49"/>
    <n v="1.6548304971191211E-2"/>
  </r>
  <r>
    <x v="8"/>
    <x v="313"/>
    <n v="1304"/>
    <n v="208"/>
    <n v="29"/>
    <n v="2"/>
    <n v="2.2239263803680982E-2"/>
  </r>
  <r>
    <x v="8"/>
    <x v="314"/>
    <n v="421"/>
    <n v="69"/>
    <n v="17"/>
    <n v="2"/>
    <n v="4.0380047505938245E-2"/>
  </r>
  <r>
    <x v="8"/>
    <x v="315"/>
    <n v="1153"/>
    <n v="191"/>
    <n v="23"/>
    <n v="2"/>
    <n v="1.9947961838681701E-2"/>
  </r>
  <r>
    <x v="8"/>
    <x v="316"/>
    <n v="122"/>
    <n v="16"/>
    <n v="7"/>
    <n v="0"/>
    <n v="5.737704918032787E-2"/>
  </r>
  <r>
    <x v="8"/>
    <x v="317"/>
    <n v="964"/>
    <n v="207"/>
    <n v="22"/>
    <n v="1"/>
    <n v="2.2821576763485476E-2"/>
  </r>
  <r>
    <x v="8"/>
    <x v="318"/>
    <n v="787"/>
    <n v="126"/>
    <n v="13"/>
    <n v="3"/>
    <n v="1.6518424396442185E-2"/>
  </r>
  <r>
    <x v="8"/>
    <x v="319"/>
    <n v="1027"/>
    <n v="143"/>
    <n v="11"/>
    <n v="6"/>
    <n v="1.0710808179162609E-2"/>
  </r>
  <r>
    <x v="8"/>
    <x v="320"/>
    <n v="483"/>
    <n v="136"/>
    <n v="34"/>
    <n v="8"/>
    <n v="7.0393374741200831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x v="0"/>
    <n v="67379"/>
    <n v="8920"/>
    <n v="2422"/>
    <n v="560"/>
    <n v="3.5945917867584858"/>
  </r>
  <r>
    <x v="0"/>
    <x v="1"/>
    <n v="2450"/>
    <n v="828"/>
    <n v="281"/>
    <n v="79"/>
    <n v="11.469387755102041"/>
  </r>
  <r>
    <x v="0"/>
    <x v="2"/>
    <n v="930"/>
    <n v="662"/>
    <n v="139"/>
    <n v="11"/>
    <n v="14.946236559139784"/>
  </r>
  <r>
    <x v="0"/>
    <x v="3"/>
    <n v="752"/>
    <n v="332"/>
    <n v="81"/>
    <n v="1"/>
    <n v="10.771276595744681"/>
  </r>
  <r>
    <x v="0"/>
    <x v="4"/>
    <n v="1610"/>
    <n v="817"/>
    <n v="198"/>
    <n v="22"/>
    <n v="12.298136645962733"/>
  </r>
  <r>
    <x v="0"/>
    <x v="5"/>
    <n v="1089"/>
    <n v="458"/>
    <n v="149"/>
    <n v="35"/>
    <n v="13.682277318640955"/>
  </r>
  <r>
    <x v="0"/>
    <x v="6"/>
    <n v="1059"/>
    <n v="416"/>
    <n v="86"/>
    <n v="16"/>
    <n v="8.120868744098205"/>
  </r>
  <r>
    <x v="0"/>
    <x v="7"/>
    <n v="1280"/>
    <n v="538"/>
    <n v="121"/>
    <n v="14"/>
    <n v="9.453125"/>
  </r>
  <r>
    <x v="0"/>
    <x v="8"/>
    <n v="1292"/>
    <n v="566"/>
    <n v="137"/>
    <n v="28"/>
    <n v="10.603715170278639"/>
  </r>
  <r>
    <x v="0"/>
    <x v="9"/>
    <n v="1775"/>
    <n v="628"/>
    <n v="158"/>
    <n v="36"/>
    <n v="8.9014084507042259"/>
  </r>
  <r>
    <x v="0"/>
    <x v="10"/>
    <n v="1455"/>
    <n v="516"/>
    <n v="125"/>
    <n v="21"/>
    <n v="8.5910652920962196"/>
  </r>
  <r>
    <x v="0"/>
    <x v="11"/>
    <n v="798"/>
    <n v="209"/>
    <n v="40"/>
    <n v="5"/>
    <n v="5.0125313283208017"/>
  </r>
  <r>
    <x v="0"/>
    <x v="12"/>
    <n v="850"/>
    <n v="307"/>
    <n v="85"/>
    <n v="13"/>
    <n v="10"/>
  </r>
  <r>
    <x v="0"/>
    <x v="13"/>
    <n v="865"/>
    <n v="533"/>
    <n v="176"/>
    <n v="22"/>
    <n v="20.346820809248555"/>
  </r>
  <r>
    <x v="0"/>
    <x v="14"/>
    <n v="4277"/>
    <n v="823"/>
    <n v="183"/>
    <n v="37"/>
    <n v="4.2787000233808747"/>
  </r>
  <r>
    <x v="0"/>
    <x v="15"/>
    <n v="1001"/>
    <n v="230"/>
    <n v="32"/>
    <n v="3"/>
    <n v="3.1968031968031969"/>
  </r>
  <r>
    <x v="0"/>
    <x v="16"/>
    <n v="2434"/>
    <n v="974"/>
    <n v="212"/>
    <n v="26"/>
    <n v="8.7099424815119146"/>
  </r>
  <r>
    <x v="0"/>
    <x v="17"/>
    <n v="1742"/>
    <n v="941"/>
    <n v="198"/>
    <n v="18"/>
    <n v="11.366245694603904"/>
  </r>
  <r>
    <x v="0"/>
    <x v="18"/>
    <n v="3571"/>
    <n v="1288"/>
    <n v="385"/>
    <n v="48"/>
    <n v="10.78129375525063"/>
  </r>
  <r>
    <x v="0"/>
    <x v="19"/>
    <n v="3813"/>
    <n v="1809"/>
    <n v="670"/>
    <n v="185"/>
    <n v="17.571466037241017"/>
  </r>
  <r>
    <x v="0"/>
    <x v="20"/>
    <n v="951"/>
    <n v="290"/>
    <n v="73"/>
    <n v="9"/>
    <n v="7.6761303890641432"/>
  </r>
  <r>
    <x v="0"/>
    <x v="21"/>
    <n v="1836"/>
    <n v="555"/>
    <n v="173"/>
    <n v="27"/>
    <n v="9.4226579520697165"/>
  </r>
  <r>
    <x v="0"/>
    <x v="22"/>
    <n v="2232"/>
    <n v="842"/>
    <n v="244"/>
    <n v="48"/>
    <n v="10.931899641577061"/>
  </r>
  <r>
    <x v="0"/>
    <x v="23"/>
    <n v="825"/>
    <n v="350"/>
    <n v="98"/>
    <n v="9"/>
    <n v="11.878787878787879"/>
  </r>
  <r>
    <x v="0"/>
    <x v="24"/>
    <n v="2341"/>
    <n v="670"/>
    <n v="203"/>
    <n v="36"/>
    <n v="8.6715079026057236"/>
  </r>
  <r>
    <x v="0"/>
    <x v="25"/>
    <n v="796"/>
    <n v="329"/>
    <n v="89"/>
    <n v="14"/>
    <n v="11.180904522613066"/>
  </r>
  <r>
    <x v="0"/>
    <x v="26"/>
    <n v="1150"/>
    <n v="165"/>
    <n v="19"/>
    <n v="1"/>
    <n v="1.6521739130434783"/>
  </r>
  <r>
    <x v="0"/>
    <x v="27"/>
    <n v="263"/>
    <n v="53"/>
    <n v="20"/>
    <n v="4"/>
    <n v="7.6045627376425857"/>
  </r>
  <r>
    <x v="0"/>
    <x v="28"/>
    <n v="839"/>
    <n v="258"/>
    <n v="55"/>
    <n v="4"/>
    <n v="6.5554231227651965"/>
  </r>
  <r>
    <x v="1"/>
    <x v="29"/>
    <n v="250683"/>
    <n v="41346"/>
    <n v="11026"/>
    <n v="2852"/>
    <n v="4.398383615961194"/>
  </r>
  <r>
    <x v="1"/>
    <x v="30"/>
    <n v="3773"/>
    <n v="1482"/>
    <n v="317"/>
    <n v="73"/>
    <n v="8.4018022793532996"/>
  </r>
  <r>
    <x v="1"/>
    <x v="31"/>
    <n v="4435"/>
    <n v="2494"/>
    <n v="468"/>
    <n v="101"/>
    <n v="10.552423900789178"/>
  </r>
  <r>
    <x v="1"/>
    <x v="32"/>
    <n v="5757"/>
    <n v="1921"/>
    <n v="780"/>
    <n v="182"/>
    <n v="13.54872329338197"/>
  </r>
  <r>
    <x v="1"/>
    <x v="33"/>
    <n v="263573"/>
    <n v="55961"/>
    <n v="20483"/>
    <n v="5379"/>
    <n v="7.7712815804350219"/>
  </r>
  <r>
    <x v="1"/>
    <x v="34"/>
    <n v="18505"/>
    <n v="7315"/>
    <n v="1705"/>
    <n v="345"/>
    <n v="9.2137260199945956"/>
  </r>
  <r>
    <x v="1"/>
    <x v="35"/>
    <n v="3232"/>
    <n v="2018"/>
    <n v="690"/>
    <n v="58"/>
    <n v="21.349009900990097"/>
  </r>
  <r>
    <x v="1"/>
    <x v="36"/>
    <n v="1784"/>
    <n v="710"/>
    <n v="238"/>
    <n v="2"/>
    <n v="13.340807174887892"/>
  </r>
  <r>
    <x v="1"/>
    <x v="37"/>
    <n v="2599"/>
    <n v="1338"/>
    <n v="472"/>
    <n v="1"/>
    <n v="18.160831088880339"/>
  </r>
  <r>
    <x v="1"/>
    <x v="38"/>
    <n v="2788"/>
    <n v="1660"/>
    <n v="529"/>
    <n v="1"/>
    <n v="18.974175035868004"/>
  </r>
  <r>
    <x v="1"/>
    <x v="39"/>
    <n v="1289"/>
    <n v="709"/>
    <n v="260"/>
    <n v="2"/>
    <n v="20.17067494181536"/>
  </r>
  <r>
    <x v="1"/>
    <x v="40"/>
    <n v="2928"/>
    <n v="2049"/>
    <n v="763"/>
    <n v="167"/>
    <n v="26.058743169398905"/>
  </r>
  <r>
    <x v="1"/>
    <x v="41"/>
    <n v="3350"/>
    <n v="2542"/>
    <n v="914"/>
    <n v="134"/>
    <n v="27.28358208955224"/>
  </r>
  <r>
    <x v="1"/>
    <x v="42"/>
    <n v="1131"/>
    <n v="753"/>
    <n v="347"/>
    <n v="47"/>
    <n v="30.680813439434129"/>
  </r>
  <r>
    <x v="1"/>
    <x v="43"/>
    <n v="938"/>
    <n v="660"/>
    <n v="194"/>
    <n v="39"/>
    <n v="20.68230277185501"/>
  </r>
  <r>
    <x v="1"/>
    <x v="44"/>
    <n v="349"/>
    <n v="227"/>
    <n v="61"/>
    <n v="7"/>
    <n v="17.478510028653297"/>
  </r>
  <r>
    <x v="1"/>
    <x v="45"/>
    <n v="371"/>
    <n v="226"/>
    <n v="63"/>
    <n v="22"/>
    <n v="16.981132075471699"/>
  </r>
  <r>
    <x v="1"/>
    <x v="46"/>
    <n v="101"/>
    <n v="59"/>
    <n v="17"/>
    <n v="1"/>
    <n v="16.831683168316832"/>
  </r>
  <r>
    <x v="1"/>
    <x v="47"/>
    <n v="413"/>
    <n v="354"/>
    <n v="205"/>
    <n v="38"/>
    <n v="49.63680387409201"/>
  </r>
  <r>
    <x v="1"/>
    <x v="48"/>
    <n v="5262"/>
    <n v="2110"/>
    <n v="571"/>
    <n v="85"/>
    <n v="10.851387305207146"/>
  </r>
  <r>
    <x v="1"/>
    <x v="49"/>
    <n v="3346"/>
    <n v="1733"/>
    <n v="436"/>
    <n v="54"/>
    <n v="13.030484160191273"/>
  </r>
  <r>
    <x v="1"/>
    <x v="50"/>
    <n v="3519"/>
    <n v="1995"/>
    <n v="550"/>
    <n v="69"/>
    <n v="15.62944018186985"/>
  </r>
  <r>
    <x v="1"/>
    <x v="51"/>
    <n v="1136"/>
    <n v="558"/>
    <n v="138"/>
    <n v="0"/>
    <n v="12.147887323943662"/>
  </r>
  <r>
    <x v="1"/>
    <x v="52"/>
    <n v="1900"/>
    <n v="1075"/>
    <n v="294"/>
    <n v="0"/>
    <n v="15.473684210526315"/>
  </r>
  <r>
    <x v="1"/>
    <x v="53"/>
    <n v="2301"/>
    <n v="1182"/>
    <n v="424"/>
    <n v="77"/>
    <n v="18.426770969143849"/>
  </r>
  <r>
    <x v="1"/>
    <x v="54"/>
    <n v="1496"/>
    <n v="636"/>
    <n v="161"/>
    <n v="34"/>
    <n v="10.762032085561497"/>
  </r>
  <r>
    <x v="1"/>
    <x v="55"/>
    <n v="837"/>
    <n v="548"/>
    <n v="140"/>
    <n v="34"/>
    <n v="16.726403823178018"/>
  </r>
  <r>
    <x v="1"/>
    <x v="56"/>
    <n v="5418"/>
    <n v="2809"/>
    <n v="1022"/>
    <n v="164"/>
    <n v="18.863049095607234"/>
  </r>
  <r>
    <x v="1"/>
    <x v="57"/>
    <n v="2476"/>
    <n v="535"/>
    <n v="178"/>
    <n v="53"/>
    <n v="7.1890145395799676"/>
  </r>
  <r>
    <x v="1"/>
    <x v="58"/>
    <n v="1443"/>
    <n v="905"/>
    <n v="205"/>
    <n v="40"/>
    <n v="14.206514206514207"/>
  </r>
  <r>
    <x v="1"/>
    <x v="59"/>
    <n v="785"/>
    <n v="310"/>
    <n v="121"/>
    <n v="24"/>
    <n v="15.414012738853502"/>
  </r>
  <r>
    <x v="1"/>
    <x v="60"/>
    <n v="638"/>
    <n v="342"/>
    <n v="147"/>
    <n v="11"/>
    <n v="23.040752351097179"/>
  </r>
  <r>
    <x v="1"/>
    <x v="61"/>
    <n v="1842"/>
    <n v="488"/>
    <n v="163"/>
    <n v="42"/>
    <n v="8.8490770901194349"/>
  </r>
  <r>
    <x v="1"/>
    <x v="62"/>
    <n v="1943"/>
    <n v="480"/>
    <n v="93"/>
    <n v="21"/>
    <n v="4.7864127637673697"/>
  </r>
  <r>
    <x v="1"/>
    <x v="63"/>
    <n v="1595"/>
    <n v="376"/>
    <n v="115"/>
    <n v="37"/>
    <n v="7.2100313479623823"/>
  </r>
  <r>
    <x v="1"/>
    <x v="64"/>
    <n v="2893"/>
    <n v="729"/>
    <n v="257"/>
    <n v="55"/>
    <n v="8.8835119253370198"/>
  </r>
  <r>
    <x v="1"/>
    <x v="65"/>
    <n v="959"/>
    <n v="488"/>
    <n v="141"/>
    <n v="13"/>
    <n v="14.70281543274244"/>
  </r>
  <r>
    <x v="1"/>
    <x v="66"/>
    <n v="28321"/>
    <n v="9958"/>
    <n v="4253"/>
    <n v="1236"/>
    <n v="15.017125101514777"/>
  </r>
  <r>
    <x v="1"/>
    <x v="67"/>
    <n v="2370"/>
    <n v="1997"/>
    <n v="687"/>
    <n v="226"/>
    <n v="28.9873417721519"/>
  </r>
  <r>
    <x v="1"/>
    <x v="68"/>
    <n v="2748"/>
    <n v="1741"/>
    <n v="492"/>
    <n v="158"/>
    <n v="17.903930131004365"/>
  </r>
  <r>
    <x v="1"/>
    <x v="69"/>
    <n v="1798"/>
    <n v="1070"/>
    <n v="387"/>
    <n v="127"/>
    <n v="21.523915461624028"/>
  </r>
  <r>
    <x v="1"/>
    <x v="70"/>
    <n v="1447"/>
    <n v="1151"/>
    <n v="330"/>
    <n v="60"/>
    <n v="22.805805114029024"/>
  </r>
  <r>
    <x v="1"/>
    <x v="71"/>
    <n v="3329"/>
    <n v="2121"/>
    <n v="581"/>
    <n v="163"/>
    <n v="17.452688495043557"/>
  </r>
  <r>
    <x v="1"/>
    <x v="72"/>
    <n v="1475"/>
    <n v="827"/>
    <n v="318"/>
    <n v="99"/>
    <n v="21.559322033898304"/>
  </r>
  <r>
    <x v="1"/>
    <x v="73"/>
    <n v="2609"/>
    <n v="1281"/>
    <n v="355"/>
    <n v="67"/>
    <n v="13.606745879647374"/>
  </r>
  <r>
    <x v="1"/>
    <x v="74"/>
    <n v="3175"/>
    <n v="2040"/>
    <n v="492"/>
    <n v="62"/>
    <n v="15.496062992125983"/>
  </r>
  <r>
    <x v="1"/>
    <x v="75"/>
    <n v="1548"/>
    <n v="930"/>
    <n v="346"/>
    <n v="83"/>
    <n v="22.351421188630489"/>
  </r>
  <r>
    <x v="1"/>
    <x v="76"/>
    <n v="273"/>
    <n v="188"/>
    <n v="72"/>
    <n v="14"/>
    <n v="26.373626373626372"/>
  </r>
  <r>
    <x v="1"/>
    <x v="77"/>
    <n v="2118"/>
    <n v="808"/>
    <n v="452"/>
    <n v="281"/>
    <n v="21.340887629839472"/>
  </r>
  <r>
    <x v="1"/>
    <x v="78"/>
    <n v="2163"/>
    <n v="1033"/>
    <n v="264"/>
    <n v="41"/>
    <n v="12.205270457697642"/>
  </r>
  <r>
    <x v="1"/>
    <x v="79"/>
    <n v="1356"/>
    <n v="434"/>
    <n v="120"/>
    <n v="20"/>
    <n v="8.8495575221238933"/>
  </r>
  <r>
    <x v="1"/>
    <x v="80"/>
    <n v="3240"/>
    <n v="977"/>
    <n v="273"/>
    <n v="56"/>
    <n v="8.4259259259259256"/>
  </r>
  <r>
    <x v="1"/>
    <x v="81"/>
    <n v="1953"/>
    <n v="1443"/>
    <n v="530"/>
    <n v="171"/>
    <n v="27.13773681515617"/>
  </r>
  <r>
    <x v="1"/>
    <x v="82"/>
    <n v="1027"/>
    <n v="842"/>
    <n v="352"/>
    <n v="44"/>
    <n v="34.274586173320351"/>
  </r>
  <r>
    <x v="1"/>
    <x v="83"/>
    <n v="636"/>
    <n v="344"/>
    <n v="69"/>
    <n v="3"/>
    <n v="10.849056603773585"/>
  </r>
  <r>
    <x v="1"/>
    <x v="84"/>
    <n v="4533"/>
    <n v="1087"/>
    <n v="265"/>
    <n v="41"/>
    <n v="5.8460180895654092"/>
  </r>
  <r>
    <x v="1"/>
    <x v="85"/>
    <n v="4321"/>
    <n v="1362"/>
    <n v="328"/>
    <n v="40"/>
    <n v="7.5908354547558439"/>
  </r>
  <r>
    <x v="1"/>
    <x v="86"/>
    <n v="1382"/>
    <n v="397"/>
    <n v="75"/>
    <n v="7"/>
    <n v="5.4269175108538352"/>
  </r>
  <r>
    <x v="1"/>
    <x v="87"/>
    <n v="5298"/>
    <n v="1786"/>
    <n v="696"/>
    <n v="236"/>
    <n v="13.137032842582107"/>
  </r>
  <r>
    <x v="1"/>
    <x v="88"/>
    <n v="6923"/>
    <n v="2067"/>
    <n v="350"/>
    <n v="76"/>
    <n v="5.0556117290192111"/>
  </r>
  <r>
    <x v="1"/>
    <x v="89"/>
    <n v="6972"/>
    <n v="3562"/>
    <n v="1188"/>
    <n v="315"/>
    <n v="17.039586919104991"/>
  </r>
  <r>
    <x v="1"/>
    <x v="90"/>
    <n v="7167"/>
    <n v="2762"/>
    <n v="937"/>
    <n v="242"/>
    <n v="13.07381052044091"/>
  </r>
  <r>
    <x v="1"/>
    <x v="91"/>
    <n v="5079"/>
    <n v="2423"/>
    <n v="741"/>
    <n v="203"/>
    <n v="14.589486119314826"/>
  </r>
  <r>
    <x v="1"/>
    <x v="92"/>
    <n v="1869"/>
    <n v="781"/>
    <n v="256"/>
    <n v="48"/>
    <n v="13.697164258962012"/>
  </r>
  <r>
    <x v="1"/>
    <x v="93"/>
    <n v="4998"/>
    <n v="3546"/>
    <n v="1032"/>
    <n v="182"/>
    <n v="20.648259303721488"/>
  </r>
  <r>
    <x v="1"/>
    <x v="94"/>
    <n v="2148"/>
    <n v="1707"/>
    <n v="632"/>
    <n v="119"/>
    <n v="29.422718808193668"/>
  </r>
  <r>
    <x v="1"/>
    <x v="95"/>
    <n v="1863"/>
    <n v="1384"/>
    <n v="452"/>
    <n v="131"/>
    <n v="24.261943102522814"/>
  </r>
  <r>
    <x v="1"/>
    <x v="96"/>
    <n v="2832"/>
    <n v="1665"/>
    <n v="473"/>
    <n v="113"/>
    <n v="16.701977401129945"/>
  </r>
  <r>
    <x v="1"/>
    <x v="97"/>
    <n v="5701"/>
    <n v="2890"/>
    <n v="719"/>
    <n v="148"/>
    <n v="12.611822487282932"/>
  </r>
  <r>
    <x v="1"/>
    <x v="98"/>
    <n v="1790"/>
    <n v="674"/>
    <n v="205"/>
    <n v="72"/>
    <n v="11.452513966480447"/>
  </r>
  <r>
    <x v="1"/>
    <x v="99"/>
    <n v="623"/>
    <n v="194"/>
    <n v="42"/>
    <n v="11"/>
    <n v="6.7415730337078648"/>
  </r>
  <r>
    <x v="1"/>
    <x v="100"/>
    <n v="4901"/>
    <n v="830"/>
    <n v="244"/>
    <n v="76"/>
    <n v="4.9785758008569676"/>
  </r>
  <r>
    <x v="1"/>
    <x v="101"/>
    <n v="5374"/>
    <n v="1572"/>
    <n v="348"/>
    <n v="65"/>
    <n v="6.4756233717901006"/>
  </r>
  <r>
    <x v="1"/>
    <x v="102"/>
    <n v="834"/>
    <n v="188"/>
    <n v="14"/>
    <n v="4"/>
    <n v="1.6786570743405276"/>
  </r>
  <r>
    <x v="1"/>
    <x v="103"/>
    <n v="1455"/>
    <n v="308"/>
    <n v="40"/>
    <n v="6"/>
    <n v="2.7491408934707904"/>
  </r>
  <r>
    <x v="1"/>
    <x v="104"/>
    <n v="1903"/>
    <n v="1324"/>
    <n v="248"/>
    <n v="46"/>
    <n v="13.03205465055176"/>
  </r>
  <r>
    <x v="1"/>
    <x v="105"/>
    <n v="316"/>
    <n v="238"/>
    <n v="79"/>
    <n v="16"/>
    <n v="25"/>
  </r>
  <r>
    <x v="1"/>
    <x v="106"/>
    <n v="4801"/>
    <n v="2284"/>
    <n v="850"/>
    <n v="189"/>
    <n v="17.704644865652988"/>
  </r>
  <r>
    <x v="1"/>
    <x v="107"/>
    <n v="1755"/>
    <n v="915"/>
    <n v="326"/>
    <n v="72"/>
    <n v="18.575498575498575"/>
  </r>
  <r>
    <x v="1"/>
    <x v="108"/>
    <n v="466"/>
    <n v="300"/>
    <n v="95"/>
    <n v="10"/>
    <n v="20.386266094420602"/>
  </r>
  <r>
    <x v="1"/>
    <x v="109"/>
    <n v="156"/>
    <n v="147"/>
    <n v="65"/>
    <n v="13"/>
    <n v="41.666666666666664"/>
  </r>
  <r>
    <x v="1"/>
    <x v="110"/>
    <n v="1085"/>
    <n v="255"/>
    <n v="0"/>
    <n v="0"/>
    <n v="0"/>
  </r>
  <r>
    <x v="1"/>
    <x v="111"/>
    <n v="300"/>
    <n v="279"/>
    <n v="92"/>
    <n v="26"/>
    <n v="30.666666666666668"/>
  </r>
  <r>
    <x v="1"/>
    <x v="112"/>
    <n v="1272"/>
    <n v="905"/>
    <n v="273"/>
    <n v="19"/>
    <n v="21.462264150943398"/>
  </r>
  <r>
    <x v="1"/>
    <x v="113"/>
    <n v="195"/>
    <n v="113"/>
    <n v="29"/>
    <n v="6"/>
    <n v="14.871794871794872"/>
  </r>
  <r>
    <x v="1"/>
    <x v="114"/>
    <n v="11182"/>
    <n v="4096"/>
    <n v="1666"/>
    <n v="581"/>
    <n v="14.898944732605974"/>
  </r>
  <r>
    <x v="1"/>
    <x v="115"/>
    <n v="1918"/>
    <n v="626"/>
    <n v="154"/>
    <n v="46"/>
    <n v="8.0291970802919703"/>
  </r>
  <r>
    <x v="2"/>
    <x v="116"/>
    <n v="207056"/>
    <n v="28589"/>
    <n v="9655"/>
    <n v="2578"/>
    <n v="4.6629897225871266"/>
  </r>
  <r>
    <x v="2"/>
    <x v="117"/>
    <n v="4196"/>
    <n v="756"/>
    <n v="274"/>
    <n v="46"/>
    <n v="6.5300285986653952"/>
  </r>
  <r>
    <x v="2"/>
    <x v="118"/>
    <n v="726"/>
    <n v="164"/>
    <n v="45"/>
    <n v="4"/>
    <n v="6.1983471074380168"/>
  </r>
  <r>
    <x v="2"/>
    <x v="119"/>
    <n v="2313"/>
    <n v="373"/>
    <n v="83"/>
    <n v="2"/>
    <n v="3.5884133160397753"/>
  </r>
  <r>
    <x v="2"/>
    <x v="120"/>
    <n v="3112"/>
    <n v="972"/>
    <n v="279"/>
    <n v="60"/>
    <n v="8.9652956298200515"/>
  </r>
  <r>
    <x v="2"/>
    <x v="121"/>
    <n v="1569"/>
    <n v="639"/>
    <n v="232"/>
    <n v="63"/>
    <n v="14.786488209050351"/>
  </r>
  <r>
    <x v="2"/>
    <x v="122"/>
    <n v="1108"/>
    <n v="465"/>
    <n v="154"/>
    <n v="27"/>
    <n v="13.898916967509026"/>
  </r>
  <r>
    <x v="2"/>
    <x v="123"/>
    <n v="2561"/>
    <n v="670"/>
    <n v="298"/>
    <n v="78"/>
    <n v="11.636079656384226"/>
  </r>
  <r>
    <x v="2"/>
    <x v="124"/>
    <n v="925"/>
    <n v="396"/>
    <n v="185"/>
    <n v="39"/>
    <n v="20"/>
  </r>
  <r>
    <x v="2"/>
    <x v="125"/>
    <n v="4972"/>
    <n v="1700"/>
    <n v="803"/>
    <n v="227"/>
    <n v="16.150442477876105"/>
  </r>
  <r>
    <x v="2"/>
    <x v="126"/>
    <n v="1170"/>
    <n v="518"/>
    <n v="176"/>
    <n v="42"/>
    <n v="15.042735042735043"/>
  </r>
  <r>
    <x v="2"/>
    <x v="127"/>
    <n v="4767"/>
    <n v="1396"/>
    <n v="706"/>
    <n v="162"/>
    <n v="14.810153136144326"/>
  </r>
  <r>
    <x v="2"/>
    <x v="128"/>
    <n v="1349"/>
    <n v="483"/>
    <n v="226"/>
    <n v="55"/>
    <n v="16.7531504818384"/>
  </r>
  <r>
    <x v="2"/>
    <x v="129"/>
    <n v="981"/>
    <n v="400"/>
    <n v="144"/>
    <n v="33"/>
    <n v="14.678899082568808"/>
  </r>
  <r>
    <x v="2"/>
    <x v="130"/>
    <n v="1114"/>
    <n v="479"/>
    <n v="199"/>
    <n v="40"/>
    <n v="17.863554757630162"/>
  </r>
  <r>
    <x v="2"/>
    <x v="131"/>
    <n v="5818"/>
    <n v="916"/>
    <n v="297"/>
    <n v="56"/>
    <n v="5.1048470264695771"/>
  </r>
  <r>
    <x v="2"/>
    <x v="132"/>
    <n v="2273"/>
    <n v="739"/>
    <n v="360"/>
    <n v="121"/>
    <n v="15.838099428068631"/>
  </r>
  <r>
    <x v="2"/>
    <x v="133"/>
    <n v="1138"/>
    <n v="244"/>
    <n v="60"/>
    <n v="17"/>
    <n v="5.272407732864675"/>
  </r>
  <r>
    <x v="2"/>
    <x v="134"/>
    <n v="6665"/>
    <n v="1470"/>
    <n v="717"/>
    <n v="206"/>
    <n v="10.75768942235559"/>
  </r>
  <r>
    <x v="2"/>
    <x v="135"/>
    <n v="1728"/>
    <n v="480"/>
    <n v="211"/>
    <n v="51"/>
    <n v="12.210648148148149"/>
  </r>
  <r>
    <x v="2"/>
    <x v="136"/>
    <n v="1936"/>
    <n v="517"/>
    <n v="240"/>
    <n v="84"/>
    <n v="12.396694214876034"/>
  </r>
  <r>
    <x v="2"/>
    <x v="137"/>
    <n v="39097"/>
    <n v="4355"/>
    <n v="1521"/>
    <n v="426"/>
    <n v="3.8903240657850988"/>
  </r>
  <r>
    <x v="2"/>
    <x v="138"/>
    <n v="14326"/>
    <n v="1947"/>
    <n v="627"/>
    <n v="150"/>
    <n v="4.3766578249336874"/>
  </r>
  <r>
    <x v="2"/>
    <x v="139"/>
    <n v="15449"/>
    <n v="2035"/>
    <n v="613"/>
    <n v="156"/>
    <n v="3.9678943620946341"/>
  </r>
  <r>
    <x v="2"/>
    <x v="140"/>
    <n v="14540"/>
    <n v="2233"/>
    <n v="861"/>
    <n v="255"/>
    <n v="5.9215955983493807"/>
  </r>
  <r>
    <x v="2"/>
    <x v="141"/>
    <n v="15360"/>
    <n v="1613"/>
    <n v="466"/>
    <n v="121"/>
    <n v="3.0338541666666665"/>
  </r>
  <r>
    <x v="2"/>
    <x v="142"/>
    <n v="50068"/>
    <n v="7914"/>
    <n v="2865"/>
    <n v="754"/>
    <n v="5.7222177838140134"/>
  </r>
  <r>
    <x v="2"/>
    <x v="143"/>
    <n v="5192"/>
    <n v="1230"/>
    <n v="459"/>
    <n v="147"/>
    <n v="8.8405238828967647"/>
  </r>
  <r>
    <x v="2"/>
    <x v="144"/>
    <n v="17301"/>
    <n v="3693"/>
    <n v="1222"/>
    <n v="293"/>
    <n v="7.0631755389861857"/>
  </r>
  <r>
    <x v="2"/>
    <x v="145"/>
    <n v="2036"/>
    <n v="818"/>
    <n v="322"/>
    <n v="70"/>
    <n v="15.81532416502947"/>
  </r>
  <r>
    <x v="2"/>
    <x v="146"/>
    <n v="3378"/>
    <n v="812"/>
    <n v="215"/>
    <n v="41"/>
    <n v="6.3647128478389581"/>
  </r>
  <r>
    <x v="2"/>
    <x v="147"/>
    <n v="1781"/>
    <n v="470"/>
    <n v="174"/>
    <n v="44"/>
    <n v="9.7697922515440769"/>
  </r>
  <r>
    <x v="2"/>
    <x v="148"/>
    <n v="2518"/>
    <n v="709"/>
    <n v="275"/>
    <n v="54"/>
    <n v="10.921366163621922"/>
  </r>
  <r>
    <x v="2"/>
    <x v="149"/>
    <n v="4837"/>
    <n v="875"/>
    <n v="271"/>
    <n v="51"/>
    <n v="5.6026462683481499"/>
  </r>
  <r>
    <x v="2"/>
    <x v="150"/>
    <n v="11142"/>
    <n v="2248"/>
    <n v="707"/>
    <n v="229"/>
    <n v="6.3453598994794476"/>
  </r>
  <r>
    <x v="2"/>
    <x v="151"/>
    <n v="6932"/>
    <n v="1015"/>
    <n v="271"/>
    <n v="81"/>
    <n v="3.9094056549336411"/>
  </r>
  <r>
    <x v="2"/>
    <x v="152"/>
    <n v="5163"/>
    <n v="1104"/>
    <n v="355"/>
    <n v="73"/>
    <n v="6.8758473755568472"/>
  </r>
  <r>
    <x v="2"/>
    <x v="153"/>
    <n v="473"/>
    <n v="180"/>
    <n v="51"/>
    <n v="6"/>
    <n v="10.782241014799155"/>
  </r>
  <r>
    <x v="2"/>
    <x v="154"/>
    <n v="297"/>
    <n v="121"/>
    <n v="38"/>
    <n v="9"/>
    <n v="12.794612794612794"/>
  </r>
  <r>
    <x v="2"/>
    <x v="155"/>
    <n v="9916"/>
    <n v="1836"/>
    <n v="777"/>
    <n v="191"/>
    <n v="7.8358208955223878"/>
  </r>
  <r>
    <x v="2"/>
    <x v="156"/>
    <n v="3091"/>
    <n v="1128"/>
    <n v="597"/>
    <n v="193"/>
    <n v="19.314137819475899"/>
  </r>
  <r>
    <x v="2"/>
    <x v="157"/>
    <n v="4575"/>
    <n v="1014"/>
    <n v="491"/>
    <n v="149"/>
    <n v="10.73224043715847"/>
  </r>
  <r>
    <x v="2"/>
    <x v="158"/>
    <n v="293"/>
    <n v="108"/>
    <n v="57"/>
    <n v="17"/>
    <n v="19.453924914675767"/>
  </r>
  <r>
    <x v="2"/>
    <x v="159"/>
    <n v="895"/>
    <n v="365"/>
    <n v="153"/>
    <n v="24"/>
    <n v="17.094972067039105"/>
  </r>
  <r>
    <x v="2"/>
    <x v="160"/>
    <n v="5476"/>
    <n v="1327"/>
    <n v="576"/>
    <n v="130"/>
    <n v="10.51862673484295"/>
  </r>
  <r>
    <x v="2"/>
    <x v="161"/>
    <n v="4850"/>
    <n v="682"/>
    <n v="220"/>
    <n v="37"/>
    <n v="4.536082474226804"/>
  </r>
  <r>
    <x v="3"/>
    <x v="162"/>
    <n v="87056"/>
    <n v="15238"/>
    <n v="4670"/>
    <n v="1167"/>
    <n v="5.3643631685351956"/>
  </r>
  <r>
    <x v="3"/>
    <x v="163"/>
    <n v="4560"/>
    <n v="1500"/>
    <n v="238"/>
    <n v="26"/>
    <n v="5.2192982456140351"/>
  </r>
  <r>
    <x v="3"/>
    <x v="164"/>
    <n v="83"/>
    <n v="58"/>
    <n v="23"/>
    <n v="6"/>
    <n v="27.710843373493976"/>
  </r>
  <r>
    <x v="3"/>
    <x v="165"/>
    <n v="10875"/>
    <n v="2717"/>
    <n v="154"/>
    <n v="9"/>
    <n v="1.4160919540229886"/>
  </r>
  <r>
    <x v="3"/>
    <x v="166"/>
    <n v="7296"/>
    <n v="3041"/>
    <n v="1174"/>
    <n v="75"/>
    <n v="16.091008771929825"/>
  </r>
  <r>
    <x v="3"/>
    <x v="167"/>
    <n v="685"/>
    <n v="78"/>
    <n v="12"/>
    <n v="3"/>
    <n v="1.7518248175182483"/>
  </r>
  <r>
    <x v="3"/>
    <x v="168"/>
    <n v="1374"/>
    <n v="1061"/>
    <n v="325"/>
    <n v="30"/>
    <n v="23.653566229985444"/>
  </r>
  <r>
    <x v="3"/>
    <x v="169"/>
    <n v="227"/>
    <n v="204"/>
    <n v="67"/>
    <n v="6"/>
    <n v="29.515418502202643"/>
  </r>
  <r>
    <x v="3"/>
    <x v="170"/>
    <n v="873"/>
    <n v="257"/>
    <n v="76"/>
    <n v="20"/>
    <n v="8.7056128293241688"/>
  </r>
  <r>
    <x v="3"/>
    <x v="171"/>
    <n v="442"/>
    <n v="333"/>
    <n v="129"/>
    <n v="19"/>
    <n v="29.18552036199095"/>
  </r>
  <r>
    <x v="3"/>
    <x v="172"/>
    <n v="561"/>
    <n v="352"/>
    <n v="124"/>
    <n v="15"/>
    <n v="22.103386809269161"/>
  </r>
  <r>
    <x v="3"/>
    <x v="173"/>
    <n v="28"/>
    <n v="28"/>
    <n v="14"/>
    <n v="0"/>
    <n v="50"/>
  </r>
  <r>
    <x v="3"/>
    <x v="174"/>
    <n v="63"/>
    <n v="54"/>
    <n v="16"/>
    <n v="1"/>
    <n v="25.396825396825395"/>
  </r>
  <r>
    <x v="3"/>
    <x v="175"/>
    <n v="58"/>
    <n v="33"/>
    <n v="1"/>
    <n v="0"/>
    <n v="1.7241379310344827"/>
  </r>
  <r>
    <x v="3"/>
    <x v="176"/>
    <n v="61"/>
    <n v="50"/>
    <n v="25"/>
    <n v="2"/>
    <n v="40.983606557377051"/>
  </r>
  <r>
    <x v="3"/>
    <x v="177"/>
    <n v="171"/>
    <n v="129"/>
    <n v="45"/>
    <n v="16"/>
    <n v="26.315789473684209"/>
  </r>
  <r>
    <x v="3"/>
    <x v="178"/>
    <n v="1175"/>
    <n v="608"/>
    <n v="67"/>
    <n v="0"/>
    <n v="5.7021276595744679"/>
  </r>
  <r>
    <x v="3"/>
    <x v="179"/>
    <n v="6"/>
    <n v="5"/>
    <n v="1"/>
    <n v="0"/>
    <n v="16.666666666666668"/>
  </r>
  <r>
    <x v="3"/>
    <x v="180"/>
    <n v="5439"/>
    <n v="1177"/>
    <n v="479"/>
    <n v="67"/>
    <n v="8.8067659496230917"/>
  </r>
  <r>
    <x v="3"/>
    <x v="181"/>
    <n v="965"/>
    <n v="261"/>
    <n v="93"/>
    <n v="24"/>
    <n v="9.6373056994818658"/>
  </r>
  <r>
    <x v="3"/>
    <x v="182"/>
    <n v="3383"/>
    <n v="2888"/>
    <n v="1174"/>
    <n v="121"/>
    <n v="34.702926396689328"/>
  </r>
  <r>
    <x v="3"/>
    <x v="183"/>
    <n v="179"/>
    <n v="147"/>
    <n v="60"/>
    <n v="4"/>
    <n v="33.519553072625698"/>
  </r>
  <r>
    <x v="3"/>
    <x v="184"/>
    <n v="762"/>
    <n v="449"/>
    <n v="175"/>
    <n v="19"/>
    <n v="22.965879265091864"/>
  </r>
  <r>
    <x v="3"/>
    <x v="185"/>
    <n v="132"/>
    <n v="59"/>
    <n v="19"/>
    <n v="1"/>
    <n v="14.393939393939394"/>
  </r>
  <r>
    <x v="3"/>
    <x v="186"/>
    <n v="339"/>
    <n v="194"/>
    <n v="61"/>
    <n v="12"/>
    <n v="17.994100294985252"/>
  </r>
  <r>
    <x v="3"/>
    <x v="187"/>
    <n v="793"/>
    <n v="411"/>
    <n v="79"/>
    <n v="15"/>
    <n v="9.9621689785624206"/>
  </r>
  <r>
    <x v="3"/>
    <x v="188"/>
    <n v="2272"/>
    <n v="326"/>
    <n v="0"/>
    <n v="0"/>
    <n v="0"/>
  </r>
  <r>
    <x v="3"/>
    <x v="189"/>
    <n v="1124"/>
    <n v="833"/>
    <n v="285"/>
    <n v="49"/>
    <n v="25.355871886120998"/>
  </r>
  <r>
    <x v="3"/>
    <x v="190"/>
    <n v="365"/>
    <n v="291"/>
    <n v="117"/>
    <n v="18"/>
    <n v="32.054794520547944"/>
  </r>
  <r>
    <x v="3"/>
    <x v="191"/>
    <n v="520"/>
    <n v="107"/>
    <n v="11"/>
    <n v="1"/>
    <n v="2.1153846153846154"/>
  </r>
  <r>
    <x v="3"/>
    <x v="192"/>
    <n v="1298"/>
    <n v="574"/>
    <n v="201"/>
    <n v="35"/>
    <n v="15.485362095531586"/>
  </r>
  <r>
    <x v="3"/>
    <x v="193"/>
    <n v="65"/>
    <n v="28"/>
    <n v="0"/>
    <n v="0"/>
    <n v="0"/>
  </r>
  <r>
    <x v="3"/>
    <x v="194"/>
    <n v="93"/>
    <n v="46"/>
    <n v="0"/>
    <n v="0"/>
    <n v="0"/>
  </r>
  <r>
    <x v="3"/>
    <x v="195"/>
    <n v="66"/>
    <n v="37"/>
    <n v="0"/>
    <n v="0"/>
    <n v="0"/>
  </r>
  <r>
    <x v="3"/>
    <x v="196"/>
    <n v="1031"/>
    <n v="315"/>
    <n v="40"/>
    <n v="10"/>
    <n v="3.8797284190106693"/>
  </r>
  <r>
    <x v="4"/>
    <x v="197"/>
    <n v="41716"/>
    <n v="7335"/>
    <n v="1630"/>
    <n v="429"/>
    <n v="3.907373669575223"/>
  </r>
  <r>
    <x v="4"/>
    <x v="198"/>
    <n v="3391"/>
    <n v="2028"/>
    <n v="745"/>
    <n v="153"/>
    <n v="21.969920377469773"/>
  </r>
  <r>
    <x v="4"/>
    <x v="199"/>
    <n v="1481"/>
    <n v="700"/>
    <n v="314"/>
    <n v="149"/>
    <n v="21.201890614449695"/>
  </r>
  <r>
    <x v="4"/>
    <x v="200"/>
    <n v="286"/>
    <n v="172"/>
    <n v="98"/>
    <n v="57"/>
    <n v="34.265734265734267"/>
  </r>
  <r>
    <x v="4"/>
    <x v="201"/>
    <n v="4189"/>
    <n v="150"/>
    <n v="0"/>
    <n v="0"/>
    <n v="0"/>
  </r>
  <r>
    <x v="4"/>
    <x v="202"/>
    <n v="1252"/>
    <n v="818"/>
    <n v="331"/>
    <n v="28"/>
    <n v="26.437699680511184"/>
  </r>
  <r>
    <x v="4"/>
    <x v="203"/>
    <n v="7796"/>
    <n v="1934"/>
    <n v="270"/>
    <n v="18"/>
    <n v="3.4633145202668034"/>
  </r>
  <r>
    <x v="4"/>
    <x v="204"/>
    <n v="6248"/>
    <n v="2173"/>
    <n v="846"/>
    <n v="405"/>
    <n v="13.540332906530089"/>
  </r>
  <r>
    <x v="4"/>
    <x v="205"/>
    <n v="2280"/>
    <n v="1145"/>
    <n v="270"/>
    <n v="60"/>
    <n v="11.842105263157896"/>
  </r>
  <r>
    <x v="4"/>
    <x v="206"/>
    <n v="740"/>
    <n v="229"/>
    <n v="20"/>
    <n v="4"/>
    <n v="2.7027027027027026"/>
  </r>
  <r>
    <x v="4"/>
    <x v="207"/>
    <n v="5044"/>
    <n v="2536"/>
    <n v="537"/>
    <n v="154"/>
    <n v="10.646312450436161"/>
  </r>
  <r>
    <x v="4"/>
    <x v="208"/>
    <n v="2961"/>
    <n v="1866"/>
    <n v="359"/>
    <n v="13"/>
    <n v="12.124282337048294"/>
  </r>
  <r>
    <x v="4"/>
    <x v="209"/>
    <n v="4277"/>
    <n v="2433"/>
    <n v="786"/>
    <n v="226"/>
    <n v="18.377367313537526"/>
  </r>
  <r>
    <x v="4"/>
    <x v="210"/>
    <n v="1596"/>
    <n v="909"/>
    <n v="296"/>
    <n v="39"/>
    <n v="18.546365914786968"/>
  </r>
  <r>
    <x v="4"/>
    <x v="211"/>
    <n v="1574"/>
    <n v="964"/>
    <n v="306"/>
    <n v="21"/>
    <n v="19.440914866581956"/>
  </r>
  <r>
    <x v="4"/>
    <x v="212"/>
    <n v="1396"/>
    <n v="864"/>
    <n v="426"/>
    <n v="128"/>
    <n v="30.515759312320917"/>
  </r>
  <r>
    <x v="4"/>
    <x v="213"/>
    <n v="5312"/>
    <n v="2534"/>
    <n v="1005"/>
    <n v="387"/>
    <n v="18.919427710843372"/>
  </r>
  <r>
    <x v="4"/>
    <x v="214"/>
    <n v="2271"/>
    <n v="1179"/>
    <n v="457"/>
    <n v="91"/>
    <n v="20.123293703214443"/>
  </r>
  <r>
    <x v="4"/>
    <x v="215"/>
    <n v="2804"/>
    <n v="1649"/>
    <n v="448"/>
    <n v="23"/>
    <n v="15.977175463623395"/>
  </r>
  <r>
    <x v="4"/>
    <x v="216"/>
    <n v="1269"/>
    <n v="776"/>
    <n v="131"/>
    <n v="16"/>
    <n v="10.323089046493301"/>
  </r>
  <r>
    <x v="4"/>
    <x v="217"/>
    <n v="12288"/>
    <n v="3882"/>
    <n v="1451"/>
    <n v="403"/>
    <n v="11.808268229166666"/>
  </r>
  <r>
    <x v="4"/>
    <x v="218"/>
    <n v="3047"/>
    <n v="776"/>
    <n v="152"/>
    <n v="33"/>
    <n v="4.9885132917623896"/>
  </r>
  <r>
    <x v="4"/>
    <x v="219"/>
    <n v="1210"/>
    <n v="769"/>
    <n v="265"/>
    <n v="62"/>
    <n v="21.900826446280991"/>
  </r>
  <r>
    <x v="4"/>
    <x v="220"/>
    <n v="524"/>
    <n v="298"/>
    <n v="117"/>
    <n v="22"/>
    <n v="22.328244274809162"/>
  </r>
  <r>
    <x v="4"/>
    <x v="221"/>
    <n v="552"/>
    <n v="264"/>
    <n v="90"/>
    <n v="30"/>
    <n v="16.304347826086957"/>
  </r>
  <r>
    <x v="4"/>
    <x v="222"/>
    <n v="147"/>
    <n v="60"/>
    <n v="14"/>
    <n v="7"/>
    <n v="9.5238095238095237"/>
  </r>
  <r>
    <x v="4"/>
    <x v="223"/>
    <n v="5322"/>
    <n v="2200"/>
    <n v="499"/>
    <n v="137"/>
    <n v="9.3761743705373917"/>
  </r>
  <r>
    <x v="4"/>
    <x v="224"/>
    <n v="2787"/>
    <n v="1417"/>
    <n v="388"/>
    <n v="73"/>
    <n v="13.92177969142447"/>
  </r>
  <r>
    <x v="4"/>
    <x v="225"/>
    <n v="992"/>
    <n v="647"/>
    <n v="266"/>
    <n v="43"/>
    <n v="26.81451612903226"/>
  </r>
  <r>
    <x v="4"/>
    <x v="226"/>
    <n v="8293"/>
    <n v="2031"/>
    <n v="658"/>
    <n v="125"/>
    <n v="7.934402508139395"/>
  </r>
  <r>
    <x v="4"/>
    <x v="227"/>
    <n v="2131"/>
    <n v="1161"/>
    <n v="284"/>
    <n v="55"/>
    <n v="13.327076489910841"/>
  </r>
  <r>
    <x v="4"/>
    <x v="228"/>
    <n v="1872"/>
    <n v="496"/>
    <n v="90"/>
    <n v="4"/>
    <n v="4.8076923076923075"/>
  </r>
  <r>
    <x v="4"/>
    <x v="229"/>
    <n v="628"/>
    <n v="412"/>
    <n v="133"/>
    <n v="19"/>
    <n v="21.178343949044585"/>
  </r>
  <r>
    <x v="4"/>
    <x v="230"/>
    <n v="1090"/>
    <n v="608"/>
    <n v="209"/>
    <n v="29"/>
    <n v="19.174311926605505"/>
  </r>
  <r>
    <x v="4"/>
    <x v="231"/>
    <n v="1195"/>
    <n v="775"/>
    <n v="305"/>
    <n v="62"/>
    <n v="25.523012552301257"/>
  </r>
  <r>
    <x v="4"/>
    <x v="232"/>
    <n v="425"/>
    <n v="322"/>
    <n v="173"/>
    <n v="39"/>
    <n v="40.705882352941174"/>
  </r>
  <r>
    <x v="4"/>
    <x v="233"/>
    <n v="8841"/>
    <n v="1265"/>
    <n v="392"/>
    <n v="49"/>
    <n v="4.4338875692794932"/>
  </r>
  <r>
    <x v="4"/>
    <x v="234"/>
    <n v="225"/>
    <n v="102"/>
    <n v="28"/>
    <n v="6"/>
    <n v="12.444444444444445"/>
  </r>
  <r>
    <x v="5"/>
    <x v="235"/>
    <n v="50743"/>
    <n v="9380"/>
    <n v="2196"/>
    <n v="685"/>
    <n v="4.3276905188893053"/>
  </r>
  <r>
    <x v="5"/>
    <x v="236"/>
    <n v="4161"/>
    <n v="1589"/>
    <n v="499"/>
    <n v="79"/>
    <n v="11.992309540975727"/>
  </r>
  <r>
    <x v="5"/>
    <x v="237"/>
    <n v="9029"/>
    <n v="1327"/>
    <n v="286"/>
    <n v="40"/>
    <n v="3.1675711595968545"/>
  </r>
  <r>
    <x v="5"/>
    <x v="238"/>
    <n v="19947"/>
    <n v="2431"/>
    <n v="582"/>
    <n v="71"/>
    <n v="2.9177319897728982"/>
  </r>
  <r>
    <x v="5"/>
    <x v="239"/>
    <n v="3549"/>
    <n v="760"/>
    <n v="216"/>
    <n v="41"/>
    <n v="6.0862214708368558"/>
  </r>
  <r>
    <x v="5"/>
    <x v="240"/>
    <n v="11124"/>
    <n v="2388"/>
    <n v="419"/>
    <n v="29"/>
    <n v="3.7666307083782811"/>
  </r>
  <r>
    <x v="5"/>
    <x v="241"/>
    <n v="3384"/>
    <n v="1239"/>
    <n v="293"/>
    <n v="68"/>
    <n v="8.6583924349881798"/>
  </r>
  <r>
    <x v="5"/>
    <x v="242"/>
    <n v="1082"/>
    <n v="526"/>
    <n v="51"/>
    <n v="0"/>
    <n v="4.7134935304990755"/>
  </r>
  <r>
    <x v="5"/>
    <x v="243"/>
    <n v="6056"/>
    <n v="2929"/>
    <n v="741"/>
    <n v="171"/>
    <n v="12.235799207397623"/>
  </r>
  <r>
    <x v="5"/>
    <x v="244"/>
    <n v="2615"/>
    <n v="1023"/>
    <n v="218"/>
    <n v="10"/>
    <n v="8.3365200764818361"/>
  </r>
  <r>
    <x v="5"/>
    <x v="245"/>
    <n v="4740"/>
    <n v="2090"/>
    <n v="385"/>
    <n v="17"/>
    <n v="8.1223628691983123"/>
  </r>
  <r>
    <x v="6"/>
    <x v="246"/>
    <n v="323773"/>
    <n v="31194"/>
    <n v="11653"/>
    <n v="4882"/>
    <n v="3.5991265485386368"/>
  </r>
  <r>
    <x v="6"/>
    <x v="247"/>
    <n v="11871"/>
    <n v="1967"/>
    <n v="913"/>
    <n v="455"/>
    <n v="7.691011709207312"/>
  </r>
  <r>
    <x v="6"/>
    <x v="248"/>
    <n v="3941"/>
    <n v="632"/>
    <n v="283"/>
    <n v="143"/>
    <n v="7.1809185485917277"/>
  </r>
  <r>
    <x v="6"/>
    <x v="249"/>
    <n v="24579"/>
    <n v="2838"/>
    <n v="1003"/>
    <n v="380"/>
    <n v="4.0807193132348756"/>
  </r>
  <r>
    <x v="6"/>
    <x v="250"/>
    <n v="10827"/>
    <n v="1129"/>
    <n v="434"/>
    <n v="181"/>
    <n v="4.0084972753301926"/>
  </r>
  <r>
    <x v="6"/>
    <x v="251"/>
    <n v="27862"/>
    <n v="3933"/>
    <n v="1481"/>
    <n v="517"/>
    <n v="5.3154834541669658"/>
  </r>
  <r>
    <x v="6"/>
    <x v="252"/>
    <n v="1884"/>
    <n v="209"/>
    <n v="88"/>
    <n v="42"/>
    <n v="4.6709129511677281"/>
  </r>
  <r>
    <x v="6"/>
    <x v="253"/>
    <n v="7157"/>
    <n v="700"/>
    <n v="233"/>
    <n v="45"/>
    <n v="3.2555540030739136"/>
  </r>
  <r>
    <x v="6"/>
    <x v="254"/>
    <n v="1756"/>
    <n v="211"/>
    <n v="78"/>
    <n v="10"/>
    <n v="4.4419134396355355"/>
  </r>
  <r>
    <x v="6"/>
    <x v="255"/>
    <n v="593"/>
    <n v="84"/>
    <n v="35"/>
    <n v="4"/>
    <n v="5.9021922428330527"/>
  </r>
  <r>
    <x v="6"/>
    <x v="256"/>
    <n v="2897"/>
    <n v="434"/>
    <n v="185"/>
    <n v="72"/>
    <n v="6.3859164653089406"/>
  </r>
  <r>
    <x v="6"/>
    <x v="257"/>
    <n v="3656"/>
    <n v="449"/>
    <n v="186"/>
    <n v="69"/>
    <n v="5.0875273522975926"/>
  </r>
  <r>
    <x v="6"/>
    <x v="258"/>
    <n v="9264"/>
    <n v="1082"/>
    <n v="416"/>
    <n v="151"/>
    <n v="4.490500863557858"/>
  </r>
  <r>
    <x v="6"/>
    <x v="259"/>
    <n v="1278"/>
    <n v="166"/>
    <n v="61"/>
    <n v="16"/>
    <n v="4.7730829420970267"/>
  </r>
  <r>
    <x v="6"/>
    <x v="260"/>
    <n v="3190"/>
    <n v="398"/>
    <n v="123"/>
    <n v="29"/>
    <n v="3.8557993730407523"/>
  </r>
  <r>
    <x v="6"/>
    <x v="261"/>
    <n v="4161"/>
    <n v="604"/>
    <n v="264"/>
    <n v="128"/>
    <n v="6.344628695025234"/>
  </r>
  <r>
    <x v="6"/>
    <x v="262"/>
    <n v="3384"/>
    <n v="455"/>
    <n v="153"/>
    <n v="38"/>
    <n v="4.5212765957446805"/>
  </r>
  <r>
    <x v="6"/>
    <x v="263"/>
    <n v="3790"/>
    <n v="312"/>
    <n v="100"/>
    <n v="43"/>
    <n v="2.6385224274406331"/>
  </r>
  <r>
    <x v="6"/>
    <x v="264"/>
    <n v="2823"/>
    <n v="483"/>
    <n v="190"/>
    <n v="58"/>
    <n v="6.7304286220332976"/>
  </r>
  <r>
    <x v="6"/>
    <x v="265"/>
    <n v="960"/>
    <n v="96"/>
    <n v="46"/>
    <n v="17"/>
    <n v="4.791666666666667"/>
  </r>
  <r>
    <x v="6"/>
    <x v="266"/>
    <n v="769"/>
    <n v="97"/>
    <n v="25"/>
    <n v="4"/>
    <n v="3.2509752925877762"/>
  </r>
  <r>
    <x v="6"/>
    <x v="267"/>
    <n v="2273"/>
    <n v="334"/>
    <n v="120"/>
    <n v="24"/>
    <n v="5.2793664760228776"/>
  </r>
  <r>
    <x v="6"/>
    <x v="268"/>
    <n v="3123"/>
    <n v="520"/>
    <n v="221"/>
    <n v="115"/>
    <n v="7.0765289785462695"/>
  </r>
  <r>
    <x v="6"/>
    <x v="269"/>
    <n v="655"/>
    <n v="96"/>
    <n v="34"/>
    <n v="8"/>
    <n v="5.1908396946564883"/>
  </r>
  <r>
    <x v="6"/>
    <x v="270"/>
    <n v="1414"/>
    <n v="209"/>
    <n v="49"/>
    <n v="5"/>
    <n v="3.4653465346534653"/>
  </r>
  <r>
    <x v="6"/>
    <x v="271"/>
    <n v="7491"/>
    <n v="658"/>
    <n v="215"/>
    <n v="47"/>
    <n v="2.8701107996262181"/>
  </r>
  <r>
    <x v="6"/>
    <x v="272"/>
    <n v="806"/>
    <n v="99"/>
    <n v="30"/>
    <n v="3"/>
    <n v="3.7220843672456576"/>
  </r>
  <r>
    <x v="6"/>
    <x v="273"/>
    <n v="4444"/>
    <n v="816"/>
    <n v="302"/>
    <n v="60"/>
    <n v="6.7956795679567961"/>
  </r>
  <r>
    <x v="6"/>
    <x v="274"/>
    <n v="520"/>
    <n v="93"/>
    <n v="31"/>
    <n v="4"/>
    <n v="5.9615384615384617"/>
  </r>
  <r>
    <x v="6"/>
    <x v="275"/>
    <n v="646"/>
    <n v="142"/>
    <n v="38"/>
    <n v="5"/>
    <n v="5.882352941176471"/>
  </r>
  <r>
    <x v="6"/>
    <x v="276"/>
    <n v="356"/>
    <n v="107"/>
    <n v="42"/>
    <n v="9"/>
    <n v="11.797752808988765"/>
  </r>
  <r>
    <x v="6"/>
    <x v="277"/>
    <n v="2784"/>
    <n v="531"/>
    <n v="198"/>
    <n v="36"/>
    <n v="7.1120689655172411"/>
  </r>
  <r>
    <x v="6"/>
    <x v="278"/>
    <n v="2301"/>
    <n v="463"/>
    <n v="157"/>
    <n v="38"/>
    <n v="6.8231203824424167"/>
  </r>
  <r>
    <x v="6"/>
    <x v="279"/>
    <n v="2567"/>
    <n v="356"/>
    <n v="134"/>
    <n v="37"/>
    <n v="5.2201012855473312"/>
  </r>
  <r>
    <x v="6"/>
    <x v="280"/>
    <n v="406"/>
    <n v="97"/>
    <n v="43"/>
    <n v="6"/>
    <n v="10.591133004926109"/>
  </r>
  <r>
    <x v="6"/>
    <x v="281"/>
    <n v="24148"/>
    <n v="2282"/>
    <n v="756"/>
    <n v="164"/>
    <n v="3.1306940533377507"/>
  </r>
  <r>
    <x v="6"/>
    <x v="282"/>
    <n v="2630"/>
    <n v="345"/>
    <n v="153"/>
    <n v="50"/>
    <n v="5.8174904942965782"/>
  </r>
  <r>
    <x v="6"/>
    <x v="283"/>
    <n v="4205"/>
    <n v="415"/>
    <n v="158"/>
    <n v="61"/>
    <n v="3.7574316290130798"/>
  </r>
  <r>
    <x v="6"/>
    <x v="284"/>
    <n v="2426"/>
    <n v="289"/>
    <n v="123"/>
    <n v="48"/>
    <n v="5.0700741962077496"/>
  </r>
  <r>
    <x v="6"/>
    <x v="285"/>
    <n v="2820"/>
    <n v="366"/>
    <n v="145"/>
    <n v="61"/>
    <n v="5.1418439716312054"/>
  </r>
  <r>
    <x v="6"/>
    <x v="286"/>
    <n v="3077"/>
    <n v="437"/>
    <n v="163"/>
    <n v="22"/>
    <n v="5.2973675658108546"/>
  </r>
  <r>
    <x v="6"/>
    <x v="287"/>
    <n v="1509"/>
    <n v="173"/>
    <n v="58"/>
    <n v="7"/>
    <n v="3.8436050364479786"/>
  </r>
  <r>
    <x v="6"/>
    <x v="288"/>
    <n v="1216"/>
    <n v="173"/>
    <n v="46"/>
    <n v="2"/>
    <n v="3.7828947368421053"/>
  </r>
  <r>
    <x v="6"/>
    <x v="289"/>
    <n v="7591"/>
    <n v="1098"/>
    <n v="377"/>
    <n v="62"/>
    <n v="4.9664075879330785"/>
  </r>
  <r>
    <x v="6"/>
    <x v="290"/>
    <n v="934"/>
    <n v="94"/>
    <n v="27"/>
    <n v="12"/>
    <n v="2.8907922912205568"/>
  </r>
  <r>
    <x v="6"/>
    <x v="291"/>
    <n v="3828"/>
    <n v="504"/>
    <n v="202"/>
    <n v="86"/>
    <n v="5.2769070010449317"/>
  </r>
  <r>
    <x v="6"/>
    <x v="292"/>
    <n v="1776"/>
    <n v="0"/>
    <n v="0"/>
    <n v="0"/>
    <n v="0"/>
  </r>
  <r>
    <x v="6"/>
    <x v="293"/>
    <n v="3558"/>
    <n v="555"/>
    <n v="189"/>
    <n v="36"/>
    <n v="5.3119730185497467"/>
  </r>
  <r>
    <x v="6"/>
    <x v="294"/>
    <n v="1294"/>
    <n v="254"/>
    <n v="115"/>
    <n v="28"/>
    <n v="8.8871715610510051"/>
  </r>
  <r>
    <x v="6"/>
    <x v="295"/>
    <n v="4053"/>
    <n v="718"/>
    <n v="299"/>
    <n v="42"/>
    <n v="7.3772514187021958"/>
  </r>
  <r>
    <x v="6"/>
    <x v="296"/>
    <n v="3693"/>
    <n v="563"/>
    <n v="214"/>
    <n v="25"/>
    <n v="5.7947468183049011"/>
  </r>
  <r>
    <x v="6"/>
    <x v="297"/>
    <n v="826"/>
    <n v="108"/>
    <n v="33"/>
    <n v="7"/>
    <n v="3.9951573849878934"/>
  </r>
  <r>
    <x v="6"/>
    <x v="298"/>
    <n v="4341"/>
    <n v="618"/>
    <n v="182"/>
    <n v="35"/>
    <n v="4.1925823542962455"/>
  </r>
  <r>
    <x v="6"/>
    <x v="299"/>
    <n v="891"/>
    <n v="148"/>
    <n v="46"/>
    <n v="4"/>
    <n v="5.162738496071829"/>
  </r>
  <r>
    <x v="6"/>
    <x v="300"/>
    <n v="844"/>
    <n v="129"/>
    <n v="53"/>
    <n v="6"/>
    <n v="6.2796208530805684"/>
  </r>
  <r>
    <x v="7"/>
    <x v="301"/>
    <n v="35825"/>
    <n v="5155"/>
    <n v="458"/>
    <n v="37"/>
    <n v="1.2784368457780879"/>
  </r>
  <r>
    <x v="7"/>
    <x v="302"/>
    <n v="137"/>
    <n v="28"/>
    <n v="6"/>
    <n v="0"/>
    <n v="4.3795620437956204"/>
  </r>
  <r>
    <x v="7"/>
    <x v="303"/>
    <n v="18564"/>
    <n v="0"/>
    <n v="0"/>
    <n v="0"/>
    <n v="0"/>
  </r>
  <r>
    <x v="7"/>
    <x v="304"/>
    <n v="7307"/>
    <n v="0"/>
    <n v="0"/>
    <n v="0"/>
    <n v="0"/>
  </r>
  <r>
    <x v="7"/>
    <x v="305"/>
    <n v="3456"/>
    <n v="360"/>
    <n v="25"/>
    <n v="0"/>
    <n v="0.72337962962962965"/>
  </r>
  <r>
    <x v="7"/>
    <x v="306"/>
    <n v="13479"/>
    <n v="1599"/>
    <n v="202"/>
    <n v="0"/>
    <n v="1.4986274946212628"/>
  </r>
  <r>
    <x v="7"/>
    <x v="307"/>
    <n v="2097"/>
    <n v="247"/>
    <n v="3"/>
    <n v="0"/>
    <n v="0.14306151645207441"/>
  </r>
  <r>
    <x v="7"/>
    <x v="308"/>
    <n v="6733"/>
    <n v="710"/>
    <n v="75"/>
    <n v="0"/>
    <n v="1.113916530521313"/>
  </r>
  <r>
    <x v="7"/>
    <x v="309"/>
    <n v="7621"/>
    <n v="397"/>
    <n v="5"/>
    <n v="0"/>
    <n v="6.5608187901850148E-2"/>
  </r>
  <r>
    <x v="7"/>
    <x v="310"/>
    <n v="7183"/>
    <n v="637"/>
    <n v="39"/>
    <n v="0"/>
    <n v="0.54294862870666849"/>
  </r>
  <r>
    <x v="7"/>
    <x v="311"/>
    <n v="171"/>
    <n v="35"/>
    <n v="4"/>
    <n v="0"/>
    <n v="2.3391812865497075"/>
  </r>
  <r>
    <x v="7"/>
    <x v="312"/>
    <n v="1480"/>
    <n v="304"/>
    <n v="48"/>
    <n v="0"/>
    <n v="3.2432432432432434"/>
  </r>
  <r>
    <x v="7"/>
    <x v="313"/>
    <n v="1743"/>
    <n v="169"/>
    <n v="15"/>
    <n v="0"/>
    <n v="0.86058519793459554"/>
  </r>
  <r>
    <x v="7"/>
    <x v="314"/>
    <n v="1376"/>
    <n v="122"/>
    <n v="31"/>
    <n v="0"/>
    <n v="2.2529069767441858"/>
  </r>
  <r>
    <x v="7"/>
    <x v="315"/>
    <n v="3074"/>
    <n v="323"/>
    <n v="10"/>
    <n v="0"/>
    <n v="0.32530904359141183"/>
  </r>
  <r>
    <x v="7"/>
    <x v="316"/>
    <n v="502"/>
    <n v="59"/>
    <n v="0"/>
    <n v="0"/>
    <n v="0"/>
  </r>
  <r>
    <x v="7"/>
    <x v="317"/>
    <n v="413"/>
    <n v="52"/>
    <n v="0"/>
    <n v="0"/>
    <n v="0"/>
  </r>
  <r>
    <x v="8"/>
    <x v="318"/>
    <n v="11745"/>
    <n v="1758"/>
    <n v="238"/>
    <n v="10"/>
    <n v="2.0263942103022563"/>
  </r>
  <r>
    <x v="8"/>
    <x v="319"/>
    <n v="911"/>
    <n v="174"/>
    <n v="32"/>
    <n v="1"/>
    <n v="3.5126234906695939"/>
  </r>
  <r>
    <x v="8"/>
    <x v="320"/>
    <n v="202"/>
    <n v="43"/>
    <n v="1"/>
    <n v="0"/>
    <n v="0.49504950495049505"/>
  </r>
  <r>
    <x v="8"/>
    <x v="321"/>
    <n v="764"/>
    <n v="245"/>
    <n v="32"/>
    <n v="1"/>
    <n v="4.1884816753926701"/>
  </r>
  <r>
    <x v="8"/>
    <x v="322"/>
    <n v="102"/>
    <n v="38"/>
    <n v="3"/>
    <n v="0"/>
    <n v="2.9411764705882355"/>
  </r>
  <r>
    <x v="8"/>
    <x v="323"/>
    <n v="404"/>
    <n v="51"/>
    <n v="16"/>
    <n v="2"/>
    <n v="3.9603960396039604"/>
  </r>
  <r>
    <x v="8"/>
    <x v="324"/>
    <n v="184"/>
    <n v="0"/>
    <n v="0"/>
    <n v="0"/>
    <n v="0"/>
  </r>
  <r>
    <x v="8"/>
    <x v="325"/>
    <n v="186"/>
    <n v="22"/>
    <n v="1"/>
    <n v="0"/>
    <n v="0.5376344086021505"/>
  </r>
  <r>
    <x v="8"/>
    <x v="326"/>
    <n v="501"/>
    <n v="66"/>
    <n v="2"/>
    <n v="0"/>
    <n v="0.39920159680638723"/>
  </r>
  <r>
    <x v="8"/>
    <x v="327"/>
    <n v="80"/>
    <n v="0"/>
    <n v="0"/>
    <n v="0"/>
    <n v="0"/>
  </r>
  <r>
    <x v="8"/>
    <x v="328"/>
    <n v="113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9D805-FC74-440B-916E-120034756E33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3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x="239"/>
        <item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8"/>
    </i>
    <i>
      <x v="239"/>
    </i>
    <i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08D1-4802-4B76-BF26-4B4E2D74DD3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11FF6-A95E-4906-A161-542B97B858D2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24FB3-1F72-4308-9DEE-5C78B02B23E3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x="232"/>
        <item x="233"/>
        <item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204"/>
        <item h="1" x="215"/>
        <item h="1" x="303"/>
        <item h="1" x="320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0"/>
    </i>
    <i>
      <x v="231"/>
    </i>
    <i>
      <x v="2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330"/>
  <sheetViews>
    <sheetView topLeftCell="C1" workbookViewId="0">
      <selection activeCell="G1" sqref="G1"/>
    </sheetView>
  </sheetViews>
  <sheetFormatPr baseColWidth="10" defaultColWidth="8.88671875" defaultRowHeight="14.4"/>
  <cols>
    <col min="3" max="6" width="15" customWidth="1"/>
    <col min="7" max="7" width="9.44140625" bestFit="1" customWidth="1"/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67379</v>
      </c>
      <c r="D2">
        <v>8920</v>
      </c>
      <c r="E2">
        <v>2422</v>
      </c>
      <c r="F2">
        <v>560</v>
      </c>
      <c r="G2" s="10">
        <f>100*E2/C2</f>
        <v>3.5945917867584858</v>
      </c>
      <c r="K2" s="15">
        <v>1</v>
      </c>
      <c r="L2">
        <v>111655</v>
      </c>
      <c r="M2">
        <v>6852</v>
      </c>
      <c r="N2">
        <f>100*M2/L2</f>
        <v>6.136760557073127</v>
      </c>
    </row>
    <row r="3" spans="1:14">
      <c r="A3">
        <f t="shared" ref="A3:A66" si="0">VALUE(MID(B3,1,1))</f>
        <v>1</v>
      </c>
      <c r="B3">
        <v>10102</v>
      </c>
      <c r="C3">
        <v>2450</v>
      </c>
      <c r="D3">
        <v>828</v>
      </c>
      <c r="E3">
        <v>281</v>
      </c>
      <c r="F3">
        <v>79</v>
      </c>
      <c r="G3" s="10">
        <f t="shared" ref="G3:G66" si="1">100*E3/C3</f>
        <v>11.469387755102041</v>
      </c>
      <c r="K3" s="15">
        <v>2</v>
      </c>
      <c r="L3">
        <v>770786</v>
      </c>
      <c r="M3">
        <v>67975</v>
      </c>
      <c r="N3">
        <f t="shared" ref="N3:N18" si="2">100*M3/L3</f>
        <v>8.8189199077305496</v>
      </c>
    </row>
    <row r="4" spans="1:14">
      <c r="A4">
        <f t="shared" si="0"/>
        <v>1</v>
      </c>
      <c r="B4">
        <v>10103</v>
      </c>
      <c r="C4">
        <v>930</v>
      </c>
      <c r="D4">
        <v>662</v>
      </c>
      <c r="E4">
        <v>139</v>
      </c>
      <c r="F4">
        <v>11</v>
      </c>
      <c r="G4" s="10">
        <f t="shared" si="1"/>
        <v>14.946236559139784</v>
      </c>
      <c r="K4" s="15">
        <v>3</v>
      </c>
      <c r="L4">
        <v>496463</v>
      </c>
      <c r="M4">
        <v>29528</v>
      </c>
      <c r="N4">
        <f t="shared" si="2"/>
        <v>5.9476738447779596</v>
      </c>
    </row>
    <row r="5" spans="1:14">
      <c r="A5">
        <f t="shared" si="0"/>
        <v>1</v>
      </c>
      <c r="B5">
        <v>10201</v>
      </c>
      <c r="C5">
        <v>752</v>
      </c>
      <c r="D5">
        <v>332</v>
      </c>
      <c r="E5">
        <v>81</v>
      </c>
      <c r="F5">
        <v>1</v>
      </c>
      <c r="G5" s="10">
        <f t="shared" si="1"/>
        <v>10.771276595744681</v>
      </c>
      <c r="K5" s="15">
        <v>4</v>
      </c>
      <c r="L5">
        <v>134420</v>
      </c>
      <c r="M5">
        <v>9955</v>
      </c>
      <c r="N5">
        <f t="shared" si="2"/>
        <v>7.4058919803600656</v>
      </c>
    </row>
    <row r="6" spans="1:14">
      <c r="A6">
        <f t="shared" si="0"/>
        <v>1</v>
      </c>
      <c r="B6">
        <v>10202</v>
      </c>
      <c r="C6">
        <v>1610</v>
      </c>
      <c r="D6">
        <v>817</v>
      </c>
      <c r="E6">
        <v>198</v>
      </c>
      <c r="F6">
        <v>22</v>
      </c>
      <c r="G6" s="10">
        <f t="shared" si="1"/>
        <v>12.298136645962733</v>
      </c>
      <c r="K6" s="15">
        <v>5</v>
      </c>
      <c r="L6">
        <v>149452</v>
      </c>
      <c r="M6">
        <v>14789</v>
      </c>
      <c r="N6">
        <f t="shared" si="2"/>
        <v>9.8954848379412788</v>
      </c>
    </row>
    <row r="7" spans="1:14">
      <c r="A7">
        <f t="shared" si="0"/>
        <v>1</v>
      </c>
      <c r="B7">
        <v>10301</v>
      </c>
      <c r="C7">
        <v>1089</v>
      </c>
      <c r="D7">
        <v>458</v>
      </c>
      <c r="E7">
        <v>149</v>
      </c>
      <c r="F7">
        <v>35</v>
      </c>
      <c r="G7" s="10">
        <f t="shared" si="1"/>
        <v>13.682277318640955</v>
      </c>
      <c r="K7" s="15">
        <v>6</v>
      </c>
      <c r="L7">
        <v>116430</v>
      </c>
      <c r="M7">
        <v>5886</v>
      </c>
      <c r="N7">
        <f t="shared" si="2"/>
        <v>5.0553980932749294</v>
      </c>
    </row>
    <row r="8" spans="1:14">
      <c r="A8">
        <f t="shared" si="0"/>
        <v>1</v>
      </c>
      <c r="B8">
        <v>10302</v>
      </c>
      <c r="C8">
        <v>1059</v>
      </c>
      <c r="D8">
        <v>416</v>
      </c>
      <c r="E8">
        <v>86</v>
      </c>
      <c r="F8">
        <v>16</v>
      </c>
      <c r="G8" s="10">
        <f t="shared" si="1"/>
        <v>8.120868744098205</v>
      </c>
      <c r="K8" s="15">
        <v>7</v>
      </c>
      <c r="L8">
        <v>555861</v>
      </c>
      <c r="M8">
        <v>22903</v>
      </c>
      <c r="N8">
        <f t="shared" si="2"/>
        <v>4.1202746729847926</v>
      </c>
    </row>
    <row r="9" spans="1:14">
      <c r="A9">
        <f t="shared" si="0"/>
        <v>1</v>
      </c>
      <c r="B9">
        <v>10303</v>
      </c>
      <c r="C9">
        <v>1280</v>
      </c>
      <c r="D9">
        <v>538</v>
      </c>
      <c r="E9">
        <v>121</v>
      </c>
      <c r="F9">
        <v>14</v>
      </c>
      <c r="G9" s="10">
        <f t="shared" si="1"/>
        <v>9.453125</v>
      </c>
      <c r="K9" s="15">
        <v>8</v>
      </c>
      <c r="L9">
        <v>111161</v>
      </c>
      <c r="M9">
        <v>921</v>
      </c>
      <c r="N9">
        <f t="shared" si="2"/>
        <v>0.82852799093207152</v>
      </c>
    </row>
    <row r="10" spans="1:14">
      <c r="A10">
        <f t="shared" si="0"/>
        <v>1</v>
      </c>
      <c r="B10">
        <v>10304</v>
      </c>
      <c r="C10">
        <v>1292</v>
      </c>
      <c r="D10">
        <v>566</v>
      </c>
      <c r="E10">
        <v>137</v>
      </c>
      <c r="F10">
        <v>28</v>
      </c>
      <c r="G10" s="10">
        <f t="shared" si="1"/>
        <v>10.603715170278639</v>
      </c>
      <c r="K10" s="15">
        <v>9</v>
      </c>
      <c r="L10">
        <v>15192</v>
      </c>
      <c r="M10">
        <v>325</v>
      </c>
      <c r="N10">
        <f t="shared" si="2"/>
        <v>2.1392838335966298</v>
      </c>
    </row>
    <row r="11" spans="1:14">
      <c r="A11">
        <f t="shared" si="0"/>
        <v>1</v>
      </c>
      <c r="B11">
        <v>10401</v>
      </c>
      <c r="C11">
        <v>1775</v>
      </c>
      <c r="D11">
        <v>628</v>
      </c>
      <c r="E11">
        <v>158</v>
      </c>
      <c r="F11">
        <v>36</v>
      </c>
      <c r="G11" s="10">
        <f t="shared" si="1"/>
        <v>8.9014084507042259</v>
      </c>
      <c r="K11" s="15" t="s">
        <v>350</v>
      </c>
      <c r="L11">
        <v>2461420</v>
      </c>
      <c r="M11">
        <v>159134</v>
      </c>
      <c r="N11">
        <f t="shared" si="2"/>
        <v>6.4651298843756857</v>
      </c>
    </row>
    <row r="12" spans="1:14">
      <c r="A12">
        <f t="shared" si="0"/>
        <v>1</v>
      </c>
      <c r="B12">
        <v>10402</v>
      </c>
      <c r="C12">
        <v>1455</v>
      </c>
      <c r="D12">
        <v>516</v>
      </c>
      <c r="E12">
        <v>125</v>
      </c>
      <c r="F12">
        <v>21</v>
      </c>
      <c r="G12" s="10">
        <f t="shared" si="1"/>
        <v>8.5910652920962196</v>
      </c>
    </row>
    <row r="13" spans="1:14">
      <c r="A13">
        <f t="shared" si="0"/>
        <v>1</v>
      </c>
      <c r="B13">
        <v>10403</v>
      </c>
      <c r="C13">
        <v>798</v>
      </c>
      <c r="D13">
        <v>209</v>
      </c>
      <c r="E13">
        <v>40</v>
      </c>
      <c r="F13">
        <v>5</v>
      </c>
      <c r="G13" s="10">
        <f t="shared" si="1"/>
        <v>5.0125313283208017</v>
      </c>
    </row>
    <row r="14" spans="1:14">
      <c r="A14">
        <f t="shared" si="0"/>
        <v>1</v>
      </c>
      <c r="B14">
        <v>10404</v>
      </c>
      <c r="C14">
        <v>850</v>
      </c>
      <c r="D14">
        <v>307</v>
      </c>
      <c r="E14">
        <v>85</v>
      </c>
      <c r="F14">
        <v>13</v>
      </c>
      <c r="G14" s="10">
        <f t="shared" si="1"/>
        <v>10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10405</v>
      </c>
      <c r="C15">
        <v>865</v>
      </c>
      <c r="D15">
        <v>533</v>
      </c>
      <c r="E15">
        <v>176</v>
      </c>
      <c r="F15">
        <v>22</v>
      </c>
      <c r="G15" s="10">
        <f t="shared" si="1"/>
        <v>20.346820809248555</v>
      </c>
      <c r="K15" s="15">
        <v>60301</v>
      </c>
      <c r="L15">
        <v>19947</v>
      </c>
      <c r="M15">
        <v>582</v>
      </c>
      <c r="N15">
        <f t="shared" si="2"/>
        <v>2.9177319897728982</v>
      </c>
    </row>
    <row r="16" spans="1:14">
      <c r="A16">
        <f t="shared" si="0"/>
        <v>1</v>
      </c>
      <c r="B16">
        <v>10501</v>
      </c>
      <c r="C16">
        <v>4277</v>
      </c>
      <c r="D16">
        <v>823</v>
      </c>
      <c r="E16">
        <v>183</v>
      </c>
      <c r="F16">
        <v>37</v>
      </c>
      <c r="G16" s="10">
        <f t="shared" si="1"/>
        <v>4.2787000233808747</v>
      </c>
      <c r="K16" s="15">
        <v>60302</v>
      </c>
      <c r="L16">
        <v>3549</v>
      </c>
      <c r="M16">
        <v>216</v>
      </c>
      <c r="N16">
        <f t="shared" si="2"/>
        <v>6.0862214708368558</v>
      </c>
    </row>
    <row r="17" spans="1:14">
      <c r="A17">
        <f t="shared" si="0"/>
        <v>1</v>
      </c>
      <c r="B17">
        <v>10502</v>
      </c>
      <c r="C17">
        <v>1001</v>
      </c>
      <c r="D17">
        <v>230</v>
      </c>
      <c r="E17">
        <v>32</v>
      </c>
      <c r="F17">
        <v>3</v>
      </c>
      <c r="G17" s="10">
        <f t="shared" si="1"/>
        <v>3.1968031968031969</v>
      </c>
      <c r="K17" s="15">
        <v>60303</v>
      </c>
      <c r="L17">
        <v>11124</v>
      </c>
      <c r="M17">
        <v>419</v>
      </c>
      <c r="N17">
        <f t="shared" si="2"/>
        <v>3.7666307083782811</v>
      </c>
    </row>
    <row r="18" spans="1:14">
      <c r="A18">
        <f t="shared" si="0"/>
        <v>1</v>
      </c>
      <c r="B18">
        <v>10601</v>
      </c>
      <c r="C18">
        <v>2434</v>
      </c>
      <c r="D18">
        <v>974</v>
      </c>
      <c r="E18">
        <v>212</v>
      </c>
      <c r="F18">
        <v>26</v>
      </c>
      <c r="G18" s="10">
        <f t="shared" si="1"/>
        <v>8.7099424815119146</v>
      </c>
      <c r="K18" s="15" t="s">
        <v>350</v>
      </c>
      <c r="L18">
        <v>34620</v>
      </c>
      <c r="M18">
        <v>1217</v>
      </c>
      <c r="N18">
        <f t="shared" si="2"/>
        <v>3.5153090699017908</v>
      </c>
    </row>
    <row r="19" spans="1:14">
      <c r="A19">
        <f t="shared" si="0"/>
        <v>1</v>
      </c>
      <c r="B19">
        <v>10602</v>
      </c>
      <c r="C19">
        <v>1742</v>
      </c>
      <c r="D19">
        <v>941</v>
      </c>
      <c r="E19">
        <v>198</v>
      </c>
      <c r="F19">
        <v>18</v>
      </c>
      <c r="G19" s="10">
        <f t="shared" si="1"/>
        <v>11.366245694603904</v>
      </c>
    </row>
    <row r="20" spans="1:14">
      <c r="A20">
        <f t="shared" si="0"/>
        <v>1</v>
      </c>
      <c r="B20">
        <v>10701</v>
      </c>
      <c r="C20">
        <v>3571</v>
      </c>
      <c r="D20">
        <v>1288</v>
      </c>
      <c r="E20">
        <v>385</v>
      </c>
      <c r="F20">
        <v>48</v>
      </c>
      <c r="G20" s="10">
        <f t="shared" si="1"/>
        <v>10.78129375525063</v>
      </c>
    </row>
    <row r="21" spans="1:14">
      <c r="A21">
        <f t="shared" si="0"/>
        <v>1</v>
      </c>
      <c r="B21">
        <v>10702</v>
      </c>
      <c r="C21">
        <v>3813</v>
      </c>
      <c r="D21">
        <v>1809</v>
      </c>
      <c r="E21">
        <v>670</v>
      </c>
      <c r="F21">
        <v>185</v>
      </c>
      <c r="G21" s="10">
        <f t="shared" si="1"/>
        <v>17.571466037241017</v>
      </c>
    </row>
    <row r="22" spans="1:14">
      <c r="A22">
        <f t="shared" si="0"/>
        <v>1</v>
      </c>
      <c r="B22">
        <v>10703</v>
      </c>
      <c r="C22">
        <v>951</v>
      </c>
      <c r="D22">
        <v>290</v>
      </c>
      <c r="E22">
        <v>73</v>
      </c>
      <c r="F22">
        <v>9</v>
      </c>
      <c r="G22" s="10">
        <f t="shared" si="1"/>
        <v>7.6761303890641432</v>
      </c>
    </row>
    <row r="23" spans="1:14">
      <c r="A23">
        <f t="shared" si="0"/>
        <v>1</v>
      </c>
      <c r="B23">
        <v>10704</v>
      </c>
      <c r="C23">
        <v>1836</v>
      </c>
      <c r="D23">
        <v>555</v>
      </c>
      <c r="E23">
        <v>173</v>
      </c>
      <c r="F23">
        <v>27</v>
      </c>
      <c r="G23" s="10">
        <f t="shared" si="1"/>
        <v>9.4226579520697165</v>
      </c>
    </row>
    <row r="24" spans="1:14">
      <c r="A24">
        <f t="shared" si="0"/>
        <v>1</v>
      </c>
      <c r="B24">
        <v>10801</v>
      </c>
      <c r="C24">
        <v>2232</v>
      </c>
      <c r="D24">
        <v>842</v>
      </c>
      <c r="E24">
        <v>244</v>
      </c>
      <c r="F24">
        <v>48</v>
      </c>
      <c r="G24" s="10">
        <f t="shared" si="1"/>
        <v>10.931899641577061</v>
      </c>
    </row>
    <row r="25" spans="1:14">
      <c r="A25">
        <f t="shared" si="0"/>
        <v>1</v>
      </c>
      <c r="B25">
        <v>10901</v>
      </c>
      <c r="C25">
        <v>825</v>
      </c>
      <c r="D25">
        <v>350</v>
      </c>
      <c r="E25">
        <v>98</v>
      </c>
      <c r="F25">
        <v>9</v>
      </c>
      <c r="G25" s="10">
        <f t="shared" si="1"/>
        <v>11.878787878787879</v>
      </c>
    </row>
    <row r="26" spans="1:14">
      <c r="A26">
        <f t="shared" si="0"/>
        <v>1</v>
      </c>
      <c r="B26">
        <v>10902</v>
      </c>
      <c r="C26">
        <v>2341</v>
      </c>
      <c r="D26">
        <v>670</v>
      </c>
      <c r="E26">
        <v>203</v>
      </c>
      <c r="F26">
        <v>36</v>
      </c>
      <c r="G26" s="10">
        <f t="shared" si="1"/>
        <v>8.6715079026057236</v>
      </c>
    </row>
    <row r="27" spans="1:14">
      <c r="A27">
        <f t="shared" si="0"/>
        <v>1</v>
      </c>
      <c r="B27">
        <v>10903</v>
      </c>
      <c r="C27">
        <v>796</v>
      </c>
      <c r="D27">
        <v>329</v>
      </c>
      <c r="E27">
        <v>89</v>
      </c>
      <c r="F27">
        <v>14</v>
      </c>
      <c r="G27" s="10">
        <f t="shared" si="1"/>
        <v>11.180904522613066</v>
      </c>
    </row>
    <row r="28" spans="1:14">
      <c r="A28">
        <f t="shared" si="0"/>
        <v>1</v>
      </c>
      <c r="B28">
        <v>11001</v>
      </c>
      <c r="C28">
        <v>1150</v>
      </c>
      <c r="D28">
        <v>165</v>
      </c>
      <c r="E28">
        <v>19</v>
      </c>
      <c r="F28">
        <v>1</v>
      </c>
      <c r="G28" s="10">
        <f t="shared" si="1"/>
        <v>1.6521739130434783</v>
      </c>
    </row>
    <row r="29" spans="1:14">
      <c r="A29">
        <f t="shared" si="0"/>
        <v>1</v>
      </c>
      <c r="B29">
        <v>11002</v>
      </c>
      <c r="C29">
        <v>263</v>
      </c>
      <c r="D29">
        <v>53</v>
      </c>
      <c r="E29">
        <v>20</v>
      </c>
      <c r="F29">
        <v>4</v>
      </c>
      <c r="G29" s="10">
        <f t="shared" si="1"/>
        <v>7.6045627376425857</v>
      </c>
    </row>
    <row r="30" spans="1:14">
      <c r="A30">
        <f t="shared" si="0"/>
        <v>1</v>
      </c>
      <c r="B30">
        <v>11003</v>
      </c>
      <c r="C30">
        <v>839</v>
      </c>
      <c r="D30">
        <v>258</v>
      </c>
      <c r="E30">
        <v>55</v>
      </c>
      <c r="F30">
        <v>4</v>
      </c>
      <c r="G30" s="10">
        <f t="shared" si="1"/>
        <v>6.5554231227651965</v>
      </c>
    </row>
    <row r="31" spans="1:14">
      <c r="A31">
        <f t="shared" si="0"/>
        <v>2</v>
      </c>
      <c r="B31">
        <v>20101</v>
      </c>
      <c r="C31">
        <v>250683</v>
      </c>
      <c r="D31">
        <v>41346</v>
      </c>
      <c r="E31">
        <v>11026</v>
      </c>
      <c r="F31">
        <v>2852</v>
      </c>
      <c r="G31" s="10">
        <f t="shared" si="1"/>
        <v>4.398383615961194</v>
      </c>
    </row>
    <row r="32" spans="1:14">
      <c r="A32">
        <f t="shared" si="0"/>
        <v>2</v>
      </c>
      <c r="B32">
        <v>20102</v>
      </c>
      <c r="C32">
        <v>3773</v>
      </c>
      <c r="D32">
        <v>1482</v>
      </c>
      <c r="E32">
        <v>317</v>
      </c>
      <c r="F32">
        <v>73</v>
      </c>
      <c r="G32" s="10">
        <f t="shared" si="1"/>
        <v>8.4018022793532996</v>
      </c>
    </row>
    <row r="33" spans="1:7">
      <c r="A33">
        <f t="shared" si="0"/>
        <v>2</v>
      </c>
      <c r="B33">
        <v>20103</v>
      </c>
      <c r="C33">
        <v>4435</v>
      </c>
      <c r="D33">
        <v>2494</v>
      </c>
      <c r="E33">
        <v>468</v>
      </c>
      <c r="F33">
        <v>101</v>
      </c>
      <c r="G33" s="10">
        <f t="shared" si="1"/>
        <v>10.552423900789178</v>
      </c>
    </row>
    <row r="34" spans="1:7">
      <c r="A34">
        <f t="shared" si="0"/>
        <v>2</v>
      </c>
      <c r="B34">
        <v>20104</v>
      </c>
      <c r="C34">
        <v>5757</v>
      </c>
      <c r="D34">
        <v>1921</v>
      </c>
      <c r="E34">
        <v>780</v>
      </c>
      <c r="F34">
        <v>182</v>
      </c>
      <c r="G34" s="10">
        <f t="shared" si="1"/>
        <v>13.54872329338197</v>
      </c>
    </row>
    <row r="35" spans="1:7">
      <c r="A35">
        <f t="shared" si="0"/>
        <v>2</v>
      </c>
      <c r="B35">
        <v>20105</v>
      </c>
      <c r="C35">
        <v>263573</v>
      </c>
      <c r="D35">
        <v>55961</v>
      </c>
      <c r="E35">
        <v>20483</v>
      </c>
      <c r="F35">
        <v>5379</v>
      </c>
      <c r="G35" s="10">
        <f t="shared" si="1"/>
        <v>7.7712815804350219</v>
      </c>
    </row>
    <row r="36" spans="1:7">
      <c r="A36">
        <f t="shared" si="0"/>
        <v>2</v>
      </c>
      <c r="B36">
        <v>20201</v>
      </c>
      <c r="C36">
        <v>18505</v>
      </c>
      <c r="D36">
        <v>7315</v>
      </c>
      <c r="E36">
        <v>1705</v>
      </c>
      <c r="F36">
        <v>345</v>
      </c>
      <c r="G36" s="10">
        <f t="shared" si="1"/>
        <v>9.2137260199945956</v>
      </c>
    </row>
    <row r="37" spans="1:7">
      <c r="A37">
        <f t="shared" si="0"/>
        <v>2</v>
      </c>
      <c r="B37">
        <v>20202</v>
      </c>
      <c r="C37">
        <v>3232</v>
      </c>
      <c r="D37">
        <v>2018</v>
      </c>
      <c r="E37">
        <v>690</v>
      </c>
      <c r="F37">
        <v>58</v>
      </c>
      <c r="G37" s="10">
        <f t="shared" si="1"/>
        <v>21.349009900990097</v>
      </c>
    </row>
    <row r="38" spans="1:7">
      <c r="A38">
        <f t="shared" si="0"/>
        <v>2</v>
      </c>
      <c r="B38">
        <v>20203</v>
      </c>
      <c r="C38">
        <v>1784</v>
      </c>
      <c r="D38">
        <v>710</v>
      </c>
      <c r="E38">
        <v>238</v>
      </c>
      <c r="F38">
        <v>2</v>
      </c>
      <c r="G38" s="10">
        <f t="shared" si="1"/>
        <v>13.340807174887892</v>
      </c>
    </row>
    <row r="39" spans="1:7">
      <c r="A39">
        <f t="shared" si="0"/>
        <v>2</v>
      </c>
      <c r="B39">
        <v>20204</v>
      </c>
      <c r="C39">
        <v>2599</v>
      </c>
      <c r="D39">
        <v>1338</v>
      </c>
      <c r="E39">
        <v>472</v>
      </c>
      <c r="F39">
        <v>1</v>
      </c>
      <c r="G39" s="10">
        <f t="shared" si="1"/>
        <v>18.160831088880339</v>
      </c>
    </row>
    <row r="40" spans="1:7">
      <c r="A40">
        <f t="shared" si="0"/>
        <v>2</v>
      </c>
      <c r="B40">
        <v>20205</v>
      </c>
      <c r="C40">
        <v>2788</v>
      </c>
      <c r="D40">
        <v>1660</v>
      </c>
      <c r="E40">
        <v>529</v>
      </c>
      <c r="F40">
        <v>1</v>
      </c>
      <c r="G40" s="10">
        <f t="shared" si="1"/>
        <v>18.974175035868004</v>
      </c>
    </row>
    <row r="41" spans="1:7">
      <c r="A41">
        <f t="shared" si="0"/>
        <v>2</v>
      </c>
      <c r="B41">
        <v>20206</v>
      </c>
      <c r="C41">
        <v>1289</v>
      </c>
      <c r="D41">
        <v>709</v>
      </c>
      <c r="E41">
        <v>260</v>
      </c>
      <c r="F41">
        <v>2</v>
      </c>
      <c r="G41" s="10">
        <f t="shared" si="1"/>
        <v>20.17067494181536</v>
      </c>
    </row>
    <row r="42" spans="1:7">
      <c r="A42">
        <f t="shared" si="0"/>
        <v>2</v>
      </c>
      <c r="B42">
        <v>20301</v>
      </c>
      <c r="C42">
        <v>2928</v>
      </c>
      <c r="D42">
        <v>2049</v>
      </c>
      <c r="E42">
        <v>763</v>
      </c>
      <c r="F42">
        <v>167</v>
      </c>
      <c r="G42" s="10">
        <f t="shared" si="1"/>
        <v>26.058743169398905</v>
      </c>
    </row>
    <row r="43" spans="1:7">
      <c r="A43">
        <f t="shared" si="0"/>
        <v>2</v>
      </c>
      <c r="B43">
        <v>20302</v>
      </c>
      <c r="C43">
        <v>3350</v>
      </c>
      <c r="D43">
        <v>2542</v>
      </c>
      <c r="E43">
        <v>914</v>
      </c>
      <c r="F43">
        <v>134</v>
      </c>
      <c r="G43" s="10">
        <f t="shared" si="1"/>
        <v>27.28358208955224</v>
      </c>
    </row>
    <row r="44" spans="1:7">
      <c r="A44">
        <f t="shared" si="0"/>
        <v>2</v>
      </c>
      <c r="B44">
        <v>20303</v>
      </c>
      <c r="C44">
        <v>1131</v>
      </c>
      <c r="D44">
        <v>753</v>
      </c>
      <c r="E44">
        <v>347</v>
      </c>
      <c r="F44">
        <v>47</v>
      </c>
      <c r="G44" s="10">
        <f t="shared" si="1"/>
        <v>30.680813439434129</v>
      </c>
    </row>
    <row r="45" spans="1:7">
      <c r="A45">
        <f t="shared" si="0"/>
        <v>2</v>
      </c>
      <c r="B45">
        <v>20304</v>
      </c>
      <c r="C45">
        <v>938</v>
      </c>
      <c r="D45">
        <v>660</v>
      </c>
      <c r="E45">
        <v>194</v>
      </c>
      <c r="F45">
        <v>39</v>
      </c>
      <c r="G45" s="10">
        <f t="shared" si="1"/>
        <v>20.68230277185501</v>
      </c>
    </row>
    <row r="46" spans="1:7">
      <c r="A46">
        <f t="shared" si="0"/>
        <v>2</v>
      </c>
      <c r="B46">
        <v>20305</v>
      </c>
      <c r="C46">
        <v>349</v>
      </c>
      <c r="D46">
        <v>227</v>
      </c>
      <c r="E46">
        <v>61</v>
      </c>
      <c r="F46">
        <v>7</v>
      </c>
      <c r="G46" s="10">
        <f t="shared" si="1"/>
        <v>17.478510028653297</v>
      </c>
    </row>
    <row r="47" spans="1:7">
      <c r="A47">
        <f t="shared" si="0"/>
        <v>2</v>
      </c>
      <c r="B47">
        <v>20306</v>
      </c>
      <c r="C47">
        <v>371</v>
      </c>
      <c r="D47">
        <v>226</v>
      </c>
      <c r="E47">
        <v>63</v>
      </c>
      <c r="F47">
        <v>22</v>
      </c>
      <c r="G47" s="10">
        <f t="shared" si="1"/>
        <v>16.981132075471699</v>
      </c>
    </row>
    <row r="48" spans="1:7">
      <c r="A48">
        <f t="shared" si="0"/>
        <v>2</v>
      </c>
      <c r="B48">
        <v>20307</v>
      </c>
      <c r="C48">
        <v>101</v>
      </c>
      <c r="D48">
        <v>59</v>
      </c>
      <c r="E48">
        <v>17</v>
      </c>
      <c r="F48">
        <v>1</v>
      </c>
      <c r="G48" s="10">
        <f t="shared" si="1"/>
        <v>16.831683168316832</v>
      </c>
    </row>
    <row r="49" spans="1:7">
      <c r="A49">
        <f t="shared" si="0"/>
        <v>2</v>
      </c>
      <c r="B49">
        <v>20308</v>
      </c>
      <c r="C49">
        <v>413</v>
      </c>
      <c r="D49">
        <v>354</v>
      </c>
      <c r="E49">
        <v>205</v>
      </c>
      <c r="F49">
        <v>38</v>
      </c>
      <c r="G49" s="10">
        <f t="shared" si="1"/>
        <v>49.63680387409201</v>
      </c>
    </row>
    <row r="50" spans="1:7">
      <c r="A50">
        <f t="shared" si="0"/>
        <v>2</v>
      </c>
      <c r="B50">
        <v>20401</v>
      </c>
      <c r="C50">
        <v>5262</v>
      </c>
      <c r="D50">
        <v>2110</v>
      </c>
      <c r="E50">
        <v>571</v>
      </c>
      <c r="F50">
        <v>85</v>
      </c>
      <c r="G50" s="10">
        <f t="shared" si="1"/>
        <v>10.851387305207146</v>
      </c>
    </row>
    <row r="51" spans="1:7">
      <c r="A51">
        <f t="shared" si="0"/>
        <v>2</v>
      </c>
      <c r="B51">
        <v>20402</v>
      </c>
      <c r="C51">
        <v>3346</v>
      </c>
      <c r="D51">
        <v>1733</v>
      </c>
      <c r="E51">
        <v>436</v>
      </c>
      <c r="F51">
        <v>54</v>
      </c>
      <c r="G51" s="10">
        <f t="shared" si="1"/>
        <v>13.030484160191273</v>
      </c>
    </row>
    <row r="52" spans="1:7">
      <c r="A52">
        <f t="shared" si="0"/>
        <v>2</v>
      </c>
      <c r="B52">
        <v>20403</v>
      </c>
      <c r="C52">
        <v>3519</v>
      </c>
      <c r="D52">
        <v>1995</v>
      </c>
      <c r="E52">
        <v>550</v>
      </c>
      <c r="F52">
        <v>69</v>
      </c>
      <c r="G52" s="10">
        <f t="shared" si="1"/>
        <v>15.62944018186985</v>
      </c>
    </row>
    <row r="53" spans="1:7">
      <c r="A53">
        <f t="shared" si="0"/>
        <v>2</v>
      </c>
      <c r="B53">
        <v>20404</v>
      </c>
      <c r="C53">
        <v>1136</v>
      </c>
      <c r="D53">
        <v>558</v>
      </c>
      <c r="E53">
        <v>138</v>
      </c>
      <c r="F53">
        <v>0</v>
      </c>
      <c r="G53" s="10">
        <f t="shared" si="1"/>
        <v>12.147887323943662</v>
      </c>
    </row>
    <row r="54" spans="1:7">
      <c r="A54">
        <f t="shared" si="0"/>
        <v>2</v>
      </c>
      <c r="B54">
        <v>20405</v>
      </c>
      <c r="C54">
        <v>1900</v>
      </c>
      <c r="D54">
        <v>1075</v>
      </c>
      <c r="E54">
        <v>294</v>
      </c>
      <c r="F54">
        <v>0</v>
      </c>
      <c r="G54" s="10">
        <f t="shared" si="1"/>
        <v>15.473684210526315</v>
      </c>
    </row>
    <row r="55" spans="1:7">
      <c r="A55">
        <f t="shared" si="0"/>
        <v>2</v>
      </c>
      <c r="B55">
        <v>20501</v>
      </c>
      <c r="C55">
        <v>2301</v>
      </c>
      <c r="D55">
        <v>1182</v>
      </c>
      <c r="E55">
        <v>424</v>
      </c>
      <c r="F55">
        <v>77</v>
      </c>
      <c r="G55" s="10">
        <f t="shared" si="1"/>
        <v>18.426770969143849</v>
      </c>
    </row>
    <row r="56" spans="1:7">
      <c r="A56">
        <f t="shared" si="0"/>
        <v>2</v>
      </c>
      <c r="B56">
        <v>20502</v>
      </c>
      <c r="C56">
        <v>1496</v>
      </c>
      <c r="D56">
        <v>636</v>
      </c>
      <c r="E56">
        <v>161</v>
      </c>
      <c r="F56">
        <v>34</v>
      </c>
      <c r="G56" s="10">
        <f t="shared" si="1"/>
        <v>10.762032085561497</v>
      </c>
    </row>
    <row r="57" spans="1:7">
      <c r="A57">
        <f t="shared" si="0"/>
        <v>2</v>
      </c>
      <c r="B57">
        <v>20503</v>
      </c>
      <c r="C57">
        <v>837</v>
      </c>
      <c r="D57">
        <v>548</v>
      </c>
      <c r="E57">
        <v>140</v>
      </c>
      <c r="F57">
        <v>34</v>
      </c>
      <c r="G57" s="10">
        <f t="shared" si="1"/>
        <v>16.726403823178018</v>
      </c>
    </row>
    <row r="58" spans="1:7">
      <c r="A58">
        <f t="shared" si="0"/>
        <v>2</v>
      </c>
      <c r="B58">
        <v>20601</v>
      </c>
      <c r="C58">
        <v>5418</v>
      </c>
      <c r="D58">
        <v>2809</v>
      </c>
      <c r="E58">
        <v>1022</v>
      </c>
      <c r="F58">
        <v>164</v>
      </c>
      <c r="G58" s="10">
        <f t="shared" si="1"/>
        <v>18.863049095607234</v>
      </c>
    </row>
    <row r="59" spans="1:7">
      <c r="A59">
        <f t="shared" si="0"/>
        <v>2</v>
      </c>
      <c r="B59">
        <v>20602</v>
      </c>
      <c r="C59">
        <v>2476</v>
      </c>
      <c r="D59">
        <v>535</v>
      </c>
      <c r="E59">
        <v>178</v>
      </c>
      <c r="F59">
        <v>53</v>
      </c>
      <c r="G59" s="10">
        <f t="shared" si="1"/>
        <v>7.1890145395799676</v>
      </c>
    </row>
    <row r="60" spans="1:7">
      <c r="A60">
        <f t="shared" si="0"/>
        <v>2</v>
      </c>
      <c r="B60">
        <v>20603</v>
      </c>
      <c r="C60">
        <v>1443</v>
      </c>
      <c r="D60">
        <v>905</v>
      </c>
      <c r="E60">
        <v>205</v>
      </c>
      <c r="F60">
        <v>40</v>
      </c>
      <c r="G60" s="10">
        <f t="shared" si="1"/>
        <v>14.206514206514207</v>
      </c>
    </row>
    <row r="61" spans="1:7">
      <c r="A61">
        <f t="shared" si="0"/>
        <v>2</v>
      </c>
      <c r="B61">
        <v>20604</v>
      </c>
      <c r="C61">
        <v>785</v>
      </c>
      <c r="D61">
        <v>310</v>
      </c>
      <c r="E61">
        <v>121</v>
      </c>
      <c r="F61">
        <v>24</v>
      </c>
      <c r="G61" s="10">
        <f t="shared" si="1"/>
        <v>15.414012738853502</v>
      </c>
    </row>
    <row r="62" spans="1:7">
      <c r="A62">
        <f t="shared" si="0"/>
        <v>2</v>
      </c>
      <c r="B62">
        <v>20605</v>
      </c>
      <c r="C62">
        <v>638</v>
      </c>
      <c r="D62">
        <v>342</v>
      </c>
      <c r="E62">
        <v>147</v>
      </c>
      <c r="F62">
        <v>11</v>
      </c>
      <c r="G62" s="10">
        <f t="shared" si="1"/>
        <v>23.040752351097179</v>
      </c>
    </row>
    <row r="63" spans="1:7">
      <c r="A63">
        <f t="shared" si="0"/>
        <v>2</v>
      </c>
      <c r="B63">
        <v>20606</v>
      </c>
      <c r="C63">
        <v>1842</v>
      </c>
      <c r="D63">
        <v>488</v>
      </c>
      <c r="E63">
        <v>163</v>
      </c>
      <c r="F63">
        <v>42</v>
      </c>
      <c r="G63" s="10">
        <f t="shared" si="1"/>
        <v>8.8490770901194349</v>
      </c>
    </row>
    <row r="64" spans="1:7">
      <c r="A64">
        <f t="shared" si="0"/>
        <v>2</v>
      </c>
      <c r="B64">
        <v>20607</v>
      </c>
      <c r="C64">
        <v>1943</v>
      </c>
      <c r="D64">
        <v>480</v>
      </c>
      <c r="E64">
        <v>93</v>
      </c>
      <c r="F64">
        <v>21</v>
      </c>
      <c r="G64" s="10">
        <f t="shared" si="1"/>
        <v>4.7864127637673697</v>
      </c>
    </row>
    <row r="65" spans="1:7">
      <c r="A65">
        <f t="shared" si="0"/>
        <v>2</v>
      </c>
      <c r="B65">
        <v>20608</v>
      </c>
      <c r="C65">
        <v>1595</v>
      </c>
      <c r="D65">
        <v>376</v>
      </c>
      <c r="E65">
        <v>115</v>
      </c>
      <c r="F65">
        <v>37</v>
      </c>
      <c r="G65" s="10">
        <f t="shared" si="1"/>
        <v>7.2100313479623823</v>
      </c>
    </row>
    <row r="66" spans="1:7">
      <c r="A66">
        <f t="shared" si="0"/>
        <v>2</v>
      </c>
      <c r="B66">
        <v>20701</v>
      </c>
      <c r="C66">
        <v>2893</v>
      </c>
      <c r="D66">
        <v>729</v>
      </c>
      <c r="E66">
        <v>257</v>
      </c>
      <c r="F66">
        <v>55</v>
      </c>
      <c r="G66" s="10">
        <f t="shared" si="1"/>
        <v>8.8835119253370198</v>
      </c>
    </row>
    <row r="67" spans="1:7">
      <c r="A67">
        <f t="shared" ref="A67:A130" si="3">VALUE(MID(B67,1,1))</f>
        <v>2</v>
      </c>
      <c r="B67">
        <v>20702</v>
      </c>
      <c r="C67">
        <v>959</v>
      </c>
      <c r="D67">
        <v>488</v>
      </c>
      <c r="E67">
        <v>141</v>
      </c>
      <c r="F67">
        <v>13</v>
      </c>
      <c r="G67" s="10">
        <f t="shared" ref="G67:G130" si="4">100*E67/C67</f>
        <v>14.70281543274244</v>
      </c>
    </row>
    <row r="68" spans="1:7">
      <c r="A68">
        <f t="shared" si="3"/>
        <v>2</v>
      </c>
      <c r="B68">
        <v>20801</v>
      </c>
      <c r="C68">
        <v>28321</v>
      </c>
      <c r="D68">
        <v>9958</v>
      </c>
      <c r="E68">
        <v>4253</v>
      </c>
      <c r="F68">
        <v>1236</v>
      </c>
      <c r="G68" s="10">
        <f t="shared" si="4"/>
        <v>15.017125101514777</v>
      </c>
    </row>
    <row r="69" spans="1:7">
      <c r="A69">
        <f t="shared" si="3"/>
        <v>2</v>
      </c>
      <c r="B69">
        <v>20802</v>
      </c>
      <c r="C69">
        <v>2370</v>
      </c>
      <c r="D69">
        <v>1997</v>
      </c>
      <c r="E69">
        <v>687</v>
      </c>
      <c r="F69">
        <v>226</v>
      </c>
      <c r="G69" s="10">
        <f t="shared" si="4"/>
        <v>28.9873417721519</v>
      </c>
    </row>
    <row r="70" spans="1:7">
      <c r="A70">
        <f t="shared" si="3"/>
        <v>2</v>
      </c>
      <c r="B70">
        <v>20803</v>
      </c>
      <c r="C70">
        <v>2748</v>
      </c>
      <c r="D70">
        <v>1741</v>
      </c>
      <c r="E70">
        <v>492</v>
      </c>
      <c r="F70">
        <v>158</v>
      </c>
      <c r="G70" s="10">
        <f t="shared" si="4"/>
        <v>17.903930131004365</v>
      </c>
    </row>
    <row r="71" spans="1:7">
      <c r="A71">
        <f t="shared" si="3"/>
        <v>2</v>
      </c>
      <c r="B71">
        <v>20804</v>
      </c>
      <c r="C71">
        <v>1798</v>
      </c>
      <c r="D71">
        <v>1070</v>
      </c>
      <c r="E71">
        <v>387</v>
      </c>
      <c r="F71">
        <v>127</v>
      </c>
      <c r="G71" s="10">
        <f t="shared" si="4"/>
        <v>21.523915461624028</v>
      </c>
    </row>
    <row r="72" spans="1:7">
      <c r="A72">
        <f t="shared" si="3"/>
        <v>2</v>
      </c>
      <c r="B72">
        <v>20805</v>
      </c>
      <c r="C72">
        <v>1447</v>
      </c>
      <c r="D72">
        <v>1151</v>
      </c>
      <c r="E72">
        <v>330</v>
      </c>
      <c r="F72">
        <v>60</v>
      </c>
      <c r="G72" s="10">
        <f t="shared" si="4"/>
        <v>22.805805114029024</v>
      </c>
    </row>
    <row r="73" spans="1:7">
      <c r="A73">
        <f t="shared" si="3"/>
        <v>2</v>
      </c>
      <c r="B73">
        <v>20806</v>
      </c>
      <c r="C73">
        <v>3329</v>
      </c>
      <c r="D73">
        <v>2121</v>
      </c>
      <c r="E73">
        <v>581</v>
      </c>
      <c r="F73">
        <v>163</v>
      </c>
      <c r="G73" s="10">
        <f t="shared" si="4"/>
        <v>17.452688495043557</v>
      </c>
    </row>
    <row r="74" spans="1:7">
      <c r="A74">
        <f t="shared" si="3"/>
        <v>2</v>
      </c>
      <c r="B74">
        <v>20807</v>
      </c>
      <c r="C74">
        <v>1475</v>
      </c>
      <c r="D74">
        <v>827</v>
      </c>
      <c r="E74">
        <v>318</v>
      </c>
      <c r="F74">
        <v>99</v>
      </c>
      <c r="G74" s="10">
        <f t="shared" si="4"/>
        <v>21.559322033898304</v>
      </c>
    </row>
    <row r="75" spans="1:7">
      <c r="A75">
        <f t="shared" si="3"/>
        <v>2</v>
      </c>
      <c r="B75">
        <v>20901</v>
      </c>
      <c r="C75">
        <v>2609</v>
      </c>
      <c r="D75">
        <v>1281</v>
      </c>
      <c r="E75">
        <v>355</v>
      </c>
      <c r="F75">
        <v>67</v>
      </c>
      <c r="G75" s="10">
        <f t="shared" si="4"/>
        <v>13.606745879647374</v>
      </c>
    </row>
    <row r="76" spans="1:7">
      <c r="A76">
        <f t="shared" si="3"/>
        <v>2</v>
      </c>
      <c r="B76">
        <v>20902</v>
      </c>
      <c r="C76">
        <v>3175</v>
      </c>
      <c r="D76">
        <v>2040</v>
      </c>
      <c r="E76">
        <v>492</v>
      </c>
      <c r="F76">
        <v>62</v>
      </c>
      <c r="G76" s="10">
        <f t="shared" si="4"/>
        <v>15.496062992125983</v>
      </c>
    </row>
    <row r="77" spans="1:7">
      <c r="A77">
        <f t="shared" si="3"/>
        <v>2</v>
      </c>
      <c r="B77">
        <v>20903</v>
      </c>
      <c r="C77">
        <v>1548</v>
      </c>
      <c r="D77">
        <v>930</v>
      </c>
      <c r="E77">
        <v>346</v>
      </c>
      <c r="F77">
        <v>83</v>
      </c>
      <c r="G77" s="10">
        <f t="shared" si="4"/>
        <v>22.351421188630489</v>
      </c>
    </row>
    <row r="78" spans="1:7">
      <c r="A78">
        <f t="shared" si="3"/>
        <v>2</v>
      </c>
      <c r="B78">
        <v>20904</v>
      </c>
      <c r="C78">
        <v>273</v>
      </c>
      <c r="D78">
        <v>188</v>
      </c>
      <c r="E78">
        <v>72</v>
      </c>
      <c r="F78">
        <v>14</v>
      </c>
      <c r="G78" s="10">
        <f t="shared" si="4"/>
        <v>26.373626373626372</v>
      </c>
    </row>
    <row r="79" spans="1:7">
      <c r="A79">
        <f t="shared" si="3"/>
        <v>2</v>
      </c>
      <c r="B79">
        <v>20905</v>
      </c>
      <c r="C79">
        <v>2118</v>
      </c>
      <c r="D79">
        <v>808</v>
      </c>
      <c r="E79">
        <v>452</v>
      </c>
      <c r="F79">
        <v>281</v>
      </c>
      <c r="G79" s="10">
        <f t="shared" si="4"/>
        <v>21.340887629839472</v>
      </c>
    </row>
    <row r="80" spans="1:7">
      <c r="A80">
        <f t="shared" si="3"/>
        <v>2</v>
      </c>
      <c r="B80">
        <v>21001</v>
      </c>
      <c r="C80">
        <v>2163</v>
      </c>
      <c r="D80">
        <v>1033</v>
      </c>
      <c r="E80">
        <v>264</v>
      </c>
      <c r="F80">
        <v>41</v>
      </c>
      <c r="G80" s="10">
        <f t="shared" si="4"/>
        <v>12.205270457697642</v>
      </c>
    </row>
    <row r="81" spans="1:7">
      <c r="A81">
        <f t="shared" si="3"/>
        <v>2</v>
      </c>
      <c r="B81">
        <v>21002</v>
      </c>
      <c r="C81">
        <v>1356</v>
      </c>
      <c r="D81">
        <v>434</v>
      </c>
      <c r="E81">
        <v>120</v>
      </c>
      <c r="F81">
        <v>20</v>
      </c>
      <c r="G81" s="10">
        <f t="shared" si="4"/>
        <v>8.8495575221238933</v>
      </c>
    </row>
    <row r="82" spans="1:7">
      <c r="A82">
        <f t="shared" si="3"/>
        <v>2</v>
      </c>
      <c r="B82">
        <v>21003</v>
      </c>
      <c r="C82">
        <v>3240</v>
      </c>
      <c r="D82">
        <v>977</v>
      </c>
      <c r="E82">
        <v>273</v>
      </c>
      <c r="F82">
        <v>56</v>
      </c>
      <c r="G82" s="10">
        <f t="shared" si="4"/>
        <v>8.4259259259259256</v>
      </c>
    </row>
    <row r="83" spans="1:7">
      <c r="A83">
        <f t="shared" si="3"/>
        <v>2</v>
      </c>
      <c r="B83">
        <v>21004</v>
      </c>
      <c r="C83">
        <v>1953</v>
      </c>
      <c r="D83">
        <v>1443</v>
      </c>
      <c r="E83">
        <v>530</v>
      </c>
      <c r="F83">
        <v>171</v>
      </c>
      <c r="G83" s="10">
        <f t="shared" si="4"/>
        <v>27.13773681515617</v>
      </c>
    </row>
    <row r="84" spans="1:7">
      <c r="A84">
        <f t="shared" si="3"/>
        <v>2</v>
      </c>
      <c r="B84">
        <v>21005</v>
      </c>
      <c r="C84">
        <v>1027</v>
      </c>
      <c r="D84">
        <v>842</v>
      </c>
      <c r="E84">
        <v>352</v>
      </c>
      <c r="F84">
        <v>44</v>
      </c>
      <c r="G84" s="10">
        <f t="shared" si="4"/>
        <v>34.274586173320351</v>
      </c>
    </row>
    <row r="85" spans="1:7">
      <c r="A85">
        <f t="shared" si="3"/>
        <v>2</v>
      </c>
      <c r="B85">
        <v>21006</v>
      </c>
      <c r="C85">
        <v>636</v>
      </c>
      <c r="D85">
        <v>344</v>
      </c>
      <c r="E85">
        <v>69</v>
      </c>
      <c r="F85">
        <v>3</v>
      </c>
      <c r="G85" s="10">
        <f t="shared" si="4"/>
        <v>10.849056603773585</v>
      </c>
    </row>
    <row r="86" spans="1:7">
      <c r="A86">
        <f t="shared" si="3"/>
        <v>2</v>
      </c>
      <c r="B86">
        <v>21101</v>
      </c>
      <c r="C86">
        <v>4533</v>
      </c>
      <c r="D86">
        <v>1087</v>
      </c>
      <c r="E86">
        <v>265</v>
      </c>
      <c r="F86">
        <v>41</v>
      </c>
      <c r="G86" s="10">
        <f t="shared" si="4"/>
        <v>5.8460180895654092</v>
      </c>
    </row>
    <row r="87" spans="1:7">
      <c r="A87">
        <f t="shared" si="3"/>
        <v>2</v>
      </c>
      <c r="B87">
        <v>21102</v>
      </c>
      <c r="C87">
        <v>4321</v>
      </c>
      <c r="D87">
        <v>1362</v>
      </c>
      <c r="E87">
        <v>328</v>
      </c>
      <c r="F87">
        <v>40</v>
      </c>
      <c r="G87" s="10">
        <f t="shared" si="4"/>
        <v>7.5908354547558439</v>
      </c>
    </row>
    <row r="88" spans="1:7">
      <c r="A88">
        <f t="shared" si="3"/>
        <v>2</v>
      </c>
      <c r="B88">
        <v>21103</v>
      </c>
      <c r="C88">
        <v>1382</v>
      </c>
      <c r="D88">
        <v>397</v>
      </c>
      <c r="E88">
        <v>75</v>
      </c>
      <c r="F88">
        <v>7</v>
      </c>
      <c r="G88" s="10">
        <f t="shared" si="4"/>
        <v>5.4269175108538352</v>
      </c>
    </row>
    <row r="89" spans="1:7">
      <c r="A89">
        <f t="shared" si="3"/>
        <v>2</v>
      </c>
      <c r="B89">
        <v>21104</v>
      </c>
      <c r="C89">
        <v>5298</v>
      </c>
      <c r="D89">
        <v>1786</v>
      </c>
      <c r="E89">
        <v>696</v>
      </c>
      <c r="F89">
        <v>236</v>
      </c>
      <c r="G89" s="10">
        <f t="shared" si="4"/>
        <v>13.137032842582107</v>
      </c>
    </row>
    <row r="90" spans="1:7">
      <c r="A90">
        <f t="shared" si="3"/>
        <v>2</v>
      </c>
      <c r="B90">
        <v>21105</v>
      </c>
      <c r="C90">
        <v>6923</v>
      </c>
      <c r="D90">
        <v>2067</v>
      </c>
      <c r="E90">
        <v>350</v>
      </c>
      <c r="F90">
        <v>76</v>
      </c>
      <c r="G90" s="10">
        <f t="shared" si="4"/>
        <v>5.0556117290192111</v>
      </c>
    </row>
    <row r="91" spans="1:7">
      <c r="A91">
        <f t="shared" si="3"/>
        <v>2</v>
      </c>
      <c r="B91">
        <v>21201</v>
      </c>
      <c r="C91">
        <v>6972</v>
      </c>
      <c r="D91">
        <v>3562</v>
      </c>
      <c r="E91">
        <v>1188</v>
      </c>
      <c r="F91">
        <v>315</v>
      </c>
      <c r="G91" s="10">
        <f t="shared" si="4"/>
        <v>17.039586919104991</v>
      </c>
    </row>
    <row r="92" spans="1:7">
      <c r="A92">
        <f t="shared" si="3"/>
        <v>2</v>
      </c>
      <c r="B92">
        <v>21202</v>
      </c>
      <c r="C92">
        <v>7167</v>
      </c>
      <c r="D92">
        <v>2762</v>
      </c>
      <c r="E92">
        <v>937</v>
      </c>
      <c r="F92">
        <v>242</v>
      </c>
      <c r="G92" s="10">
        <f t="shared" si="4"/>
        <v>13.07381052044091</v>
      </c>
    </row>
    <row r="93" spans="1:7">
      <c r="A93">
        <f t="shared" si="3"/>
        <v>2</v>
      </c>
      <c r="B93">
        <v>21203</v>
      </c>
      <c r="C93">
        <v>5079</v>
      </c>
      <c r="D93">
        <v>2423</v>
      </c>
      <c r="E93">
        <v>741</v>
      </c>
      <c r="F93">
        <v>203</v>
      </c>
      <c r="G93" s="10">
        <f t="shared" si="4"/>
        <v>14.589486119314826</v>
      </c>
    </row>
    <row r="94" spans="1:7">
      <c r="A94">
        <f t="shared" si="3"/>
        <v>2</v>
      </c>
      <c r="B94">
        <v>21204</v>
      </c>
      <c r="C94">
        <v>1869</v>
      </c>
      <c r="D94">
        <v>781</v>
      </c>
      <c r="E94">
        <v>256</v>
      </c>
      <c r="F94">
        <v>48</v>
      </c>
      <c r="G94" s="10">
        <f t="shared" si="4"/>
        <v>13.697164258962012</v>
      </c>
    </row>
    <row r="95" spans="1:7">
      <c r="A95">
        <f t="shared" si="3"/>
        <v>2</v>
      </c>
      <c r="B95">
        <v>21301</v>
      </c>
      <c r="C95">
        <v>4998</v>
      </c>
      <c r="D95">
        <v>3546</v>
      </c>
      <c r="E95">
        <v>1032</v>
      </c>
      <c r="F95">
        <v>182</v>
      </c>
      <c r="G95" s="10">
        <f t="shared" si="4"/>
        <v>20.648259303721488</v>
      </c>
    </row>
    <row r="96" spans="1:7">
      <c r="A96">
        <f t="shared" si="3"/>
        <v>2</v>
      </c>
      <c r="B96">
        <v>21302</v>
      </c>
      <c r="C96">
        <v>2148</v>
      </c>
      <c r="D96">
        <v>1707</v>
      </c>
      <c r="E96">
        <v>632</v>
      </c>
      <c r="F96">
        <v>119</v>
      </c>
      <c r="G96" s="10">
        <f t="shared" si="4"/>
        <v>29.422718808193668</v>
      </c>
    </row>
    <row r="97" spans="1:7">
      <c r="A97">
        <f t="shared" si="3"/>
        <v>2</v>
      </c>
      <c r="B97">
        <v>21303</v>
      </c>
      <c r="C97">
        <v>1863</v>
      </c>
      <c r="D97">
        <v>1384</v>
      </c>
      <c r="E97">
        <v>452</v>
      </c>
      <c r="F97">
        <v>131</v>
      </c>
      <c r="G97" s="10">
        <f t="shared" si="4"/>
        <v>24.261943102522814</v>
      </c>
    </row>
    <row r="98" spans="1:7">
      <c r="A98">
        <f t="shared" si="3"/>
        <v>2</v>
      </c>
      <c r="B98">
        <v>21304</v>
      </c>
      <c r="C98">
        <v>2832</v>
      </c>
      <c r="D98">
        <v>1665</v>
      </c>
      <c r="E98">
        <v>473</v>
      </c>
      <c r="F98">
        <v>113</v>
      </c>
      <c r="G98" s="10">
        <f t="shared" si="4"/>
        <v>16.701977401129945</v>
      </c>
    </row>
    <row r="99" spans="1:7">
      <c r="A99">
        <f t="shared" si="3"/>
        <v>2</v>
      </c>
      <c r="B99">
        <v>21305</v>
      </c>
      <c r="C99">
        <v>5701</v>
      </c>
      <c r="D99">
        <v>2890</v>
      </c>
      <c r="E99">
        <v>719</v>
      </c>
      <c r="F99">
        <v>148</v>
      </c>
      <c r="G99" s="10">
        <f t="shared" si="4"/>
        <v>12.611822487282932</v>
      </c>
    </row>
    <row r="100" spans="1:7">
      <c r="A100">
        <f t="shared" si="3"/>
        <v>2</v>
      </c>
      <c r="B100">
        <v>21306</v>
      </c>
      <c r="C100">
        <v>1790</v>
      </c>
      <c r="D100">
        <v>674</v>
      </c>
      <c r="E100">
        <v>205</v>
      </c>
      <c r="F100">
        <v>72</v>
      </c>
      <c r="G100" s="10">
        <f t="shared" si="4"/>
        <v>11.452513966480447</v>
      </c>
    </row>
    <row r="101" spans="1:7">
      <c r="A101">
        <f t="shared" si="3"/>
        <v>2</v>
      </c>
      <c r="B101">
        <v>21307</v>
      </c>
      <c r="C101">
        <v>623</v>
      </c>
      <c r="D101">
        <v>194</v>
      </c>
      <c r="E101">
        <v>42</v>
      </c>
      <c r="F101">
        <v>11</v>
      </c>
      <c r="G101" s="10">
        <f t="shared" si="4"/>
        <v>6.7415730337078648</v>
      </c>
    </row>
    <row r="102" spans="1:7">
      <c r="A102">
        <f t="shared" si="3"/>
        <v>2</v>
      </c>
      <c r="B102">
        <v>21401</v>
      </c>
      <c r="C102">
        <v>4901</v>
      </c>
      <c r="D102">
        <v>830</v>
      </c>
      <c r="E102">
        <v>244</v>
      </c>
      <c r="F102">
        <v>76</v>
      </c>
      <c r="G102" s="10">
        <f t="shared" si="4"/>
        <v>4.9785758008569676</v>
      </c>
    </row>
    <row r="103" spans="1:7">
      <c r="A103">
        <f t="shared" si="3"/>
        <v>2</v>
      </c>
      <c r="B103">
        <v>21402</v>
      </c>
      <c r="C103">
        <v>5374</v>
      </c>
      <c r="D103">
        <v>1572</v>
      </c>
      <c r="E103">
        <v>348</v>
      </c>
      <c r="F103">
        <v>65</v>
      </c>
      <c r="G103" s="10">
        <f t="shared" si="4"/>
        <v>6.4756233717901006</v>
      </c>
    </row>
    <row r="104" spans="1:7">
      <c r="A104">
        <f t="shared" si="3"/>
        <v>2</v>
      </c>
      <c r="B104">
        <v>21501</v>
      </c>
      <c r="C104">
        <v>834</v>
      </c>
      <c r="D104">
        <v>188</v>
      </c>
      <c r="E104">
        <v>14</v>
      </c>
      <c r="F104">
        <v>4</v>
      </c>
      <c r="G104" s="10">
        <f t="shared" si="4"/>
        <v>1.6786570743405276</v>
      </c>
    </row>
    <row r="105" spans="1:7">
      <c r="A105">
        <f t="shared" si="3"/>
        <v>2</v>
      </c>
      <c r="B105">
        <v>21502</v>
      </c>
      <c r="C105">
        <v>1455</v>
      </c>
      <c r="D105">
        <v>308</v>
      </c>
      <c r="E105">
        <v>40</v>
      </c>
      <c r="F105">
        <v>6</v>
      </c>
      <c r="G105" s="10">
        <f t="shared" si="4"/>
        <v>2.7491408934707904</v>
      </c>
    </row>
    <row r="106" spans="1:7">
      <c r="A106">
        <f t="shared" si="3"/>
        <v>2</v>
      </c>
      <c r="B106">
        <v>21601</v>
      </c>
      <c r="C106">
        <v>1903</v>
      </c>
      <c r="D106">
        <v>1324</v>
      </c>
      <c r="E106">
        <v>248</v>
      </c>
      <c r="F106">
        <v>46</v>
      </c>
      <c r="G106" s="10">
        <f t="shared" si="4"/>
        <v>13.03205465055176</v>
      </c>
    </row>
    <row r="107" spans="1:7">
      <c r="A107">
        <f t="shared" si="3"/>
        <v>2</v>
      </c>
      <c r="B107">
        <v>21602</v>
      </c>
      <c r="C107">
        <v>316</v>
      </c>
      <c r="D107">
        <v>238</v>
      </c>
      <c r="E107">
        <v>79</v>
      </c>
      <c r="F107">
        <v>16</v>
      </c>
      <c r="G107" s="10">
        <f t="shared" si="4"/>
        <v>25</v>
      </c>
    </row>
    <row r="108" spans="1:7">
      <c r="A108">
        <f t="shared" si="3"/>
        <v>2</v>
      </c>
      <c r="B108">
        <v>21701</v>
      </c>
      <c r="C108">
        <v>4801</v>
      </c>
      <c r="D108">
        <v>2284</v>
      </c>
      <c r="E108">
        <v>850</v>
      </c>
      <c r="F108">
        <v>189</v>
      </c>
      <c r="G108" s="10">
        <f t="shared" si="4"/>
        <v>17.704644865652988</v>
      </c>
    </row>
    <row r="109" spans="1:7">
      <c r="A109">
        <f t="shared" si="3"/>
        <v>2</v>
      </c>
      <c r="B109">
        <v>21702</v>
      </c>
      <c r="C109">
        <v>1755</v>
      </c>
      <c r="D109">
        <v>915</v>
      </c>
      <c r="E109">
        <v>326</v>
      </c>
      <c r="F109">
        <v>72</v>
      </c>
      <c r="G109" s="10">
        <f t="shared" si="4"/>
        <v>18.575498575498575</v>
      </c>
    </row>
    <row r="110" spans="1:7">
      <c r="A110">
        <f t="shared" si="3"/>
        <v>2</v>
      </c>
      <c r="B110">
        <v>21703</v>
      </c>
      <c r="C110">
        <v>466</v>
      </c>
      <c r="D110">
        <v>300</v>
      </c>
      <c r="E110">
        <v>95</v>
      </c>
      <c r="F110">
        <v>10</v>
      </c>
      <c r="G110" s="10">
        <f t="shared" si="4"/>
        <v>20.386266094420602</v>
      </c>
    </row>
    <row r="111" spans="1:7">
      <c r="A111">
        <f t="shared" si="3"/>
        <v>2</v>
      </c>
      <c r="B111">
        <v>21801</v>
      </c>
      <c r="C111">
        <v>156</v>
      </c>
      <c r="D111">
        <v>147</v>
      </c>
      <c r="E111">
        <v>65</v>
      </c>
      <c r="F111">
        <v>13</v>
      </c>
      <c r="G111" s="10">
        <f t="shared" si="4"/>
        <v>41.666666666666664</v>
      </c>
    </row>
    <row r="112" spans="1:7">
      <c r="A112">
        <f t="shared" si="3"/>
        <v>2</v>
      </c>
      <c r="B112">
        <v>21802</v>
      </c>
      <c r="C112">
        <v>1085</v>
      </c>
      <c r="D112">
        <v>255</v>
      </c>
      <c r="E112">
        <v>0</v>
      </c>
      <c r="F112">
        <v>0</v>
      </c>
      <c r="G112" s="10">
        <f t="shared" si="4"/>
        <v>0</v>
      </c>
    </row>
    <row r="113" spans="1:7">
      <c r="A113">
        <f t="shared" si="3"/>
        <v>2</v>
      </c>
      <c r="B113">
        <v>21803</v>
      </c>
      <c r="C113">
        <v>300</v>
      </c>
      <c r="D113">
        <v>279</v>
      </c>
      <c r="E113">
        <v>92</v>
      </c>
      <c r="F113">
        <v>26</v>
      </c>
      <c r="G113" s="10">
        <f t="shared" si="4"/>
        <v>30.666666666666668</v>
      </c>
    </row>
    <row r="114" spans="1:7">
      <c r="A114">
        <f t="shared" si="3"/>
        <v>2</v>
      </c>
      <c r="B114">
        <v>21901</v>
      </c>
      <c r="C114">
        <v>1272</v>
      </c>
      <c r="D114">
        <v>905</v>
      </c>
      <c r="E114">
        <v>273</v>
      </c>
      <c r="F114">
        <v>19</v>
      </c>
      <c r="G114" s="10">
        <f t="shared" si="4"/>
        <v>21.462264150943398</v>
      </c>
    </row>
    <row r="115" spans="1:7">
      <c r="A115">
        <f t="shared" si="3"/>
        <v>2</v>
      </c>
      <c r="B115">
        <v>21902</v>
      </c>
      <c r="C115">
        <v>195</v>
      </c>
      <c r="D115">
        <v>113</v>
      </c>
      <c r="E115">
        <v>29</v>
      </c>
      <c r="F115">
        <v>6</v>
      </c>
      <c r="G115" s="10">
        <f t="shared" si="4"/>
        <v>14.871794871794872</v>
      </c>
    </row>
    <row r="116" spans="1:7">
      <c r="A116">
        <f t="shared" si="3"/>
        <v>2</v>
      </c>
      <c r="B116">
        <v>22001</v>
      </c>
      <c r="C116">
        <v>11182</v>
      </c>
      <c r="D116">
        <v>4096</v>
      </c>
      <c r="E116">
        <v>1666</v>
      </c>
      <c r="F116">
        <v>581</v>
      </c>
      <c r="G116" s="10">
        <f t="shared" si="4"/>
        <v>14.898944732605974</v>
      </c>
    </row>
    <row r="117" spans="1:7">
      <c r="A117">
        <f t="shared" si="3"/>
        <v>2</v>
      </c>
      <c r="B117">
        <v>22002</v>
      </c>
      <c r="C117">
        <v>1918</v>
      </c>
      <c r="D117">
        <v>626</v>
      </c>
      <c r="E117">
        <v>154</v>
      </c>
      <c r="F117">
        <v>46</v>
      </c>
      <c r="G117" s="10">
        <f t="shared" si="4"/>
        <v>8.0291970802919703</v>
      </c>
    </row>
    <row r="118" spans="1:7">
      <c r="A118">
        <f t="shared" si="3"/>
        <v>3</v>
      </c>
      <c r="B118">
        <v>30101</v>
      </c>
      <c r="C118">
        <v>207056</v>
      </c>
      <c r="D118">
        <v>28589</v>
      </c>
      <c r="E118">
        <v>9655</v>
      </c>
      <c r="F118">
        <v>2578</v>
      </c>
      <c r="G118" s="10">
        <f t="shared" si="4"/>
        <v>4.6629897225871266</v>
      </c>
    </row>
    <row r="119" spans="1:7">
      <c r="A119">
        <f t="shared" si="3"/>
        <v>3</v>
      </c>
      <c r="B119">
        <v>30201</v>
      </c>
      <c r="C119">
        <v>4196</v>
      </c>
      <c r="D119">
        <v>756</v>
      </c>
      <c r="E119">
        <v>274</v>
      </c>
      <c r="F119">
        <v>46</v>
      </c>
      <c r="G119" s="10">
        <f t="shared" si="4"/>
        <v>6.5300285986653952</v>
      </c>
    </row>
    <row r="120" spans="1:7">
      <c r="A120">
        <f t="shared" si="3"/>
        <v>3</v>
      </c>
      <c r="B120">
        <v>30202</v>
      </c>
      <c r="C120">
        <v>726</v>
      </c>
      <c r="D120">
        <v>164</v>
      </c>
      <c r="E120">
        <v>45</v>
      </c>
      <c r="F120">
        <v>4</v>
      </c>
      <c r="G120" s="10">
        <f t="shared" si="4"/>
        <v>6.1983471074380168</v>
      </c>
    </row>
    <row r="121" spans="1:7">
      <c r="A121">
        <f t="shared" si="3"/>
        <v>3</v>
      </c>
      <c r="B121">
        <v>30203</v>
      </c>
      <c r="C121">
        <v>2313</v>
      </c>
      <c r="D121">
        <v>373</v>
      </c>
      <c r="E121">
        <v>83</v>
      </c>
      <c r="F121">
        <v>2</v>
      </c>
      <c r="G121" s="10">
        <f t="shared" si="4"/>
        <v>3.5884133160397753</v>
      </c>
    </row>
    <row r="122" spans="1:7">
      <c r="A122">
        <f t="shared" si="3"/>
        <v>3</v>
      </c>
      <c r="B122">
        <v>30301</v>
      </c>
      <c r="C122">
        <v>3112</v>
      </c>
      <c r="D122">
        <v>972</v>
      </c>
      <c r="E122">
        <v>279</v>
      </c>
      <c r="F122">
        <v>60</v>
      </c>
      <c r="G122" s="10">
        <f t="shared" si="4"/>
        <v>8.9652956298200515</v>
      </c>
    </row>
    <row r="123" spans="1:7">
      <c r="A123">
        <f t="shared" si="3"/>
        <v>3</v>
      </c>
      <c r="B123">
        <v>30302</v>
      </c>
      <c r="C123">
        <v>1569</v>
      </c>
      <c r="D123">
        <v>639</v>
      </c>
      <c r="E123">
        <v>232</v>
      </c>
      <c r="F123">
        <v>63</v>
      </c>
      <c r="G123" s="10">
        <f t="shared" si="4"/>
        <v>14.786488209050351</v>
      </c>
    </row>
    <row r="124" spans="1:7">
      <c r="A124">
        <f t="shared" si="3"/>
        <v>3</v>
      </c>
      <c r="B124">
        <v>30303</v>
      </c>
      <c r="C124">
        <v>1108</v>
      </c>
      <c r="D124">
        <v>465</v>
      </c>
      <c r="E124">
        <v>154</v>
      </c>
      <c r="F124">
        <v>27</v>
      </c>
      <c r="G124" s="10">
        <f t="shared" si="4"/>
        <v>13.898916967509026</v>
      </c>
    </row>
    <row r="125" spans="1:7">
      <c r="A125">
        <f t="shared" si="3"/>
        <v>3</v>
      </c>
      <c r="B125">
        <v>30401</v>
      </c>
      <c r="C125">
        <v>2561</v>
      </c>
      <c r="D125">
        <v>670</v>
      </c>
      <c r="E125">
        <v>298</v>
      </c>
      <c r="F125">
        <v>78</v>
      </c>
      <c r="G125" s="10">
        <f t="shared" si="4"/>
        <v>11.636079656384226</v>
      </c>
    </row>
    <row r="126" spans="1:7">
      <c r="A126">
        <f t="shared" si="3"/>
        <v>3</v>
      </c>
      <c r="B126">
        <v>30402</v>
      </c>
      <c r="C126">
        <v>925</v>
      </c>
      <c r="D126">
        <v>396</v>
      </c>
      <c r="E126">
        <v>185</v>
      </c>
      <c r="F126">
        <v>39</v>
      </c>
      <c r="G126" s="10">
        <f t="shared" si="4"/>
        <v>20</v>
      </c>
    </row>
    <row r="127" spans="1:7">
      <c r="A127">
        <f t="shared" si="3"/>
        <v>3</v>
      </c>
      <c r="B127">
        <v>30403</v>
      </c>
      <c r="C127">
        <v>4972</v>
      </c>
      <c r="D127">
        <v>1700</v>
      </c>
      <c r="E127">
        <v>803</v>
      </c>
      <c r="F127">
        <v>227</v>
      </c>
      <c r="G127" s="10">
        <f t="shared" si="4"/>
        <v>16.150442477876105</v>
      </c>
    </row>
    <row r="128" spans="1:7">
      <c r="A128">
        <f t="shared" si="3"/>
        <v>3</v>
      </c>
      <c r="B128">
        <v>30404</v>
      </c>
      <c r="C128">
        <v>1170</v>
      </c>
      <c r="D128">
        <v>518</v>
      </c>
      <c r="E128">
        <v>176</v>
      </c>
      <c r="F128">
        <v>42</v>
      </c>
      <c r="G128" s="10">
        <f t="shared" si="4"/>
        <v>15.042735042735043</v>
      </c>
    </row>
    <row r="129" spans="1:7">
      <c r="A129">
        <f t="shared" si="3"/>
        <v>3</v>
      </c>
      <c r="B129">
        <v>30501</v>
      </c>
      <c r="C129">
        <v>4767</v>
      </c>
      <c r="D129">
        <v>1396</v>
      </c>
      <c r="E129">
        <v>706</v>
      </c>
      <c r="F129">
        <v>162</v>
      </c>
      <c r="G129" s="10">
        <f t="shared" si="4"/>
        <v>14.810153136144326</v>
      </c>
    </row>
    <row r="130" spans="1:7">
      <c r="A130">
        <f t="shared" si="3"/>
        <v>3</v>
      </c>
      <c r="B130">
        <v>30502</v>
      </c>
      <c r="C130">
        <v>1349</v>
      </c>
      <c r="D130">
        <v>483</v>
      </c>
      <c r="E130">
        <v>226</v>
      </c>
      <c r="F130">
        <v>55</v>
      </c>
      <c r="G130" s="10">
        <f t="shared" si="4"/>
        <v>16.7531504818384</v>
      </c>
    </row>
    <row r="131" spans="1:7">
      <c r="A131">
        <f t="shared" ref="A131:A194" si="5">VALUE(MID(B131,1,1))</f>
        <v>3</v>
      </c>
      <c r="B131">
        <v>30601</v>
      </c>
      <c r="C131">
        <v>981</v>
      </c>
      <c r="D131">
        <v>400</v>
      </c>
      <c r="E131">
        <v>144</v>
      </c>
      <c r="F131">
        <v>33</v>
      </c>
      <c r="G131" s="10">
        <f t="shared" ref="G131:G194" si="6">100*E131/C131</f>
        <v>14.678899082568808</v>
      </c>
    </row>
    <row r="132" spans="1:7">
      <c r="A132">
        <f t="shared" si="5"/>
        <v>3</v>
      </c>
      <c r="B132">
        <v>30602</v>
      </c>
      <c r="C132">
        <v>1114</v>
      </c>
      <c r="D132">
        <v>479</v>
      </c>
      <c r="E132">
        <v>199</v>
      </c>
      <c r="F132">
        <v>40</v>
      </c>
      <c r="G132" s="10">
        <f t="shared" si="6"/>
        <v>17.863554757630162</v>
      </c>
    </row>
    <row r="133" spans="1:7">
      <c r="A133">
        <f t="shared" si="5"/>
        <v>3</v>
      </c>
      <c r="B133">
        <v>30701</v>
      </c>
      <c r="C133">
        <v>5818</v>
      </c>
      <c r="D133">
        <v>916</v>
      </c>
      <c r="E133">
        <v>297</v>
      </c>
      <c r="F133">
        <v>56</v>
      </c>
      <c r="G133" s="10">
        <f t="shared" si="6"/>
        <v>5.1048470264695771</v>
      </c>
    </row>
    <row r="134" spans="1:7">
      <c r="A134">
        <f t="shared" si="5"/>
        <v>3</v>
      </c>
      <c r="B134">
        <v>30702</v>
      </c>
      <c r="C134">
        <v>2273</v>
      </c>
      <c r="D134">
        <v>739</v>
      </c>
      <c r="E134">
        <v>360</v>
      </c>
      <c r="F134">
        <v>121</v>
      </c>
      <c r="G134" s="10">
        <f t="shared" si="6"/>
        <v>15.838099428068631</v>
      </c>
    </row>
    <row r="135" spans="1:7">
      <c r="A135">
        <f t="shared" si="5"/>
        <v>3</v>
      </c>
      <c r="B135">
        <v>30703</v>
      </c>
      <c r="C135">
        <v>1138</v>
      </c>
      <c r="D135">
        <v>244</v>
      </c>
      <c r="E135">
        <v>60</v>
      </c>
      <c r="F135">
        <v>17</v>
      </c>
      <c r="G135" s="10">
        <f t="shared" si="6"/>
        <v>5.272407732864675</v>
      </c>
    </row>
    <row r="136" spans="1:7">
      <c r="A136">
        <f t="shared" si="5"/>
        <v>3</v>
      </c>
      <c r="B136">
        <v>30801</v>
      </c>
      <c r="C136">
        <v>6665</v>
      </c>
      <c r="D136">
        <v>1470</v>
      </c>
      <c r="E136">
        <v>717</v>
      </c>
      <c r="F136">
        <v>206</v>
      </c>
      <c r="G136" s="10">
        <f t="shared" si="6"/>
        <v>10.75768942235559</v>
      </c>
    </row>
    <row r="137" spans="1:7">
      <c r="A137">
        <f t="shared" si="5"/>
        <v>3</v>
      </c>
      <c r="B137">
        <v>30802</v>
      </c>
      <c r="C137">
        <v>1728</v>
      </c>
      <c r="D137">
        <v>480</v>
      </c>
      <c r="E137">
        <v>211</v>
      </c>
      <c r="F137">
        <v>51</v>
      </c>
      <c r="G137" s="10">
        <f t="shared" si="6"/>
        <v>12.210648148148149</v>
      </c>
    </row>
    <row r="138" spans="1:7">
      <c r="A138">
        <f t="shared" si="5"/>
        <v>3</v>
      </c>
      <c r="B138">
        <v>30803</v>
      </c>
      <c r="C138">
        <v>1936</v>
      </c>
      <c r="D138">
        <v>517</v>
      </c>
      <c r="E138">
        <v>240</v>
      </c>
      <c r="F138">
        <v>84</v>
      </c>
      <c r="G138" s="10">
        <f t="shared" si="6"/>
        <v>12.396694214876034</v>
      </c>
    </row>
    <row r="139" spans="1:7">
      <c r="A139">
        <f t="shared" si="5"/>
        <v>3</v>
      </c>
      <c r="B139">
        <v>30901</v>
      </c>
      <c r="C139">
        <v>39097</v>
      </c>
      <c r="D139">
        <v>4355</v>
      </c>
      <c r="E139">
        <v>1521</v>
      </c>
      <c r="F139">
        <v>426</v>
      </c>
      <c r="G139" s="10">
        <f t="shared" si="6"/>
        <v>3.8903240657850988</v>
      </c>
    </row>
    <row r="140" spans="1:7">
      <c r="A140">
        <f t="shared" si="5"/>
        <v>3</v>
      </c>
      <c r="B140">
        <v>30902</v>
      </c>
      <c r="C140">
        <v>14326</v>
      </c>
      <c r="D140">
        <v>1947</v>
      </c>
      <c r="E140">
        <v>627</v>
      </c>
      <c r="F140">
        <v>150</v>
      </c>
      <c r="G140" s="10">
        <f t="shared" si="6"/>
        <v>4.3766578249336874</v>
      </c>
    </row>
    <row r="141" spans="1:7">
      <c r="A141">
        <f t="shared" si="5"/>
        <v>3</v>
      </c>
      <c r="B141">
        <v>30903</v>
      </c>
      <c r="C141">
        <v>15449</v>
      </c>
      <c r="D141">
        <v>2035</v>
      </c>
      <c r="E141">
        <v>613</v>
      </c>
      <c r="F141">
        <v>156</v>
      </c>
      <c r="G141" s="10">
        <f t="shared" si="6"/>
        <v>3.9678943620946341</v>
      </c>
    </row>
    <row r="142" spans="1:7">
      <c r="A142">
        <f t="shared" si="5"/>
        <v>3</v>
      </c>
      <c r="B142">
        <v>30904</v>
      </c>
      <c r="C142">
        <v>14540</v>
      </c>
      <c r="D142">
        <v>2233</v>
      </c>
      <c r="E142">
        <v>861</v>
      </c>
      <c r="F142">
        <v>255</v>
      </c>
      <c r="G142" s="10">
        <f t="shared" si="6"/>
        <v>5.9215955983493807</v>
      </c>
    </row>
    <row r="143" spans="1:7">
      <c r="A143">
        <f t="shared" si="5"/>
        <v>3</v>
      </c>
      <c r="B143">
        <v>30905</v>
      </c>
      <c r="C143">
        <v>15360</v>
      </c>
      <c r="D143">
        <v>1613</v>
      </c>
      <c r="E143">
        <v>466</v>
      </c>
      <c r="F143">
        <v>121</v>
      </c>
      <c r="G143" s="10">
        <f t="shared" si="6"/>
        <v>3.0338541666666665</v>
      </c>
    </row>
    <row r="144" spans="1:7">
      <c r="A144">
        <f t="shared" si="5"/>
        <v>3</v>
      </c>
      <c r="B144">
        <v>31001</v>
      </c>
      <c r="C144">
        <v>50068</v>
      </c>
      <c r="D144">
        <v>7914</v>
      </c>
      <c r="E144">
        <v>2865</v>
      </c>
      <c r="F144">
        <v>754</v>
      </c>
      <c r="G144" s="10">
        <f t="shared" si="6"/>
        <v>5.7222177838140134</v>
      </c>
    </row>
    <row r="145" spans="1:7">
      <c r="A145">
        <f t="shared" si="5"/>
        <v>3</v>
      </c>
      <c r="B145">
        <v>31002</v>
      </c>
      <c r="C145">
        <v>5192</v>
      </c>
      <c r="D145">
        <v>1230</v>
      </c>
      <c r="E145">
        <v>459</v>
      </c>
      <c r="F145">
        <v>147</v>
      </c>
      <c r="G145" s="10">
        <f t="shared" si="6"/>
        <v>8.8405238828967647</v>
      </c>
    </row>
    <row r="146" spans="1:7">
      <c r="A146">
        <f t="shared" si="5"/>
        <v>3</v>
      </c>
      <c r="B146">
        <v>31003</v>
      </c>
      <c r="C146">
        <v>17301</v>
      </c>
      <c r="D146">
        <v>3693</v>
      </c>
      <c r="E146">
        <v>1222</v>
      </c>
      <c r="F146">
        <v>293</v>
      </c>
      <c r="G146" s="10">
        <f t="shared" si="6"/>
        <v>7.0631755389861857</v>
      </c>
    </row>
    <row r="147" spans="1:7">
      <c r="A147">
        <f t="shared" si="5"/>
        <v>3</v>
      </c>
      <c r="B147">
        <v>31101</v>
      </c>
      <c r="C147">
        <v>2036</v>
      </c>
      <c r="D147">
        <v>818</v>
      </c>
      <c r="E147">
        <v>322</v>
      </c>
      <c r="F147">
        <v>70</v>
      </c>
      <c r="G147" s="10">
        <f t="shared" si="6"/>
        <v>15.81532416502947</v>
      </c>
    </row>
    <row r="148" spans="1:7">
      <c r="A148">
        <f t="shared" si="5"/>
        <v>3</v>
      </c>
      <c r="B148">
        <v>31201</v>
      </c>
      <c r="C148">
        <v>3378</v>
      </c>
      <c r="D148">
        <v>812</v>
      </c>
      <c r="E148">
        <v>215</v>
      </c>
      <c r="F148">
        <v>41</v>
      </c>
      <c r="G148" s="10">
        <f t="shared" si="6"/>
        <v>6.3647128478389581</v>
      </c>
    </row>
    <row r="149" spans="1:7">
      <c r="A149">
        <f t="shared" si="5"/>
        <v>3</v>
      </c>
      <c r="B149">
        <v>31202</v>
      </c>
      <c r="C149">
        <v>1781</v>
      </c>
      <c r="D149">
        <v>470</v>
      </c>
      <c r="E149">
        <v>174</v>
      </c>
      <c r="F149">
        <v>44</v>
      </c>
      <c r="G149" s="10">
        <f t="shared" si="6"/>
        <v>9.7697922515440769</v>
      </c>
    </row>
    <row r="150" spans="1:7">
      <c r="A150">
        <f t="shared" si="5"/>
        <v>3</v>
      </c>
      <c r="B150">
        <v>31203</v>
      </c>
      <c r="C150">
        <v>2518</v>
      </c>
      <c r="D150">
        <v>709</v>
      </c>
      <c r="E150">
        <v>275</v>
      </c>
      <c r="F150">
        <v>54</v>
      </c>
      <c r="G150" s="10">
        <f t="shared" si="6"/>
        <v>10.921366163621922</v>
      </c>
    </row>
    <row r="151" spans="1:7">
      <c r="A151">
        <f t="shared" si="5"/>
        <v>3</v>
      </c>
      <c r="B151">
        <v>31204</v>
      </c>
      <c r="C151">
        <v>4837</v>
      </c>
      <c r="D151">
        <v>875</v>
      </c>
      <c r="E151">
        <v>271</v>
      </c>
      <c r="F151">
        <v>51</v>
      </c>
      <c r="G151" s="10">
        <f t="shared" si="6"/>
        <v>5.6026462683481499</v>
      </c>
    </row>
    <row r="152" spans="1:7">
      <c r="A152">
        <f t="shared" si="5"/>
        <v>3</v>
      </c>
      <c r="B152">
        <v>31205</v>
      </c>
      <c r="C152">
        <v>11142</v>
      </c>
      <c r="D152">
        <v>2248</v>
      </c>
      <c r="E152">
        <v>707</v>
      </c>
      <c r="F152">
        <v>229</v>
      </c>
      <c r="G152" s="10">
        <f t="shared" si="6"/>
        <v>6.3453598994794476</v>
      </c>
    </row>
    <row r="153" spans="1:7">
      <c r="A153">
        <f t="shared" si="5"/>
        <v>3</v>
      </c>
      <c r="B153">
        <v>31206</v>
      </c>
      <c r="C153">
        <v>6932</v>
      </c>
      <c r="D153">
        <v>1015</v>
      </c>
      <c r="E153">
        <v>271</v>
      </c>
      <c r="F153">
        <v>81</v>
      </c>
      <c r="G153" s="10">
        <f t="shared" si="6"/>
        <v>3.9094056549336411</v>
      </c>
    </row>
    <row r="154" spans="1:7">
      <c r="A154">
        <f t="shared" si="5"/>
        <v>3</v>
      </c>
      <c r="B154">
        <v>31301</v>
      </c>
      <c r="C154">
        <v>5163</v>
      </c>
      <c r="D154">
        <v>1104</v>
      </c>
      <c r="E154">
        <v>355</v>
      </c>
      <c r="F154">
        <v>73</v>
      </c>
      <c r="G154" s="10">
        <f t="shared" si="6"/>
        <v>6.8758473755568472</v>
      </c>
    </row>
    <row r="155" spans="1:7">
      <c r="A155">
        <f t="shared" si="5"/>
        <v>3</v>
      </c>
      <c r="B155">
        <v>31302</v>
      </c>
      <c r="C155">
        <v>473</v>
      </c>
      <c r="D155">
        <v>180</v>
      </c>
      <c r="E155">
        <v>51</v>
      </c>
      <c r="F155">
        <v>6</v>
      </c>
      <c r="G155" s="10">
        <f t="shared" si="6"/>
        <v>10.782241014799155</v>
      </c>
    </row>
    <row r="156" spans="1:7">
      <c r="A156">
        <f t="shared" si="5"/>
        <v>3</v>
      </c>
      <c r="B156">
        <v>31303</v>
      </c>
      <c r="C156">
        <v>297</v>
      </c>
      <c r="D156">
        <v>121</v>
      </c>
      <c r="E156">
        <v>38</v>
      </c>
      <c r="F156">
        <v>9</v>
      </c>
      <c r="G156" s="10">
        <f t="shared" si="6"/>
        <v>12.794612794612794</v>
      </c>
    </row>
    <row r="157" spans="1:7">
      <c r="A157">
        <f t="shared" si="5"/>
        <v>3</v>
      </c>
      <c r="B157">
        <v>31401</v>
      </c>
      <c r="C157">
        <v>9916</v>
      </c>
      <c r="D157">
        <v>1836</v>
      </c>
      <c r="E157">
        <v>777</v>
      </c>
      <c r="F157">
        <v>191</v>
      </c>
      <c r="G157" s="10">
        <f t="shared" si="6"/>
        <v>7.8358208955223878</v>
      </c>
    </row>
    <row r="158" spans="1:7">
      <c r="A158">
        <f t="shared" si="5"/>
        <v>3</v>
      </c>
      <c r="B158">
        <v>31402</v>
      </c>
      <c r="C158">
        <v>3091</v>
      </c>
      <c r="D158">
        <v>1128</v>
      </c>
      <c r="E158">
        <v>597</v>
      </c>
      <c r="F158">
        <v>193</v>
      </c>
      <c r="G158" s="10">
        <f t="shared" si="6"/>
        <v>19.314137819475899</v>
      </c>
    </row>
    <row r="159" spans="1:7">
      <c r="A159">
        <f t="shared" si="5"/>
        <v>3</v>
      </c>
      <c r="B159">
        <v>31403</v>
      </c>
      <c r="C159">
        <v>4575</v>
      </c>
      <c r="D159">
        <v>1014</v>
      </c>
      <c r="E159">
        <v>491</v>
      </c>
      <c r="F159">
        <v>149</v>
      </c>
      <c r="G159" s="10">
        <f t="shared" si="6"/>
        <v>10.73224043715847</v>
      </c>
    </row>
    <row r="160" spans="1:7">
      <c r="A160">
        <f t="shared" si="5"/>
        <v>3</v>
      </c>
      <c r="B160">
        <v>31404</v>
      </c>
      <c r="C160">
        <v>293</v>
      </c>
      <c r="D160">
        <v>108</v>
      </c>
      <c r="E160">
        <v>57</v>
      </c>
      <c r="F160">
        <v>17</v>
      </c>
      <c r="G160" s="10">
        <f t="shared" si="6"/>
        <v>19.453924914675767</v>
      </c>
    </row>
    <row r="161" spans="1:7">
      <c r="A161">
        <f t="shared" si="5"/>
        <v>3</v>
      </c>
      <c r="B161">
        <v>31501</v>
      </c>
      <c r="C161">
        <v>895</v>
      </c>
      <c r="D161">
        <v>365</v>
      </c>
      <c r="E161">
        <v>153</v>
      </c>
      <c r="F161">
        <v>24</v>
      </c>
      <c r="G161" s="10">
        <f t="shared" si="6"/>
        <v>17.094972067039105</v>
      </c>
    </row>
    <row r="162" spans="1:7">
      <c r="A162">
        <f t="shared" si="5"/>
        <v>3</v>
      </c>
      <c r="B162">
        <v>31601</v>
      </c>
      <c r="C162">
        <v>5476</v>
      </c>
      <c r="D162">
        <v>1327</v>
      </c>
      <c r="E162">
        <v>576</v>
      </c>
      <c r="F162">
        <v>130</v>
      </c>
      <c r="G162" s="10">
        <f t="shared" si="6"/>
        <v>10.51862673484295</v>
      </c>
    </row>
    <row r="163" spans="1:7">
      <c r="A163">
        <f t="shared" si="5"/>
        <v>3</v>
      </c>
      <c r="B163">
        <v>31602</v>
      </c>
      <c r="C163">
        <v>4850</v>
      </c>
      <c r="D163">
        <v>682</v>
      </c>
      <c r="E163">
        <v>220</v>
      </c>
      <c r="F163">
        <v>37</v>
      </c>
      <c r="G163" s="10">
        <f t="shared" si="6"/>
        <v>4.536082474226804</v>
      </c>
    </row>
    <row r="164" spans="1:7">
      <c r="A164">
        <f t="shared" si="5"/>
        <v>4</v>
      </c>
      <c r="B164">
        <v>40101</v>
      </c>
      <c r="C164">
        <v>87056</v>
      </c>
      <c r="D164">
        <v>15238</v>
      </c>
      <c r="E164">
        <v>4670</v>
      </c>
      <c r="F164">
        <v>1167</v>
      </c>
      <c r="G164" s="10">
        <f t="shared" si="6"/>
        <v>5.3643631685351956</v>
      </c>
    </row>
    <row r="165" spans="1:7">
      <c r="A165">
        <f t="shared" si="5"/>
        <v>4</v>
      </c>
      <c r="B165">
        <v>40102</v>
      </c>
      <c r="C165">
        <v>4560</v>
      </c>
      <c r="D165">
        <v>1500</v>
      </c>
      <c r="E165">
        <v>238</v>
      </c>
      <c r="F165">
        <v>26</v>
      </c>
      <c r="G165" s="10">
        <f t="shared" si="6"/>
        <v>5.2192982456140351</v>
      </c>
    </row>
    <row r="166" spans="1:7">
      <c r="A166">
        <f t="shared" si="5"/>
        <v>4</v>
      </c>
      <c r="B166">
        <v>40103</v>
      </c>
      <c r="C166">
        <v>83</v>
      </c>
      <c r="D166">
        <v>58</v>
      </c>
      <c r="E166">
        <v>23</v>
      </c>
      <c r="F166">
        <v>6</v>
      </c>
      <c r="G166" s="10">
        <f t="shared" si="6"/>
        <v>27.710843373493976</v>
      </c>
    </row>
    <row r="167" spans="1:7">
      <c r="A167">
        <f t="shared" si="5"/>
        <v>4</v>
      </c>
      <c r="B167">
        <v>40104</v>
      </c>
      <c r="C167">
        <v>10875</v>
      </c>
      <c r="D167">
        <v>2717</v>
      </c>
      <c r="E167">
        <v>154</v>
      </c>
      <c r="F167">
        <v>9</v>
      </c>
      <c r="G167" s="10">
        <f t="shared" si="6"/>
        <v>1.4160919540229886</v>
      </c>
    </row>
    <row r="168" spans="1:7">
      <c r="A168">
        <f t="shared" si="5"/>
        <v>4</v>
      </c>
      <c r="B168">
        <v>40201</v>
      </c>
      <c r="C168">
        <v>7296</v>
      </c>
      <c r="D168">
        <v>3041</v>
      </c>
      <c r="E168">
        <v>1174</v>
      </c>
      <c r="F168">
        <v>75</v>
      </c>
      <c r="G168" s="10">
        <f t="shared" si="6"/>
        <v>16.091008771929825</v>
      </c>
    </row>
    <row r="169" spans="1:7">
      <c r="A169">
        <f t="shared" si="5"/>
        <v>4</v>
      </c>
      <c r="B169">
        <v>40202</v>
      </c>
      <c r="C169">
        <v>685</v>
      </c>
      <c r="D169">
        <v>78</v>
      </c>
      <c r="E169">
        <v>12</v>
      </c>
      <c r="F169">
        <v>3</v>
      </c>
      <c r="G169" s="10">
        <f t="shared" si="6"/>
        <v>1.7518248175182483</v>
      </c>
    </row>
    <row r="170" spans="1:7">
      <c r="A170">
        <f t="shared" si="5"/>
        <v>4</v>
      </c>
      <c r="B170">
        <v>40301</v>
      </c>
      <c r="C170">
        <v>1374</v>
      </c>
      <c r="D170">
        <v>1061</v>
      </c>
      <c r="E170">
        <v>325</v>
      </c>
      <c r="F170">
        <v>30</v>
      </c>
      <c r="G170" s="10">
        <f t="shared" si="6"/>
        <v>23.653566229985444</v>
      </c>
    </row>
    <row r="171" spans="1:7">
      <c r="A171">
        <f t="shared" si="5"/>
        <v>4</v>
      </c>
      <c r="B171">
        <v>40302</v>
      </c>
      <c r="C171">
        <v>227</v>
      </c>
      <c r="D171">
        <v>204</v>
      </c>
      <c r="E171">
        <v>67</v>
      </c>
      <c r="F171">
        <v>6</v>
      </c>
      <c r="G171" s="10">
        <f t="shared" si="6"/>
        <v>29.515418502202643</v>
      </c>
    </row>
    <row r="172" spans="1:7">
      <c r="A172">
        <f t="shared" si="5"/>
        <v>4</v>
      </c>
      <c r="B172">
        <v>40401</v>
      </c>
      <c r="C172">
        <v>873</v>
      </c>
      <c r="D172">
        <v>257</v>
      </c>
      <c r="E172">
        <v>76</v>
      </c>
      <c r="F172">
        <v>20</v>
      </c>
      <c r="G172" s="10">
        <f t="shared" si="6"/>
        <v>8.7056128293241688</v>
      </c>
    </row>
    <row r="173" spans="1:7">
      <c r="A173">
        <f t="shared" si="5"/>
        <v>4</v>
      </c>
      <c r="B173">
        <v>40402</v>
      </c>
      <c r="C173">
        <v>442</v>
      </c>
      <c r="D173">
        <v>333</v>
      </c>
      <c r="E173">
        <v>129</v>
      </c>
      <c r="F173">
        <v>19</v>
      </c>
      <c r="G173" s="10">
        <f t="shared" si="6"/>
        <v>29.18552036199095</v>
      </c>
    </row>
    <row r="174" spans="1:7">
      <c r="A174">
        <f t="shared" si="5"/>
        <v>4</v>
      </c>
      <c r="B174">
        <v>40501</v>
      </c>
      <c r="C174">
        <v>561</v>
      </c>
      <c r="D174">
        <v>352</v>
      </c>
      <c r="E174">
        <v>124</v>
      </c>
      <c r="F174">
        <v>15</v>
      </c>
      <c r="G174" s="10">
        <f t="shared" si="6"/>
        <v>22.103386809269161</v>
      </c>
    </row>
    <row r="175" spans="1:7">
      <c r="A175">
        <f t="shared" si="5"/>
        <v>4</v>
      </c>
      <c r="B175">
        <v>40502</v>
      </c>
      <c r="C175">
        <v>28</v>
      </c>
      <c r="D175">
        <v>28</v>
      </c>
      <c r="E175">
        <v>14</v>
      </c>
      <c r="F175">
        <v>0</v>
      </c>
      <c r="G175" s="10">
        <f t="shared" si="6"/>
        <v>50</v>
      </c>
    </row>
    <row r="176" spans="1:7">
      <c r="A176">
        <f t="shared" si="5"/>
        <v>4</v>
      </c>
      <c r="B176">
        <v>40503</v>
      </c>
      <c r="C176">
        <v>63</v>
      </c>
      <c r="D176">
        <v>54</v>
      </c>
      <c r="E176">
        <v>16</v>
      </c>
      <c r="F176">
        <v>1</v>
      </c>
      <c r="G176" s="10">
        <f t="shared" si="6"/>
        <v>25.396825396825395</v>
      </c>
    </row>
    <row r="177" spans="1:7">
      <c r="A177">
        <f t="shared" si="5"/>
        <v>4</v>
      </c>
      <c r="B177">
        <v>40504</v>
      </c>
      <c r="C177">
        <v>58</v>
      </c>
      <c r="D177">
        <v>33</v>
      </c>
      <c r="E177">
        <v>1</v>
      </c>
      <c r="F177">
        <v>0</v>
      </c>
      <c r="G177" s="10">
        <f t="shared" si="6"/>
        <v>1.7241379310344827</v>
      </c>
    </row>
    <row r="178" spans="1:7">
      <c r="A178">
        <f t="shared" si="5"/>
        <v>4</v>
      </c>
      <c r="B178">
        <v>40505</v>
      </c>
      <c r="C178">
        <v>61</v>
      </c>
      <c r="D178">
        <v>50</v>
      </c>
      <c r="E178">
        <v>25</v>
      </c>
      <c r="F178">
        <v>2</v>
      </c>
      <c r="G178" s="10">
        <f t="shared" si="6"/>
        <v>40.983606557377051</v>
      </c>
    </row>
    <row r="179" spans="1:7">
      <c r="A179">
        <f t="shared" si="5"/>
        <v>4</v>
      </c>
      <c r="B179">
        <v>40601</v>
      </c>
      <c r="C179">
        <v>171</v>
      </c>
      <c r="D179">
        <v>129</v>
      </c>
      <c r="E179">
        <v>45</v>
      </c>
      <c r="F179">
        <v>16</v>
      </c>
      <c r="G179" s="10">
        <f t="shared" si="6"/>
        <v>26.315789473684209</v>
      </c>
    </row>
    <row r="180" spans="1:7">
      <c r="A180">
        <f t="shared" si="5"/>
        <v>4</v>
      </c>
      <c r="B180">
        <v>40602</v>
      </c>
      <c r="C180">
        <v>1175</v>
      </c>
      <c r="D180">
        <v>608</v>
      </c>
      <c r="E180">
        <v>67</v>
      </c>
      <c r="F180">
        <v>0</v>
      </c>
      <c r="G180" s="10">
        <f t="shared" si="6"/>
        <v>5.7021276595744679</v>
      </c>
    </row>
    <row r="181" spans="1:7">
      <c r="A181">
        <f t="shared" si="5"/>
        <v>4</v>
      </c>
      <c r="B181">
        <v>40603</v>
      </c>
      <c r="C181">
        <v>6</v>
      </c>
      <c r="D181">
        <v>5</v>
      </c>
      <c r="E181">
        <v>1</v>
      </c>
      <c r="F181">
        <v>0</v>
      </c>
      <c r="G181" s="10">
        <f t="shared" si="6"/>
        <v>16.666666666666668</v>
      </c>
    </row>
    <row r="182" spans="1:7">
      <c r="A182">
        <f t="shared" si="5"/>
        <v>4</v>
      </c>
      <c r="B182">
        <v>40701</v>
      </c>
      <c r="C182">
        <v>5439</v>
      </c>
      <c r="D182">
        <v>1177</v>
      </c>
      <c r="E182">
        <v>479</v>
      </c>
      <c r="F182">
        <v>67</v>
      </c>
      <c r="G182" s="10">
        <f t="shared" si="6"/>
        <v>8.8067659496230917</v>
      </c>
    </row>
    <row r="183" spans="1:7">
      <c r="A183">
        <f t="shared" si="5"/>
        <v>4</v>
      </c>
      <c r="B183">
        <v>40702</v>
      </c>
      <c r="C183">
        <v>965</v>
      </c>
      <c r="D183">
        <v>261</v>
      </c>
      <c r="E183">
        <v>93</v>
      </c>
      <c r="F183">
        <v>24</v>
      </c>
      <c r="G183" s="10">
        <f t="shared" si="6"/>
        <v>9.6373056994818658</v>
      </c>
    </row>
    <row r="184" spans="1:7">
      <c r="A184">
        <f t="shared" si="5"/>
        <v>4</v>
      </c>
      <c r="B184">
        <v>40801</v>
      </c>
      <c r="C184">
        <v>3383</v>
      </c>
      <c r="D184">
        <v>2888</v>
      </c>
      <c r="E184">
        <v>1174</v>
      </c>
      <c r="F184">
        <v>121</v>
      </c>
      <c r="G184" s="10">
        <f t="shared" si="6"/>
        <v>34.702926396689328</v>
      </c>
    </row>
    <row r="185" spans="1:7">
      <c r="A185">
        <f t="shared" si="5"/>
        <v>4</v>
      </c>
      <c r="B185">
        <v>40802</v>
      </c>
      <c r="C185">
        <v>179</v>
      </c>
      <c r="D185">
        <v>147</v>
      </c>
      <c r="E185">
        <v>60</v>
      </c>
      <c r="F185">
        <v>4</v>
      </c>
      <c r="G185" s="10">
        <f t="shared" si="6"/>
        <v>33.519553072625698</v>
      </c>
    </row>
    <row r="186" spans="1:7">
      <c r="A186">
        <f t="shared" si="5"/>
        <v>4</v>
      </c>
      <c r="B186">
        <v>40901</v>
      </c>
      <c r="C186">
        <v>762</v>
      </c>
      <c r="D186">
        <v>449</v>
      </c>
      <c r="E186">
        <v>175</v>
      </c>
      <c r="F186">
        <v>19</v>
      </c>
      <c r="G186" s="10">
        <f t="shared" si="6"/>
        <v>22.965879265091864</v>
      </c>
    </row>
    <row r="187" spans="1:7">
      <c r="A187">
        <f t="shared" si="5"/>
        <v>4</v>
      </c>
      <c r="B187">
        <v>40902</v>
      </c>
      <c r="C187">
        <v>132</v>
      </c>
      <c r="D187">
        <v>59</v>
      </c>
      <c r="E187">
        <v>19</v>
      </c>
      <c r="F187">
        <v>1</v>
      </c>
      <c r="G187" s="10">
        <f t="shared" si="6"/>
        <v>14.393939393939394</v>
      </c>
    </row>
    <row r="188" spans="1:7">
      <c r="A188">
        <f t="shared" si="5"/>
        <v>4</v>
      </c>
      <c r="B188">
        <v>40903</v>
      </c>
      <c r="C188">
        <v>339</v>
      </c>
      <c r="D188">
        <v>194</v>
      </c>
      <c r="E188">
        <v>61</v>
      </c>
      <c r="F188">
        <v>12</v>
      </c>
      <c r="G188" s="10">
        <f t="shared" si="6"/>
        <v>17.994100294985252</v>
      </c>
    </row>
    <row r="189" spans="1:7">
      <c r="A189">
        <f t="shared" si="5"/>
        <v>4</v>
      </c>
      <c r="B189">
        <v>41001</v>
      </c>
      <c r="C189">
        <v>793</v>
      </c>
      <c r="D189">
        <v>411</v>
      </c>
      <c r="E189">
        <v>79</v>
      </c>
      <c r="F189">
        <v>15</v>
      </c>
      <c r="G189" s="10">
        <f t="shared" si="6"/>
        <v>9.9621689785624206</v>
      </c>
    </row>
    <row r="190" spans="1:7">
      <c r="A190">
        <f t="shared" si="5"/>
        <v>4</v>
      </c>
      <c r="B190">
        <v>41101</v>
      </c>
      <c r="C190">
        <v>2272</v>
      </c>
      <c r="D190">
        <v>326</v>
      </c>
      <c r="E190">
        <v>0</v>
      </c>
      <c r="F190">
        <v>0</v>
      </c>
      <c r="G190" s="10">
        <f t="shared" si="6"/>
        <v>0</v>
      </c>
    </row>
    <row r="191" spans="1:7">
      <c r="A191">
        <f t="shared" si="5"/>
        <v>4</v>
      </c>
      <c r="B191">
        <v>41201</v>
      </c>
      <c r="C191">
        <v>1124</v>
      </c>
      <c r="D191">
        <v>833</v>
      </c>
      <c r="E191">
        <v>285</v>
      </c>
      <c r="F191">
        <v>49</v>
      </c>
      <c r="G191" s="10">
        <f t="shared" si="6"/>
        <v>25.355871886120998</v>
      </c>
    </row>
    <row r="192" spans="1:7">
      <c r="A192">
        <f t="shared" si="5"/>
        <v>4</v>
      </c>
      <c r="B192">
        <v>41202</v>
      </c>
      <c r="C192">
        <v>365</v>
      </c>
      <c r="D192">
        <v>291</v>
      </c>
      <c r="E192">
        <v>117</v>
      </c>
      <c r="F192">
        <v>18</v>
      </c>
      <c r="G192" s="10">
        <f t="shared" si="6"/>
        <v>32.054794520547944</v>
      </c>
    </row>
    <row r="193" spans="1:7">
      <c r="A193">
        <f t="shared" si="5"/>
        <v>4</v>
      </c>
      <c r="B193">
        <v>41301</v>
      </c>
      <c r="C193">
        <v>520</v>
      </c>
      <c r="D193">
        <v>107</v>
      </c>
      <c r="E193">
        <v>11</v>
      </c>
      <c r="F193">
        <v>1</v>
      </c>
      <c r="G193" s="10">
        <f t="shared" si="6"/>
        <v>2.1153846153846154</v>
      </c>
    </row>
    <row r="194" spans="1:7">
      <c r="A194">
        <f t="shared" si="5"/>
        <v>4</v>
      </c>
      <c r="B194">
        <v>41401</v>
      </c>
      <c r="C194">
        <v>1298</v>
      </c>
      <c r="D194">
        <v>574</v>
      </c>
      <c r="E194">
        <v>201</v>
      </c>
      <c r="F194">
        <v>35</v>
      </c>
      <c r="G194" s="10">
        <f t="shared" si="6"/>
        <v>15.485362095531586</v>
      </c>
    </row>
    <row r="195" spans="1:7">
      <c r="A195">
        <f t="shared" ref="A195:A258" si="7">VALUE(MID(B195,1,1))</f>
        <v>4</v>
      </c>
      <c r="B195">
        <v>41501</v>
      </c>
      <c r="C195">
        <v>65</v>
      </c>
      <c r="D195">
        <v>28</v>
      </c>
      <c r="E195">
        <v>0</v>
      </c>
      <c r="F195">
        <v>0</v>
      </c>
      <c r="G195" s="10">
        <f t="shared" ref="G195:G258" si="8">100*E195/C195</f>
        <v>0</v>
      </c>
    </row>
    <row r="196" spans="1:7">
      <c r="A196">
        <f t="shared" si="7"/>
        <v>4</v>
      </c>
      <c r="B196">
        <v>41502</v>
      </c>
      <c r="C196">
        <v>93</v>
      </c>
      <c r="D196">
        <v>46</v>
      </c>
      <c r="E196">
        <v>0</v>
      </c>
      <c r="F196">
        <v>0</v>
      </c>
      <c r="G196" s="10">
        <f t="shared" si="8"/>
        <v>0</v>
      </c>
    </row>
    <row r="197" spans="1:7">
      <c r="A197">
        <f t="shared" si="7"/>
        <v>4</v>
      </c>
      <c r="B197">
        <v>41503</v>
      </c>
      <c r="C197">
        <v>66</v>
      </c>
      <c r="D197">
        <v>37</v>
      </c>
      <c r="E197">
        <v>0</v>
      </c>
      <c r="F197">
        <v>0</v>
      </c>
      <c r="G197" s="10">
        <f t="shared" si="8"/>
        <v>0</v>
      </c>
    </row>
    <row r="198" spans="1:7">
      <c r="A198">
        <f t="shared" si="7"/>
        <v>4</v>
      </c>
      <c r="B198">
        <v>41601</v>
      </c>
      <c r="C198">
        <v>1031</v>
      </c>
      <c r="D198">
        <v>315</v>
      </c>
      <c r="E198">
        <v>40</v>
      </c>
      <c r="F198">
        <v>10</v>
      </c>
      <c r="G198" s="10">
        <f t="shared" si="8"/>
        <v>3.8797284190106693</v>
      </c>
    </row>
    <row r="199" spans="1:7">
      <c r="A199">
        <f t="shared" si="7"/>
        <v>5</v>
      </c>
      <c r="B199">
        <v>50101</v>
      </c>
      <c r="C199">
        <v>41716</v>
      </c>
      <c r="D199">
        <v>7335</v>
      </c>
      <c r="E199">
        <v>1630</v>
      </c>
      <c r="F199">
        <v>429</v>
      </c>
      <c r="G199" s="10">
        <f t="shared" si="8"/>
        <v>3.907373669575223</v>
      </c>
    </row>
    <row r="200" spans="1:7">
      <c r="A200">
        <f t="shared" si="7"/>
        <v>5</v>
      </c>
      <c r="B200">
        <v>50102</v>
      </c>
      <c r="C200">
        <v>3391</v>
      </c>
      <c r="D200">
        <v>2028</v>
      </c>
      <c r="E200">
        <v>745</v>
      </c>
      <c r="F200">
        <v>153</v>
      </c>
      <c r="G200" s="10">
        <f t="shared" si="8"/>
        <v>21.969920377469773</v>
      </c>
    </row>
    <row r="201" spans="1:7">
      <c r="A201">
        <f t="shared" si="7"/>
        <v>5</v>
      </c>
      <c r="B201">
        <v>50103</v>
      </c>
      <c r="C201">
        <v>1481</v>
      </c>
      <c r="D201">
        <v>700</v>
      </c>
      <c r="E201">
        <v>314</v>
      </c>
      <c r="F201">
        <v>149</v>
      </c>
      <c r="G201" s="10">
        <f t="shared" si="8"/>
        <v>21.201890614449695</v>
      </c>
    </row>
    <row r="202" spans="1:7">
      <c r="A202">
        <f t="shared" si="7"/>
        <v>5</v>
      </c>
      <c r="B202">
        <v>50104</v>
      </c>
      <c r="C202">
        <v>286</v>
      </c>
      <c r="D202">
        <v>172</v>
      </c>
      <c r="E202">
        <v>98</v>
      </c>
      <c r="F202">
        <v>57</v>
      </c>
      <c r="G202" s="10">
        <f t="shared" si="8"/>
        <v>34.265734265734267</v>
      </c>
    </row>
    <row r="203" spans="1:7">
      <c r="A203">
        <f t="shared" si="7"/>
        <v>5</v>
      </c>
      <c r="B203">
        <v>50201</v>
      </c>
      <c r="C203">
        <v>4189</v>
      </c>
      <c r="D203">
        <v>150</v>
      </c>
      <c r="E203">
        <v>0</v>
      </c>
      <c r="F203">
        <v>0</v>
      </c>
      <c r="G203" s="10">
        <f t="shared" si="8"/>
        <v>0</v>
      </c>
    </row>
    <row r="204" spans="1:7">
      <c r="A204">
        <f t="shared" si="7"/>
        <v>5</v>
      </c>
      <c r="B204">
        <v>50202</v>
      </c>
      <c r="C204">
        <v>1252</v>
      </c>
      <c r="D204">
        <v>818</v>
      </c>
      <c r="E204">
        <v>331</v>
      </c>
      <c r="F204">
        <v>28</v>
      </c>
      <c r="G204" s="10">
        <f t="shared" si="8"/>
        <v>26.437699680511184</v>
      </c>
    </row>
    <row r="205" spans="1:7">
      <c r="A205">
        <f t="shared" si="7"/>
        <v>5</v>
      </c>
      <c r="B205">
        <v>50203</v>
      </c>
      <c r="C205">
        <v>7796</v>
      </c>
      <c r="D205">
        <v>1934</v>
      </c>
      <c r="E205">
        <v>270</v>
      </c>
      <c r="F205">
        <v>18</v>
      </c>
      <c r="G205" s="10">
        <f t="shared" si="8"/>
        <v>3.4633145202668034</v>
      </c>
    </row>
    <row r="206" spans="1:7">
      <c r="A206">
        <f t="shared" si="7"/>
        <v>5</v>
      </c>
      <c r="B206">
        <v>50301</v>
      </c>
      <c r="C206">
        <v>6248</v>
      </c>
      <c r="D206">
        <v>2173</v>
      </c>
      <c r="E206">
        <v>846</v>
      </c>
      <c r="F206">
        <v>405</v>
      </c>
      <c r="G206" s="10">
        <f t="shared" si="8"/>
        <v>13.540332906530089</v>
      </c>
    </row>
    <row r="207" spans="1:7">
      <c r="A207">
        <f t="shared" si="7"/>
        <v>5</v>
      </c>
      <c r="B207">
        <v>50302</v>
      </c>
      <c r="C207">
        <v>2280</v>
      </c>
      <c r="D207">
        <v>1145</v>
      </c>
      <c r="E207">
        <v>270</v>
      </c>
      <c r="F207">
        <v>60</v>
      </c>
      <c r="G207" s="10">
        <f t="shared" si="8"/>
        <v>11.842105263157896</v>
      </c>
    </row>
    <row r="208" spans="1:7">
      <c r="A208">
        <f t="shared" si="7"/>
        <v>5</v>
      </c>
      <c r="B208">
        <v>50303</v>
      </c>
      <c r="C208">
        <v>740</v>
      </c>
      <c r="D208">
        <v>229</v>
      </c>
      <c r="E208">
        <v>20</v>
      </c>
      <c r="F208">
        <v>4</v>
      </c>
      <c r="G208" s="10">
        <f t="shared" si="8"/>
        <v>2.7027027027027026</v>
      </c>
    </row>
    <row r="209" spans="1:7">
      <c r="A209">
        <f t="shared" si="7"/>
        <v>5</v>
      </c>
      <c r="B209">
        <v>50401</v>
      </c>
      <c r="C209">
        <v>5044</v>
      </c>
      <c r="D209">
        <v>2536</v>
      </c>
      <c r="E209">
        <v>537</v>
      </c>
      <c r="F209">
        <v>154</v>
      </c>
      <c r="G209" s="10">
        <f t="shared" si="8"/>
        <v>10.646312450436161</v>
      </c>
    </row>
    <row r="210" spans="1:7">
      <c r="A210">
        <f t="shared" si="7"/>
        <v>5</v>
      </c>
      <c r="B210">
        <v>50402</v>
      </c>
      <c r="C210">
        <v>2961</v>
      </c>
      <c r="D210">
        <v>1866</v>
      </c>
      <c r="E210">
        <v>359</v>
      </c>
      <c r="F210">
        <v>13</v>
      </c>
      <c r="G210" s="10">
        <f t="shared" si="8"/>
        <v>12.124282337048294</v>
      </c>
    </row>
    <row r="211" spans="1:7">
      <c r="A211">
        <f t="shared" si="7"/>
        <v>5</v>
      </c>
      <c r="B211">
        <v>50403</v>
      </c>
      <c r="C211">
        <v>4277</v>
      </c>
      <c r="D211">
        <v>2433</v>
      </c>
      <c r="E211">
        <v>786</v>
      </c>
      <c r="F211">
        <v>226</v>
      </c>
      <c r="G211" s="10">
        <f t="shared" si="8"/>
        <v>18.377367313537526</v>
      </c>
    </row>
    <row r="212" spans="1:7">
      <c r="A212">
        <f t="shared" si="7"/>
        <v>5</v>
      </c>
      <c r="B212">
        <v>50404</v>
      </c>
      <c r="C212">
        <v>1596</v>
      </c>
      <c r="D212">
        <v>909</v>
      </c>
      <c r="E212">
        <v>296</v>
      </c>
      <c r="F212">
        <v>39</v>
      </c>
      <c r="G212" s="10">
        <f t="shared" si="8"/>
        <v>18.546365914786968</v>
      </c>
    </row>
    <row r="213" spans="1:7">
      <c r="A213">
        <f t="shared" si="7"/>
        <v>5</v>
      </c>
      <c r="B213">
        <v>50501</v>
      </c>
      <c r="C213">
        <v>1574</v>
      </c>
      <c r="D213">
        <v>964</v>
      </c>
      <c r="E213">
        <v>306</v>
      </c>
      <c r="F213">
        <v>21</v>
      </c>
      <c r="G213" s="10">
        <f t="shared" si="8"/>
        <v>19.440914866581956</v>
      </c>
    </row>
    <row r="214" spans="1:7">
      <c r="A214">
        <f t="shared" si="7"/>
        <v>5</v>
      </c>
      <c r="B214">
        <v>50502</v>
      </c>
      <c r="C214">
        <v>1396</v>
      </c>
      <c r="D214">
        <v>864</v>
      </c>
      <c r="E214">
        <v>426</v>
      </c>
      <c r="F214">
        <v>128</v>
      </c>
      <c r="G214" s="10">
        <f t="shared" si="8"/>
        <v>30.515759312320917</v>
      </c>
    </row>
    <row r="215" spans="1:7">
      <c r="A215">
        <f t="shared" si="7"/>
        <v>5</v>
      </c>
      <c r="B215">
        <v>50601</v>
      </c>
      <c r="C215">
        <v>5312</v>
      </c>
      <c r="D215">
        <v>2534</v>
      </c>
      <c r="E215">
        <v>1005</v>
      </c>
      <c r="F215">
        <v>387</v>
      </c>
      <c r="G215" s="10">
        <f t="shared" si="8"/>
        <v>18.919427710843372</v>
      </c>
    </row>
    <row r="216" spans="1:7">
      <c r="A216">
        <f t="shared" si="7"/>
        <v>5</v>
      </c>
      <c r="B216">
        <v>50602</v>
      </c>
      <c r="C216">
        <v>2271</v>
      </c>
      <c r="D216">
        <v>1179</v>
      </c>
      <c r="E216">
        <v>457</v>
      </c>
      <c r="F216">
        <v>91</v>
      </c>
      <c r="G216" s="10">
        <f t="shared" si="8"/>
        <v>20.123293703214443</v>
      </c>
    </row>
    <row r="217" spans="1:7">
      <c r="A217">
        <f t="shared" si="7"/>
        <v>5</v>
      </c>
      <c r="B217">
        <v>50701</v>
      </c>
      <c r="C217">
        <v>2804</v>
      </c>
      <c r="D217">
        <v>1649</v>
      </c>
      <c r="E217">
        <v>448</v>
      </c>
      <c r="F217">
        <v>23</v>
      </c>
      <c r="G217" s="10">
        <f t="shared" si="8"/>
        <v>15.977175463623395</v>
      </c>
    </row>
    <row r="218" spans="1:7">
      <c r="A218">
        <f t="shared" si="7"/>
        <v>5</v>
      </c>
      <c r="B218">
        <v>50702</v>
      </c>
      <c r="C218">
        <v>1269</v>
      </c>
      <c r="D218">
        <v>776</v>
      </c>
      <c r="E218">
        <v>131</v>
      </c>
      <c r="F218">
        <v>16</v>
      </c>
      <c r="G218" s="10">
        <f t="shared" si="8"/>
        <v>10.323089046493301</v>
      </c>
    </row>
    <row r="219" spans="1:7">
      <c r="A219">
        <f t="shared" si="7"/>
        <v>5</v>
      </c>
      <c r="B219">
        <v>50801</v>
      </c>
      <c r="C219">
        <v>12288</v>
      </c>
      <c r="D219">
        <v>3882</v>
      </c>
      <c r="E219">
        <v>1451</v>
      </c>
      <c r="F219">
        <v>403</v>
      </c>
      <c r="G219" s="10">
        <f t="shared" si="8"/>
        <v>11.808268229166666</v>
      </c>
    </row>
    <row r="220" spans="1:7">
      <c r="A220">
        <f t="shared" si="7"/>
        <v>5</v>
      </c>
      <c r="B220">
        <v>50802</v>
      </c>
      <c r="C220">
        <v>3047</v>
      </c>
      <c r="D220">
        <v>776</v>
      </c>
      <c r="E220">
        <v>152</v>
      </c>
      <c r="F220">
        <v>33</v>
      </c>
      <c r="G220" s="10">
        <f t="shared" si="8"/>
        <v>4.9885132917623896</v>
      </c>
    </row>
    <row r="221" spans="1:7">
      <c r="A221">
        <f t="shared" si="7"/>
        <v>5</v>
      </c>
      <c r="B221">
        <v>50901</v>
      </c>
      <c r="C221">
        <v>1210</v>
      </c>
      <c r="D221">
        <v>769</v>
      </c>
      <c r="E221">
        <v>265</v>
      </c>
      <c r="F221">
        <v>62</v>
      </c>
      <c r="G221" s="10">
        <f t="shared" si="8"/>
        <v>21.900826446280991</v>
      </c>
    </row>
    <row r="222" spans="1:7">
      <c r="A222">
        <f t="shared" si="7"/>
        <v>5</v>
      </c>
      <c r="B222">
        <v>50902</v>
      </c>
      <c r="C222">
        <v>524</v>
      </c>
      <c r="D222">
        <v>298</v>
      </c>
      <c r="E222">
        <v>117</v>
      </c>
      <c r="F222">
        <v>22</v>
      </c>
      <c r="G222" s="10">
        <f t="shared" si="8"/>
        <v>22.328244274809162</v>
      </c>
    </row>
    <row r="223" spans="1:7">
      <c r="A223">
        <f t="shared" si="7"/>
        <v>5</v>
      </c>
      <c r="B223">
        <v>51001</v>
      </c>
      <c r="C223">
        <v>552</v>
      </c>
      <c r="D223">
        <v>264</v>
      </c>
      <c r="E223">
        <v>90</v>
      </c>
      <c r="F223">
        <v>30</v>
      </c>
      <c r="G223" s="10">
        <f t="shared" si="8"/>
        <v>16.304347826086957</v>
      </c>
    </row>
    <row r="224" spans="1:7">
      <c r="A224">
        <f t="shared" si="7"/>
        <v>5</v>
      </c>
      <c r="B224">
        <v>51003</v>
      </c>
      <c r="C224">
        <v>147</v>
      </c>
      <c r="D224">
        <v>60</v>
      </c>
      <c r="E224">
        <v>14</v>
      </c>
      <c r="F224">
        <v>7</v>
      </c>
      <c r="G224" s="10">
        <f t="shared" si="8"/>
        <v>9.5238095238095237</v>
      </c>
    </row>
    <row r="225" spans="1:7">
      <c r="A225">
        <f t="shared" si="7"/>
        <v>5</v>
      </c>
      <c r="B225">
        <v>51101</v>
      </c>
      <c r="C225">
        <v>5322</v>
      </c>
      <c r="D225">
        <v>2200</v>
      </c>
      <c r="E225">
        <v>499</v>
      </c>
      <c r="F225">
        <v>137</v>
      </c>
      <c r="G225" s="10">
        <f t="shared" si="8"/>
        <v>9.3761743705373917</v>
      </c>
    </row>
    <row r="226" spans="1:7">
      <c r="A226">
        <f t="shared" si="7"/>
        <v>5</v>
      </c>
      <c r="B226">
        <v>51102</v>
      </c>
      <c r="C226">
        <v>2787</v>
      </c>
      <c r="D226">
        <v>1417</v>
      </c>
      <c r="E226">
        <v>388</v>
      </c>
      <c r="F226">
        <v>73</v>
      </c>
      <c r="G226" s="10">
        <f t="shared" si="8"/>
        <v>13.92177969142447</v>
      </c>
    </row>
    <row r="227" spans="1:7">
      <c r="A227">
        <f t="shared" si="7"/>
        <v>5</v>
      </c>
      <c r="B227">
        <v>51103</v>
      </c>
      <c r="C227">
        <v>992</v>
      </c>
      <c r="D227">
        <v>647</v>
      </c>
      <c r="E227">
        <v>266</v>
      </c>
      <c r="F227">
        <v>43</v>
      </c>
      <c r="G227" s="10">
        <f t="shared" si="8"/>
        <v>26.81451612903226</v>
      </c>
    </row>
    <row r="228" spans="1:7">
      <c r="A228">
        <f t="shared" si="7"/>
        <v>5</v>
      </c>
      <c r="B228">
        <v>51201</v>
      </c>
      <c r="C228">
        <v>8293</v>
      </c>
      <c r="D228">
        <v>2031</v>
      </c>
      <c r="E228">
        <v>658</v>
      </c>
      <c r="F228">
        <v>125</v>
      </c>
      <c r="G228" s="10">
        <f t="shared" si="8"/>
        <v>7.934402508139395</v>
      </c>
    </row>
    <row r="229" spans="1:7">
      <c r="A229">
        <f t="shared" si="7"/>
        <v>5</v>
      </c>
      <c r="B229">
        <v>51202</v>
      </c>
      <c r="C229">
        <v>2131</v>
      </c>
      <c r="D229">
        <v>1161</v>
      </c>
      <c r="E229">
        <v>284</v>
      </c>
      <c r="F229">
        <v>55</v>
      </c>
      <c r="G229" s="10">
        <f t="shared" si="8"/>
        <v>13.327076489910841</v>
      </c>
    </row>
    <row r="230" spans="1:7">
      <c r="A230">
        <f t="shared" si="7"/>
        <v>5</v>
      </c>
      <c r="B230">
        <v>51203</v>
      </c>
      <c r="C230">
        <v>1872</v>
      </c>
      <c r="D230">
        <v>496</v>
      </c>
      <c r="E230">
        <v>90</v>
      </c>
      <c r="F230">
        <v>4</v>
      </c>
      <c r="G230" s="10">
        <f t="shared" si="8"/>
        <v>4.8076923076923075</v>
      </c>
    </row>
    <row r="231" spans="1:7">
      <c r="A231">
        <f t="shared" si="7"/>
        <v>5</v>
      </c>
      <c r="B231">
        <v>51301</v>
      </c>
      <c r="C231">
        <v>628</v>
      </c>
      <c r="D231">
        <v>412</v>
      </c>
      <c r="E231">
        <v>133</v>
      </c>
      <c r="F231">
        <v>19</v>
      </c>
      <c r="G231" s="10">
        <f t="shared" si="8"/>
        <v>21.178343949044585</v>
      </c>
    </row>
    <row r="232" spans="1:7">
      <c r="A232">
        <f t="shared" si="7"/>
        <v>5</v>
      </c>
      <c r="B232">
        <v>51302</v>
      </c>
      <c r="C232">
        <v>1090</v>
      </c>
      <c r="D232">
        <v>608</v>
      </c>
      <c r="E232">
        <v>209</v>
      </c>
      <c r="F232">
        <v>29</v>
      </c>
      <c r="G232" s="10">
        <f t="shared" si="8"/>
        <v>19.174311926605505</v>
      </c>
    </row>
    <row r="233" spans="1:7">
      <c r="A233">
        <f t="shared" si="7"/>
        <v>5</v>
      </c>
      <c r="B233">
        <v>51401</v>
      </c>
      <c r="C233">
        <v>1195</v>
      </c>
      <c r="D233">
        <v>775</v>
      </c>
      <c r="E233">
        <v>305</v>
      </c>
      <c r="F233">
        <v>62</v>
      </c>
      <c r="G233" s="10">
        <f t="shared" si="8"/>
        <v>25.523012552301257</v>
      </c>
    </row>
    <row r="234" spans="1:7">
      <c r="A234">
        <f t="shared" si="7"/>
        <v>5</v>
      </c>
      <c r="B234">
        <v>51402</v>
      </c>
      <c r="C234">
        <v>425</v>
      </c>
      <c r="D234">
        <v>322</v>
      </c>
      <c r="E234">
        <v>173</v>
      </c>
      <c r="F234">
        <v>39</v>
      </c>
      <c r="G234" s="10">
        <f t="shared" si="8"/>
        <v>40.705882352941174</v>
      </c>
    </row>
    <row r="235" spans="1:7">
      <c r="A235">
        <f t="shared" si="7"/>
        <v>5</v>
      </c>
      <c r="B235">
        <v>51501</v>
      </c>
      <c r="C235">
        <v>8841</v>
      </c>
      <c r="D235">
        <v>1265</v>
      </c>
      <c r="E235">
        <v>392</v>
      </c>
      <c r="F235">
        <v>49</v>
      </c>
      <c r="G235" s="10">
        <f t="shared" si="8"/>
        <v>4.4338875692794932</v>
      </c>
    </row>
    <row r="236" spans="1:7">
      <c r="A236">
        <f t="shared" si="7"/>
        <v>5</v>
      </c>
      <c r="B236">
        <v>51601</v>
      </c>
      <c r="C236">
        <v>225</v>
      </c>
      <c r="D236">
        <v>102</v>
      </c>
      <c r="E236">
        <v>28</v>
      </c>
      <c r="F236">
        <v>6</v>
      </c>
      <c r="G236" s="10">
        <f t="shared" si="8"/>
        <v>12.444444444444445</v>
      </c>
    </row>
    <row r="237" spans="1:7">
      <c r="A237">
        <f t="shared" si="7"/>
        <v>6</v>
      </c>
      <c r="B237">
        <v>60101</v>
      </c>
      <c r="C237">
        <v>50743</v>
      </c>
      <c r="D237">
        <v>9380</v>
      </c>
      <c r="E237">
        <v>2196</v>
      </c>
      <c r="F237">
        <v>685</v>
      </c>
      <c r="G237" s="10">
        <f t="shared" si="8"/>
        <v>4.3276905188893053</v>
      </c>
    </row>
    <row r="238" spans="1:7">
      <c r="A238">
        <f t="shared" si="7"/>
        <v>6</v>
      </c>
      <c r="B238">
        <v>60201</v>
      </c>
      <c r="C238">
        <v>4161</v>
      </c>
      <c r="D238">
        <v>1589</v>
      </c>
      <c r="E238">
        <v>499</v>
      </c>
      <c r="F238">
        <v>79</v>
      </c>
      <c r="G238" s="10">
        <f t="shared" si="8"/>
        <v>11.992309540975727</v>
      </c>
    </row>
    <row r="239" spans="1:7">
      <c r="A239">
        <f t="shared" si="7"/>
        <v>6</v>
      </c>
      <c r="B239">
        <v>60202</v>
      </c>
      <c r="C239">
        <v>9029</v>
      </c>
      <c r="D239">
        <v>1327</v>
      </c>
      <c r="E239">
        <v>286</v>
      </c>
      <c r="F239">
        <v>40</v>
      </c>
      <c r="G239" s="10">
        <f t="shared" si="8"/>
        <v>3.1675711595968545</v>
      </c>
    </row>
    <row r="240" spans="1:7">
      <c r="A240">
        <f t="shared" si="7"/>
        <v>6</v>
      </c>
      <c r="B240">
        <v>60301</v>
      </c>
      <c r="C240">
        <v>19947</v>
      </c>
      <c r="D240">
        <v>2431</v>
      </c>
      <c r="E240">
        <v>582</v>
      </c>
      <c r="F240">
        <v>71</v>
      </c>
      <c r="G240" s="10">
        <f t="shared" si="8"/>
        <v>2.9177319897728982</v>
      </c>
    </row>
    <row r="241" spans="1:7">
      <c r="A241">
        <f t="shared" si="7"/>
        <v>6</v>
      </c>
      <c r="B241">
        <v>60302</v>
      </c>
      <c r="C241">
        <v>3549</v>
      </c>
      <c r="D241">
        <v>760</v>
      </c>
      <c r="E241">
        <v>216</v>
      </c>
      <c r="F241">
        <v>41</v>
      </c>
      <c r="G241" s="10">
        <f t="shared" si="8"/>
        <v>6.0862214708368558</v>
      </c>
    </row>
    <row r="242" spans="1:7">
      <c r="A242">
        <f t="shared" si="7"/>
        <v>6</v>
      </c>
      <c r="B242">
        <v>60303</v>
      </c>
      <c r="C242">
        <v>11124</v>
      </c>
      <c r="D242">
        <v>2388</v>
      </c>
      <c r="E242">
        <v>419</v>
      </c>
      <c r="F242">
        <v>29</v>
      </c>
      <c r="G242" s="10">
        <f t="shared" si="8"/>
        <v>3.7666307083782811</v>
      </c>
    </row>
    <row r="243" spans="1:7">
      <c r="A243">
        <f t="shared" si="7"/>
        <v>6</v>
      </c>
      <c r="B243">
        <v>60401</v>
      </c>
      <c r="C243">
        <v>3384</v>
      </c>
      <c r="D243">
        <v>1239</v>
      </c>
      <c r="E243">
        <v>293</v>
      </c>
      <c r="F243">
        <v>68</v>
      </c>
      <c r="G243" s="10">
        <f t="shared" si="8"/>
        <v>8.6583924349881798</v>
      </c>
    </row>
    <row r="244" spans="1:7">
      <c r="A244">
        <f t="shared" si="7"/>
        <v>6</v>
      </c>
      <c r="B244">
        <v>60402</v>
      </c>
      <c r="C244">
        <v>1082</v>
      </c>
      <c r="D244">
        <v>526</v>
      </c>
      <c r="E244">
        <v>51</v>
      </c>
      <c r="F244">
        <v>0</v>
      </c>
      <c r="G244" s="10">
        <f t="shared" si="8"/>
        <v>4.7134935304990755</v>
      </c>
    </row>
    <row r="245" spans="1:7">
      <c r="A245">
        <f t="shared" si="7"/>
        <v>6</v>
      </c>
      <c r="B245">
        <v>60501</v>
      </c>
      <c r="C245">
        <v>6056</v>
      </c>
      <c r="D245">
        <v>2929</v>
      </c>
      <c r="E245">
        <v>741</v>
      </c>
      <c r="F245">
        <v>171</v>
      </c>
      <c r="G245" s="10">
        <f t="shared" si="8"/>
        <v>12.235799207397623</v>
      </c>
    </row>
    <row r="246" spans="1:7">
      <c r="A246">
        <f t="shared" si="7"/>
        <v>6</v>
      </c>
      <c r="B246">
        <v>60502</v>
      </c>
      <c r="C246">
        <v>2615</v>
      </c>
      <c r="D246">
        <v>1023</v>
      </c>
      <c r="E246">
        <v>218</v>
      </c>
      <c r="F246">
        <v>10</v>
      </c>
      <c r="G246" s="10">
        <f t="shared" si="8"/>
        <v>8.3365200764818361</v>
      </c>
    </row>
    <row r="247" spans="1:7">
      <c r="A247">
        <f t="shared" si="7"/>
        <v>6</v>
      </c>
      <c r="B247">
        <v>60601</v>
      </c>
      <c r="C247">
        <v>4740</v>
      </c>
      <c r="D247">
        <v>2090</v>
      </c>
      <c r="E247">
        <v>385</v>
      </c>
      <c r="F247">
        <v>17</v>
      </c>
      <c r="G247" s="10">
        <f t="shared" si="8"/>
        <v>8.1223628691983123</v>
      </c>
    </row>
    <row r="248" spans="1:7">
      <c r="A248">
        <f t="shared" si="7"/>
        <v>7</v>
      </c>
      <c r="B248">
        <v>70101</v>
      </c>
      <c r="C248">
        <v>323773</v>
      </c>
      <c r="D248">
        <v>31194</v>
      </c>
      <c r="E248">
        <v>11653</v>
      </c>
      <c r="F248">
        <v>4882</v>
      </c>
      <c r="G248" s="10">
        <f t="shared" si="8"/>
        <v>3.5991265485386368</v>
      </c>
    </row>
    <row r="249" spans="1:7">
      <c r="A249">
        <f t="shared" si="7"/>
        <v>7</v>
      </c>
      <c r="B249">
        <v>70102</v>
      </c>
      <c r="C249">
        <v>11871</v>
      </c>
      <c r="D249">
        <v>1967</v>
      </c>
      <c r="E249">
        <v>913</v>
      </c>
      <c r="F249">
        <v>455</v>
      </c>
      <c r="G249" s="10">
        <f t="shared" si="8"/>
        <v>7.691011709207312</v>
      </c>
    </row>
    <row r="250" spans="1:7">
      <c r="A250">
        <f t="shared" si="7"/>
        <v>7</v>
      </c>
      <c r="B250">
        <v>70103</v>
      </c>
      <c r="C250">
        <v>3941</v>
      </c>
      <c r="D250">
        <v>632</v>
      </c>
      <c r="E250">
        <v>283</v>
      </c>
      <c r="F250">
        <v>143</v>
      </c>
      <c r="G250" s="10">
        <f t="shared" si="8"/>
        <v>7.1809185485917277</v>
      </c>
    </row>
    <row r="251" spans="1:7">
      <c r="A251">
        <f t="shared" si="7"/>
        <v>7</v>
      </c>
      <c r="B251">
        <v>70104</v>
      </c>
      <c r="C251">
        <v>24579</v>
      </c>
      <c r="D251">
        <v>2838</v>
      </c>
      <c r="E251">
        <v>1003</v>
      </c>
      <c r="F251">
        <v>380</v>
      </c>
      <c r="G251" s="10">
        <f t="shared" si="8"/>
        <v>4.0807193132348756</v>
      </c>
    </row>
    <row r="252" spans="1:7">
      <c r="A252">
        <f t="shared" si="7"/>
        <v>7</v>
      </c>
      <c r="B252">
        <v>70105</v>
      </c>
      <c r="C252">
        <v>10827</v>
      </c>
      <c r="D252">
        <v>1129</v>
      </c>
      <c r="E252">
        <v>434</v>
      </c>
      <c r="F252">
        <v>181</v>
      </c>
      <c r="G252" s="10">
        <f t="shared" si="8"/>
        <v>4.0084972753301926</v>
      </c>
    </row>
    <row r="253" spans="1:7">
      <c r="A253">
        <f t="shared" si="7"/>
        <v>7</v>
      </c>
      <c r="B253">
        <v>70201</v>
      </c>
      <c r="C253">
        <v>27862</v>
      </c>
      <c r="D253">
        <v>3933</v>
      </c>
      <c r="E253">
        <v>1481</v>
      </c>
      <c r="F253">
        <v>517</v>
      </c>
      <c r="G253" s="10">
        <f t="shared" si="8"/>
        <v>5.3154834541669658</v>
      </c>
    </row>
    <row r="254" spans="1:7">
      <c r="A254">
        <f t="shared" si="7"/>
        <v>7</v>
      </c>
      <c r="B254">
        <v>70202</v>
      </c>
      <c r="C254">
        <v>1884</v>
      </c>
      <c r="D254">
        <v>209</v>
      </c>
      <c r="E254">
        <v>88</v>
      </c>
      <c r="F254">
        <v>42</v>
      </c>
      <c r="G254" s="10">
        <f t="shared" si="8"/>
        <v>4.6709129511677281</v>
      </c>
    </row>
    <row r="255" spans="1:7">
      <c r="A255">
        <f t="shared" si="7"/>
        <v>7</v>
      </c>
      <c r="B255">
        <v>70301</v>
      </c>
      <c r="C255">
        <v>7157</v>
      </c>
      <c r="D255">
        <v>700</v>
      </c>
      <c r="E255">
        <v>233</v>
      </c>
      <c r="F255">
        <v>45</v>
      </c>
      <c r="G255" s="10">
        <f t="shared" si="8"/>
        <v>3.2555540030739136</v>
      </c>
    </row>
    <row r="256" spans="1:7">
      <c r="A256">
        <f t="shared" si="7"/>
        <v>7</v>
      </c>
      <c r="B256">
        <v>70302</v>
      </c>
      <c r="C256">
        <v>1756</v>
      </c>
      <c r="D256">
        <v>211</v>
      </c>
      <c r="E256">
        <v>78</v>
      </c>
      <c r="F256">
        <v>10</v>
      </c>
      <c r="G256" s="10">
        <f t="shared" si="8"/>
        <v>4.4419134396355355</v>
      </c>
    </row>
    <row r="257" spans="1:7">
      <c r="A257">
        <f t="shared" si="7"/>
        <v>7</v>
      </c>
      <c r="B257">
        <v>70303</v>
      </c>
      <c r="C257">
        <v>593</v>
      </c>
      <c r="D257">
        <v>84</v>
      </c>
      <c r="E257">
        <v>35</v>
      </c>
      <c r="F257">
        <v>4</v>
      </c>
      <c r="G257" s="10">
        <f t="shared" si="8"/>
        <v>5.9021922428330527</v>
      </c>
    </row>
    <row r="258" spans="1:7">
      <c r="A258">
        <f t="shared" si="7"/>
        <v>7</v>
      </c>
      <c r="B258">
        <v>70401</v>
      </c>
      <c r="C258">
        <v>2897</v>
      </c>
      <c r="D258">
        <v>434</v>
      </c>
      <c r="E258">
        <v>185</v>
      </c>
      <c r="F258">
        <v>72</v>
      </c>
      <c r="G258" s="10">
        <f t="shared" si="8"/>
        <v>6.3859164653089406</v>
      </c>
    </row>
    <row r="259" spans="1:7">
      <c r="A259">
        <f t="shared" ref="A259:A322" si="9">VALUE(MID(B259,1,1))</f>
        <v>7</v>
      </c>
      <c r="B259">
        <v>70402</v>
      </c>
      <c r="C259">
        <v>3656</v>
      </c>
      <c r="D259">
        <v>449</v>
      </c>
      <c r="E259">
        <v>186</v>
      </c>
      <c r="F259">
        <v>69</v>
      </c>
      <c r="G259" s="10">
        <f t="shared" ref="G259:G322" si="10">100*E259/C259</f>
        <v>5.0875273522975926</v>
      </c>
    </row>
    <row r="260" spans="1:7">
      <c r="A260">
        <f t="shared" si="9"/>
        <v>7</v>
      </c>
      <c r="B260">
        <v>70403</v>
      </c>
      <c r="C260">
        <v>9264</v>
      </c>
      <c r="D260">
        <v>1082</v>
      </c>
      <c r="E260">
        <v>416</v>
      </c>
      <c r="F260">
        <v>151</v>
      </c>
      <c r="G260" s="10">
        <f t="shared" si="10"/>
        <v>4.490500863557858</v>
      </c>
    </row>
    <row r="261" spans="1:7">
      <c r="A261">
        <f t="shared" si="9"/>
        <v>7</v>
      </c>
      <c r="B261">
        <v>70404</v>
      </c>
      <c r="C261">
        <v>1278</v>
      </c>
      <c r="D261">
        <v>166</v>
      </c>
      <c r="E261">
        <v>61</v>
      </c>
      <c r="F261">
        <v>16</v>
      </c>
      <c r="G261" s="10">
        <f t="shared" si="10"/>
        <v>4.7730829420970267</v>
      </c>
    </row>
    <row r="262" spans="1:7">
      <c r="A262">
        <f t="shared" si="9"/>
        <v>7</v>
      </c>
      <c r="B262">
        <v>70501</v>
      </c>
      <c r="C262">
        <v>3190</v>
      </c>
      <c r="D262">
        <v>398</v>
      </c>
      <c r="E262">
        <v>123</v>
      </c>
      <c r="F262">
        <v>29</v>
      </c>
      <c r="G262" s="10">
        <f t="shared" si="10"/>
        <v>3.8557993730407523</v>
      </c>
    </row>
    <row r="263" spans="1:7">
      <c r="A263">
        <f t="shared" si="9"/>
        <v>7</v>
      </c>
      <c r="B263">
        <v>70502</v>
      </c>
      <c r="C263">
        <v>4161</v>
      </c>
      <c r="D263">
        <v>604</v>
      </c>
      <c r="E263">
        <v>264</v>
      </c>
      <c r="F263">
        <v>128</v>
      </c>
      <c r="G263" s="10">
        <f t="shared" si="10"/>
        <v>6.344628695025234</v>
      </c>
    </row>
    <row r="264" spans="1:7">
      <c r="A264">
        <f t="shared" si="9"/>
        <v>7</v>
      </c>
      <c r="B264">
        <v>70503</v>
      </c>
      <c r="C264">
        <v>3384</v>
      </c>
      <c r="D264">
        <v>455</v>
      </c>
      <c r="E264">
        <v>153</v>
      </c>
      <c r="F264">
        <v>38</v>
      </c>
      <c r="G264" s="10">
        <f t="shared" si="10"/>
        <v>4.5212765957446805</v>
      </c>
    </row>
    <row r="265" spans="1:7">
      <c r="A265">
        <f t="shared" si="9"/>
        <v>7</v>
      </c>
      <c r="B265">
        <v>70601</v>
      </c>
      <c r="C265">
        <v>3790</v>
      </c>
      <c r="D265">
        <v>312</v>
      </c>
      <c r="E265">
        <v>100</v>
      </c>
      <c r="F265">
        <v>43</v>
      </c>
      <c r="G265" s="10">
        <f t="shared" si="10"/>
        <v>2.6385224274406331</v>
      </c>
    </row>
    <row r="266" spans="1:7">
      <c r="A266">
        <f t="shared" si="9"/>
        <v>7</v>
      </c>
      <c r="B266">
        <v>70602</v>
      </c>
      <c r="C266">
        <v>2823</v>
      </c>
      <c r="D266">
        <v>483</v>
      </c>
      <c r="E266">
        <v>190</v>
      </c>
      <c r="F266">
        <v>58</v>
      </c>
      <c r="G266" s="10">
        <f t="shared" si="10"/>
        <v>6.7304286220332976</v>
      </c>
    </row>
    <row r="267" spans="1:7">
      <c r="A267">
        <f t="shared" si="9"/>
        <v>7</v>
      </c>
      <c r="B267">
        <v>70603</v>
      </c>
      <c r="C267">
        <v>960</v>
      </c>
      <c r="D267">
        <v>96</v>
      </c>
      <c r="E267">
        <v>46</v>
      </c>
      <c r="F267">
        <v>17</v>
      </c>
      <c r="G267" s="10">
        <f t="shared" si="10"/>
        <v>4.791666666666667</v>
      </c>
    </row>
    <row r="268" spans="1:7">
      <c r="A268">
        <f t="shared" si="9"/>
        <v>7</v>
      </c>
      <c r="B268">
        <v>70701</v>
      </c>
      <c r="C268">
        <v>769</v>
      </c>
      <c r="D268">
        <v>97</v>
      </c>
      <c r="E268">
        <v>25</v>
      </c>
      <c r="F268">
        <v>4</v>
      </c>
      <c r="G268" s="10">
        <f t="shared" si="10"/>
        <v>3.2509752925877762</v>
      </c>
    </row>
    <row r="269" spans="1:7">
      <c r="A269">
        <f t="shared" si="9"/>
        <v>7</v>
      </c>
      <c r="B269">
        <v>70702</v>
      </c>
      <c r="C269">
        <v>2273</v>
      </c>
      <c r="D269">
        <v>334</v>
      </c>
      <c r="E269">
        <v>120</v>
      </c>
      <c r="F269">
        <v>24</v>
      </c>
      <c r="G269" s="10">
        <f t="shared" si="10"/>
        <v>5.2793664760228776</v>
      </c>
    </row>
    <row r="270" spans="1:7">
      <c r="A270">
        <f t="shared" si="9"/>
        <v>7</v>
      </c>
      <c r="B270">
        <v>70703</v>
      </c>
      <c r="C270">
        <v>3123</v>
      </c>
      <c r="D270">
        <v>520</v>
      </c>
      <c r="E270">
        <v>221</v>
      </c>
      <c r="F270">
        <v>115</v>
      </c>
      <c r="G270" s="10">
        <f t="shared" si="10"/>
        <v>7.0765289785462695</v>
      </c>
    </row>
    <row r="271" spans="1:7">
      <c r="A271">
        <f t="shared" si="9"/>
        <v>7</v>
      </c>
      <c r="B271">
        <v>70704</v>
      </c>
      <c r="C271">
        <v>655</v>
      </c>
      <c r="D271">
        <v>96</v>
      </c>
      <c r="E271">
        <v>34</v>
      </c>
      <c r="F271">
        <v>8</v>
      </c>
      <c r="G271" s="10">
        <f t="shared" si="10"/>
        <v>5.1908396946564883</v>
      </c>
    </row>
    <row r="272" spans="1:7">
      <c r="A272">
        <f t="shared" si="9"/>
        <v>7</v>
      </c>
      <c r="B272">
        <v>70705</v>
      </c>
      <c r="C272">
        <v>1414</v>
      </c>
      <c r="D272">
        <v>209</v>
      </c>
      <c r="E272">
        <v>49</v>
      </c>
      <c r="F272">
        <v>5</v>
      </c>
      <c r="G272" s="10">
        <f t="shared" si="10"/>
        <v>3.4653465346534653</v>
      </c>
    </row>
    <row r="273" spans="1:7">
      <c r="A273">
        <f t="shared" si="9"/>
        <v>7</v>
      </c>
      <c r="B273">
        <v>70706</v>
      </c>
      <c r="C273">
        <v>7491</v>
      </c>
      <c r="D273">
        <v>658</v>
      </c>
      <c r="E273">
        <v>215</v>
      </c>
      <c r="F273">
        <v>47</v>
      </c>
      <c r="G273" s="10">
        <f t="shared" si="10"/>
        <v>2.8701107996262181</v>
      </c>
    </row>
    <row r="274" spans="1:7">
      <c r="A274">
        <f t="shared" si="9"/>
        <v>7</v>
      </c>
      <c r="B274">
        <v>70707</v>
      </c>
      <c r="C274">
        <v>806</v>
      </c>
      <c r="D274">
        <v>99</v>
      </c>
      <c r="E274">
        <v>30</v>
      </c>
      <c r="F274">
        <v>3</v>
      </c>
      <c r="G274" s="10">
        <f t="shared" si="10"/>
        <v>3.7220843672456576</v>
      </c>
    </row>
    <row r="275" spans="1:7">
      <c r="A275">
        <f t="shared" si="9"/>
        <v>7</v>
      </c>
      <c r="B275">
        <v>70801</v>
      </c>
      <c r="C275">
        <v>4444</v>
      </c>
      <c r="D275">
        <v>816</v>
      </c>
      <c r="E275">
        <v>302</v>
      </c>
      <c r="F275">
        <v>60</v>
      </c>
      <c r="G275" s="10">
        <f t="shared" si="10"/>
        <v>6.7956795679567961</v>
      </c>
    </row>
    <row r="276" spans="1:7">
      <c r="A276">
        <f t="shared" si="9"/>
        <v>7</v>
      </c>
      <c r="B276">
        <v>70802</v>
      </c>
      <c r="C276">
        <v>520</v>
      </c>
      <c r="D276">
        <v>93</v>
      </c>
      <c r="E276">
        <v>31</v>
      </c>
      <c r="F276">
        <v>4</v>
      </c>
      <c r="G276" s="10">
        <f t="shared" si="10"/>
        <v>5.9615384615384617</v>
      </c>
    </row>
    <row r="277" spans="1:7">
      <c r="A277">
        <f t="shared" si="9"/>
        <v>7</v>
      </c>
      <c r="B277">
        <v>70803</v>
      </c>
      <c r="C277">
        <v>646</v>
      </c>
      <c r="D277">
        <v>142</v>
      </c>
      <c r="E277">
        <v>38</v>
      </c>
      <c r="F277">
        <v>5</v>
      </c>
      <c r="G277" s="10">
        <f t="shared" si="10"/>
        <v>5.882352941176471</v>
      </c>
    </row>
    <row r="278" spans="1:7">
      <c r="A278">
        <f t="shared" si="9"/>
        <v>7</v>
      </c>
      <c r="B278">
        <v>70804</v>
      </c>
      <c r="C278">
        <v>356</v>
      </c>
      <c r="D278">
        <v>107</v>
      </c>
      <c r="E278">
        <v>42</v>
      </c>
      <c r="F278">
        <v>9</v>
      </c>
      <c r="G278" s="10">
        <f t="shared" si="10"/>
        <v>11.797752808988765</v>
      </c>
    </row>
    <row r="279" spans="1:7">
      <c r="A279">
        <f t="shared" si="9"/>
        <v>7</v>
      </c>
      <c r="B279">
        <v>70901</v>
      </c>
      <c r="C279">
        <v>2784</v>
      </c>
      <c r="D279">
        <v>531</v>
      </c>
      <c r="E279">
        <v>198</v>
      </c>
      <c r="F279">
        <v>36</v>
      </c>
      <c r="G279" s="10">
        <f t="shared" si="10"/>
        <v>7.1120689655172411</v>
      </c>
    </row>
    <row r="280" spans="1:7">
      <c r="A280">
        <f t="shared" si="9"/>
        <v>7</v>
      </c>
      <c r="B280">
        <v>70902</v>
      </c>
      <c r="C280">
        <v>2301</v>
      </c>
      <c r="D280">
        <v>463</v>
      </c>
      <c r="E280">
        <v>157</v>
      </c>
      <c r="F280">
        <v>38</v>
      </c>
      <c r="G280" s="10">
        <f t="shared" si="10"/>
        <v>6.8231203824424167</v>
      </c>
    </row>
    <row r="281" spans="1:7">
      <c r="A281">
        <f t="shared" si="9"/>
        <v>7</v>
      </c>
      <c r="B281">
        <v>70903</v>
      </c>
      <c r="C281">
        <v>2567</v>
      </c>
      <c r="D281">
        <v>356</v>
      </c>
      <c r="E281">
        <v>134</v>
      </c>
      <c r="F281">
        <v>37</v>
      </c>
      <c r="G281" s="10">
        <f t="shared" si="10"/>
        <v>5.2201012855473312</v>
      </c>
    </row>
    <row r="282" spans="1:7">
      <c r="A282">
        <f t="shared" si="9"/>
        <v>7</v>
      </c>
      <c r="B282">
        <v>70904</v>
      </c>
      <c r="C282">
        <v>406</v>
      </c>
      <c r="D282">
        <v>97</v>
      </c>
      <c r="E282">
        <v>43</v>
      </c>
      <c r="F282">
        <v>6</v>
      </c>
      <c r="G282" s="10">
        <f t="shared" si="10"/>
        <v>10.591133004926109</v>
      </c>
    </row>
    <row r="283" spans="1:7">
      <c r="A283">
        <f t="shared" si="9"/>
        <v>7</v>
      </c>
      <c r="B283">
        <v>71001</v>
      </c>
      <c r="C283">
        <v>24148</v>
      </c>
      <c r="D283">
        <v>2282</v>
      </c>
      <c r="E283">
        <v>756</v>
      </c>
      <c r="F283">
        <v>164</v>
      </c>
      <c r="G283" s="10">
        <f t="shared" si="10"/>
        <v>3.1306940533377507</v>
      </c>
    </row>
    <row r="284" spans="1:7">
      <c r="A284">
        <f t="shared" si="9"/>
        <v>7</v>
      </c>
      <c r="B284">
        <v>71002</v>
      </c>
      <c r="C284">
        <v>2630</v>
      </c>
      <c r="D284">
        <v>345</v>
      </c>
      <c r="E284">
        <v>153</v>
      </c>
      <c r="F284">
        <v>50</v>
      </c>
      <c r="G284" s="10">
        <f t="shared" si="10"/>
        <v>5.8174904942965782</v>
      </c>
    </row>
    <row r="285" spans="1:7">
      <c r="A285">
        <f t="shared" si="9"/>
        <v>7</v>
      </c>
      <c r="B285">
        <v>71003</v>
      </c>
      <c r="C285">
        <v>4205</v>
      </c>
      <c r="D285">
        <v>415</v>
      </c>
      <c r="E285">
        <v>158</v>
      </c>
      <c r="F285">
        <v>61</v>
      </c>
      <c r="G285" s="10">
        <f t="shared" si="10"/>
        <v>3.7574316290130798</v>
      </c>
    </row>
    <row r="286" spans="1:7">
      <c r="A286">
        <f t="shared" si="9"/>
        <v>7</v>
      </c>
      <c r="B286">
        <v>71004</v>
      </c>
      <c r="C286">
        <v>2426</v>
      </c>
      <c r="D286">
        <v>289</v>
      </c>
      <c r="E286">
        <v>123</v>
      </c>
      <c r="F286">
        <v>48</v>
      </c>
      <c r="G286" s="10">
        <f t="shared" si="10"/>
        <v>5.0700741962077496</v>
      </c>
    </row>
    <row r="287" spans="1:7">
      <c r="A287">
        <f t="shared" si="9"/>
        <v>7</v>
      </c>
      <c r="B287">
        <v>71005</v>
      </c>
      <c r="C287">
        <v>2820</v>
      </c>
      <c r="D287">
        <v>366</v>
      </c>
      <c r="E287">
        <v>145</v>
      </c>
      <c r="F287">
        <v>61</v>
      </c>
      <c r="G287" s="10">
        <f t="shared" si="10"/>
        <v>5.1418439716312054</v>
      </c>
    </row>
    <row r="288" spans="1:7">
      <c r="A288">
        <f t="shared" si="9"/>
        <v>7</v>
      </c>
      <c r="B288">
        <v>71101</v>
      </c>
      <c r="C288">
        <v>3077</v>
      </c>
      <c r="D288">
        <v>437</v>
      </c>
      <c r="E288">
        <v>163</v>
      </c>
      <c r="F288">
        <v>22</v>
      </c>
      <c r="G288" s="10">
        <f t="shared" si="10"/>
        <v>5.2973675658108546</v>
      </c>
    </row>
    <row r="289" spans="1:7">
      <c r="A289">
        <f t="shared" si="9"/>
        <v>7</v>
      </c>
      <c r="B289">
        <v>71102</v>
      </c>
      <c r="C289">
        <v>1509</v>
      </c>
      <c r="D289">
        <v>173</v>
      </c>
      <c r="E289">
        <v>58</v>
      </c>
      <c r="F289">
        <v>7</v>
      </c>
      <c r="G289" s="10">
        <f t="shared" si="10"/>
        <v>3.8436050364479786</v>
      </c>
    </row>
    <row r="290" spans="1:7">
      <c r="A290">
        <f t="shared" si="9"/>
        <v>7</v>
      </c>
      <c r="B290">
        <v>71103</v>
      </c>
      <c r="C290">
        <v>1216</v>
      </c>
      <c r="D290">
        <v>173</v>
      </c>
      <c r="E290">
        <v>46</v>
      </c>
      <c r="F290">
        <v>2</v>
      </c>
      <c r="G290" s="10">
        <f t="shared" si="10"/>
        <v>3.7828947368421053</v>
      </c>
    </row>
    <row r="291" spans="1:7">
      <c r="A291">
        <f t="shared" si="9"/>
        <v>7</v>
      </c>
      <c r="B291">
        <v>71104</v>
      </c>
      <c r="C291">
        <v>7591</v>
      </c>
      <c r="D291">
        <v>1098</v>
      </c>
      <c r="E291">
        <v>377</v>
      </c>
      <c r="F291">
        <v>62</v>
      </c>
      <c r="G291" s="10">
        <f t="shared" si="10"/>
        <v>4.9664075879330785</v>
      </c>
    </row>
    <row r="292" spans="1:7">
      <c r="A292">
        <f t="shared" si="9"/>
        <v>7</v>
      </c>
      <c r="B292">
        <v>71105</v>
      </c>
      <c r="C292">
        <v>934</v>
      </c>
      <c r="D292">
        <v>94</v>
      </c>
      <c r="E292">
        <v>27</v>
      </c>
      <c r="F292">
        <v>12</v>
      </c>
      <c r="G292" s="10">
        <f t="shared" si="10"/>
        <v>2.8907922912205568</v>
      </c>
    </row>
    <row r="293" spans="1:7">
      <c r="A293">
        <f t="shared" si="9"/>
        <v>7</v>
      </c>
      <c r="B293">
        <v>71106</v>
      </c>
      <c r="C293">
        <v>3828</v>
      </c>
      <c r="D293">
        <v>504</v>
      </c>
      <c r="E293">
        <v>202</v>
      </c>
      <c r="F293">
        <v>86</v>
      </c>
      <c r="G293" s="10">
        <f t="shared" si="10"/>
        <v>5.2769070010449317</v>
      </c>
    </row>
    <row r="294" spans="1:7">
      <c r="A294">
        <f t="shared" si="9"/>
        <v>7</v>
      </c>
      <c r="B294">
        <v>71201</v>
      </c>
      <c r="C294">
        <v>1776</v>
      </c>
      <c r="D294">
        <v>0</v>
      </c>
      <c r="E294">
        <v>0</v>
      </c>
      <c r="F294">
        <v>0</v>
      </c>
      <c r="G294" s="10">
        <f t="shared" si="10"/>
        <v>0</v>
      </c>
    </row>
    <row r="295" spans="1:7">
      <c r="A295">
        <f t="shared" si="9"/>
        <v>7</v>
      </c>
      <c r="B295">
        <v>71301</v>
      </c>
      <c r="C295">
        <v>3558</v>
      </c>
      <c r="D295">
        <v>555</v>
      </c>
      <c r="E295">
        <v>189</v>
      </c>
      <c r="F295">
        <v>36</v>
      </c>
      <c r="G295" s="10">
        <f t="shared" si="10"/>
        <v>5.3119730185497467</v>
      </c>
    </row>
    <row r="296" spans="1:7">
      <c r="A296">
        <f t="shared" si="9"/>
        <v>7</v>
      </c>
      <c r="B296">
        <v>71302</v>
      </c>
      <c r="C296">
        <v>1294</v>
      </c>
      <c r="D296">
        <v>254</v>
      </c>
      <c r="E296">
        <v>115</v>
      </c>
      <c r="F296">
        <v>28</v>
      </c>
      <c r="G296" s="10">
        <f t="shared" si="10"/>
        <v>8.8871715610510051</v>
      </c>
    </row>
    <row r="297" spans="1:7">
      <c r="A297">
        <f t="shared" si="9"/>
        <v>7</v>
      </c>
      <c r="B297">
        <v>71401</v>
      </c>
      <c r="C297">
        <v>4053</v>
      </c>
      <c r="D297">
        <v>718</v>
      </c>
      <c r="E297">
        <v>299</v>
      </c>
      <c r="F297">
        <v>42</v>
      </c>
      <c r="G297" s="10">
        <f t="shared" si="10"/>
        <v>7.3772514187021958</v>
      </c>
    </row>
    <row r="298" spans="1:7">
      <c r="A298">
        <f t="shared" si="9"/>
        <v>7</v>
      </c>
      <c r="B298">
        <v>71402</v>
      </c>
      <c r="C298">
        <v>3693</v>
      </c>
      <c r="D298">
        <v>563</v>
      </c>
      <c r="E298">
        <v>214</v>
      </c>
      <c r="F298">
        <v>25</v>
      </c>
      <c r="G298" s="10">
        <f t="shared" si="10"/>
        <v>5.7947468183049011</v>
      </c>
    </row>
    <row r="299" spans="1:7">
      <c r="A299">
        <f t="shared" si="9"/>
        <v>7</v>
      </c>
      <c r="B299">
        <v>71403</v>
      </c>
      <c r="C299">
        <v>826</v>
      </c>
      <c r="D299">
        <v>108</v>
      </c>
      <c r="E299">
        <v>33</v>
      </c>
      <c r="F299">
        <v>7</v>
      </c>
      <c r="G299" s="10">
        <f t="shared" si="10"/>
        <v>3.9951573849878934</v>
      </c>
    </row>
    <row r="300" spans="1:7">
      <c r="A300">
        <f t="shared" si="9"/>
        <v>7</v>
      </c>
      <c r="B300">
        <v>71501</v>
      </c>
      <c r="C300">
        <v>4341</v>
      </c>
      <c r="D300">
        <v>618</v>
      </c>
      <c r="E300">
        <v>182</v>
      </c>
      <c r="F300">
        <v>35</v>
      </c>
      <c r="G300" s="10">
        <f t="shared" si="10"/>
        <v>4.1925823542962455</v>
      </c>
    </row>
    <row r="301" spans="1:7">
      <c r="A301">
        <f t="shared" si="9"/>
        <v>7</v>
      </c>
      <c r="B301">
        <v>71502</v>
      </c>
      <c r="C301">
        <v>891</v>
      </c>
      <c r="D301">
        <v>148</v>
      </c>
      <c r="E301">
        <v>46</v>
      </c>
      <c r="F301">
        <v>4</v>
      </c>
      <c r="G301" s="10">
        <f t="shared" si="10"/>
        <v>5.162738496071829</v>
      </c>
    </row>
    <row r="302" spans="1:7">
      <c r="A302">
        <f t="shared" si="9"/>
        <v>7</v>
      </c>
      <c r="B302">
        <v>71503</v>
      </c>
      <c r="C302">
        <v>844</v>
      </c>
      <c r="D302">
        <v>129</v>
      </c>
      <c r="E302">
        <v>53</v>
      </c>
      <c r="F302">
        <v>6</v>
      </c>
      <c r="G302" s="10">
        <f t="shared" si="10"/>
        <v>6.2796208530805684</v>
      </c>
    </row>
    <row r="303" spans="1:7">
      <c r="A303">
        <f t="shared" si="9"/>
        <v>8</v>
      </c>
      <c r="B303">
        <v>80101</v>
      </c>
      <c r="C303">
        <v>35825</v>
      </c>
      <c r="D303">
        <v>5155</v>
      </c>
      <c r="E303">
        <v>458</v>
      </c>
      <c r="F303">
        <v>37</v>
      </c>
      <c r="G303" s="10">
        <f t="shared" si="10"/>
        <v>1.2784368457780879</v>
      </c>
    </row>
    <row r="304" spans="1:7">
      <c r="A304">
        <f t="shared" si="9"/>
        <v>8</v>
      </c>
      <c r="B304">
        <v>80102</v>
      </c>
      <c r="C304">
        <v>137</v>
      </c>
      <c r="D304">
        <v>28</v>
      </c>
      <c r="E304">
        <v>6</v>
      </c>
      <c r="F304">
        <v>0</v>
      </c>
      <c r="G304" s="10">
        <f t="shared" si="10"/>
        <v>4.3795620437956204</v>
      </c>
    </row>
    <row r="305" spans="1:7">
      <c r="A305">
        <f t="shared" si="9"/>
        <v>8</v>
      </c>
      <c r="B305">
        <v>80201</v>
      </c>
      <c r="C305">
        <v>18564</v>
      </c>
      <c r="D305">
        <v>0</v>
      </c>
      <c r="E305">
        <v>0</v>
      </c>
      <c r="F305">
        <v>0</v>
      </c>
      <c r="G305" s="10">
        <f t="shared" si="10"/>
        <v>0</v>
      </c>
    </row>
    <row r="306" spans="1:7">
      <c r="A306">
        <f t="shared" si="9"/>
        <v>8</v>
      </c>
      <c r="B306">
        <v>80202</v>
      </c>
      <c r="C306">
        <v>7307</v>
      </c>
      <c r="D306">
        <v>0</v>
      </c>
      <c r="E306">
        <v>0</v>
      </c>
      <c r="F306">
        <v>0</v>
      </c>
      <c r="G306" s="10">
        <f t="shared" si="10"/>
        <v>0</v>
      </c>
    </row>
    <row r="307" spans="1:7">
      <c r="A307">
        <f t="shared" si="9"/>
        <v>8</v>
      </c>
      <c r="B307">
        <v>80301</v>
      </c>
      <c r="C307">
        <v>3456</v>
      </c>
      <c r="D307">
        <v>360</v>
      </c>
      <c r="E307">
        <v>25</v>
      </c>
      <c r="F307">
        <v>0</v>
      </c>
      <c r="G307" s="10">
        <f t="shared" si="10"/>
        <v>0.72337962962962965</v>
      </c>
    </row>
    <row r="308" spans="1:7">
      <c r="A308">
        <f t="shared" si="9"/>
        <v>8</v>
      </c>
      <c r="B308">
        <v>80302</v>
      </c>
      <c r="C308">
        <v>13479</v>
      </c>
      <c r="D308">
        <v>1599</v>
      </c>
      <c r="E308">
        <v>202</v>
      </c>
      <c r="F308">
        <v>0</v>
      </c>
      <c r="G308" s="10">
        <f t="shared" si="10"/>
        <v>1.4986274946212628</v>
      </c>
    </row>
    <row r="309" spans="1:7">
      <c r="A309">
        <f t="shared" si="9"/>
        <v>8</v>
      </c>
      <c r="B309">
        <v>80303</v>
      </c>
      <c r="C309">
        <v>2097</v>
      </c>
      <c r="D309">
        <v>247</v>
      </c>
      <c r="E309">
        <v>3</v>
      </c>
      <c r="F309">
        <v>0</v>
      </c>
      <c r="G309" s="10">
        <f t="shared" si="10"/>
        <v>0.14306151645207441</v>
      </c>
    </row>
    <row r="310" spans="1:7">
      <c r="A310">
        <f t="shared" si="9"/>
        <v>8</v>
      </c>
      <c r="B310">
        <v>80304</v>
      </c>
      <c r="C310">
        <v>6733</v>
      </c>
      <c r="D310">
        <v>710</v>
      </c>
      <c r="E310">
        <v>75</v>
      </c>
      <c r="F310">
        <v>0</v>
      </c>
      <c r="G310" s="10">
        <f t="shared" si="10"/>
        <v>1.113916530521313</v>
      </c>
    </row>
    <row r="311" spans="1:7">
      <c r="A311">
        <f t="shared" si="9"/>
        <v>8</v>
      </c>
      <c r="B311">
        <v>80401</v>
      </c>
      <c r="C311">
        <v>7621</v>
      </c>
      <c r="D311">
        <v>397</v>
      </c>
      <c r="E311">
        <v>5</v>
      </c>
      <c r="F311">
        <v>0</v>
      </c>
      <c r="G311" s="10">
        <f t="shared" si="10"/>
        <v>6.5608187901850148E-2</v>
      </c>
    </row>
    <row r="312" spans="1:7">
      <c r="A312">
        <f t="shared" si="9"/>
        <v>8</v>
      </c>
      <c r="B312">
        <v>80501</v>
      </c>
      <c r="C312">
        <v>7183</v>
      </c>
      <c r="D312">
        <v>637</v>
      </c>
      <c r="E312">
        <v>39</v>
      </c>
      <c r="F312">
        <v>0</v>
      </c>
      <c r="G312" s="10">
        <f t="shared" si="10"/>
        <v>0.54294862870666849</v>
      </c>
    </row>
    <row r="313" spans="1:7">
      <c r="A313">
        <f t="shared" si="9"/>
        <v>8</v>
      </c>
      <c r="B313">
        <v>80601</v>
      </c>
      <c r="C313">
        <v>171</v>
      </c>
      <c r="D313">
        <v>35</v>
      </c>
      <c r="E313">
        <v>4</v>
      </c>
      <c r="F313">
        <v>0</v>
      </c>
      <c r="G313" s="10">
        <f t="shared" si="10"/>
        <v>2.3391812865497075</v>
      </c>
    </row>
    <row r="314" spans="1:7">
      <c r="A314">
        <f t="shared" si="9"/>
        <v>8</v>
      </c>
      <c r="B314">
        <v>80602</v>
      </c>
      <c r="C314">
        <v>1480</v>
      </c>
      <c r="D314">
        <v>304</v>
      </c>
      <c r="E314">
        <v>48</v>
      </c>
      <c r="F314">
        <v>0</v>
      </c>
      <c r="G314" s="10">
        <f t="shared" si="10"/>
        <v>3.2432432432432434</v>
      </c>
    </row>
    <row r="315" spans="1:7">
      <c r="A315">
        <f t="shared" si="9"/>
        <v>8</v>
      </c>
      <c r="B315">
        <v>80701</v>
      </c>
      <c r="C315">
        <v>1743</v>
      </c>
      <c r="D315">
        <v>169</v>
      </c>
      <c r="E315">
        <v>15</v>
      </c>
      <c r="F315">
        <v>0</v>
      </c>
      <c r="G315" s="10">
        <f t="shared" si="10"/>
        <v>0.86058519793459554</v>
      </c>
    </row>
    <row r="316" spans="1:7">
      <c r="A316">
        <f t="shared" si="9"/>
        <v>8</v>
      </c>
      <c r="B316">
        <v>80702</v>
      </c>
      <c r="C316">
        <v>1376</v>
      </c>
      <c r="D316">
        <v>122</v>
      </c>
      <c r="E316">
        <v>31</v>
      </c>
      <c r="F316">
        <v>0</v>
      </c>
      <c r="G316" s="10">
        <f t="shared" si="10"/>
        <v>2.2529069767441858</v>
      </c>
    </row>
    <row r="317" spans="1:7">
      <c r="A317">
        <f t="shared" si="9"/>
        <v>8</v>
      </c>
      <c r="B317">
        <v>80801</v>
      </c>
      <c r="C317">
        <v>3074</v>
      </c>
      <c r="D317">
        <v>323</v>
      </c>
      <c r="E317">
        <v>10</v>
      </c>
      <c r="F317">
        <v>0</v>
      </c>
      <c r="G317" s="10">
        <f t="shared" si="10"/>
        <v>0.32530904359141183</v>
      </c>
    </row>
    <row r="318" spans="1:7">
      <c r="A318">
        <f t="shared" si="9"/>
        <v>8</v>
      </c>
      <c r="B318">
        <v>80802</v>
      </c>
      <c r="C318">
        <v>502</v>
      </c>
      <c r="D318">
        <v>59</v>
      </c>
      <c r="E318">
        <v>0</v>
      </c>
      <c r="F318">
        <v>0</v>
      </c>
      <c r="G318" s="10">
        <f t="shared" si="10"/>
        <v>0</v>
      </c>
    </row>
    <row r="319" spans="1:7">
      <c r="A319">
        <f t="shared" si="9"/>
        <v>8</v>
      </c>
      <c r="B319">
        <v>80803</v>
      </c>
      <c r="C319">
        <v>413</v>
      </c>
      <c r="D319">
        <v>52</v>
      </c>
      <c r="E319">
        <v>0</v>
      </c>
      <c r="F319">
        <v>0</v>
      </c>
      <c r="G319" s="10">
        <f t="shared" si="10"/>
        <v>0</v>
      </c>
    </row>
    <row r="320" spans="1:7">
      <c r="A320">
        <f t="shared" si="9"/>
        <v>9</v>
      </c>
      <c r="B320">
        <v>90101</v>
      </c>
      <c r="C320">
        <v>11745</v>
      </c>
      <c r="D320">
        <v>1758</v>
      </c>
      <c r="E320">
        <v>238</v>
      </c>
      <c r="F320">
        <v>10</v>
      </c>
      <c r="G320" s="10">
        <f t="shared" si="10"/>
        <v>2.0263942103022563</v>
      </c>
    </row>
    <row r="321" spans="1:7">
      <c r="A321">
        <f t="shared" si="9"/>
        <v>9</v>
      </c>
      <c r="B321">
        <v>90102</v>
      </c>
      <c r="C321">
        <v>911</v>
      </c>
      <c r="D321">
        <v>174</v>
      </c>
      <c r="E321">
        <v>32</v>
      </c>
      <c r="F321">
        <v>1</v>
      </c>
      <c r="G321" s="10">
        <f t="shared" si="10"/>
        <v>3.5126234906695939</v>
      </c>
    </row>
    <row r="322" spans="1:7">
      <c r="A322">
        <f t="shared" si="9"/>
        <v>9</v>
      </c>
      <c r="B322">
        <v>90104</v>
      </c>
      <c r="C322">
        <v>202</v>
      </c>
      <c r="D322">
        <v>43</v>
      </c>
      <c r="E322">
        <v>1</v>
      </c>
      <c r="F322">
        <v>0</v>
      </c>
      <c r="G322" s="10">
        <f t="shared" si="10"/>
        <v>0.49504950495049505</v>
      </c>
    </row>
    <row r="323" spans="1:7">
      <c r="A323">
        <f t="shared" ref="A323:A330" si="11">VALUE(MID(B323,1,1))</f>
        <v>9</v>
      </c>
      <c r="B323">
        <v>90201</v>
      </c>
      <c r="C323">
        <v>764</v>
      </c>
      <c r="D323">
        <v>245</v>
      </c>
      <c r="E323">
        <v>32</v>
      </c>
      <c r="F323">
        <v>1</v>
      </c>
      <c r="G323" s="10">
        <f t="shared" ref="G323:G330" si="12">100*E323/C323</f>
        <v>4.1884816753926701</v>
      </c>
    </row>
    <row r="324" spans="1:7">
      <c r="A324">
        <f t="shared" si="11"/>
        <v>9</v>
      </c>
      <c r="B324">
        <v>90202</v>
      </c>
      <c r="C324">
        <v>102</v>
      </c>
      <c r="D324">
        <v>38</v>
      </c>
      <c r="E324">
        <v>3</v>
      </c>
      <c r="F324">
        <v>0</v>
      </c>
      <c r="G324" s="10">
        <f t="shared" si="12"/>
        <v>2.9411764705882355</v>
      </c>
    </row>
    <row r="325" spans="1:7">
      <c r="A325">
        <f t="shared" si="11"/>
        <v>9</v>
      </c>
      <c r="B325">
        <v>90203</v>
      </c>
      <c r="C325">
        <v>404</v>
      </c>
      <c r="D325">
        <v>51</v>
      </c>
      <c r="E325">
        <v>16</v>
      </c>
      <c r="F325">
        <v>2</v>
      </c>
      <c r="G325" s="10">
        <f t="shared" si="12"/>
        <v>3.9603960396039604</v>
      </c>
    </row>
    <row r="326" spans="1:7">
      <c r="A326">
        <f t="shared" si="11"/>
        <v>9</v>
      </c>
      <c r="B326">
        <v>90301</v>
      </c>
      <c r="C326">
        <v>184</v>
      </c>
      <c r="D326">
        <v>0</v>
      </c>
      <c r="E326">
        <v>0</v>
      </c>
      <c r="F326">
        <v>0</v>
      </c>
      <c r="G326" s="10">
        <f t="shared" si="12"/>
        <v>0</v>
      </c>
    </row>
    <row r="327" spans="1:7">
      <c r="A327">
        <f t="shared" si="11"/>
        <v>9</v>
      </c>
      <c r="B327">
        <v>90302</v>
      </c>
      <c r="C327">
        <v>186</v>
      </c>
      <c r="D327">
        <v>22</v>
      </c>
      <c r="E327">
        <v>1</v>
      </c>
      <c r="F327">
        <v>0</v>
      </c>
      <c r="G327" s="10">
        <f t="shared" si="12"/>
        <v>0.5376344086021505</v>
      </c>
    </row>
    <row r="328" spans="1:7">
      <c r="A328">
        <f t="shared" si="11"/>
        <v>9</v>
      </c>
      <c r="B328">
        <v>90303</v>
      </c>
      <c r="C328">
        <v>501</v>
      </c>
      <c r="D328">
        <v>66</v>
      </c>
      <c r="E328">
        <v>2</v>
      </c>
      <c r="F328">
        <v>0</v>
      </c>
      <c r="G328" s="10">
        <f t="shared" si="12"/>
        <v>0.39920159680638723</v>
      </c>
    </row>
    <row r="329" spans="1:7">
      <c r="A329">
        <f t="shared" si="11"/>
        <v>9</v>
      </c>
      <c r="B329">
        <v>90501</v>
      </c>
      <c r="C329">
        <v>80</v>
      </c>
      <c r="D329">
        <v>0</v>
      </c>
      <c r="E329">
        <v>0</v>
      </c>
      <c r="F329">
        <v>0</v>
      </c>
      <c r="G329" s="10">
        <f t="shared" si="12"/>
        <v>0</v>
      </c>
    </row>
    <row r="330" spans="1:7">
      <c r="A330">
        <f t="shared" si="11"/>
        <v>9</v>
      </c>
      <c r="B330">
        <v>90502</v>
      </c>
      <c r="C330">
        <v>113</v>
      </c>
      <c r="D330">
        <v>0</v>
      </c>
      <c r="E330">
        <v>0</v>
      </c>
      <c r="F330">
        <v>0</v>
      </c>
      <c r="G330" s="10">
        <f t="shared" si="1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322"/>
  <sheetViews>
    <sheetView topLeftCell="C1" workbookViewId="0">
      <selection activeCell="M18" sqref="M18"/>
    </sheetView>
  </sheetViews>
  <sheetFormatPr baseColWidth="10" defaultColWidth="8.88671875" defaultRowHeight="14.4"/>
  <cols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94034</v>
      </c>
      <c r="D2">
        <v>14999</v>
      </c>
      <c r="E2">
        <v>5059</v>
      </c>
      <c r="F2">
        <v>942</v>
      </c>
      <c r="G2" s="10">
        <f>100*E2/C2</f>
        <v>5.3799689474020038</v>
      </c>
      <c r="K2" s="15">
        <v>1</v>
      </c>
      <c r="L2">
        <v>156492</v>
      </c>
      <c r="M2">
        <v>13757</v>
      </c>
      <c r="N2">
        <f>100*M2/L2</f>
        <v>8.7908647087391056</v>
      </c>
    </row>
    <row r="3" spans="1:14">
      <c r="A3">
        <f t="shared" ref="A3:A66" si="0">VALUE(MID(B3,1,1))</f>
        <v>1</v>
      </c>
      <c r="B3">
        <v>10102</v>
      </c>
      <c r="C3">
        <v>3211</v>
      </c>
      <c r="D3">
        <v>1356</v>
      </c>
      <c r="E3">
        <v>529</v>
      </c>
      <c r="F3">
        <v>117</v>
      </c>
      <c r="G3" s="10">
        <f t="shared" ref="G3:G66" si="1">100*E3/C3</f>
        <v>16.474618498909997</v>
      </c>
      <c r="K3" s="15">
        <v>2</v>
      </c>
      <c r="L3">
        <v>921943</v>
      </c>
      <c r="M3">
        <v>86359</v>
      </c>
      <c r="N3">
        <f t="shared" ref="N3:N18" si="2">100*M3/L3</f>
        <v>9.3670649920873625</v>
      </c>
    </row>
    <row r="4" spans="1:14">
      <c r="A4">
        <f t="shared" si="0"/>
        <v>1</v>
      </c>
      <c r="B4">
        <v>10103</v>
      </c>
      <c r="C4">
        <v>2038</v>
      </c>
      <c r="D4">
        <v>1030</v>
      </c>
      <c r="E4">
        <v>315</v>
      </c>
      <c r="F4">
        <v>35</v>
      </c>
      <c r="G4" s="10">
        <f t="shared" si="1"/>
        <v>15.456329735034348</v>
      </c>
      <c r="K4" s="15">
        <v>3</v>
      </c>
      <c r="L4">
        <v>632464</v>
      </c>
      <c r="M4">
        <v>40753</v>
      </c>
      <c r="N4">
        <f t="shared" si="2"/>
        <v>6.4435288016393031</v>
      </c>
    </row>
    <row r="5" spans="1:14">
      <c r="A5">
        <f t="shared" si="0"/>
        <v>1</v>
      </c>
      <c r="B5">
        <v>10201</v>
      </c>
      <c r="C5">
        <v>1403</v>
      </c>
      <c r="D5">
        <v>646</v>
      </c>
      <c r="E5">
        <v>249</v>
      </c>
      <c r="F5">
        <v>62</v>
      </c>
      <c r="G5" s="10">
        <f t="shared" si="1"/>
        <v>17.747683535281539</v>
      </c>
      <c r="K5" s="15">
        <v>4</v>
      </c>
      <c r="L5">
        <v>155080</v>
      </c>
      <c r="M5">
        <v>15942</v>
      </c>
      <c r="N5">
        <f t="shared" si="2"/>
        <v>10.27985555842146</v>
      </c>
    </row>
    <row r="6" spans="1:14">
      <c r="A6">
        <f t="shared" si="0"/>
        <v>1</v>
      </c>
      <c r="B6">
        <v>10202</v>
      </c>
      <c r="C6">
        <v>2422</v>
      </c>
      <c r="D6">
        <v>1114</v>
      </c>
      <c r="E6">
        <v>403</v>
      </c>
      <c r="F6">
        <v>66</v>
      </c>
      <c r="G6" s="10">
        <f t="shared" si="1"/>
        <v>16.639141205615193</v>
      </c>
      <c r="K6" s="15">
        <v>5</v>
      </c>
      <c r="L6">
        <v>188662</v>
      </c>
      <c r="M6">
        <v>24448</v>
      </c>
      <c r="N6">
        <f t="shared" si="2"/>
        <v>12.95862441827183</v>
      </c>
    </row>
    <row r="7" spans="1:14">
      <c r="A7">
        <f t="shared" si="0"/>
        <v>1</v>
      </c>
      <c r="B7">
        <v>10302</v>
      </c>
      <c r="C7">
        <v>1447</v>
      </c>
      <c r="D7">
        <v>447</v>
      </c>
      <c r="E7">
        <v>124</v>
      </c>
      <c r="F7">
        <v>17</v>
      </c>
      <c r="G7" s="10">
        <f t="shared" si="1"/>
        <v>8.569454042847271</v>
      </c>
      <c r="K7" s="15">
        <v>6</v>
      </c>
      <c r="L7">
        <v>144095</v>
      </c>
      <c r="M7">
        <v>10555</v>
      </c>
      <c r="N7">
        <f t="shared" si="2"/>
        <v>7.3250286269474998</v>
      </c>
    </row>
    <row r="8" spans="1:14">
      <c r="A8">
        <f t="shared" si="0"/>
        <v>1</v>
      </c>
      <c r="B8">
        <v>10303</v>
      </c>
      <c r="C8">
        <v>1812</v>
      </c>
      <c r="D8">
        <v>491</v>
      </c>
      <c r="E8">
        <v>200</v>
      </c>
      <c r="F8">
        <v>18</v>
      </c>
      <c r="G8" s="10">
        <f t="shared" si="1"/>
        <v>11.037527593818984</v>
      </c>
      <c r="K8" s="15">
        <v>7</v>
      </c>
      <c r="L8">
        <v>640689</v>
      </c>
      <c r="M8">
        <v>42315</v>
      </c>
      <c r="N8">
        <f t="shared" si="2"/>
        <v>6.6046084761873542</v>
      </c>
    </row>
    <row r="9" spans="1:14">
      <c r="A9">
        <f t="shared" si="0"/>
        <v>1</v>
      </c>
      <c r="B9">
        <v>10304</v>
      </c>
      <c r="C9">
        <v>1447</v>
      </c>
      <c r="D9">
        <v>518</v>
      </c>
      <c r="E9">
        <v>148</v>
      </c>
      <c r="F9">
        <v>19</v>
      </c>
      <c r="G9" s="10">
        <f t="shared" si="1"/>
        <v>10.228058051140291</v>
      </c>
      <c r="K9" s="15">
        <v>8</v>
      </c>
      <c r="L9">
        <v>97156</v>
      </c>
      <c r="M9">
        <v>2042</v>
      </c>
      <c r="N9">
        <f t="shared" si="2"/>
        <v>2.101774465807567</v>
      </c>
    </row>
    <row r="10" spans="1:14">
      <c r="A10">
        <f t="shared" si="0"/>
        <v>1</v>
      </c>
      <c r="B10">
        <v>10401</v>
      </c>
      <c r="C10">
        <v>2638</v>
      </c>
      <c r="D10">
        <v>703</v>
      </c>
      <c r="E10">
        <v>286</v>
      </c>
      <c r="F10">
        <v>89</v>
      </c>
      <c r="G10" s="10">
        <f t="shared" si="1"/>
        <v>10.841546626231993</v>
      </c>
      <c r="K10" s="15">
        <v>9</v>
      </c>
      <c r="L10">
        <v>21187</v>
      </c>
      <c r="M10">
        <v>403</v>
      </c>
      <c r="N10">
        <f t="shared" si="2"/>
        <v>1.9021097843016945</v>
      </c>
    </row>
    <row r="11" spans="1:14">
      <c r="A11">
        <f t="shared" si="0"/>
        <v>1</v>
      </c>
      <c r="B11">
        <v>10402</v>
      </c>
      <c r="C11">
        <v>2034</v>
      </c>
      <c r="D11">
        <v>739</v>
      </c>
      <c r="E11">
        <v>281</v>
      </c>
      <c r="F11">
        <v>50</v>
      </c>
      <c r="G11" s="10">
        <f t="shared" si="1"/>
        <v>13.815142576204524</v>
      </c>
      <c r="K11" s="15" t="s">
        <v>350</v>
      </c>
      <c r="L11">
        <v>2957768</v>
      </c>
      <c r="M11">
        <v>236574</v>
      </c>
      <c r="N11">
        <f t="shared" si="2"/>
        <v>7.9983960878608462</v>
      </c>
    </row>
    <row r="12" spans="1:14">
      <c r="A12">
        <f t="shared" si="0"/>
        <v>1</v>
      </c>
      <c r="B12">
        <v>10403</v>
      </c>
      <c r="C12">
        <v>1557</v>
      </c>
      <c r="D12">
        <v>581</v>
      </c>
      <c r="E12">
        <v>227</v>
      </c>
      <c r="F12">
        <v>41</v>
      </c>
      <c r="G12" s="10">
        <f t="shared" si="1"/>
        <v>14.579319203596659</v>
      </c>
    </row>
    <row r="13" spans="1:14">
      <c r="A13">
        <f t="shared" si="0"/>
        <v>1</v>
      </c>
      <c r="B13">
        <v>10404</v>
      </c>
      <c r="C13">
        <v>1080</v>
      </c>
      <c r="D13">
        <v>385</v>
      </c>
      <c r="E13">
        <v>126</v>
      </c>
      <c r="F13">
        <v>29</v>
      </c>
      <c r="G13" s="10">
        <f t="shared" si="1"/>
        <v>11.666666666666666</v>
      </c>
    </row>
    <row r="14" spans="1:14">
      <c r="A14">
        <f t="shared" si="0"/>
        <v>1</v>
      </c>
      <c r="B14">
        <v>10405</v>
      </c>
      <c r="C14">
        <v>1010</v>
      </c>
      <c r="D14">
        <v>300</v>
      </c>
      <c r="E14">
        <v>126</v>
      </c>
      <c r="F14">
        <v>42</v>
      </c>
      <c r="G14" s="10">
        <f t="shared" si="1"/>
        <v>12.475247524752476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10501</v>
      </c>
      <c r="C15">
        <v>6168</v>
      </c>
      <c r="D15">
        <v>1390</v>
      </c>
      <c r="E15">
        <v>457</v>
      </c>
      <c r="F15">
        <v>95</v>
      </c>
      <c r="G15" s="10">
        <f t="shared" si="1"/>
        <v>7.4092088197146566</v>
      </c>
      <c r="K15" s="15">
        <v>60301</v>
      </c>
      <c r="L15">
        <v>24688</v>
      </c>
      <c r="M15">
        <v>1094</v>
      </c>
      <c r="N15">
        <f t="shared" si="2"/>
        <v>4.4313026571613738</v>
      </c>
    </row>
    <row r="16" spans="1:14">
      <c r="A16">
        <f t="shared" si="0"/>
        <v>1</v>
      </c>
      <c r="B16">
        <v>10502</v>
      </c>
      <c r="C16">
        <v>1821</v>
      </c>
      <c r="D16">
        <v>621</v>
      </c>
      <c r="E16">
        <v>134</v>
      </c>
      <c r="F16">
        <v>7</v>
      </c>
      <c r="G16" s="10">
        <f t="shared" si="1"/>
        <v>7.3585941790225151</v>
      </c>
      <c r="K16" s="15">
        <v>60302</v>
      </c>
      <c r="L16">
        <v>4291</v>
      </c>
      <c r="M16">
        <v>470</v>
      </c>
      <c r="N16">
        <f t="shared" si="2"/>
        <v>10.9531577720811</v>
      </c>
    </row>
    <row r="17" spans="1:14">
      <c r="A17">
        <f t="shared" si="0"/>
        <v>1</v>
      </c>
      <c r="B17">
        <v>10601</v>
      </c>
      <c r="C17">
        <v>3707</v>
      </c>
      <c r="D17">
        <v>1635</v>
      </c>
      <c r="E17">
        <v>545</v>
      </c>
      <c r="F17">
        <v>79</v>
      </c>
      <c r="G17" s="10">
        <f t="shared" si="1"/>
        <v>14.701915295387105</v>
      </c>
      <c r="K17" s="15">
        <v>60303</v>
      </c>
      <c r="L17">
        <v>13183</v>
      </c>
      <c r="M17">
        <v>754</v>
      </c>
      <c r="N17">
        <f t="shared" si="2"/>
        <v>5.7194872183873171</v>
      </c>
    </row>
    <row r="18" spans="1:14">
      <c r="A18">
        <f t="shared" si="0"/>
        <v>1</v>
      </c>
      <c r="B18">
        <v>10602</v>
      </c>
      <c r="C18">
        <v>2214</v>
      </c>
      <c r="D18">
        <v>1014</v>
      </c>
      <c r="E18">
        <v>351</v>
      </c>
      <c r="F18">
        <v>60</v>
      </c>
      <c r="G18" s="10">
        <f t="shared" si="1"/>
        <v>15.853658536585366</v>
      </c>
      <c r="K18" s="15" t="s">
        <v>350</v>
      </c>
      <c r="L18">
        <v>42162</v>
      </c>
      <c r="M18">
        <v>2318</v>
      </c>
      <c r="N18">
        <f t="shared" si="2"/>
        <v>5.4978416583653527</v>
      </c>
    </row>
    <row r="19" spans="1:14">
      <c r="A19">
        <f t="shared" si="0"/>
        <v>1</v>
      </c>
      <c r="B19">
        <v>10701</v>
      </c>
      <c r="C19">
        <v>4285</v>
      </c>
      <c r="D19">
        <v>1654</v>
      </c>
      <c r="E19">
        <v>689</v>
      </c>
      <c r="F19">
        <v>172</v>
      </c>
      <c r="G19" s="10">
        <f t="shared" si="1"/>
        <v>16.079346557759628</v>
      </c>
    </row>
    <row r="20" spans="1:14">
      <c r="A20">
        <f t="shared" si="0"/>
        <v>1</v>
      </c>
      <c r="B20">
        <v>10702</v>
      </c>
      <c r="C20">
        <v>7082</v>
      </c>
      <c r="D20">
        <v>4149</v>
      </c>
      <c r="E20">
        <v>1629</v>
      </c>
      <c r="F20">
        <v>316</v>
      </c>
      <c r="G20" s="10">
        <f t="shared" si="1"/>
        <v>23.001976842699801</v>
      </c>
    </row>
    <row r="21" spans="1:14">
      <c r="A21">
        <f t="shared" si="0"/>
        <v>1</v>
      </c>
      <c r="B21">
        <v>10703</v>
      </c>
      <c r="C21">
        <v>1385</v>
      </c>
      <c r="D21">
        <v>474</v>
      </c>
      <c r="E21">
        <v>176</v>
      </c>
      <c r="F21">
        <v>57</v>
      </c>
      <c r="G21" s="10">
        <f t="shared" si="1"/>
        <v>12.707581227436823</v>
      </c>
    </row>
    <row r="22" spans="1:14">
      <c r="A22">
        <f t="shared" si="0"/>
        <v>1</v>
      </c>
      <c r="B22">
        <v>10704</v>
      </c>
      <c r="C22">
        <v>2588</v>
      </c>
      <c r="D22">
        <v>1171</v>
      </c>
      <c r="E22">
        <v>350</v>
      </c>
      <c r="F22">
        <v>73</v>
      </c>
      <c r="G22" s="10">
        <f t="shared" si="1"/>
        <v>13.523956723338486</v>
      </c>
    </row>
    <row r="23" spans="1:14">
      <c r="A23">
        <f t="shared" si="0"/>
        <v>1</v>
      </c>
      <c r="B23">
        <v>10801</v>
      </c>
      <c r="C23">
        <v>3250</v>
      </c>
      <c r="D23">
        <v>1151</v>
      </c>
      <c r="E23">
        <v>501</v>
      </c>
      <c r="F23">
        <v>136</v>
      </c>
      <c r="G23" s="10">
        <f t="shared" si="1"/>
        <v>15.415384615384616</v>
      </c>
    </row>
    <row r="24" spans="1:14">
      <c r="A24">
        <f t="shared" si="0"/>
        <v>1</v>
      </c>
      <c r="B24">
        <v>10901</v>
      </c>
      <c r="C24">
        <v>1044</v>
      </c>
      <c r="D24">
        <v>495</v>
      </c>
      <c r="E24">
        <v>195</v>
      </c>
      <c r="F24">
        <v>37</v>
      </c>
      <c r="G24" s="10">
        <f t="shared" si="1"/>
        <v>18.678160919540229</v>
      </c>
    </row>
    <row r="25" spans="1:14">
      <c r="A25">
        <f t="shared" si="0"/>
        <v>1</v>
      </c>
      <c r="B25">
        <v>10902</v>
      </c>
      <c r="C25">
        <v>2821</v>
      </c>
      <c r="D25">
        <v>784</v>
      </c>
      <c r="E25">
        <v>306</v>
      </c>
      <c r="F25">
        <v>68</v>
      </c>
      <c r="G25" s="10">
        <f t="shared" si="1"/>
        <v>10.847217298830202</v>
      </c>
    </row>
    <row r="26" spans="1:14">
      <c r="A26">
        <f t="shared" si="0"/>
        <v>1</v>
      </c>
      <c r="B26">
        <v>10903</v>
      </c>
      <c r="C26">
        <v>978</v>
      </c>
      <c r="D26">
        <v>397</v>
      </c>
      <c r="E26">
        <v>165</v>
      </c>
      <c r="F26">
        <v>29</v>
      </c>
      <c r="G26" s="10">
        <f t="shared" si="1"/>
        <v>16.871165644171779</v>
      </c>
    </row>
    <row r="27" spans="1:14">
      <c r="A27">
        <f t="shared" si="0"/>
        <v>1</v>
      </c>
      <c r="B27">
        <v>11001</v>
      </c>
      <c r="C27">
        <v>2081</v>
      </c>
      <c r="D27">
        <v>465</v>
      </c>
      <c r="E27">
        <v>118</v>
      </c>
      <c r="F27">
        <v>18</v>
      </c>
      <c r="G27" s="10">
        <f t="shared" si="1"/>
        <v>5.6703507928880343</v>
      </c>
    </row>
    <row r="28" spans="1:14">
      <c r="A28">
        <f t="shared" si="0"/>
        <v>1</v>
      </c>
      <c r="B28">
        <v>11002</v>
      </c>
      <c r="C28">
        <v>35</v>
      </c>
      <c r="D28">
        <v>10</v>
      </c>
      <c r="E28">
        <v>5</v>
      </c>
      <c r="F28">
        <v>2</v>
      </c>
      <c r="G28" s="10">
        <f t="shared" si="1"/>
        <v>14.285714285714286</v>
      </c>
    </row>
    <row r="29" spans="1:14">
      <c r="A29">
        <f t="shared" si="0"/>
        <v>1</v>
      </c>
      <c r="B29">
        <v>11003</v>
      </c>
      <c r="C29">
        <v>900</v>
      </c>
      <c r="D29">
        <v>273</v>
      </c>
      <c r="E29">
        <v>63</v>
      </c>
      <c r="F29">
        <v>8</v>
      </c>
      <c r="G29" s="10">
        <f t="shared" si="1"/>
        <v>7</v>
      </c>
    </row>
    <row r="30" spans="1:14">
      <c r="A30">
        <f t="shared" si="0"/>
        <v>2</v>
      </c>
      <c r="B30">
        <v>20101</v>
      </c>
      <c r="C30">
        <v>306258</v>
      </c>
      <c r="D30">
        <v>55566</v>
      </c>
      <c r="E30">
        <v>18239</v>
      </c>
      <c r="F30">
        <v>4859</v>
      </c>
      <c r="G30" s="10">
        <f t="shared" si="1"/>
        <v>5.9554362661546802</v>
      </c>
    </row>
    <row r="31" spans="1:14">
      <c r="A31">
        <f t="shared" si="0"/>
        <v>2</v>
      </c>
      <c r="B31">
        <v>20102</v>
      </c>
      <c r="C31">
        <v>4317</v>
      </c>
      <c r="D31">
        <v>1034</v>
      </c>
      <c r="E31">
        <v>426</v>
      </c>
      <c r="F31">
        <v>106</v>
      </c>
      <c r="G31" s="10">
        <f t="shared" si="1"/>
        <v>9.8679638637943015</v>
      </c>
    </row>
    <row r="32" spans="1:14">
      <c r="A32">
        <f t="shared" si="0"/>
        <v>2</v>
      </c>
      <c r="B32">
        <v>20103</v>
      </c>
      <c r="C32">
        <v>7111</v>
      </c>
      <c r="D32">
        <v>1820</v>
      </c>
      <c r="E32">
        <v>833</v>
      </c>
      <c r="F32">
        <v>237</v>
      </c>
      <c r="G32" s="10">
        <f t="shared" si="1"/>
        <v>11.714245535086485</v>
      </c>
    </row>
    <row r="33" spans="1:7">
      <c r="A33">
        <f t="shared" si="0"/>
        <v>2</v>
      </c>
      <c r="B33">
        <v>20104</v>
      </c>
      <c r="C33">
        <v>11684</v>
      </c>
      <c r="D33">
        <v>3988</v>
      </c>
      <c r="E33">
        <v>1978</v>
      </c>
      <c r="F33">
        <v>552</v>
      </c>
      <c r="G33" s="10">
        <f t="shared" si="1"/>
        <v>16.929133858267715</v>
      </c>
    </row>
    <row r="34" spans="1:7">
      <c r="A34">
        <f t="shared" si="0"/>
        <v>2</v>
      </c>
      <c r="B34">
        <v>20105</v>
      </c>
      <c r="C34">
        <v>309035</v>
      </c>
      <c r="D34">
        <v>57174</v>
      </c>
      <c r="E34">
        <v>23531</v>
      </c>
      <c r="F34">
        <v>6897</v>
      </c>
      <c r="G34" s="10">
        <f t="shared" si="1"/>
        <v>7.6143478893976413</v>
      </c>
    </row>
    <row r="35" spans="1:7">
      <c r="A35">
        <f t="shared" si="0"/>
        <v>2</v>
      </c>
      <c r="B35">
        <v>20201</v>
      </c>
      <c r="C35">
        <v>13461</v>
      </c>
      <c r="D35">
        <v>4235</v>
      </c>
      <c r="E35">
        <v>1833</v>
      </c>
      <c r="F35">
        <v>453</v>
      </c>
      <c r="G35" s="10">
        <f t="shared" si="1"/>
        <v>13.617116113215957</v>
      </c>
    </row>
    <row r="36" spans="1:7">
      <c r="A36">
        <f t="shared" si="0"/>
        <v>2</v>
      </c>
      <c r="B36">
        <v>20202</v>
      </c>
      <c r="C36">
        <v>3348</v>
      </c>
      <c r="D36">
        <v>1338</v>
      </c>
      <c r="E36">
        <v>563</v>
      </c>
      <c r="F36">
        <v>89</v>
      </c>
      <c r="G36" s="10">
        <f t="shared" si="1"/>
        <v>16.816009557945041</v>
      </c>
    </row>
    <row r="37" spans="1:7">
      <c r="A37">
        <f t="shared" si="0"/>
        <v>2</v>
      </c>
      <c r="B37">
        <v>20203</v>
      </c>
      <c r="C37">
        <v>1326</v>
      </c>
      <c r="D37">
        <v>559</v>
      </c>
      <c r="E37">
        <v>231</v>
      </c>
      <c r="F37">
        <v>40</v>
      </c>
      <c r="G37" s="10">
        <f t="shared" si="1"/>
        <v>17.420814479638008</v>
      </c>
    </row>
    <row r="38" spans="1:7">
      <c r="A38">
        <f t="shared" si="0"/>
        <v>2</v>
      </c>
      <c r="B38">
        <v>20204</v>
      </c>
      <c r="C38">
        <v>2197</v>
      </c>
      <c r="D38">
        <v>851</v>
      </c>
      <c r="E38">
        <v>373</v>
      </c>
      <c r="F38">
        <v>73</v>
      </c>
      <c r="G38" s="10">
        <f t="shared" si="1"/>
        <v>16.977696859353664</v>
      </c>
    </row>
    <row r="39" spans="1:7">
      <c r="A39">
        <f t="shared" si="0"/>
        <v>2</v>
      </c>
      <c r="B39">
        <v>20205</v>
      </c>
      <c r="C39">
        <v>2725</v>
      </c>
      <c r="D39">
        <v>1286</v>
      </c>
      <c r="E39">
        <v>649</v>
      </c>
      <c r="F39">
        <v>188</v>
      </c>
      <c r="G39" s="10">
        <f t="shared" si="1"/>
        <v>23.816513761467888</v>
      </c>
    </row>
    <row r="40" spans="1:7">
      <c r="A40">
        <f t="shared" si="0"/>
        <v>2</v>
      </c>
      <c r="B40">
        <v>20206</v>
      </c>
      <c r="C40">
        <v>1156</v>
      </c>
      <c r="D40">
        <v>570</v>
      </c>
      <c r="E40">
        <v>258</v>
      </c>
      <c r="F40">
        <v>57</v>
      </c>
      <c r="G40" s="10">
        <f t="shared" si="1"/>
        <v>22.318339100346019</v>
      </c>
    </row>
    <row r="41" spans="1:7">
      <c r="A41">
        <f t="shared" si="0"/>
        <v>2</v>
      </c>
      <c r="B41">
        <v>20301</v>
      </c>
      <c r="C41">
        <v>2821</v>
      </c>
      <c r="D41">
        <v>1367</v>
      </c>
      <c r="E41">
        <v>755</v>
      </c>
      <c r="F41">
        <v>273</v>
      </c>
      <c r="G41" s="10">
        <f t="shared" si="1"/>
        <v>26.763559021623539</v>
      </c>
    </row>
    <row r="42" spans="1:7">
      <c r="A42">
        <f t="shared" si="0"/>
        <v>2</v>
      </c>
      <c r="B42">
        <v>20302</v>
      </c>
      <c r="C42">
        <v>3295</v>
      </c>
      <c r="D42">
        <v>1919</v>
      </c>
      <c r="E42">
        <v>1009</v>
      </c>
      <c r="F42">
        <v>303</v>
      </c>
      <c r="G42" s="10">
        <f t="shared" si="1"/>
        <v>30.622154779969652</v>
      </c>
    </row>
    <row r="43" spans="1:7">
      <c r="A43">
        <f t="shared" si="0"/>
        <v>2</v>
      </c>
      <c r="B43">
        <v>20303</v>
      </c>
      <c r="C43">
        <v>1698</v>
      </c>
      <c r="D43">
        <v>1081</v>
      </c>
      <c r="E43">
        <v>587</v>
      </c>
      <c r="F43">
        <v>132</v>
      </c>
      <c r="G43" s="10">
        <f t="shared" si="1"/>
        <v>34.570082449941104</v>
      </c>
    </row>
    <row r="44" spans="1:7">
      <c r="A44">
        <f t="shared" si="0"/>
        <v>2</v>
      </c>
      <c r="B44">
        <v>20304</v>
      </c>
      <c r="C44">
        <v>1155</v>
      </c>
      <c r="D44">
        <v>572</v>
      </c>
      <c r="E44">
        <v>299</v>
      </c>
      <c r="F44">
        <v>86</v>
      </c>
      <c r="G44" s="10">
        <f t="shared" si="1"/>
        <v>25.887445887445889</v>
      </c>
    </row>
    <row r="45" spans="1:7">
      <c r="A45">
        <f t="shared" si="0"/>
        <v>2</v>
      </c>
      <c r="B45">
        <v>20307</v>
      </c>
      <c r="C45">
        <v>99</v>
      </c>
      <c r="D45">
        <v>53</v>
      </c>
      <c r="E45">
        <v>22</v>
      </c>
      <c r="F45">
        <v>5</v>
      </c>
      <c r="G45" s="10">
        <f t="shared" si="1"/>
        <v>22.222222222222221</v>
      </c>
    </row>
    <row r="46" spans="1:7">
      <c r="A46">
        <f t="shared" si="0"/>
        <v>2</v>
      </c>
      <c r="B46">
        <v>20308</v>
      </c>
      <c r="C46">
        <v>1478</v>
      </c>
      <c r="D46">
        <v>953</v>
      </c>
      <c r="E46">
        <v>535</v>
      </c>
      <c r="F46">
        <v>132</v>
      </c>
      <c r="G46" s="10">
        <f t="shared" si="1"/>
        <v>36.197564276048716</v>
      </c>
    </row>
    <row r="47" spans="1:7">
      <c r="A47">
        <f t="shared" si="0"/>
        <v>2</v>
      </c>
      <c r="B47">
        <v>20401</v>
      </c>
      <c r="C47">
        <v>3879</v>
      </c>
      <c r="D47">
        <v>1666</v>
      </c>
      <c r="E47">
        <v>616</v>
      </c>
      <c r="F47">
        <v>89</v>
      </c>
      <c r="G47" s="10">
        <f t="shared" si="1"/>
        <v>15.880381541634442</v>
      </c>
    </row>
    <row r="48" spans="1:7">
      <c r="A48">
        <f t="shared" si="0"/>
        <v>2</v>
      </c>
      <c r="B48">
        <v>20402</v>
      </c>
      <c r="C48">
        <v>2958</v>
      </c>
      <c r="D48">
        <v>1156</v>
      </c>
      <c r="E48">
        <v>424</v>
      </c>
      <c r="F48">
        <v>45</v>
      </c>
      <c r="G48" s="10">
        <f t="shared" si="1"/>
        <v>14.334009465855308</v>
      </c>
    </row>
    <row r="49" spans="1:7">
      <c r="A49">
        <f t="shared" si="0"/>
        <v>2</v>
      </c>
      <c r="B49">
        <v>20403</v>
      </c>
      <c r="C49">
        <v>3450</v>
      </c>
      <c r="D49">
        <v>1260</v>
      </c>
      <c r="E49">
        <v>514</v>
      </c>
      <c r="F49">
        <v>74</v>
      </c>
      <c r="G49" s="10">
        <f t="shared" si="1"/>
        <v>14.898550724637682</v>
      </c>
    </row>
    <row r="50" spans="1:7">
      <c r="A50">
        <f t="shared" si="0"/>
        <v>2</v>
      </c>
      <c r="B50">
        <v>20404</v>
      </c>
      <c r="C50">
        <v>1137</v>
      </c>
      <c r="D50">
        <v>375</v>
      </c>
      <c r="E50">
        <v>129</v>
      </c>
      <c r="F50">
        <v>16</v>
      </c>
      <c r="G50" s="10">
        <f t="shared" si="1"/>
        <v>11.345646437994723</v>
      </c>
    </row>
    <row r="51" spans="1:7">
      <c r="A51">
        <f t="shared" si="0"/>
        <v>2</v>
      </c>
      <c r="B51">
        <v>20405</v>
      </c>
      <c r="C51">
        <v>2112</v>
      </c>
      <c r="D51">
        <v>752</v>
      </c>
      <c r="E51">
        <v>246</v>
      </c>
      <c r="F51">
        <v>41</v>
      </c>
      <c r="G51" s="10">
        <f t="shared" si="1"/>
        <v>11.647727272727273</v>
      </c>
    </row>
    <row r="52" spans="1:7">
      <c r="A52">
        <f t="shared" si="0"/>
        <v>2</v>
      </c>
      <c r="B52">
        <v>20501</v>
      </c>
      <c r="C52">
        <v>3409</v>
      </c>
      <c r="D52">
        <v>1181</v>
      </c>
      <c r="E52">
        <v>471</v>
      </c>
      <c r="F52">
        <v>79</v>
      </c>
      <c r="G52" s="10">
        <f t="shared" si="1"/>
        <v>13.81636843649164</v>
      </c>
    </row>
    <row r="53" spans="1:7">
      <c r="A53">
        <f t="shared" si="0"/>
        <v>2</v>
      </c>
      <c r="B53">
        <v>20502</v>
      </c>
      <c r="C53">
        <v>1478</v>
      </c>
      <c r="D53">
        <v>522</v>
      </c>
      <c r="E53">
        <v>202</v>
      </c>
      <c r="F53">
        <v>39</v>
      </c>
      <c r="G53" s="10">
        <f t="shared" si="1"/>
        <v>13.667117726657645</v>
      </c>
    </row>
    <row r="54" spans="1:7">
      <c r="A54">
        <f t="shared" si="0"/>
        <v>2</v>
      </c>
      <c r="B54">
        <v>20503</v>
      </c>
      <c r="C54">
        <v>1060</v>
      </c>
      <c r="D54">
        <v>299</v>
      </c>
      <c r="E54">
        <v>135</v>
      </c>
      <c r="F54">
        <v>36</v>
      </c>
      <c r="G54" s="10">
        <f t="shared" si="1"/>
        <v>12.735849056603774</v>
      </c>
    </row>
    <row r="55" spans="1:7">
      <c r="A55">
        <f t="shared" si="0"/>
        <v>2</v>
      </c>
      <c r="B55">
        <v>20601</v>
      </c>
      <c r="C55">
        <v>6630</v>
      </c>
      <c r="D55">
        <v>2032</v>
      </c>
      <c r="E55">
        <v>806</v>
      </c>
      <c r="F55">
        <v>149</v>
      </c>
      <c r="G55" s="10">
        <f t="shared" si="1"/>
        <v>12.156862745098039</v>
      </c>
    </row>
    <row r="56" spans="1:7">
      <c r="A56">
        <f t="shared" si="0"/>
        <v>2</v>
      </c>
      <c r="B56">
        <v>20602</v>
      </c>
      <c r="C56">
        <v>3037</v>
      </c>
      <c r="D56">
        <v>444</v>
      </c>
      <c r="E56">
        <v>110</v>
      </c>
      <c r="F56">
        <v>16</v>
      </c>
      <c r="G56" s="10">
        <f t="shared" si="1"/>
        <v>3.6219953901876853</v>
      </c>
    </row>
    <row r="57" spans="1:7">
      <c r="A57">
        <f t="shared" si="0"/>
        <v>2</v>
      </c>
      <c r="B57">
        <v>20603</v>
      </c>
      <c r="C57">
        <v>1790</v>
      </c>
      <c r="D57">
        <v>507</v>
      </c>
      <c r="E57">
        <v>229</v>
      </c>
      <c r="F57">
        <v>85</v>
      </c>
      <c r="G57" s="10">
        <f t="shared" si="1"/>
        <v>12.793296089385475</v>
      </c>
    </row>
    <row r="58" spans="1:7">
      <c r="A58">
        <f t="shared" si="0"/>
        <v>2</v>
      </c>
      <c r="B58">
        <v>20604</v>
      </c>
      <c r="C58">
        <v>787</v>
      </c>
      <c r="D58">
        <v>235</v>
      </c>
      <c r="E58">
        <v>99</v>
      </c>
      <c r="F58">
        <v>15</v>
      </c>
      <c r="G58" s="10">
        <f t="shared" si="1"/>
        <v>12.579415501905972</v>
      </c>
    </row>
    <row r="59" spans="1:7">
      <c r="A59">
        <f t="shared" si="0"/>
        <v>2</v>
      </c>
      <c r="B59">
        <v>20605</v>
      </c>
      <c r="C59">
        <v>579</v>
      </c>
      <c r="D59">
        <v>243</v>
      </c>
      <c r="E59">
        <v>107</v>
      </c>
      <c r="F59">
        <v>14</v>
      </c>
      <c r="G59" s="10">
        <f t="shared" si="1"/>
        <v>18.480138169257341</v>
      </c>
    </row>
    <row r="60" spans="1:7">
      <c r="A60">
        <f t="shared" si="0"/>
        <v>2</v>
      </c>
      <c r="B60">
        <v>20606</v>
      </c>
      <c r="C60">
        <v>2199</v>
      </c>
      <c r="D60">
        <v>513</v>
      </c>
      <c r="E60">
        <v>154</v>
      </c>
      <c r="F60">
        <v>48</v>
      </c>
      <c r="G60" s="10">
        <f t="shared" si="1"/>
        <v>7.0031832651205095</v>
      </c>
    </row>
    <row r="61" spans="1:7">
      <c r="A61">
        <f t="shared" si="0"/>
        <v>2</v>
      </c>
      <c r="B61">
        <v>20607</v>
      </c>
      <c r="C61">
        <v>3426</v>
      </c>
      <c r="D61">
        <v>608</v>
      </c>
      <c r="E61">
        <v>148</v>
      </c>
      <c r="F61">
        <v>55</v>
      </c>
      <c r="G61" s="10">
        <f t="shared" si="1"/>
        <v>4.3199065966141275</v>
      </c>
    </row>
    <row r="62" spans="1:7">
      <c r="A62">
        <f t="shared" si="0"/>
        <v>2</v>
      </c>
      <c r="B62">
        <v>20608</v>
      </c>
      <c r="C62">
        <v>2368</v>
      </c>
      <c r="D62">
        <v>535</v>
      </c>
      <c r="E62">
        <v>240</v>
      </c>
      <c r="F62">
        <v>91</v>
      </c>
      <c r="G62" s="10">
        <f t="shared" si="1"/>
        <v>10.135135135135135</v>
      </c>
    </row>
    <row r="63" spans="1:7">
      <c r="A63">
        <f t="shared" si="0"/>
        <v>2</v>
      </c>
      <c r="B63">
        <v>20701</v>
      </c>
      <c r="C63">
        <v>4085</v>
      </c>
      <c r="D63">
        <v>913</v>
      </c>
      <c r="E63">
        <v>332</v>
      </c>
      <c r="F63">
        <v>84</v>
      </c>
      <c r="G63" s="10">
        <f t="shared" si="1"/>
        <v>8.1272949816401461</v>
      </c>
    </row>
    <row r="64" spans="1:7">
      <c r="A64">
        <f t="shared" si="0"/>
        <v>2</v>
      </c>
      <c r="B64">
        <v>20702</v>
      </c>
      <c r="C64">
        <v>1626</v>
      </c>
      <c r="D64">
        <v>532</v>
      </c>
      <c r="E64">
        <v>158</v>
      </c>
      <c r="F64">
        <v>36</v>
      </c>
      <c r="G64" s="10">
        <f t="shared" si="1"/>
        <v>9.7170971709717104</v>
      </c>
    </row>
    <row r="65" spans="1:7">
      <c r="A65">
        <f t="shared" si="0"/>
        <v>2</v>
      </c>
      <c r="B65">
        <v>20801</v>
      </c>
      <c r="C65">
        <v>39347</v>
      </c>
      <c r="D65">
        <v>11907</v>
      </c>
      <c r="E65">
        <v>6632</v>
      </c>
      <c r="F65">
        <v>2005</v>
      </c>
      <c r="G65" s="10">
        <f t="shared" si="1"/>
        <v>16.855160495082217</v>
      </c>
    </row>
    <row r="66" spans="1:7">
      <c r="A66">
        <f t="shared" si="0"/>
        <v>2</v>
      </c>
      <c r="B66">
        <v>20802</v>
      </c>
      <c r="C66">
        <v>2599</v>
      </c>
      <c r="D66">
        <v>1101</v>
      </c>
      <c r="E66">
        <v>497</v>
      </c>
      <c r="F66">
        <v>152</v>
      </c>
      <c r="G66" s="10">
        <f t="shared" si="1"/>
        <v>19.122739515198152</v>
      </c>
    </row>
    <row r="67" spans="1:7">
      <c r="A67">
        <f t="shared" ref="A67:A130" si="3">VALUE(MID(B67,1,1))</f>
        <v>2</v>
      </c>
      <c r="B67">
        <v>20803</v>
      </c>
      <c r="C67">
        <v>3063</v>
      </c>
      <c r="D67">
        <v>1168</v>
      </c>
      <c r="E67">
        <v>582</v>
      </c>
      <c r="F67">
        <v>234</v>
      </c>
      <c r="G67" s="10">
        <f t="shared" ref="G67:G130" si="4">100*E67/C67</f>
        <v>19.00097943192948</v>
      </c>
    </row>
    <row r="68" spans="1:7">
      <c r="A68">
        <f t="shared" si="3"/>
        <v>2</v>
      </c>
      <c r="B68">
        <v>20804</v>
      </c>
      <c r="C68">
        <v>2124</v>
      </c>
      <c r="D68">
        <v>611</v>
      </c>
      <c r="E68">
        <v>263</v>
      </c>
      <c r="F68">
        <v>82</v>
      </c>
      <c r="G68" s="10">
        <f t="shared" si="4"/>
        <v>12.382297551789078</v>
      </c>
    </row>
    <row r="69" spans="1:7">
      <c r="A69">
        <f t="shared" si="3"/>
        <v>2</v>
      </c>
      <c r="B69">
        <v>20807</v>
      </c>
      <c r="C69">
        <v>1704</v>
      </c>
      <c r="D69">
        <v>762</v>
      </c>
      <c r="E69">
        <v>405</v>
      </c>
      <c r="F69">
        <v>155</v>
      </c>
      <c r="G69" s="10">
        <f t="shared" si="4"/>
        <v>23.767605633802816</v>
      </c>
    </row>
    <row r="70" spans="1:7">
      <c r="A70">
        <f t="shared" si="3"/>
        <v>2</v>
      </c>
      <c r="B70">
        <v>20901</v>
      </c>
      <c r="C70">
        <v>2788</v>
      </c>
      <c r="D70">
        <v>731</v>
      </c>
      <c r="E70">
        <v>352</v>
      </c>
      <c r="F70">
        <v>84</v>
      </c>
      <c r="G70" s="10">
        <f t="shared" si="4"/>
        <v>12.625538020086083</v>
      </c>
    </row>
    <row r="71" spans="1:7">
      <c r="A71">
        <f t="shared" si="3"/>
        <v>2</v>
      </c>
      <c r="B71">
        <v>20902</v>
      </c>
      <c r="C71">
        <v>3501</v>
      </c>
      <c r="D71">
        <v>973</v>
      </c>
      <c r="E71">
        <v>389</v>
      </c>
      <c r="F71">
        <v>93</v>
      </c>
      <c r="G71" s="10">
        <f t="shared" si="4"/>
        <v>11.111111111111111</v>
      </c>
    </row>
    <row r="72" spans="1:7">
      <c r="A72">
        <f t="shared" si="3"/>
        <v>2</v>
      </c>
      <c r="B72">
        <v>20903</v>
      </c>
      <c r="C72">
        <v>1582</v>
      </c>
      <c r="D72">
        <v>602</v>
      </c>
      <c r="E72">
        <v>275</v>
      </c>
      <c r="F72">
        <v>57</v>
      </c>
      <c r="G72" s="10">
        <f t="shared" si="4"/>
        <v>17.383059418457648</v>
      </c>
    </row>
    <row r="73" spans="1:7">
      <c r="A73">
        <f t="shared" si="3"/>
        <v>2</v>
      </c>
      <c r="B73">
        <v>20904</v>
      </c>
      <c r="C73">
        <v>259</v>
      </c>
      <c r="D73">
        <v>91</v>
      </c>
      <c r="E73">
        <v>30</v>
      </c>
      <c r="F73">
        <v>1</v>
      </c>
      <c r="G73" s="10">
        <f t="shared" si="4"/>
        <v>11.583011583011583</v>
      </c>
    </row>
    <row r="74" spans="1:7">
      <c r="A74">
        <f t="shared" si="3"/>
        <v>2</v>
      </c>
      <c r="B74">
        <v>20905</v>
      </c>
      <c r="C74">
        <v>2019</v>
      </c>
      <c r="D74">
        <v>539</v>
      </c>
      <c r="E74">
        <v>136</v>
      </c>
      <c r="F74">
        <v>22</v>
      </c>
      <c r="G74" s="10">
        <f t="shared" si="4"/>
        <v>6.7360079247152056</v>
      </c>
    </row>
    <row r="75" spans="1:7">
      <c r="A75">
        <f t="shared" si="3"/>
        <v>2</v>
      </c>
      <c r="B75">
        <v>21001</v>
      </c>
      <c r="C75">
        <v>2694</v>
      </c>
      <c r="D75">
        <v>1082</v>
      </c>
      <c r="E75">
        <v>249</v>
      </c>
      <c r="F75">
        <v>45</v>
      </c>
      <c r="G75" s="10">
        <f t="shared" si="4"/>
        <v>9.2427616926503333</v>
      </c>
    </row>
    <row r="76" spans="1:7">
      <c r="A76">
        <f t="shared" si="3"/>
        <v>2</v>
      </c>
      <c r="B76">
        <v>21002</v>
      </c>
      <c r="C76">
        <v>1829</v>
      </c>
      <c r="D76">
        <v>651</v>
      </c>
      <c r="E76">
        <v>147</v>
      </c>
      <c r="F76">
        <v>11</v>
      </c>
      <c r="G76" s="10">
        <f t="shared" si="4"/>
        <v>8.037178786221979</v>
      </c>
    </row>
    <row r="77" spans="1:7">
      <c r="A77">
        <f t="shared" si="3"/>
        <v>2</v>
      </c>
      <c r="B77">
        <v>21003</v>
      </c>
      <c r="C77">
        <v>3250</v>
      </c>
      <c r="D77">
        <v>912</v>
      </c>
      <c r="E77">
        <v>115</v>
      </c>
      <c r="F77">
        <v>7</v>
      </c>
      <c r="G77" s="10">
        <f t="shared" si="4"/>
        <v>3.5384615384615383</v>
      </c>
    </row>
    <row r="78" spans="1:7">
      <c r="A78">
        <f t="shared" si="3"/>
        <v>2</v>
      </c>
      <c r="B78">
        <v>21004</v>
      </c>
      <c r="C78">
        <v>1962</v>
      </c>
      <c r="D78">
        <v>944</v>
      </c>
      <c r="E78">
        <v>388</v>
      </c>
      <c r="F78">
        <v>132</v>
      </c>
      <c r="G78" s="10">
        <f t="shared" si="4"/>
        <v>19.775739041794086</v>
      </c>
    </row>
    <row r="79" spans="1:7">
      <c r="A79">
        <f t="shared" si="3"/>
        <v>2</v>
      </c>
      <c r="B79">
        <v>21005</v>
      </c>
      <c r="C79">
        <v>1076</v>
      </c>
      <c r="D79">
        <v>465</v>
      </c>
      <c r="E79">
        <v>178</v>
      </c>
      <c r="F79">
        <v>42</v>
      </c>
      <c r="G79" s="10">
        <f t="shared" si="4"/>
        <v>16.542750929368029</v>
      </c>
    </row>
    <row r="80" spans="1:7">
      <c r="A80">
        <f t="shared" si="3"/>
        <v>2</v>
      </c>
      <c r="B80">
        <v>21006</v>
      </c>
      <c r="C80">
        <v>792</v>
      </c>
      <c r="D80">
        <v>233</v>
      </c>
      <c r="E80">
        <v>67</v>
      </c>
      <c r="F80">
        <v>10</v>
      </c>
      <c r="G80" s="10">
        <f t="shared" si="4"/>
        <v>8.4595959595959602</v>
      </c>
    </row>
    <row r="81" spans="1:7">
      <c r="A81">
        <f t="shared" si="3"/>
        <v>2</v>
      </c>
      <c r="B81">
        <v>21101</v>
      </c>
      <c r="C81">
        <v>5682</v>
      </c>
      <c r="D81">
        <v>1217</v>
      </c>
      <c r="E81">
        <v>479</v>
      </c>
      <c r="F81">
        <v>102</v>
      </c>
      <c r="G81" s="10">
        <f t="shared" si="4"/>
        <v>8.4301302358324541</v>
      </c>
    </row>
    <row r="82" spans="1:7">
      <c r="A82">
        <f t="shared" si="3"/>
        <v>2</v>
      </c>
      <c r="B82">
        <v>21102</v>
      </c>
      <c r="C82">
        <v>5374</v>
      </c>
      <c r="D82">
        <v>1300</v>
      </c>
      <c r="E82">
        <v>482</v>
      </c>
      <c r="F82">
        <v>110</v>
      </c>
      <c r="G82" s="10">
        <f t="shared" si="4"/>
        <v>8.969110532192035</v>
      </c>
    </row>
    <row r="83" spans="1:7">
      <c r="A83">
        <f t="shared" si="3"/>
        <v>2</v>
      </c>
      <c r="B83">
        <v>21103</v>
      </c>
      <c r="C83">
        <v>1403</v>
      </c>
      <c r="D83">
        <v>366</v>
      </c>
      <c r="E83">
        <v>112</v>
      </c>
      <c r="F83">
        <v>19</v>
      </c>
      <c r="G83" s="10">
        <f t="shared" si="4"/>
        <v>7.982893799002138</v>
      </c>
    </row>
    <row r="84" spans="1:7">
      <c r="A84">
        <f t="shared" si="3"/>
        <v>2</v>
      </c>
      <c r="B84">
        <v>21104</v>
      </c>
      <c r="C84">
        <v>6324</v>
      </c>
      <c r="D84">
        <v>1505</v>
      </c>
      <c r="E84">
        <v>695</v>
      </c>
      <c r="F84">
        <v>250</v>
      </c>
      <c r="G84" s="10">
        <f t="shared" si="4"/>
        <v>10.989879822896901</v>
      </c>
    </row>
    <row r="85" spans="1:7">
      <c r="A85">
        <f t="shared" si="3"/>
        <v>2</v>
      </c>
      <c r="B85">
        <v>21105</v>
      </c>
      <c r="C85">
        <v>11541</v>
      </c>
      <c r="D85">
        <v>2801</v>
      </c>
      <c r="E85">
        <v>844</v>
      </c>
      <c r="F85">
        <v>157</v>
      </c>
      <c r="G85" s="10">
        <f t="shared" si="4"/>
        <v>7.3130577939519972</v>
      </c>
    </row>
    <row r="86" spans="1:7">
      <c r="A86">
        <f t="shared" si="3"/>
        <v>2</v>
      </c>
      <c r="B86">
        <v>21201</v>
      </c>
      <c r="C86">
        <v>19173</v>
      </c>
      <c r="D86">
        <v>7448</v>
      </c>
      <c r="E86">
        <v>3750</v>
      </c>
      <c r="F86">
        <v>1037</v>
      </c>
      <c r="G86" s="10">
        <f t="shared" si="4"/>
        <v>19.558754498513533</v>
      </c>
    </row>
    <row r="87" spans="1:7">
      <c r="A87">
        <f t="shared" si="3"/>
        <v>2</v>
      </c>
      <c r="B87">
        <v>21202</v>
      </c>
      <c r="C87">
        <v>7893</v>
      </c>
      <c r="D87">
        <v>2963</v>
      </c>
      <c r="E87">
        <v>1573</v>
      </c>
      <c r="F87">
        <v>505</v>
      </c>
      <c r="G87" s="10">
        <f t="shared" si="4"/>
        <v>19.929051057899404</v>
      </c>
    </row>
    <row r="88" spans="1:7">
      <c r="A88">
        <f t="shared" si="3"/>
        <v>2</v>
      </c>
      <c r="B88">
        <v>21203</v>
      </c>
      <c r="C88">
        <v>4903</v>
      </c>
      <c r="D88">
        <v>1493</v>
      </c>
      <c r="E88">
        <v>643</v>
      </c>
      <c r="F88">
        <v>180</v>
      </c>
      <c r="G88" s="10">
        <f t="shared" si="4"/>
        <v>13.114419743014482</v>
      </c>
    </row>
    <row r="89" spans="1:7">
      <c r="A89">
        <f t="shared" si="3"/>
        <v>2</v>
      </c>
      <c r="B89">
        <v>21301</v>
      </c>
      <c r="C89">
        <v>5769</v>
      </c>
      <c r="D89">
        <v>1988</v>
      </c>
      <c r="E89">
        <v>853</v>
      </c>
      <c r="F89">
        <v>164</v>
      </c>
      <c r="G89" s="10">
        <f t="shared" si="4"/>
        <v>14.785924770324145</v>
      </c>
    </row>
    <row r="90" spans="1:7">
      <c r="A90">
        <f t="shared" si="3"/>
        <v>2</v>
      </c>
      <c r="B90">
        <v>21302</v>
      </c>
      <c r="C90">
        <v>2444</v>
      </c>
      <c r="D90">
        <v>1361</v>
      </c>
      <c r="E90">
        <v>750</v>
      </c>
      <c r="F90">
        <v>176</v>
      </c>
      <c r="G90" s="10">
        <f t="shared" si="4"/>
        <v>30.687397708674304</v>
      </c>
    </row>
    <row r="91" spans="1:7">
      <c r="A91">
        <f t="shared" si="3"/>
        <v>2</v>
      </c>
      <c r="B91">
        <v>21303</v>
      </c>
      <c r="C91">
        <v>2060</v>
      </c>
      <c r="D91">
        <v>868</v>
      </c>
      <c r="E91">
        <v>428</v>
      </c>
      <c r="F91">
        <v>112</v>
      </c>
      <c r="G91" s="10">
        <f t="shared" si="4"/>
        <v>20.776699029126213</v>
      </c>
    </row>
    <row r="92" spans="1:7">
      <c r="A92">
        <f t="shared" si="3"/>
        <v>2</v>
      </c>
      <c r="B92">
        <v>21304</v>
      </c>
      <c r="C92">
        <v>3085</v>
      </c>
      <c r="D92">
        <v>1160</v>
      </c>
      <c r="E92">
        <v>607</v>
      </c>
      <c r="F92">
        <v>187</v>
      </c>
      <c r="G92" s="10">
        <f t="shared" si="4"/>
        <v>19.67585089141005</v>
      </c>
    </row>
    <row r="93" spans="1:7">
      <c r="A93">
        <f t="shared" si="3"/>
        <v>2</v>
      </c>
      <c r="B93">
        <v>21305</v>
      </c>
      <c r="C93">
        <v>7024</v>
      </c>
      <c r="D93">
        <v>1749</v>
      </c>
      <c r="E93">
        <v>756</v>
      </c>
      <c r="F93">
        <v>171</v>
      </c>
      <c r="G93" s="10">
        <f t="shared" si="4"/>
        <v>10.763097949886104</v>
      </c>
    </row>
    <row r="94" spans="1:7">
      <c r="A94">
        <f t="shared" si="3"/>
        <v>2</v>
      </c>
      <c r="B94">
        <v>21306</v>
      </c>
      <c r="C94">
        <v>2137</v>
      </c>
      <c r="D94">
        <v>626</v>
      </c>
      <c r="E94">
        <v>302</v>
      </c>
      <c r="F94">
        <v>113</v>
      </c>
      <c r="G94" s="10">
        <f t="shared" si="4"/>
        <v>14.131960692559662</v>
      </c>
    </row>
    <row r="95" spans="1:7">
      <c r="A95">
        <f t="shared" si="3"/>
        <v>2</v>
      </c>
      <c r="B95">
        <v>21307</v>
      </c>
      <c r="C95">
        <v>660</v>
      </c>
      <c r="D95">
        <v>245</v>
      </c>
      <c r="E95">
        <v>96</v>
      </c>
      <c r="F95">
        <v>31</v>
      </c>
      <c r="G95" s="10">
        <f t="shared" si="4"/>
        <v>14.545454545454545</v>
      </c>
    </row>
    <row r="96" spans="1:7">
      <c r="A96">
        <f t="shared" si="3"/>
        <v>2</v>
      </c>
      <c r="B96">
        <v>21401</v>
      </c>
      <c r="C96">
        <v>6499</v>
      </c>
      <c r="D96">
        <v>1557</v>
      </c>
      <c r="E96">
        <v>552</v>
      </c>
      <c r="F96">
        <v>131</v>
      </c>
      <c r="G96" s="10">
        <f t="shared" si="4"/>
        <v>8.4936144022157247</v>
      </c>
    </row>
    <row r="97" spans="1:7">
      <c r="A97">
        <f t="shared" si="3"/>
        <v>2</v>
      </c>
      <c r="B97">
        <v>21402</v>
      </c>
      <c r="C97">
        <v>5127</v>
      </c>
      <c r="D97">
        <v>966</v>
      </c>
      <c r="E97">
        <v>366</v>
      </c>
      <c r="F97">
        <v>87</v>
      </c>
      <c r="G97" s="10">
        <f t="shared" si="4"/>
        <v>7.1386775892334695</v>
      </c>
    </row>
    <row r="98" spans="1:7">
      <c r="A98">
        <f t="shared" si="3"/>
        <v>2</v>
      </c>
      <c r="B98">
        <v>21501</v>
      </c>
      <c r="C98">
        <v>1379</v>
      </c>
      <c r="D98">
        <v>178</v>
      </c>
      <c r="E98">
        <v>47</v>
      </c>
      <c r="F98">
        <v>8</v>
      </c>
      <c r="G98" s="10">
        <f t="shared" si="4"/>
        <v>3.40826686004351</v>
      </c>
    </row>
    <row r="99" spans="1:7">
      <c r="A99">
        <f t="shared" si="3"/>
        <v>2</v>
      </c>
      <c r="B99">
        <v>21502</v>
      </c>
      <c r="C99">
        <v>2078</v>
      </c>
      <c r="D99">
        <v>281</v>
      </c>
      <c r="E99">
        <v>42</v>
      </c>
      <c r="F99">
        <v>4</v>
      </c>
      <c r="G99" s="10">
        <f t="shared" si="4"/>
        <v>2.0211742059672764</v>
      </c>
    </row>
    <row r="100" spans="1:7">
      <c r="A100">
        <f t="shared" si="3"/>
        <v>2</v>
      </c>
      <c r="B100">
        <v>21601</v>
      </c>
      <c r="C100">
        <v>2377</v>
      </c>
      <c r="D100">
        <v>764</v>
      </c>
      <c r="E100">
        <v>288</v>
      </c>
      <c r="F100">
        <v>69</v>
      </c>
      <c r="G100" s="10">
        <f t="shared" si="4"/>
        <v>12.116112747160287</v>
      </c>
    </row>
    <row r="101" spans="1:7">
      <c r="A101">
        <f t="shared" si="3"/>
        <v>2</v>
      </c>
      <c r="B101">
        <v>21602</v>
      </c>
      <c r="C101">
        <v>524</v>
      </c>
      <c r="D101">
        <v>190</v>
      </c>
      <c r="E101">
        <v>64</v>
      </c>
      <c r="F101">
        <v>24</v>
      </c>
      <c r="G101" s="10">
        <f t="shared" si="4"/>
        <v>12.213740458015268</v>
      </c>
    </row>
    <row r="102" spans="1:7">
      <c r="A102">
        <f t="shared" si="3"/>
        <v>2</v>
      </c>
      <c r="B102">
        <v>21701</v>
      </c>
      <c r="C102">
        <v>5202</v>
      </c>
      <c r="D102">
        <v>1697</v>
      </c>
      <c r="E102">
        <v>723</v>
      </c>
      <c r="F102">
        <v>145</v>
      </c>
      <c r="G102" s="10">
        <f t="shared" si="4"/>
        <v>13.898500576701268</v>
      </c>
    </row>
    <row r="103" spans="1:7">
      <c r="A103">
        <f t="shared" si="3"/>
        <v>2</v>
      </c>
      <c r="B103">
        <v>21702</v>
      </c>
      <c r="C103">
        <v>1541</v>
      </c>
      <c r="D103">
        <v>700</v>
      </c>
      <c r="E103">
        <v>340</v>
      </c>
      <c r="F103">
        <v>65</v>
      </c>
      <c r="G103" s="10">
        <f t="shared" si="4"/>
        <v>22.063595068137573</v>
      </c>
    </row>
    <row r="104" spans="1:7">
      <c r="A104">
        <f t="shared" si="3"/>
        <v>2</v>
      </c>
      <c r="B104">
        <v>21703</v>
      </c>
      <c r="C104">
        <v>509</v>
      </c>
      <c r="D104">
        <v>251</v>
      </c>
      <c r="E104">
        <v>99</v>
      </c>
      <c r="F104">
        <v>17</v>
      </c>
      <c r="G104" s="10">
        <f t="shared" si="4"/>
        <v>19.449901768172889</v>
      </c>
    </row>
    <row r="105" spans="1:7">
      <c r="A105">
        <f t="shared" si="3"/>
        <v>2</v>
      </c>
      <c r="B105">
        <v>21801</v>
      </c>
      <c r="C105">
        <v>1490</v>
      </c>
      <c r="D105">
        <v>728</v>
      </c>
      <c r="E105">
        <v>285</v>
      </c>
      <c r="F105">
        <v>84</v>
      </c>
      <c r="G105" s="10">
        <f t="shared" si="4"/>
        <v>19.127516778523489</v>
      </c>
    </row>
    <row r="106" spans="1:7">
      <c r="A106">
        <f t="shared" si="3"/>
        <v>2</v>
      </c>
      <c r="B106">
        <v>21802</v>
      </c>
      <c r="C106">
        <v>1334</v>
      </c>
      <c r="D106">
        <v>706</v>
      </c>
      <c r="E106">
        <v>272</v>
      </c>
      <c r="F106">
        <v>86</v>
      </c>
      <c r="G106" s="10">
        <f t="shared" si="4"/>
        <v>20.389805097451273</v>
      </c>
    </row>
    <row r="107" spans="1:7">
      <c r="A107">
        <f t="shared" si="3"/>
        <v>2</v>
      </c>
      <c r="B107">
        <v>21803</v>
      </c>
      <c r="C107">
        <v>325</v>
      </c>
      <c r="D107">
        <v>172</v>
      </c>
      <c r="E107">
        <v>90</v>
      </c>
      <c r="F107">
        <v>14</v>
      </c>
      <c r="G107" s="10">
        <f t="shared" si="4"/>
        <v>27.692307692307693</v>
      </c>
    </row>
    <row r="108" spans="1:7">
      <c r="A108">
        <f t="shared" si="3"/>
        <v>2</v>
      </c>
      <c r="B108">
        <v>21901</v>
      </c>
      <c r="C108">
        <v>1687</v>
      </c>
      <c r="D108">
        <v>891</v>
      </c>
      <c r="E108">
        <v>404</v>
      </c>
      <c r="F108">
        <v>97</v>
      </c>
      <c r="G108" s="10">
        <f t="shared" si="4"/>
        <v>23.947836395969176</v>
      </c>
    </row>
    <row r="109" spans="1:7">
      <c r="A109">
        <f t="shared" si="3"/>
        <v>2</v>
      </c>
      <c r="B109">
        <v>21902</v>
      </c>
      <c r="C109">
        <v>282</v>
      </c>
      <c r="D109">
        <v>95</v>
      </c>
      <c r="E109">
        <v>37</v>
      </c>
      <c r="F109">
        <v>9</v>
      </c>
      <c r="G109" s="10">
        <f t="shared" si="4"/>
        <v>13.120567375886525</v>
      </c>
    </row>
    <row r="110" spans="1:7">
      <c r="A110">
        <f t="shared" si="3"/>
        <v>2</v>
      </c>
      <c r="B110">
        <v>22001</v>
      </c>
      <c r="C110">
        <v>14142</v>
      </c>
      <c r="D110">
        <v>4865</v>
      </c>
      <c r="E110">
        <v>2132</v>
      </c>
      <c r="F110">
        <v>609</v>
      </c>
      <c r="G110" s="10">
        <f t="shared" si="4"/>
        <v>15.07566115118088</v>
      </c>
    </row>
    <row r="111" spans="1:7">
      <c r="A111">
        <f t="shared" si="3"/>
        <v>2</v>
      </c>
      <c r="B111">
        <v>22002</v>
      </c>
      <c r="C111">
        <v>2212</v>
      </c>
      <c r="D111">
        <v>626</v>
      </c>
      <c r="E111">
        <v>302</v>
      </c>
      <c r="F111">
        <v>112</v>
      </c>
      <c r="G111" s="10">
        <f t="shared" si="4"/>
        <v>13.652802893309222</v>
      </c>
    </row>
    <row r="112" spans="1:7">
      <c r="A112">
        <f t="shared" si="3"/>
        <v>3</v>
      </c>
      <c r="B112">
        <v>30101</v>
      </c>
      <c r="C112">
        <v>256927</v>
      </c>
      <c r="D112">
        <v>38444</v>
      </c>
      <c r="E112">
        <v>14972</v>
      </c>
      <c r="F112">
        <v>153</v>
      </c>
      <c r="G112" s="10">
        <f t="shared" si="4"/>
        <v>5.8273361694177721</v>
      </c>
    </row>
    <row r="113" spans="1:7">
      <c r="A113">
        <f t="shared" si="3"/>
        <v>3</v>
      </c>
      <c r="B113">
        <v>30201</v>
      </c>
      <c r="C113">
        <v>4872</v>
      </c>
      <c r="D113">
        <v>935</v>
      </c>
      <c r="E113">
        <v>291</v>
      </c>
      <c r="F113">
        <v>0</v>
      </c>
      <c r="G113" s="10">
        <f t="shared" si="4"/>
        <v>5.972906403940887</v>
      </c>
    </row>
    <row r="114" spans="1:7">
      <c r="A114">
        <f t="shared" si="3"/>
        <v>3</v>
      </c>
      <c r="B114">
        <v>30202</v>
      </c>
      <c r="C114">
        <v>594</v>
      </c>
      <c r="D114">
        <v>153</v>
      </c>
      <c r="E114">
        <v>63</v>
      </c>
      <c r="F114">
        <v>0</v>
      </c>
      <c r="G114" s="10">
        <f t="shared" si="4"/>
        <v>10.606060606060606</v>
      </c>
    </row>
    <row r="115" spans="1:7">
      <c r="A115">
        <f t="shared" si="3"/>
        <v>3</v>
      </c>
      <c r="B115">
        <v>30203</v>
      </c>
      <c r="C115">
        <v>1441</v>
      </c>
      <c r="D115">
        <v>297</v>
      </c>
      <c r="E115">
        <v>107</v>
      </c>
      <c r="F115">
        <v>0</v>
      </c>
      <c r="G115" s="10">
        <f t="shared" si="4"/>
        <v>7.4253990284524631</v>
      </c>
    </row>
    <row r="116" spans="1:7">
      <c r="A116">
        <f t="shared" si="3"/>
        <v>3</v>
      </c>
      <c r="B116">
        <v>30301</v>
      </c>
      <c r="C116">
        <v>3800</v>
      </c>
      <c r="D116">
        <v>1703</v>
      </c>
      <c r="E116">
        <v>579</v>
      </c>
      <c r="F116">
        <v>0</v>
      </c>
      <c r="G116" s="10">
        <f t="shared" si="4"/>
        <v>15.236842105263158</v>
      </c>
    </row>
    <row r="117" spans="1:7">
      <c r="A117">
        <f t="shared" si="3"/>
        <v>3</v>
      </c>
      <c r="B117">
        <v>30302</v>
      </c>
      <c r="C117">
        <v>1747</v>
      </c>
      <c r="D117">
        <v>780</v>
      </c>
      <c r="E117">
        <v>309</v>
      </c>
      <c r="F117">
        <v>0</v>
      </c>
      <c r="G117" s="10">
        <f t="shared" si="4"/>
        <v>17.687464224384659</v>
      </c>
    </row>
    <row r="118" spans="1:7">
      <c r="A118">
        <f t="shared" si="3"/>
        <v>3</v>
      </c>
      <c r="B118">
        <v>30303</v>
      </c>
      <c r="C118">
        <v>2232</v>
      </c>
      <c r="D118">
        <v>992</v>
      </c>
      <c r="E118">
        <v>251</v>
      </c>
      <c r="F118">
        <v>0</v>
      </c>
      <c r="G118" s="10">
        <f t="shared" si="4"/>
        <v>11.245519713261649</v>
      </c>
    </row>
    <row r="119" spans="1:7">
      <c r="A119">
        <f t="shared" si="3"/>
        <v>3</v>
      </c>
      <c r="B119">
        <v>30401</v>
      </c>
      <c r="C119">
        <v>2863</v>
      </c>
      <c r="D119">
        <v>708</v>
      </c>
      <c r="E119">
        <v>323</v>
      </c>
      <c r="F119">
        <v>0</v>
      </c>
      <c r="G119" s="10">
        <f t="shared" si="4"/>
        <v>11.281872162067762</v>
      </c>
    </row>
    <row r="120" spans="1:7">
      <c r="A120">
        <f t="shared" si="3"/>
        <v>3</v>
      </c>
      <c r="B120">
        <v>30402</v>
      </c>
      <c r="C120">
        <v>1629</v>
      </c>
      <c r="D120">
        <v>696</v>
      </c>
      <c r="E120">
        <v>305</v>
      </c>
      <c r="F120">
        <v>0</v>
      </c>
      <c r="G120" s="10">
        <f t="shared" si="4"/>
        <v>18.723143032535297</v>
      </c>
    </row>
    <row r="121" spans="1:7">
      <c r="A121">
        <f t="shared" si="3"/>
        <v>3</v>
      </c>
      <c r="B121">
        <v>30403</v>
      </c>
      <c r="C121">
        <v>5419</v>
      </c>
      <c r="D121">
        <v>1741</v>
      </c>
      <c r="E121">
        <v>866</v>
      </c>
      <c r="F121">
        <v>0</v>
      </c>
      <c r="G121" s="10">
        <f t="shared" si="4"/>
        <v>15.980808267207973</v>
      </c>
    </row>
    <row r="122" spans="1:7">
      <c r="A122">
        <f t="shared" si="3"/>
        <v>3</v>
      </c>
      <c r="B122">
        <v>30404</v>
      </c>
      <c r="C122">
        <v>781</v>
      </c>
      <c r="D122">
        <v>304</v>
      </c>
      <c r="E122">
        <v>129</v>
      </c>
      <c r="F122">
        <v>0</v>
      </c>
      <c r="G122" s="10">
        <f t="shared" si="4"/>
        <v>16.517285531370039</v>
      </c>
    </row>
    <row r="123" spans="1:7">
      <c r="A123">
        <f t="shared" si="3"/>
        <v>3</v>
      </c>
      <c r="B123">
        <v>30501</v>
      </c>
      <c r="C123">
        <v>4894</v>
      </c>
      <c r="D123">
        <v>1116</v>
      </c>
      <c r="E123">
        <v>403</v>
      </c>
      <c r="F123">
        <v>0</v>
      </c>
      <c r="G123" s="10">
        <f t="shared" si="4"/>
        <v>8.2345729464650592</v>
      </c>
    </row>
    <row r="124" spans="1:7">
      <c r="A124">
        <f t="shared" si="3"/>
        <v>3</v>
      </c>
      <c r="B124">
        <v>30502</v>
      </c>
      <c r="C124">
        <v>2936</v>
      </c>
      <c r="D124">
        <v>1096</v>
      </c>
      <c r="E124">
        <v>417</v>
      </c>
      <c r="F124">
        <v>0</v>
      </c>
      <c r="G124" s="10">
        <f t="shared" si="4"/>
        <v>14.202997275204361</v>
      </c>
    </row>
    <row r="125" spans="1:7">
      <c r="A125">
        <f t="shared" si="3"/>
        <v>3</v>
      </c>
      <c r="B125">
        <v>30601</v>
      </c>
      <c r="C125">
        <v>1359</v>
      </c>
      <c r="D125">
        <v>610</v>
      </c>
      <c r="E125">
        <v>216</v>
      </c>
      <c r="F125">
        <v>0</v>
      </c>
      <c r="G125" s="10">
        <f t="shared" si="4"/>
        <v>15.894039735099337</v>
      </c>
    </row>
    <row r="126" spans="1:7">
      <c r="A126">
        <f t="shared" si="3"/>
        <v>3</v>
      </c>
      <c r="B126">
        <v>30602</v>
      </c>
      <c r="C126">
        <v>1958</v>
      </c>
      <c r="D126">
        <v>986</v>
      </c>
      <c r="E126">
        <v>345</v>
      </c>
      <c r="F126">
        <v>0</v>
      </c>
      <c r="G126" s="10">
        <f t="shared" si="4"/>
        <v>17.620020429009195</v>
      </c>
    </row>
    <row r="127" spans="1:7">
      <c r="A127">
        <f t="shared" si="3"/>
        <v>3</v>
      </c>
      <c r="B127">
        <v>30701</v>
      </c>
      <c r="C127">
        <v>5826</v>
      </c>
      <c r="D127">
        <v>1112</v>
      </c>
      <c r="E127">
        <v>425</v>
      </c>
      <c r="F127">
        <v>0</v>
      </c>
      <c r="G127" s="10">
        <f t="shared" si="4"/>
        <v>7.2948849982835569</v>
      </c>
    </row>
    <row r="128" spans="1:7">
      <c r="A128">
        <f t="shared" si="3"/>
        <v>3</v>
      </c>
      <c r="B128">
        <v>30703</v>
      </c>
      <c r="C128">
        <v>802</v>
      </c>
      <c r="D128">
        <v>195</v>
      </c>
      <c r="E128">
        <v>60</v>
      </c>
      <c r="F128">
        <v>0</v>
      </c>
      <c r="G128" s="10">
        <f t="shared" si="4"/>
        <v>7.4812967581047385</v>
      </c>
    </row>
    <row r="129" spans="1:7">
      <c r="A129">
        <f t="shared" si="3"/>
        <v>3</v>
      </c>
      <c r="B129">
        <v>30801</v>
      </c>
      <c r="C129">
        <v>7706</v>
      </c>
      <c r="D129">
        <v>1666</v>
      </c>
      <c r="E129">
        <v>770</v>
      </c>
      <c r="F129">
        <v>0</v>
      </c>
      <c r="G129" s="10">
        <f t="shared" si="4"/>
        <v>9.9922138593303913</v>
      </c>
    </row>
    <row r="130" spans="1:7">
      <c r="A130">
        <f t="shared" si="3"/>
        <v>3</v>
      </c>
      <c r="B130">
        <v>30802</v>
      </c>
      <c r="C130">
        <v>1899</v>
      </c>
      <c r="D130">
        <v>489</v>
      </c>
      <c r="E130">
        <v>223</v>
      </c>
      <c r="F130">
        <v>0</v>
      </c>
      <c r="G130" s="10">
        <f t="shared" si="4"/>
        <v>11.743022643496577</v>
      </c>
    </row>
    <row r="131" spans="1:7">
      <c r="A131">
        <f t="shared" ref="A131:A194" si="5">VALUE(MID(B131,1,1))</f>
        <v>3</v>
      </c>
      <c r="B131">
        <v>30803</v>
      </c>
      <c r="C131">
        <v>2559</v>
      </c>
      <c r="D131">
        <v>656</v>
      </c>
      <c r="E131">
        <v>339</v>
      </c>
      <c r="F131">
        <v>0</v>
      </c>
      <c r="G131" s="10">
        <f t="shared" ref="G131:G194" si="6">100*E131/C131</f>
        <v>13.247362250879251</v>
      </c>
    </row>
    <row r="132" spans="1:7">
      <c r="A132">
        <f t="shared" si="5"/>
        <v>3</v>
      </c>
      <c r="B132">
        <v>30901</v>
      </c>
      <c r="C132">
        <v>51546</v>
      </c>
      <c r="D132">
        <v>6489</v>
      </c>
      <c r="E132">
        <v>2344</v>
      </c>
      <c r="F132">
        <v>0</v>
      </c>
      <c r="G132" s="10">
        <f t="shared" si="6"/>
        <v>4.5473945601986578</v>
      </c>
    </row>
    <row r="133" spans="1:7">
      <c r="A133">
        <f t="shared" si="5"/>
        <v>3</v>
      </c>
      <c r="B133">
        <v>30902</v>
      </c>
      <c r="C133">
        <v>18626</v>
      </c>
      <c r="D133">
        <v>2805</v>
      </c>
      <c r="E133">
        <v>928</v>
      </c>
      <c r="F133">
        <v>0</v>
      </c>
      <c r="G133" s="10">
        <f t="shared" si="6"/>
        <v>4.9822828304520561</v>
      </c>
    </row>
    <row r="134" spans="1:7">
      <c r="A134">
        <f t="shared" si="5"/>
        <v>3</v>
      </c>
      <c r="B134">
        <v>30903</v>
      </c>
      <c r="C134">
        <v>21207</v>
      </c>
      <c r="D134">
        <v>2560</v>
      </c>
      <c r="E134">
        <v>793</v>
      </c>
      <c r="F134">
        <v>0</v>
      </c>
      <c r="G134" s="10">
        <f t="shared" si="6"/>
        <v>3.7393313528551895</v>
      </c>
    </row>
    <row r="135" spans="1:7">
      <c r="A135">
        <f t="shared" si="5"/>
        <v>3</v>
      </c>
      <c r="B135">
        <v>30904</v>
      </c>
      <c r="C135">
        <v>19379</v>
      </c>
      <c r="D135">
        <v>3193</v>
      </c>
      <c r="E135">
        <v>1236</v>
      </c>
      <c r="F135">
        <v>0</v>
      </c>
      <c r="G135" s="10">
        <f t="shared" si="6"/>
        <v>6.3780380824603951</v>
      </c>
    </row>
    <row r="136" spans="1:7">
      <c r="A136">
        <f t="shared" si="5"/>
        <v>3</v>
      </c>
      <c r="B136">
        <v>30905</v>
      </c>
      <c r="C136">
        <v>24166</v>
      </c>
      <c r="D136">
        <v>2633</v>
      </c>
      <c r="E136">
        <v>846</v>
      </c>
      <c r="F136">
        <v>0</v>
      </c>
      <c r="G136" s="10">
        <f t="shared" si="6"/>
        <v>3.5007862285856159</v>
      </c>
    </row>
    <row r="137" spans="1:7">
      <c r="A137">
        <f t="shared" si="5"/>
        <v>3</v>
      </c>
      <c r="B137">
        <v>31001</v>
      </c>
      <c r="C137">
        <v>63642</v>
      </c>
      <c r="D137">
        <v>11067</v>
      </c>
      <c r="E137">
        <v>4415</v>
      </c>
      <c r="F137">
        <v>0</v>
      </c>
      <c r="G137" s="10">
        <f t="shared" si="6"/>
        <v>6.937242701360737</v>
      </c>
    </row>
    <row r="138" spans="1:7">
      <c r="A138">
        <f t="shared" si="5"/>
        <v>3</v>
      </c>
      <c r="B138">
        <v>31002</v>
      </c>
      <c r="C138">
        <v>6126</v>
      </c>
      <c r="D138">
        <v>1584</v>
      </c>
      <c r="E138">
        <v>604</v>
      </c>
      <c r="F138">
        <v>0</v>
      </c>
      <c r="G138" s="10">
        <f t="shared" si="6"/>
        <v>9.8596147567744037</v>
      </c>
    </row>
    <row r="139" spans="1:7">
      <c r="A139">
        <f t="shared" si="5"/>
        <v>3</v>
      </c>
      <c r="B139">
        <v>31003</v>
      </c>
      <c r="C139">
        <v>26349</v>
      </c>
      <c r="D139">
        <v>5951</v>
      </c>
      <c r="E139">
        <v>1532</v>
      </c>
      <c r="F139">
        <v>0</v>
      </c>
      <c r="G139" s="10">
        <f t="shared" si="6"/>
        <v>5.8142624008501276</v>
      </c>
    </row>
    <row r="140" spans="1:7">
      <c r="A140">
        <f t="shared" si="5"/>
        <v>3</v>
      </c>
      <c r="B140">
        <v>31101</v>
      </c>
      <c r="C140">
        <v>3652</v>
      </c>
      <c r="D140">
        <v>1704</v>
      </c>
      <c r="E140">
        <v>612</v>
      </c>
      <c r="F140">
        <v>0</v>
      </c>
      <c r="G140" s="10">
        <f t="shared" si="6"/>
        <v>16.757940854326396</v>
      </c>
    </row>
    <row r="141" spans="1:7">
      <c r="A141">
        <f t="shared" si="5"/>
        <v>3</v>
      </c>
      <c r="B141">
        <v>31201</v>
      </c>
      <c r="C141">
        <v>3025</v>
      </c>
      <c r="D141">
        <v>741</v>
      </c>
      <c r="E141">
        <v>236</v>
      </c>
      <c r="F141">
        <v>0</v>
      </c>
      <c r="G141" s="10">
        <f t="shared" si="6"/>
        <v>7.8016528925619832</v>
      </c>
    </row>
    <row r="142" spans="1:7">
      <c r="A142">
        <f t="shared" si="5"/>
        <v>3</v>
      </c>
      <c r="B142">
        <v>31202</v>
      </c>
      <c r="C142">
        <v>2145</v>
      </c>
      <c r="D142">
        <v>480</v>
      </c>
      <c r="E142">
        <v>147</v>
      </c>
      <c r="F142">
        <v>0</v>
      </c>
      <c r="G142" s="10">
        <f t="shared" si="6"/>
        <v>6.8531468531468533</v>
      </c>
    </row>
    <row r="143" spans="1:7">
      <c r="A143">
        <f t="shared" si="5"/>
        <v>3</v>
      </c>
      <c r="B143">
        <v>31203</v>
      </c>
      <c r="C143">
        <v>2827</v>
      </c>
      <c r="D143">
        <v>800</v>
      </c>
      <c r="E143">
        <v>317</v>
      </c>
      <c r="F143">
        <v>0</v>
      </c>
      <c r="G143" s="10">
        <f t="shared" si="6"/>
        <v>11.213300318358684</v>
      </c>
    </row>
    <row r="144" spans="1:7">
      <c r="A144">
        <f t="shared" si="5"/>
        <v>3</v>
      </c>
      <c r="B144">
        <v>31204</v>
      </c>
      <c r="C144">
        <v>7809</v>
      </c>
      <c r="D144">
        <v>1386</v>
      </c>
      <c r="E144">
        <v>356</v>
      </c>
      <c r="F144">
        <v>0</v>
      </c>
      <c r="G144" s="10">
        <f t="shared" si="6"/>
        <v>4.5588423613778977</v>
      </c>
    </row>
    <row r="145" spans="1:7">
      <c r="A145">
        <f t="shared" si="5"/>
        <v>3</v>
      </c>
      <c r="B145">
        <v>31205</v>
      </c>
      <c r="C145">
        <v>16749</v>
      </c>
      <c r="D145">
        <v>2842</v>
      </c>
      <c r="E145">
        <v>822</v>
      </c>
      <c r="F145">
        <v>0</v>
      </c>
      <c r="G145" s="10">
        <f t="shared" si="6"/>
        <v>4.9077556869066807</v>
      </c>
    </row>
    <row r="146" spans="1:7">
      <c r="A146">
        <f t="shared" si="5"/>
        <v>3</v>
      </c>
      <c r="B146">
        <v>31206</v>
      </c>
      <c r="C146">
        <v>12187</v>
      </c>
      <c r="D146">
        <v>1779</v>
      </c>
      <c r="E146">
        <v>692</v>
      </c>
      <c r="F146">
        <v>0</v>
      </c>
      <c r="G146" s="10">
        <f t="shared" si="6"/>
        <v>5.6781816689915487</v>
      </c>
    </row>
    <row r="147" spans="1:7">
      <c r="A147">
        <f t="shared" si="5"/>
        <v>3</v>
      </c>
      <c r="B147">
        <v>31301</v>
      </c>
      <c r="C147">
        <v>5018</v>
      </c>
      <c r="D147">
        <v>913</v>
      </c>
      <c r="E147">
        <v>302</v>
      </c>
      <c r="F147">
        <v>0</v>
      </c>
      <c r="G147" s="10">
        <f t="shared" si="6"/>
        <v>6.0183339976086092</v>
      </c>
    </row>
    <row r="148" spans="1:7">
      <c r="A148">
        <f t="shared" si="5"/>
        <v>3</v>
      </c>
      <c r="B148">
        <v>31302</v>
      </c>
      <c r="C148">
        <v>507</v>
      </c>
      <c r="D148">
        <v>195</v>
      </c>
      <c r="E148">
        <v>74</v>
      </c>
      <c r="F148">
        <v>0</v>
      </c>
      <c r="G148" s="10">
        <f t="shared" si="6"/>
        <v>14.595660749506903</v>
      </c>
    </row>
    <row r="149" spans="1:7">
      <c r="A149">
        <f t="shared" si="5"/>
        <v>3</v>
      </c>
      <c r="B149">
        <v>31303</v>
      </c>
      <c r="C149">
        <v>337</v>
      </c>
      <c r="D149">
        <v>155</v>
      </c>
      <c r="E149">
        <v>56</v>
      </c>
      <c r="F149">
        <v>0</v>
      </c>
      <c r="G149" s="10">
        <f t="shared" si="6"/>
        <v>16.617210682492583</v>
      </c>
    </row>
    <row r="150" spans="1:7">
      <c r="A150">
        <f t="shared" si="5"/>
        <v>3</v>
      </c>
      <c r="B150">
        <v>31401</v>
      </c>
      <c r="C150">
        <v>12413</v>
      </c>
      <c r="D150">
        <v>2134</v>
      </c>
      <c r="E150">
        <v>844</v>
      </c>
      <c r="F150">
        <v>0</v>
      </c>
      <c r="G150" s="10">
        <f t="shared" si="6"/>
        <v>6.7993232900990899</v>
      </c>
    </row>
    <row r="151" spans="1:7">
      <c r="A151">
        <f t="shared" si="5"/>
        <v>3</v>
      </c>
      <c r="B151">
        <v>31402</v>
      </c>
      <c r="C151">
        <v>3167</v>
      </c>
      <c r="D151">
        <v>943</v>
      </c>
      <c r="E151">
        <v>471</v>
      </c>
      <c r="F151">
        <v>0</v>
      </c>
      <c r="G151" s="10">
        <f t="shared" si="6"/>
        <v>14.872118724344805</v>
      </c>
    </row>
    <row r="152" spans="1:7">
      <c r="A152">
        <f t="shared" si="5"/>
        <v>3</v>
      </c>
      <c r="B152">
        <v>31403</v>
      </c>
      <c r="C152">
        <v>5300</v>
      </c>
      <c r="D152">
        <v>1166</v>
      </c>
      <c r="E152">
        <v>581</v>
      </c>
      <c r="F152">
        <v>0</v>
      </c>
      <c r="G152" s="10">
        <f t="shared" si="6"/>
        <v>10.962264150943396</v>
      </c>
    </row>
    <row r="153" spans="1:7">
      <c r="A153">
        <f t="shared" si="5"/>
        <v>3</v>
      </c>
      <c r="B153">
        <v>31404</v>
      </c>
      <c r="C153">
        <v>370</v>
      </c>
      <c r="D153">
        <v>143</v>
      </c>
      <c r="E153">
        <v>71</v>
      </c>
      <c r="F153">
        <v>0</v>
      </c>
      <c r="G153" s="10">
        <f t="shared" si="6"/>
        <v>19.189189189189189</v>
      </c>
    </row>
    <row r="154" spans="1:7">
      <c r="A154">
        <f t="shared" si="5"/>
        <v>3</v>
      </c>
      <c r="B154">
        <v>31501</v>
      </c>
      <c r="C154">
        <v>1223</v>
      </c>
      <c r="D154">
        <v>632</v>
      </c>
      <c r="E154">
        <v>240</v>
      </c>
      <c r="F154">
        <v>0</v>
      </c>
      <c r="G154" s="10">
        <f t="shared" si="6"/>
        <v>19.623875715453803</v>
      </c>
    </row>
    <row r="155" spans="1:7">
      <c r="A155">
        <f t="shared" si="5"/>
        <v>3</v>
      </c>
      <c r="B155">
        <v>31601</v>
      </c>
      <c r="C155">
        <v>5698</v>
      </c>
      <c r="D155">
        <v>1516</v>
      </c>
      <c r="E155">
        <v>611</v>
      </c>
      <c r="F155">
        <v>0</v>
      </c>
      <c r="G155" s="10">
        <f t="shared" si="6"/>
        <v>10.723060723060723</v>
      </c>
    </row>
    <row r="156" spans="1:7">
      <c r="A156">
        <f t="shared" si="5"/>
        <v>3</v>
      </c>
      <c r="B156">
        <v>31602</v>
      </c>
      <c r="C156">
        <v>6752</v>
      </c>
      <c r="D156">
        <v>867</v>
      </c>
      <c r="E156">
        <v>230</v>
      </c>
      <c r="F156">
        <v>0</v>
      </c>
      <c r="G156" s="10">
        <f t="shared" si="6"/>
        <v>3.4063981042654028</v>
      </c>
    </row>
    <row r="157" spans="1:7">
      <c r="A157">
        <f t="shared" si="5"/>
        <v>4</v>
      </c>
      <c r="B157">
        <v>40101</v>
      </c>
      <c r="C157">
        <v>105068</v>
      </c>
      <c r="D157">
        <v>19382</v>
      </c>
      <c r="E157">
        <v>7436</v>
      </c>
      <c r="F157">
        <v>2090</v>
      </c>
      <c r="G157" s="10">
        <f t="shared" si="6"/>
        <v>7.0773213537899267</v>
      </c>
    </row>
    <row r="158" spans="1:7">
      <c r="A158">
        <f t="shared" si="5"/>
        <v>4</v>
      </c>
      <c r="B158">
        <v>40102</v>
      </c>
      <c r="C158">
        <v>5142</v>
      </c>
      <c r="D158">
        <v>1995</v>
      </c>
      <c r="E158">
        <v>826</v>
      </c>
      <c r="F158">
        <v>205</v>
      </c>
      <c r="G158" s="10">
        <f t="shared" si="6"/>
        <v>16.063788409179306</v>
      </c>
    </row>
    <row r="159" spans="1:7">
      <c r="A159">
        <f t="shared" si="5"/>
        <v>4</v>
      </c>
      <c r="B159">
        <v>40103</v>
      </c>
      <c r="C159">
        <v>489</v>
      </c>
      <c r="D159">
        <v>172</v>
      </c>
      <c r="E159">
        <v>38</v>
      </c>
      <c r="F159">
        <v>4</v>
      </c>
      <c r="G159" s="10">
        <f t="shared" si="6"/>
        <v>7.7709611451942742</v>
      </c>
    </row>
    <row r="160" spans="1:7">
      <c r="A160">
        <f t="shared" si="5"/>
        <v>4</v>
      </c>
      <c r="B160">
        <v>40104</v>
      </c>
      <c r="C160">
        <v>2596</v>
      </c>
      <c r="D160">
        <v>1278</v>
      </c>
      <c r="E160">
        <v>417</v>
      </c>
      <c r="F160">
        <v>62</v>
      </c>
      <c r="G160" s="10">
        <f t="shared" si="6"/>
        <v>16.063174114021571</v>
      </c>
    </row>
    <row r="161" spans="1:7">
      <c r="A161">
        <f t="shared" si="5"/>
        <v>4</v>
      </c>
      <c r="B161">
        <v>40201</v>
      </c>
      <c r="C161">
        <v>9925</v>
      </c>
      <c r="D161">
        <v>3506</v>
      </c>
      <c r="E161">
        <v>1331</v>
      </c>
      <c r="F161">
        <v>241</v>
      </c>
      <c r="G161" s="10">
        <f t="shared" si="6"/>
        <v>13.410579345088161</v>
      </c>
    </row>
    <row r="162" spans="1:7">
      <c r="A162">
        <f t="shared" si="5"/>
        <v>4</v>
      </c>
      <c r="B162">
        <v>40202</v>
      </c>
      <c r="C162">
        <v>121</v>
      </c>
      <c r="D162">
        <v>68</v>
      </c>
      <c r="E162">
        <v>24</v>
      </c>
      <c r="F162">
        <v>2</v>
      </c>
      <c r="G162" s="10">
        <f t="shared" si="6"/>
        <v>19.834710743801654</v>
      </c>
    </row>
    <row r="163" spans="1:7">
      <c r="A163">
        <f t="shared" si="5"/>
        <v>4</v>
      </c>
      <c r="B163">
        <v>40301</v>
      </c>
      <c r="C163">
        <v>2280</v>
      </c>
      <c r="D163">
        <v>1555</v>
      </c>
      <c r="E163">
        <v>691</v>
      </c>
      <c r="F163">
        <v>87</v>
      </c>
      <c r="G163" s="10">
        <f t="shared" si="6"/>
        <v>30.307017543859651</v>
      </c>
    </row>
    <row r="164" spans="1:7">
      <c r="A164">
        <f t="shared" si="5"/>
        <v>4</v>
      </c>
      <c r="B164">
        <v>40302</v>
      </c>
      <c r="C164">
        <v>720</v>
      </c>
      <c r="D164">
        <v>459</v>
      </c>
      <c r="E164">
        <v>179</v>
      </c>
      <c r="F164">
        <v>27</v>
      </c>
      <c r="G164" s="10">
        <f t="shared" si="6"/>
        <v>24.861111111111111</v>
      </c>
    </row>
    <row r="165" spans="1:7">
      <c r="A165">
        <f t="shared" si="5"/>
        <v>4</v>
      </c>
      <c r="B165">
        <v>40401</v>
      </c>
      <c r="C165">
        <v>906</v>
      </c>
      <c r="D165">
        <v>404</v>
      </c>
      <c r="E165">
        <v>128</v>
      </c>
      <c r="F165">
        <v>24</v>
      </c>
      <c r="G165" s="10">
        <f t="shared" si="6"/>
        <v>14.1280353200883</v>
      </c>
    </row>
    <row r="166" spans="1:7">
      <c r="A166">
        <f t="shared" si="5"/>
        <v>4</v>
      </c>
      <c r="B166">
        <v>40402</v>
      </c>
      <c r="C166">
        <v>545</v>
      </c>
      <c r="D166">
        <v>329</v>
      </c>
      <c r="E166">
        <v>126</v>
      </c>
      <c r="F166">
        <v>12</v>
      </c>
      <c r="G166" s="10">
        <f t="shared" si="6"/>
        <v>23.119266055045873</v>
      </c>
    </row>
    <row r="167" spans="1:7">
      <c r="A167">
        <f t="shared" si="5"/>
        <v>4</v>
      </c>
      <c r="B167">
        <v>40501</v>
      </c>
      <c r="C167">
        <v>675</v>
      </c>
      <c r="D167">
        <v>439</v>
      </c>
      <c r="E167">
        <v>125</v>
      </c>
      <c r="F167">
        <v>10</v>
      </c>
      <c r="G167" s="10">
        <f t="shared" si="6"/>
        <v>18.518518518518519</v>
      </c>
    </row>
    <row r="168" spans="1:7">
      <c r="A168">
        <f t="shared" si="5"/>
        <v>4</v>
      </c>
      <c r="B168">
        <v>40502</v>
      </c>
      <c r="C168">
        <v>243</v>
      </c>
      <c r="D168">
        <v>234</v>
      </c>
      <c r="E168">
        <v>85</v>
      </c>
      <c r="F168">
        <v>6</v>
      </c>
      <c r="G168" s="10">
        <f t="shared" si="6"/>
        <v>34.979423868312757</v>
      </c>
    </row>
    <row r="169" spans="1:7">
      <c r="A169">
        <f t="shared" si="5"/>
        <v>4</v>
      </c>
      <c r="B169">
        <v>40503</v>
      </c>
      <c r="C169">
        <v>51</v>
      </c>
      <c r="D169">
        <v>48</v>
      </c>
      <c r="E169">
        <v>11</v>
      </c>
      <c r="F169">
        <v>2</v>
      </c>
      <c r="G169" s="10">
        <f t="shared" si="6"/>
        <v>21.568627450980394</v>
      </c>
    </row>
    <row r="170" spans="1:7">
      <c r="A170">
        <f t="shared" si="5"/>
        <v>4</v>
      </c>
      <c r="B170">
        <v>40504</v>
      </c>
      <c r="C170">
        <v>59</v>
      </c>
      <c r="D170">
        <v>50</v>
      </c>
      <c r="E170">
        <v>16</v>
      </c>
      <c r="F170">
        <v>0</v>
      </c>
      <c r="G170" s="10">
        <f t="shared" si="6"/>
        <v>27.118644067796609</v>
      </c>
    </row>
    <row r="171" spans="1:7">
      <c r="A171">
        <f t="shared" si="5"/>
        <v>4</v>
      </c>
      <c r="B171">
        <v>40505</v>
      </c>
      <c r="C171">
        <v>155</v>
      </c>
      <c r="D171">
        <v>127</v>
      </c>
      <c r="E171">
        <v>54</v>
      </c>
      <c r="F171">
        <v>4</v>
      </c>
      <c r="G171" s="10">
        <f t="shared" si="6"/>
        <v>34.838709677419352</v>
      </c>
    </row>
    <row r="172" spans="1:7">
      <c r="A172">
        <f t="shared" si="5"/>
        <v>4</v>
      </c>
      <c r="B172">
        <v>40601</v>
      </c>
      <c r="C172">
        <v>653</v>
      </c>
      <c r="D172">
        <v>440</v>
      </c>
      <c r="E172">
        <v>220</v>
      </c>
      <c r="F172">
        <v>44</v>
      </c>
      <c r="G172" s="10">
        <f t="shared" si="6"/>
        <v>33.690658499234303</v>
      </c>
    </row>
    <row r="173" spans="1:7">
      <c r="A173">
        <f t="shared" si="5"/>
        <v>4</v>
      </c>
      <c r="B173">
        <v>40602</v>
      </c>
      <c r="C173">
        <v>2205</v>
      </c>
      <c r="D173">
        <v>1121</v>
      </c>
      <c r="E173">
        <v>185</v>
      </c>
      <c r="F173">
        <v>14</v>
      </c>
      <c r="G173" s="10">
        <f t="shared" si="6"/>
        <v>8.3900226757369616</v>
      </c>
    </row>
    <row r="174" spans="1:7">
      <c r="A174">
        <f t="shared" si="5"/>
        <v>4</v>
      </c>
      <c r="B174">
        <v>40603</v>
      </c>
      <c r="C174">
        <v>292</v>
      </c>
      <c r="D174">
        <v>195</v>
      </c>
      <c r="E174">
        <v>116</v>
      </c>
      <c r="F174">
        <v>19</v>
      </c>
      <c r="G174" s="10">
        <f t="shared" si="6"/>
        <v>39.726027397260275</v>
      </c>
    </row>
    <row r="175" spans="1:7">
      <c r="A175">
        <f t="shared" si="5"/>
        <v>4</v>
      </c>
      <c r="B175">
        <v>40701</v>
      </c>
      <c r="C175">
        <v>6194</v>
      </c>
      <c r="D175">
        <v>1568</v>
      </c>
      <c r="E175">
        <v>521</v>
      </c>
      <c r="F175">
        <v>85</v>
      </c>
      <c r="G175" s="10">
        <f t="shared" si="6"/>
        <v>8.4113658379076526</v>
      </c>
    </row>
    <row r="176" spans="1:7">
      <c r="A176">
        <f t="shared" si="5"/>
        <v>4</v>
      </c>
      <c r="B176">
        <v>40702</v>
      </c>
      <c r="C176">
        <v>1322</v>
      </c>
      <c r="D176">
        <v>439</v>
      </c>
      <c r="E176">
        <v>163</v>
      </c>
      <c r="F176">
        <v>43</v>
      </c>
      <c r="G176" s="10">
        <f t="shared" si="6"/>
        <v>12.329803328290469</v>
      </c>
    </row>
    <row r="177" spans="1:7">
      <c r="A177">
        <f t="shared" si="5"/>
        <v>4</v>
      </c>
      <c r="B177">
        <v>40801</v>
      </c>
      <c r="C177">
        <v>3176</v>
      </c>
      <c r="D177">
        <v>1873</v>
      </c>
      <c r="E177">
        <v>531</v>
      </c>
      <c r="F177">
        <v>40</v>
      </c>
      <c r="G177" s="10">
        <f t="shared" si="6"/>
        <v>16.719143576826198</v>
      </c>
    </row>
    <row r="178" spans="1:7">
      <c r="A178">
        <f t="shared" si="5"/>
        <v>4</v>
      </c>
      <c r="B178">
        <v>40802</v>
      </c>
      <c r="C178">
        <v>396</v>
      </c>
      <c r="D178">
        <v>203</v>
      </c>
      <c r="E178">
        <v>83</v>
      </c>
      <c r="F178">
        <v>8</v>
      </c>
      <c r="G178" s="10">
        <f t="shared" si="6"/>
        <v>20.959595959595958</v>
      </c>
    </row>
    <row r="179" spans="1:7">
      <c r="A179">
        <f t="shared" si="5"/>
        <v>4</v>
      </c>
      <c r="B179">
        <v>40901</v>
      </c>
      <c r="C179">
        <v>1149</v>
      </c>
      <c r="D179">
        <v>674</v>
      </c>
      <c r="E179">
        <v>256</v>
      </c>
      <c r="F179">
        <v>11</v>
      </c>
      <c r="G179" s="10">
        <f t="shared" si="6"/>
        <v>22.28024369016536</v>
      </c>
    </row>
    <row r="180" spans="1:7">
      <c r="A180">
        <f t="shared" si="5"/>
        <v>4</v>
      </c>
      <c r="B180">
        <v>40902</v>
      </c>
      <c r="C180">
        <v>153</v>
      </c>
      <c r="D180">
        <v>79</v>
      </c>
      <c r="E180">
        <v>33</v>
      </c>
      <c r="F180">
        <v>4</v>
      </c>
      <c r="G180" s="10">
        <f t="shared" si="6"/>
        <v>21.568627450980394</v>
      </c>
    </row>
    <row r="181" spans="1:7">
      <c r="A181">
        <f t="shared" si="5"/>
        <v>4</v>
      </c>
      <c r="B181">
        <v>40903</v>
      </c>
      <c r="C181">
        <v>353</v>
      </c>
      <c r="D181">
        <v>186</v>
      </c>
      <c r="E181">
        <v>72</v>
      </c>
      <c r="F181">
        <v>12</v>
      </c>
      <c r="G181" s="10">
        <f t="shared" si="6"/>
        <v>20.396600566572239</v>
      </c>
    </row>
    <row r="182" spans="1:7">
      <c r="A182">
        <f t="shared" si="5"/>
        <v>4</v>
      </c>
      <c r="B182">
        <v>41001</v>
      </c>
      <c r="C182">
        <v>1618</v>
      </c>
      <c r="D182">
        <v>977</v>
      </c>
      <c r="E182">
        <v>483</v>
      </c>
      <c r="F182">
        <v>85</v>
      </c>
      <c r="G182" s="10">
        <f t="shared" si="6"/>
        <v>29.851668726823238</v>
      </c>
    </row>
    <row r="183" spans="1:7">
      <c r="A183">
        <f t="shared" si="5"/>
        <v>4</v>
      </c>
      <c r="B183">
        <v>41101</v>
      </c>
      <c r="C183">
        <v>1369</v>
      </c>
      <c r="D183">
        <v>460</v>
      </c>
      <c r="E183">
        <v>136</v>
      </c>
      <c r="F183">
        <v>18</v>
      </c>
      <c r="G183" s="10">
        <f t="shared" si="6"/>
        <v>9.9342585829072316</v>
      </c>
    </row>
    <row r="184" spans="1:7">
      <c r="A184">
        <f t="shared" si="5"/>
        <v>4</v>
      </c>
      <c r="B184">
        <v>41201</v>
      </c>
      <c r="C184">
        <v>1501</v>
      </c>
      <c r="D184">
        <v>1048</v>
      </c>
      <c r="E184">
        <v>465</v>
      </c>
      <c r="F184">
        <v>60</v>
      </c>
      <c r="G184" s="10">
        <f t="shared" si="6"/>
        <v>30.979347101932046</v>
      </c>
    </row>
    <row r="185" spans="1:7">
      <c r="A185">
        <f t="shared" si="5"/>
        <v>4</v>
      </c>
      <c r="B185">
        <v>41202</v>
      </c>
      <c r="C185">
        <v>324</v>
      </c>
      <c r="D185">
        <v>242</v>
      </c>
      <c r="E185">
        <v>106</v>
      </c>
      <c r="F185">
        <v>21</v>
      </c>
      <c r="G185" s="10">
        <f t="shared" si="6"/>
        <v>32.716049382716051</v>
      </c>
    </row>
    <row r="186" spans="1:7">
      <c r="A186">
        <f t="shared" si="5"/>
        <v>4</v>
      </c>
      <c r="B186">
        <v>41301</v>
      </c>
      <c r="C186">
        <v>874</v>
      </c>
      <c r="D186">
        <v>439</v>
      </c>
      <c r="E186">
        <v>146</v>
      </c>
      <c r="F186">
        <v>27</v>
      </c>
      <c r="G186" s="10">
        <f t="shared" si="6"/>
        <v>16.704805491990847</v>
      </c>
    </row>
    <row r="187" spans="1:7">
      <c r="A187">
        <f t="shared" si="5"/>
        <v>4</v>
      </c>
      <c r="B187">
        <v>41401</v>
      </c>
      <c r="C187">
        <v>2025</v>
      </c>
      <c r="D187">
        <v>943</v>
      </c>
      <c r="E187">
        <v>358</v>
      </c>
      <c r="F187">
        <v>33</v>
      </c>
      <c r="G187" s="10">
        <f t="shared" si="6"/>
        <v>17.679012345679013</v>
      </c>
    </row>
    <row r="188" spans="1:7">
      <c r="A188">
        <f t="shared" si="5"/>
        <v>4</v>
      </c>
      <c r="B188">
        <v>41501</v>
      </c>
      <c r="C188">
        <v>146</v>
      </c>
      <c r="D188">
        <v>92</v>
      </c>
      <c r="E188">
        <v>29</v>
      </c>
      <c r="F188">
        <v>3</v>
      </c>
      <c r="G188" s="10">
        <f t="shared" si="6"/>
        <v>19.863013698630137</v>
      </c>
    </row>
    <row r="189" spans="1:7">
      <c r="A189">
        <f t="shared" si="5"/>
        <v>4</v>
      </c>
      <c r="B189">
        <v>41502</v>
      </c>
      <c r="C189">
        <v>127</v>
      </c>
      <c r="D189">
        <v>92</v>
      </c>
      <c r="E189">
        <v>32</v>
      </c>
      <c r="F189">
        <v>1</v>
      </c>
      <c r="G189" s="10">
        <f t="shared" si="6"/>
        <v>25.196850393700789</v>
      </c>
    </row>
    <row r="190" spans="1:7">
      <c r="A190">
        <f t="shared" si="5"/>
        <v>4</v>
      </c>
      <c r="B190">
        <v>41503</v>
      </c>
      <c r="C190">
        <v>816</v>
      </c>
      <c r="D190">
        <v>550</v>
      </c>
      <c r="E190">
        <v>188</v>
      </c>
      <c r="F190">
        <v>24</v>
      </c>
      <c r="G190" s="10">
        <f t="shared" si="6"/>
        <v>23.03921568627451</v>
      </c>
    </row>
    <row r="191" spans="1:7">
      <c r="A191">
        <f t="shared" si="5"/>
        <v>4</v>
      </c>
      <c r="B191">
        <v>41601</v>
      </c>
      <c r="C191">
        <v>1412</v>
      </c>
      <c r="D191">
        <v>874</v>
      </c>
      <c r="E191">
        <v>332</v>
      </c>
      <c r="F191">
        <v>62</v>
      </c>
      <c r="G191" s="10">
        <f t="shared" si="6"/>
        <v>23.512747875354108</v>
      </c>
    </row>
    <row r="192" spans="1:7">
      <c r="A192">
        <f t="shared" si="5"/>
        <v>5</v>
      </c>
      <c r="B192">
        <v>50101</v>
      </c>
      <c r="C192">
        <v>54925</v>
      </c>
      <c r="D192">
        <v>8700</v>
      </c>
      <c r="E192">
        <v>3655</v>
      </c>
      <c r="F192">
        <v>1388</v>
      </c>
      <c r="G192" s="10">
        <f t="shared" si="6"/>
        <v>6.6545289030496129</v>
      </c>
    </row>
    <row r="193" spans="1:7">
      <c r="A193">
        <f t="shared" si="5"/>
        <v>5</v>
      </c>
      <c r="B193">
        <v>50102</v>
      </c>
      <c r="C193">
        <v>3807</v>
      </c>
      <c r="D193">
        <v>2782</v>
      </c>
      <c r="E193">
        <v>1326</v>
      </c>
      <c r="F193">
        <v>285</v>
      </c>
      <c r="G193" s="10">
        <f t="shared" si="6"/>
        <v>34.830575256107174</v>
      </c>
    </row>
    <row r="194" spans="1:7">
      <c r="A194">
        <f t="shared" si="5"/>
        <v>5</v>
      </c>
      <c r="B194">
        <v>50103</v>
      </c>
      <c r="C194">
        <v>1556</v>
      </c>
      <c r="D194">
        <v>1039</v>
      </c>
      <c r="E194">
        <v>528</v>
      </c>
      <c r="F194">
        <v>135</v>
      </c>
      <c r="G194" s="10">
        <f t="shared" si="6"/>
        <v>33.933161953727506</v>
      </c>
    </row>
    <row r="195" spans="1:7">
      <c r="A195">
        <f t="shared" ref="A195:A258" si="7">VALUE(MID(B195,1,1))</f>
        <v>5</v>
      </c>
      <c r="B195">
        <v>50104</v>
      </c>
      <c r="C195">
        <v>328</v>
      </c>
      <c r="D195">
        <v>312</v>
      </c>
      <c r="E195">
        <v>146</v>
      </c>
      <c r="F195">
        <v>33</v>
      </c>
      <c r="G195" s="10">
        <f t="shared" ref="G195:G258" si="8">100*E195/C195</f>
        <v>44.512195121951223</v>
      </c>
    </row>
    <row r="196" spans="1:7">
      <c r="A196">
        <f t="shared" si="7"/>
        <v>5</v>
      </c>
      <c r="B196">
        <v>50201</v>
      </c>
      <c r="C196">
        <v>5205</v>
      </c>
      <c r="D196">
        <v>255</v>
      </c>
      <c r="E196">
        <v>0</v>
      </c>
      <c r="F196">
        <v>0</v>
      </c>
      <c r="G196" s="10">
        <f t="shared" si="8"/>
        <v>0</v>
      </c>
    </row>
    <row r="197" spans="1:7">
      <c r="A197">
        <f t="shared" si="7"/>
        <v>5</v>
      </c>
      <c r="B197">
        <v>50202</v>
      </c>
      <c r="C197">
        <v>1613</v>
      </c>
      <c r="D197">
        <v>1184</v>
      </c>
      <c r="E197">
        <v>636</v>
      </c>
      <c r="F197">
        <v>0</v>
      </c>
      <c r="G197" s="10">
        <f t="shared" si="8"/>
        <v>39.429634221946685</v>
      </c>
    </row>
    <row r="198" spans="1:7">
      <c r="A198">
        <f t="shared" si="7"/>
        <v>5</v>
      </c>
      <c r="B198">
        <v>50203</v>
      </c>
      <c r="C198">
        <v>10556</v>
      </c>
      <c r="D198">
        <v>2654</v>
      </c>
      <c r="E198">
        <v>454</v>
      </c>
      <c r="F198">
        <v>0</v>
      </c>
      <c r="G198" s="10">
        <f t="shared" si="8"/>
        <v>4.300871542250853</v>
      </c>
    </row>
    <row r="199" spans="1:7">
      <c r="A199">
        <f t="shared" si="7"/>
        <v>5</v>
      </c>
      <c r="B199">
        <v>50301</v>
      </c>
      <c r="C199">
        <v>7544</v>
      </c>
      <c r="D199">
        <v>3301</v>
      </c>
      <c r="E199">
        <v>1603</v>
      </c>
      <c r="F199">
        <v>750</v>
      </c>
      <c r="G199" s="10">
        <f t="shared" si="8"/>
        <v>21.248674443266172</v>
      </c>
    </row>
    <row r="200" spans="1:7">
      <c r="A200">
        <f t="shared" si="7"/>
        <v>5</v>
      </c>
      <c r="B200">
        <v>50302</v>
      </c>
      <c r="C200">
        <v>2394</v>
      </c>
      <c r="D200">
        <v>1504</v>
      </c>
      <c r="E200">
        <v>862</v>
      </c>
      <c r="F200">
        <v>476</v>
      </c>
      <c r="G200" s="10">
        <f t="shared" si="8"/>
        <v>36.00668337510443</v>
      </c>
    </row>
    <row r="201" spans="1:7">
      <c r="A201">
        <f t="shared" si="7"/>
        <v>5</v>
      </c>
      <c r="B201">
        <v>50303</v>
      </c>
      <c r="C201">
        <v>1364</v>
      </c>
      <c r="D201">
        <v>475</v>
      </c>
      <c r="E201">
        <v>69</v>
      </c>
      <c r="F201">
        <v>24</v>
      </c>
      <c r="G201" s="10">
        <f t="shared" si="8"/>
        <v>5.0586510263929618</v>
      </c>
    </row>
    <row r="202" spans="1:7">
      <c r="A202">
        <f t="shared" si="7"/>
        <v>5</v>
      </c>
      <c r="B202">
        <v>50401</v>
      </c>
      <c r="C202">
        <v>6071</v>
      </c>
      <c r="D202">
        <v>2769</v>
      </c>
      <c r="E202">
        <v>726</v>
      </c>
      <c r="F202">
        <v>31</v>
      </c>
      <c r="G202" s="10">
        <f t="shared" si="8"/>
        <v>11.958491187613243</v>
      </c>
    </row>
    <row r="203" spans="1:7">
      <c r="A203">
        <f t="shared" si="7"/>
        <v>5</v>
      </c>
      <c r="B203">
        <v>50402</v>
      </c>
      <c r="C203">
        <v>3305</v>
      </c>
      <c r="D203">
        <v>958</v>
      </c>
      <c r="E203">
        <v>329</v>
      </c>
      <c r="F203">
        <v>98</v>
      </c>
      <c r="G203" s="10">
        <f t="shared" si="8"/>
        <v>9.954614220877458</v>
      </c>
    </row>
    <row r="204" spans="1:7">
      <c r="A204">
        <f t="shared" si="7"/>
        <v>5</v>
      </c>
      <c r="B204">
        <v>50403</v>
      </c>
      <c r="C204">
        <v>5238</v>
      </c>
      <c r="D204">
        <v>3169</v>
      </c>
      <c r="E204">
        <v>1327</v>
      </c>
      <c r="F204">
        <v>286</v>
      </c>
      <c r="G204" s="10">
        <f t="shared" si="8"/>
        <v>25.334096983581521</v>
      </c>
    </row>
    <row r="205" spans="1:7">
      <c r="A205">
        <f t="shared" si="7"/>
        <v>5</v>
      </c>
      <c r="B205">
        <v>50404</v>
      </c>
      <c r="C205">
        <v>2296</v>
      </c>
      <c r="D205">
        <v>1105</v>
      </c>
      <c r="E205">
        <v>348</v>
      </c>
      <c r="F205">
        <v>34</v>
      </c>
      <c r="G205" s="10">
        <f t="shared" si="8"/>
        <v>15.156794425087108</v>
      </c>
    </row>
    <row r="206" spans="1:7">
      <c r="A206">
        <f t="shared" si="7"/>
        <v>5</v>
      </c>
      <c r="B206">
        <v>50405</v>
      </c>
      <c r="C206">
        <v>3404</v>
      </c>
      <c r="D206">
        <v>1416</v>
      </c>
      <c r="E206">
        <v>0</v>
      </c>
      <c r="F206">
        <v>0</v>
      </c>
      <c r="G206" s="10">
        <f t="shared" si="8"/>
        <v>0</v>
      </c>
    </row>
    <row r="207" spans="1:7">
      <c r="A207">
        <f t="shared" si="7"/>
        <v>5</v>
      </c>
      <c r="B207">
        <v>50501</v>
      </c>
      <c r="C207">
        <v>3283</v>
      </c>
      <c r="D207">
        <v>1819</v>
      </c>
      <c r="E207">
        <v>812</v>
      </c>
      <c r="F207">
        <v>277</v>
      </c>
      <c r="G207" s="10">
        <f t="shared" si="8"/>
        <v>24.733475479744136</v>
      </c>
    </row>
    <row r="208" spans="1:7">
      <c r="A208">
        <f t="shared" si="7"/>
        <v>5</v>
      </c>
      <c r="B208">
        <v>50502</v>
      </c>
      <c r="C208">
        <v>1866</v>
      </c>
      <c r="D208">
        <v>1098</v>
      </c>
      <c r="E208">
        <v>529</v>
      </c>
      <c r="F208">
        <v>112</v>
      </c>
      <c r="G208" s="10">
        <f t="shared" si="8"/>
        <v>28.34941050375134</v>
      </c>
    </row>
    <row r="209" spans="1:7">
      <c r="A209">
        <f t="shared" si="7"/>
        <v>5</v>
      </c>
      <c r="B209">
        <v>50601</v>
      </c>
      <c r="C209">
        <v>5611</v>
      </c>
      <c r="D209">
        <v>2348</v>
      </c>
      <c r="E209">
        <v>839</v>
      </c>
      <c r="F209">
        <v>235</v>
      </c>
      <c r="G209" s="10">
        <f t="shared" si="8"/>
        <v>14.952771342006772</v>
      </c>
    </row>
    <row r="210" spans="1:7">
      <c r="A210">
        <f t="shared" si="7"/>
        <v>5</v>
      </c>
      <c r="B210">
        <v>50602</v>
      </c>
      <c r="C210">
        <v>2474</v>
      </c>
      <c r="D210">
        <v>681</v>
      </c>
      <c r="E210">
        <v>150</v>
      </c>
      <c r="F210">
        <v>17</v>
      </c>
      <c r="G210" s="10">
        <f t="shared" si="8"/>
        <v>6.063055780113177</v>
      </c>
    </row>
    <row r="211" spans="1:7">
      <c r="A211">
        <f t="shared" si="7"/>
        <v>5</v>
      </c>
      <c r="B211">
        <v>50701</v>
      </c>
      <c r="C211">
        <v>3622</v>
      </c>
      <c r="D211">
        <v>1855</v>
      </c>
      <c r="E211">
        <v>741</v>
      </c>
      <c r="F211">
        <v>89</v>
      </c>
      <c r="G211" s="10">
        <f t="shared" si="8"/>
        <v>20.458310325786858</v>
      </c>
    </row>
    <row r="212" spans="1:7">
      <c r="A212">
        <f t="shared" si="7"/>
        <v>5</v>
      </c>
      <c r="B212">
        <v>50702</v>
      </c>
      <c r="C212">
        <v>1481</v>
      </c>
      <c r="D212">
        <v>1183</v>
      </c>
      <c r="E212">
        <v>496</v>
      </c>
      <c r="F212">
        <v>117</v>
      </c>
      <c r="G212" s="10">
        <f t="shared" si="8"/>
        <v>33.490884537474678</v>
      </c>
    </row>
    <row r="213" spans="1:7">
      <c r="A213">
        <f t="shared" si="7"/>
        <v>5</v>
      </c>
      <c r="B213">
        <v>50801</v>
      </c>
      <c r="C213">
        <v>13908</v>
      </c>
      <c r="D213">
        <v>3110</v>
      </c>
      <c r="E213">
        <v>1314</v>
      </c>
      <c r="F213">
        <v>438</v>
      </c>
      <c r="G213" s="10">
        <f t="shared" si="8"/>
        <v>9.4477998274374464</v>
      </c>
    </row>
    <row r="214" spans="1:7">
      <c r="A214">
        <f t="shared" si="7"/>
        <v>5</v>
      </c>
      <c r="B214">
        <v>50901</v>
      </c>
      <c r="C214">
        <v>3176</v>
      </c>
      <c r="D214">
        <v>1112</v>
      </c>
      <c r="E214">
        <v>473</v>
      </c>
      <c r="F214">
        <v>128</v>
      </c>
      <c r="G214" s="10">
        <f t="shared" si="8"/>
        <v>14.89294710327456</v>
      </c>
    </row>
    <row r="215" spans="1:7">
      <c r="A215">
        <f t="shared" si="7"/>
        <v>5</v>
      </c>
      <c r="B215">
        <v>50902</v>
      </c>
      <c r="C215">
        <v>213</v>
      </c>
      <c r="D215">
        <v>91</v>
      </c>
      <c r="E215">
        <v>52</v>
      </c>
      <c r="F215">
        <v>9</v>
      </c>
      <c r="G215" s="10">
        <f t="shared" si="8"/>
        <v>24.413145539906104</v>
      </c>
    </row>
    <row r="216" spans="1:7">
      <c r="A216">
        <f t="shared" si="7"/>
        <v>5</v>
      </c>
      <c r="B216">
        <v>51001</v>
      </c>
      <c r="C216">
        <v>334</v>
      </c>
      <c r="D216">
        <v>171</v>
      </c>
      <c r="E216">
        <v>79</v>
      </c>
      <c r="F216">
        <v>32</v>
      </c>
      <c r="G216" s="10">
        <f t="shared" si="8"/>
        <v>23.652694610778443</v>
      </c>
    </row>
    <row r="217" spans="1:7">
      <c r="A217">
        <f t="shared" si="7"/>
        <v>5</v>
      </c>
      <c r="B217">
        <v>51002</v>
      </c>
      <c r="C217">
        <v>41</v>
      </c>
      <c r="D217">
        <v>15</v>
      </c>
      <c r="E217">
        <v>9</v>
      </c>
      <c r="F217">
        <v>6</v>
      </c>
      <c r="G217" s="10">
        <f t="shared" si="8"/>
        <v>21.951219512195124</v>
      </c>
    </row>
    <row r="218" spans="1:7">
      <c r="A218">
        <f t="shared" si="7"/>
        <v>5</v>
      </c>
      <c r="B218">
        <v>51003</v>
      </c>
      <c r="C218">
        <v>205</v>
      </c>
      <c r="D218">
        <v>106</v>
      </c>
      <c r="E218">
        <v>49</v>
      </c>
      <c r="F218">
        <v>24</v>
      </c>
      <c r="G218" s="10">
        <f t="shared" si="8"/>
        <v>23.902439024390244</v>
      </c>
    </row>
    <row r="219" spans="1:7">
      <c r="A219">
        <f t="shared" si="7"/>
        <v>5</v>
      </c>
      <c r="B219">
        <v>51101</v>
      </c>
      <c r="C219">
        <v>5960</v>
      </c>
      <c r="D219">
        <v>3402</v>
      </c>
      <c r="E219">
        <v>1687</v>
      </c>
      <c r="F219">
        <v>920</v>
      </c>
      <c r="G219" s="10">
        <f t="shared" si="8"/>
        <v>28.30536912751678</v>
      </c>
    </row>
    <row r="220" spans="1:7">
      <c r="A220">
        <f t="shared" si="7"/>
        <v>5</v>
      </c>
      <c r="B220">
        <v>51102</v>
      </c>
      <c r="C220">
        <v>3272</v>
      </c>
      <c r="D220">
        <v>1622</v>
      </c>
      <c r="E220">
        <v>698</v>
      </c>
      <c r="F220">
        <v>353</v>
      </c>
      <c r="G220" s="10">
        <f t="shared" si="8"/>
        <v>21.332518337408313</v>
      </c>
    </row>
    <row r="221" spans="1:7">
      <c r="A221">
        <f t="shared" si="7"/>
        <v>5</v>
      </c>
      <c r="B221">
        <v>51103</v>
      </c>
      <c r="C221">
        <v>1613</v>
      </c>
      <c r="D221">
        <v>846</v>
      </c>
      <c r="E221">
        <v>488</v>
      </c>
      <c r="F221">
        <v>356</v>
      </c>
      <c r="G221" s="10">
        <f t="shared" si="8"/>
        <v>30.254184748915065</v>
      </c>
    </row>
    <row r="222" spans="1:7">
      <c r="A222">
        <f t="shared" si="7"/>
        <v>5</v>
      </c>
      <c r="B222">
        <v>51201</v>
      </c>
      <c r="C222">
        <v>10260</v>
      </c>
      <c r="D222">
        <v>3285</v>
      </c>
      <c r="E222">
        <v>1174</v>
      </c>
      <c r="F222">
        <v>221</v>
      </c>
      <c r="G222" s="10">
        <f t="shared" si="8"/>
        <v>11.442495126705653</v>
      </c>
    </row>
    <row r="223" spans="1:7">
      <c r="A223">
        <f t="shared" si="7"/>
        <v>5</v>
      </c>
      <c r="B223">
        <v>51202</v>
      </c>
      <c r="C223">
        <v>2833</v>
      </c>
      <c r="D223">
        <v>1433</v>
      </c>
      <c r="E223">
        <v>523</v>
      </c>
      <c r="F223">
        <v>72</v>
      </c>
      <c r="G223" s="10">
        <f t="shared" si="8"/>
        <v>18.46099541122485</v>
      </c>
    </row>
    <row r="224" spans="1:7">
      <c r="A224">
        <f t="shared" si="7"/>
        <v>5</v>
      </c>
      <c r="B224">
        <v>51203</v>
      </c>
      <c r="C224">
        <v>2388</v>
      </c>
      <c r="D224">
        <v>766</v>
      </c>
      <c r="E224">
        <v>398</v>
      </c>
      <c r="F224">
        <v>52</v>
      </c>
      <c r="G224" s="10">
        <f t="shared" si="8"/>
        <v>16.666666666666668</v>
      </c>
    </row>
    <row r="225" spans="1:7">
      <c r="A225">
        <f t="shared" si="7"/>
        <v>5</v>
      </c>
      <c r="B225">
        <v>51301</v>
      </c>
      <c r="C225">
        <v>742</v>
      </c>
      <c r="D225">
        <v>180</v>
      </c>
      <c r="E225">
        <v>52</v>
      </c>
      <c r="F225">
        <v>0</v>
      </c>
      <c r="G225" s="10">
        <f t="shared" si="8"/>
        <v>7.0080862533692718</v>
      </c>
    </row>
    <row r="226" spans="1:7">
      <c r="A226">
        <f t="shared" si="7"/>
        <v>5</v>
      </c>
      <c r="B226">
        <v>51302</v>
      </c>
      <c r="C226">
        <v>1134</v>
      </c>
      <c r="D226">
        <v>626</v>
      </c>
      <c r="E226">
        <v>289</v>
      </c>
      <c r="F226">
        <v>52</v>
      </c>
      <c r="G226" s="10">
        <f t="shared" si="8"/>
        <v>25.485008818342152</v>
      </c>
    </row>
    <row r="227" spans="1:7">
      <c r="A227">
        <f t="shared" si="7"/>
        <v>5</v>
      </c>
      <c r="B227">
        <v>51401</v>
      </c>
      <c r="C227">
        <v>1545</v>
      </c>
      <c r="D227">
        <v>954</v>
      </c>
      <c r="E227">
        <v>485</v>
      </c>
      <c r="F227">
        <v>119</v>
      </c>
      <c r="G227" s="10">
        <f t="shared" si="8"/>
        <v>31.391585760517799</v>
      </c>
    </row>
    <row r="228" spans="1:7">
      <c r="A228">
        <f t="shared" si="7"/>
        <v>5</v>
      </c>
      <c r="B228">
        <v>51402</v>
      </c>
      <c r="C228">
        <v>453</v>
      </c>
      <c r="D228">
        <v>320</v>
      </c>
      <c r="E228">
        <v>200</v>
      </c>
      <c r="F228">
        <v>57</v>
      </c>
      <c r="G228" s="10">
        <f t="shared" si="8"/>
        <v>44.150110375275936</v>
      </c>
    </row>
    <row r="229" spans="1:7">
      <c r="A229">
        <f t="shared" si="7"/>
        <v>5</v>
      </c>
      <c r="B229">
        <v>51501</v>
      </c>
      <c r="C229">
        <v>12159</v>
      </c>
      <c r="D229">
        <v>2241</v>
      </c>
      <c r="E229">
        <v>764</v>
      </c>
      <c r="F229">
        <v>172</v>
      </c>
      <c r="G229" s="10">
        <f t="shared" si="8"/>
        <v>6.2834114647586148</v>
      </c>
    </row>
    <row r="230" spans="1:7">
      <c r="A230">
        <f t="shared" si="7"/>
        <v>5</v>
      </c>
      <c r="B230">
        <v>51601</v>
      </c>
      <c r="C230">
        <v>483</v>
      </c>
      <c r="D230">
        <v>266</v>
      </c>
      <c r="E230">
        <v>138</v>
      </c>
      <c r="F230">
        <v>62</v>
      </c>
      <c r="G230" s="10">
        <f t="shared" si="8"/>
        <v>28.571428571428573</v>
      </c>
    </row>
    <row r="231" spans="1:7">
      <c r="A231">
        <f t="shared" si="7"/>
        <v>6</v>
      </c>
      <c r="B231">
        <v>60101</v>
      </c>
      <c r="C231">
        <v>64377</v>
      </c>
      <c r="D231">
        <v>10224</v>
      </c>
      <c r="E231">
        <v>3753</v>
      </c>
      <c r="F231">
        <v>1227</v>
      </c>
      <c r="G231" s="10">
        <f t="shared" si="8"/>
        <v>5.8297217950510278</v>
      </c>
    </row>
    <row r="232" spans="1:7">
      <c r="A232">
        <f t="shared" si="7"/>
        <v>6</v>
      </c>
      <c r="B232">
        <v>60201</v>
      </c>
      <c r="C232">
        <v>5098</v>
      </c>
      <c r="D232">
        <v>1929</v>
      </c>
      <c r="E232">
        <v>884</v>
      </c>
      <c r="F232">
        <v>393</v>
      </c>
      <c r="G232" s="10">
        <f t="shared" si="8"/>
        <v>17.34013338564143</v>
      </c>
    </row>
    <row r="233" spans="1:7">
      <c r="A233">
        <f t="shared" si="7"/>
        <v>6</v>
      </c>
      <c r="B233">
        <v>60202</v>
      </c>
      <c r="C233">
        <v>9863</v>
      </c>
      <c r="D233">
        <v>1451</v>
      </c>
      <c r="E233">
        <v>460</v>
      </c>
      <c r="F233">
        <v>103</v>
      </c>
      <c r="G233" s="10">
        <f t="shared" si="8"/>
        <v>4.6638953665213423</v>
      </c>
    </row>
    <row r="234" spans="1:7">
      <c r="A234">
        <f t="shared" si="7"/>
        <v>6</v>
      </c>
      <c r="B234">
        <v>60301</v>
      </c>
      <c r="C234">
        <v>24688</v>
      </c>
      <c r="D234">
        <v>3318</v>
      </c>
      <c r="E234">
        <v>1094</v>
      </c>
      <c r="F234">
        <v>344</v>
      </c>
      <c r="G234" s="10">
        <f t="shared" si="8"/>
        <v>4.4313026571613738</v>
      </c>
    </row>
    <row r="235" spans="1:7">
      <c r="A235">
        <f t="shared" si="7"/>
        <v>6</v>
      </c>
      <c r="B235">
        <v>60302</v>
      </c>
      <c r="C235">
        <v>4291</v>
      </c>
      <c r="D235">
        <v>994</v>
      </c>
      <c r="E235">
        <v>470</v>
      </c>
      <c r="F235">
        <v>222</v>
      </c>
      <c r="G235" s="10">
        <f t="shared" si="8"/>
        <v>10.9531577720811</v>
      </c>
    </row>
    <row r="236" spans="1:7">
      <c r="A236">
        <f t="shared" si="7"/>
        <v>6</v>
      </c>
      <c r="B236">
        <v>60303</v>
      </c>
      <c r="C236">
        <v>13183</v>
      </c>
      <c r="D236">
        <v>2505</v>
      </c>
      <c r="E236">
        <v>754</v>
      </c>
      <c r="F236">
        <v>185</v>
      </c>
      <c r="G236" s="10">
        <f t="shared" si="8"/>
        <v>5.7194872183873171</v>
      </c>
    </row>
    <row r="237" spans="1:7">
      <c r="A237">
        <f t="shared" si="7"/>
        <v>6</v>
      </c>
      <c r="B237">
        <v>60401</v>
      </c>
      <c r="C237">
        <v>4235</v>
      </c>
      <c r="D237">
        <v>1097</v>
      </c>
      <c r="E237">
        <v>489</v>
      </c>
      <c r="F237">
        <v>203</v>
      </c>
      <c r="G237" s="10">
        <f t="shared" si="8"/>
        <v>11.54663518299882</v>
      </c>
    </row>
    <row r="238" spans="1:7">
      <c r="A238">
        <f t="shared" si="7"/>
        <v>6</v>
      </c>
      <c r="B238">
        <v>60402</v>
      </c>
      <c r="C238">
        <v>1392</v>
      </c>
      <c r="D238">
        <v>996</v>
      </c>
      <c r="E238">
        <v>529</v>
      </c>
      <c r="F238">
        <v>158</v>
      </c>
      <c r="G238" s="10">
        <f t="shared" si="8"/>
        <v>38.002873563218394</v>
      </c>
    </row>
    <row r="239" spans="1:7">
      <c r="A239">
        <f t="shared" si="7"/>
        <v>6</v>
      </c>
      <c r="B239">
        <v>60501</v>
      </c>
      <c r="C239">
        <v>8136</v>
      </c>
      <c r="D239">
        <v>1929</v>
      </c>
      <c r="E239">
        <v>917</v>
      </c>
      <c r="F239">
        <v>369</v>
      </c>
      <c r="G239" s="10">
        <f t="shared" si="8"/>
        <v>11.270894788593903</v>
      </c>
    </row>
    <row r="240" spans="1:7">
      <c r="A240">
        <f t="shared" si="7"/>
        <v>6</v>
      </c>
      <c r="B240">
        <v>60502</v>
      </c>
      <c r="C240">
        <v>2943</v>
      </c>
      <c r="D240">
        <v>1363</v>
      </c>
      <c r="E240">
        <v>500</v>
      </c>
      <c r="F240">
        <v>174</v>
      </c>
      <c r="G240" s="10">
        <f t="shared" si="8"/>
        <v>16.989466530750935</v>
      </c>
    </row>
    <row r="241" spans="1:7">
      <c r="A241">
        <f t="shared" si="7"/>
        <v>6</v>
      </c>
      <c r="B241">
        <v>60601</v>
      </c>
      <c r="C241">
        <v>5889</v>
      </c>
      <c r="D241">
        <v>2031</v>
      </c>
      <c r="E241">
        <v>705</v>
      </c>
      <c r="F241">
        <v>90</v>
      </c>
      <c r="G241" s="10">
        <f t="shared" si="8"/>
        <v>11.971472236372898</v>
      </c>
    </row>
    <row r="242" spans="1:7">
      <c r="A242">
        <f t="shared" si="7"/>
        <v>7</v>
      </c>
      <c r="B242">
        <v>70101</v>
      </c>
      <c r="C242">
        <v>409919</v>
      </c>
      <c r="D242">
        <v>50510</v>
      </c>
      <c r="E242">
        <v>23314</v>
      </c>
      <c r="F242">
        <v>11555</v>
      </c>
      <c r="G242" s="10">
        <f t="shared" si="8"/>
        <v>5.6874650845654875</v>
      </c>
    </row>
    <row r="243" spans="1:7">
      <c r="A243">
        <f t="shared" si="7"/>
        <v>7</v>
      </c>
      <c r="B243">
        <v>70102</v>
      </c>
      <c r="C243">
        <v>22345</v>
      </c>
      <c r="D243">
        <v>5017</v>
      </c>
      <c r="E243">
        <v>2601</v>
      </c>
      <c r="F243">
        <v>1409</v>
      </c>
      <c r="G243" s="10">
        <f t="shared" si="8"/>
        <v>11.640187961512643</v>
      </c>
    </row>
    <row r="244" spans="1:7">
      <c r="A244">
        <f t="shared" si="7"/>
        <v>7</v>
      </c>
      <c r="B244">
        <v>70103</v>
      </c>
      <c r="C244">
        <v>7722</v>
      </c>
      <c r="D244">
        <v>1447</v>
      </c>
      <c r="E244">
        <v>676</v>
      </c>
      <c r="F244">
        <v>330</v>
      </c>
      <c r="G244" s="10">
        <f t="shared" si="8"/>
        <v>8.7542087542087543</v>
      </c>
    </row>
    <row r="245" spans="1:7">
      <c r="A245">
        <f t="shared" si="7"/>
        <v>7</v>
      </c>
      <c r="B245">
        <v>70104</v>
      </c>
      <c r="C245">
        <v>38451</v>
      </c>
      <c r="D245">
        <v>5176</v>
      </c>
      <c r="E245">
        <v>2373</v>
      </c>
      <c r="F245">
        <v>1115</v>
      </c>
      <c r="G245" s="10">
        <f t="shared" si="8"/>
        <v>6.1714909885308575</v>
      </c>
    </row>
    <row r="246" spans="1:7">
      <c r="A246">
        <f t="shared" si="7"/>
        <v>7</v>
      </c>
      <c r="B246">
        <v>70105</v>
      </c>
      <c r="C246">
        <v>15075</v>
      </c>
      <c r="D246">
        <v>2279</v>
      </c>
      <c r="E246">
        <v>1034</v>
      </c>
      <c r="F246">
        <v>506</v>
      </c>
      <c r="G246" s="10">
        <f t="shared" si="8"/>
        <v>6.859038142620232</v>
      </c>
    </row>
    <row r="247" spans="1:7">
      <c r="A247">
        <f t="shared" si="7"/>
        <v>7</v>
      </c>
      <c r="B247">
        <v>70201</v>
      </c>
      <c r="C247">
        <v>45650</v>
      </c>
      <c r="D247">
        <v>8126</v>
      </c>
      <c r="E247">
        <v>3877</v>
      </c>
      <c r="F247">
        <v>2013</v>
      </c>
      <c r="G247" s="10">
        <f t="shared" si="8"/>
        <v>8.4928806133625407</v>
      </c>
    </row>
    <row r="248" spans="1:7">
      <c r="A248">
        <f t="shared" si="7"/>
        <v>7</v>
      </c>
      <c r="B248">
        <v>70202</v>
      </c>
      <c r="C248">
        <v>2166</v>
      </c>
      <c r="D248">
        <v>399</v>
      </c>
      <c r="E248">
        <v>237</v>
      </c>
      <c r="F248">
        <v>145</v>
      </c>
      <c r="G248" s="10">
        <f t="shared" si="8"/>
        <v>10.941828254847646</v>
      </c>
    </row>
    <row r="249" spans="1:7">
      <c r="A249">
        <f t="shared" si="7"/>
        <v>7</v>
      </c>
      <c r="B249">
        <v>70301</v>
      </c>
      <c r="C249">
        <v>277</v>
      </c>
      <c r="D249">
        <v>33</v>
      </c>
      <c r="E249">
        <v>18</v>
      </c>
      <c r="F249">
        <v>9</v>
      </c>
      <c r="G249" s="10">
        <f t="shared" si="8"/>
        <v>6.4981949458483754</v>
      </c>
    </row>
    <row r="250" spans="1:7">
      <c r="A250">
        <f t="shared" si="7"/>
        <v>7</v>
      </c>
      <c r="B250">
        <v>70302</v>
      </c>
      <c r="C250">
        <v>69</v>
      </c>
      <c r="D250">
        <v>14</v>
      </c>
      <c r="E250">
        <v>5</v>
      </c>
      <c r="F250">
        <v>2</v>
      </c>
      <c r="G250" s="10">
        <f t="shared" si="8"/>
        <v>7.2463768115942031</v>
      </c>
    </row>
    <row r="251" spans="1:7">
      <c r="A251">
        <f t="shared" si="7"/>
        <v>7</v>
      </c>
      <c r="B251">
        <v>70303</v>
      </c>
      <c r="C251">
        <v>14</v>
      </c>
      <c r="D251">
        <v>3</v>
      </c>
      <c r="E251">
        <v>2</v>
      </c>
      <c r="F251">
        <v>2</v>
      </c>
      <c r="G251" s="10">
        <f t="shared" si="8"/>
        <v>14.285714285714286</v>
      </c>
    </row>
    <row r="252" spans="1:7">
      <c r="A252">
        <f t="shared" si="7"/>
        <v>7</v>
      </c>
      <c r="B252">
        <v>70401</v>
      </c>
      <c r="C252">
        <v>3881</v>
      </c>
      <c r="D252">
        <v>793</v>
      </c>
      <c r="E252">
        <v>431</v>
      </c>
      <c r="F252">
        <v>219</v>
      </c>
      <c r="G252" s="10">
        <f t="shared" si="8"/>
        <v>11.105385209997424</v>
      </c>
    </row>
    <row r="253" spans="1:7">
      <c r="A253">
        <f t="shared" si="7"/>
        <v>7</v>
      </c>
      <c r="B253">
        <v>70402</v>
      </c>
      <c r="C253">
        <v>4508</v>
      </c>
      <c r="D253">
        <v>836</v>
      </c>
      <c r="E253">
        <v>423</v>
      </c>
      <c r="F253">
        <v>239</v>
      </c>
      <c r="G253" s="10">
        <f t="shared" si="8"/>
        <v>9.383318544809228</v>
      </c>
    </row>
    <row r="254" spans="1:7">
      <c r="A254">
        <f t="shared" si="7"/>
        <v>7</v>
      </c>
      <c r="B254">
        <v>70403</v>
      </c>
      <c r="C254">
        <v>13088</v>
      </c>
      <c r="D254">
        <v>2370</v>
      </c>
      <c r="E254">
        <v>1168</v>
      </c>
      <c r="F254">
        <v>620</v>
      </c>
      <c r="G254" s="10">
        <f t="shared" si="8"/>
        <v>8.924205378973106</v>
      </c>
    </row>
    <row r="255" spans="1:7">
      <c r="A255">
        <f t="shared" si="7"/>
        <v>7</v>
      </c>
      <c r="B255">
        <v>70404</v>
      </c>
      <c r="C255">
        <v>1835</v>
      </c>
      <c r="D255">
        <v>356</v>
      </c>
      <c r="E255">
        <v>179</v>
      </c>
      <c r="F255">
        <v>107</v>
      </c>
      <c r="G255" s="10">
        <f t="shared" si="8"/>
        <v>9.7547683923705719</v>
      </c>
    </row>
    <row r="256" spans="1:7">
      <c r="A256">
        <f t="shared" si="7"/>
        <v>7</v>
      </c>
      <c r="B256">
        <v>70501</v>
      </c>
      <c r="C256">
        <v>261</v>
      </c>
      <c r="D256">
        <v>58</v>
      </c>
      <c r="E256">
        <v>34</v>
      </c>
      <c r="F256">
        <v>22</v>
      </c>
      <c r="G256" s="10">
        <f t="shared" si="8"/>
        <v>13.026819923371647</v>
      </c>
    </row>
    <row r="257" spans="1:7">
      <c r="A257">
        <f t="shared" si="7"/>
        <v>7</v>
      </c>
      <c r="B257">
        <v>70502</v>
      </c>
      <c r="C257">
        <v>6126</v>
      </c>
      <c r="D257">
        <v>1058</v>
      </c>
      <c r="E257">
        <v>488</v>
      </c>
      <c r="F257">
        <v>295</v>
      </c>
      <c r="G257" s="10">
        <f t="shared" si="8"/>
        <v>7.9660463597779954</v>
      </c>
    </row>
    <row r="258" spans="1:7">
      <c r="A258">
        <f t="shared" si="7"/>
        <v>7</v>
      </c>
      <c r="B258">
        <v>70503</v>
      </c>
      <c r="C258">
        <v>309</v>
      </c>
      <c r="D258">
        <v>67</v>
      </c>
      <c r="E258">
        <v>39</v>
      </c>
      <c r="F258">
        <v>17</v>
      </c>
      <c r="G258" s="10">
        <f t="shared" si="8"/>
        <v>12.621359223300971</v>
      </c>
    </row>
    <row r="259" spans="1:7">
      <c r="A259">
        <f t="shared" ref="A259:A322" si="9">VALUE(MID(B259,1,1))</f>
        <v>7</v>
      </c>
      <c r="B259">
        <v>70601</v>
      </c>
      <c r="C259">
        <v>4766</v>
      </c>
      <c r="D259">
        <v>618</v>
      </c>
      <c r="E259">
        <v>275</v>
      </c>
      <c r="F259">
        <v>135</v>
      </c>
      <c r="G259" s="10">
        <f t="shared" ref="G259:G322" si="10">100*E259/C259</f>
        <v>5.7700377675199332</v>
      </c>
    </row>
    <row r="260" spans="1:7">
      <c r="A260">
        <f t="shared" si="9"/>
        <v>7</v>
      </c>
      <c r="B260">
        <v>70602</v>
      </c>
      <c r="C260">
        <v>3730</v>
      </c>
      <c r="D260">
        <v>812</v>
      </c>
      <c r="E260">
        <v>425</v>
      </c>
      <c r="F260">
        <v>226</v>
      </c>
      <c r="G260" s="10">
        <f t="shared" si="10"/>
        <v>11.394101876675602</v>
      </c>
    </row>
    <row r="261" spans="1:7">
      <c r="A261">
        <f t="shared" si="9"/>
        <v>7</v>
      </c>
      <c r="B261">
        <v>70603</v>
      </c>
      <c r="C261">
        <v>1170</v>
      </c>
      <c r="D261">
        <v>211</v>
      </c>
      <c r="E261">
        <v>125</v>
      </c>
      <c r="F261">
        <v>87</v>
      </c>
      <c r="G261" s="10">
        <f t="shared" si="10"/>
        <v>10.683760683760683</v>
      </c>
    </row>
    <row r="262" spans="1:7">
      <c r="A262">
        <f t="shared" si="9"/>
        <v>7</v>
      </c>
      <c r="B262">
        <v>70701</v>
      </c>
      <c r="C262">
        <v>134</v>
      </c>
      <c r="D262">
        <v>32</v>
      </c>
      <c r="E262">
        <v>16</v>
      </c>
      <c r="F262">
        <v>15</v>
      </c>
      <c r="G262" s="10">
        <f t="shared" si="10"/>
        <v>11.940298507462687</v>
      </c>
    </row>
    <row r="263" spans="1:7">
      <c r="A263">
        <f t="shared" si="9"/>
        <v>7</v>
      </c>
      <c r="B263">
        <v>70702</v>
      </c>
      <c r="C263">
        <v>1008</v>
      </c>
      <c r="D263">
        <v>218</v>
      </c>
      <c r="E263">
        <v>120</v>
      </c>
      <c r="F263">
        <v>70</v>
      </c>
      <c r="G263" s="10">
        <f t="shared" si="10"/>
        <v>11.904761904761905</v>
      </c>
    </row>
    <row r="264" spans="1:7">
      <c r="A264">
        <f t="shared" si="9"/>
        <v>7</v>
      </c>
      <c r="B264">
        <v>70703</v>
      </c>
      <c r="C264">
        <v>4563</v>
      </c>
      <c r="D264">
        <v>901</v>
      </c>
      <c r="E264">
        <v>529</v>
      </c>
      <c r="F264">
        <v>328</v>
      </c>
      <c r="G264" s="10">
        <f t="shared" si="10"/>
        <v>11.593250054788516</v>
      </c>
    </row>
    <row r="265" spans="1:7">
      <c r="A265">
        <f t="shared" si="9"/>
        <v>7</v>
      </c>
      <c r="B265">
        <v>70704</v>
      </c>
      <c r="C265">
        <v>128</v>
      </c>
      <c r="D265">
        <v>25</v>
      </c>
      <c r="E265">
        <v>17</v>
      </c>
      <c r="F265">
        <v>10</v>
      </c>
      <c r="G265" s="10">
        <f t="shared" si="10"/>
        <v>13.28125</v>
      </c>
    </row>
    <row r="266" spans="1:7">
      <c r="A266">
        <f t="shared" si="9"/>
        <v>7</v>
      </c>
      <c r="B266">
        <v>70705</v>
      </c>
      <c r="C266">
        <v>237</v>
      </c>
      <c r="D266">
        <v>66</v>
      </c>
      <c r="E266">
        <v>37</v>
      </c>
      <c r="F266">
        <v>28</v>
      </c>
      <c r="G266" s="10">
        <f t="shared" si="10"/>
        <v>15.611814345991561</v>
      </c>
    </row>
    <row r="267" spans="1:7">
      <c r="A267">
        <f t="shared" si="9"/>
        <v>7</v>
      </c>
      <c r="B267">
        <v>70706</v>
      </c>
      <c r="C267">
        <v>1430</v>
      </c>
      <c r="D267">
        <v>208</v>
      </c>
      <c r="E267">
        <v>110</v>
      </c>
      <c r="F267">
        <v>55</v>
      </c>
      <c r="G267" s="10">
        <f t="shared" si="10"/>
        <v>7.6923076923076925</v>
      </c>
    </row>
    <row r="268" spans="1:7">
      <c r="A268">
        <f t="shared" si="9"/>
        <v>7</v>
      </c>
      <c r="B268">
        <v>70707</v>
      </c>
      <c r="C268">
        <v>169</v>
      </c>
      <c r="D268">
        <v>31</v>
      </c>
      <c r="E268">
        <v>17</v>
      </c>
      <c r="F268">
        <v>8</v>
      </c>
      <c r="G268" s="10">
        <f t="shared" si="10"/>
        <v>10.059171597633137</v>
      </c>
    </row>
    <row r="269" spans="1:7">
      <c r="A269">
        <f t="shared" si="9"/>
        <v>7</v>
      </c>
      <c r="B269">
        <v>70801</v>
      </c>
      <c r="C269">
        <v>422</v>
      </c>
      <c r="D269">
        <v>105</v>
      </c>
      <c r="E269">
        <v>44</v>
      </c>
      <c r="F269">
        <v>5</v>
      </c>
      <c r="G269" s="10">
        <f t="shared" si="10"/>
        <v>10.42654028436019</v>
      </c>
    </row>
    <row r="270" spans="1:7">
      <c r="A270">
        <f t="shared" si="9"/>
        <v>7</v>
      </c>
      <c r="B270">
        <v>70802</v>
      </c>
      <c r="C270">
        <v>52</v>
      </c>
      <c r="D270">
        <v>21</v>
      </c>
      <c r="E270">
        <v>12</v>
      </c>
      <c r="F270">
        <v>2</v>
      </c>
      <c r="G270" s="10">
        <f t="shared" si="10"/>
        <v>23.076923076923077</v>
      </c>
    </row>
    <row r="271" spans="1:7">
      <c r="A271">
        <f t="shared" si="9"/>
        <v>7</v>
      </c>
      <c r="B271">
        <v>70803</v>
      </c>
      <c r="C271">
        <v>37</v>
      </c>
      <c r="D271">
        <v>8</v>
      </c>
      <c r="E271">
        <v>3</v>
      </c>
      <c r="F271">
        <v>0</v>
      </c>
      <c r="G271" s="10">
        <f t="shared" si="10"/>
        <v>8.1081081081081088</v>
      </c>
    </row>
    <row r="272" spans="1:7">
      <c r="A272">
        <f t="shared" si="9"/>
        <v>7</v>
      </c>
      <c r="B272">
        <v>70804</v>
      </c>
      <c r="C272">
        <v>16</v>
      </c>
      <c r="D272">
        <v>7</v>
      </c>
      <c r="E272">
        <v>3</v>
      </c>
      <c r="F272">
        <v>0</v>
      </c>
      <c r="G272" s="10">
        <f t="shared" si="10"/>
        <v>18.75</v>
      </c>
    </row>
    <row r="273" spans="1:7">
      <c r="A273">
        <f t="shared" si="9"/>
        <v>7</v>
      </c>
      <c r="B273">
        <v>70901</v>
      </c>
      <c r="C273">
        <v>482</v>
      </c>
      <c r="D273">
        <v>128</v>
      </c>
      <c r="E273">
        <v>64</v>
      </c>
      <c r="F273">
        <v>22</v>
      </c>
      <c r="G273" s="10">
        <f t="shared" si="10"/>
        <v>13.278008298755188</v>
      </c>
    </row>
    <row r="274" spans="1:7">
      <c r="A274">
        <f t="shared" si="9"/>
        <v>7</v>
      </c>
      <c r="B274">
        <v>70902</v>
      </c>
      <c r="C274">
        <v>219</v>
      </c>
      <c r="D274">
        <v>36</v>
      </c>
      <c r="E274">
        <v>17</v>
      </c>
      <c r="F274">
        <v>7</v>
      </c>
      <c r="G274" s="10">
        <f t="shared" si="10"/>
        <v>7.762557077625571</v>
      </c>
    </row>
    <row r="275" spans="1:7">
      <c r="A275">
        <f t="shared" si="9"/>
        <v>7</v>
      </c>
      <c r="B275">
        <v>70903</v>
      </c>
      <c r="C275">
        <v>267</v>
      </c>
      <c r="D275">
        <v>57</v>
      </c>
      <c r="E275">
        <v>28</v>
      </c>
      <c r="F275">
        <v>15</v>
      </c>
      <c r="G275" s="10">
        <f t="shared" si="10"/>
        <v>10.486891385767791</v>
      </c>
    </row>
    <row r="276" spans="1:7">
      <c r="A276">
        <f t="shared" si="9"/>
        <v>7</v>
      </c>
      <c r="B276">
        <v>70904</v>
      </c>
      <c r="C276">
        <v>38</v>
      </c>
      <c r="D276">
        <v>9</v>
      </c>
      <c r="E276">
        <v>3</v>
      </c>
      <c r="F276">
        <v>1</v>
      </c>
      <c r="G276" s="10">
        <f t="shared" si="10"/>
        <v>7.8947368421052628</v>
      </c>
    </row>
    <row r="277" spans="1:7">
      <c r="A277">
        <f t="shared" si="9"/>
        <v>7</v>
      </c>
      <c r="B277">
        <v>71001</v>
      </c>
      <c r="C277">
        <v>31358</v>
      </c>
      <c r="D277">
        <v>4352</v>
      </c>
      <c r="E277">
        <v>1879</v>
      </c>
      <c r="F277">
        <v>786</v>
      </c>
      <c r="G277" s="10">
        <f t="shared" si="10"/>
        <v>5.9920913323553799</v>
      </c>
    </row>
    <row r="278" spans="1:7">
      <c r="A278">
        <f t="shared" si="9"/>
        <v>7</v>
      </c>
      <c r="B278">
        <v>71002</v>
      </c>
      <c r="C278">
        <v>3179</v>
      </c>
      <c r="D278">
        <v>628</v>
      </c>
      <c r="E278">
        <v>327</v>
      </c>
      <c r="F278">
        <v>171</v>
      </c>
      <c r="G278" s="10">
        <f t="shared" si="10"/>
        <v>10.286253538848694</v>
      </c>
    </row>
    <row r="279" spans="1:7">
      <c r="A279">
        <f t="shared" si="9"/>
        <v>7</v>
      </c>
      <c r="B279">
        <v>71003</v>
      </c>
      <c r="C279">
        <v>5193</v>
      </c>
      <c r="D279">
        <v>787</v>
      </c>
      <c r="E279">
        <v>397</v>
      </c>
      <c r="F279">
        <v>205</v>
      </c>
      <c r="G279" s="10">
        <f t="shared" si="10"/>
        <v>7.6449066050452537</v>
      </c>
    </row>
    <row r="280" spans="1:7">
      <c r="A280">
        <f t="shared" si="9"/>
        <v>7</v>
      </c>
      <c r="B280">
        <v>71004</v>
      </c>
      <c r="C280">
        <v>2937</v>
      </c>
      <c r="D280">
        <v>491</v>
      </c>
      <c r="E280">
        <v>225</v>
      </c>
      <c r="F280">
        <v>102</v>
      </c>
      <c r="G280" s="10">
        <f t="shared" si="10"/>
        <v>7.6608784473953015</v>
      </c>
    </row>
    <row r="281" spans="1:7">
      <c r="A281">
        <f t="shared" si="9"/>
        <v>7</v>
      </c>
      <c r="B281">
        <v>71005</v>
      </c>
      <c r="C281">
        <v>3357</v>
      </c>
      <c r="D281">
        <v>573</v>
      </c>
      <c r="E281">
        <v>318</v>
      </c>
      <c r="F281">
        <v>173</v>
      </c>
      <c r="G281" s="10">
        <f t="shared" si="10"/>
        <v>9.4727435210008935</v>
      </c>
    </row>
    <row r="282" spans="1:7">
      <c r="A282">
        <f t="shared" si="9"/>
        <v>7</v>
      </c>
      <c r="B282">
        <v>71101</v>
      </c>
      <c r="C282">
        <v>541</v>
      </c>
      <c r="D282">
        <v>118</v>
      </c>
      <c r="E282">
        <v>54</v>
      </c>
      <c r="F282">
        <v>31</v>
      </c>
      <c r="G282" s="10">
        <f t="shared" si="10"/>
        <v>9.9815157116451019</v>
      </c>
    </row>
    <row r="283" spans="1:7">
      <c r="A283">
        <f t="shared" si="9"/>
        <v>7</v>
      </c>
      <c r="B283">
        <v>71102</v>
      </c>
      <c r="C283">
        <v>149</v>
      </c>
      <c r="D283">
        <v>33</v>
      </c>
      <c r="E283">
        <v>25</v>
      </c>
      <c r="F283">
        <v>14</v>
      </c>
      <c r="G283" s="10">
        <f t="shared" si="10"/>
        <v>16.778523489932887</v>
      </c>
    </row>
    <row r="284" spans="1:7">
      <c r="A284">
        <f t="shared" si="9"/>
        <v>7</v>
      </c>
      <c r="B284">
        <v>71103</v>
      </c>
      <c r="C284">
        <v>147</v>
      </c>
      <c r="D284">
        <v>41</v>
      </c>
      <c r="E284">
        <v>17</v>
      </c>
      <c r="F284">
        <v>7</v>
      </c>
      <c r="G284" s="10">
        <f t="shared" si="10"/>
        <v>11.564625850340136</v>
      </c>
    </row>
    <row r="285" spans="1:7">
      <c r="A285">
        <f t="shared" si="9"/>
        <v>7</v>
      </c>
      <c r="B285">
        <v>71104</v>
      </c>
      <c r="C285">
        <v>1308</v>
      </c>
      <c r="D285">
        <v>253</v>
      </c>
      <c r="E285">
        <v>122</v>
      </c>
      <c r="F285">
        <v>64</v>
      </c>
      <c r="G285" s="10">
        <f t="shared" si="10"/>
        <v>9.3272171253822638</v>
      </c>
    </row>
    <row r="286" spans="1:7">
      <c r="A286">
        <f t="shared" si="9"/>
        <v>7</v>
      </c>
      <c r="B286">
        <v>71105</v>
      </c>
      <c r="C286">
        <v>152</v>
      </c>
      <c r="D286">
        <v>25</v>
      </c>
      <c r="E286">
        <v>12</v>
      </c>
      <c r="F286">
        <v>11</v>
      </c>
      <c r="G286" s="10">
        <f t="shared" si="10"/>
        <v>7.8947368421052628</v>
      </c>
    </row>
    <row r="287" spans="1:7">
      <c r="A287">
        <f t="shared" si="9"/>
        <v>7</v>
      </c>
      <c r="B287">
        <v>71201</v>
      </c>
      <c r="C287">
        <v>17</v>
      </c>
      <c r="D287">
        <v>0</v>
      </c>
      <c r="E287">
        <v>0</v>
      </c>
      <c r="F287">
        <v>0</v>
      </c>
      <c r="G287" s="10">
        <f t="shared" si="10"/>
        <v>0</v>
      </c>
    </row>
    <row r="288" spans="1:7">
      <c r="A288">
        <f t="shared" si="9"/>
        <v>7</v>
      </c>
      <c r="B288">
        <v>71301</v>
      </c>
      <c r="C288">
        <v>338</v>
      </c>
      <c r="D288">
        <v>74</v>
      </c>
      <c r="E288">
        <v>24</v>
      </c>
      <c r="F288">
        <v>15</v>
      </c>
      <c r="G288" s="10">
        <f t="shared" si="10"/>
        <v>7.1005917159763312</v>
      </c>
    </row>
    <row r="289" spans="1:7">
      <c r="A289">
        <f t="shared" si="9"/>
        <v>7</v>
      </c>
      <c r="B289">
        <v>71302</v>
      </c>
      <c r="C289">
        <v>101</v>
      </c>
      <c r="D289">
        <v>23</v>
      </c>
      <c r="E289">
        <v>10</v>
      </c>
      <c r="F289">
        <v>5</v>
      </c>
      <c r="G289" s="10">
        <f t="shared" si="10"/>
        <v>9.9009900990099009</v>
      </c>
    </row>
    <row r="290" spans="1:7">
      <c r="A290">
        <f t="shared" si="9"/>
        <v>7</v>
      </c>
      <c r="B290">
        <v>71401</v>
      </c>
      <c r="C290">
        <v>201</v>
      </c>
      <c r="D290">
        <v>39</v>
      </c>
      <c r="E290">
        <v>23</v>
      </c>
      <c r="F290">
        <v>14</v>
      </c>
      <c r="G290" s="10">
        <f t="shared" si="10"/>
        <v>11.442786069651742</v>
      </c>
    </row>
    <row r="291" spans="1:7">
      <c r="A291">
        <f t="shared" si="9"/>
        <v>7</v>
      </c>
      <c r="B291">
        <v>71402</v>
      </c>
      <c r="C291">
        <v>307</v>
      </c>
      <c r="D291">
        <v>44</v>
      </c>
      <c r="E291">
        <v>23</v>
      </c>
      <c r="F291">
        <v>14</v>
      </c>
      <c r="G291" s="10">
        <f t="shared" si="10"/>
        <v>7.4918566775244297</v>
      </c>
    </row>
    <row r="292" spans="1:7">
      <c r="A292">
        <f t="shared" si="9"/>
        <v>7</v>
      </c>
      <c r="B292">
        <v>71403</v>
      </c>
      <c r="C292">
        <v>23</v>
      </c>
      <c r="D292">
        <v>3</v>
      </c>
      <c r="E292">
        <v>2</v>
      </c>
      <c r="F292">
        <v>0</v>
      </c>
      <c r="G292" s="10">
        <f t="shared" si="10"/>
        <v>8.695652173913043</v>
      </c>
    </row>
    <row r="293" spans="1:7">
      <c r="A293">
        <f t="shared" si="9"/>
        <v>7</v>
      </c>
      <c r="B293">
        <v>71501</v>
      </c>
      <c r="C293">
        <v>590</v>
      </c>
      <c r="D293">
        <v>179</v>
      </c>
      <c r="E293">
        <v>79</v>
      </c>
      <c r="F293">
        <v>48</v>
      </c>
      <c r="G293" s="10">
        <f t="shared" si="10"/>
        <v>13.389830508474576</v>
      </c>
    </row>
    <row r="294" spans="1:7">
      <c r="A294">
        <f t="shared" si="9"/>
        <v>7</v>
      </c>
      <c r="B294">
        <v>71502</v>
      </c>
      <c r="C294">
        <v>76</v>
      </c>
      <c r="D294">
        <v>29</v>
      </c>
      <c r="E294">
        <v>18</v>
      </c>
      <c r="F294">
        <v>12</v>
      </c>
      <c r="G294" s="10">
        <f t="shared" si="10"/>
        <v>23.684210526315791</v>
      </c>
    </row>
    <row r="295" spans="1:7">
      <c r="A295">
        <f t="shared" si="9"/>
        <v>7</v>
      </c>
      <c r="B295">
        <v>71503</v>
      </c>
      <c r="C295">
        <v>151</v>
      </c>
      <c r="D295">
        <v>41</v>
      </c>
      <c r="E295">
        <v>16</v>
      </c>
      <c r="F295">
        <v>7</v>
      </c>
      <c r="G295" s="10">
        <f t="shared" si="10"/>
        <v>10.596026490066226</v>
      </c>
    </row>
    <row r="296" spans="1:7">
      <c r="A296">
        <f t="shared" si="9"/>
        <v>8</v>
      </c>
      <c r="B296">
        <v>80101</v>
      </c>
      <c r="C296">
        <v>32338</v>
      </c>
      <c r="D296">
        <v>3196</v>
      </c>
      <c r="E296">
        <v>507</v>
      </c>
      <c r="F296">
        <v>75</v>
      </c>
      <c r="G296" s="10">
        <f t="shared" si="10"/>
        <v>1.5678149545426434</v>
      </c>
    </row>
    <row r="297" spans="1:7">
      <c r="A297">
        <f t="shared" si="9"/>
        <v>8</v>
      </c>
      <c r="B297">
        <v>80102</v>
      </c>
      <c r="C297">
        <v>488</v>
      </c>
      <c r="D297">
        <v>76</v>
      </c>
      <c r="E297">
        <v>20</v>
      </c>
      <c r="F297">
        <v>2</v>
      </c>
      <c r="G297" s="10">
        <f t="shared" si="10"/>
        <v>4.0983606557377046</v>
      </c>
    </row>
    <row r="298" spans="1:7">
      <c r="A298">
        <f t="shared" si="9"/>
        <v>8</v>
      </c>
      <c r="B298">
        <v>80201</v>
      </c>
      <c r="C298">
        <v>21881</v>
      </c>
      <c r="D298">
        <v>2201</v>
      </c>
      <c r="E298">
        <v>301</v>
      </c>
      <c r="F298">
        <v>42</v>
      </c>
      <c r="G298" s="10">
        <f t="shared" si="10"/>
        <v>1.3756226863488872</v>
      </c>
    </row>
    <row r="299" spans="1:7">
      <c r="A299">
        <f t="shared" si="9"/>
        <v>8</v>
      </c>
      <c r="B299">
        <v>80202</v>
      </c>
      <c r="C299">
        <v>9037</v>
      </c>
      <c r="D299">
        <v>699</v>
      </c>
      <c r="E299">
        <v>74</v>
      </c>
      <c r="F299">
        <v>13</v>
      </c>
      <c r="G299" s="10">
        <f t="shared" si="10"/>
        <v>0.81885581498284832</v>
      </c>
    </row>
    <row r="300" spans="1:7">
      <c r="A300">
        <f t="shared" si="9"/>
        <v>8</v>
      </c>
      <c r="B300">
        <v>80301</v>
      </c>
      <c r="C300">
        <v>2157</v>
      </c>
      <c r="D300">
        <v>278</v>
      </c>
      <c r="E300">
        <v>73</v>
      </c>
      <c r="F300">
        <v>19</v>
      </c>
      <c r="G300" s="10">
        <f t="shared" si="10"/>
        <v>3.3843300880853038</v>
      </c>
    </row>
    <row r="301" spans="1:7">
      <c r="A301">
        <f t="shared" si="9"/>
        <v>8</v>
      </c>
      <c r="B301">
        <v>80302</v>
      </c>
      <c r="C301">
        <v>8319</v>
      </c>
      <c r="D301">
        <v>1365</v>
      </c>
      <c r="E301">
        <v>303</v>
      </c>
      <c r="F301">
        <v>41</v>
      </c>
      <c r="G301" s="10">
        <f t="shared" si="10"/>
        <v>3.6422646952758746</v>
      </c>
    </row>
    <row r="302" spans="1:7">
      <c r="A302">
        <f t="shared" si="9"/>
        <v>8</v>
      </c>
      <c r="B302">
        <v>80303</v>
      </c>
      <c r="C302">
        <v>1821</v>
      </c>
      <c r="D302">
        <v>318</v>
      </c>
      <c r="E302">
        <v>50</v>
      </c>
      <c r="F302">
        <v>0</v>
      </c>
      <c r="G302" s="10">
        <f t="shared" si="10"/>
        <v>2.745744096650192</v>
      </c>
    </row>
    <row r="303" spans="1:7">
      <c r="A303">
        <f t="shared" si="9"/>
        <v>8</v>
      </c>
      <c r="B303">
        <v>80304</v>
      </c>
      <c r="C303">
        <v>5492</v>
      </c>
      <c r="D303">
        <v>1225</v>
      </c>
      <c r="E303">
        <v>276</v>
      </c>
      <c r="F303">
        <v>41</v>
      </c>
      <c r="G303" s="10">
        <f t="shared" si="10"/>
        <v>5.025491624180626</v>
      </c>
    </row>
    <row r="304" spans="1:7">
      <c r="A304">
        <f t="shared" si="9"/>
        <v>8</v>
      </c>
      <c r="B304">
        <v>80401</v>
      </c>
      <c r="C304">
        <v>3206</v>
      </c>
      <c r="D304">
        <v>309</v>
      </c>
      <c r="E304">
        <v>78</v>
      </c>
      <c r="F304">
        <v>17</v>
      </c>
      <c r="G304" s="10">
        <f t="shared" si="10"/>
        <v>2.432938240798503</v>
      </c>
    </row>
    <row r="305" spans="1:7">
      <c r="A305">
        <f t="shared" si="9"/>
        <v>8</v>
      </c>
      <c r="B305">
        <v>80402</v>
      </c>
      <c r="C305">
        <v>175</v>
      </c>
      <c r="D305">
        <v>17</v>
      </c>
      <c r="E305">
        <v>0</v>
      </c>
      <c r="F305">
        <v>0</v>
      </c>
      <c r="G305" s="10">
        <f t="shared" si="10"/>
        <v>0</v>
      </c>
    </row>
    <row r="306" spans="1:7">
      <c r="A306">
        <f t="shared" si="9"/>
        <v>8</v>
      </c>
      <c r="B306">
        <v>80501</v>
      </c>
      <c r="C306">
        <v>3497</v>
      </c>
      <c r="D306">
        <v>617</v>
      </c>
      <c r="E306">
        <v>120</v>
      </c>
      <c r="F306">
        <v>20</v>
      </c>
      <c r="G306" s="10">
        <f t="shared" si="10"/>
        <v>3.4315127251930226</v>
      </c>
    </row>
    <row r="307" spans="1:7">
      <c r="A307">
        <f t="shared" si="9"/>
        <v>8</v>
      </c>
      <c r="B307">
        <v>80601</v>
      </c>
      <c r="C307">
        <v>331</v>
      </c>
      <c r="D307">
        <v>82</v>
      </c>
      <c r="E307">
        <v>25</v>
      </c>
      <c r="F307">
        <v>12</v>
      </c>
      <c r="G307" s="10">
        <f t="shared" si="10"/>
        <v>7.5528700906344408</v>
      </c>
    </row>
    <row r="308" spans="1:7">
      <c r="A308">
        <f t="shared" si="9"/>
        <v>8</v>
      </c>
      <c r="B308">
        <v>80602</v>
      </c>
      <c r="C308">
        <v>1258</v>
      </c>
      <c r="D308">
        <v>282</v>
      </c>
      <c r="E308">
        <v>110</v>
      </c>
      <c r="F308">
        <v>47</v>
      </c>
      <c r="G308" s="10">
        <f t="shared" si="10"/>
        <v>8.7440381558028619</v>
      </c>
    </row>
    <row r="309" spans="1:7">
      <c r="A309">
        <f t="shared" si="9"/>
        <v>8</v>
      </c>
      <c r="B309">
        <v>80701</v>
      </c>
      <c r="C309">
        <v>1149</v>
      </c>
      <c r="D309">
        <v>124</v>
      </c>
      <c r="E309">
        <v>17</v>
      </c>
      <c r="F309">
        <v>2</v>
      </c>
      <c r="G309" s="10">
        <f t="shared" si="10"/>
        <v>1.4795474325500435</v>
      </c>
    </row>
    <row r="310" spans="1:7">
      <c r="A310">
        <f t="shared" si="9"/>
        <v>8</v>
      </c>
      <c r="B310">
        <v>80702</v>
      </c>
      <c r="C310">
        <v>1019</v>
      </c>
      <c r="D310">
        <v>110</v>
      </c>
      <c r="E310">
        <v>18</v>
      </c>
      <c r="F310">
        <v>0</v>
      </c>
      <c r="G310" s="10">
        <f t="shared" si="10"/>
        <v>1.7664376840039253</v>
      </c>
    </row>
    <row r="311" spans="1:7">
      <c r="A311">
        <f t="shared" si="9"/>
        <v>8</v>
      </c>
      <c r="B311">
        <v>80801</v>
      </c>
      <c r="C311">
        <v>2874</v>
      </c>
      <c r="D311">
        <v>267</v>
      </c>
      <c r="E311">
        <v>34</v>
      </c>
      <c r="F311">
        <v>4</v>
      </c>
      <c r="G311" s="10">
        <f t="shared" si="10"/>
        <v>1.1830201809324983</v>
      </c>
    </row>
    <row r="312" spans="1:7">
      <c r="A312">
        <f t="shared" si="9"/>
        <v>8</v>
      </c>
      <c r="B312">
        <v>80802</v>
      </c>
      <c r="C312">
        <v>1117</v>
      </c>
      <c r="D312">
        <v>170</v>
      </c>
      <c r="E312">
        <v>29</v>
      </c>
      <c r="F312">
        <v>3</v>
      </c>
      <c r="G312" s="10">
        <f t="shared" si="10"/>
        <v>2.5962399283795881</v>
      </c>
    </row>
    <row r="313" spans="1:7">
      <c r="A313">
        <f t="shared" si="9"/>
        <v>8</v>
      </c>
      <c r="B313">
        <v>80803</v>
      </c>
      <c r="C313">
        <v>997</v>
      </c>
      <c r="D313">
        <v>99</v>
      </c>
      <c r="E313">
        <v>7</v>
      </c>
      <c r="F313">
        <v>0</v>
      </c>
      <c r="G313" s="10">
        <f t="shared" si="10"/>
        <v>0.70210631895687059</v>
      </c>
    </row>
    <row r="314" spans="1:7">
      <c r="A314">
        <f t="shared" si="9"/>
        <v>9</v>
      </c>
      <c r="B314">
        <v>90101</v>
      </c>
      <c r="C314">
        <v>14926</v>
      </c>
      <c r="D314">
        <v>1561</v>
      </c>
      <c r="E314">
        <v>247</v>
      </c>
      <c r="F314">
        <v>49</v>
      </c>
      <c r="G314" s="10">
        <f t="shared" si="10"/>
        <v>1.654830497119121</v>
      </c>
    </row>
    <row r="315" spans="1:7">
      <c r="A315">
        <f t="shared" si="9"/>
        <v>9</v>
      </c>
      <c r="B315">
        <v>90102</v>
      </c>
      <c r="C315">
        <v>1304</v>
      </c>
      <c r="D315">
        <v>208</v>
      </c>
      <c r="E315">
        <v>29</v>
      </c>
      <c r="F315">
        <v>2</v>
      </c>
      <c r="G315" s="10">
        <f t="shared" si="10"/>
        <v>2.223926380368098</v>
      </c>
    </row>
    <row r="316" spans="1:7">
      <c r="A316">
        <f t="shared" si="9"/>
        <v>9</v>
      </c>
      <c r="B316">
        <v>90104</v>
      </c>
      <c r="C316">
        <v>421</v>
      </c>
      <c r="D316">
        <v>69</v>
      </c>
      <c r="E316">
        <v>17</v>
      </c>
      <c r="F316">
        <v>2</v>
      </c>
      <c r="G316" s="10">
        <f t="shared" si="10"/>
        <v>4.0380047505938244</v>
      </c>
    </row>
    <row r="317" spans="1:7">
      <c r="A317">
        <f t="shared" si="9"/>
        <v>9</v>
      </c>
      <c r="B317">
        <v>90201</v>
      </c>
      <c r="C317">
        <v>1153</v>
      </c>
      <c r="D317">
        <v>191</v>
      </c>
      <c r="E317">
        <v>23</v>
      </c>
      <c r="F317">
        <v>2</v>
      </c>
      <c r="G317" s="10">
        <f t="shared" si="10"/>
        <v>1.99479618386817</v>
      </c>
    </row>
    <row r="318" spans="1:7">
      <c r="A318">
        <f t="shared" si="9"/>
        <v>9</v>
      </c>
      <c r="B318">
        <v>90202</v>
      </c>
      <c r="C318">
        <v>122</v>
      </c>
      <c r="D318">
        <v>16</v>
      </c>
      <c r="E318">
        <v>7</v>
      </c>
      <c r="F318">
        <v>0</v>
      </c>
      <c r="G318" s="10">
        <f t="shared" si="10"/>
        <v>5.7377049180327866</v>
      </c>
    </row>
    <row r="319" spans="1:7">
      <c r="A319">
        <f t="shared" si="9"/>
        <v>9</v>
      </c>
      <c r="B319">
        <v>90203</v>
      </c>
      <c r="C319">
        <v>964</v>
      </c>
      <c r="D319">
        <v>207</v>
      </c>
      <c r="E319">
        <v>22</v>
      </c>
      <c r="F319">
        <v>1</v>
      </c>
      <c r="G319" s="10">
        <f t="shared" si="10"/>
        <v>2.2821576763485476</v>
      </c>
    </row>
    <row r="320" spans="1:7">
      <c r="A320">
        <f t="shared" si="9"/>
        <v>9</v>
      </c>
      <c r="B320">
        <v>90302</v>
      </c>
      <c r="C320">
        <v>787</v>
      </c>
      <c r="D320">
        <v>126</v>
      </c>
      <c r="E320">
        <v>13</v>
      </c>
      <c r="F320">
        <v>3</v>
      </c>
      <c r="G320" s="10">
        <f t="shared" si="10"/>
        <v>1.6518424396442186</v>
      </c>
    </row>
    <row r="321" spans="1:7">
      <c r="A321">
        <f t="shared" si="9"/>
        <v>9</v>
      </c>
      <c r="B321">
        <v>90303</v>
      </c>
      <c r="C321">
        <v>1027</v>
      </c>
      <c r="D321">
        <v>143</v>
      </c>
      <c r="E321">
        <v>11</v>
      </c>
      <c r="F321">
        <v>6</v>
      </c>
      <c r="G321" s="10">
        <f t="shared" si="10"/>
        <v>1.071080817916261</v>
      </c>
    </row>
    <row r="322" spans="1:7">
      <c r="A322">
        <f t="shared" si="9"/>
        <v>9</v>
      </c>
      <c r="B322">
        <v>90401</v>
      </c>
      <c r="C322">
        <v>483</v>
      </c>
      <c r="D322">
        <v>136</v>
      </c>
      <c r="E322">
        <v>34</v>
      </c>
      <c r="F322">
        <v>8</v>
      </c>
      <c r="G322" s="10">
        <f t="shared" si="10"/>
        <v>7.0393374741200825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69F-11B8-4226-BE73-76CBC498E52C}">
  <sheetPr codeName="Hoja3"/>
  <dimension ref="A1:D344"/>
  <sheetViews>
    <sheetView topLeftCell="A318" workbookViewId="0">
      <selection activeCell="F334" sqref="F334"/>
    </sheetView>
  </sheetViews>
  <sheetFormatPr baseColWidth="10" defaultRowHeight="14.4"/>
  <sheetData>
    <row r="1" spans="1:4" ht="15">
      <c r="A1" s="7" t="s">
        <v>5</v>
      </c>
      <c r="B1" s="7" t="s">
        <v>6</v>
      </c>
      <c r="C1" s="2" t="s">
        <v>362</v>
      </c>
      <c r="D1" s="2" t="s">
        <v>363</v>
      </c>
    </row>
    <row r="2" spans="1:4">
      <c r="A2" s="3">
        <v>10101</v>
      </c>
      <c r="B2" s="4" t="s">
        <v>7</v>
      </c>
      <c r="C2" s="14">
        <f>IFERROR(VLOOKUP(A2,datos_2016!$B$1:$G$330,6,FALSE),"")</f>
        <v>3.5945917867584858</v>
      </c>
      <c r="D2" s="14">
        <f>IFERROR(VLOOKUP(A2,datos_2023!$B$1:$G$322,6,FALSE),"")</f>
        <v>5.3799689474020038</v>
      </c>
    </row>
    <row r="3" spans="1:4">
      <c r="A3" s="5">
        <v>10102</v>
      </c>
      <c r="B3" s="6" t="s">
        <v>8</v>
      </c>
      <c r="C3" s="14">
        <f>IFERROR(VLOOKUP(A3,datos_2016!$B$1:$G$330,6,FALSE),"")</f>
        <v>11.469387755102041</v>
      </c>
      <c r="D3" s="14">
        <f>IFERROR(VLOOKUP(A3,datos_2023!$B$1:$G$322,6,FALSE),"")</f>
        <v>16.474618498909997</v>
      </c>
    </row>
    <row r="4" spans="1:4">
      <c r="A4" s="3">
        <v>10103</v>
      </c>
      <c r="B4" s="4" t="s">
        <v>9</v>
      </c>
      <c r="C4" s="14">
        <f>IFERROR(VLOOKUP(A4,datos_2016!$B$1:$G$330,6,FALSE),"")</f>
        <v>14.946236559139784</v>
      </c>
      <c r="D4" s="14">
        <f>IFERROR(VLOOKUP(A4,datos_2023!$B$1:$G$322,6,FALSE),"")</f>
        <v>15.456329735034348</v>
      </c>
    </row>
    <row r="5" spans="1:4">
      <c r="A5" s="5">
        <v>10201</v>
      </c>
      <c r="B5" s="6" t="s">
        <v>10</v>
      </c>
      <c r="C5" s="14">
        <f>IFERROR(VLOOKUP(A5,datos_2016!$B$1:$G$330,6,FALSE),"")</f>
        <v>10.771276595744681</v>
      </c>
      <c r="D5" s="14">
        <f>IFERROR(VLOOKUP(A5,datos_2023!$B$1:$G$322,6,FALSE),"")</f>
        <v>17.747683535281539</v>
      </c>
    </row>
    <row r="6" spans="1:4">
      <c r="A6" s="3">
        <v>10202</v>
      </c>
      <c r="B6" s="4" t="s">
        <v>11</v>
      </c>
      <c r="C6" s="14">
        <f>IFERROR(VLOOKUP(A6,datos_2016!$B$1:$G$330,6,FALSE),"")</f>
        <v>12.298136645962733</v>
      </c>
      <c r="D6" s="14">
        <f>IFERROR(VLOOKUP(A6,datos_2023!$B$1:$G$322,6,FALSE),"")</f>
        <v>16.639141205615193</v>
      </c>
    </row>
    <row r="7" spans="1:4">
      <c r="A7" s="5">
        <v>10301</v>
      </c>
      <c r="B7" s="6" t="s">
        <v>12</v>
      </c>
      <c r="C7" s="14">
        <f>IFERROR(VLOOKUP(A7,datos_2016!$B$1:$G$330,6,FALSE),"")</f>
        <v>13.682277318640955</v>
      </c>
      <c r="D7" s="14" t="str">
        <f>IFERROR(VLOOKUP(A7,datos_2023!$B$1:$G$322,6,FALSE),"")</f>
        <v/>
      </c>
    </row>
    <row r="8" spans="1:4">
      <c r="A8" s="3">
        <v>10302</v>
      </c>
      <c r="B8" s="4" t="s">
        <v>13</v>
      </c>
      <c r="C8" s="14">
        <f>IFERROR(VLOOKUP(A8,datos_2016!$B$1:$G$330,6,FALSE),"")</f>
        <v>8.120868744098205</v>
      </c>
      <c r="D8" s="14">
        <f>IFERROR(VLOOKUP(A8,datos_2023!$B$1:$G$322,6,FALSE),"")</f>
        <v>8.569454042847271</v>
      </c>
    </row>
    <row r="9" spans="1:4">
      <c r="A9" s="5">
        <v>10303</v>
      </c>
      <c r="B9" s="6" t="s">
        <v>14</v>
      </c>
      <c r="C9" s="14">
        <f>IFERROR(VLOOKUP(A9,datos_2016!$B$1:$G$330,6,FALSE),"")</f>
        <v>9.453125</v>
      </c>
      <c r="D9" s="14">
        <f>IFERROR(VLOOKUP(A9,datos_2023!$B$1:$G$322,6,FALSE),"")</f>
        <v>11.037527593818984</v>
      </c>
    </row>
    <row r="10" spans="1:4">
      <c r="A10" s="3">
        <v>10304</v>
      </c>
      <c r="B10" s="4" t="s">
        <v>15</v>
      </c>
      <c r="C10" s="14">
        <f>IFERROR(VLOOKUP(A10,datos_2016!$B$1:$G$330,6,FALSE),"")</f>
        <v>10.603715170278639</v>
      </c>
      <c r="D10" s="14">
        <f>IFERROR(VLOOKUP(A10,datos_2023!$B$1:$G$322,6,FALSE),"")</f>
        <v>10.228058051140291</v>
      </c>
    </row>
    <row r="11" spans="1:4">
      <c r="A11" s="5">
        <v>10401</v>
      </c>
      <c r="B11" s="6" t="s">
        <v>16</v>
      </c>
      <c r="C11" s="14">
        <f>IFERROR(VLOOKUP(A11,datos_2016!$B$1:$G$330,6,FALSE),"")</f>
        <v>8.9014084507042259</v>
      </c>
      <c r="D11" s="14">
        <f>IFERROR(VLOOKUP(A11,datos_2023!$B$1:$G$322,6,FALSE),"")</f>
        <v>10.841546626231993</v>
      </c>
    </row>
    <row r="12" spans="1:4">
      <c r="A12" s="3">
        <v>10402</v>
      </c>
      <c r="B12" s="4" t="s">
        <v>17</v>
      </c>
      <c r="C12" s="14">
        <f>IFERROR(VLOOKUP(A12,datos_2016!$B$1:$G$330,6,FALSE),"")</f>
        <v>8.5910652920962196</v>
      </c>
      <c r="D12" s="14">
        <f>IFERROR(VLOOKUP(A12,datos_2023!$B$1:$G$322,6,FALSE),"")</f>
        <v>13.815142576204524</v>
      </c>
    </row>
    <row r="13" spans="1:4">
      <c r="A13" s="5">
        <v>10403</v>
      </c>
      <c r="B13" s="6" t="s">
        <v>18</v>
      </c>
      <c r="C13" s="14">
        <f>IFERROR(VLOOKUP(A13,datos_2016!$B$1:$G$330,6,FALSE),"")</f>
        <v>5.0125313283208017</v>
      </c>
      <c r="D13" s="14">
        <f>IFERROR(VLOOKUP(A13,datos_2023!$B$1:$G$322,6,FALSE),"")</f>
        <v>14.579319203596659</v>
      </c>
    </row>
    <row r="14" spans="1:4">
      <c r="A14" s="3">
        <v>10404</v>
      </c>
      <c r="B14" s="4" t="s">
        <v>19</v>
      </c>
      <c r="C14" s="14">
        <f>IFERROR(VLOOKUP(A14,datos_2016!$B$1:$G$330,6,FALSE),"")</f>
        <v>10</v>
      </c>
      <c r="D14" s="14">
        <f>IFERROR(VLOOKUP(A14,datos_2023!$B$1:$G$322,6,FALSE),"")</f>
        <v>11.666666666666666</v>
      </c>
    </row>
    <row r="15" spans="1:4">
      <c r="A15" s="5">
        <v>10405</v>
      </c>
      <c r="B15" s="6" t="s">
        <v>20</v>
      </c>
      <c r="C15" s="14">
        <f>IFERROR(VLOOKUP(A15,datos_2016!$B$1:$G$330,6,FALSE),"")</f>
        <v>20.346820809248555</v>
      </c>
      <c r="D15" s="14">
        <f>IFERROR(VLOOKUP(A15,datos_2023!$B$1:$G$322,6,FALSE),"")</f>
        <v>12.475247524752476</v>
      </c>
    </row>
    <row r="16" spans="1:4">
      <c r="A16" s="3">
        <v>10501</v>
      </c>
      <c r="B16" s="4" t="s">
        <v>21</v>
      </c>
      <c r="C16" s="14">
        <f>IFERROR(VLOOKUP(A16,datos_2016!$B$1:$G$330,6,FALSE),"")</f>
        <v>4.2787000233808747</v>
      </c>
      <c r="D16" s="14">
        <f>IFERROR(VLOOKUP(A16,datos_2023!$B$1:$G$322,6,FALSE),"")</f>
        <v>7.4092088197146566</v>
      </c>
    </row>
    <row r="17" spans="1:4">
      <c r="A17" s="5">
        <v>10502</v>
      </c>
      <c r="B17" s="6" t="s">
        <v>22</v>
      </c>
      <c r="C17" s="14">
        <f>IFERROR(VLOOKUP(A17,datos_2016!$B$1:$G$330,6,FALSE),"")</f>
        <v>3.1968031968031969</v>
      </c>
      <c r="D17" s="14">
        <f>IFERROR(VLOOKUP(A17,datos_2023!$B$1:$G$322,6,FALSE),"")</f>
        <v>7.3585941790225151</v>
      </c>
    </row>
    <row r="18" spans="1:4">
      <c r="A18" s="3">
        <v>10601</v>
      </c>
      <c r="B18" s="4" t="s">
        <v>23</v>
      </c>
      <c r="C18" s="14">
        <f>IFERROR(VLOOKUP(A18,datos_2016!$B$1:$G$330,6,FALSE),"")</f>
        <v>8.7099424815119146</v>
      </c>
      <c r="D18" s="14">
        <f>IFERROR(VLOOKUP(A18,datos_2023!$B$1:$G$322,6,FALSE),"")</f>
        <v>14.701915295387105</v>
      </c>
    </row>
    <row r="19" spans="1:4">
      <c r="A19" s="5">
        <v>10602</v>
      </c>
      <c r="B19" s="6" t="s">
        <v>24</v>
      </c>
      <c r="C19" s="14">
        <f>IFERROR(VLOOKUP(A19,datos_2016!$B$1:$G$330,6,FALSE),"")</f>
        <v>11.366245694603904</v>
      </c>
      <c r="D19" s="14">
        <f>IFERROR(VLOOKUP(A19,datos_2023!$B$1:$G$322,6,FALSE),"")</f>
        <v>15.853658536585366</v>
      </c>
    </row>
    <row r="20" spans="1:4">
      <c r="A20" s="3">
        <v>10701</v>
      </c>
      <c r="B20" s="4" t="s">
        <v>25</v>
      </c>
      <c r="C20" s="14">
        <f>IFERROR(VLOOKUP(A20,datos_2016!$B$1:$G$330,6,FALSE),"")</f>
        <v>10.78129375525063</v>
      </c>
      <c r="D20" s="14">
        <f>IFERROR(VLOOKUP(A20,datos_2023!$B$1:$G$322,6,FALSE),"")</f>
        <v>16.079346557759628</v>
      </c>
    </row>
    <row r="21" spans="1:4">
      <c r="A21" s="5">
        <v>10702</v>
      </c>
      <c r="B21" s="6" t="s">
        <v>26</v>
      </c>
      <c r="C21" s="14">
        <f>IFERROR(VLOOKUP(A21,datos_2016!$B$1:$G$330,6,FALSE),"")</f>
        <v>17.571466037241017</v>
      </c>
      <c r="D21" s="14">
        <f>IFERROR(VLOOKUP(A21,datos_2023!$B$1:$G$322,6,FALSE),"")</f>
        <v>23.001976842699801</v>
      </c>
    </row>
    <row r="22" spans="1:4">
      <c r="A22" s="3">
        <v>10703</v>
      </c>
      <c r="B22" s="4" t="s">
        <v>27</v>
      </c>
      <c r="C22" s="14">
        <f>IFERROR(VLOOKUP(A22,datos_2016!$B$1:$G$330,6,FALSE),"")</f>
        <v>7.6761303890641432</v>
      </c>
      <c r="D22" s="14">
        <f>IFERROR(VLOOKUP(A22,datos_2023!$B$1:$G$322,6,FALSE),"")</f>
        <v>12.707581227436823</v>
      </c>
    </row>
    <row r="23" spans="1:4">
      <c r="A23" s="5">
        <v>10704</v>
      </c>
      <c r="B23" s="6" t="s">
        <v>28</v>
      </c>
      <c r="C23" s="14">
        <f>IFERROR(VLOOKUP(A23,datos_2016!$B$1:$G$330,6,FALSE),"")</f>
        <v>9.4226579520697165</v>
      </c>
      <c r="D23" s="14">
        <f>IFERROR(VLOOKUP(A23,datos_2023!$B$1:$G$322,6,FALSE),"")</f>
        <v>13.523956723338486</v>
      </c>
    </row>
    <row r="24" spans="1:4">
      <c r="A24" s="3">
        <v>10801</v>
      </c>
      <c r="B24" s="4" t="s">
        <v>29</v>
      </c>
      <c r="C24" s="14">
        <f>IFERROR(VLOOKUP(A24,datos_2016!$B$1:$G$330,6,FALSE),"")</f>
        <v>10.931899641577061</v>
      </c>
      <c r="D24" s="14">
        <f>IFERROR(VLOOKUP(A24,datos_2023!$B$1:$G$322,6,FALSE),"")</f>
        <v>15.415384615384616</v>
      </c>
    </row>
    <row r="25" spans="1:4">
      <c r="A25" s="5">
        <v>10901</v>
      </c>
      <c r="B25" s="6" t="s">
        <v>30</v>
      </c>
      <c r="C25" s="14">
        <f>IFERROR(VLOOKUP(A25,datos_2016!$B$1:$G$330,6,FALSE),"")</f>
        <v>11.878787878787879</v>
      </c>
      <c r="D25" s="14">
        <f>IFERROR(VLOOKUP(A25,datos_2023!$B$1:$G$322,6,FALSE),"")</f>
        <v>18.678160919540229</v>
      </c>
    </row>
    <row r="26" spans="1:4">
      <c r="A26" s="3">
        <v>10902</v>
      </c>
      <c r="B26" s="4" t="s">
        <v>31</v>
      </c>
      <c r="C26" s="14">
        <f>IFERROR(VLOOKUP(A26,datos_2016!$B$1:$G$330,6,FALSE),"")</f>
        <v>8.6715079026057236</v>
      </c>
      <c r="D26" s="14">
        <f>IFERROR(VLOOKUP(A26,datos_2023!$B$1:$G$322,6,FALSE),"")</f>
        <v>10.847217298830202</v>
      </c>
    </row>
    <row r="27" spans="1:4">
      <c r="A27" s="5">
        <v>10903</v>
      </c>
      <c r="B27" s="6" t="s">
        <v>32</v>
      </c>
      <c r="C27" s="14">
        <f>IFERROR(VLOOKUP(A27,datos_2016!$B$1:$G$330,6,FALSE),"")</f>
        <v>11.180904522613066</v>
      </c>
      <c r="D27" s="14">
        <f>IFERROR(VLOOKUP(A27,datos_2023!$B$1:$G$322,6,FALSE),"")</f>
        <v>16.871165644171779</v>
      </c>
    </row>
    <row r="28" spans="1:4">
      <c r="A28" s="3">
        <v>11001</v>
      </c>
      <c r="B28" s="4" t="s">
        <v>33</v>
      </c>
      <c r="C28" s="14">
        <f>IFERROR(VLOOKUP(A28,datos_2016!$B$1:$G$330,6,FALSE),"")</f>
        <v>1.6521739130434783</v>
      </c>
      <c r="D28" s="14">
        <f>IFERROR(VLOOKUP(A28,datos_2023!$B$1:$G$322,6,FALSE),"")</f>
        <v>5.6703507928880343</v>
      </c>
    </row>
    <row r="29" spans="1:4">
      <c r="A29" s="5">
        <v>11002</v>
      </c>
      <c r="B29" s="6" t="s">
        <v>34</v>
      </c>
      <c r="C29" s="14">
        <f>IFERROR(VLOOKUP(A29,datos_2016!$B$1:$G$330,6,FALSE),"")</f>
        <v>7.6045627376425857</v>
      </c>
      <c r="D29" s="14">
        <f>IFERROR(VLOOKUP(A29,datos_2023!$B$1:$G$322,6,FALSE),"")</f>
        <v>14.285714285714286</v>
      </c>
    </row>
    <row r="30" spans="1:4">
      <c r="A30" s="3">
        <v>11003</v>
      </c>
      <c r="B30" s="4" t="s">
        <v>35</v>
      </c>
      <c r="C30" s="14">
        <f>IFERROR(VLOOKUP(A30,datos_2016!$B$1:$G$330,6,FALSE),"")</f>
        <v>6.5554231227651965</v>
      </c>
      <c r="D30" s="14">
        <f>IFERROR(VLOOKUP(A30,datos_2023!$B$1:$G$322,6,FALSE),"")</f>
        <v>7</v>
      </c>
    </row>
    <row r="31" spans="1:4">
      <c r="A31" s="5">
        <v>20101</v>
      </c>
      <c r="B31" s="6" t="s">
        <v>36</v>
      </c>
      <c r="C31" s="14">
        <f>IFERROR(VLOOKUP(A31,datos_2016!$B$1:$G$330,6,FALSE),"")</f>
        <v>4.398383615961194</v>
      </c>
      <c r="D31" s="14">
        <f>IFERROR(VLOOKUP(A31,datos_2023!$B$1:$G$322,6,FALSE),"")</f>
        <v>5.9554362661546802</v>
      </c>
    </row>
    <row r="32" spans="1:4">
      <c r="A32" s="3">
        <v>20102</v>
      </c>
      <c r="B32" s="4" t="s">
        <v>37</v>
      </c>
      <c r="C32" s="14">
        <f>IFERROR(VLOOKUP(A32,datos_2016!$B$1:$G$330,6,FALSE),"")</f>
        <v>8.4018022793532996</v>
      </c>
      <c r="D32" s="14">
        <f>IFERROR(VLOOKUP(A32,datos_2023!$B$1:$G$322,6,FALSE),"")</f>
        <v>9.8679638637943015</v>
      </c>
    </row>
    <row r="33" spans="1:4">
      <c r="A33" s="5">
        <v>20103</v>
      </c>
      <c r="B33" s="6" t="s">
        <v>38</v>
      </c>
      <c r="C33" s="14">
        <f>IFERROR(VLOOKUP(A33,datos_2016!$B$1:$G$330,6,FALSE),"")</f>
        <v>10.552423900789178</v>
      </c>
      <c r="D33" s="14">
        <f>IFERROR(VLOOKUP(A33,datos_2023!$B$1:$G$322,6,FALSE),"")</f>
        <v>11.714245535086485</v>
      </c>
    </row>
    <row r="34" spans="1:4">
      <c r="A34" s="3">
        <v>20104</v>
      </c>
      <c r="B34" s="4" t="s">
        <v>39</v>
      </c>
      <c r="C34" s="14">
        <f>IFERROR(VLOOKUP(A34,datos_2016!$B$1:$G$330,6,FALSE),"")</f>
        <v>13.54872329338197</v>
      </c>
      <c r="D34" s="14">
        <f>IFERROR(VLOOKUP(A34,datos_2023!$B$1:$G$322,6,FALSE),"")</f>
        <v>16.929133858267715</v>
      </c>
    </row>
    <row r="35" spans="1:4">
      <c r="A35" s="5">
        <v>20105</v>
      </c>
      <c r="B35" s="6" t="s">
        <v>40</v>
      </c>
      <c r="C35" s="14">
        <f>IFERROR(VLOOKUP(A35,datos_2016!$B$1:$G$330,6,FALSE),"")</f>
        <v>7.7712815804350219</v>
      </c>
      <c r="D35" s="14">
        <f>IFERROR(VLOOKUP(A35,datos_2023!$B$1:$G$322,6,FALSE),"")</f>
        <v>7.6143478893976413</v>
      </c>
    </row>
    <row r="36" spans="1:4">
      <c r="A36" s="3">
        <v>20201</v>
      </c>
      <c r="B36" s="4" t="s">
        <v>41</v>
      </c>
      <c r="C36" s="14">
        <f>IFERROR(VLOOKUP(A36,datos_2016!$B$1:$G$330,6,FALSE),"")</f>
        <v>9.2137260199945956</v>
      </c>
      <c r="D36" s="14">
        <f>IFERROR(VLOOKUP(A36,datos_2023!$B$1:$G$322,6,FALSE),"")</f>
        <v>13.617116113215957</v>
      </c>
    </row>
    <row r="37" spans="1:4">
      <c r="A37" s="5">
        <v>20202</v>
      </c>
      <c r="B37" s="6" t="s">
        <v>42</v>
      </c>
      <c r="C37" s="14">
        <f>IFERROR(VLOOKUP(A37,datos_2016!$B$1:$G$330,6,FALSE),"")</f>
        <v>21.349009900990097</v>
      </c>
      <c r="D37" s="14">
        <f>IFERROR(VLOOKUP(A37,datos_2023!$B$1:$G$322,6,FALSE),"")</f>
        <v>16.816009557945041</v>
      </c>
    </row>
    <row r="38" spans="1:4">
      <c r="A38" s="3">
        <v>20203</v>
      </c>
      <c r="B38" s="4" t="s">
        <v>43</v>
      </c>
      <c r="C38" s="14">
        <f>IFERROR(VLOOKUP(A38,datos_2016!$B$1:$G$330,6,FALSE),"")</f>
        <v>13.340807174887892</v>
      </c>
      <c r="D38" s="14">
        <f>IFERROR(VLOOKUP(A38,datos_2023!$B$1:$G$322,6,FALSE),"")</f>
        <v>17.420814479638008</v>
      </c>
    </row>
    <row r="39" spans="1:4">
      <c r="A39" s="5">
        <v>20204</v>
      </c>
      <c r="B39" s="6" t="s">
        <v>44</v>
      </c>
      <c r="C39" s="14">
        <f>IFERROR(VLOOKUP(A39,datos_2016!$B$1:$G$330,6,FALSE),"")</f>
        <v>18.160831088880339</v>
      </c>
      <c r="D39" s="14">
        <f>IFERROR(VLOOKUP(A39,datos_2023!$B$1:$G$322,6,FALSE),"")</f>
        <v>16.977696859353664</v>
      </c>
    </row>
    <row r="40" spans="1:4">
      <c r="A40" s="3">
        <v>20205</v>
      </c>
      <c r="B40" s="4" t="s">
        <v>45</v>
      </c>
      <c r="C40" s="14">
        <f>IFERROR(VLOOKUP(A40,datos_2016!$B$1:$G$330,6,FALSE),"")</f>
        <v>18.974175035868004</v>
      </c>
      <c r="D40" s="14">
        <f>IFERROR(VLOOKUP(A40,datos_2023!$B$1:$G$322,6,FALSE),"")</f>
        <v>23.816513761467888</v>
      </c>
    </row>
    <row r="41" spans="1:4">
      <c r="A41" s="5">
        <v>20206</v>
      </c>
      <c r="B41" s="6" t="s">
        <v>46</v>
      </c>
      <c r="C41" s="14">
        <f>IFERROR(VLOOKUP(A41,datos_2016!$B$1:$G$330,6,FALSE),"")</f>
        <v>20.17067494181536</v>
      </c>
      <c r="D41" s="14">
        <f>IFERROR(VLOOKUP(A41,datos_2023!$B$1:$G$322,6,FALSE),"")</f>
        <v>22.318339100346019</v>
      </c>
    </row>
    <row r="42" spans="1:4">
      <c r="A42" s="3">
        <v>20301</v>
      </c>
      <c r="B42" s="4" t="s">
        <v>47</v>
      </c>
      <c r="C42" s="14">
        <f>IFERROR(VLOOKUP(A42,datos_2016!$B$1:$G$330,6,FALSE),"")</f>
        <v>26.058743169398905</v>
      </c>
      <c r="D42" s="14">
        <f>IFERROR(VLOOKUP(A42,datos_2023!$B$1:$G$322,6,FALSE),"")</f>
        <v>26.763559021623539</v>
      </c>
    </row>
    <row r="43" spans="1:4">
      <c r="A43" s="5">
        <v>20302</v>
      </c>
      <c r="B43" s="6" t="s">
        <v>48</v>
      </c>
      <c r="C43" s="14">
        <f>IFERROR(VLOOKUP(A43,datos_2016!$B$1:$G$330,6,FALSE),"")</f>
        <v>27.28358208955224</v>
      </c>
      <c r="D43" s="14">
        <f>IFERROR(VLOOKUP(A43,datos_2023!$B$1:$G$322,6,FALSE),"")</f>
        <v>30.622154779969652</v>
      </c>
    </row>
    <row r="44" spans="1:4">
      <c r="A44" s="3">
        <v>20303</v>
      </c>
      <c r="B44" s="4" t="s">
        <v>49</v>
      </c>
      <c r="C44" s="14">
        <f>IFERROR(VLOOKUP(A44,datos_2016!$B$1:$G$330,6,FALSE),"")</f>
        <v>30.680813439434129</v>
      </c>
      <c r="D44" s="14">
        <f>IFERROR(VLOOKUP(A44,datos_2023!$B$1:$G$322,6,FALSE),"")</f>
        <v>34.570082449941104</v>
      </c>
    </row>
    <row r="45" spans="1:4">
      <c r="A45" s="5">
        <v>20304</v>
      </c>
      <c r="B45" s="6" t="s">
        <v>50</v>
      </c>
      <c r="C45" s="14">
        <f>IFERROR(VLOOKUP(A45,datos_2016!$B$1:$G$330,6,FALSE),"")</f>
        <v>20.68230277185501</v>
      </c>
      <c r="D45" s="14">
        <f>IFERROR(VLOOKUP(A45,datos_2023!$B$1:$G$322,6,FALSE),"")</f>
        <v>25.887445887445889</v>
      </c>
    </row>
    <row r="46" spans="1:4">
      <c r="A46" s="3">
        <v>20305</v>
      </c>
      <c r="B46" s="4" t="s">
        <v>51</v>
      </c>
      <c r="C46" s="14">
        <f>IFERROR(VLOOKUP(A46,datos_2016!$B$1:$G$330,6,FALSE),"")</f>
        <v>17.478510028653297</v>
      </c>
      <c r="D46" s="14" t="str">
        <f>IFERROR(VLOOKUP(A46,datos_2023!$B$1:$G$322,6,FALSE),"")</f>
        <v/>
      </c>
    </row>
    <row r="47" spans="1:4">
      <c r="A47" s="5">
        <v>20306</v>
      </c>
      <c r="B47" s="6" t="s">
        <v>52</v>
      </c>
      <c r="C47" s="14">
        <f>IFERROR(VLOOKUP(A47,datos_2016!$B$1:$G$330,6,FALSE),"")</f>
        <v>16.981132075471699</v>
      </c>
      <c r="D47" s="14" t="str">
        <f>IFERROR(VLOOKUP(A47,datos_2023!$B$1:$G$322,6,FALSE),"")</f>
        <v/>
      </c>
    </row>
    <row r="48" spans="1:4">
      <c r="A48" s="3">
        <v>20307</v>
      </c>
      <c r="B48" s="4" t="s">
        <v>53</v>
      </c>
      <c r="C48" s="14">
        <f>IFERROR(VLOOKUP(A48,datos_2016!$B$1:$G$330,6,FALSE),"")</f>
        <v>16.831683168316832</v>
      </c>
      <c r="D48" s="14">
        <f>IFERROR(VLOOKUP(A48,datos_2023!$B$1:$G$322,6,FALSE),"")</f>
        <v>22.222222222222221</v>
      </c>
    </row>
    <row r="49" spans="1:4">
      <c r="A49" s="5">
        <v>20308</v>
      </c>
      <c r="B49" s="6" t="s">
        <v>54</v>
      </c>
      <c r="C49" s="14">
        <f>IFERROR(VLOOKUP(A49,datos_2016!$B$1:$G$330,6,FALSE),"")</f>
        <v>49.63680387409201</v>
      </c>
      <c r="D49" s="14">
        <f>IFERROR(VLOOKUP(A49,datos_2023!$B$1:$G$322,6,FALSE),"")</f>
        <v>36.197564276048716</v>
      </c>
    </row>
    <row r="50" spans="1:4">
      <c r="A50" s="3">
        <v>20401</v>
      </c>
      <c r="B50" s="4" t="s">
        <v>55</v>
      </c>
      <c r="C50" s="14">
        <f>IFERROR(VLOOKUP(A50,datos_2016!$B$1:$G$330,6,FALSE),"")</f>
        <v>10.851387305207146</v>
      </c>
      <c r="D50" s="14">
        <f>IFERROR(VLOOKUP(A50,datos_2023!$B$1:$G$322,6,FALSE),"")</f>
        <v>15.880381541634442</v>
      </c>
    </row>
    <row r="51" spans="1:4">
      <c r="A51" s="5">
        <v>20402</v>
      </c>
      <c r="B51" s="6" t="s">
        <v>56</v>
      </c>
      <c r="C51" s="14">
        <f>IFERROR(VLOOKUP(A51,datos_2016!$B$1:$G$330,6,FALSE),"")</f>
        <v>13.030484160191273</v>
      </c>
      <c r="D51" s="14">
        <f>IFERROR(VLOOKUP(A51,datos_2023!$B$1:$G$322,6,FALSE),"")</f>
        <v>14.334009465855308</v>
      </c>
    </row>
    <row r="52" spans="1:4">
      <c r="A52" s="3">
        <v>20403</v>
      </c>
      <c r="B52" s="4" t="s">
        <v>57</v>
      </c>
      <c r="C52" s="14">
        <f>IFERROR(VLOOKUP(A52,datos_2016!$B$1:$G$330,6,FALSE),"")</f>
        <v>15.62944018186985</v>
      </c>
      <c r="D52" s="14">
        <f>IFERROR(VLOOKUP(A52,datos_2023!$B$1:$G$322,6,FALSE),"")</f>
        <v>14.898550724637682</v>
      </c>
    </row>
    <row r="53" spans="1:4">
      <c r="A53" s="5">
        <v>20404</v>
      </c>
      <c r="B53" s="6" t="s">
        <v>58</v>
      </c>
      <c r="C53" s="14">
        <f>IFERROR(VLOOKUP(A53,datos_2016!$B$1:$G$330,6,FALSE),"")</f>
        <v>12.147887323943662</v>
      </c>
      <c r="D53" s="14">
        <f>IFERROR(VLOOKUP(A53,datos_2023!$B$1:$G$322,6,FALSE),"")</f>
        <v>11.345646437994723</v>
      </c>
    </row>
    <row r="54" spans="1:4">
      <c r="A54" s="3">
        <v>20405</v>
      </c>
      <c r="B54" s="4" t="s">
        <v>59</v>
      </c>
      <c r="C54" s="14">
        <f>IFERROR(VLOOKUP(A54,datos_2016!$B$1:$G$330,6,FALSE),"")</f>
        <v>15.473684210526315</v>
      </c>
      <c r="D54" s="14">
        <f>IFERROR(VLOOKUP(A54,datos_2023!$B$1:$G$322,6,FALSE),"")</f>
        <v>11.647727272727273</v>
      </c>
    </row>
    <row r="55" spans="1:4">
      <c r="A55" s="5">
        <v>20501</v>
      </c>
      <c r="B55" s="6" t="s">
        <v>60</v>
      </c>
      <c r="C55" s="14">
        <f>IFERROR(VLOOKUP(A55,datos_2016!$B$1:$G$330,6,FALSE),"")</f>
        <v>18.426770969143849</v>
      </c>
      <c r="D55" s="14">
        <f>IFERROR(VLOOKUP(A55,datos_2023!$B$1:$G$322,6,FALSE),"")</f>
        <v>13.81636843649164</v>
      </c>
    </row>
    <row r="56" spans="1:4">
      <c r="A56" s="3">
        <v>20502</v>
      </c>
      <c r="B56" s="4" t="s">
        <v>61</v>
      </c>
      <c r="C56" s="14">
        <f>IFERROR(VLOOKUP(A56,datos_2016!$B$1:$G$330,6,FALSE),"")</f>
        <v>10.762032085561497</v>
      </c>
      <c r="D56" s="14">
        <f>IFERROR(VLOOKUP(A56,datos_2023!$B$1:$G$322,6,FALSE),"")</f>
        <v>13.667117726657645</v>
      </c>
    </row>
    <row r="57" spans="1:4">
      <c r="A57" s="5">
        <v>20503</v>
      </c>
      <c r="B57" s="6" t="s">
        <v>62</v>
      </c>
      <c r="C57" s="14">
        <f>IFERROR(VLOOKUP(A57,datos_2016!$B$1:$G$330,6,FALSE),"")</f>
        <v>16.726403823178018</v>
      </c>
      <c r="D57" s="14">
        <f>IFERROR(VLOOKUP(A57,datos_2023!$B$1:$G$322,6,FALSE),"")</f>
        <v>12.735849056603774</v>
      </c>
    </row>
    <row r="58" spans="1:4">
      <c r="A58" s="3">
        <v>20601</v>
      </c>
      <c r="B58" s="4" t="s">
        <v>63</v>
      </c>
      <c r="C58" s="14">
        <f>IFERROR(VLOOKUP(A58,datos_2016!$B$1:$G$330,6,FALSE),"")</f>
        <v>18.863049095607234</v>
      </c>
      <c r="D58" s="14">
        <f>IFERROR(VLOOKUP(A58,datos_2023!$B$1:$G$322,6,FALSE),"")</f>
        <v>12.156862745098039</v>
      </c>
    </row>
    <row r="59" spans="1:4">
      <c r="A59" s="5">
        <v>20602</v>
      </c>
      <c r="B59" s="6" t="s">
        <v>64</v>
      </c>
      <c r="C59" s="14">
        <f>IFERROR(VLOOKUP(A59,datos_2016!$B$1:$G$330,6,FALSE),"")</f>
        <v>7.1890145395799676</v>
      </c>
      <c r="D59" s="14">
        <f>IFERROR(VLOOKUP(A59,datos_2023!$B$1:$G$322,6,FALSE),"")</f>
        <v>3.6219953901876853</v>
      </c>
    </row>
    <row r="60" spans="1:4">
      <c r="A60" s="3">
        <v>20603</v>
      </c>
      <c r="B60" s="4" t="s">
        <v>65</v>
      </c>
      <c r="C60" s="14">
        <f>IFERROR(VLOOKUP(A60,datos_2016!$B$1:$G$330,6,FALSE),"")</f>
        <v>14.206514206514207</v>
      </c>
      <c r="D60" s="14">
        <f>IFERROR(VLOOKUP(A60,datos_2023!$B$1:$G$322,6,FALSE),"")</f>
        <v>12.793296089385475</v>
      </c>
    </row>
    <row r="61" spans="1:4">
      <c r="A61" s="5">
        <v>20604</v>
      </c>
      <c r="B61" s="6" t="s">
        <v>66</v>
      </c>
      <c r="C61" s="14">
        <f>IFERROR(VLOOKUP(A61,datos_2016!$B$1:$G$330,6,FALSE),"")</f>
        <v>15.414012738853502</v>
      </c>
      <c r="D61" s="14">
        <f>IFERROR(VLOOKUP(A61,datos_2023!$B$1:$G$322,6,FALSE),"")</f>
        <v>12.579415501905972</v>
      </c>
    </row>
    <row r="62" spans="1:4">
      <c r="A62" s="3">
        <v>20605</v>
      </c>
      <c r="B62" s="4" t="s">
        <v>67</v>
      </c>
      <c r="C62" s="14">
        <f>IFERROR(VLOOKUP(A62,datos_2016!$B$1:$G$330,6,FALSE),"")</f>
        <v>23.040752351097179</v>
      </c>
      <c r="D62" s="14">
        <f>IFERROR(VLOOKUP(A62,datos_2023!$B$1:$G$322,6,FALSE),"")</f>
        <v>18.480138169257341</v>
      </c>
    </row>
    <row r="63" spans="1:4">
      <c r="A63" s="5">
        <v>20606</v>
      </c>
      <c r="B63" s="6" t="s">
        <v>68</v>
      </c>
      <c r="C63" s="14">
        <f>IFERROR(VLOOKUP(A63,datos_2016!$B$1:$G$330,6,FALSE),"")</f>
        <v>8.8490770901194349</v>
      </c>
      <c r="D63" s="14">
        <f>IFERROR(VLOOKUP(A63,datos_2023!$B$1:$G$322,6,FALSE),"")</f>
        <v>7.0031832651205095</v>
      </c>
    </row>
    <row r="64" spans="1:4">
      <c r="A64" s="3">
        <v>20607</v>
      </c>
      <c r="B64" s="4" t="s">
        <v>69</v>
      </c>
      <c r="C64" s="14">
        <f>IFERROR(VLOOKUP(A64,datos_2016!$B$1:$G$330,6,FALSE),"")</f>
        <v>4.7864127637673697</v>
      </c>
      <c r="D64" s="14">
        <f>IFERROR(VLOOKUP(A64,datos_2023!$B$1:$G$322,6,FALSE),"")</f>
        <v>4.3199065966141275</v>
      </c>
    </row>
    <row r="65" spans="1:4">
      <c r="A65" s="5">
        <v>20608</v>
      </c>
      <c r="B65" s="6" t="s">
        <v>70</v>
      </c>
      <c r="C65" s="14">
        <f>IFERROR(VLOOKUP(A65,datos_2016!$B$1:$G$330,6,FALSE),"")</f>
        <v>7.2100313479623823</v>
      </c>
      <c r="D65" s="14">
        <f>IFERROR(VLOOKUP(A65,datos_2023!$B$1:$G$322,6,FALSE),"")</f>
        <v>10.135135135135135</v>
      </c>
    </row>
    <row r="66" spans="1:4">
      <c r="A66" s="3">
        <v>20701</v>
      </c>
      <c r="B66" s="4" t="s">
        <v>71</v>
      </c>
      <c r="C66" s="14">
        <f>IFERROR(VLOOKUP(A66,datos_2016!$B$1:$G$330,6,FALSE),"")</f>
        <v>8.8835119253370198</v>
      </c>
      <c r="D66" s="14">
        <f>IFERROR(VLOOKUP(A66,datos_2023!$B$1:$G$322,6,FALSE),"")</f>
        <v>8.1272949816401461</v>
      </c>
    </row>
    <row r="67" spans="1:4">
      <c r="A67" s="5">
        <v>20702</v>
      </c>
      <c r="B67" s="6" t="s">
        <v>72</v>
      </c>
      <c r="C67" s="14">
        <f>IFERROR(VLOOKUP(A67,datos_2016!$B$1:$G$330,6,FALSE),"")</f>
        <v>14.70281543274244</v>
      </c>
      <c r="D67" s="14">
        <f>IFERROR(VLOOKUP(A67,datos_2023!$B$1:$G$322,6,FALSE),"")</f>
        <v>9.7170971709717104</v>
      </c>
    </row>
    <row r="68" spans="1:4">
      <c r="A68" s="3">
        <v>20801</v>
      </c>
      <c r="B68" s="4" t="s">
        <v>73</v>
      </c>
      <c r="C68" s="14">
        <f>IFERROR(VLOOKUP(A68,datos_2016!$B$1:$G$330,6,FALSE),"")</f>
        <v>15.017125101514777</v>
      </c>
      <c r="D68" s="14">
        <f>IFERROR(VLOOKUP(A68,datos_2023!$B$1:$G$322,6,FALSE),"")</f>
        <v>16.855160495082217</v>
      </c>
    </row>
    <row r="69" spans="1:4">
      <c r="A69" s="5">
        <v>20802</v>
      </c>
      <c r="B69" s="6" t="s">
        <v>74</v>
      </c>
      <c r="C69" s="14">
        <f>IFERROR(VLOOKUP(A69,datos_2016!$B$1:$G$330,6,FALSE),"")</f>
        <v>28.9873417721519</v>
      </c>
      <c r="D69" s="14">
        <f>IFERROR(VLOOKUP(A69,datos_2023!$B$1:$G$322,6,FALSE),"")</f>
        <v>19.122739515198152</v>
      </c>
    </row>
    <row r="70" spans="1:4">
      <c r="A70" s="3">
        <v>20803</v>
      </c>
      <c r="B70" s="4" t="s">
        <v>75</v>
      </c>
      <c r="C70" s="14">
        <f>IFERROR(VLOOKUP(A70,datos_2016!$B$1:$G$330,6,FALSE),"")</f>
        <v>17.903930131004365</v>
      </c>
      <c r="D70" s="14">
        <f>IFERROR(VLOOKUP(A70,datos_2023!$B$1:$G$322,6,FALSE),"")</f>
        <v>19.00097943192948</v>
      </c>
    </row>
    <row r="71" spans="1:4">
      <c r="A71" s="5">
        <v>20804</v>
      </c>
      <c r="B71" s="6" t="s">
        <v>76</v>
      </c>
      <c r="C71" s="14">
        <f>IFERROR(VLOOKUP(A71,datos_2016!$B$1:$G$330,6,FALSE),"")</f>
        <v>21.523915461624028</v>
      </c>
      <c r="D71" s="14">
        <f>IFERROR(VLOOKUP(A71,datos_2023!$B$1:$G$322,6,FALSE),"")</f>
        <v>12.382297551789078</v>
      </c>
    </row>
    <row r="72" spans="1:4">
      <c r="A72" s="3">
        <v>20805</v>
      </c>
      <c r="B72" s="4" t="s">
        <v>77</v>
      </c>
      <c r="C72" s="14">
        <f>IFERROR(VLOOKUP(A72,datos_2016!$B$1:$G$330,6,FALSE),"")</f>
        <v>22.805805114029024</v>
      </c>
      <c r="D72" s="14" t="str">
        <f>IFERROR(VLOOKUP(A72,datos_2023!$B$1:$G$322,6,FALSE),"")</f>
        <v/>
      </c>
    </row>
    <row r="73" spans="1:4">
      <c r="A73" s="5">
        <v>20806</v>
      </c>
      <c r="B73" s="6" t="s">
        <v>78</v>
      </c>
      <c r="C73" s="14">
        <f>IFERROR(VLOOKUP(A73,datos_2016!$B$1:$G$330,6,FALSE),"")</f>
        <v>17.452688495043557</v>
      </c>
      <c r="D73" s="14" t="str">
        <f>IFERROR(VLOOKUP(A73,datos_2023!$B$1:$G$322,6,FALSE),"")</f>
        <v/>
      </c>
    </row>
    <row r="74" spans="1:4">
      <c r="A74" s="3">
        <v>20807</v>
      </c>
      <c r="B74" s="4" t="s">
        <v>79</v>
      </c>
      <c r="C74" s="14">
        <f>IFERROR(VLOOKUP(A74,datos_2016!$B$1:$G$330,6,FALSE),"")</f>
        <v>21.559322033898304</v>
      </c>
      <c r="D74" s="14">
        <f>IFERROR(VLOOKUP(A74,datos_2023!$B$1:$G$322,6,FALSE),"")</f>
        <v>23.767605633802816</v>
      </c>
    </row>
    <row r="75" spans="1:4">
      <c r="A75" s="5">
        <v>20901</v>
      </c>
      <c r="B75" s="6" t="s">
        <v>80</v>
      </c>
      <c r="C75" s="14">
        <f>IFERROR(VLOOKUP(A75,datos_2016!$B$1:$G$330,6,FALSE),"")</f>
        <v>13.606745879647374</v>
      </c>
      <c r="D75" s="14">
        <f>IFERROR(VLOOKUP(A75,datos_2023!$B$1:$G$322,6,FALSE),"")</f>
        <v>12.625538020086083</v>
      </c>
    </row>
    <row r="76" spans="1:4">
      <c r="A76" s="3">
        <v>20902</v>
      </c>
      <c r="B76" s="4" t="s">
        <v>81</v>
      </c>
      <c r="C76" s="14">
        <f>IFERROR(VLOOKUP(A76,datos_2016!$B$1:$G$330,6,FALSE),"")</f>
        <v>15.496062992125983</v>
      </c>
      <c r="D76" s="14">
        <f>IFERROR(VLOOKUP(A76,datos_2023!$B$1:$G$322,6,FALSE),"")</f>
        <v>11.111111111111111</v>
      </c>
    </row>
    <row r="77" spans="1:4">
      <c r="A77" s="5">
        <v>20903</v>
      </c>
      <c r="B77" s="6" t="s">
        <v>82</v>
      </c>
      <c r="C77" s="14">
        <f>IFERROR(VLOOKUP(A77,datos_2016!$B$1:$G$330,6,FALSE),"")</f>
        <v>22.351421188630489</v>
      </c>
      <c r="D77" s="14">
        <f>IFERROR(VLOOKUP(A77,datos_2023!$B$1:$G$322,6,FALSE),"")</f>
        <v>17.383059418457648</v>
      </c>
    </row>
    <row r="78" spans="1:4">
      <c r="A78" s="3">
        <v>20904</v>
      </c>
      <c r="B78" s="4" t="s">
        <v>83</v>
      </c>
      <c r="C78" s="14">
        <f>IFERROR(VLOOKUP(A78,datos_2016!$B$1:$G$330,6,FALSE),"")</f>
        <v>26.373626373626372</v>
      </c>
      <c r="D78" s="14">
        <f>IFERROR(VLOOKUP(A78,datos_2023!$B$1:$G$322,6,FALSE),"")</f>
        <v>11.583011583011583</v>
      </c>
    </row>
    <row r="79" spans="1:4">
      <c r="A79" s="5">
        <v>20905</v>
      </c>
      <c r="B79" s="6" t="s">
        <v>84</v>
      </c>
      <c r="C79" s="14">
        <f>IFERROR(VLOOKUP(A79,datos_2016!$B$1:$G$330,6,FALSE),"")</f>
        <v>21.340887629839472</v>
      </c>
      <c r="D79" s="14">
        <f>IFERROR(VLOOKUP(A79,datos_2023!$B$1:$G$322,6,FALSE),"")</f>
        <v>6.7360079247152056</v>
      </c>
    </row>
    <row r="80" spans="1:4">
      <c r="A80" s="3">
        <v>21001</v>
      </c>
      <c r="B80" s="4" t="s">
        <v>85</v>
      </c>
      <c r="C80" s="14">
        <f>IFERROR(VLOOKUP(A80,datos_2016!$B$1:$G$330,6,FALSE),"")</f>
        <v>12.205270457697642</v>
      </c>
      <c r="D80" s="14">
        <f>IFERROR(VLOOKUP(A80,datos_2023!$B$1:$G$322,6,FALSE),"")</f>
        <v>9.2427616926503333</v>
      </c>
    </row>
    <row r="81" spans="1:4">
      <c r="A81" s="5">
        <v>21002</v>
      </c>
      <c r="B81" s="6" t="s">
        <v>86</v>
      </c>
      <c r="C81" s="14">
        <f>IFERROR(VLOOKUP(A81,datos_2016!$B$1:$G$330,6,FALSE),"")</f>
        <v>8.8495575221238933</v>
      </c>
      <c r="D81" s="14">
        <f>IFERROR(VLOOKUP(A81,datos_2023!$B$1:$G$322,6,FALSE),"")</f>
        <v>8.037178786221979</v>
      </c>
    </row>
    <row r="82" spans="1:4">
      <c r="A82" s="3">
        <v>21003</v>
      </c>
      <c r="B82" s="4" t="s">
        <v>87</v>
      </c>
      <c r="C82" s="14">
        <f>IFERROR(VLOOKUP(A82,datos_2016!$B$1:$G$330,6,FALSE),"")</f>
        <v>8.4259259259259256</v>
      </c>
      <c r="D82" s="14">
        <f>IFERROR(VLOOKUP(A82,datos_2023!$B$1:$G$322,6,FALSE),"")</f>
        <v>3.5384615384615383</v>
      </c>
    </row>
    <row r="83" spans="1:4">
      <c r="A83" s="5">
        <v>21004</v>
      </c>
      <c r="B83" s="6" t="s">
        <v>88</v>
      </c>
      <c r="C83" s="14">
        <f>IFERROR(VLOOKUP(A83,datos_2016!$B$1:$G$330,6,FALSE),"")</f>
        <v>27.13773681515617</v>
      </c>
      <c r="D83" s="14">
        <f>IFERROR(VLOOKUP(A83,datos_2023!$B$1:$G$322,6,FALSE),"")</f>
        <v>19.775739041794086</v>
      </c>
    </row>
    <row r="84" spans="1:4">
      <c r="A84" s="3">
        <v>21005</v>
      </c>
      <c r="B84" s="4" t="s">
        <v>89</v>
      </c>
      <c r="C84" s="14">
        <f>IFERROR(VLOOKUP(A84,datos_2016!$B$1:$G$330,6,FALSE),"")</f>
        <v>34.274586173320351</v>
      </c>
      <c r="D84" s="14">
        <f>IFERROR(VLOOKUP(A84,datos_2023!$B$1:$G$322,6,FALSE),"")</f>
        <v>16.542750929368029</v>
      </c>
    </row>
    <row r="85" spans="1:4">
      <c r="A85" s="5">
        <v>21006</v>
      </c>
      <c r="B85" s="6" t="s">
        <v>90</v>
      </c>
      <c r="C85" s="14">
        <f>IFERROR(VLOOKUP(A85,datos_2016!$B$1:$G$330,6,FALSE),"")</f>
        <v>10.849056603773585</v>
      </c>
      <c r="D85" s="14">
        <f>IFERROR(VLOOKUP(A85,datos_2023!$B$1:$G$322,6,FALSE),"")</f>
        <v>8.4595959595959602</v>
      </c>
    </row>
    <row r="86" spans="1:4">
      <c r="A86" s="3">
        <v>21101</v>
      </c>
      <c r="B86" s="4" t="s">
        <v>91</v>
      </c>
      <c r="C86" s="14">
        <f>IFERROR(VLOOKUP(A86,datos_2016!$B$1:$G$330,6,FALSE),"")</f>
        <v>5.8460180895654092</v>
      </c>
      <c r="D86" s="14">
        <f>IFERROR(VLOOKUP(A86,datos_2023!$B$1:$G$322,6,FALSE),"")</f>
        <v>8.4301302358324541</v>
      </c>
    </row>
    <row r="87" spans="1:4">
      <c r="A87" s="5">
        <v>21102</v>
      </c>
      <c r="B87" s="6" t="s">
        <v>92</v>
      </c>
      <c r="C87" s="14">
        <f>IFERROR(VLOOKUP(A87,datos_2016!$B$1:$G$330,6,FALSE),"")</f>
        <v>7.5908354547558439</v>
      </c>
      <c r="D87" s="14">
        <f>IFERROR(VLOOKUP(A87,datos_2023!$B$1:$G$322,6,FALSE),"")</f>
        <v>8.969110532192035</v>
      </c>
    </row>
    <row r="88" spans="1:4">
      <c r="A88" s="3">
        <v>21103</v>
      </c>
      <c r="B88" s="4" t="s">
        <v>93</v>
      </c>
      <c r="C88" s="14">
        <f>IFERROR(VLOOKUP(A88,datos_2016!$B$1:$G$330,6,FALSE),"")</f>
        <v>5.4269175108538352</v>
      </c>
      <c r="D88" s="14">
        <f>IFERROR(VLOOKUP(A88,datos_2023!$B$1:$G$322,6,FALSE),"")</f>
        <v>7.982893799002138</v>
      </c>
    </row>
    <row r="89" spans="1:4">
      <c r="A89" s="5">
        <v>21104</v>
      </c>
      <c r="B89" s="6" t="s">
        <v>94</v>
      </c>
      <c r="C89" s="14">
        <f>IFERROR(VLOOKUP(A89,datos_2016!$B$1:$G$330,6,FALSE),"")</f>
        <v>13.137032842582107</v>
      </c>
      <c r="D89" s="14">
        <f>IFERROR(VLOOKUP(A89,datos_2023!$B$1:$G$322,6,FALSE),"")</f>
        <v>10.989879822896901</v>
      </c>
    </row>
    <row r="90" spans="1:4">
      <c r="A90" s="3">
        <v>21105</v>
      </c>
      <c r="B90" s="4" t="s">
        <v>95</v>
      </c>
      <c r="C90" s="14">
        <f>IFERROR(VLOOKUP(A90,datos_2016!$B$1:$G$330,6,FALSE),"")</f>
        <v>5.0556117290192111</v>
      </c>
      <c r="D90" s="14">
        <f>IFERROR(VLOOKUP(A90,datos_2023!$B$1:$G$322,6,FALSE),"")</f>
        <v>7.3130577939519972</v>
      </c>
    </row>
    <row r="91" spans="1:4">
      <c r="A91" s="5">
        <v>21201</v>
      </c>
      <c r="B91" s="6" t="s">
        <v>96</v>
      </c>
      <c r="C91" s="14">
        <f>IFERROR(VLOOKUP(A91,datos_2016!$B$1:$G$330,6,FALSE),"")</f>
        <v>17.039586919104991</v>
      </c>
      <c r="D91" s="14">
        <f>IFERROR(VLOOKUP(A91,datos_2023!$B$1:$G$322,6,FALSE),"")</f>
        <v>19.558754498513533</v>
      </c>
    </row>
    <row r="92" spans="1:4">
      <c r="A92" s="3">
        <v>21202</v>
      </c>
      <c r="B92" s="4" t="s">
        <v>97</v>
      </c>
      <c r="C92" s="14">
        <f>IFERROR(VLOOKUP(A92,datos_2016!$B$1:$G$330,6,FALSE),"")</f>
        <v>13.07381052044091</v>
      </c>
      <c r="D92" s="14">
        <f>IFERROR(VLOOKUP(A92,datos_2023!$B$1:$G$322,6,FALSE),"")</f>
        <v>19.929051057899404</v>
      </c>
    </row>
    <row r="93" spans="1:4">
      <c r="A93" s="5">
        <v>21203</v>
      </c>
      <c r="B93" s="6" t="s">
        <v>98</v>
      </c>
      <c r="C93" s="14">
        <f>IFERROR(VLOOKUP(A93,datos_2016!$B$1:$G$330,6,FALSE),"")</f>
        <v>14.589486119314826</v>
      </c>
      <c r="D93" s="14">
        <f>IFERROR(VLOOKUP(A93,datos_2023!$B$1:$G$322,6,FALSE),"")</f>
        <v>13.114419743014482</v>
      </c>
    </row>
    <row r="94" spans="1:4">
      <c r="A94" s="3">
        <v>21204</v>
      </c>
      <c r="B94" s="4" t="s">
        <v>99</v>
      </c>
      <c r="C94" s="14">
        <f>IFERROR(VLOOKUP(A94,datos_2016!$B$1:$G$330,6,FALSE),"")</f>
        <v>13.697164258962012</v>
      </c>
      <c r="D94" s="14" t="str">
        <f>IFERROR(VLOOKUP(A94,datos_2023!$B$1:$G$322,6,FALSE),"")</f>
        <v/>
      </c>
    </row>
    <row r="95" spans="1:4">
      <c r="A95" s="5">
        <v>21301</v>
      </c>
      <c r="B95" s="6" t="s">
        <v>100</v>
      </c>
      <c r="C95" s="14">
        <f>IFERROR(VLOOKUP(A95,datos_2016!$B$1:$G$330,6,FALSE),"")</f>
        <v>20.648259303721488</v>
      </c>
      <c r="D95" s="14">
        <f>IFERROR(VLOOKUP(A95,datos_2023!$B$1:$G$322,6,FALSE),"")</f>
        <v>14.785924770324145</v>
      </c>
    </row>
    <row r="96" spans="1:4">
      <c r="A96" s="3">
        <v>21302</v>
      </c>
      <c r="B96" s="4" t="s">
        <v>101</v>
      </c>
      <c r="C96" s="14">
        <f>IFERROR(VLOOKUP(A96,datos_2016!$B$1:$G$330,6,FALSE),"")</f>
        <v>29.422718808193668</v>
      </c>
      <c r="D96" s="14">
        <f>IFERROR(VLOOKUP(A96,datos_2023!$B$1:$G$322,6,FALSE),"")</f>
        <v>30.687397708674304</v>
      </c>
    </row>
    <row r="97" spans="1:4">
      <c r="A97" s="5">
        <v>21303</v>
      </c>
      <c r="B97" s="6" t="s">
        <v>102</v>
      </c>
      <c r="C97" s="14">
        <f>IFERROR(VLOOKUP(A97,datos_2016!$B$1:$G$330,6,FALSE),"")</f>
        <v>24.261943102522814</v>
      </c>
      <c r="D97" s="14">
        <f>IFERROR(VLOOKUP(A97,datos_2023!$B$1:$G$322,6,FALSE),"")</f>
        <v>20.776699029126213</v>
      </c>
    </row>
    <row r="98" spans="1:4">
      <c r="A98" s="3">
        <v>21304</v>
      </c>
      <c r="B98" s="4" t="s">
        <v>103</v>
      </c>
      <c r="C98" s="14">
        <f>IFERROR(VLOOKUP(A98,datos_2016!$B$1:$G$330,6,FALSE),"")</f>
        <v>16.701977401129945</v>
      </c>
      <c r="D98" s="14">
        <f>IFERROR(VLOOKUP(A98,datos_2023!$B$1:$G$322,6,FALSE),"")</f>
        <v>19.67585089141005</v>
      </c>
    </row>
    <row r="99" spans="1:4">
      <c r="A99" s="5">
        <v>21305</v>
      </c>
      <c r="B99" s="6" t="s">
        <v>104</v>
      </c>
      <c r="C99" s="14">
        <f>IFERROR(VLOOKUP(A99,datos_2016!$B$1:$G$330,6,FALSE),"")</f>
        <v>12.611822487282932</v>
      </c>
      <c r="D99" s="14">
        <f>IFERROR(VLOOKUP(A99,datos_2023!$B$1:$G$322,6,FALSE),"")</f>
        <v>10.763097949886104</v>
      </c>
    </row>
    <row r="100" spans="1:4">
      <c r="A100" s="3">
        <v>21306</v>
      </c>
      <c r="B100" s="4" t="s">
        <v>105</v>
      </c>
      <c r="C100" s="14">
        <f>IFERROR(VLOOKUP(A100,datos_2016!$B$1:$G$330,6,FALSE),"")</f>
        <v>11.452513966480447</v>
      </c>
      <c r="D100" s="14">
        <f>IFERROR(VLOOKUP(A100,datos_2023!$B$1:$G$322,6,FALSE),"")</f>
        <v>14.131960692559662</v>
      </c>
    </row>
    <row r="101" spans="1:4">
      <c r="A101" s="5">
        <v>21307</v>
      </c>
      <c r="B101" s="6" t="s">
        <v>106</v>
      </c>
      <c r="C101" s="14">
        <f>IFERROR(VLOOKUP(A101,datos_2016!$B$1:$G$330,6,FALSE),"")</f>
        <v>6.7415730337078648</v>
      </c>
      <c r="D101" s="14">
        <f>IFERROR(VLOOKUP(A101,datos_2023!$B$1:$G$322,6,FALSE),"")</f>
        <v>14.545454545454545</v>
      </c>
    </row>
    <row r="102" spans="1:4">
      <c r="A102" s="3">
        <v>21401</v>
      </c>
      <c r="B102" s="4" t="s">
        <v>107</v>
      </c>
      <c r="C102" s="14">
        <f>IFERROR(VLOOKUP(A102,datos_2016!$B$1:$G$330,6,FALSE),"")</f>
        <v>4.9785758008569676</v>
      </c>
      <c r="D102" s="14">
        <f>IFERROR(VLOOKUP(A102,datos_2023!$B$1:$G$322,6,FALSE),"")</f>
        <v>8.4936144022157247</v>
      </c>
    </row>
    <row r="103" spans="1:4">
      <c r="A103" s="5">
        <v>21402</v>
      </c>
      <c r="B103" s="6" t="s">
        <v>108</v>
      </c>
      <c r="C103" s="14">
        <f>IFERROR(VLOOKUP(A103,datos_2016!$B$1:$G$330,6,FALSE),"")</f>
        <v>6.4756233717901006</v>
      </c>
      <c r="D103" s="14">
        <f>IFERROR(VLOOKUP(A103,datos_2023!$B$1:$G$322,6,FALSE),"")</f>
        <v>7.1386775892334695</v>
      </c>
    </row>
    <row r="104" spans="1:4">
      <c r="A104" s="3">
        <v>21501</v>
      </c>
      <c r="B104" s="4" t="s">
        <v>109</v>
      </c>
      <c r="C104" s="14">
        <f>IFERROR(VLOOKUP(A104,datos_2016!$B$1:$G$330,6,FALSE),"")</f>
        <v>1.6786570743405276</v>
      </c>
      <c r="D104" s="14">
        <f>IFERROR(VLOOKUP(A104,datos_2023!$B$1:$G$322,6,FALSE),"")</f>
        <v>3.40826686004351</v>
      </c>
    </row>
    <row r="105" spans="1:4">
      <c r="A105" s="5">
        <v>21502</v>
      </c>
      <c r="B105" s="6" t="s">
        <v>110</v>
      </c>
      <c r="C105" s="14">
        <f>IFERROR(VLOOKUP(A105,datos_2016!$B$1:$G$330,6,FALSE),"")</f>
        <v>2.7491408934707904</v>
      </c>
      <c r="D105" s="14">
        <f>IFERROR(VLOOKUP(A105,datos_2023!$B$1:$G$322,6,FALSE),"")</f>
        <v>2.0211742059672764</v>
      </c>
    </row>
    <row r="106" spans="1:4">
      <c r="A106" s="3">
        <v>21601</v>
      </c>
      <c r="B106" s="4" t="s">
        <v>111</v>
      </c>
      <c r="C106" s="14">
        <f>IFERROR(VLOOKUP(A106,datos_2016!$B$1:$G$330,6,FALSE),"")</f>
        <v>13.03205465055176</v>
      </c>
      <c r="D106" s="14">
        <f>IFERROR(VLOOKUP(A106,datos_2023!$B$1:$G$322,6,FALSE),"")</f>
        <v>12.116112747160287</v>
      </c>
    </row>
    <row r="107" spans="1:4">
      <c r="A107" s="5">
        <v>21602</v>
      </c>
      <c r="B107" s="6" t="s">
        <v>112</v>
      </c>
      <c r="C107" s="14">
        <f>IFERROR(VLOOKUP(A107,datos_2016!$B$1:$G$330,6,FALSE),"")</f>
        <v>25</v>
      </c>
      <c r="D107" s="14">
        <f>IFERROR(VLOOKUP(A107,datos_2023!$B$1:$G$322,6,FALSE),"")</f>
        <v>12.213740458015268</v>
      </c>
    </row>
    <row r="108" spans="1:4">
      <c r="A108" s="3">
        <v>21701</v>
      </c>
      <c r="B108" s="4" t="s">
        <v>113</v>
      </c>
      <c r="C108" s="14">
        <f>IFERROR(VLOOKUP(A108,datos_2016!$B$1:$G$330,6,FALSE),"")</f>
        <v>17.704644865652988</v>
      </c>
      <c r="D108" s="14">
        <f>IFERROR(VLOOKUP(A108,datos_2023!$B$1:$G$322,6,FALSE),"")</f>
        <v>13.898500576701268</v>
      </c>
    </row>
    <row r="109" spans="1:4">
      <c r="A109" s="5">
        <v>21702</v>
      </c>
      <c r="B109" s="6" t="s">
        <v>114</v>
      </c>
      <c r="C109" s="14">
        <f>IFERROR(VLOOKUP(A109,datos_2016!$B$1:$G$330,6,FALSE),"")</f>
        <v>18.575498575498575</v>
      </c>
      <c r="D109" s="14">
        <f>IFERROR(VLOOKUP(A109,datos_2023!$B$1:$G$322,6,FALSE),"")</f>
        <v>22.063595068137573</v>
      </c>
    </row>
    <row r="110" spans="1:4">
      <c r="A110" s="3">
        <v>21703</v>
      </c>
      <c r="B110" s="4" t="s">
        <v>115</v>
      </c>
      <c r="C110" s="14">
        <f>IFERROR(VLOOKUP(A110,datos_2016!$B$1:$G$330,6,FALSE),"")</f>
        <v>20.386266094420602</v>
      </c>
      <c r="D110" s="14">
        <f>IFERROR(VLOOKUP(A110,datos_2023!$B$1:$G$322,6,FALSE),"")</f>
        <v>19.449901768172889</v>
      </c>
    </row>
    <row r="111" spans="1:4">
      <c r="A111" s="5">
        <v>21801</v>
      </c>
      <c r="B111" s="6" t="s">
        <v>116</v>
      </c>
      <c r="C111" s="14">
        <f>IFERROR(VLOOKUP(A111,datos_2016!$B$1:$G$330,6,FALSE),"")</f>
        <v>41.666666666666664</v>
      </c>
      <c r="D111" s="14">
        <f>IFERROR(VLOOKUP(A111,datos_2023!$B$1:$G$322,6,FALSE),"")</f>
        <v>19.127516778523489</v>
      </c>
    </row>
    <row r="112" spans="1:4">
      <c r="A112" s="3">
        <v>21802</v>
      </c>
      <c r="B112" s="4" t="s">
        <v>117</v>
      </c>
      <c r="C112" s="14">
        <f>IFERROR(VLOOKUP(A112,datos_2016!$B$1:$G$330,6,FALSE),"")</f>
        <v>0</v>
      </c>
      <c r="D112" s="14">
        <f>IFERROR(VLOOKUP(A112,datos_2023!$B$1:$G$322,6,FALSE),"")</f>
        <v>20.389805097451273</v>
      </c>
    </row>
    <row r="113" spans="1:4">
      <c r="A113" s="5">
        <v>21803</v>
      </c>
      <c r="B113" s="6" t="s">
        <v>118</v>
      </c>
      <c r="C113" s="14">
        <f>IFERROR(VLOOKUP(A113,datos_2016!$B$1:$G$330,6,FALSE),"")</f>
        <v>30.666666666666668</v>
      </c>
      <c r="D113" s="14">
        <f>IFERROR(VLOOKUP(A113,datos_2023!$B$1:$G$322,6,FALSE),"")</f>
        <v>27.692307692307693</v>
      </c>
    </row>
    <row r="114" spans="1:4">
      <c r="A114" s="3">
        <v>21901</v>
      </c>
      <c r="B114" s="4" t="s">
        <v>119</v>
      </c>
      <c r="C114" s="14">
        <f>IFERROR(VLOOKUP(A114,datos_2016!$B$1:$G$330,6,FALSE),"")</f>
        <v>21.462264150943398</v>
      </c>
      <c r="D114" s="14">
        <f>IFERROR(VLOOKUP(A114,datos_2023!$B$1:$G$322,6,FALSE),"")</f>
        <v>23.947836395969176</v>
      </c>
    </row>
    <row r="115" spans="1:4">
      <c r="A115" s="5">
        <v>21902</v>
      </c>
      <c r="B115" s="6" t="s">
        <v>120</v>
      </c>
      <c r="C115" s="14">
        <f>IFERROR(VLOOKUP(A115,datos_2016!$B$1:$G$330,6,FALSE),"")</f>
        <v>14.871794871794872</v>
      </c>
      <c r="D115" s="14">
        <f>IFERROR(VLOOKUP(A115,datos_2023!$B$1:$G$322,6,FALSE),"")</f>
        <v>13.120567375886525</v>
      </c>
    </row>
    <row r="116" spans="1:4">
      <c r="A116" s="3">
        <v>22001</v>
      </c>
      <c r="B116" s="4" t="s">
        <v>121</v>
      </c>
      <c r="C116" s="14">
        <f>IFERROR(VLOOKUP(A116,datos_2016!$B$1:$G$330,6,FALSE),"")</f>
        <v>14.898944732605974</v>
      </c>
      <c r="D116" s="14">
        <f>IFERROR(VLOOKUP(A116,datos_2023!$B$1:$G$322,6,FALSE),"")</f>
        <v>15.07566115118088</v>
      </c>
    </row>
    <row r="117" spans="1:4">
      <c r="A117" s="5">
        <v>22002</v>
      </c>
      <c r="B117" s="6" t="s">
        <v>122</v>
      </c>
      <c r="C117" s="14">
        <f>IFERROR(VLOOKUP(A117,datos_2016!$B$1:$G$330,6,FALSE),"")</f>
        <v>8.0291970802919703</v>
      </c>
      <c r="D117" s="14">
        <f>IFERROR(VLOOKUP(A117,datos_2023!$B$1:$G$322,6,FALSE),"")</f>
        <v>13.652802893309222</v>
      </c>
    </row>
    <row r="118" spans="1:4">
      <c r="A118" s="3">
        <v>30101</v>
      </c>
      <c r="B118" s="4" t="s">
        <v>123</v>
      </c>
      <c r="C118" s="14">
        <f>IFERROR(VLOOKUP(A118,datos_2016!$B$1:$G$330,6,FALSE),"")</f>
        <v>4.6629897225871266</v>
      </c>
      <c r="D118" s="14">
        <f>IFERROR(VLOOKUP(A118,datos_2023!$B$1:$G$322,6,FALSE),"")</f>
        <v>5.8273361694177721</v>
      </c>
    </row>
    <row r="119" spans="1:4">
      <c r="A119" s="5">
        <v>30201</v>
      </c>
      <c r="B119" s="6" t="s">
        <v>124</v>
      </c>
      <c r="C119" s="14">
        <f>IFERROR(VLOOKUP(A119,datos_2016!$B$1:$G$330,6,FALSE),"")</f>
        <v>6.5300285986653952</v>
      </c>
      <c r="D119" s="14">
        <f>IFERROR(VLOOKUP(A119,datos_2023!$B$1:$G$322,6,FALSE),"")</f>
        <v>5.972906403940887</v>
      </c>
    </row>
    <row r="120" spans="1:4">
      <c r="A120" s="3">
        <v>30202</v>
      </c>
      <c r="B120" s="4" t="s">
        <v>125</v>
      </c>
      <c r="C120" s="14">
        <f>IFERROR(VLOOKUP(A120,datos_2016!$B$1:$G$330,6,FALSE),"")</f>
        <v>6.1983471074380168</v>
      </c>
      <c r="D120" s="14">
        <f>IFERROR(VLOOKUP(A120,datos_2023!$B$1:$G$322,6,FALSE),"")</f>
        <v>10.606060606060606</v>
      </c>
    </row>
    <row r="121" spans="1:4">
      <c r="A121" s="5">
        <v>30203</v>
      </c>
      <c r="B121" s="6" t="s">
        <v>126</v>
      </c>
      <c r="C121" s="14">
        <f>IFERROR(VLOOKUP(A121,datos_2016!$B$1:$G$330,6,FALSE),"")</f>
        <v>3.5884133160397753</v>
      </c>
      <c r="D121" s="14">
        <f>IFERROR(VLOOKUP(A121,datos_2023!$B$1:$G$322,6,FALSE),"")</f>
        <v>7.4253990284524631</v>
      </c>
    </row>
    <row r="122" spans="1:4">
      <c r="A122" s="3">
        <v>30301</v>
      </c>
      <c r="B122" s="4" t="s">
        <v>127</v>
      </c>
      <c r="C122" s="14">
        <f>IFERROR(VLOOKUP(A122,datos_2016!$B$1:$G$330,6,FALSE),"")</f>
        <v>8.9652956298200515</v>
      </c>
      <c r="D122" s="14">
        <f>IFERROR(VLOOKUP(A122,datos_2023!$B$1:$G$322,6,FALSE),"")</f>
        <v>15.236842105263158</v>
      </c>
    </row>
    <row r="123" spans="1:4">
      <c r="A123" s="5">
        <v>30302</v>
      </c>
      <c r="B123" s="6" t="s">
        <v>128</v>
      </c>
      <c r="C123" s="14">
        <f>IFERROR(VLOOKUP(A123,datos_2016!$B$1:$G$330,6,FALSE),"")</f>
        <v>14.786488209050351</v>
      </c>
      <c r="D123" s="14">
        <f>IFERROR(VLOOKUP(A123,datos_2023!$B$1:$G$322,6,FALSE),"")</f>
        <v>17.687464224384659</v>
      </c>
    </row>
    <row r="124" spans="1:4">
      <c r="A124" s="3">
        <v>30303</v>
      </c>
      <c r="B124" s="4" t="s">
        <v>129</v>
      </c>
      <c r="C124" s="14">
        <f>IFERROR(VLOOKUP(A124,datos_2016!$B$1:$G$330,6,FALSE),"")</f>
        <v>13.898916967509026</v>
      </c>
      <c r="D124" s="14">
        <f>IFERROR(VLOOKUP(A124,datos_2023!$B$1:$G$322,6,FALSE),"")</f>
        <v>11.245519713261649</v>
      </c>
    </row>
    <row r="125" spans="1:4">
      <c r="A125" s="5">
        <v>30401</v>
      </c>
      <c r="B125" s="6" t="s">
        <v>130</v>
      </c>
      <c r="C125" s="14">
        <f>IFERROR(VLOOKUP(A125,datos_2016!$B$1:$G$330,6,FALSE),"")</f>
        <v>11.636079656384226</v>
      </c>
      <c r="D125" s="14">
        <f>IFERROR(VLOOKUP(A125,datos_2023!$B$1:$G$322,6,FALSE),"")</f>
        <v>11.281872162067762</v>
      </c>
    </row>
    <row r="126" spans="1:4">
      <c r="A126" s="3">
        <v>30402</v>
      </c>
      <c r="B126" s="4" t="s">
        <v>131</v>
      </c>
      <c r="C126" s="14">
        <f>IFERROR(VLOOKUP(A126,datos_2016!$B$1:$G$330,6,FALSE),"")</f>
        <v>20</v>
      </c>
      <c r="D126" s="14">
        <f>IFERROR(VLOOKUP(A126,datos_2023!$B$1:$G$322,6,FALSE),"")</f>
        <v>18.723143032535297</v>
      </c>
    </row>
    <row r="127" spans="1:4">
      <c r="A127" s="5">
        <v>30403</v>
      </c>
      <c r="B127" s="6" t="s">
        <v>132</v>
      </c>
      <c r="C127" s="14">
        <f>IFERROR(VLOOKUP(A127,datos_2016!$B$1:$G$330,6,FALSE),"")</f>
        <v>16.150442477876105</v>
      </c>
      <c r="D127" s="14">
        <f>IFERROR(VLOOKUP(A127,datos_2023!$B$1:$G$322,6,FALSE),"")</f>
        <v>15.980808267207973</v>
      </c>
    </row>
    <row r="128" spans="1:4">
      <c r="A128" s="3">
        <v>30404</v>
      </c>
      <c r="B128" s="4" t="s">
        <v>133</v>
      </c>
      <c r="C128" s="14">
        <f>IFERROR(VLOOKUP(A128,datos_2016!$B$1:$G$330,6,FALSE),"")</f>
        <v>15.042735042735043</v>
      </c>
      <c r="D128" s="14">
        <f>IFERROR(VLOOKUP(A128,datos_2023!$B$1:$G$322,6,FALSE),"")</f>
        <v>16.517285531370039</v>
      </c>
    </row>
    <row r="129" spans="1:4">
      <c r="A129" s="5">
        <v>30501</v>
      </c>
      <c r="B129" s="6" t="s">
        <v>134</v>
      </c>
      <c r="C129" s="14">
        <f>IFERROR(VLOOKUP(A129,datos_2016!$B$1:$G$330,6,FALSE),"")</f>
        <v>14.810153136144326</v>
      </c>
      <c r="D129" s="14">
        <f>IFERROR(VLOOKUP(A129,datos_2023!$B$1:$G$322,6,FALSE),"")</f>
        <v>8.2345729464650592</v>
      </c>
    </row>
    <row r="130" spans="1:4">
      <c r="A130" s="3">
        <v>30502</v>
      </c>
      <c r="B130" s="4" t="s">
        <v>135</v>
      </c>
      <c r="C130" s="14">
        <f>IFERROR(VLOOKUP(A130,datos_2016!$B$1:$G$330,6,FALSE),"")</f>
        <v>16.7531504818384</v>
      </c>
      <c r="D130" s="14">
        <f>IFERROR(VLOOKUP(A130,datos_2023!$B$1:$G$322,6,FALSE),"")</f>
        <v>14.202997275204361</v>
      </c>
    </row>
    <row r="131" spans="1:4">
      <c r="A131" s="5">
        <v>30601</v>
      </c>
      <c r="B131" s="6" t="s">
        <v>136</v>
      </c>
      <c r="C131" s="14">
        <f>IFERROR(VLOOKUP(A131,datos_2016!$B$1:$G$330,6,FALSE),"")</f>
        <v>14.678899082568808</v>
      </c>
      <c r="D131" s="14">
        <f>IFERROR(VLOOKUP(A131,datos_2023!$B$1:$G$322,6,FALSE),"")</f>
        <v>15.894039735099337</v>
      </c>
    </row>
    <row r="132" spans="1:4">
      <c r="A132" s="3">
        <v>30602</v>
      </c>
      <c r="B132" s="4" t="s">
        <v>137</v>
      </c>
      <c r="C132" s="14">
        <f>IFERROR(VLOOKUP(A132,datos_2016!$B$1:$G$330,6,FALSE),"")</f>
        <v>17.863554757630162</v>
      </c>
      <c r="D132" s="14">
        <f>IFERROR(VLOOKUP(A132,datos_2023!$B$1:$G$322,6,FALSE),"")</f>
        <v>17.620020429009195</v>
      </c>
    </row>
    <row r="133" spans="1:4">
      <c r="A133" s="5">
        <v>30701</v>
      </c>
      <c r="B133" s="6" t="s">
        <v>138</v>
      </c>
      <c r="C133" s="14">
        <f>IFERROR(VLOOKUP(A133,datos_2016!$B$1:$G$330,6,FALSE),"")</f>
        <v>5.1048470264695771</v>
      </c>
      <c r="D133" s="14">
        <f>IFERROR(VLOOKUP(A133,datos_2023!$B$1:$G$322,6,FALSE),"")</f>
        <v>7.2948849982835569</v>
      </c>
    </row>
    <row r="134" spans="1:4">
      <c r="A134" s="3">
        <v>30702</v>
      </c>
      <c r="B134" s="4" t="s">
        <v>139</v>
      </c>
      <c r="C134" s="14">
        <f>IFERROR(VLOOKUP(A134,datos_2016!$B$1:$G$330,6,FALSE),"")</f>
        <v>15.838099428068631</v>
      </c>
      <c r="D134" s="14" t="str">
        <f>IFERROR(VLOOKUP(A134,datos_2023!$B$1:$G$322,6,FALSE),"")</f>
        <v/>
      </c>
    </row>
    <row r="135" spans="1:4">
      <c r="A135" s="5">
        <v>30703</v>
      </c>
      <c r="B135" s="6" t="s">
        <v>140</v>
      </c>
      <c r="C135" s="14">
        <f>IFERROR(VLOOKUP(A135,datos_2016!$B$1:$G$330,6,FALSE),"")</f>
        <v>5.272407732864675</v>
      </c>
      <c r="D135" s="14">
        <f>IFERROR(VLOOKUP(A135,datos_2023!$B$1:$G$322,6,FALSE),"")</f>
        <v>7.4812967581047385</v>
      </c>
    </row>
    <row r="136" spans="1:4">
      <c r="A136" s="3">
        <v>30801</v>
      </c>
      <c r="B136" s="4" t="s">
        <v>141</v>
      </c>
      <c r="C136" s="14">
        <f>IFERROR(VLOOKUP(A136,datos_2016!$B$1:$G$330,6,FALSE),"")</f>
        <v>10.75768942235559</v>
      </c>
      <c r="D136" s="14">
        <f>IFERROR(VLOOKUP(A136,datos_2023!$B$1:$G$322,6,FALSE),"")</f>
        <v>9.9922138593303913</v>
      </c>
    </row>
    <row r="137" spans="1:4">
      <c r="A137" s="5">
        <v>30802</v>
      </c>
      <c r="B137" s="6" t="s">
        <v>142</v>
      </c>
      <c r="C137" s="14">
        <f>IFERROR(VLOOKUP(A137,datos_2016!$B$1:$G$330,6,FALSE),"")</f>
        <v>12.210648148148149</v>
      </c>
      <c r="D137" s="14">
        <f>IFERROR(VLOOKUP(A137,datos_2023!$B$1:$G$322,6,FALSE),"")</f>
        <v>11.743022643496577</v>
      </c>
    </row>
    <row r="138" spans="1:4">
      <c r="A138" s="3">
        <v>30803</v>
      </c>
      <c r="B138" s="4" t="s">
        <v>143</v>
      </c>
      <c r="C138" s="14">
        <f>IFERROR(VLOOKUP(A138,datos_2016!$B$1:$G$330,6,FALSE),"")</f>
        <v>12.396694214876034</v>
      </c>
      <c r="D138" s="14">
        <f>IFERROR(VLOOKUP(A138,datos_2023!$B$1:$G$322,6,FALSE),"")</f>
        <v>13.247362250879251</v>
      </c>
    </row>
    <row r="139" spans="1:4">
      <c r="A139" s="5">
        <v>30901</v>
      </c>
      <c r="B139" s="6" t="s">
        <v>144</v>
      </c>
      <c r="C139" s="14">
        <f>IFERROR(VLOOKUP(A139,datos_2016!$B$1:$G$330,6,FALSE),"")</f>
        <v>3.8903240657850988</v>
      </c>
      <c r="D139" s="14">
        <f>IFERROR(VLOOKUP(A139,datos_2023!$B$1:$G$322,6,FALSE),"")</f>
        <v>4.5473945601986578</v>
      </c>
    </row>
    <row r="140" spans="1:4">
      <c r="A140" s="3">
        <v>30902</v>
      </c>
      <c r="B140" s="4" t="s">
        <v>145</v>
      </c>
      <c r="C140" s="14">
        <f>IFERROR(VLOOKUP(A140,datos_2016!$B$1:$G$330,6,FALSE),"")</f>
        <v>4.3766578249336874</v>
      </c>
      <c r="D140" s="14">
        <f>IFERROR(VLOOKUP(A140,datos_2023!$B$1:$G$322,6,FALSE),"")</f>
        <v>4.9822828304520561</v>
      </c>
    </row>
    <row r="141" spans="1:4">
      <c r="A141" s="5">
        <v>30903</v>
      </c>
      <c r="B141" s="6" t="s">
        <v>146</v>
      </c>
      <c r="C141" s="14">
        <f>IFERROR(VLOOKUP(A141,datos_2016!$B$1:$G$330,6,FALSE),"")</f>
        <v>3.9678943620946341</v>
      </c>
      <c r="D141" s="14">
        <f>IFERROR(VLOOKUP(A141,datos_2023!$B$1:$G$322,6,FALSE),"")</f>
        <v>3.7393313528551895</v>
      </c>
    </row>
    <row r="142" spans="1:4">
      <c r="A142" s="3">
        <v>30904</v>
      </c>
      <c r="B142" s="4" t="s">
        <v>147</v>
      </c>
      <c r="C142" s="14">
        <f>IFERROR(VLOOKUP(A142,datos_2016!$B$1:$G$330,6,FALSE),"")</f>
        <v>5.9215955983493807</v>
      </c>
      <c r="D142" s="14">
        <f>IFERROR(VLOOKUP(A142,datos_2023!$B$1:$G$322,6,FALSE),"")</f>
        <v>6.3780380824603951</v>
      </c>
    </row>
    <row r="143" spans="1:4">
      <c r="A143" s="5">
        <v>30905</v>
      </c>
      <c r="B143" s="6" t="s">
        <v>148</v>
      </c>
      <c r="C143" s="14">
        <f>IFERROR(VLOOKUP(A143,datos_2016!$B$1:$G$330,6,FALSE),"")</f>
        <v>3.0338541666666665</v>
      </c>
      <c r="D143" s="14">
        <f>IFERROR(VLOOKUP(A143,datos_2023!$B$1:$G$322,6,FALSE),"")</f>
        <v>3.5007862285856159</v>
      </c>
    </row>
    <row r="144" spans="1:4">
      <c r="A144" s="3">
        <v>31001</v>
      </c>
      <c r="B144" s="4" t="s">
        <v>149</v>
      </c>
      <c r="C144" s="14">
        <f>IFERROR(VLOOKUP(A144,datos_2016!$B$1:$G$330,6,FALSE),"")</f>
        <v>5.7222177838140134</v>
      </c>
      <c r="D144" s="14">
        <f>IFERROR(VLOOKUP(A144,datos_2023!$B$1:$G$322,6,FALSE),"")</f>
        <v>6.937242701360737</v>
      </c>
    </row>
    <row r="145" spans="1:4">
      <c r="A145" s="5">
        <v>31002</v>
      </c>
      <c r="B145" s="6" t="s">
        <v>150</v>
      </c>
      <c r="C145" s="14">
        <f>IFERROR(VLOOKUP(A145,datos_2016!$B$1:$G$330,6,FALSE),"")</f>
        <v>8.8405238828967647</v>
      </c>
      <c r="D145" s="14">
        <f>IFERROR(VLOOKUP(A145,datos_2023!$B$1:$G$322,6,FALSE),"")</f>
        <v>9.8596147567744037</v>
      </c>
    </row>
    <row r="146" spans="1:4">
      <c r="A146" s="3">
        <v>31003</v>
      </c>
      <c r="B146" s="4" t="s">
        <v>151</v>
      </c>
      <c r="C146" s="14">
        <f>IFERROR(VLOOKUP(A146,datos_2016!$B$1:$G$330,6,FALSE),"")</f>
        <v>7.0631755389861857</v>
      </c>
      <c r="D146" s="14">
        <f>IFERROR(VLOOKUP(A146,datos_2023!$B$1:$G$322,6,FALSE),"")</f>
        <v>5.8142624008501276</v>
      </c>
    </row>
    <row r="147" spans="1:4">
      <c r="A147" s="5">
        <v>31101</v>
      </c>
      <c r="B147" s="6" t="s">
        <v>152</v>
      </c>
      <c r="C147" s="14">
        <f>IFERROR(VLOOKUP(A147,datos_2016!$B$1:$G$330,6,FALSE),"")</f>
        <v>15.81532416502947</v>
      </c>
      <c r="D147" s="14">
        <f>IFERROR(VLOOKUP(A147,datos_2023!$B$1:$G$322,6,FALSE),"")</f>
        <v>16.757940854326396</v>
      </c>
    </row>
    <row r="148" spans="1:4">
      <c r="A148" s="3">
        <v>31201</v>
      </c>
      <c r="B148" s="4" t="s">
        <v>153</v>
      </c>
      <c r="C148" s="14">
        <f>IFERROR(VLOOKUP(A148,datos_2016!$B$1:$G$330,6,FALSE),"")</f>
        <v>6.3647128478389581</v>
      </c>
      <c r="D148" s="14">
        <f>IFERROR(VLOOKUP(A148,datos_2023!$B$1:$G$322,6,FALSE),"")</f>
        <v>7.8016528925619832</v>
      </c>
    </row>
    <row r="149" spans="1:4">
      <c r="A149" s="5">
        <v>31202</v>
      </c>
      <c r="B149" s="6" t="s">
        <v>154</v>
      </c>
      <c r="C149" s="14">
        <f>IFERROR(VLOOKUP(A149,datos_2016!$B$1:$G$330,6,FALSE),"")</f>
        <v>9.7697922515440769</v>
      </c>
      <c r="D149" s="14">
        <f>IFERROR(VLOOKUP(A149,datos_2023!$B$1:$G$322,6,FALSE),"")</f>
        <v>6.8531468531468533</v>
      </c>
    </row>
    <row r="150" spans="1:4">
      <c r="A150" s="3">
        <v>31203</v>
      </c>
      <c r="B150" s="4" t="s">
        <v>155</v>
      </c>
      <c r="C150" s="14">
        <f>IFERROR(VLOOKUP(A150,datos_2016!$B$1:$G$330,6,FALSE),"")</f>
        <v>10.921366163621922</v>
      </c>
      <c r="D150" s="14">
        <f>IFERROR(VLOOKUP(A150,datos_2023!$B$1:$G$322,6,FALSE),"")</f>
        <v>11.213300318358684</v>
      </c>
    </row>
    <row r="151" spans="1:4">
      <c r="A151" s="5">
        <v>31204</v>
      </c>
      <c r="B151" s="6" t="s">
        <v>156</v>
      </c>
      <c r="C151" s="14">
        <f>IFERROR(VLOOKUP(A151,datos_2016!$B$1:$G$330,6,FALSE),"")</f>
        <v>5.6026462683481499</v>
      </c>
      <c r="D151" s="14">
        <f>IFERROR(VLOOKUP(A151,datos_2023!$B$1:$G$322,6,FALSE),"")</f>
        <v>4.5588423613778977</v>
      </c>
    </row>
    <row r="152" spans="1:4">
      <c r="A152" s="3">
        <v>31205</v>
      </c>
      <c r="B152" s="4" t="s">
        <v>157</v>
      </c>
      <c r="C152" s="14">
        <f>IFERROR(VLOOKUP(A152,datos_2016!$B$1:$G$330,6,FALSE),"")</f>
        <v>6.3453598994794476</v>
      </c>
      <c r="D152" s="14">
        <f>IFERROR(VLOOKUP(A152,datos_2023!$B$1:$G$322,6,FALSE),"")</f>
        <v>4.9077556869066807</v>
      </c>
    </row>
    <row r="153" spans="1:4">
      <c r="A153" s="5">
        <v>31206</v>
      </c>
      <c r="B153" s="6" t="s">
        <v>158</v>
      </c>
      <c r="C153" s="14">
        <f>IFERROR(VLOOKUP(A153,datos_2016!$B$1:$G$330,6,FALSE),"")</f>
        <v>3.9094056549336411</v>
      </c>
      <c r="D153" s="14">
        <f>IFERROR(VLOOKUP(A153,datos_2023!$B$1:$G$322,6,FALSE),"")</f>
        <v>5.6781816689915487</v>
      </c>
    </row>
    <row r="154" spans="1:4">
      <c r="A154" s="12">
        <v>31301</v>
      </c>
      <c r="B154" s="13" t="s">
        <v>159</v>
      </c>
      <c r="C154" s="14">
        <f>IFERROR(VLOOKUP(A154,datos_2016!$B$1:$G$330,6,FALSE),"")</f>
        <v>6.8758473755568472</v>
      </c>
      <c r="D154" s="14">
        <f>IFERROR(VLOOKUP(A154,datos_2023!$B$1:$G$322,6,FALSE),"")</f>
        <v>6.0183339976086092</v>
      </c>
    </row>
    <row r="155" spans="1:4">
      <c r="A155" s="5">
        <v>31302</v>
      </c>
      <c r="B155" s="6" t="s">
        <v>160</v>
      </c>
      <c r="C155" s="14">
        <f>IFERROR(VLOOKUP(A155,datos_2016!$B$1:$G$330,6,FALSE),"")</f>
        <v>10.782241014799155</v>
      </c>
      <c r="D155" s="14">
        <f>IFERROR(VLOOKUP(A155,datos_2023!$B$1:$G$322,6,FALSE),"")</f>
        <v>14.595660749506903</v>
      </c>
    </row>
    <row r="156" spans="1:4">
      <c r="A156" s="3">
        <v>31303</v>
      </c>
      <c r="B156" s="4" t="s">
        <v>161</v>
      </c>
      <c r="C156" s="14">
        <f>IFERROR(VLOOKUP(A156,datos_2016!$B$1:$G$330,6,FALSE),"")</f>
        <v>12.794612794612794</v>
      </c>
      <c r="D156" s="14">
        <f>IFERROR(VLOOKUP(A156,datos_2023!$B$1:$G$322,6,FALSE),"")</f>
        <v>16.617210682492583</v>
      </c>
    </row>
    <row r="157" spans="1:4">
      <c r="A157" s="5">
        <v>31304</v>
      </c>
      <c r="B157" s="6" t="s">
        <v>162</v>
      </c>
      <c r="C157" s="14" t="str">
        <f>IFERROR(VLOOKUP(A157,datos_2016!$B$1:$G$330,6,FALSE),"")</f>
        <v/>
      </c>
      <c r="D157" s="14" t="str">
        <f>IFERROR(VLOOKUP(A157,datos_2023!$B$1:$G$322,6,FALSE),"")</f>
        <v/>
      </c>
    </row>
    <row r="158" spans="1:4">
      <c r="A158" s="3">
        <v>31401</v>
      </c>
      <c r="B158" s="4" t="s">
        <v>163</v>
      </c>
      <c r="C158" s="14">
        <f>IFERROR(VLOOKUP(A158,datos_2016!$B$1:$G$330,6,FALSE),"")</f>
        <v>7.8358208955223878</v>
      </c>
      <c r="D158" s="14">
        <f>IFERROR(VLOOKUP(A158,datos_2023!$B$1:$G$322,6,FALSE),"")</f>
        <v>6.7993232900990899</v>
      </c>
    </row>
    <row r="159" spans="1:4">
      <c r="A159" s="5">
        <v>31402</v>
      </c>
      <c r="B159" s="6" t="s">
        <v>164</v>
      </c>
      <c r="C159" s="14">
        <f>IFERROR(VLOOKUP(A159,datos_2016!$B$1:$G$330,6,FALSE),"")</f>
        <v>19.314137819475899</v>
      </c>
      <c r="D159" s="14">
        <f>IFERROR(VLOOKUP(A159,datos_2023!$B$1:$G$322,6,FALSE),"")</f>
        <v>14.872118724344805</v>
      </c>
    </row>
    <row r="160" spans="1:4">
      <c r="A160" s="3">
        <v>31403</v>
      </c>
      <c r="B160" s="4" t="s">
        <v>165</v>
      </c>
      <c r="C160" s="14">
        <f>IFERROR(VLOOKUP(A160,datos_2016!$B$1:$G$330,6,FALSE),"")</f>
        <v>10.73224043715847</v>
      </c>
      <c r="D160" s="14">
        <f>IFERROR(VLOOKUP(A160,datos_2023!$B$1:$G$322,6,FALSE),"")</f>
        <v>10.962264150943396</v>
      </c>
    </row>
    <row r="161" spans="1:4">
      <c r="A161" s="5">
        <v>31404</v>
      </c>
      <c r="B161" s="6" t="s">
        <v>166</v>
      </c>
      <c r="C161" s="14">
        <f>IFERROR(VLOOKUP(A161,datos_2016!$B$1:$G$330,6,FALSE),"")</f>
        <v>19.453924914675767</v>
      </c>
      <c r="D161" s="14">
        <f>IFERROR(VLOOKUP(A161,datos_2023!$B$1:$G$322,6,FALSE),"")</f>
        <v>19.189189189189189</v>
      </c>
    </row>
    <row r="162" spans="1:4">
      <c r="A162" s="3">
        <v>31405</v>
      </c>
      <c r="B162" s="4" t="s">
        <v>167</v>
      </c>
      <c r="C162" s="14" t="str">
        <f>IFERROR(VLOOKUP(A162,datos_2016!$B$1:$G$330,6,FALSE),"")</f>
        <v/>
      </c>
      <c r="D162" s="14" t="str">
        <f>IFERROR(VLOOKUP(A162,datos_2023!$B$1:$G$322,6,FALSE),"")</f>
        <v/>
      </c>
    </row>
    <row r="163" spans="1:4">
      <c r="A163" s="5">
        <v>31501</v>
      </c>
      <c r="B163" s="6" t="s">
        <v>168</v>
      </c>
      <c r="C163" s="14">
        <f>IFERROR(VLOOKUP(A163,datos_2016!$B$1:$G$330,6,FALSE),"")</f>
        <v>17.094972067039105</v>
      </c>
      <c r="D163" s="14">
        <f>IFERROR(VLOOKUP(A163,datos_2023!$B$1:$G$322,6,FALSE),"")</f>
        <v>19.623875715453803</v>
      </c>
    </row>
    <row r="164" spans="1:4">
      <c r="A164" s="3">
        <v>31601</v>
      </c>
      <c r="B164" s="4" t="s">
        <v>169</v>
      </c>
      <c r="C164" s="14">
        <f>IFERROR(VLOOKUP(A164,datos_2016!$B$1:$G$330,6,FALSE),"")</f>
        <v>10.51862673484295</v>
      </c>
      <c r="D164" s="14">
        <f>IFERROR(VLOOKUP(A164,datos_2023!$B$1:$G$322,6,FALSE),"")</f>
        <v>10.723060723060723</v>
      </c>
    </row>
    <row r="165" spans="1:4">
      <c r="A165" s="5">
        <v>31602</v>
      </c>
      <c r="B165" s="6" t="s">
        <v>170</v>
      </c>
      <c r="C165" s="14">
        <f>IFERROR(VLOOKUP(A165,datos_2016!$B$1:$G$330,6,FALSE),"")</f>
        <v>4.536082474226804</v>
      </c>
      <c r="D165" s="14">
        <f>IFERROR(VLOOKUP(A165,datos_2023!$B$1:$G$322,6,FALSE),"")</f>
        <v>3.4063981042654028</v>
      </c>
    </row>
    <row r="166" spans="1:4">
      <c r="A166" s="3">
        <v>40101</v>
      </c>
      <c r="B166" s="4" t="s">
        <v>171</v>
      </c>
      <c r="C166" s="14">
        <f>IFERROR(VLOOKUP(A166,datos_2016!$B$1:$G$330,6,FALSE),"")</f>
        <v>5.3643631685351956</v>
      </c>
      <c r="D166" s="14">
        <f>IFERROR(VLOOKUP(A166,datos_2023!$B$1:$G$322,6,FALSE),"")</f>
        <v>7.0773213537899267</v>
      </c>
    </row>
    <row r="167" spans="1:4">
      <c r="A167" s="5">
        <v>40102</v>
      </c>
      <c r="B167" s="6" t="s">
        <v>172</v>
      </c>
      <c r="C167" s="14">
        <f>IFERROR(VLOOKUP(A167,datos_2016!$B$1:$G$330,6,FALSE),"")</f>
        <v>5.2192982456140351</v>
      </c>
      <c r="D167" s="14">
        <f>IFERROR(VLOOKUP(A167,datos_2023!$B$1:$G$322,6,FALSE),"")</f>
        <v>16.063788409179306</v>
      </c>
    </row>
    <row r="168" spans="1:4">
      <c r="A168" s="3">
        <v>40103</v>
      </c>
      <c r="B168" s="4" t="s">
        <v>173</v>
      </c>
      <c r="C168" s="14">
        <f>IFERROR(VLOOKUP(A168,datos_2016!$B$1:$G$330,6,FALSE),"")</f>
        <v>27.710843373493976</v>
      </c>
      <c r="D168" s="14">
        <f>IFERROR(VLOOKUP(A168,datos_2023!$B$1:$G$322,6,FALSE),"")</f>
        <v>7.7709611451942742</v>
      </c>
    </row>
    <row r="169" spans="1:4">
      <c r="A169" s="5">
        <v>40104</v>
      </c>
      <c r="B169" s="6" t="s">
        <v>174</v>
      </c>
      <c r="C169" s="14">
        <f>IFERROR(VLOOKUP(A169,datos_2016!$B$1:$G$330,6,FALSE),"")</f>
        <v>1.4160919540229886</v>
      </c>
      <c r="D169" s="14">
        <f>IFERROR(VLOOKUP(A169,datos_2023!$B$1:$G$322,6,FALSE),"")</f>
        <v>16.063174114021571</v>
      </c>
    </row>
    <row r="170" spans="1:4">
      <c r="A170" s="3">
        <v>40201</v>
      </c>
      <c r="B170" s="4" t="s">
        <v>175</v>
      </c>
      <c r="C170" s="14">
        <f>IFERROR(VLOOKUP(A170,datos_2016!$B$1:$G$330,6,FALSE),"")</f>
        <v>16.091008771929825</v>
      </c>
      <c r="D170" s="14">
        <f>IFERROR(VLOOKUP(A170,datos_2023!$B$1:$G$322,6,FALSE),"")</f>
        <v>13.410579345088161</v>
      </c>
    </row>
    <row r="171" spans="1:4">
      <c r="A171" s="5">
        <v>40202</v>
      </c>
      <c r="B171" s="6" t="s">
        <v>176</v>
      </c>
      <c r="C171" s="14">
        <f>IFERROR(VLOOKUP(A171,datos_2016!$B$1:$G$330,6,FALSE),"")</f>
        <v>1.7518248175182483</v>
      </c>
      <c r="D171" s="14">
        <f>IFERROR(VLOOKUP(A171,datos_2023!$B$1:$G$322,6,FALSE),"")</f>
        <v>19.834710743801654</v>
      </c>
    </row>
    <row r="172" spans="1:4">
      <c r="A172" s="3">
        <v>40301</v>
      </c>
      <c r="B172" s="4" t="s">
        <v>177</v>
      </c>
      <c r="C172" s="14">
        <f>IFERROR(VLOOKUP(A172,datos_2016!$B$1:$G$330,6,FALSE),"")</f>
        <v>23.653566229985444</v>
      </c>
      <c r="D172" s="14">
        <f>IFERROR(VLOOKUP(A172,datos_2023!$B$1:$G$322,6,FALSE),"")</f>
        <v>30.307017543859651</v>
      </c>
    </row>
    <row r="173" spans="1:4">
      <c r="A173" s="5">
        <v>40302</v>
      </c>
      <c r="B173" s="6" t="s">
        <v>178</v>
      </c>
      <c r="C173" s="14">
        <f>IFERROR(VLOOKUP(A173,datos_2016!$B$1:$G$330,6,FALSE),"")</f>
        <v>29.515418502202643</v>
      </c>
      <c r="D173" s="14">
        <f>IFERROR(VLOOKUP(A173,datos_2023!$B$1:$G$322,6,FALSE),"")</f>
        <v>24.861111111111111</v>
      </c>
    </row>
    <row r="174" spans="1:4">
      <c r="A174" s="3">
        <v>40401</v>
      </c>
      <c r="B174" s="4" t="s">
        <v>179</v>
      </c>
      <c r="C174" s="14">
        <f>IFERROR(VLOOKUP(A174,datos_2016!$B$1:$G$330,6,FALSE),"")</f>
        <v>8.7056128293241688</v>
      </c>
      <c r="D174" s="14">
        <f>IFERROR(VLOOKUP(A174,datos_2023!$B$1:$G$322,6,FALSE),"")</f>
        <v>14.1280353200883</v>
      </c>
    </row>
    <row r="175" spans="1:4">
      <c r="A175" s="5">
        <v>40402</v>
      </c>
      <c r="B175" s="6" t="s">
        <v>180</v>
      </c>
      <c r="C175" s="14">
        <f>IFERROR(VLOOKUP(A175,datos_2016!$B$1:$G$330,6,FALSE),"")</f>
        <v>29.18552036199095</v>
      </c>
      <c r="D175" s="14">
        <f>IFERROR(VLOOKUP(A175,datos_2023!$B$1:$G$322,6,FALSE),"")</f>
        <v>23.119266055045873</v>
      </c>
    </row>
    <row r="176" spans="1:4">
      <c r="A176" s="3">
        <v>40501</v>
      </c>
      <c r="B176" s="4" t="s">
        <v>181</v>
      </c>
      <c r="C176" s="14">
        <f>IFERROR(VLOOKUP(A176,datos_2016!$B$1:$G$330,6,FALSE),"")</f>
        <v>22.103386809269161</v>
      </c>
      <c r="D176" s="14">
        <f>IFERROR(VLOOKUP(A176,datos_2023!$B$1:$G$322,6,FALSE),"")</f>
        <v>18.518518518518519</v>
      </c>
    </row>
    <row r="177" spans="1:4">
      <c r="A177" s="5">
        <v>40502</v>
      </c>
      <c r="B177" s="6" t="s">
        <v>182</v>
      </c>
      <c r="C177" s="14">
        <f>IFERROR(VLOOKUP(A177,datos_2016!$B$1:$G$330,6,FALSE),"")</f>
        <v>50</v>
      </c>
      <c r="D177" s="14">
        <f>IFERROR(VLOOKUP(A177,datos_2023!$B$1:$G$322,6,FALSE),"")</f>
        <v>34.979423868312757</v>
      </c>
    </row>
    <row r="178" spans="1:4">
      <c r="A178" s="3">
        <v>40503</v>
      </c>
      <c r="B178" s="4" t="s">
        <v>183</v>
      </c>
      <c r="C178" s="14">
        <f>IFERROR(VLOOKUP(A178,datos_2016!$B$1:$G$330,6,FALSE),"")</f>
        <v>25.396825396825395</v>
      </c>
      <c r="D178" s="14">
        <f>IFERROR(VLOOKUP(A178,datos_2023!$B$1:$G$322,6,FALSE),"")</f>
        <v>21.568627450980394</v>
      </c>
    </row>
    <row r="179" spans="1:4">
      <c r="A179" s="5">
        <v>40504</v>
      </c>
      <c r="B179" s="6" t="s">
        <v>184</v>
      </c>
      <c r="C179" s="14">
        <f>IFERROR(VLOOKUP(A179,datos_2016!$B$1:$G$330,6,FALSE),"")</f>
        <v>1.7241379310344827</v>
      </c>
      <c r="D179" s="14">
        <f>IFERROR(VLOOKUP(A179,datos_2023!$B$1:$G$322,6,FALSE),"")</f>
        <v>27.118644067796609</v>
      </c>
    </row>
    <row r="180" spans="1:4">
      <c r="A180" s="3">
        <v>40505</v>
      </c>
      <c r="B180" s="4" t="s">
        <v>185</v>
      </c>
      <c r="C180" s="14">
        <f>IFERROR(VLOOKUP(A180,datos_2016!$B$1:$G$330,6,FALSE),"")</f>
        <v>40.983606557377051</v>
      </c>
      <c r="D180" s="14">
        <f>IFERROR(VLOOKUP(A180,datos_2023!$B$1:$G$322,6,FALSE),"")</f>
        <v>34.838709677419352</v>
      </c>
    </row>
    <row r="181" spans="1:4">
      <c r="A181" s="5">
        <v>40601</v>
      </c>
      <c r="B181" s="6" t="s">
        <v>186</v>
      </c>
      <c r="C181" s="14">
        <f>IFERROR(VLOOKUP(A181,datos_2016!$B$1:$G$330,6,FALSE),"")</f>
        <v>26.315789473684209</v>
      </c>
      <c r="D181" s="14">
        <f>IFERROR(VLOOKUP(A181,datos_2023!$B$1:$G$322,6,FALSE),"")</f>
        <v>33.690658499234303</v>
      </c>
    </row>
    <row r="182" spans="1:4">
      <c r="A182" s="3">
        <v>40602</v>
      </c>
      <c r="B182" s="4" t="s">
        <v>187</v>
      </c>
      <c r="C182" s="14">
        <f>IFERROR(VLOOKUP(A182,datos_2016!$B$1:$G$330,6,FALSE),"")</f>
        <v>5.7021276595744679</v>
      </c>
      <c r="D182" s="14">
        <f>IFERROR(VLOOKUP(A182,datos_2023!$B$1:$G$322,6,FALSE),"")</f>
        <v>8.3900226757369616</v>
      </c>
    </row>
    <row r="183" spans="1:4">
      <c r="A183" s="5">
        <v>40603</v>
      </c>
      <c r="B183" s="6" t="s">
        <v>188</v>
      </c>
      <c r="C183" s="14">
        <f>IFERROR(VLOOKUP(A183,datos_2016!$B$1:$G$330,6,FALSE),"")</f>
        <v>16.666666666666668</v>
      </c>
      <c r="D183" s="14">
        <f>IFERROR(VLOOKUP(A183,datos_2023!$B$1:$G$322,6,FALSE),"")</f>
        <v>39.726027397260275</v>
      </c>
    </row>
    <row r="184" spans="1:4">
      <c r="A184" s="3">
        <v>40701</v>
      </c>
      <c r="B184" s="4" t="s">
        <v>189</v>
      </c>
      <c r="C184" s="14">
        <f>IFERROR(VLOOKUP(A184,datos_2016!$B$1:$G$330,6,FALSE),"")</f>
        <v>8.8067659496230917</v>
      </c>
      <c r="D184" s="14">
        <f>IFERROR(VLOOKUP(A184,datos_2023!$B$1:$G$322,6,FALSE),"")</f>
        <v>8.4113658379076526</v>
      </c>
    </row>
    <row r="185" spans="1:4">
      <c r="A185" s="5">
        <v>40702</v>
      </c>
      <c r="B185" s="6" t="s">
        <v>190</v>
      </c>
      <c r="C185" s="14">
        <f>IFERROR(VLOOKUP(A185,datos_2016!$B$1:$G$330,6,FALSE),"")</f>
        <v>9.6373056994818658</v>
      </c>
      <c r="D185" s="14">
        <f>IFERROR(VLOOKUP(A185,datos_2023!$B$1:$G$322,6,FALSE),"")</f>
        <v>12.329803328290469</v>
      </c>
    </row>
    <row r="186" spans="1:4">
      <c r="A186" s="3">
        <v>40801</v>
      </c>
      <c r="B186" s="4" t="s">
        <v>191</v>
      </c>
      <c r="C186" s="14">
        <f>IFERROR(VLOOKUP(A186,datos_2016!$B$1:$G$330,6,FALSE),"")</f>
        <v>34.702926396689328</v>
      </c>
      <c r="D186" s="14">
        <f>IFERROR(VLOOKUP(A186,datos_2023!$B$1:$G$322,6,FALSE),"")</f>
        <v>16.719143576826198</v>
      </c>
    </row>
    <row r="187" spans="1:4">
      <c r="A187" s="5">
        <v>40802</v>
      </c>
      <c r="B187" s="6" t="s">
        <v>192</v>
      </c>
      <c r="C187" s="14">
        <f>IFERROR(VLOOKUP(A187,datos_2016!$B$1:$G$330,6,FALSE),"")</f>
        <v>33.519553072625698</v>
      </c>
      <c r="D187" s="14">
        <f>IFERROR(VLOOKUP(A187,datos_2023!$B$1:$G$322,6,FALSE),"")</f>
        <v>20.959595959595958</v>
      </c>
    </row>
    <row r="188" spans="1:4">
      <c r="A188" s="3">
        <v>40901</v>
      </c>
      <c r="B188" s="4" t="s">
        <v>193</v>
      </c>
      <c r="C188" s="14">
        <f>IFERROR(VLOOKUP(A188,datos_2016!$B$1:$G$330,6,FALSE),"")</f>
        <v>22.965879265091864</v>
      </c>
      <c r="D188" s="14">
        <f>IFERROR(VLOOKUP(A188,datos_2023!$B$1:$G$322,6,FALSE),"")</f>
        <v>22.28024369016536</v>
      </c>
    </row>
    <row r="189" spans="1:4">
      <c r="A189" s="5">
        <v>40902</v>
      </c>
      <c r="B189" s="6" t="s">
        <v>194</v>
      </c>
      <c r="C189" s="14">
        <f>IFERROR(VLOOKUP(A189,datos_2016!$B$1:$G$330,6,FALSE),"")</f>
        <v>14.393939393939394</v>
      </c>
      <c r="D189" s="14">
        <f>IFERROR(VLOOKUP(A189,datos_2023!$B$1:$G$322,6,FALSE),"")</f>
        <v>21.568627450980394</v>
      </c>
    </row>
    <row r="190" spans="1:4">
      <c r="A190" s="3">
        <v>40903</v>
      </c>
      <c r="B190" s="4" t="s">
        <v>195</v>
      </c>
      <c r="C190" s="14">
        <f>IFERROR(VLOOKUP(A190,datos_2016!$B$1:$G$330,6,FALSE),"")</f>
        <v>17.994100294985252</v>
      </c>
      <c r="D190" s="14">
        <f>IFERROR(VLOOKUP(A190,datos_2023!$B$1:$G$322,6,FALSE),"")</f>
        <v>20.396600566572239</v>
      </c>
    </row>
    <row r="191" spans="1:4">
      <c r="A191" s="5">
        <v>41001</v>
      </c>
      <c r="B191" s="6" t="s">
        <v>196</v>
      </c>
      <c r="C191" s="14">
        <f>IFERROR(VLOOKUP(A191,datos_2016!$B$1:$G$330,6,FALSE),"")</f>
        <v>9.9621689785624206</v>
      </c>
      <c r="D191" s="14">
        <f>IFERROR(VLOOKUP(A191,datos_2023!$B$1:$G$322,6,FALSE),"")</f>
        <v>29.851668726823238</v>
      </c>
    </row>
    <row r="192" spans="1:4">
      <c r="A192" s="3">
        <v>41101</v>
      </c>
      <c r="B192" s="4" t="s">
        <v>197</v>
      </c>
      <c r="C192" s="14">
        <f>IFERROR(VLOOKUP(A192,datos_2016!$B$1:$G$330,6,FALSE),"")</f>
        <v>0</v>
      </c>
      <c r="D192" s="14">
        <f>IFERROR(VLOOKUP(A192,datos_2023!$B$1:$G$322,6,FALSE),"")</f>
        <v>9.9342585829072316</v>
      </c>
    </row>
    <row r="193" spans="1:4">
      <c r="A193" s="5">
        <v>41201</v>
      </c>
      <c r="B193" s="6" t="s">
        <v>198</v>
      </c>
      <c r="C193" s="14">
        <f>IFERROR(VLOOKUP(A193,datos_2016!$B$1:$G$330,6,FALSE),"")</f>
        <v>25.355871886120998</v>
      </c>
      <c r="D193" s="14">
        <f>IFERROR(VLOOKUP(A193,datos_2023!$B$1:$G$322,6,FALSE),"")</f>
        <v>30.979347101932046</v>
      </c>
    </row>
    <row r="194" spans="1:4">
      <c r="A194" s="3">
        <v>41202</v>
      </c>
      <c r="B194" s="4" t="s">
        <v>199</v>
      </c>
      <c r="C194" s="14">
        <f>IFERROR(VLOOKUP(A194,datos_2016!$B$1:$G$330,6,FALSE),"")</f>
        <v>32.054794520547944</v>
      </c>
      <c r="D194" s="14">
        <f>IFERROR(VLOOKUP(A194,datos_2023!$B$1:$G$322,6,FALSE),"")</f>
        <v>32.716049382716051</v>
      </c>
    </row>
    <row r="195" spans="1:4">
      <c r="A195" s="5">
        <v>41301</v>
      </c>
      <c r="B195" s="6" t="s">
        <v>200</v>
      </c>
      <c r="C195" s="14">
        <f>IFERROR(VLOOKUP(A195,datos_2016!$B$1:$G$330,6,FALSE),"")</f>
        <v>2.1153846153846154</v>
      </c>
      <c r="D195" s="14">
        <f>IFERROR(VLOOKUP(A195,datos_2023!$B$1:$G$322,6,FALSE),"")</f>
        <v>16.704805491990847</v>
      </c>
    </row>
    <row r="196" spans="1:4">
      <c r="A196" s="3">
        <v>41401</v>
      </c>
      <c r="B196" s="4" t="s">
        <v>201</v>
      </c>
      <c r="C196" s="14">
        <f>IFERROR(VLOOKUP(A196,datos_2016!$B$1:$G$330,6,FALSE),"")</f>
        <v>15.485362095531586</v>
      </c>
      <c r="D196" s="14">
        <f>IFERROR(VLOOKUP(A196,datos_2023!$B$1:$G$322,6,FALSE),"")</f>
        <v>17.679012345679013</v>
      </c>
    </row>
    <row r="197" spans="1:4">
      <c r="A197" s="5">
        <v>41501</v>
      </c>
      <c r="B197" s="6" t="s">
        <v>202</v>
      </c>
      <c r="C197" s="14">
        <f>IFERROR(VLOOKUP(A197,datos_2016!$B$1:$G$330,6,FALSE),"")</f>
        <v>0</v>
      </c>
      <c r="D197" s="14">
        <f>IFERROR(VLOOKUP(A197,datos_2023!$B$1:$G$322,6,FALSE),"")</f>
        <v>19.863013698630137</v>
      </c>
    </row>
    <row r="198" spans="1:4">
      <c r="A198" s="3">
        <v>41502</v>
      </c>
      <c r="B198" s="4" t="s">
        <v>203</v>
      </c>
      <c r="C198" s="14">
        <f>IFERROR(VLOOKUP(A198,datos_2016!$B$1:$G$330,6,FALSE),"")</f>
        <v>0</v>
      </c>
      <c r="D198" s="14">
        <f>IFERROR(VLOOKUP(A198,datos_2023!$B$1:$G$322,6,FALSE),"")</f>
        <v>25.196850393700789</v>
      </c>
    </row>
    <row r="199" spans="1:4">
      <c r="A199" s="5">
        <v>41503</v>
      </c>
      <c r="B199" s="6" t="s">
        <v>204</v>
      </c>
      <c r="C199" s="14">
        <f>IFERROR(VLOOKUP(A199,datos_2016!$B$1:$G$330,6,FALSE),"")</f>
        <v>0</v>
      </c>
      <c r="D199" s="14">
        <f>IFERROR(VLOOKUP(A199,datos_2023!$B$1:$G$322,6,FALSE),"")</f>
        <v>23.03921568627451</v>
      </c>
    </row>
    <row r="200" spans="1:4">
      <c r="A200" s="3">
        <v>41601</v>
      </c>
      <c r="B200" s="4" t="s">
        <v>205</v>
      </c>
      <c r="C200" s="14">
        <f>IFERROR(VLOOKUP(A200,datos_2016!$B$1:$G$330,6,FALSE),"")</f>
        <v>3.8797284190106693</v>
      </c>
      <c r="D200" s="14">
        <f>IFERROR(VLOOKUP(A200,datos_2023!$B$1:$G$322,6,FALSE),"")</f>
        <v>23.512747875354108</v>
      </c>
    </row>
    <row r="201" spans="1:4">
      <c r="A201" s="5">
        <v>50101</v>
      </c>
      <c r="B201" s="6" t="s">
        <v>206</v>
      </c>
      <c r="C201" s="14">
        <f>IFERROR(VLOOKUP(A201,datos_2016!$B$1:$G$330,6,FALSE),"")</f>
        <v>3.907373669575223</v>
      </c>
      <c r="D201" s="14">
        <f>IFERROR(VLOOKUP(A201,datos_2023!$B$1:$G$322,6,FALSE),"")</f>
        <v>6.6545289030496129</v>
      </c>
    </row>
    <row r="202" spans="1:4">
      <c r="A202" s="3">
        <v>50102</v>
      </c>
      <c r="B202" s="4" t="s">
        <v>207</v>
      </c>
      <c r="C202" s="14">
        <f>IFERROR(VLOOKUP(A202,datos_2016!$B$1:$G$330,6,FALSE),"")</f>
        <v>21.969920377469773</v>
      </c>
      <c r="D202" s="14">
        <f>IFERROR(VLOOKUP(A202,datos_2023!$B$1:$G$322,6,FALSE),"")</f>
        <v>34.830575256107174</v>
      </c>
    </row>
    <row r="203" spans="1:4">
      <c r="A203" s="5">
        <v>50103</v>
      </c>
      <c r="B203" s="6" t="s">
        <v>208</v>
      </c>
      <c r="C203" s="14">
        <f>IFERROR(VLOOKUP(A203,datos_2016!$B$1:$G$330,6,FALSE),"")</f>
        <v>21.201890614449695</v>
      </c>
      <c r="D203" s="14">
        <f>IFERROR(VLOOKUP(A203,datos_2023!$B$1:$G$322,6,FALSE),"")</f>
        <v>33.933161953727506</v>
      </c>
    </row>
    <row r="204" spans="1:4">
      <c r="A204" s="3">
        <v>50104</v>
      </c>
      <c r="B204" s="4" t="s">
        <v>209</v>
      </c>
      <c r="C204" s="14">
        <f>IFERROR(VLOOKUP(A204,datos_2016!$B$1:$G$330,6,FALSE),"")</f>
        <v>34.265734265734267</v>
      </c>
      <c r="D204" s="14">
        <f>IFERROR(VLOOKUP(A204,datos_2023!$B$1:$G$322,6,FALSE),"")</f>
        <v>44.512195121951223</v>
      </c>
    </row>
    <row r="205" spans="1:4">
      <c r="A205" s="5">
        <v>50201</v>
      </c>
      <c r="B205" s="6" t="s">
        <v>210</v>
      </c>
      <c r="C205" s="14">
        <f>IFERROR(VLOOKUP(A205,datos_2016!$B$1:$G$330,6,FALSE),"")</f>
        <v>0</v>
      </c>
      <c r="D205" s="14">
        <f>IFERROR(VLOOKUP(A205,datos_2023!$B$1:$G$322,6,FALSE),"")</f>
        <v>0</v>
      </c>
    </row>
    <row r="206" spans="1:4">
      <c r="A206" s="3">
        <v>50202</v>
      </c>
      <c r="B206" s="4" t="s">
        <v>211</v>
      </c>
      <c r="C206" s="14">
        <f>IFERROR(VLOOKUP(A206,datos_2016!$B$1:$G$330,6,FALSE),"")</f>
        <v>26.437699680511184</v>
      </c>
      <c r="D206" s="14">
        <f>IFERROR(VLOOKUP(A206,datos_2023!$B$1:$G$322,6,FALSE),"")</f>
        <v>39.429634221946685</v>
      </c>
    </row>
    <row r="207" spans="1:4">
      <c r="A207" s="5">
        <v>50203</v>
      </c>
      <c r="B207" s="6" t="s">
        <v>212</v>
      </c>
      <c r="C207" s="14">
        <f>IFERROR(VLOOKUP(A207,datos_2016!$B$1:$G$330,6,FALSE),"")</f>
        <v>3.4633145202668034</v>
      </c>
      <c r="D207" s="14">
        <f>IFERROR(VLOOKUP(A207,datos_2023!$B$1:$G$322,6,FALSE),"")</f>
        <v>4.300871542250853</v>
      </c>
    </row>
    <row r="208" spans="1:4">
      <c r="A208" s="3">
        <v>50204</v>
      </c>
      <c r="B208" s="4" t="s">
        <v>213</v>
      </c>
      <c r="C208" s="14" t="str">
        <f>IFERROR(VLOOKUP(A208,datos_2016!$B$1:$G$330,6,FALSE),"")</f>
        <v/>
      </c>
      <c r="D208" s="14" t="str">
        <f>IFERROR(VLOOKUP(A208,datos_2023!$B$1:$G$322,6,FALSE),"")</f>
        <v/>
      </c>
    </row>
    <row r="209" spans="1:4">
      <c r="A209" s="5">
        <v>50301</v>
      </c>
      <c r="B209" s="6" t="s">
        <v>214</v>
      </c>
      <c r="C209" s="14">
        <f>IFERROR(VLOOKUP(A209,datos_2016!$B$1:$G$330,6,FALSE),"")</f>
        <v>13.540332906530089</v>
      </c>
      <c r="D209" s="14">
        <f>IFERROR(VLOOKUP(A209,datos_2023!$B$1:$G$322,6,FALSE),"")</f>
        <v>21.248674443266172</v>
      </c>
    </row>
    <row r="210" spans="1:4">
      <c r="A210" s="3">
        <v>50302</v>
      </c>
      <c r="B210" s="4" t="s">
        <v>215</v>
      </c>
      <c r="C210" s="14">
        <f>IFERROR(VLOOKUP(A210,datos_2016!$B$1:$G$330,6,FALSE),"")</f>
        <v>11.842105263157896</v>
      </c>
      <c r="D210" s="14">
        <f>IFERROR(VLOOKUP(A210,datos_2023!$B$1:$G$322,6,FALSE),"")</f>
        <v>36.00668337510443</v>
      </c>
    </row>
    <row r="211" spans="1:4">
      <c r="A211" s="5">
        <v>50303</v>
      </c>
      <c r="B211" s="6" t="s">
        <v>216</v>
      </c>
      <c r="C211" s="14">
        <f>IFERROR(VLOOKUP(A211,datos_2016!$B$1:$G$330,6,FALSE),"")</f>
        <v>2.7027027027027026</v>
      </c>
      <c r="D211" s="14">
        <f>IFERROR(VLOOKUP(A211,datos_2023!$B$1:$G$322,6,FALSE),"")</f>
        <v>5.0586510263929618</v>
      </c>
    </row>
    <row r="212" spans="1:4">
      <c r="A212" s="12">
        <v>50401</v>
      </c>
      <c r="B212" s="13" t="s">
        <v>217</v>
      </c>
      <c r="C212" s="14">
        <f>IFERROR(VLOOKUP(A212,datos_2016!$B$1:$G$330,6,FALSE),"")</f>
        <v>10.646312450436161</v>
      </c>
      <c r="D212" s="14">
        <f>IFERROR(VLOOKUP(A212,datos_2023!$B$1:$G$322,6,FALSE),"")</f>
        <v>11.958491187613243</v>
      </c>
    </row>
    <row r="213" spans="1:4">
      <c r="A213" s="5">
        <v>50402</v>
      </c>
      <c r="B213" s="6" t="s">
        <v>218</v>
      </c>
      <c r="C213" s="14">
        <f>IFERROR(VLOOKUP(A213,datos_2016!$B$1:$G$330,6,FALSE),"")</f>
        <v>12.124282337048294</v>
      </c>
      <c r="D213" s="14">
        <f>IFERROR(VLOOKUP(A213,datos_2023!$B$1:$G$322,6,FALSE),"")</f>
        <v>9.954614220877458</v>
      </c>
    </row>
    <row r="214" spans="1:4">
      <c r="A214" s="3">
        <v>50403</v>
      </c>
      <c r="B214" s="4" t="s">
        <v>219</v>
      </c>
      <c r="C214" s="14">
        <f>IFERROR(VLOOKUP(A214,datos_2016!$B$1:$G$330,6,FALSE),"")</f>
        <v>18.377367313537526</v>
      </c>
      <c r="D214" s="14">
        <f>IFERROR(VLOOKUP(A214,datos_2023!$B$1:$G$322,6,FALSE),"")</f>
        <v>25.334096983581521</v>
      </c>
    </row>
    <row r="215" spans="1:4">
      <c r="A215" s="5">
        <v>50404</v>
      </c>
      <c r="B215" s="6" t="s">
        <v>220</v>
      </c>
      <c r="C215" s="14">
        <f>IFERROR(VLOOKUP(A215,datos_2016!$B$1:$G$330,6,FALSE),"")</f>
        <v>18.546365914786968</v>
      </c>
      <c r="D215" s="14">
        <f>IFERROR(VLOOKUP(A215,datos_2023!$B$1:$G$322,6,FALSE),"")</f>
        <v>15.156794425087108</v>
      </c>
    </row>
    <row r="216" spans="1:4">
      <c r="A216" s="3">
        <v>50405</v>
      </c>
      <c r="B216" s="4" t="s">
        <v>221</v>
      </c>
      <c r="C216" s="14" t="str">
        <f>IFERROR(VLOOKUP(A216,datos_2016!$B$1:$G$330,6,FALSE),"")</f>
        <v/>
      </c>
      <c r="D216" s="14">
        <f>IFERROR(VLOOKUP(A216,datos_2023!$B$1:$G$322,6,FALSE),"")</f>
        <v>0</v>
      </c>
    </row>
    <row r="217" spans="1:4">
      <c r="A217" s="5">
        <v>50501</v>
      </c>
      <c r="B217" s="6" t="s">
        <v>222</v>
      </c>
      <c r="C217" s="14">
        <f>IFERROR(VLOOKUP(A217,datos_2016!$B$1:$G$330,6,FALSE),"")</f>
        <v>19.440914866581956</v>
      </c>
      <c r="D217" s="14">
        <f>IFERROR(VLOOKUP(A217,datos_2023!$B$1:$G$322,6,FALSE),"")</f>
        <v>24.733475479744136</v>
      </c>
    </row>
    <row r="218" spans="1:4">
      <c r="A218" s="3">
        <v>50502</v>
      </c>
      <c r="B218" s="4" t="s">
        <v>223</v>
      </c>
      <c r="C218" s="14">
        <f>IFERROR(VLOOKUP(A218,datos_2016!$B$1:$G$330,6,FALSE),"")</f>
        <v>30.515759312320917</v>
      </c>
      <c r="D218" s="14">
        <f>IFERROR(VLOOKUP(A218,datos_2023!$B$1:$G$322,6,FALSE),"")</f>
        <v>28.34941050375134</v>
      </c>
    </row>
    <row r="219" spans="1:4">
      <c r="A219" s="5">
        <v>50601</v>
      </c>
      <c r="B219" s="6" t="s">
        <v>224</v>
      </c>
      <c r="C219" s="14">
        <f>IFERROR(VLOOKUP(A219,datos_2016!$B$1:$G$330,6,FALSE),"")</f>
        <v>18.919427710843372</v>
      </c>
      <c r="D219" s="14">
        <f>IFERROR(VLOOKUP(A219,datos_2023!$B$1:$G$322,6,FALSE),"")</f>
        <v>14.952771342006772</v>
      </c>
    </row>
    <row r="220" spans="1:4">
      <c r="A220" s="3">
        <v>50602</v>
      </c>
      <c r="B220" s="4" t="s">
        <v>225</v>
      </c>
      <c r="C220" s="14">
        <f>IFERROR(VLOOKUP(A220,datos_2016!$B$1:$G$330,6,FALSE),"")</f>
        <v>20.123293703214443</v>
      </c>
      <c r="D220" s="14">
        <f>IFERROR(VLOOKUP(A220,datos_2023!$B$1:$G$322,6,FALSE),"")</f>
        <v>6.063055780113177</v>
      </c>
    </row>
    <row r="221" spans="1:4">
      <c r="A221" s="5">
        <v>50701</v>
      </c>
      <c r="B221" s="6" t="s">
        <v>226</v>
      </c>
      <c r="C221" s="14">
        <f>IFERROR(VLOOKUP(A221,datos_2016!$B$1:$G$330,6,FALSE),"")</f>
        <v>15.977175463623395</v>
      </c>
      <c r="D221" s="14">
        <f>IFERROR(VLOOKUP(A221,datos_2023!$B$1:$G$322,6,FALSE),"")</f>
        <v>20.458310325786858</v>
      </c>
    </row>
    <row r="222" spans="1:4">
      <c r="A222" s="3">
        <v>50702</v>
      </c>
      <c r="B222" s="4" t="s">
        <v>227</v>
      </c>
      <c r="C222" s="14">
        <f>IFERROR(VLOOKUP(A222,datos_2016!$B$1:$G$330,6,FALSE),"")</f>
        <v>10.323089046493301</v>
      </c>
      <c r="D222" s="14">
        <f>IFERROR(VLOOKUP(A222,datos_2023!$B$1:$G$322,6,FALSE),"")</f>
        <v>33.490884537474678</v>
      </c>
    </row>
    <row r="223" spans="1:4">
      <c r="A223" s="5">
        <v>50801</v>
      </c>
      <c r="B223" s="6" t="s">
        <v>228</v>
      </c>
      <c r="C223" s="14">
        <f>IFERROR(VLOOKUP(A223,datos_2016!$B$1:$G$330,6,FALSE),"")</f>
        <v>11.808268229166666</v>
      </c>
      <c r="D223" s="14">
        <f>IFERROR(VLOOKUP(A223,datos_2023!$B$1:$G$322,6,FALSE),"")</f>
        <v>9.4477998274374464</v>
      </c>
    </row>
    <row r="224" spans="1:4">
      <c r="A224" s="3">
        <v>50802</v>
      </c>
      <c r="B224" s="4" t="s">
        <v>229</v>
      </c>
      <c r="C224" s="14">
        <f>IFERROR(VLOOKUP(A224,datos_2016!$B$1:$G$330,6,FALSE),"")</f>
        <v>4.9885132917623896</v>
      </c>
      <c r="D224" s="14" t="str">
        <f>IFERROR(VLOOKUP(A224,datos_2023!$B$1:$G$322,6,FALSE),"")</f>
        <v/>
      </c>
    </row>
    <row r="225" spans="1:4">
      <c r="A225" s="5">
        <v>50901</v>
      </c>
      <c r="B225" s="6" t="s">
        <v>230</v>
      </c>
      <c r="C225" s="14">
        <f>IFERROR(VLOOKUP(A225,datos_2016!$B$1:$G$330,6,FALSE),"")</f>
        <v>21.900826446280991</v>
      </c>
      <c r="D225" s="14">
        <f>IFERROR(VLOOKUP(A225,datos_2023!$B$1:$G$322,6,FALSE),"")</f>
        <v>14.89294710327456</v>
      </c>
    </row>
    <row r="226" spans="1:4">
      <c r="A226" s="3">
        <v>50902</v>
      </c>
      <c r="B226" s="4" t="s">
        <v>231</v>
      </c>
      <c r="C226" s="14">
        <f>IFERROR(VLOOKUP(A226,datos_2016!$B$1:$G$330,6,FALSE),"")</f>
        <v>22.328244274809162</v>
      </c>
      <c r="D226" s="14">
        <f>IFERROR(VLOOKUP(A226,datos_2023!$B$1:$G$322,6,FALSE),"")</f>
        <v>24.413145539906104</v>
      </c>
    </row>
    <row r="227" spans="1:4">
      <c r="A227" s="5">
        <v>51001</v>
      </c>
      <c r="B227" s="6" t="s">
        <v>232</v>
      </c>
      <c r="C227" s="14">
        <f>IFERROR(VLOOKUP(A227,datos_2016!$B$1:$G$330,6,FALSE),"")</f>
        <v>16.304347826086957</v>
      </c>
      <c r="D227" s="14">
        <f>IFERROR(VLOOKUP(A227,datos_2023!$B$1:$G$322,6,FALSE),"")</f>
        <v>23.652694610778443</v>
      </c>
    </row>
    <row r="228" spans="1:4">
      <c r="A228" s="3">
        <v>51002</v>
      </c>
      <c r="B228" s="4" t="s">
        <v>233</v>
      </c>
      <c r="C228" s="14" t="str">
        <f>IFERROR(VLOOKUP(A228,datos_2016!$B$1:$G$330,6,FALSE),"")</f>
        <v/>
      </c>
      <c r="D228" s="14">
        <f>IFERROR(VLOOKUP(A228,datos_2023!$B$1:$G$322,6,FALSE),"")</f>
        <v>21.951219512195124</v>
      </c>
    </row>
    <row r="229" spans="1:4">
      <c r="A229" s="5">
        <v>51003</v>
      </c>
      <c r="B229" s="6" t="s">
        <v>234</v>
      </c>
      <c r="C229" s="14">
        <f>IFERROR(VLOOKUP(A229,datos_2016!$B$1:$G$330,6,FALSE),"")</f>
        <v>9.5238095238095237</v>
      </c>
      <c r="D229" s="14">
        <f>IFERROR(VLOOKUP(A229,datos_2023!$B$1:$G$322,6,FALSE),"")</f>
        <v>23.902439024390244</v>
      </c>
    </row>
    <row r="230" spans="1:4">
      <c r="A230" s="3">
        <v>51101</v>
      </c>
      <c r="B230" s="4" t="s">
        <v>235</v>
      </c>
      <c r="C230" s="14">
        <f>IFERROR(VLOOKUP(A230,datos_2016!$B$1:$G$330,6,FALSE),"")</f>
        <v>9.3761743705373917</v>
      </c>
      <c r="D230" s="14">
        <f>IFERROR(VLOOKUP(A230,datos_2023!$B$1:$G$322,6,FALSE),"")</f>
        <v>28.30536912751678</v>
      </c>
    </row>
    <row r="231" spans="1:4">
      <c r="A231" s="5">
        <v>51102</v>
      </c>
      <c r="B231" s="6" t="s">
        <v>236</v>
      </c>
      <c r="C231" s="14">
        <f>IFERROR(VLOOKUP(A231,datos_2016!$B$1:$G$330,6,FALSE),"")</f>
        <v>13.92177969142447</v>
      </c>
      <c r="D231" s="14">
        <f>IFERROR(VLOOKUP(A231,datos_2023!$B$1:$G$322,6,FALSE),"")</f>
        <v>21.332518337408313</v>
      </c>
    </row>
    <row r="232" spans="1:4">
      <c r="A232" s="3">
        <v>51103</v>
      </c>
      <c r="B232" s="4" t="s">
        <v>237</v>
      </c>
      <c r="C232" s="14">
        <f>IFERROR(VLOOKUP(A232,datos_2016!$B$1:$G$330,6,FALSE),"")</f>
        <v>26.81451612903226</v>
      </c>
      <c r="D232" s="14">
        <f>IFERROR(VLOOKUP(A232,datos_2023!$B$1:$G$322,6,FALSE),"")</f>
        <v>30.254184748915065</v>
      </c>
    </row>
    <row r="233" spans="1:4">
      <c r="A233" s="5">
        <v>51201</v>
      </c>
      <c r="B233" s="6" t="s">
        <v>238</v>
      </c>
      <c r="C233" s="14">
        <f>IFERROR(VLOOKUP(A233,datos_2016!$B$1:$G$330,6,FALSE),"")</f>
        <v>7.934402508139395</v>
      </c>
      <c r="D233" s="14">
        <f>IFERROR(VLOOKUP(A233,datos_2023!$B$1:$G$322,6,FALSE),"")</f>
        <v>11.442495126705653</v>
      </c>
    </row>
    <row r="234" spans="1:4">
      <c r="A234" s="3">
        <v>51202</v>
      </c>
      <c r="B234" s="4" t="s">
        <v>239</v>
      </c>
      <c r="C234" s="14">
        <f>IFERROR(VLOOKUP(A234,datos_2016!$B$1:$G$330,6,FALSE),"")</f>
        <v>13.327076489910841</v>
      </c>
      <c r="D234" s="14">
        <f>IFERROR(VLOOKUP(A234,datos_2023!$B$1:$G$322,6,FALSE),"")</f>
        <v>18.46099541122485</v>
      </c>
    </row>
    <row r="235" spans="1:4">
      <c r="A235" s="5">
        <v>51203</v>
      </c>
      <c r="B235" s="6" t="s">
        <v>240</v>
      </c>
      <c r="C235" s="14">
        <f>IFERROR(VLOOKUP(A235,datos_2016!$B$1:$G$330,6,FALSE),"")</f>
        <v>4.8076923076923075</v>
      </c>
      <c r="D235" s="14">
        <f>IFERROR(VLOOKUP(A235,datos_2023!$B$1:$G$322,6,FALSE),"")</f>
        <v>16.666666666666668</v>
      </c>
    </row>
    <row r="236" spans="1:4">
      <c r="A236" s="3">
        <v>51204</v>
      </c>
      <c r="B236" s="4" t="s">
        <v>241</v>
      </c>
      <c r="C236" s="14" t="str">
        <f>IFERROR(VLOOKUP(A236,datos_2016!$B$1:$G$330,6,FALSE),"")</f>
        <v/>
      </c>
      <c r="D236" s="14" t="str">
        <f>IFERROR(VLOOKUP(A236,datos_2023!$B$1:$G$322,6,FALSE),"")</f>
        <v/>
      </c>
    </row>
    <row r="237" spans="1:4">
      <c r="A237" s="5">
        <v>51301</v>
      </c>
      <c r="B237" s="6" t="s">
        <v>242</v>
      </c>
      <c r="C237" s="14">
        <f>IFERROR(VLOOKUP(A237,datos_2016!$B$1:$G$330,6,FALSE),"")</f>
        <v>21.178343949044585</v>
      </c>
      <c r="D237" s="14">
        <f>IFERROR(VLOOKUP(A237,datos_2023!$B$1:$G$322,6,FALSE),"")</f>
        <v>7.0080862533692718</v>
      </c>
    </row>
    <row r="238" spans="1:4">
      <c r="A238" s="3">
        <v>51302</v>
      </c>
      <c r="B238" s="4" t="s">
        <v>243</v>
      </c>
      <c r="C238" s="14">
        <f>IFERROR(VLOOKUP(A238,datos_2016!$B$1:$G$330,6,FALSE),"")</f>
        <v>19.174311926605505</v>
      </c>
      <c r="D238" s="14">
        <f>IFERROR(VLOOKUP(A238,datos_2023!$B$1:$G$322,6,FALSE),"")</f>
        <v>25.485008818342152</v>
      </c>
    </row>
    <row r="239" spans="1:4">
      <c r="A239" s="5">
        <v>51401</v>
      </c>
      <c r="B239" s="6" t="s">
        <v>244</v>
      </c>
      <c r="C239" s="14">
        <f>IFERROR(VLOOKUP(A239,datos_2016!$B$1:$G$330,6,FALSE),"")</f>
        <v>25.523012552301257</v>
      </c>
      <c r="D239" s="14">
        <f>IFERROR(VLOOKUP(A239,datos_2023!$B$1:$G$322,6,FALSE),"")</f>
        <v>31.391585760517799</v>
      </c>
    </row>
    <row r="240" spans="1:4">
      <c r="A240" s="3">
        <v>51402</v>
      </c>
      <c r="B240" s="4" t="s">
        <v>245</v>
      </c>
      <c r="C240" s="14">
        <f>IFERROR(VLOOKUP(A240,datos_2016!$B$1:$G$330,6,FALSE),"")</f>
        <v>40.705882352941174</v>
      </c>
      <c r="D240" s="14">
        <f>IFERROR(VLOOKUP(A240,datos_2023!$B$1:$G$322,6,FALSE),"")</f>
        <v>44.150110375275936</v>
      </c>
    </row>
    <row r="241" spans="1:4">
      <c r="A241" s="5">
        <v>51501</v>
      </c>
      <c r="B241" s="6" t="s">
        <v>246</v>
      </c>
      <c r="C241" s="14">
        <f>IFERROR(VLOOKUP(A241,datos_2016!$B$1:$G$330,6,FALSE),"")</f>
        <v>4.4338875692794932</v>
      </c>
      <c r="D241" s="14">
        <f>IFERROR(VLOOKUP(A241,datos_2023!$B$1:$G$322,6,FALSE),"")</f>
        <v>6.2834114647586148</v>
      </c>
    </row>
    <row r="242" spans="1:4">
      <c r="A242" s="3">
        <v>51601</v>
      </c>
      <c r="B242" s="4" t="s">
        <v>247</v>
      </c>
      <c r="C242" s="14">
        <f>IFERROR(VLOOKUP(A242,datos_2016!$B$1:$G$330,6,FALSE),"")</f>
        <v>12.444444444444445</v>
      </c>
      <c r="D242" s="14">
        <f>IFERROR(VLOOKUP(A242,datos_2023!$B$1:$G$322,6,FALSE),"")</f>
        <v>28.571428571428573</v>
      </c>
    </row>
    <row r="243" spans="1:4">
      <c r="A243" s="5">
        <v>60101</v>
      </c>
      <c r="B243" s="6" t="s">
        <v>248</v>
      </c>
      <c r="C243" s="14">
        <f>IFERROR(VLOOKUP(A243,datos_2016!$B$1:$G$330,6,FALSE),"")</f>
        <v>4.3276905188893053</v>
      </c>
      <c r="D243" s="14">
        <f>IFERROR(VLOOKUP(A243,datos_2023!$B$1:$G$322,6,FALSE),"")</f>
        <v>5.8297217950510278</v>
      </c>
    </row>
    <row r="244" spans="1:4">
      <c r="A244" s="3">
        <v>60201</v>
      </c>
      <c r="B244" s="4" t="s">
        <v>249</v>
      </c>
      <c r="C244" s="14">
        <f>IFERROR(VLOOKUP(A244,datos_2016!$B$1:$G$330,6,FALSE),"")</f>
        <v>11.992309540975727</v>
      </c>
      <c r="D244" s="14">
        <f>IFERROR(VLOOKUP(A244,datos_2023!$B$1:$G$322,6,FALSE),"")</f>
        <v>17.34013338564143</v>
      </c>
    </row>
    <row r="245" spans="1:4">
      <c r="A245" s="5">
        <v>60202</v>
      </c>
      <c r="B245" s="6" t="s">
        <v>250</v>
      </c>
      <c r="C245" s="14">
        <f>IFERROR(VLOOKUP(A245,datos_2016!$B$1:$G$330,6,FALSE),"")</f>
        <v>3.1675711595968545</v>
      </c>
      <c r="D245" s="14">
        <f>IFERROR(VLOOKUP(A245,datos_2023!$B$1:$G$322,6,FALSE),"")</f>
        <v>4.6638953665213423</v>
      </c>
    </row>
    <row r="246" spans="1:4">
      <c r="A246" s="3">
        <v>60301</v>
      </c>
      <c r="B246" s="4" t="s">
        <v>251</v>
      </c>
      <c r="C246" s="14">
        <f>IFERROR(VLOOKUP(A246,datos_2016!$B$1:$G$330,6,FALSE),"")</f>
        <v>2.9177319897728982</v>
      </c>
      <c r="D246" s="14">
        <f>IFERROR(VLOOKUP(A246,datos_2023!$B$1:$G$322,6,FALSE),"")</f>
        <v>4.4313026571613738</v>
      </c>
    </row>
    <row r="247" spans="1:4">
      <c r="A247" s="5">
        <v>60302</v>
      </c>
      <c r="B247" s="6" t="s">
        <v>252</v>
      </c>
      <c r="C247" s="14">
        <f>IFERROR(VLOOKUP(A247,datos_2016!$B$1:$G$330,6,FALSE),"")</f>
        <v>6.0862214708368558</v>
      </c>
      <c r="D247" s="14">
        <f>IFERROR(VLOOKUP(A247,datos_2023!$B$1:$G$322,6,FALSE),"")</f>
        <v>10.9531577720811</v>
      </c>
    </row>
    <row r="248" spans="1:4">
      <c r="A248" s="3">
        <v>60303</v>
      </c>
      <c r="B248" s="4" t="s">
        <v>253</v>
      </c>
      <c r="C248" s="14">
        <f>IFERROR(VLOOKUP(A248,datos_2016!$B$1:$G$330,6,FALSE),"")</f>
        <v>3.7666307083782811</v>
      </c>
      <c r="D248" s="14">
        <f>IFERROR(VLOOKUP(A248,datos_2023!$B$1:$G$322,6,FALSE),"")</f>
        <v>5.7194872183873171</v>
      </c>
    </row>
    <row r="249" spans="1:4">
      <c r="A249" s="5">
        <v>60401</v>
      </c>
      <c r="B249" s="6" t="s">
        <v>254</v>
      </c>
      <c r="C249" s="14">
        <f>IFERROR(VLOOKUP(A249,datos_2016!$B$1:$G$330,6,FALSE),"")</f>
        <v>8.6583924349881798</v>
      </c>
      <c r="D249" s="14">
        <f>IFERROR(VLOOKUP(A249,datos_2023!$B$1:$G$322,6,FALSE),"")</f>
        <v>11.54663518299882</v>
      </c>
    </row>
    <row r="250" spans="1:4">
      <c r="A250" s="3">
        <v>60402</v>
      </c>
      <c r="B250" s="4" t="s">
        <v>255</v>
      </c>
      <c r="C250" s="14">
        <f>IFERROR(VLOOKUP(A250,datos_2016!$B$1:$G$330,6,FALSE),"")</f>
        <v>4.7134935304990755</v>
      </c>
      <c r="D250" s="14">
        <f>IFERROR(VLOOKUP(A250,datos_2023!$B$1:$G$322,6,FALSE),"")</f>
        <v>38.002873563218394</v>
      </c>
    </row>
    <row r="251" spans="1:4">
      <c r="A251" s="5">
        <v>60501</v>
      </c>
      <c r="B251" s="6" t="s">
        <v>256</v>
      </c>
      <c r="C251" s="14">
        <f>IFERROR(VLOOKUP(A251,datos_2016!$B$1:$G$330,6,FALSE),"")</f>
        <v>12.235799207397623</v>
      </c>
      <c r="D251" s="14">
        <f>IFERROR(VLOOKUP(A251,datos_2023!$B$1:$G$322,6,FALSE),"")</f>
        <v>11.270894788593903</v>
      </c>
    </row>
    <row r="252" spans="1:4">
      <c r="A252" s="3">
        <v>60502</v>
      </c>
      <c r="B252" s="4" t="s">
        <v>257</v>
      </c>
      <c r="C252" s="14">
        <f>IFERROR(VLOOKUP(A252,datos_2016!$B$1:$G$330,6,FALSE),"")</f>
        <v>8.3365200764818361</v>
      </c>
      <c r="D252" s="14">
        <f>IFERROR(VLOOKUP(A252,datos_2023!$B$1:$G$322,6,FALSE),"")</f>
        <v>16.989466530750935</v>
      </c>
    </row>
    <row r="253" spans="1:4">
      <c r="A253" s="5">
        <v>60601</v>
      </c>
      <c r="B253" s="6" t="s">
        <v>158</v>
      </c>
      <c r="C253" s="14">
        <f>IFERROR(VLOOKUP(A253,datos_2016!$B$1:$G$330,6,FALSE),"")</f>
        <v>8.1223628691983123</v>
      </c>
      <c r="D253" s="14">
        <f>IFERROR(VLOOKUP(A253,datos_2023!$B$1:$G$322,6,FALSE),"")</f>
        <v>11.971472236372898</v>
      </c>
    </row>
    <row r="254" spans="1:4">
      <c r="A254" s="3">
        <v>70101</v>
      </c>
      <c r="B254" s="4" t="s">
        <v>258</v>
      </c>
      <c r="C254" s="14">
        <f>IFERROR(VLOOKUP(A254,datos_2016!$B$1:$G$330,6,FALSE),"")</f>
        <v>3.5991265485386368</v>
      </c>
      <c r="D254" s="14">
        <f>IFERROR(VLOOKUP(A254,datos_2023!$B$1:$G$322,6,FALSE),"")</f>
        <v>5.6874650845654875</v>
      </c>
    </row>
    <row r="255" spans="1:4">
      <c r="A255" s="5">
        <v>70102</v>
      </c>
      <c r="B255" s="6" t="s">
        <v>259</v>
      </c>
      <c r="C255" s="14">
        <f>IFERROR(VLOOKUP(A255,datos_2016!$B$1:$G$330,6,FALSE),"")</f>
        <v>7.691011709207312</v>
      </c>
      <c r="D255" s="14">
        <f>IFERROR(VLOOKUP(A255,datos_2023!$B$1:$G$322,6,FALSE),"")</f>
        <v>11.640187961512643</v>
      </c>
    </row>
    <row r="256" spans="1:4">
      <c r="A256" s="3">
        <v>70103</v>
      </c>
      <c r="B256" s="4" t="s">
        <v>260</v>
      </c>
      <c r="C256" s="14">
        <f>IFERROR(VLOOKUP(A256,datos_2016!$B$1:$G$330,6,FALSE),"")</f>
        <v>7.1809185485917277</v>
      </c>
      <c r="D256" s="14">
        <f>IFERROR(VLOOKUP(A256,datos_2023!$B$1:$G$322,6,FALSE),"")</f>
        <v>8.7542087542087543</v>
      </c>
    </row>
    <row r="257" spans="1:4">
      <c r="A257" s="5">
        <v>70104</v>
      </c>
      <c r="B257" s="6" t="s">
        <v>261</v>
      </c>
      <c r="C257" s="14">
        <f>IFERROR(VLOOKUP(A257,datos_2016!$B$1:$G$330,6,FALSE),"")</f>
        <v>4.0807193132348756</v>
      </c>
      <c r="D257" s="14">
        <f>IFERROR(VLOOKUP(A257,datos_2023!$B$1:$G$322,6,FALSE),"")</f>
        <v>6.1714909885308575</v>
      </c>
    </row>
    <row r="258" spans="1:4">
      <c r="A258" s="3">
        <v>70105</v>
      </c>
      <c r="B258" s="4" t="s">
        <v>262</v>
      </c>
      <c r="C258" s="14">
        <f>IFERROR(VLOOKUP(A258,datos_2016!$B$1:$G$330,6,FALSE),"")</f>
        <v>4.0084972753301926</v>
      </c>
      <c r="D258" s="14">
        <f>IFERROR(VLOOKUP(A258,datos_2023!$B$1:$G$322,6,FALSE),"")</f>
        <v>6.859038142620232</v>
      </c>
    </row>
    <row r="259" spans="1:4">
      <c r="A259" s="5">
        <v>70201</v>
      </c>
      <c r="B259" s="6" t="s">
        <v>263</v>
      </c>
      <c r="C259" s="14">
        <f>IFERROR(VLOOKUP(A259,datos_2016!$B$1:$G$330,6,FALSE),"")</f>
        <v>5.3154834541669658</v>
      </c>
      <c r="D259" s="14">
        <f>IFERROR(VLOOKUP(A259,datos_2023!$B$1:$G$322,6,FALSE),"")</f>
        <v>8.4928806133625407</v>
      </c>
    </row>
    <row r="260" spans="1:4">
      <c r="A260" s="3">
        <v>70202</v>
      </c>
      <c r="B260" s="4" t="s">
        <v>264</v>
      </c>
      <c r="C260" s="14">
        <f>IFERROR(VLOOKUP(A260,datos_2016!$B$1:$G$330,6,FALSE),"")</f>
        <v>4.6709129511677281</v>
      </c>
      <c r="D260" s="14">
        <f>IFERROR(VLOOKUP(A260,datos_2023!$B$1:$G$322,6,FALSE),"")</f>
        <v>10.941828254847646</v>
      </c>
    </row>
    <row r="261" spans="1:4">
      <c r="A261" s="5">
        <v>70301</v>
      </c>
      <c r="B261" s="6" t="s">
        <v>265</v>
      </c>
      <c r="C261" s="14">
        <f>IFERROR(VLOOKUP(A261,datos_2016!$B$1:$G$330,6,FALSE),"")</f>
        <v>3.2555540030739136</v>
      </c>
      <c r="D261" s="14">
        <f>IFERROR(VLOOKUP(A261,datos_2023!$B$1:$G$322,6,FALSE),"")</f>
        <v>6.4981949458483754</v>
      </c>
    </row>
    <row r="262" spans="1:4">
      <c r="A262" s="3">
        <v>70302</v>
      </c>
      <c r="B262" s="4" t="s">
        <v>266</v>
      </c>
      <c r="C262" s="14">
        <f>IFERROR(VLOOKUP(A262,datos_2016!$B$1:$G$330,6,FALSE),"")</f>
        <v>4.4419134396355355</v>
      </c>
      <c r="D262" s="14">
        <f>IFERROR(VLOOKUP(A262,datos_2023!$B$1:$G$322,6,FALSE),"")</f>
        <v>7.2463768115942031</v>
      </c>
    </row>
    <row r="263" spans="1:4">
      <c r="A263" s="5">
        <v>70303</v>
      </c>
      <c r="B263" s="6" t="s">
        <v>267</v>
      </c>
      <c r="C263" s="14">
        <f>IFERROR(VLOOKUP(A263,datos_2016!$B$1:$G$330,6,FALSE),"")</f>
        <v>5.9021922428330527</v>
      </c>
      <c r="D263" s="14">
        <f>IFERROR(VLOOKUP(A263,datos_2023!$B$1:$G$322,6,FALSE),"")</f>
        <v>14.285714285714286</v>
      </c>
    </row>
    <row r="264" spans="1:4">
      <c r="A264" s="3">
        <v>70401</v>
      </c>
      <c r="B264" s="4" t="s">
        <v>268</v>
      </c>
      <c r="C264" s="14">
        <f>IFERROR(VLOOKUP(A264,datos_2016!$B$1:$G$330,6,FALSE),"")</f>
        <v>6.3859164653089406</v>
      </c>
      <c r="D264" s="14">
        <f>IFERROR(VLOOKUP(A264,datos_2023!$B$1:$G$322,6,FALSE),"")</f>
        <v>11.105385209997424</v>
      </c>
    </row>
    <row r="265" spans="1:4">
      <c r="A265" s="5">
        <v>70402</v>
      </c>
      <c r="B265" s="6" t="s">
        <v>269</v>
      </c>
      <c r="C265" s="14">
        <f>IFERROR(VLOOKUP(A265,datos_2016!$B$1:$G$330,6,FALSE),"")</f>
        <v>5.0875273522975926</v>
      </c>
      <c r="D265" s="14">
        <f>IFERROR(VLOOKUP(A265,datos_2023!$B$1:$G$322,6,FALSE),"")</f>
        <v>9.383318544809228</v>
      </c>
    </row>
    <row r="266" spans="1:4">
      <c r="A266" s="3">
        <v>70403</v>
      </c>
      <c r="B266" s="4" t="s">
        <v>270</v>
      </c>
      <c r="C266" s="14">
        <f>IFERROR(VLOOKUP(A266,datos_2016!$B$1:$G$330,6,FALSE),"")</f>
        <v>4.490500863557858</v>
      </c>
      <c r="D266" s="14">
        <f>IFERROR(VLOOKUP(A266,datos_2023!$B$1:$G$322,6,FALSE),"")</f>
        <v>8.924205378973106</v>
      </c>
    </row>
    <row r="267" spans="1:4">
      <c r="A267" s="5">
        <v>70404</v>
      </c>
      <c r="B267" s="6" t="s">
        <v>271</v>
      </c>
      <c r="C267" s="14">
        <f>IFERROR(VLOOKUP(A267,datos_2016!$B$1:$G$330,6,FALSE),"")</f>
        <v>4.7730829420970267</v>
      </c>
      <c r="D267" s="14">
        <f>IFERROR(VLOOKUP(A267,datos_2023!$B$1:$G$322,6,FALSE),"")</f>
        <v>9.7547683923705719</v>
      </c>
    </row>
    <row r="268" spans="1:4">
      <c r="A268" s="3">
        <v>70501</v>
      </c>
      <c r="B268" s="4" t="s">
        <v>272</v>
      </c>
      <c r="C268" s="14">
        <f>IFERROR(VLOOKUP(A268,datos_2016!$B$1:$G$330,6,FALSE),"")</f>
        <v>3.8557993730407523</v>
      </c>
      <c r="D268" s="14">
        <f>IFERROR(VLOOKUP(A268,datos_2023!$B$1:$G$322,6,FALSE),"")</f>
        <v>13.026819923371647</v>
      </c>
    </row>
    <row r="269" spans="1:4">
      <c r="A269" s="5">
        <v>70502</v>
      </c>
      <c r="B269" s="6" t="s">
        <v>273</v>
      </c>
      <c r="C269" s="14">
        <f>IFERROR(VLOOKUP(A269,datos_2016!$B$1:$G$330,6,FALSE),"")</f>
        <v>6.344628695025234</v>
      </c>
      <c r="D269" s="14">
        <f>IFERROR(VLOOKUP(A269,datos_2023!$B$1:$G$322,6,FALSE),"")</f>
        <v>7.9660463597779954</v>
      </c>
    </row>
    <row r="270" spans="1:4">
      <c r="A270" s="3">
        <v>70503</v>
      </c>
      <c r="B270" s="4" t="s">
        <v>274</v>
      </c>
      <c r="C270" s="14">
        <f>IFERROR(VLOOKUP(A270,datos_2016!$B$1:$G$330,6,FALSE),"")</f>
        <v>4.5212765957446805</v>
      </c>
      <c r="D270" s="14">
        <f>IFERROR(VLOOKUP(A270,datos_2023!$B$1:$G$322,6,FALSE),"")</f>
        <v>12.621359223300971</v>
      </c>
    </row>
    <row r="271" spans="1:4">
      <c r="A271" s="5">
        <v>70601</v>
      </c>
      <c r="B271" s="6" t="s">
        <v>275</v>
      </c>
      <c r="C271" s="14">
        <f>IFERROR(VLOOKUP(A271,datos_2016!$B$1:$G$330,6,FALSE),"")</f>
        <v>2.6385224274406331</v>
      </c>
      <c r="D271" s="14">
        <f>IFERROR(VLOOKUP(A271,datos_2023!$B$1:$G$322,6,FALSE),"")</f>
        <v>5.7700377675199332</v>
      </c>
    </row>
    <row r="272" spans="1:4">
      <c r="A272" s="3">
        <v>70602</v>
      </c>
      <c r="B272" s="4" t="s">
        <v>276</v>
      </c>
      <c r="C272" s="14">
        <f>IFERROR(VLOOKUP(A272,datos_2016!$B$1:$G$330,6,FALSE),"")</f>
        <v>6.7304286220332976</v>
      </c>
      <c r="D272" s="14">
        <f>IFERROR(VLOOKUP(A272,datos_2023!$B$1:$G$322,6,FALSE),"")</f>
        <v>11.394101876675602</v>
      </c>
    </row>
    <row r="273" spans="1:4">
      <c r="A273" s="5">
        <v>70603</v>
      </c>
      <c r="B273" s="6" t="s">
        <v>277</v>
      </c>
      <c r="C273" s="14">
        <f>IFERROR(VLOOKUP(A273,datos_2016!$B$1:$G$330,6,FALSE),"")</f>
        <v>4.791666666666667</v>
      </c>
      <c r="D273" s="14">
        <f>IFERROR(VLOOKUP(A273,datos_2023!$B$1:$G$322,6,FALSE),"")</f>
        <v>10.683760683760683</v>
      </c>
    </row>
    <row r="274" spans="1:4">
      <c r="A274" s="3">
        <v>70701</v>
      </c>
      <c r="B274" s="4" t="s">
        <v>278</v>
      </c>
      <c r="C274" s="14">
        <f>IFERROR(VLOOKUP(A274,datos_2016!$B$1:$G$330,6,FALSE),"")</f>
        <v>3.2509752925877762</v>
      </c>
      <c r="D274" s="14">
        <f>IFERROR(VLOOKUP(A274,datos_2023!$B$1:$G$322,6,FALSE),"")</f>
        <v>11.940298507462687</v>
      </c>
    </row>
    <row r="275" spans="1:4">
      <c r="A275" s="5">
        <v>70702</v>
      </c>
      <c r="B275" s="6" t="s">
        <v>279</v>
      </c>
      <c r="C275" s="14">
        <f>IFERROR(VLOOKUP(A275,datos_2016!$B$1:$G$330,6,FALSE),"")</f>
        <v>5.2793664760228776</v>
      </c>
      <c r="D275" s="14">
        <f>IFERROR(VLOOKUP(A275,datos_2023!$B$1:$G$322,6,FALSE),"")</f>
        <v>11.904761904761905</v>
      </c>
    </row>
    <row r="276" spans="1:4">
      <c r="A276" s="3">
        <v>70703</v>
      </c>
      <c r="B276" s="4" t="s">
        <v>280</v>
      </c>
      <c r="C276" s="14">
        <f>IFERROR(VLOOKUP(A276,datos_2016!$B$1:$G$330,6,FALSE),"")</f>
        <v>7.0765289785462695</v>
      </c>
      <c r="D276" s="14">
        <f>IFERROR(VLOOKUP(A276,datos_2023!$B$1:$G$322,6,FALSE),"")</f>
        <v>11.593250054788516</v>
      </c>
    </row>
    <row r="277" spans="1:4">
      <c r="A277" s="5">
        <v>70704</v>
      </c>
      <c r="B277" s="6" t="s">
        <v>281</v>
      </c>
      <c r="C277" s="14">
        <f>IFERROR(VLOOKUP(A277,datos_2016!$B$1:$G$330,6,FALSE),"")</f>
        <v>5.1908396946564883</v>
      </c>
      <c r="D277" s="14">
        <f>IFERROR(VLOOKUP(A277,datos_2023!$B$1:$G$322,6,FALSE),"")</f>
        <v>13.28125</v>
      </c>
    </row>
    <row r="278" spans="1:4">
      <c r="A278" s="3">
        <v>70705</v>
      </c>
      <c r="B278" s="4" t="s">
        <v>282</v>
      </c>
      <c r="C278" s="14">
        <f>IFERROR(VLOOKUP(A278,datos_2016!$B$1:$G$330,6,FALSE),"")</f>
        <v>3.4653465346534653</v>
      </c>
      <c r="D278" s="14">
        <f>IFERROR(VLOOKUP(A278,datos_2023!$B$1:$G$322,6,FALSE),"")</f>
        <v>15.611814345991561</v>
      </c>
    </row>
    <row r="279" spans="1:4">
      <c r="A279" s="5">
        <v>70706</v>
      </c>
      <c r="B279" s="6" t="s">
        <v>283</v>
      </c>
      <c r="C279" s="14">
        <f>IFERROR(VLOOKUP(A279,datos_2016!$B$1:$G$330,6,FALSE),"")</f>
        <v>2.8701107996262181</v>
      </c>
      <c r="D279" s="14">
        <f>IFERROR(VLOOKUP(A279,datos_2023!$B$1:$G$322,6,FALSE),"")</f>
        <v>7.6923076923076925</v>
      </c>
    </row>
    <row r="280" spans="1:4">
      <c r="A280" s="3">
        <v>70707</v>
      </c>
      <c r="B280" s="4" t="s">
        <v>284</v>
      </c>
      <c r="C280" s="14">
        <f>IFERROR(VLOOKUP(A280,datos_2016!$B$1:$G$330,6,FALSE),"")</f>
        <v>3.7220843672456576</v>
      </c>
      <c r="D280" s="14">
        <f>IFERROR(VLOOKUP(A280,datos_2023!$B$1:$G$322,6,FALSE),"")</f>
        <v>10.059171597633137</v>
      </c>
    </row>
    <row r="281" spans="1:4">
      <c r="A281" s="5">
        <v>70801</v>
      </c>
      <c r="B281" s="6" t="s">
        <v>285</v>
      </c>
      <c r="C281" s="14">
        <f>IFERROR(VLOOKUP(A281,datos_2016!$B$1:$G$330,6,FALSE),"")</f>
        <v>6.7956795679567961</v>
      </c>
      <c r="D281" s="14">
        <f>IFERROR(VLOOKUP(A281,datos_2023!$B$1:$G$322,6,FALSE),"")</f>
        <v>10.42654028436019</v>
      </c>
    </row>
    <row r="282" spans="1:4">
      <c r="A282" s="3">
        <v>70802</v>
      </c>
      <c r="B282" s="4" t="s">
        <v>286</v>
      </c>
      <c r="C282" s="14">
        <f>IFERROR(VLOOKUP(A282,datos_2016!$B$1:$G$330,6,FALSE),"")</f>
        <v>5.9615384615384617</v>
      </c>
      <c r="D282" s="14">
        <f>IFERROR(VLOOKUP(A282,datos_2023!$B$1:$G$322,6,FALSE),"")</f>
        <v>23.076923076923077</v>
      </c>
    </row>
    <row r="283" spans="1:4">
      <c r="A283" s="5">
        <v>70803</v>
      </c>
      <c r="B283" s="6" t="s">
        <v>287</v>
      </c>
      <c r="C283" s="14">
        <f>IFERROR(VLOOKUP(A283,datos_2016!$B$1:$G$330,6,FALSE),"")</f>
        <v>5.882352941176471</v>
      </c>
      <c r="D283" s="14">
        <f>IFERROR(VLOOKUP(A283,datos_2023!$B$1:$G$322,6,FALSE),"")</f>
        <v>8.1081081081081088</v>
      </c>
    </row>
    <row r="284" spans="1:4">
      <c r="A284" s="3">
        <v>70804</v>
      </c>
      <c r="B284" s="4" t="s">
        <v>288</v>
      </c>
      <c r="C284" s="14">
        <f>IFERROR(VLOOKUP(A284,datos_2016!$B$1:$G$330,6,FALSE),"")</f>
        <v>11.797752808988765</v>
      </c>
      <c r="D284" s="14">
        <f>IFERROR(VLOOKUP(A284,datos_2023!$B$1:$G$322,6,FALSE),"")</f>
        <v>18.75</v>
      </c>
    </row>
    <row r="285" spans="1:4">
      <c r="A285" s="5">
        <v>70805</v>
      </c>
      <c r="B285" s="6" t="s">
        <v>289</v>
      </c>
      <c r="C285" s="14" t="str">
        <f>IFERROR(VLOOKUP(A285,datos_2016!$B$1:$G$330,6,FALSE),"")</f>
        <v/>
      </c>
      <c r="D285" s="14" t="str">
        <f>IFERROR(VLOOKUP(A285,datos_2023!$B$1:$G$322,6,FALSE),"")</f>
        <v/>
      </c>
    </row>
    <row r="286" spans="1:4">
      <c r="A286" s="3">
        <v>70901</v>
      </c>
      <c r="B286" s="4" t="s">
        <v>290</v>
      </c>
      <c r="C286" s="14">
        <f>IFERROR(VLOOKUP(A286,datos_2016!$B$1:$G$330,6,FALSE),"")</f>
        <v>7.1120689655172411</v>
      </c>
      <c r="D286" s="14">
        <f>IFERROR(VLOOKUP(A286,datos_2023!$B$1:$G$322,6,FALSE),"")</f>
        <v>13.278008298755188</v>
      </c>
    </row>
    <row r="287" spans="1:4">
      <c r="A287" s="5">
        <v>70902</v>
      </c>
      <c r="B287" s="6" t="s">
        <v>291</v>
      </c>
      <c r="C287" s="14">
        <f>IFERROR(VLOOKUP(A287,datos_2016!$B$1:$G$330,6,FALSE),"")</f>
        <v>6.8231203824424167</v>
      </c>
      <c r="D287" s="14">
        <f>IFERROR(VLOOKUP(A287,datos_2023!$B$1:$G$322,6,FALSE),"")</f>
        <v>7.762557077625571</v>
      </c>
    </row>
    <row r="288" spans="1:4">
      <c r="A288" s="3">
        <v>70903</v>
      </c>
      <c r="B288" s="4" t="s">
        <v>292</v>
      </c>
      <c r="C288" s="14">
        <f>IFERROR(VLOOKUP(A288,datos_2016!$B$1:$G$330,6,FALSE),"")</f>
        <v>5.2201012855473312</v>
      </c>
      <c r="D288" s="14">
        <f>IFERROR(VLOOKUP(A288,datos_2023!$B$1:$G$322,6,FALSE),"")</f>
        <v>10.486891385767791</v>
      </c>
    </row>
    <row r="289" spans="1:4">
      <c r="A289" s="5">
        <v>70904</v>
      </c>
      <c r="B289" s="6" t="s">
        <v>293</v>
      </c>
      <c r="C289" s="14">
        <f>IFERROR(VLOOKUP(A289,datos_2016!$B$1:$G$330,6,FALSE),"")</f>
        <v>10.591133004926109</v>
      </c>
      <c r="D289" s="14">
        <f>IFERROR(VLOOKUP(A289,datos_2023!$B$1:$G$322,6,FALSE),"")</f>
        <v>7.8947368421052628</v>
      </c>
    </row>
    <row r="290" spans="1:4">
      <c r="A290" s="3">
        <v>71001</v>
      </c>
      <c r="B290" s="4" t="s">
        <v>294</v>
      </c>
      <c r="C290" s="14">
        <f>IFERROR(VLOOKUP(A290,datos_2016!$B$1:$G$330,6,FALSE),"")</f>
        <v>3.1306940533377507</v>
      </c>
      <c r="D290" s="14">
        <f>IFERROR(VLOOKUP(A290,datos_2023!$B$1:$G$322,6,FALSE),"")</f>
        <v>5.9920913323553799</v>
      </c>
    </row>
    <row r="291" spans="1:4">
      <c r="A291" s="5">
        <v>71002</v>
      </c>
      <c r="B291" s="6" t="s">
        <v>295</v>
      </c>
      <c r="C291" s="14">
        <f>IFERROR(VLOOKUP(A291,datos_2016!$B$1:$G$330,6,FALSE),"")</f>
        <v>5.8174904942965782</v>
      </c>
      <c r="D291" s="14">
        <f>IFERROR(VLOOKUP(A291,datos_2023!$B$1:$G$322,6,FALSE),"")</f>
        <v>10.286253538848694</v>
      </c>
    </row>
    <row r="292" spans="1:4">
      <c r="A292" s="3">
        <v>71003</v>
      </c>
      <c r="B292" s="4" t="s">
        <v>296</v>
      </c>
      <c r="C292" s="14">
        <f>IFERROR(VLOOKUP(A292,datos_2016!$B$1:$G$330,6,FALSE),"")</f>
        <v>3.7574316290130798</v>
      </c>
      <c r="D292" s="14">
        <f>IFERROR(VLOOKUP(A292,datos_2023!$B$1:$G$322,6,FALSE),"")</f>
        <v>7.6449066050452537</v>
      </c>
    </row>
    <row r="293" spans="1:4">
      <c r="A293" s="5">
        <v>71004</v>
      </c>
      <c r="B293" s="6" t="s">
        <v>297</v>
      </c>
      <c r="C293" s="14">
        <f>IFERROR(VLOOKUP(A293,datos_2016!$B$1:$G$330,6,FALSE),"")</f>
        <v>5.0700741962077496</v>
      </c>
      <c r="D293" s="14">
        <f>IFERROR(VLOOKUP(A293,datos_2023!$B$1:$G$322,6,FALSE),"")</f>
        <v>7.6608784473953015</v>
      </c>
    </row>
    <row r="294" spans="1:4">
      <c r="A294" s="3">
        <v>71005</v>
      </c>
      <c r="B294" s="4" t="s">
        <v>298</v>
      </c>
      <c r="C294" s="14">
        <f>IFERROR(VLOOKUP(A294,datos_2016!$B$1:$G$330,6,FALSE),"")</f>
        <v>5.1418439716312054</v>
      </c>
      <c r="D294" s="14">
        <f>IFERROR(VLOOKUP(A294,datos_2023!$B$1:$G$322,6,FALSE),"")</f>
        <v>9.4727435210008935</v>
      </c>
    </row>
    <row r="295" spans="1:4">
      <c r="A295" s="5">
        <v>71101</v>
      </c>
      <c r="B295" s="6" t="s">
        <v>299</v>
      </c>
      <c r="C295" s="14">
        <f>IFERROR(VLOOKUP(A295,datos_2016!$B$1:$G$330,6,FALSE),"")</f>
        <v>5.2973675658108546</v>
      </c>
      <c r="D295" s="14">
        <f>IFERROR(VLOOKUP(A295,datos_2023!$B$1:$G$322,6,FALSE),"")</f>
        <v>9.9815157116451019</v>
      </c>
    </row>
    <row r="296" spans="1:4">
      <c r="A296" s="3">
        <v>71102</v>
      </c>
      <c r="B296" s="4" t="s">
        <v>300</v>
      </c>
      <c r="C296" s="14">
        <f>IFERROR(VLOOKUP(A296,datos_2016!$B$1:$G$330,6,FALSE),"")</f>
        <v>3.8436050364479786</v>
      </c>
      <c r="D296" s="14">
        <f>IFERROR(VLOOKUP(A296,datos_2023!$B$1:$G$322,6,FALSE),"")</f>
        <v>16.778523489932887</v>
      </c>
    </row>
    <row r="297" spans="1:4">
      <c r="A297" s="5">
        <v>71103</v>
      </c>
      <c r="B297" s="6" t="s">
        <v>301</v>
      </c>
      <c r="C297" s="14">
        <f>IFERROR(VLOOKUP(A297,datos_2016!$B$1:$G$330,6,FALSE),"")</f>
        <v>3.7828947368421053</v>
      </c>
      <c r="D297" s="14">
        <f>IFERROR(VLOOKUP(A297,datos_2023!$B$1:$G$322,6,FALSE),"")</f>
        <v>11.564625850340136</v>
      </c>
    </row>
    <row r="298" spans="1:4">
      <c r="A298" s="3">
        <v>71104</v>
      </c>
      <c r="B298" s="4" t="s">
        <v>302</v>
      </c>
      <c r="C298" s="14">
        <f>IFERROR(VLOOKUP(A298,datos_2016!$B$1:$G$330,6,FALSE),"")</f>
        <v>4.9664075879330785</v>
      </c>
      <c r="D298" s="14">
        <f>IFERROR(VLOOKUP(A298,datos_2023!$B$1:$G$322,6,FALSE),"")</f>
        <v>9.3272171253822638</v>
      </c>
    </row>
    <row r="299" spans="1:4">
      <c r="A299" s="5">
        <v>71105</v>
      </c>
      <c r="B299" s="6" t="s">
        <v>303</v>
      </c>
      <c r="C299" s="14">
        <f>IFERROR(VLOOKUP(A299,datos_2016!$B$1:$G$330,6,FALSE),"")</f>
        <v>2.8907922912205568</v>
      </c>
      <c r="D299" s="14">
        <f>IFERROR(VLOOKUP(A299,datos_2023!$B$1:$G$322,6,FALSE),"")</f>
        <v>7.8947368421052628</v>
      </c>
    </row>
    <row r="300" spans="1:4">
      <c r="A300" s="3">
        <v>71106</v>
      </c>
      <c r="B300" s="4" t="s">
        <v>304</v>
      </c>
      <c r="C300" s="14">
        <f>IFERROR(VLOOKUP(A300,datos_2016!$B$1:$G$330,6,FALSE),"")</f>
        <v>5.2769070010449317</v>
      </c>
      <c r="D300" s="14" t="str">
        <f>IFERROR(VLOOKUP(A300,datos_2023!$B$1:$G$322,6,FALSE),"")</f>
        <v/>
      </c>
    </row>
    <row r="301" spans="1:4">
      <c r="A301" s="5">
        <v>71201</v>
      </c>
      <c r="B301" s="6" t="s">
        <v>305</v>
      </c>
      <c r="C301" s="14">
        <f>IFERROR(VLOOKUP(A301,datos_2016!$B$1:$G$330,6,FALSE),"")</f>
        <v>0</v>
      </c>
      <c r="D301" s="14">
        <f>IFERROR(VLOOKUP(A301,datos_2023!$B$1:$G$322,6,FALSE),"")</f>
        <v>0</v>
      </c>
    </row>
    <row r="302" spans="1:4">
      <c r="A302" s="3">
        <v>71301</v>
      </c>
      <c r="B302" s="4" t="s">
        <v>306</v>
      </c>
      <c r="C302" s="14">
        <f>IFERROR(VLOOKUP(A302,datos_2016!$B$1:$G$330,6,FALSE),"")</f>
        <v>5.3119730185497467</v>
      </c>
      <c r="D302" s="14">
        <f>IFERROR(VLOOKUP(A302,datos_2023!$B$1:$G$322,6,FALSE),"")</f>
        <v>7.1005917159763312</v>
      </c>
    </row>
    <row r="303" spans="1:4">
      <c r="A303" s="5">
        <v>71302</v>
      </c>
      <c r="B303" s="6" t="s">
        <v>307</v>
      </c>
      <c r="C303" s="14">
        <f>IFERROR(VLOOKUP(A303,datos_2016!$B$1:$G$330,6,FALSE),"")</f>
        <v>8.8871715610510051</v>
      </c>
      <c r="D303" s="14">
        <f>IFERROR(VLOOKUP(A303,datos_2023!$B$1:$G$322,6,FALSE),"")</f>
        <v>9.9009900990099009</v>
      </c>
    </row>
    <row r="304" spans="1:4">
      <c r="A304" s="3">
        <v>71401</v>
      </c>
      <c r="B304" s="4" t="s">
        <v>308</v>
      </c>
      <c r="C304" s="14">
        <f>IFERROR(VLOOKUP(A304,datos_2016!$B$1:$G$330,6,FALSE),"")</f>
        <v>7.3772514187021958</v>
      </c>
      <c r="D304" s="14">
        <f>IFERROR(VLOOKUP(A304,datos_2023!$B$1:$G$322,6,FALSE),"")</f>
        <v>11.442786069651742</v>
      </c>
    </row>
    <row r="305" spans="1:4">
      <c r="A305" s="5">
        <v>71402</v>
      </c>
      <c r="B305" s="6" t="s">
        <v>309</v>
      </c>
      <c r="C305" s="14">
        <f>IFERROR(VLOOKUP(A305,datos_2016!$B$1:$G$330,6,FALSE),"")</f>
        <v>5.7947468183049011</v>
      </c>
      <c r="D305" s="14">
        <f>IFERROR(VLOOKUP(A305,datos_2023!$B$1:$G$322,6,FALSE),"")</f>
        <v>7.4918566775244297</v>
      </c>
    </row>
    <row r="306" spans="1:4">
      <c r="A306" s="3">
        <v>71403</v>
      </c>
      <c r="B306" s="4" t="s">
        <v>310</v>
      </c>
      <c r="C306" s="14">
        <f>IFERROR(VLOOKUP(A306,datos_2016!$B$1:$G$330,6,FALSE),"")</f>
        <v>3.9951573849878934</v>
      </c>
      <c r="D306" s="14">
        <f>IFERROR(VLOOKUP(A306,datos_2023!$B$1:$G$322,6,FALSE),"")</f>
        <v>8.695652173913043</v>
      </c>
    </row>
    <row r="307" spans="1:4">
      <c r="A307" s="5">
        <v>71501</v>
      </c>
      <c r="B307" s="6" t="s">
        <v>311</v>
      </c>
      <c r="C307" s="14">
        <f>IFERROR(VLOOKUP(A307,datos_2016!$B$1:$G$330,6,FALSE),"")</f>
        <v>4.1925823542962455</v>
      </c>
      <c r="D307" s="14">
        <f>IFERROR(VLOOKUP(A307,datos_2023!$B$1:$G$322,6,FALSE),"")</f>
        <v>13.389830508474576</v>
      </c>
    </row>
    <row r="308" spans="1:4">
      <c r="A308" s="3">
        <v>71502</v>
      </c>
      <c r="B308" s="4" t="s">
        <v>312</v>
      </c>
      <c r="C308" s="14">
        <f>IFERROR(VLOOKUP(A308,datos_2016!$B$1:$G$330,6,FALSE),"")</f>
        <v>5.162738496071829</v>
      </c>
      <c r="D308" s="14">
        <f>IFERROR(VLOOKUP(A308,datos_2023!$B$1:$G$322,6,FALSE),"")</f>
        <v>23.684210526315791</v>
      </c>
    </row>
    <row r="309" spans="1:4">
      <c r="A309" s="5">
        <v>71503</v>
      </c>
      <c r="B309" s="6" t="s">
        <v>257</v>
      </c>
      <c r="C309" s="14">
        <f>IFERROR(VLOOKUP(A309,datos_2016!$B$1:$G$330,6,FALSE),"")</f>
        <v>6.2796208530805684</v>
      </c>
      <c r="D309" s="14">
        <f>IFERROR(VLOOKUP(A309,datos_2023!$B$1:$G$322,6,FALSE),"")</f>
        <v>10.596026490066226</v>
      </c>
    </row>
    <row r="310" spans="1:4">
      <c r="A310" s="3">
        <v>80101</v>
      </c>
      <c r="B310" s="4" t="s">
        <v>313</v>
      </c>
      <c r="C310" s="14">
        <f>IFERROR(VLOOKUP(A310,datos_2016!$B$1:$G$330,6,FALSE),"")</f>
        <v>1.2784368457780879</v>
      </c>
      <c r="D310" s="14">
        <f>IFERROR(VLOOKUP(A310,datos_2023!$B$1:$G$322,6,FALSE),"")</f>
        <v>1.5678149545426434</v>
      </c>
    </row>
    <row r="311" spans="1:4">
      <c r="A311" s="5">
        <v>80102</v>
      </c>
      <c r="B311" s="6" t="s">
        <v>300</v>
      </c>
      <c r="C311" s="14">
        <f>IFERROR(VLOOKUP(A311,datos_2016!$B$1:$G$330,6,FALSE),"")</f>
        <v>4.3795620437956204</v>
      </c>
      <c r="D311" s="14">
        <f>IFERROR(VLOOKUP(A311,datos_2023!$B$1:$G$322,6,FALSE),"")</f>
        <v>4.0983606557377046</v>
      </c>
    </row>
    <row r="312" spans="1:4">
      <c r="A312" s="3">
        <v>80201</v>
      </c>
      <c r="B312" s="4" t="s">
        <v>314</v>
      </c>
      <c r="C312" s="14">
        <f>IFERROR(VLOOKUP(A312,datos_2016!$B$1:$G$330,6,FALSE),"")</f>
        <v>0</v>
      </c>
      <c r="D312" s="14">
        <f>IFERROR(VLOOKUP(A312,datos_2023!$B$1:$G$322,6,FALSE),"")</f>
        <v>1.3756226863488872</v>
      </c>
    </row>
    <row r="313" spans="1:4">
      <c r="A313" s="5">
        <v>80202</v>
      </c>
      <c r="B313" s="6" t="s">
        <v>315</v>
      </c>
      <c r="C313" s="14">
        <f>IFERROR(VLOOKUP(A313,datos_2016!$B$1:$G$330,6,FALSE),"")</f>
        <v>0</v>
      </c>
      <c r="D313" s="14">
        <f>IFERROR(VLOOKUP(A313,datos_2023!$B$1:$G$322,6,FALSE),"")</f>
        <v>0.81885581498284832</v>
      </c>
    </row>
    <row r="314" spans="1:4">
      <c r="A314" s="3">
        <v>80301</v>
      </c>
      <c r="B314" s="4" t="s">
        <v>316</v>
      </c>
      <c r="C314" s="14">
        <f>IFERROR(VLOOKUP(A314,datos_2016!$B$1:$G$330,6,FALSE),"")</f>
        <v>0.72337962962962965</v>
      </c>
      <c r="D314" s="14">
        <f>IFERROR(VLOOKUP(A314,datos_2023!$B$1:$G$322,6,FALSE),"")</f>
        <v>3.3843300880853038</v>
      </c>
    </row>
    <row r="315" spans="1:4">
      <c r="A315" s="5">
        <v>80302</v>
      </c>
      <c r="B315" s="6" t="s">
        <v>317</v>
      </c>
      <c r="C315" s="14">
        <f>IFERROR(VLOOKUP(A315,datos_2016!$B$1:$G$330,6,FALSE),"")</f>
        <v>1.4986274946212628</v>
      </c>
      <c r="D315" s="14">
        <f>IFERROR(VLOOKUP(A315,datos_2023!$B$1:$G$322,6,FALSE),"")</f>
        <v>3.6422646952758746</v>
      </c>
    </row>
    <row r="316" spans="1:4">
      <c r="A316" s="3">
        <v>80303</v>
      </c>
      <c r="B316" s="4" t="s">
        <v>318</v>
      </c>
      <c r="C316" s="14">
        <f>IFERROR(VLOOKUP(A316,datos_2016!$B$1:$G$330,6,FALSE),"")</f>
        <v>0.14306151645207441</v>
      </c>
      <c r="D316" s="14">
        <f>IFERROR(VLOOKUP(A316,datos_2023!$B$1:$G$322,6,FALSE),"")</f>
        <v>2.745744096650192</v>
      </c>
    </row>
    <row r="317" spans="1:4">
      <c r="A317" s="5">
        <v>80304</v>
      </c>
      <c r="B317" s="6" t="s">
        <v>319</v>
      </c>
      <c r="C317" s="14">
        <f>IFERROR(VLOOKUP(A317,datos_2016!$B$1:$G$330,6,FALSE),"")</f>
        <v>1.113916530521313</v>
      </c>
      <c r="D317" s="14">
        <f>IFERROR(VLOOKUP(A317,datos_2023!$B$1:$G$322,6,FALSE),"")</f>
        <v>5.025491624180626</v>
      </c>
    </row>
    <row r="318" spans="1:4">
      <c r="A318" s="3">
        <v>80401</v>
      </c>
      <c r="B318" s="4" t="s">
        <v>320</v>
      </c>
      <c r="C318" s="14">
        <f>IFERROR(VLOOKUP(A318,datos_2016!$B$1:$G$330,6,FALSE),"")</f>
        <v>6.5608187901850148E-2</v>
      </c>
      <c r="D318" s="14">
        <f>IFERROR(VLOOKUP(A318,datos_2023!$B$1:$G$322,6,FALSE),"")</f>
        <v>2.432938240798503</v>
      </c>
    </row>
    <row r="319" spans="1:4">
      <c r="A319" s="5">
        <v>80402</v>
      </c>
      <c r="B319" s="6" t="s">
        <v>321</v>
      </c>
      <c r="C319" s="14" t="str">
        <f>IFERROR(VLOOKUP(A319,datos_2016!$B$1:$G$330,6,FALSE),"")</f>
        <v/>
      </c>
      <c r="D319" s="14">
        <f>IFERROR(VLOOKUP(A319,datos_2023!$B$1:$G$322,6,FALSE),"")</f>
        <v>0</v>
      </c>
    </row>
    <row r="320" spans="1:4">
      <c r="A320" s="3">
        <v>80501</v>
      </c>
      <c r="B320" s="4" t="s">
        <v>322</v>
      </c>
      <c r="C320" s="14">
        <f>IFERROR(VLOOKUP(A320,datos_2016!$B$1:$G$330,6,FALSE),"")</f>
        <v>0.54294862870666849</v>
      </c>
      <c r="D320" s="14">
        <f>IFERROR(VLOOKUP(A320,datos_2023!$B$1:$G$322,6,FALSE),"")</f>
        <v>3.4315127251930226</v>
      </c>
    </row>
    <row r="321" spans="1:4">
      <c r="A321" s="5">
        <v>80601</v>
      </c>
      <c r="B321" s="6" t="s">
        <v>323</v>
      </c>
      <c r="C321" s="14">
        <f>IFERROR(VLOOKUP(A321,datos_2016!$B$1:$G$330,6,FALSE),"")</f>
        <v>2.3391812865497075</v>
      </c>
      <c r="D321" s="14">
        <f>IFERROR(VLOOKUP(A321,datos_2023!$B$1:$G$322,6,FALSE),"")</f>
        <v>7.5528700906344408</v>
      </c>
    </row>
    <row r="322" spans="1:4">
      <c r="A322" s="3">
        <v>80602</v>
      </c>
      <c r="B322" s="4" t="s">
        <v>324</v>
      </c>
      <c r="C322" s="14">
        <f>IFERROR(VLOOKUP(A322,datos_2016!$B$1:$G$330,6,FALSE),"")</f>
        <v>3.2432432432432434</v>
      </c>
      <c r="D322" s="14">
        <f>IFERROR(VLOOKUP(A322,datos_2023!$B$1:$G$322,6,FALSE),"")</f>
        <v>8.7440381558028619</v>
      </c>
    </row>
    <row r="323" spans="1:4">
      <c r="A323" s="5">
        <v>80701</v>
      </c>
      <c r="B323" s="6" t="s">
        <v>325</v>
      </c>
      <c r="C323" s="14">
        <f>IFERROR(VLOOKUP(A323,datos_2016!$B$1:$G$330,6,FALSE),"")</f>
        <v>0.86058519793459554</v>
      </c>
      <c r="D323" s="14">
        <f>IFERROR(VLOOKUP(A323,datos_2023!$B$1:$G$322,6,FALSE),"")</f>
        <v>1.4795474325500435</v>
      </c>
    </row>
    <row r="324" spans="1:4">
      <c r="A324" s="3">
        <v>80702</v>
      </c>
      <c r="B324" s="4" t="s">
        <v>301</v>
      </c>
      <c r="C324" s="14">
        <f>IFERROR(VLOOKUP(A324,datos_2016!$B$1:$G$330,6,FALSE),"")</f>
        <v>2.2529069767441858</v>
      </c>
      <c r="D324" s="14">
        <f>IFERROR(VLOOKUP(A324,datos_2023!$B$1:$G$322,6,FALSE),"")</f>
        <v>1.7664376840039253</v>
      </c>
    </row>
    <row r="325" spans="1:4">
      <c r="A325" s="5">
        <v>80703</v>
      </c>
      <c r="B325" s="6" t="s">
        <v>326</v>
      </c>
      <c r="C325" s="14" t="str">
        <f>IFERROR(VLOOKUP(A325,datos_2016!$B$1:$G$330,6,FALSE),"")</f>
        <v/>
      </c>
      <c r="D325" s="14" t="str">
        <f>IFERROR(VLOOKUP(A325,datos_2023!$B$1:$G$322,6,FALSE),"")</f>
        <v/>
      </c>
    </row>
    <row r="326" spans="1:4">
      <c r="A326" s="3">
        <v>80801</v>
      </c>
      <c r="B326" s="4" t="s">
        <v>327</v>
      </c>
      <c r="C326" s="14">
        <f>IFERROR(VLOOKUP(A326,datos_2016!$B$1:$G$330,6,FALSE),"")</f>
        <v>0.32530904359141183</v>
      </c>
      <c r="D326" s="14">
        <f>IFERROR(VLOOKUP(A326,datos_2023!$B$1:$G$322,6,FALSE),"")</f>
        <v>1.1830201809324983</v>
      </c>
    </row>
    <row r="327" spans="1:4">
      <c r="A327" s="5">
        <v>80802</v>
      </c>
      <c r="B327" s="6" t="s">
        <v>328</v>
      </c>
      <c r="C327" s="14">
        <f>IFERROR(VLOOKUP(A327,datos_2016!$B$1:$G$330,6,FALSE),"")</f>
        <v>0</v>
      </c>
      <c r="D327" s="14">
        <f>IFERROR(VLOOKUP(A327,datos_2023!$B$1:$G$322,6,FALSE),"")</f>
        <v>2.5962399283795881</v>
      </c>
    </row>
    <row r="328" spans="1:4">
      <c r="A328" s="3">
        <v>80803</v>
      </c>
      <c r="B328" s="4" t="s">
        <v>329</v>
      </c>
      <c r="C328" s="14">
        <f>IFERROR(VLOOKUP(A328,datos_2016!$B$1:$G$330,6,FALSE),"")</f>
        <v>0</v>
      </c>
      <c r="D328" s="14">
        <f>IFERROR(VLOOKUP(A328,datos_2023!$B$1:$G$322,6,FALSE),"")</f>
        <v>0.70210631895687059</v>
      </c>
    </row>
    <row r="329" spans="1:4">
      <c r="A329" s="5">
        <v>80804</v>
      </c>
      <c r="B329" s="6" t="s">
        <v>330</v>
      </c>
      <c r="C329" s="14" t="str">
        <f>IFERROR(VLOOKUP(A329,datos_2016!$B$1:$G$330,6,FALSE),"")</f>
        <v/>
      </c>
      <c r="D329" s="14" t="str">
        <f>IFERROR(VLOOKUP(A329,datos_2023!$B$1:$G$322,6,FALSE),"")</f>
        <v/>
      </c>
    </row>
    <row r="330" spans="1:4">
      <c r="A330" s="3">
        <v>90101</v>
      </c>
      <c r="B330" s="4" t="s">
        <v>331</v>
      </c>
      <c r="C330" s="14">
        <f>IFERROR(VLOOKUP(A330,datos_2016!$B$1:$G$330,6,FALSE),"")</f>
        <v>2.0263942103022563</v>
      </c>
      <c r="D330" s="14">
        <f>IFERROR(VLOOKUP(A330,datos_2023!$B$1:$G$322,6,FALSE),"")</f>
        <v>1.654830497119121</v>
      </c>
    </row>
    <row r="331" spans="1:4">
      <c r="A331" s="5">
        <v>90102</v>
      </c>
      <c r="B331" s="6" t="s">
        <v>332</v>
      </c>
      <c r="C331" s="14">
        <f>IFERROR(VLOOKUP(A331,datos_2016!$B$1:$G$330,6,FALSE),"")</f>
        <v>3.5126234906695939</v>
      </c>
      <c r="D331" s="14">
        <f>IFERROR(VLOOKUP(A331,datos_2023!$B$1:$G$322,6,FALSE),"")</f>
        <v>2.223926380368098</v>
      </c>
    </row>
    <row r="332" spans="1:4">
      <c r="A332" s="3">
        <v>90103</v>
      </c>
      <c r="B332" s="4" t="s">
        <v>333</v>
      </c>
      <c r="C332" s="14" t="str">
        <f>IFERROR(VLOOKUP(A332,datos_2016!$B$1:$G$330,6,FALSE),"")</f>
        <v/>
      </c>
      <c r="D332" s="14" t="str">
        <f>IFERROR(VLOOKUP(A332,datos_2023!$B$1:$G$322,6,FALSE),"")</f>
        <v/>
      </c>
    </row>
    <row r="333" spans="1:4">
      <c r="A333" s="5">
        <v>90104</v>
      </c>
      <c r="B333" s="6" t="s">
        <v>334</v>
      </c>
      <c r="C333" s="14">
        <f>IFERROR(VLOOKUP(A333,datos_2016!$B$1:$G$330,6,FALSE),"")</f>
        <v>0.49504950495049505</v>
      </c>
      <c r="D333" s="14">
        <f>IFERROR(VLOOKUP(A333,datos_2023!$B$1:$G$322,6,FALSE),"")</f>
        <v>4.0380047505938244</v>
      </c>
    </row>
    <row r="334" spans="1:4">
      <c r="A334" s="3">
        <v>90201</v>
      </c>
      <c r="B334" s="4" t="s">
        <v>335</v>
      </c>
      <c r="C334" s="14">
        <f>IFERROR(VLOOKUP(A334,datos_2016!$B$1:$G$330,6,FALSE),"")</f>
        <v>4.1884816753926701</v>
      </c>
      <c r="D334" s="14">
        <f>IFERROR(VLOOKUP(A334,datos_2023!$B$1:$G$322,6,FALSE),"")</f>
        <v>1.99479618386817</v>
      </c>
    </row>
    <row r="335" spans="1:4">
      <c r="A335" s="5">
        <v>90202</v>
      </c>
      <c r="B335" s="6" t="s">
        <v>298</v>
      </c>
      <c r="C335" s="14">
        <f>IFERROR(VLOOKUP(A335,datos_2016!$B$1:$G$330,6,FALSE),"")</f>
        <v>2.9411764705882355</v>
      </c>
      <c r="D335" s="14">
        <f>IFERROR(VLOOKUP(A335,datos_2023!$B$1:$G$322,6,FALSE),"")</f>
        <v>5.7377049180327866</v>
      </c>
    </row>
    <row r="336" spans="1:4">
      <c r="A336" s="3">
        <v>90203</v>
      </c>
      <c r="B336" s="4" t="s">
        <v>336</v>
      </c>
      <c r="C336" s="14">
        <f>IFERROR(VLOOKUP(A336,datos_2016!$B$1:$G$330,6,FALSE),"")</f>
        <v>3.9603960396039604</v>
      </c>
      <c r="D336" s="14">
        <f>IFERROR(VLOOKUP(A336,datos_2023!$B$1:$G$322,6,FALSE),"")</f>
        <v>2.2821576763485476</v>
      </c>
    </row>
    <row r="337" spans="1:4">
      <c r="A337" s="5">
        <v>90301</v>
      </c>
      <c r="B337" s="6" t="s">
        <v>337</v>
      </c>
      <c r="C337" s="14">
        <f>IFERROR(VLOOKUP(A337,datos_2016!$B$1:$G$330,6,FALSE),"")</f>
        <v>0</v>
      </c>
      <c r="D337" s="14" t="str">
        <f>IFERROR(VLOOKUP(A337,datos_2023!$B$1:$G$322,6,FALSE),"")</f>
        <v/>
      </c>
    </row>
    <row r="338" spans="1:4">
      <c r="A338" s="3">
        <v>90302</v>
      </c>
      <c r="B338" s="4" t="s">
        <v>338</v>
      </c>
      <c r="C338" s="14">
        <f>IFERROR(VLOOKUP(A338,datos_2016!$B$1:$G$330,6,FALSE),"")</f>
        <v>0.5376344086021505</v>
      </c>
      <c r="D338" s="14">
        <f>IFERROR(VLOOKUP(A338,datos_2023!$B$1:$G$322,6,FALSE),"")</f>
        <v>1.6518424396442186</v>
      </c>
    </row>
    <row r="339" spans="1:4">
      <c r="A339" s="5">
        <v>90303</v>
      </c>
      <c r="B339" s="6" t="s">
        <v>339</v>
      </c>
      <c r="C339" s="14">
        <f>IFERROR(VLOOKUP(A339,datos_2016!$B$1:$G$330,6,FALSE),"")</f>
        <v>0.39920159680638723</v>
      </c>
      <c r="D339" s="14">
        <f>IFERROR(VLOOKUP(A339,datos_2023!$B$1:$G$322,6,FALSE),"")</f>
        <v>1.071080817916261</v>
      </c>
    </row>
    <row r="340" spans="1:4">
      <c r="A340" s="3">
        <v>90401</v>
      </c>
      <c r="B340" s="4" t="s">
        <v>340</v>
      </c>
      <c r="C340" s="14" t="str">
        <f>IFERROR(VLOOKUP(A340,datos_2016!$B$1:$G$330,6,FALSE),"")</f>
        <v/>
      </c>
      <c r="D340" s="14">
        <f>IFERROR(VLOOKUP(A340,datos_2023!$B$1:$G$322,6,FALSE),"")</f>
        <v>7.0393374741200825</v>
      </c>
    </row>
    <row r="341" spans="1:4">
      <c r="A341" s="5">
        <v>90402</v>
      </c>
      <c r="B341" s="6" t="s">
        <v>341</v>
      </c>
      <c r="C341" s="14" t="str">
        <f>IFERROR(VLOOKUP(A341,datos_2016!$B$1:$G$330,6,FALSE),"")</f>
        <v/>
      </c>
      <c r="D341" s="14" t="str">
        <f>IFERROR(VLOOKUP(A341,datos_2023!$B$1:$G$322,6,FALSE),"")</f>
        <v/>
      </c>
    </row>
    <row r="342" spans="1:4">
      <c r="A342" s="3">
        <v>90501</v>
      </c>
      <c r="B342" s="4" t="s">
        <v>342</v>
      </c>
      <c r="C342" s="14">
        <f>IFERROR(VLOOKUP(A342,datos_2016!$B$1:$G$330,6,FALSE),"")</f>
        <v>0</v>
      </c>
      <c r="D342" s="14" t="str">
        <f>IFERROR(VLOOKUP(A342,datos_2023!$B$1:$G$322,6,FALSE),"")</f>
        <v/>
      </c>
    </row>
    <row r="343" spans="1:4">
      <c r="A343" s="5">
        <v>90502</v>
      </c>
      <c r="B343" s="6" t="s">
        <v>343</v>
      </c>
      <c r="C343" s="14">
        <f>IFERROR(VLOOKUP(A343,datos_2016!$B$1:$G$330,6,FALSE),"")</f>
        <v>0</v>
      </c>
      <c r="D343" s="14" t="str">
        <f>IFERROR(VLOOKUP(A343,datos_2023!$B$1:$G$322,6,FALSE),"")</f>
        <v/>
      </c>
    </row>
    <row r="344" spans="1:4">
      <c r="A344" s="8">
        <v>90503</v>
      </c>
      <c r="B344" s="9" t="s">
        <v>344</v>
      </c>
      <c r="C344" s="14" t="str">
        <f>IFERROR(VLOOKUP(A344,datos_2016!$B$1:$G$330,6,FALSE),"")</f>
        <v/>
      </c>
      <c r="D344" s="14" t="str">
        <f>IFERROR(VLOOKUP(A344,datos_2023!$B$1:$G$322,6,FALSE),"")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26DF-1D4F-42D0-A68E-A73EF7A5DBA5}">
  <sheetPr codeName="Hoja4"/>
  <dimension ref="A1:D344"/>
  <sheetViews>
    <sheetView workbookViewId="0">
      <selection activeCell="C1" sqref="C1:D1"/>
    </sheetView>
  </sheetViews>
  <sheetFormatPr baseColWidth="10" defaultRowHeight="14.4"/>
  <sheetData>
    <row r="1" spans="1:4" ht="15">
      <c r="A1" s="7" t="s">
        <v>5</v>
      </c>
      <c r="B1" s="7" t="s">
        <v>6</v>
      </c>
      <c r="C1" s="2" t="s">
        <v>364</v>
      </c>
      <c r="D1" s="2" t="s">
        <v>365</v>
      </c>
    </row>
    <row r="2" spans="1:4">
      <c r="A2" s="3">
        <v>10101</v>
      </c>
      <c r="B2" s="4" t="s">
        <v>7</v>
      </c>
      <c r="C2" s="21">
        <f>IFERROR(VLOOKUP(A2,datos_2016!$B$1:$G$330,4,FALSE),"")</f>
        <v>2422</v>
      </c>
      <c r="D2" s="21">
        <f>IFERROR(VLOOKUP(A2,datos_2023!$B$1:$G$322,4,FALSE),"")</f>
        <v>5059</v>
      </c>
    </row>
    <row r="3" spans="1:4">
      <c r="A3" s="5">
        <v>10102</v>
      </c>
      <c r="B3" s="6" t="s">
        <v>8</v>
      </c>
      <c r="C3" s="21">
        <f>IFERROR(VLOOKUP(A3,datos_2016!$B$1:$G$330,4,FALSE),"")</f>
        <v>281</v>
      </c>
      <c r="D3" s="21">
        <f>IFERROR(VLOOKUP(A3,datos_2023!$B$1:$G$322,4,FALSE),"")</f>
        <v>529</v>
      </c>
    </row>
    <row r="4" spans="1:4">
      <c r="A4" s="3">
        <v>10103</v>
      </c>
      <c r="B4" s="4" t="s">
        <v>9</v>
      </c>
      <c r="C4" s="21">
        <f>IFERROR(VLOOKUP(A4,datos_2016!$B$1:$G$330,4,FALSE),"")</f>
        <v>139</v>
      </c>
      <c r="D4" s="21">
        <f>IFERROR(VLOOKUP(A4,datos_2023!$B$1:$G$322,4,FALSE),"")</f>
        <v>315</v>
      </c>
    </row>
    <row r="5" spans="1:4">
      <c r="A5" s="5">
        <v>10201</v>
      </c>
      <c r="B5" s="6" t="s">
        <v>10</v>
      </c>
      <c r="C5" s="21">
        <f>IFERROR(VLOOKUP(A5,datos_2016!$B$1:$G$330,4,FALSE),"")</f>
        <v>81</v>
      </c>
      <c r="D5" s="21">
        <f>IFERROR(VLOOKUP(A5,datos_2023!$B$1:$G$322,4,FALSE),"")</f>
        <v>249</v>
      </c>
    </row>
    <row r="6" spans="1:4">
      <c r="A6" s="3">
        <v>10202</v>
      </c>
      <c r="B6" s="4" t="s">
        <v>11</v>
      </c>
      <c r="C6" s="21">
        <f>IFERROR(VLOOKUP(A6,datos_2016!$B$1:$G$330,4,FALSE),"")</f>
        <v>198</v>
      </c>
      <c r="D6" s="21">
        <f>IFERROR(VLOOKUP(A6,datos_2023!$B$1:$G$322,4,FALSE),"")</f>
        <v>403</v>
      </c>
    </row>
    <row r="7" spans="1:4">
      <c r="A7" s="5">
        <v>10301</v>
      </c>
      <c r="B7" s="6" t="s">
        <v>12</v>
      </c>
      <c r="C7" s="21">
        <f>IFERROR(VLOOKUP(A7,datos_2016!$B$1:$G$330,4,FALSE),"")</f>
        <v>149</v>
      </c>
      <c r="D7" s="21" t="str">
        <f>IFERROR(VLOOKUP(A7,datos_2023!$B$1:$G$322,4,FALSE),"")</f>
        <v/>
      </c>
    </row>
    <row r="8" spans="1:4">
      <c r="A8" s="3">
        <v>10302</v>
      </c>
      <c r="B8" s="4" t="s">
        <v>13</v>
      </c>
      <c r="C8" s="21">
        <f>IFERROR(VLOOKUP(A8,datos_2016!$B$1:$G$330,4,FALSE),"")</f>
        <v>86</v>
      </c>
      <c r="D8" s="21">
        <f>IFERROR(VLOOKUP(A8,datos_2023!$B$1:$G$322,4,FALSE),"")</f>
        <v>124</v>
      </c>
    </row>
    <row r="9" spans="1:4">
      <c r="A9" s="5">
        <v>10303</v>
      </c>
      <c r="B9" s="6" t="s">
        <v>14</v>
      </c>
      <c r="C9" s="21">
        <f>IFERROR(VLOOKUP(A9,datos_2016!$B$1:$G$330,4,FALSE),"")</f>
        <v>121</v>
      </c>
      <c r="D9" s="21">
        <f>IFERROR(VLOOKUP(A9,datos_2023!$B$1:$G$322,4,FALSE),"")</f>
        <v>200</v>
      </c>
    </row>
    <row r="10" spans="1:4">
      <c r="A10" s="3">
        <v>10304</v>
      </c>
      <c r="B10" s="4" t="s">
        <v>15</v>
      </c>
      <c r="C10" s="21">
        <f>IFERROR(VLOOKUP(A10,datos_2016!$B$1:$G$330,4,FALSE),"")</f>
        <v>137</v>
      </c>
      <c r="D10" s="21">
        <f>IFERROR(VLOOKUP(A10,datos_2023!$B$1:$G$322,4,FALSE),"")</f>
        <v>148</v>
      </c>
    </row>
    <row r="11" spans="1:4">
      <c r="A11" s="5">
        <v>10401</v>
      </c>
      <c r="B11" s="6" t="s">
        <v>16</v>
      </c>
      <c r="C11" s="21">
        <f>IFERROR(VLOOKUP(A11,datos_2016!$B$1:$G$330,4,FALSE),"")</f>
        <v>158</v>
      </c>
      <c r="D11" s="21">
        <f>IFERROR(VLOOKUP(A11,datos_2023!$B$1:$G$322,4,FALSE),"")</f>
        <v>286</v>
      </c>
    </row>
    <row r="12" spans="1:4">
      <c r="A12" s="3">
        <v>10402</v>
      </c>
      <c r="B12" s="4" t="s">
        <v>17</v>
      </c>
      <c r="C12" s="21">
        <f>IFERROR(VLOOKUP(A12,datos_2016!$B$1:$G$330,4,FALSE),"")</f>
        <v>125</v>
      </c>
      <c r="D12" s="21">
        <f>IFERROR(VLOOKUP(A12,datos_2023!$B$1:$G$322,4,FALSE),"")</f>
        <v>281</v>
      </c>
    </row>
    <row r="13" spans="1:4">
      <c r="A13" s="5">
        <v>10403</v>
      </c>
      <c r="B13" s="6" t="s">
        <v>18</v>
      </c>
      <c r="C13" s="21">
        <f>IFERROR(VLOOKUP(A13,datos_2016!$B$1:$G$330,4,FALSE),"")</f>
        <v>40</v>
      </c>
      <c r="D13" s="21">
        <f>IFERROR(VLOOKUP(A13,datos_2023!$B$1:$G$322,4,FALSE),"")</f>
        <v>227</v>
      </c>
    </row>
    <row r="14" spans="1:4">
      <c r="A14" s="3">
        <v>10404</v>
      </c>
      <c r="B14" s="4" t="s">
        <v>19</v>
      </c>
      <c r="C14" s="21">
        <f>IFERROR(VLOOKUP(A14,datos_2016!$B$1:$G$330,4,FALSE),"")</f>
        <v>85</v>
      </c>
      <c r="D14" s="21">
        <f>IFERROR(VLOOKUP(A14,datos_2023!$B$1:$G$322,4,FALSE),"")</f>
        <v>126</v>
      </c>
    </row>
    <row r="15" spans="1:4">
      <c r="A15" s="5">
        <v>10405</v>
      </c>
      <c r="B15" s="6" t="s">
        <v>20</v>
      </c>
      <c r="C15" s="21">
        <f>IFERROR(VLOOKUP(A15,datos_2016!$B$1:$G$330,4,FALSE),"")</f>
        <v>176</v>
      </c>
      <c r="D15" s="21">
        <f>IFERROR(VLOOKUP(A15,datos_2023!$B$1:$G$322,4,FALSE),"")</f>
        <v>126</v>
      </c>
    </row>
    <row r="16" spans="1:4">
      <c r="A16" s="3">
        <v>10501</v>
      </c>
      <c r="B16" s="4" t="s">
        <v>21</v>
      </c>
      <c r="C16" s="21">
        <f>IFERROR(VLOOKUP(A16,datos_2016!$B$1:$G$330,4,FALSE),"")</f>
        <v>183</v>
      </c>
      <c r="D16" s="21">
        <f>IFERROR(VLOOKUP(A16,datos_2023!$B$1:$G$322,4,FALSE),"")</f>
        <v>457</v>
      </c>
    </row>
    <row r="17" spans="1:4">
      <c r="A17" s="5">
        <v>10502</v>
      </c>
      <c r="B17" s="6" t="s">
        <v>22</v>
      </c>
      <c r="C17" s="21">
        <f>IFERROR(VLOOKUP(A17,datos_2016!$B$1:$G$330,4,FALSE),"")</f>
        <v>32</v>
      </c>
      <c r="D17" s="21">
        <f>IFERROR(VLOOKUP(A17,datos_2023!$B$1:$G$322,4,FALSE),"")</f>
        <v>134</v>
      </c>
    </row>
    <row r="18" spans="1:4">
      <c r="A18" s="3">
        <v>10601</v>
      </c>
      <c r="B18" s="4" t="s">
        <v>23</v>
      </c>
      <c r="C18" s="21">
        <f>IFERROR(VLOOKUP(A18,datos_2016!$B$1:$G$330,4,FALSE),"")</f>
        <v>212</v>
      </c>
      <c r="D18" s="21">
        <f>IFERROR(VLOOKUP(A18,datos_2023!$B$1:$G$322,4,FALSE),"")</f>
        <v>545</v>
      </c>
    </row>
    <row r="19" spans="1:4">
      <c r="A19" s="5">
        <v>10602</v>
      </c>
      <c r="B19" s="6" t="s">
        <v>24</v>
      </c>
      <c r="C19" s="21">
        <f>IFERROR(VLOOKUP(A19,datos_2016!$B$1:$G$330,4,FALSE),"")</f>
        <v>198</v>
      </c>
      <c r="D19" s="21">
        <f>IFERROR(VLOOKUP(A19,datos_2023!$B$1:$G$322,4,FALSE),"")</f>
        <v>351</v>
      </c>
    </row>
    <row r="20" spans="1:4">
      <c r="A20" s="3">
        <v>10701</v>
      </c>
      <c r="B20" s="4" t="s">
        <v>25</v>
      </c>
      <c r="C20" s="21">
        <f>IFERROR(VLOOKUP(A20,datos_2016!$B$1:$G$330,4,FALSE),"")</f>
        <v>385</v>
      </c>
      <c r="D20" s="21">
        <f>IFERROR(VLOOKUP(A20,datos_2023!$B$1:$G$322,4,FALSE),"")</f>
        <v>689</v>
      </c>
    </row>
    <row r="21" spans="1:4">
      <c r="A21" s="5">
        <v>10702</v>
      </c>
      <c r="B21" s="6" t="s">
        <v>26</v>
      </c>
      <c r="C21" s="21">
        <f>IFERROR(VLOOKUP(A21,datos_2016!$B$1:$G$330,4,FALSE),"")</f>
        <v>670</v>
      </c>
      <c r="D21" s="21">
        <f>IFERROR(VLOOKUP(A21,datos_2023!$B$1:$G$322,4,FALSE),"")</f>
        <v>1629</v>
      </c>
    </row>
    <row r="22" spans="1:4">
      <c r="A22" s="3">
        <v>10703</v>
      </c>
      <c r="B22" s="4" t="s">
        <v>27</v>
      </c>
      <c r="C22" s="21">
        <f>IFERROR(VLOOKUP(A22,datos_2016!$B$1:$G$330,4,FALSE),"")</f>
        <v>73</v>
      </c>
      <c r="D22" s="21">
        <f>IFERROR(VLOOKUP(A22,datos_2023!$B$1:$G$322,4,FALSE),"")</f>
        <v>176</v>
      </c>
    </row>
    <row r="23" spans="1:4">
      <c r="A23" s="5">
        <v>10704</v>
      </c>
      <c r="B23" s="6" t="s">
        <v>28</v>
      </c>
      <c r="C23" s="21">
        <f>IFERROR(VLOOKUP(A23,datos_2016!$B$1:$G$330,4,FALSE),"")</f>
        <v>173</v>
      </c>
      <c r="D23" s="21">
        <f>IFERROR(VLOOKUP(A23,datos_2023!$B$1:$G$322,4,FALSE),"")</f>
        <v>350</v>
      </c>
    </row>
    <row r="24" spans="1:4">
      <c r="A24" s="3">
        <v>10801</v>
      </c>
      <c r="B24" s="4" t="s">
        <v>29</v>
      </c>
      <c r="C24" s="21">
        <f>IFERROR(VLOOKUP(A24,datos_2016!$B$1:$G$330,4,FALSE),"")</f>
        <v>244</v>
      </c>
      <c r="D24" s="21">
        <f>IFERROR(VLOOKUP(A24,datos_2023!$B$1:$G$322,4,FALSE),"")</f>
        <v>501</v>
      </c>
    </row>
    <row r="25" spans="1:4">
      <c r="A25" s="5">
        <v>10901</v>
      </c>
      <c r="B25" s="6" t="s">
        <v>30</v>
      </c>
      <c r="C25" s="21">
        <f>IFERROR(VLOOKUP(A25,datos_2016!$B$1:$G$330,4,FALSE),"")</f>
        <v>98</v>
      </c>
      <c r="D25" s="21">
        <f>IFERROR(VLOOKUP(A25,datos_2023!$B$1:$G$322,4,FALSE),"")</f>
        <v>195</v>
      </c>
    </row>
    <row r="26" spans="1:4">
      <c r="A26" s="3">
        <v>10902</v>
      </c>
      <c r="B26" s="4" t="s">
        <v>31</v>
      </c>
      <c r="C26" s="21">
        <f>IFERROR(VLOOKUP(A26,datos_2016!$B$1:$G$330,4,FALSE),"")</f>
        <v>203</v>
      </c>
      <c r="D26" s="21">
        <f>IFERROR(VLOOKUP(A26,datos_2023!$B$1:$G$322,4,FALSE),"")</f>
        <v>306</v>
      </c>
    </row>
    <row r="27" spans="1:4">
      <c r="A27" s="5">
        <v>10903</v>
      </c>
      <c r="B27" s="6" t="s">
        <v>32</v>
      </c>
      <c r="C27" s="21">
        <f>IFERROR(VLOOKUP(A27,datos_2016!$B$1:$G$330,4,FALSE),"")</f>
        <v>89</v>
      </c>
      <c r="D27" s="21">
        <f>IFERROR(VLOOKUP(A27,datos_2023!$B$1:$G$322,4,FALSE),"")</f>
        <v>165</v>
      </c>
    </row>
    <row r="28" spans="1:4">
      <c r="A28" s="3">
        <v>11001</v>
      </c>
      <c r="B28" s="4" t="s">
        <v>33</v>
      </c>
      <c r="C28" s="21">
        <f>IFERROR(VLOOKUP(A28,datos_2016!$B$1:$G$330,4,FALSE),"")</f>
        <v>19</v>
      </c>
      <c r="D28" s="21">
        <f>IFERROR(VLOOKUP(A28,datos_2023!$B$1:$G$322,4,FALSE),"")</f>
        <v>118</v>
      </c>
    </row>
    <row r="29" spans="1:4">
      <c r="A29" s="5">
        <v>11002</v>
      </c>
      <c r="B29" s="6" t="s">
        <v>34</v>
      </c>
      <c r="C29" s="21">
        <f>IFERROR(VLOOKUP(A29,datos_2016!$B$1:$G$330,4,FALSE),"")</f>
        <v>20</v>
      </c>
      <c r="D29" s="21">
        <f>IFERROR(VLOOKUP(A29,datos_2023!$B$1:$G$322,4,FALSE),"")</f>
        <v>5</v>
      </c>
    </row>
    <row r="30" spans="1:4">
      <c r="A30" s="3">
        <v>11003</v>
      </c>
      <c r="B30" s="4" t="s">
        <v>35</v>
      </c>
      <c r="C30" s="21">
        <f>IFERROR(VLOOKUP(A30,datos_2016!$B$1:$G$330,4,FALSE),"")</f>
        <v>55</v>
      </c>
      <c r="D30" s="21">
        <f>IFERROR(VLOOKUP(A30,datos_2023!$B$1:$G$322,4,FALSE),"")</f>
        <v>63</v>
      </c>
    </row>
    <row r="31" spans="1:4">
      <c r="A31" s="5">
        <v>20101</v>
      </c>
      <c r="B31" s="6" t="s">
        <v>36</v>
      </c>
      <c r="C31" s="21">
        <f>IFERROR(VLOOKUP(A31,datos_2016!$B$1:$G$330,4,FALSE),"")</f>
        <v>11026</v>
      </c>
      <c r="D31" s="21">
        <f>IFERROR(VLOOKUP(A31,datos_2023!$B$1:$G$322,4,FALSE),"")</f>
        <v>18239</v>
      </c>
    </row>
    <row r="32" spans="1:4">
      <c r="A32" s="3">
        <v>20102</v>
      </c>
      <c r="B32" s="4" t="s">
        <v>37</v>
      </c>
      <c r="C32" s="21">
        <f>IFERROR(VLOOKUP(A32,datos_2016!$B$1:$G$330,4,FALSE),"")</f>
        <v>317</v>
      </c>
      <c r="D32" s="21">
        <f>IFERROR(VLOOKUP(A32,datos_2023!$B$1:$G$322,4,FALSE),"")</f>
        <v>426</v>
      </c>
    </row>
    <row r="33" spans="1:4">
      <c r="A33" s="5">
        <v>20103</v>
      </c>
      <c r="B33" s="6" t="s">
        <v>38</v>
      </c>
      <c r="C33" s="21">
        <f>IFERROR(VLOOKUP(A33,datos_2016!$B$1:$G$330,4,FALSE),"")</f>
        <v>468</v>
      </c>
      <c r="D33" s="21">
        <f>IFERROR(VLOOKUP(A33,datos_2023!$B$1:$G$322,4,FALSE),"")</f>
        <v>833</v>
      </c>
    </row>
    <row r="34" spans="1:4">
      <c r="A34" s="3">
        <v>20104</v>
      </c>
      <c r="B34" s="4" t="s">
        <v>39</v>
      </c>
      <c r="C34" s="21">
        <f>IFERROR(VLOOKUP(A34,datos_2016!$B$1:$G$330,4,FALSE),"")</f>
        <v>780</v>
      </c>
      <c r="D34" s="21">
        <f>IFERROR(VLOOKUP(A34,datos_2023!$B$1:$G$322,4,FALSE),"")</f>
        <v>1978</v>
      </c>
    </row>
    <row r="35" spans="1:4">
      <c r="A35" s="5">
        <v>20105</v>
      </c>
      <c r="B35" s="6" t="s">
        <v>40</v>
      </c>
      <c r="C35" s="21">
        <f>IFERROR(VLOOKUP(A35,datos_2016!$B$1:$G$330,4,FALSE),"")</f>
        <v>20483</v>
      </c>
      <c r="D35" s="21">
        <f>IFERROR(VLOOKUP(A35,datos_2023!$B$1:$G$322,4,FALSE),"")</f>
        <v>23531</v>
      </c>
    </row>
    <row r="36" spans="1:4">
      <c r="A36" s="3">
        <v>20201</v>
      </c>
      <c r="B36" s="4" t="s">
        <v>41</v>
      </c>
      <c r="C36" s="21">
        <f>IFERROR(VLOOKUP(A36,datos_2016!$B$1:$G$330,4,FALSE),"")</f>
        <v>1705</v>
      </c>
      <c r="D36" s="21">
        <f>IFERROR(VLOOKUP(A36,datos_2023!$B$1:$G$322,4,FALSE),"")</f>
        <v>1833</v>
      </c>
    </row>
    <row r="37" spans="1:4">
      <c r="A37" s="5">
        <v>20202</v>
      </c>
      <c r="B37" s="6" t="s">
        <v>42</v>
      </c>
      <c r="C37" s="21">
        <f>IFERROR(VLOOKUP(A37,datos_2016!$B$1:$G$330,4,FALSE),"")</f>
        <v>690</v>
      </c>
      <c r="D37" s="21">
        <f>IFERROR(VLOOKUP(A37,datos_2023!$B$1:$G$322,4,FALSE),"")</f>
        <v>563</v>
      </c>
    </row>
    <row r="38" spans="1:4">
      <c r="A38" s="3">
        <v>20203</v>
      </c>
      <c r="B38" s="4" t="s">
        <v>43</v>
      </c>
      <c r="C38" s="21">
        <f>IFERROR(VLOOKUP(A38,datos_2016!$B$1:$G$330,4,FALSE),"")</f>
        <v>238</v>
      </c>
      <c r="D38" s="21">
        <f>IFERROR(VLOOKUP(A38,datos_2023!$B$1:$G$322,4,FALSE),"")</f>
        <v>231</v>
      </c>
    </row>
    <row r="39" spans="1:4">
      <c r="A39" s="5">
        <v>20204</v>
      </c>
      <c r="B39" s="6" t="s">
        <v>44</v>
      </c>
      <c r="C39" s="21">
        <f>IFERROR(VLOOKUP(A39,datos_2016!$B$1:$G$330,4,FALSE),"")</f>
        <v>472</v>
      </c>
      <c r="D39" s="21">
        <f>IFERROR(VLOOKUP(A39,datos_2023!$B$1:$G$322,4,FALSE),"")</f>
        <v>373</v>
      </c>
    </row>
    <row r="40" spans="1:4">
      <c r="A40" s="3">
        <v>20205</v>
      </c>
      <c r="B40" s="4" t="s">
        <v>45</v>
      </c>
      <c r="C40" s="21">
        <f>IFERROR(VLOOKUP(A40,datos_2016!$B$1:$G$330,4,FALSE),"")</f>
        <v>529</v>
      </c>
      <c r="D40" s="21">
        <f>IFERROR(VLOOKUP(A40,datos_2023!$B$1:$G$322,4,FALSE),"")</f>
        <v>649</v>
      </c>
    </row>
    <row r="41" spans="1:4">
      <c r="A41" s="5">
        <v>20206</v>
      </c>
      <c r="B41" s="6" t="s">
        <v>46</v>
      </c>
      <c r="C41" s="21">
        <f>IFERROR(VLOOKUP(A41,datos_2016!$B$1:$G$330,4,FALSE),"")</f>
        <v>260</v>
      </c>
      <c r="D41" s="21">
        <f>IFERROR(VLOOKUP(A41,datos_2023!$B$1:$G$322,4,FALSE),"")</f>
        <v>258</v>
      </c>
    </row>
    <row r="42" spans="1:4">
      <c r="A42" s="3">
        <v>20301</v>
      </c>
      <c r="B42" s="4" t="s">
        <v>47</v>
      </c>
      <c r="C42" s="21">
        <f>IFERROR(VLOOKUP(A42,datos_2016!$B$1:$G$330,4,FALSE),"")</f>
        <v>763</v>
      </c>
      <c r="D42" s="21">
        <f>IFERROR(VLOOKUP(A42,datos_2023!$B$1:$G$322,4,FALSE),"")</f>
        <v>755</v>
      </c>
    </row>
    <row r="43" spans="1:4">
      <c r="A43" s="5">
        <v>20302</v>
      </c>
      <c r="B43" s="6" t="s">
        <v>48</v>
      </c>
      <c r="C43" s="21">
        <f>IFERROR(VLOOKUP(A43,datos_2016!$B$1:$G$330,4,FALSE),"")</f>
        <v>914</v>
      </c>
      <c r="D43" s="21">
        <f>IFERROR(VLOOKUP(A43,datos_2023!$B$1:$G$322,4,FALSE),"")</f>
        <v>1009</v>
      </c>
    </row>
    <row r="44" spans="1:4">
      <c r="A44" s="3">
        <v>20303</v>
      </c>
      <c r="B44" s="4" t="s">
        <v>49</v>
      </c>
      <c r="C44" s="21">
        <f>IFERROR(VLOOKUP(A44,datos_2016!$B$1:$G$330,4,FALSE),"")</f>
        <v>347</v>
      </c>
      <c r="D44" s="21">
        <f>IFERROR(VLOOKUP(A44,datos_2023!$B$1:$G$322,4,FALSE),"")</f>
        <v>587</v>
      </c>
    </row>
    <row r="45" spans="1:4">
      <c r="A45" s="5">
        <v>20304</v>
      </c>
      <c r="B45" s="6" t="s">
        <v>50</v>
      </c>
      <c r="C45" s="21">
        <f>IFERROR(VLOOKUP(A45,datos_2016!$B$1:$G$330,4,FALSE),"")</f>
        <v>194</v>
      </c>
      <c r="D45" s="21">
        <f>IFERROR(VLOOKUP(A45,datos_2023!$B$1:$G$322,4,FALSE),"")</f>
        <v>299</v>
      </c>
    </row>
    <row r="46" spans="1:4">
      <c r="A46" s="3">
        <v>20305</v>
      </c>
      <c r="B46" s="4" t="s">
        <v>51</v>
      </c>
      <c r="C46" s="21">
        <f>IFERROR(VLOOKUP(A46,datos_2016!$B$1:$G$330,4,FALSE),"")</f>
        <v>61</v>
      </c>
      <c r="D46" s="21" t="str">
        <f>IFERROR(VLOOKUP(A46,datos_2023!$B$1:$G$322,4,FALSE),"")</f>
        <v/>
      </c>
    </row>
    <row r="47" spans="1:4">
      <c r="A47" s="5">
        <v>20306</v>
      </c>
      <c r="B47" s="6" t="s">
        <v>52</v>
      </c>
      <c r="C47" s="21">
        <f>IFERROR(VLOOKUP(A47,datos_2016!$B$1:$G$330,4,FALSE),"")</f>
        <v>63</v>
      </c>
      <c r="D47" s="21" t="str">
        <f>IFERROR(VLOOKUP(A47,datos_2023!$B$1:$G$322,4,FALSE),"")</f>
        <v/>
      </c>
    </row>
    <row r="48" spans="1:4">
      <c r="A48" s="3">
        <v>20307</v>
      </c>
      <c r="B48" s="4" t="s">
        <v>53</v>
      </c>
      <c r="C48" s="21">
        <f>IFERROR(VLOOKUP(A48,datos_2016!$B$1:$G$330,4,FALSE),"")</f>
        <v>17</v>
      </c>
      <c r="D48" s="21">
        <f>IFERROR(VLOOKUP(A48,datos_2023!$B$1:$G$322,4,FALSE),"")</f>
        <v>22</v>
      </c>
    </row>
    <row r="49" spans="1:4">
      <c r="A49" s="5">
        <v>20308</v>
      </c>
      <c r="B49" s="6" t="s">
        <v>54</v>
      </c>
      <c r="C49" s="21">
        <f>IFERROR(VLOOKUP(A49,datos_2016!$B$1:$G$330,4,FALSE),"")</f>
        <v>205</v>
      </c>
      <c r="D49" s="21">
        <f>IFERROR(VLOOKUP(A49,datos_2023!$B$1:$G$322,4,FALSE),"")</f>
        <v>535</v>
      </c>
    </row>
    <row r="50" spans="1:4">
      <c r="A50" s="3">
        <v>20401</v>
      </c>
      <c r="B50" s="4" t="s">
        <v>55</v>
      </c>
      <c r="C50" s="21">
        <f>IFERROR(VLOOKUP(A50,datos_2016!$B$1:$G$330,4,FALSE),"")</f>
        <v>571</v>
      </c>
      <c r="D50" s="21">
        <f>IFERROR(VLOOKUP(A50,datos_2023!$B$1:$G$322,4,FALSE),"")</f>
        <v>616</v>
      </c>
    </row>
    <row r="51" spans="1:4">
      <c r="A51" s="5">
        <v>20402</v>
      </c>
      <c r="B51" s="6" t="s">
        <v>56</v>
      </c>
      <c r="C51" s="21">
        <f>IFERROR(VLOOKUP(A51,datos_2016!$B$1:$G$330,4,FALSE),"")</f>
        <v>436</v>
      </c>
      <c r="D51" s="21">
        <f>IFERROR(VLOOKUP(A51,datos_2023!$B$1:$G$322,4,FALSE),"")</f>
        <v>424</v>
      </c>
    </row>
    <row r="52" spans="1:4">
      <c r="A52" s="3">
        <v>20403</v>
      </c>
      <c r="B52" s="4" t="s">
        <v>57</v>
      </c>
      <c r="C52" s="21">
        <f>IFERROR(VLOOKUP(A52,datos_2016!$B$1:$G$330,4,FALSE),"")</f>
        <v>550</v>
      </c>
      <c r="D52" s="21">
        <f>IFERROR(VLOOKUP(A52,datos_2023!$B$1:$G$322,4,FALSE),"")</f>
        <v>514</v>
      </c>
    </row>
    <row r="53" spans="1:4">
      <c r="A53" s="5">
        <v>20404</v>
      </c>
      <c r="B53" s="6" t="s">
        <v>58</v>
      </c>
      <c r="C53" s="21">
        <f>IFERROR(VLOOKUP(A53,datos_2016!$B$1:$G$330,4,FALSE),"")</f>
        <v>138</v>
      </c>
      <c r="D53" s="21">
        <f>IFERROR(VLOOKUP(A53,datos_2023!$B$1:$G$322,4,FALSE),"")</f>
        <v>129</v>
      </c>
    </row>
    <row r="54" spans="1:4">
      <c r="A54" s="3">
        <v>20405</v>
      </c>
      <c r="B54" s="4" t="s">
        <v>59</v>
      </c>
      <c r="C54" s="21">
        <f>IFERROR(VLOOKUP(A54,datos_2016!$B$1:$G$330,4,FALSE),"")</f>
        <v>294</v>
      </c>
      <c r="D54" s="21">
        <f>IFERROR(VLOOKUP(A54,datos_2023!$B$1:$G$322,4,FALSE),"")</f>
        <v>246</v>
      </c>
    </row>
    <row r="55" spans="1:4">
      <c r="A55" s="5">
        <v>20501</v>
      </c>
      <c r="B55" s="6" t="s">
        <v>60</v>
      </c>
      <c r="C55" s="21">
        <f>IFERROR(VLOOKUP(A55,datos_2016!$B$1:$G$330,4,FALSE),"")</f>
        <v>424</v>
      </c>
      <c r="D55" s="21">
        <f>IFERROR(VLOOKUP(A55,datos_2023!$B$1:$G$322,4,FALSE),"")</f>
        <v>471</v>
      </c>
    </row>
    <row r="56" spans="1:4">
      <c r="A56" s="3">
        <v>20502</v>
      </c>
      <c r="B56" s="4" t="s">
        <v>61</v>
      </c>
      <c r="C56" s="21">
        <f>IFERROR(VLOOKUP(A56,datos_2016!$B$1:$G$330,4,FALSE),"")</f>
        <v>161</v>
      </c>
      <c r="D56" s="21">
        <f>IFERROR(VLOOKUP(A56,datos_2023!$B$1:$G$322,4,FALSE),"")</f>
        <v>202</v>
      </c>
    </row>
    <row r="57" spans="1:4">
      <c r="A57" s="5">
        <v>20503</v>
      </c>
      <c r="B57" s="6" t="s">
        <v>62</v>
      </c>
      <c r="C57" s="21">
        <f>IFERROR(VLOOKUP(A57,datos_2016!$B$1:$G$330,4,FALSE),"")</f>
        <v>140</v>
      </c>
      <c r="D57" s="21">
        <f>IFERROR(VLOOKUP(A57,datos_2023!$B$1:$G$322,4,FALSE),"")</f>
        <v>135</v>
      </c>
    </row>
    <row r="58" spans="1:4">
      <c r="A58" s="3">
        <v>20601</v>
      </c>
      <c r="B58" s="4" t="s">
        <v>63</v>
      </c>
      <c r="C58" s="21">
        <f>IFERROR(VLOOKUP(A58,datos_2016!$B$1:$G$330,4,FALSE),"")</f>
        <v>1022</v>
      </c>
      <c r="D58" s="21">
        <f>IFERROR(VLOOKUP(A58,datos_2023!$B$1:$G$322,4,FALSE),"")</f>
        <v>806</v>
      </c>
    </row>
    <row r="59" spans="1:4">
      <c r="A59" s="5">
        <v>20602</v>
      </c>
      <c r="B59" s="6" t="s">
        <v>64</v>
      </c>
      <c r="C59" s="21">
        <f>IFERROR(VLOOKUP(A59,datos_2016!$B$1:$G$330,4,FALSE),"")</f>
        <v>178</v>
      </c>
      <c r="D59" s="21">
        <f>IFERROR(VLOOKUP(A59,datos_2023!$B$1:$G$322,4,FALSE),"")</f>
        <v>110</v>
      </c>
    </row>
    <row r="60" spans="1:4">
      <c r="A60" s="3">
        <v>20603</v>
      </c>
      <c r="B60" s="4" t="s">
        <v>65</v>
      </c>
      <c r="C60" s="21">
        <f>IFERROR(VLOOKUP(A60,datos_2016!$B$1:$G$330,4,FALSE),"")</f>
        <v>205</v>
      </c>
      <c r="D60" s="21">
        <f>IFERROR(VLOOKUP(A60,datos_2023!$B$1:$G$322,4,FALSE),"")</f>
        <v>229</v>
      </c>
    </row>
    <row r="61" spans="1:4">
      <c r="A61" s="5">
        <v>20604</v>
      </c>
      <c r="B61" s="6" t="s">
        <v>66</v>
      </c>
      <c r="C61" s="21">
        <f>IFERROR(VLOOKUP(A61,datos_2016!$B$1:$G$330,4,FALSE),"")</f>
        <v>121</v>
      </c>
      <c r="D61" s="21">
        <f>IFERROR(VLOOKUP(A61,datos_2023!$B$1:$G$322,4,FALSE),"")</f>
        <v>99</v>
      </c>
    </row>
    <row r="62" spans="1:4">
      <c r="A62" s="3">
        <v>20605</v>
      </c>
      <c r="B62" s="4" t="s">
        <v>67</v>
      </c>
      <c r="C62" s="21">
        <f>IFERROR(VLOOKUP(A62,datos_2016!$B$1:$G$330,4,FALSE),"")</f>
        <v>147</v>
      </c>
      <c r="D62" s="21">
        <f>IFERROR(VLOOKUP(A62,datos_2023!$B$1:$G$322,4,FALSE),"")</f>
        <v>107</v>
      </c>
    </row>
    <row r="63" spans="1:4">
      <c r="A63" s="5">
        <v>20606</v>
      </c>
      <c r="B63" s="6" t="s">
        <v>68</v>
      </c>
      <c r="C63" s="21">
        <f>IFERROR(VLOOKUP(A63,datos_2016!$B$1:$G$330,4,FALSE),"")</f>
        <v>163</v>
      </c>
      <c r="D63" s="21">
        <f>IFERROR(VLOOKUP(A63,datos_2023!$B$1:$G$322,4,FALSE),"")</f>
        <v>154</v>
      </c>
    </row>
    <row r="64" spans="1:4">
      <c r="A64" s="3">
        <v>20607</v>
      </c>
      <c r="B64" s="4" t="s">
        <v>69</v>
      </c>
      <c r="C64" s="21">
        <f>IFERROR(VLOOKUP(A64,datos_2016!$B$1:$G$330,4,FALSE),"")</f>
        <v>93</v>
      </c>
      <c r="D64" s="21">
        <f>IFERROR(VLOOKUP(A64,datos_2023!$B$1:$G$322,4,FALSE),"")</f>
        <v>148</v>
      </c>
    </row>
    <row r="65" spans="1:4">
      <c r="A65" s="5">
        <v>20608</v>
      </c>
      <c r="B65" s="6" t="s">
        <v>70</v>
      </c>
      <c r="C65" s="21">
        <f>IFERROR(VLOOKUP(A65,datos_2016!$B$1:$G$330,4,FALSE),"")</f>
        <v>115</v>
      </c>
      <c r="D65" s="21">
        <f>IFERROR(VLOOKUP(A65,datos_2023!$B$1:$G$322,4,FALSE),"")</f>
        <v>240</v>
      </c>
    </row>
    <row r="66" spans="1:4">
      <c r="A66" s="3">
        <v>20701</v>
      </c>
      <c r="B66" s="4" t="s">
        <v>71</v>
      </c>
      <c r="C66" s="21">
        <f>IFERROR(VLOOKUP(A66,datos_2016!$B$1:$G$330,4,FALSE),"")</f>
        <v>257</v>
      </c>
      <c r="D66" s="21">
        <f>IFERROR(VLOOKUP(A66,datos_2023!$B$1:$G$322,4,FALSE),"")</f>
        <v>332</v>
      </c>
    </row>
    <row r="67" spans="1:4">
      <c r="A67" s="5">
        <v>20702</v>
      </c>
      <c r="B67" s="6" t="s">
        <v>72</v>
      </c>
      <c r="C67" s="21">
        <f>IFERROR(VLOOKUP(A67,datos_2016!$B$1:$G$330,4,FALSE),"")</f>
        <v>141</v>
      </c>
      <c r="D67" s="21">
        <f>IFERROR(VLOOKUP(A67,datos_2023!$B$1:$G$322,4,FALSE),"")</f>
        <v>158</v>
      </c>
    </row>
    <row r="68" spans="1:4">
      <c r="A68" s="3">
        <v>20801</v>
      </c>
      <c r="B68" s="4" t="s">
        <v>73</v>
      </c>
      <c r="C68" s="21">
        <f>IFERROR(VLOOKUP(A68,datos_2016!$B$1:$G$330,4,FALSE),"")</f>
        <v>4253</v>
      </c>
      <c r="D68" s="21">
        <f>IFERROR(VLOOKUP(A68,datos_2023!$B$1:$G$322,4,FALSE),"")</f>
        <v>6632</v>
      </c>
    </row>
    <row r="69" spans="1:4">
      <c r="A69" s="5">
        <v>20802</v>
      </c>
      <c r="B69" s="6" t="s">
        <v>74</v>
      </c>
      <c r="C69" s="21">
        <f>IFERROR(VLOOKUP(A69,datos_2016!$B$1:$G$330,4,FALSE),"")</f>
        <v>687</v>
      </c>
      <c r="D69" s="21">
        <f>IFERROR(VLOOKUP(A69,datos_2023!$B$1:$G$322,4,FALSE),"")</f>
        <v>497</v>
      </c>
    </row>
    <row r="70" spans="1:4">
      <c r="A70" s="3">
        <v>20803</v>
      </c>
      <c r="B70" s="4" t="s">
        <v>75</v>
      </c>
      <c r="C70" s="21">
        <f>IFERROR(VLOOKUP(A70,datos_2016!$B$1:$G$330,4,FALSE),"")</f>
        <v>492</v>
      </c>
      <c r="D70" s="21">
        <f>IFERROR(VLOOKUP(A70,datos_2023!$B$1:$G$322,4,FALSE),"")</f>
        <v>582</v>
      </c>
    </row>
    <row r="71" spans="1:4">
      <c r="A71" s="5">
        <v>20804</v>
      </c>
      <c r="B71" s="6" t="s">
        <v>76</v>
      </c>
      <c r="C71" s="21">
        <f>IFERROR(VLOOKUP(A71,datos_2016!$B$1:$G$330,4,FALSE),"")</f>
        <v>387</v>
      </c>
      <c r="D71" s="21">
        <f>IFERROR(VLOOKUP(A71,datos_2023!$B$1:$G$322,4,FALSE),"")</f>
        <v>263</v>
      </c>
    </row>
    <row r="72" spans="1:4">
      <c r="A72" s="3">
        <v>20805</v>
      </c>
      <c r="B72" s="4" t="s">
        <v>77</v>
      </c>
      <c r="C72" s="21">
        <f>IFERROR(VLOOKUP(A72,datos_2016!$B$1:$G$330,4,FALSE),"")</f>
        <v>330</v>
      </c>
      <c r="D72" s="21" t="str">
        <f>IFERROR(VLOOKUP(A72,datos_2023!$B$1:$G$322,4,FALSE),"")</f>
        <v/>
      </c>
    </row>
    <row r="73" spans="1:4">
      <c r="A73" s="5">
        <v>20806</v>
      </c>
      <c r="B73" s="6" t="s">
        <v>78</v>
      </c>
      <c r="C73" s="21">
        <f>IFERROR(VLOOKUP(A73,datos_2016!$B$1:$G$330,4,FALSE),"")</f>
        <v>581</v>
      </c>
      <c r="D73" s="21" t="str">
        <f>IFERROR(VLOOKUP(A73,datos_2023!$B$1:$G$322,4,FALSE),"")</f>
        <v/>
      </c>
    </row>
    <row r="74" spans="1:4">
      <c r="A74" s="3">
        <v>20807</v>
      </c>
      <c r="B74" s="4" t="s">
        <v>79</v>
      </c>
      <c r="C74" s="21">
        <f>IFERROR(VLOOKUP(A74,datos_2016!$B$1:$G$330,4,FALSE),"")</f>
        <v>318</v>
      </c>
      <c r="D74" s="21">
        <f>IFERROR(VLOOKUP(A74,datos_2023!$B$1:$G$322,4,FALSE),"")</f>
        <v>405</v>
      </c>
    </row>
    <row r="75" spans="1:4">
      <c r="A75" s="5">
        <v>20901</v>
      </c>
      <c r="B75" s="6" t="s">
        <v>80</v>
      </c>
      <c r="C75" s="21">
        <f>IFERROR(VLOOKUP(A75,datos_2016!$B$1:$G$330,4,FALSE),"")</f>
        <v>355</v>
      </c>
      <c r="D75" s="21">
        <f>IFERROR(VLOOKUP(A75,datos_2023!$B$1:$G$322,4,FALSE),"")</f>
        <v>352</v>
      </c>
    </row>
    <row r="76" spans="1:4">
      <c r="A76" s="3">
        <v>20902</v>
      </c>
      <c r="B76" s="4" t="s">
        <v>81</v>
      </c>
      <c r="C76" s="21">
        <f>IFERROR(VLOOKUP(A76,datos_2016!$B$1:$G$330,4,FALSE),"")</f>
        <v>492</v>
      </c>
      <c r="D76" s="21">
        <f>IFERROR(VLOOKUP(A76,datos_2023!$B$1:$G$322,4,FALSE),"")</f>
        <v>389</v>
      </c>
    </row>
    <row r="77" spans="1:4">
      <c r="A77" s="5">
        <v>20903</v>
      </c>
      <c r="B77" s="6" t="s">
        <v>82</v>
      </c>
      <c r="C77" s="21">
        <f>IFERROR(VLOOKUP(A77,datos_2016!$B$1:$G$330,4,FALSE),"")</f>
        <v>346</v>
      </c>
      <c r="D77" s="21">
        <f>IFERROR(VLOOKUP(A77,datos_2023!$B$1:$G$322,4,FALSE),"")</f>
        <v>275</v>
      </c>
    </row>
    <row r="78" spans="1:4">
      <c r="A78" s="3">
        <v>20904</v>
      </c>
      <c r="B78" s="4" t="s">
        <v>83</v>
      </c>
      <c r="C78" s="21">
        <f>IFERROR(VLOOKUP(A78,datos_2016!$B$1:$G$330,4,FALSE),"")</f>
        <v>72</v>
      </c>
      <c r="D78" s="21">
        <f>IFERROR(VLOOKUP(A78,datos_2023!$B$1:$G$322,4,FALSE),"")</f>
        <v>30</v>
      </c>
    </row>
    <row r="79" spans="1:4">
      <c r="A79" s="5">
        <v>20905</v>
      </c>
      <c r="B79" s="6" t="s">
        <v>84</v>
      </c>
      <c r="C79" s="21">
        <f>IFERROR(VLOOKUP(A79,datos_2016!$B$1:$G$330,4,FALSE),"")</f>
        <v>452</v>
      </c>
      <c r="D79" s="21">
        <f>IFERROR(VLOOKUP(A79,datos_2023!$B$1:$G$322,4,FALSE),"")</f>
        <v>136</v>
      </c>
    </row>
    <row r="80" spans="1:4">
      <c r="A80" s="3">
        <v>21001</v>
      </c>
      <c r="B80" s="4" t="s">
        <v>85</v>
      </c>
      <c r="C80" s="21">
        <f>IFERROR(VLOOKUP(A80,datos_2016!$B$1:$G$330,4,FALSE),"")</f>
        <v>264</v>
      </c>
      <c r="D80" s="21">
        <f>IFERROR(VLOOKUP(A80,datos_2023!$B$1:$G$322,4,FALSE),"")</f>
        <v>249</v>
      </c>
    </row>
    <row r="81" spans="1:4">
      <c r="A81" s="5">
        <v>21002</v>
      </c>
      <c r="B81" s="6" t="s">
        <v>86</v>
      </c>
      <c r="C81" s="21">
        <f>IFERROR(VLOOKUP(A81,datos_2016!$B$1:$G$330,4,FALSE),"")</f>
        <v>120</v>
      </c>
      <c r="D81" s="21">
        <f>IFERROR(VLOOKUP(A81,datos_2023!$B$1:$G$322,4,FALSE),"")</f>
        <v>147</v>
      </c>
    </row>
    <row r="82" spans="1:4">
      <c r="A82" s="3">
        <v>21003</v>
      </c>
      <c r="B82" s="4" t="s">
        <v>87</v>
      </c>
      <c r="C82" s="21">
        <f>IFERROR(VLOOKUP(A82,datos_2016!$B$1:$G$330,4,FALSE),"")</f>
        <v>273</v>
      </c>
      <c r="D82" s="21">
        <f>IFERROR(VLOOKUP(A82,datos_2023!$B$1:$G$322,4,FALSE),"")</f>
        <v>115</v>
      </c>
    </row>
    <row r="83" spans="1:4">
      <c r="A83" s="5">
        <v>21004</v>
      </c>
      <c r="B83" s="6" t="s">
        <v>88</v>
      </c>
      <c r="C83" s="21">
        <f>IFERROR(VLOOKUP(A83,datos_2016!$B$1:$G$330,4,FALSE),"")</f>
        <v>530</v>
      </c>
      <c r="D83" s="21">
        <f>IFERROR(VLOOKUP(A83,datos_2023!$B$1:$G$322,4,FALSE),"")</f>
        <v>388</v>
      </c>
    </row>
    <row r="84" spans="1:4">
      <c r="A84" s="3">
        <v>21005</v>
      </c>
      <c r="B84" s="4" t="s">
        <v>89</v>
      </c>
      <c r="C84" s="21">
        <f>IFERROR(VLOOKUP(A84,datos_2016!$B$1:$G$330,4,FALSE),"")</f>
        <v>352</v>
      </c>
      <c r="D84" s="21">
        <f>IFERROR(VLOOKUP(A84,datos_2023!$B$1:$G$322,4,FALSE),"")</f>
        <v>178</v>
      </c>
    </row>
    <row r="85" spans="1:4">
      <c r="A85" s="5">
        <v>21006</v>
      </c>
      <c r="B85" s="6" t="s">
        <v>90</v>
      </c>
      <c r="C85" s="21">
        <f>IFERROR(VLOOKUP(A85,datos_2016!$B$1:$G$330,4,FALSE),"")</f>
        <v>69</v>
      </c>
      <c r="D85" s="21">
        <f>IFERROR(VLOOKUP(A85,datos_2023!$B$1:$G$322,4,FALSE),"")</f>
        <v>67</v>
      </c>
    </row>
    <row r="86" spans="1:4">
      <c r="A86" s="3">
        <v>21101</v>
      </c>
      <c r="B86" s="4" t="s">
        <v>91</v>
      </c>
      <c r="C86" s="21">
        <f>IFERROR(VLOOKUP(A86,datos_2016!$B$1:$G$330,4,FALSE),"")</f>
        <v>265</v>
      </c>
      <c r="D86" s="21">
        <f>IFERROR(VLOOKUP(A86,datos_2023!$B$1:$G$322,4,FALSE),"")</f>
        <v>479</v>
      </c>
    </row>
    <row r="87" spans="1:4">
      <c r="A87" s="5">
        <v>21102</v>
      </c>
      <c r="B87" s="6" t="s">
        <v>92</v>
      </c>
      <c r="C87" s="21">
        <f>IFERROR(VLOOKUP(A87,datos_2016!$B$1:$G$330,4,FALSE),"")</f>
        <v>328</v>
      </c>
      <c r="D87" s="21">
        <f>IFERROR(VLOOKUP(A87,datos_2023!$B$1:$G$322,4,FALSE),"")</f>
        <v>482</v>
      </c>
    </row>
    <row r="88" spans="1:4">
      <c r="A88" s="3">
        <v>21103</v>
      </c>
      <c r="B88" s="4" t="s">
        <v>93</v>
      </c>
      <c r="C88" s="21">
        <f>IFERROR(VLOOKUP(A88,datos_2016!$B$1:$G$330,4,FALSE),"")</f>
        <v>75</v>
      </c>
      <c r="D88" s="21">
        <f>IFERROR(VLOOKUP(A88,datos_2023!$B$1:$G$322,4,FALSE),"")</f>
        <v>112</v>
      </c>
    </row>
    <row r="89" spans="1:4">
      <c r="A89" s="5">
        <v>21104</v>
      </c>
      <c r="B89" s="6" t="s">
        <v>94</v>
      </c>
      <c r="C89" s="21">
        <f>IFERROR(VLOOKUP(A89,datos_2016!$B$1:$G$330,4,FALSE),"")</f>
        <v>696</v>
      </c>
      <c r="D89" s="21">
        <f>IFERROR(VLOOKUP(A89,datos_2023!$B$1:$G$322,4,FALSE),"")</f>
        <v>695</v>
      </c>
    </row>
    <row r="90" spans="1:4">
      <c r="A90" s="3">
        <v>21105</v>
      </c>
      <c r="B90" s="4" t="s">
        <v>95</v>
      </c>
      <c r="C90" s="21">
        <f>IFERROR(VLOOKUP(A90,datos_2016!$B$1:$G$330,4,FALSE),"")</f>
        <v>350</v>
      </c>
      <c r="D90" s="21">
        <f>IFERROR(VLOOKUP(A90,datos_2023!$B$1:$G$322,4,FALSE),"")</f>
        <v>844</v>
      </c>
    </row>
    <row r="91" spans="1:4">
      <c r="A91" s="5">
        <v>21201</v>
      </c>
      <c r="B91" s="6" t="s">
        <v>96</v>
      </c>
      <c r="C91" s="21">
        <f>IFERROR(VLOOKUP(A91,datos_2016!$B$1:$G$330,4,FALSE),"")</f>
        <v>1188</v>
      </c>
      <c r="D91" s="21">
        <f>IFERROR(VLOOKUP(A91,datos_2023!$B$1:$G$322,4,FALSE),"")</f>
        <v>3750</v>
      </c>
    </row>
    <row r="92" spans="1:4">
      <c r="A92" s="3">
        <v>21202</v>
      </c>
      <c r="B92" s="4" t="s">
        <v>97</v>
      </c>
      <c r="C92" s="21">
        <f>IFERROR(VLOOKUP(A92,datos_2016!$B$1:$G$330,4,FALSE),"")</f>
        <v>937</v>
      </c>
      <c r="D92" s="21">
        <f>IFERROR(VLOOKUP(A92,datos_2023!$B$1:$G$322,4,FALSE),"")</f>
        <v>1573</v>
      </c>
    </row>
    <row r="93" spans="1:4">
      <c r="A93" s="5">
        <v>21203</v>
      </c>
      <c r="B93" s="6" t="s">
        <v>98</v>
      </c>
      <c r="C93" s="21">
        <f>IFERROR(VLOOKUP(A93,datos_2016!$B$1:$G$330,4,FALSE),"")</f>
        <v>741</v>
      </c>
      <c r="D93" s="21">
        <f>IFERROR(VLOOKUP(A93,datos_2023!$B$1:$G$322,4,FALSE),"")</f>
        <v>643</v>
      </c>
    </row>
    <row r="94" spans="1:4">
      <c r="A94" s="3">
        <v>21204</v>
      </c>
      <c r="B94" s="4" t="s">
        <v>99</v>
      </c>
      <c r="C94" s="21">
        <f>IFERROR(VLOOKUP(A94,datos_2016!$B$1:$G$330,4,FALSE),"")</f>
        <v>256</v>
      </c>
      <c r="D94" s="21" t="str">
        <f>IFERROR(VLOOKUP(A94,datos_2023!$B$1:$G$322,4,FALSE),"")</f>
        <v/>
      </c>
    </row>
    <row r="95" spans="1:4">
      <c r="A95" s="5">
        <v>21301</v>
      </c>
      <c r="B95" s="6" t="s">
        <v>100</v>
      </c>
      <c r="C95" s="21">
        <f>IFERROR(VLOOKUP(A95,datos_2016!$B$1:$G$330,4,FALSE),"")</f>
        <v>1032</v>
      </c>
      <c r="D95" s="21">
        <f>IFERROR(VLOOKUP(A95,datos_2023!$B$1:$G$322,4,FALSE),"")</f>
        <v>853</v>
      </c>
    </row>
    <row r="96" spans="1:4">
      <c r="A96" s="3">
        <v>21302</v>
      </c>
      <c r="B96" s="4" t="s">
        <v>101</v>
      </c>
      <c r="C96" s="21">
        <f>IFERROR(VLOOKUP(A96,datos_2016!$B$1:$G$330,4,FALSE),"")</f>
        <v>632</v>
      </c>
      <c r="D96" s="21">
        <f>IFERROR(VLOOKUP(A96,datos_2023!$B$1:$G$322,4,FALSE),"")</f>
        <v>750</v>
      </c>
    </row>
    <row r="97" spans="1:4">
      <c r="A97" s="5">
        <v>21303</v>
      </c>
      <c r="B97" s="6" t="s">
        <v>102</v>
      </c>
      <c r="C97" s="21">
        <f>IFERROR(VLOOKUP(A97,datos_2016!$B$1:$G$330,4,FALSE),"")</f>
        <v>452</v>
      </c>
      <c r="D97" s="21">
        <f>IFERROR(VLOOKUP(A97,datos_2023!$B$1:$G$322,4,FALSE),"")</f>
        <v>428</v>
      </c>
    </row>
    <row r="98" spans="1:4">
      <c r="A98" s="3">
        <v>21304</v>
      </c>
      <c r="B98" s="4" t="s">
        <v>103</v>
      </c>
      <c r="C98" s="21">
        <f>IFERROR(VLOOKUP(A98,datos_2016!$B$1:$G$330,4,FALSE),"")</f>
        <v>473</v>
      </c>
      <c r="D98" s="21">
        <f>IFERROR(VLOOKUP(A98,datos_2023!$B$1:$G$322,4,FALSE),"")</f>
        <v>607</v>
      </c>
    </row>
    <row r="99" spans="1:4">
      <c r="A99" s="5">
        <v>21305</v>
      </c>
      <c r="B99" s="6" t="s">
        <v>104</v>
      </c>
      <c r="C99" s="21">
        <f>IFERROR(VLOOKUP(A99,datos_2016!$B$1:$G$330,4,FALSE),"")</f>
        <v>719</v>
      </c>
      <c r="D99" s="21">
        <f>IFERROR(VLOOKUP(A99,datos_2023!$B$1:$G$322,4,FALSE),"")</f>
        <v>756</v>
      </c>
    </row>
    <row r="100" spans="1:4">
      <c r="A100" s="3">
        <v>21306</v>
      </c>
      <c r="B100" s="4" t="s">
        <v>105</v>
      </c>
      <c r="C100" s="21">
        <f>IFERROR(VLOOKUP(A100,datos_2016!$B$1:$G$330,4,FALSE),"")</f>
        <v>205</v>
      </c>
      <c r="D100" s="21">
        <f>IFERROR(VLOOKUP(A100,datos_2023!$B$1:$G$322,4,FALSE),"")</f>
        <v>302</v>
      </c>
    </row>
    <row r="101" spans="1:4">
      <c r="A101" s="5">
        <v>21307</v>
      </c>
      <c r="B101" s="6" t="s">
        <v>106</v>
      </c>
      <c r="C101" s="21">
        <f>IFERROR(VLOOKUP(A101,datos_2016!$B$1:$G$330,4,FALSE),"")</f>
        <v>42</v>
      </c>
      <c r="D101" s="21">
        <f>IFERROR(VLOOKUP(A101,datos_2023!$B$1:$G$322,4,FALSE),"")</f>
        <v>96</v>
      </c>
    </row>
    <row r="102" spans="1:4">
      <c r="A102" s="3">
        <v>21401</v>
      </c>
      <c r="B102" s="4" t="s">
        <v>107</v>
      </c>
      <c r="C102" s="21">
        <f>IFERROR(VLOOKUP(A102,datos_2016!$B$1:$G$330,4,FALSE),"")</f>
        <v>244</v>
      </c>
      <c r="D102" s="21">
        <f>IFERROR(VLOOKUP(A102,datos_2023!$B$1:$G$322,4,FALSE),"")</f>
        <v>552</v>
      </c>
    </row>
    <row r="103" spans="1:4">
      <c r="A103" s="5">
        <v>21402</v>
      </c>
      <c r="B103" s="6" t="s">
        <v>108</v>
      </c>
      <c r="C103" s="21">
        <f>IFERROR(VLOOKUP(A103,datos_2016!$B$1:$G$330,4,FALSE),"")</f>
        <v>348</v>
      </c>
      <c r="D103" s="21">
        <f>IFERROR(VLOOKUP(A103,datos_2023!$B$1:$G$322,4,FALSE),"")</f>
        <v>366</v>
      </c>
    </row>
    <row r="104" spans="1:4">
      <c r="A104" s="3">
        <v>21501</v>
      </c>
      <c r="B104" s="4" t="s">
        <v>109</v>
      </c>
      <c r="C104" s="21">
        <f>IFERROR(VLOOKUP(A104,datos_2016!$B$1:$G$330,4,FALSE),"")</f>
        <v>14</v>
      </c>
      <c r="D104" s="21">
        <f>IFERROR(VLOOKUP(A104,datos_2023!$B$1:$G$322,4,FALSE),"")</f>
        <v>47</v>
      </c>
    </row>
    <row r="105" spans="1:4">
      <c r="A105" s="5">
        <v>21502</v>
      </c>
      <c r="B105" s="6" t="s">
        <v>110</v>
      </c>
      <c r="C105" s="21">
        <f>IFERROR(VLOOKUP(A105,datos_2016!$B$1:$G$330,4,FALSE),"")</f>
        <v>40</v>
      </c>
      <c r="D105" s="21">
        <f>IFERROR(VLOOKUP(A105,datos_2023!$B$1:$G$322,4,FALSE),"")</f>
        <v>42</v>
      </c>
    </row>
    <row r="106" spans="1:4">
      <c r="A106" s="3">
        <v>21601</v>
      </c>
      <c r="B106" s="4" t="s">
        <v>111</v>
      </c>
      <c r="C106" s="21">
        <f>IFERROR(VLOOKUP(A106,datos_2016!$B$1:$G$330,4,FALSE),"")</f>
        <v>248</v>
      </c>
      <c r="D106" s="21">
        <f>IFERROR(VLOOKUP(A106,datos_2023!$B$1:$G$322,4,FALSE),"")</f>
        <v>288</v>
      </c>
    </row>
    <row r="107" spans="1:4">
      <c r="A107" s="5">
        <v>21602</v>
      </c>
      <c r="B107" s="6" t="s">
        <v>112</v>
      </c>
      <c r="C107" s="21">
        <f>IFERROR(VLOOKUP(A107,datos_2016!$B$1:$G$330,4,FALSE),"")</f>
        <v>79</v>
      </c>
      <c r="D107" s="21">
        <f>IFERROR(VLOOKUP(A107,datos_2023!$B$1:$G$322,4,FALSE),"")</f>
        <v>64</v>
      </c>
    </row>
    <row r="108" spans="1:4">
      <c r="A108" s="3">
        <v>21701</v>
      </c>
      <c r="B108" s="4" t="s">
        <v>113</v>
      </c>
      <c r="C108" s="21">
        <f>IFERROR(VLOOKUP(A108,datos_2016!$B$1:$G$330,4,FALSE),"")</f>
        <v>850</v>
      </c>
      <c r="D108" s="21">
        <f>IFERROR(VLOOKUP(A108,datos_2023!$B$1:$G$322,4,FALSE),"")</f>
        <v>723</v>
      </c>
    </row>
    <row r="109" spans="1:4">
      <c r="A109" s="5">
        <v>21702</v>
      </c>
      <c r="B109" s="6" t="s">
        <v>114</v>
      </c>
      <c r="C109" s="21">
        <f>IFERROR(VLOOKUP(A109,datos_2016!$B$1:$G$330,4,FALSE),"")</f>
        <v>326</v>
      </c>
      <c r="D109" s="21">
        <f>IFERROR(VLOOKUP(A109,datos_2023!$B$1:$G$322,4,FALSE),"")</f>
        <v>340</v>
      </c>
    </row>
    <row r="110" spans="1:4">
      <c r="A110" s="3">
        <v>21703</v>
      </c>
      <c r="B110" s="4" t="s">
        <v>115</v>
      </c>
      <c r="C110" s="21">
        <f>IFERROR(VLOOKUP(A110,datos_2016!$B$1:$G$330,4,FALSE),"")</f>
        <v>95</v>
      </c>
      <c r="D110" s="21">
        <f>IFERROR(VLOOKUP(A110,datos_2023!$B$1:$G$322,4,FALSE),"")</f>
        <v>99</v>
      </c>
    </row>
    <row r="111" spans="1:4">
      <c r="A111" s="5">
        <v>21801</v>
      </c>
      <c r="B111" s="6" t="s">
        <v>116</v>
      </c>
      <c r="C111" s="21">
        <f>IFERROR(VLOOKUP(A111,datos_2016!$B$1:$G$330,4,FALSE),"")</f>
        <v>65</v>
      </c>
      <c r="D111" s="21">
        <f>IFERROR(VLOOKUP(A111,datos_2023!$B$1:$G$322,4,FALSE),"")</f>
        <v>285</v>
      </c>
    </row>
    <row r="112" spans="1:4">
      <c r="A112" s="3">
        <v>21802</v>
      </c>
      <c r="B112" s="4" t="s">
        <v>117</v>
      </c>
      <c r="C112" s="21">
        <f>IFERROR(VLOOKUP(A112,datos_2016!$B$1:$G$330,4,FALSE),"")</f>
        <v>0</v>
      </c>
      <c r="D112" s="21">
        <f>IFERROR(VLOOKUP(A112,datos_2023!$B$1:$G$322,4,FALSE),"")</f>
        <v>272</v>
      </c>
    </row>
    <row r="113" spans="1:4">
      <c r="A113" s="5">
        <v>21803</v>
      </c>
      <c r="B113" s="6" t="s">
        <v>118</v>
      </c>
      <c r="C113" s="21">
        <f>IFERROR(VLOOKUP(A113,datos_2016!$B$1:$G$330,4,FALSE),"")</f>
        <v>92</v>
      </c>
      <c r="D113" s="21">
        <f>IFERROR(VLOOKUP(A113,datos_2023!$B$1:$G$322,4,FALSE),"")</f>
        <v>90</v>
      </c>
    </row>
    <row r="114" spans="1:4">
      <c r="A114" s="3">
        <v>21901</v>
      </c>
      <c r="B114" s="4" t="s">
        <v>119</v>
      </c>
      <c r="C114" s="21">
        <f>IFERROR(VLOOKUP(A114,datos_2016!$B$1:$G$330,4,FALSE),"")</f>
        <v>273</v>
      </c>
      <c r="D114" s="21">
        <f>IFERROR(VLOOKUP(A114,datos_2023!$B$1:$G$322,4,FALSE),"")</f>
        <v>404</v>
      </c>
    </row>
    <row r="115" spans="1:4">
      <c r="A115" s="5">
        <v>21902</v>
      </c>
      <c r="B115" s="6" t="s">
        <v>120</v>
      </c>
      <c r="C115" s="21">
        <f>IFERROR(VLOOKUP(A115,datos_2016!$B$1:$G$330,4,FALSE),"")</f>
        <v>29</v>
      </c>
      <c r="D115" s="21">
        <f>IFERROR(VLOOKUP(A115,datos_2023!$B$1:$G$322,4,FALSE),"")</f>
        <v>37</v>
      </c>
    </row>
    <row r="116" spans="1:4">
      <c r="A116" s="3">
        <v>22001</v>
      </c>
      <c r="B116" s="4" t="s">
        <v>121</v>
      </c>
      <c r="C116" s="21">
        <f>IFERROR(VLOOKUP(A116,datos_2016!$B$1:$G$330,4,FALSE),"")</f>
        <v>1666</v>
      </c>
      <c r="D116" s="21">
        <f>IFERROR(VLOOKUP(A116,datos_2023!$B$1:$G$322,4,FALSE),"")</f>
        <v>2132</v>
      </c>
    </row>
    <row r="117" spans="1:4">
      <c r="A117" s="5">
        <v>22002</v>
      </c>
      <c r="B117" s="6" t="s">
        <v>122</v>
      </c>
      <c r="C117" s="21">
        <f>IFERROR(VLOOKUP(A117,datos_2016!$B$1:$G$330,4,FALSE),"")</f>
        <v>154</v>
      </c>
      <c r="D117" s="21">
        <f>IFERROR(VLOOKUP(A117,datos_2023!$B$1:$G$322,4,FALSE),"")</f>
        <v>302</v>
      </c>
    </row>
    <row r="118" spans="1:4">
      <c r="A118" s="3">
        <v>30101</v>
      </c>
      <c r="B118" s="4" t="s">
        <v>123</v>
      </c>
      <c r="C118" s="21">
        <f>IFERROR(VLOOKUP(A118,datos_2016!$B$1:$G$330,4,FALSE),"")</f>
        <v>9655</v>
      </c>
      <c r="D118" s="21">
        <f>IFERROR(VLOOKUP(A118,datos_2023!$B$1:$G$322,4,FALSE),"")</f>
        <v>14972</v>
      </c>
    </row>
    <row r="119" spans="1:4">
      <c r="A119" s="5">
        <v>30201</v>
      </c>
      <c r="B119" s="6" t="s">
        <v>124</v>
      </c>
      <c r="C119" s="21">
        <f>IFERROR(VLOOKUP(A119,datos_2016!$B$1:$G$330,4,FALSE),"")</f>
        <v>274</v>
      </c>
      <c r="D119" s="21">
        <f>IFERROR(VLOOKUP(A119,datos_2023!$B$1:$G$322,4,FALSE),"")</f>
        <v>291</v>
      </c>
    </row>
    <row r="120" spans="1:4">
      <c r="A120" s="3">
        <v>30202</v>
      </c>
      <c r="B120" s="4" t="s">
        <v>125</v>
      </c>
      <c r="C120" s="21">
        <f>IFERROR(VLOOKUP(A120,datos_2016!$B$1:$G$330,4,FALSE),"")</f>
        <v>45</v>
      </c>
      <c r="D120" s="21">
        <f>IFERROR(VLOOKUP(A120,datos_2023!$B$1:$G$322,4,FALSE),"")</f>
        <v>63</v>
      </c>
    </row>
    <row r="121" spans="1:4">
      <c r="A121" s="5">
        <v>30203</v>
      </c>
      <c r="B121" s="6" t="s">
        <v>126</v>
      </c>
      <c r="C121" s="21">
        <f>IFERROR(VLOOKUP(A121,datos_2016!$B$1:$G$330,4,FALSE),"")</f>
        <v>83</v>
      </c>
      <c r="D121" s="21">
        <f>IFERROR(VLOOKUP(A121,datos_2023!$B$1:$G$322,4,FALSE),"")</f>
        <v>107</v>
      </c>
    </row>
    <row r="122" spans="1:4">
      <c r="A122" s="3">
        <v>30301</v>
      </c>
      <c r="B122" s="4" t="s">
        <v>127</v>
      </c>
      <c r="C122" s="21">
        <f>IFERROR(VLOOKUP(A122,datos_2016!$B$1:$G$330,4,FALSE),"")</f>
        <v>279</v>
      </c>
      <c r="D122" s="21">
        <f>IFERROR(VLOOKUP(A122,datos_2023!$B$1:$G$322,4,FALSE),"")</f>
        <v>579</v>
      </c>
    </row>
    <row r="123" spans="1:4">
      <c r="A123" s="5">
        <v>30302</v>
      </c>
      <c r="B123" s="6" t="s">
        <v>128</v>
      </c>
      <c r="C123" s="21">
        <f>IFERROR(VLOOKUP(A123,datos_2016!$B$1:$G$330,4,FALSE),"")</f>
        <v>232</v>
      </c>
      <c r="D123" s="21">
        <f>IFERROR(VLOOKUP(A123,datos_2023!$B$1:$G$322,4,FALSE),"")</f>
        <v>309</v>
      </c>
    </row>
    <row r="124" spans="1:4">
      <c r="A124" s="3">
        <v>30303</v>
      </c>
      <c r="B124" s="4" t="s">
        <v>129</v>
      </c>
      <c r="C124" s="21">
        <f>IFERROR(VLOOKUP(A124,datos_2016!$B$1:$G$330,4,FALSE),"")</f>
        <v>154</v>
      </c>
      <c r="D124" s="21">
        <f>IFERROR(VLOOKUP(A124,datos_2023!$B$1:$G$322,4,FALSE),"")</f>
        <v>251</v>
      </c>
    </row>
    <row r="125" spans="1:4">
      <c r="A125" s="5">
        <v>30401</v>
      </c>
      <c r="B125" s="6" t="s">
        <v>130</v>
      </c>
      <c r="C125" s="21">
        <f>IFERROR(VLOOKUP(A125,datos_2016!$B$1:$G$330,4,FALSE),"")</f>
        <v>298</v>
      </c>
      <c r="D125" s="21">
        <f>IFERROR(VLOOKUP(A125,datos_2023!$B$1:$G$322,4,FALSE),"")</f>
        <v>323</v>
      </c>
    </row>
    <row r="126" spans="1:4">
      <c r="A126" s="3">
        <v>30402</v>
      </c>
      <c r="B126" s="4" t="s">
        <v>131</v>
      </c>
      <c r="C126" s="21">
        <f>IFERROR(VLOOKUP(A126,datos_2016!$B$1:$G$330,4,FALSE),"")</f>
        <v>185</v>
      </c>
      <c r="D126" s="21">
        <f>IFERROR(VLOOKUP(A126,datos_2023!$B$1:$G$322,4,FALSE),"")</f>
        <v>305</v>
      </c>
    </row>
    <row r="127" spans="1:4">
      <c r="A127" s="5">
        <v>30403</v>
      </c>
      <c r="B127" s="6" t="s">
        <v>132</v>
      </c>
      <c r="C127" s="21">
        <f>IFERROR(VLOOKUP(A127,datos_2016!$B$1:$G$330,4,FALSE),"")</f>
        <v>803</v>
      </c>
      <c r="D127" s="21">
        <f>IFERROR(VLOOKUP(A127,datos_2023!$B$1:$G$322,4,FALSE),"")</f>
        <v>866</v>
      </c>
    </row>
    <row r="128" spans="1:4">
      <c r="A128" s="3">
        <v>30404</v>
      </c>
      <c r="B128" s="4" t="s">
        <v>133</v>
      </c>
      <c r="C128" s="21">
        <f>IFERROR(VLOOKUP(A128,datos_2016!$B$1:$G$330,4,FALSE),"")</f>
        <v>176</v>
      </c>
      <c r="D128" s="21">
        <f>IFERROR(VLOOKUP(A128,datos_2023!$B$1:$G$322,4,FALSE),"")</f>
        <v>129</v>
      </c>
    </row>
    <row r="129" spans="1:4">
      <c r="A129" s="5">
        <v>30501</v>
      </c>
      <c r="B129" s="6" t="s">
        <v>134</v>
      </c>
      <c r="C129" s="21">
        <f>IFERROR(VLOOKUP(A129,datos_2016!$B$1:$G$330,4,FALSE),"")</f>
        <v>706</v>
      </c>
      <c r="D129" s="21">
        <f>IFERROR(VLOOKUP(A129,datos_2023!$B$1:$G$322,4,FALSE),"")</f>
        <v>403</v>
      </c>
    </row>
    <row r="130" spans="1:4">
      <c r="A130" s="3">
        <v>30502</v>
      </c>
      <c r="B130" s="4" t="s">
        <v>135</v>
      </c>
      <c r="C130" s="21">
        <f>IFERROR(VLOOKUP(A130,datos_2016!$B$1:$G$330,4,FALSE),"")</f>
        <v>226</v>
      </c>
      <c r="D130" s="21">
        <f>IFERROR(VLOOKUP(A130,datos_2023!$B$1:$G$322,4,FALSE),"")</f>
        <v>417</v>
      </c>
    </row>
    <row r="131" spans="1:4">
      <c r="A131" s="5">
        <v>30601</v>
      </c>
      <c r="B131" s="6" t="s">
        <v>136</v>
      </c>
      <c r="C131" s="21">
        <f>IFERROR(VLOOKUP(A131,datos_2016!$B$1:$G$330,4,FALSE),"")</f>
        <v>144</v>
      </c>
      <c r="D131" s="21">
        <f>IFERROR(VLOOKUP(A131,datos_2023!$B$1:$G$322,4,FALSE),"")</f>
        <v>216</v>
      </c>
    </row>
    <row r="132" spans="1:4">
      <c r="A132" s="3">
        <v>30602</v>
      </c>
      <c r="B132" s="4" t="s">
        <v>137</v>
      </c>
      <c r="C132" s="21">
        <f>IFERROR(VLOOKUP(A132,datos_2016!$B$1:$G$330,4,FALSE),"")</f>
        <v>199</v>
      </c>
      <c r="D132" s="21">
        <f>IFERROR(VLOOKUP(A132,datos_2023!$B$1:$G$322,4,FALSE),"")</f>
        <v>345</v>
      </c>
    </row>
    <row r="133" spans="1:4">
      <c r="A133" s="5">
        <v>30701</v>
      </c>
      <c r="B133" s="6" t="s">
        <v>138</v>
      </c>
      <c r="C133" s="21">
        <f>IFERROR(VLOOKUP(A133,datos_2016!$B$1:$G$330,4,FALSE),"")</f>
        <v>297</v>
      </c>
      <c r="D133" s="21">
        <f>IFERROR(VLOOKUP(A133,datos_2023!$B$1:$G$322,4,FALSE),"")</f>
        <v>425</v>
      </c>
    </row>
    <row r="134" spans="1:4">
      <c r="A134" s="3">
        <v>30702</v>
      </c>
      <c r="B134" s="4" t="s">
        <v>139</v>
      </c>
      <c r="C134" s="21">
        <f>IFERROR(VLOOKUP(A134,datos_2016!$B$1:$G$330,4,FALSE),"")</f>
        <v>360</v>
      </c>
      <c r="D134" s="21" t="str">
        <f>IFERROR(VLOOKUP(A134,datos_2023!$B$1:$G$322,4,FALSE),"")</f>
        <v/>
      </c>
    </row>
    <row r="135" spans="1:4">
      <c r="A135" s="5">
        <v>30703</v>
      </c>
      <c r="B135" s="6" t="s">
        <v>140</v>
      </c>
      <c r="C135" s="21">
        <f>IFERROR(VLOOKUP(A135,datos_2016!$B$1:$G$330,4,FALSE),"")</f>
        <v>60</v>
      </c>
      <c r="D135" s="21">
        <f>IFERROR(VLOOKUP(A135,datos_2023!$B$1:$G$322,4,FALSE),"")</f>
        <v>60</v>
      </c>
    </row>
    <row r="136" spans="1:4">
      <c r="A136" s="3">
        <v>30801</v>
      </c>
      <c r="B136" s="4" t="s">
        <v>141</v>
      </c>
      <c r="C136" s="21">
        <f>IFERROR(VLOOKUP(A136,datos_2016!$B$1:$G$330,4,FALSE),"")</f>
        <v>717</v>
      </c>
      <c r="D136" s="21">
        <f>IFERROR(VLOOKUP(A136,datos_2023!$B$1:$G$322,4,FALSE),"")</f>
        <v>770</v>
      </c>
    </row>
    <row r="137" spans="1:4">
      <c r="A137" s="5">
        <v>30802</v>
      </c>
      <c r="B137" s="6" t="s">
        <v>142</v>
      </c>
      <c r="C137" s="21">
        <f>IFERROR(VLOOKUP(A137,datos_2016!$B$1:$G$330,4,FALSE),"")</f>
        <v>211</v>
      </c>
      <c r="D137" s="21">
        <f>IFERROR(VLOOKUP(A137,datos_2023!$B$1:$G$322,4,FALSE),"")</f>
        <v>223</v>
      </c>
    </row>
    <row r="138" spans="1:4">
      <c r="A138" s="3">
        <v>30803</v>
      </c>
      <c r="B138" s="4" t="s">
        <v>143</v>
      </c>
      <c r="C138" s="21">
        <f>IFERROR(VLOOKUP(A138,datos_2016!$B$1:$G$330,4,FALSE),"")</f>
        <v>240</v>
      </c>
      <c r="D138" s="21">
        <f>IFERROR(VLOOKUP(A138,datos_2023!$B$1:$G$322,4,FALSE),"")</f>
        <v>339</v>
      </c>
    </row>
    <row r="139" spans="1:4">
      <c r="A139" s="5">
        <v>30901</v>
      </c>
      <c r="B139" s="6" t="s">
        <v>144</v>
      </c>
      <c r="C139" s="21">
        <f>IFERROR(VLOOKUP(A139,datos_2016!$B$1:$G$330,4,FALSE),"")</f>
        <v>1521</v>
      </c>
      <c r="D139" s="21">
        <f>IFERROR(VLOOKUP(A139,datos_2023!$B$1:$G$322,4,FALSE),"")</f>
        <v>2344</v>
      </c>
    </row>
    <row r="140" spans="1:4">
      <c r="A140" s="3">
        <v>30902</v>
      </c>
      <c r="B140" s="4" t="s">
        <v>145</v>
      </c>
      <c r="C140" s="21">
        <f>IFERROR(VLOOKUP(A140,datos_2016!$B$1:$G$330,4,FALSE),"")</f>
        <v>627</v>
      </c>
      <c r="D140" s="21">
        <f>IFERROR(VLOOKUP(A140,datos_2023!$B$1:$G$322,4,FALSE),"")</f>
        <v>928</v>
      </c>
    </row>
    <row r="141" spans="1:4">
      <c r="A141" s="5">
        <v>30903</v>
      </c>
      <c r="B141" s="6" t="s">
        <v>146</v>
      </c>
      <c r="C141" s="21">
        <f>IFERROR(VLOOKUP(A141,datos_2016!$B$1:$G$330,4,FALSE),"")</f>
        <v>613</v>
      </c>
      <c r="D141" s="21">
        <f>IFERROR(VLOOKUP(A141,datos_2023!$B$1:$G$322,4,FALSE),"")</f>
        <v>793</v>
      </c>
    </row>
    <row r="142" spans="1:4">
      <c r="A142" s="3">
        <v>30904</v>
      </c>
      <c r="B142" s="4" t="s">
        <v>147</v>
      </c>
      <c r="C142" s="21">
        <f>IFERROR(VLOOKUP(A142,datos_2016!$B$1:$G$330,4,FALSE),"")</f>
        <v>861</v>
      </c>
      <c r="D142" s="21">
        <f>IFERROR(VLOOKUP(A142,datos_2023!$B$1:$G$322,4,FALSE),"")</f>
        <v>1236</v>
      </c>
    </row>
    <row r="143" spans="1:4">
      <c r="A143" s="5">
        <v>30905</v>
      </c>
      <c r="B143" s="6" t="s">
        <v>148</v>
      </c>
      <c r="C143" s="21">
        <f>IFERROR(VLOOKUP(A143,datos_2016!$B$1:$G$330,4,FALSE),"")</f>
        <v>466</v>
      </c>
      <c r="D143" s="21">
        <f>IFERROR(VLOOKUP(A143,datos_2023!$B$1:$G$322,4,FALSE),"")</f>
        <v>846</v>
      </c>
    </row>
    <row r="144" spans="1:4">
      <c r="A144" s="3">
        <v>31001</v>
      </c>
      <c r="B144" s="4" t="s">
        <v>149</v>
      </c>
      <c r="C144" s="21">
        <f>IFERROR(VLOOKUP(A144,datos_2016!$B$1:$G$330,4,FALSE),"")</f>
        <v>2865</v>
      </c>
      <c r="D144" s="21">
        <f>IFERROR(VLOOKUP(A144,datos_2023!$B$1:$G$322,4,FALSE),"")</f>
        <v>4415</v>
      </c>
    </row>
    <row r="145" spans="1:4">
      <c r="A145" s="5">
        <v>31002</v>
      </c>
      <c r="B145" s="6" t="s">
        <v>150</v>
      </c>
      <c r="C145" s="21">
        <f>IFERROR(VLOOKUP(A145,datos_2016!$B$1:$G$330,4,FALSE),"")</f>
        <v>459</v>
      </c>
      <c r="D145" s="21">
        <f>IFERROR(VLOOKUP(A145,datos_2023!$B$1:$G$322,4,FALSE),"")</f>
        <v>604</v>
      </c>
    </row>
    <row r="146" spans="1:4">
      <c r="A146" s="3">
        <v>31003</v>
      </c>
      <c r="B146" s="4" t="s">
        <v>151</v>
      </c>
      <c r="C146" s="21">
        <f>IFERROR(VLOOKUP(A146,datos_2016!$B$1:$G$330,4,FALSE),"")</f>
        <v>1222</v>
      </c>
      <c r="D146" s="21">
        <f>IFERROR(VLOOKUP(A146,datos_2023!$B$1:$G$322,4,FALSE),"")</f>
        <v>1532</v>
      </c>
    </row>
    <row r="147" spans="1:4">
      <c r="A147" s="5">
        <v>31101</v>
      </c>
      <c r="B147" s="6" t="s">
        <v>152</v>
      </c>
      <c r="C147" s="21">
        <f>IFERROR(VLOOKUP(A147,datos_2016!$B$1:$G$330,4,FALSE),"")</f>
        <v>322</v>
      </c>
      <c r="D147" s="21">
        <f>IFERROR(VLOOKUP(A147,datos_2023!$B$1:$G$322,4,FALSE),"")</f>
        <v>612</v>
      </c>
    </row>
    <row r="148" spans="1:4">
      <c r="A148" s="3">
        <v>31201</v>
      </c>
      <c r="B148" s="4" t="s">
        <v>153</v>
      </c>
      <c r="C148" s="21">
        <f>IFERROR(VLOOKUP(A148,datos_2016!$B$1:$G$330,4,FALSE),"")</f>
        <v>215</v>
      </c>
      <c r="D148" s="21">
        <f>IFERROR(VLOOKUP(A148,datos_2023!$B$1:$G$322,4,FALSE),"")</f>
        <v>236</v>
      </c>
    </row>
    <row r="149" spans="1:4">
      <c r="A149" s="5">
        <v>31202</v>
      </c>
      <c r="B149" s="6" t="s">
        <v>154</v>
      </c>
      <c r="C149" s="21">
        <f>IFERROR(VLOOKUP(A149,datos_2016!$B$1:$G$330,4,FALSE),"")</f>
        <v>174</v>
      </c>
      <c r="D149" s="21">
        <f>IFERROR(VLOOKUP(A149,datos_2023!$B$1:$G$322,4,FALSE),"")</f>
        <v>147</v>
      </c>
    </row>
    <row r="150" spans="1:4">
      <c r="A150" s="3">
        <v>31203</v>
      </c>
      <c r="B150" s="4" t="s">
        <v>155</v>
      </c>
      <c r="C150" s="21">
        <f>IFERROR(VLOOKUP(A150,datos_2016!$B$1:$G$330,4,FALSE),"")</f>
        <v>275</v>
      </c>
      <c r="D150" s="21">
        <f>IFERROR(VLOOKUP(A150,datos_2023!$B$1:$G$322,4,FALSE),"")</f>
        <v>317</v>
      </c>
    </row>
    <row r="151" spans="1:4">
      <c r="A151" s="5">
        <v>31204</v>
      </c>
      <c r="B151" s="6" t="s">
        <v>156</v>
      </c>
      <c r="C151" s="21">
        <f>IFERROR(VLOOKUP(A151,datos_2016!$B$1:$G$330,4,FALSE),"")</f>
        <v>271</v>
      </c>
      <c r="D151" s="21">
        <f>IFERROR(VLOOKUP(A151,datos_2023!$B$1:$G$322,4,FALSE),"")</f>
        <v>356</v>
      </c>
    </row>
    <row r="152" spans="1:4">
      <c r="A152" s="3">
        <v>31205</v>
      </c>
      <c r="B152" s="4" t="s">
        <v>157</v>
      </c>
      <c r="C152" s="21">
        <f>IFERROR(VLOOKUP(A152,datos_2016!$B$1:$G$330,4,FALSE),"")</f>
        <v>707</v>
      </c>
      <c r="D152" s="21">
        <f>IFERROR(VLOOKUP(A152,datos_2023!$B$1:$G$322,4,FALSE),"")</f>
        <v>822</v>
      </c>
    </row>
    <row r="153" spans="1:4">
      <c r="A153" s="5">
        <v>31206</v>
      </c>
      <c r="B153" s="6" t="s">
        <v>158</v>
      </c>
      <c r="C153" s="21">
        <f>IFERROR(VLOOKUP(A153,datos_2016!$B$1:$G$330,4,FALSE),"")</f>
        <v>271</v>
      </c>
      <c r="D153" s="21">
        <f>IFERROR(VLOOKUP(A153,datos_2023!$B$1:$G$322,4,FALSE),"")</f>
        <v>692</v>
      </c>
    </row>
    <row r="154" spans="1:4">
      <c r="A154" s="12">
        <v>31301</v>
      </c>
      <c r="B154" s="13" t="s">
        <v>159</v>
      </c>
      <c r="C154" s="21">
        <f>IFERROR(VLOOKUP(A154,datos_2016!$B$1:$G$330,4,FALSE),"")</f>
        <v>355</v>
      </c>
      <c r="D154" s="21">
        <f>IFERROR(VLOOKUP(A154,datos_2023!$B$1:$G$322,4,FALSE),"")</f>
        <v>302</v>
      </c>
    </row>
    <row r="155" spans="1:4">
      <c r="A155" s="5">
        <v>31302</v>
      </c>
      <c r="B155" s="6" t="s">
        <v>160</v>
      </c>
      <c r="C155" s="21">
        <f>IFERROR(VLOOKUP(A155,datos_2016!$B$1:$G$330,4,FALSE),"")</f>
        <v>51</v>
      </c>
      <c r="D155" s="21">
        <f>IFERROR(VLOOKUP(A155,datos_2023!$B$1:$G$322,4,FALSE),"")</f>
        <v>74</v>
      </c>
    </row>
    <row r="156" spans="1:4">
      <c r="A156" s="3">
        <v>31303</v>
      </c>
      <c r="B156" s="4" t="s">
        <v>161</v>
      </c>
      <c r="C156" s="21">
        <f>IFERROR(VLOOKUP(A156,datos_2016!$B$1:$G$330,4,FALSE),"")</f>
        <v>38</v>
      </c>
      <c r="D156" s="21">
        <f>IFERROR(VLOOKUP(A156,datos_2023!$B$1:$G$322,4,FALSE),"")</f>
        <v>56</v>
      </c>
    </row>
    <row r="157" spans="1:4">
      <c r="A157" s="5">
        <v>31304</v>
      </c>
      <c r="B157" s="6" t="s">
        <v>162</v>
      </c>
      <c r="C157" s="21" t="str">
        <f>IFERROR(VLOOKUP(A157,datos_2016!$B$1:$G$330,4,FALSE),"")</f>
        <v/>
      </c>
      <c r="D157" s="21" t="str">
        <f>IFERROR(VLOOKUP(A157,datos_2023!$B$1:$G$322,4,FALSE),"")</f>
        <v/>
      </c>
    </row>
    <row r="158" spans="1:4">
      <c r="A158" s="3">
        <v>31401</v>
      </c>
      <c r="B158" s="4" t="s">
        <v>163</v>
      </c>
      <c r="C158" s="21">
        <f>IFERROR(VLOOKUP(A158,datos_2016!$B$1:$G$330,4,FALSE),"")</f>
        <v>777</v>
      </c>
      <c r="D158" s="21">
        <f>IFERROR(VLOOKUP(A158,datos_2023!$B$1:$G$322,4,FALSE),"")</f>
        <v>844</v>
      </c>
    </row>
    <row r="159" spans="1:4">
      <c r="A159" s="5">
        <v>31402</v>
      </c>
      <c r="B159" s="6" t="s">
        <v>164</v>
      </c>
      <c r="C159" s="21">
        <f>IFERROR(VLOOKUP(A159,datos_2016!$B$1:$G$330,4,FALSE),"")</f>
        <v>597</v>
      </c>
      <c r="D159" s="21">
        <f>IFERROR(VLOOKUP(A159,datos_2023!$B$1:$G$322,4,FALSE),"")</f>
        <v>471</v>
      </c>
    </row>
    <row r="160" spans="1:4">
      <c r="A160" s="3">
        <v>31403</v>
      </c>
      <c r="B160" s="4" t="s">
        <v>165</v>
      </c>
      <c r="C160" s="21">
        <f>IFERROR(VLOOKUP(A160,datos_2016!$B$1:$G$330,4,FALSE),"")</f>
        <v>491</v>
      </c>
      <c r="D160" s="21">
        <f>IFERROR(VLOOKUP(A160,datos_2023!$B$1:$G$322,4,FALSE),"")</f>
        <v>581</v>
      </c>
    </row>
    <row r="161" spans="1:4">
      <c r="A161" s="5">
        <v>31404</v>
      </c>
      <c r="B161" s="6" t="s">
        <v>166</v>
      </c>
      <c r="C161" s="21">
        <f>IFERROR(VLOOKUP(A161,datos_2016!$B$1:$G$330,4,FALSE),"")</f>
        <v>57</v>
      </c>
      <c r="D161" s="21">
        <f>IFERROR(VLOOKUP(A161,datos_2023!$B$1:$G$322,4,FALSE),"")</f>
        <v>71</v>
      </c>
    </row>
    <row r="162" spans="1:4">
      <c r="A162" s="3">
        <v>31405</v>
      </c>
      <c r="B162" s="4" t="s">
        <v>167</v>
      </c>
      <c r="C162" s="21" t="str">
        <f>IFERROR(VLOOKUP(A162,datos_2016!$B$1:$G$330,4,FALSE),"")</f>
        <v/>
      </c>
      <c r="D162" s="21" t="str">
        <f>IFERROR(VLOOKUP(A162,datos_2023!$B$1:$G$322,4,FALSE),"")</f>
        <v/>
      </c>
    </row>
    <row r="163" spans="1:4">
      <c r="A163" s="5">
        <v>31501</v>
      </c>
      <c r="B163" s="6" t="s">
        <v>168</v>
      </c>
      <c r="C163" s="21">
        <f>IFERROR(VLOOKUP(A163,datos_2016!$B$1:$G$330,4,FALSE),"")</f>
        <v>153</v>
      </c>
      <c r="D163" s="21">
        <f>IFERROR(VLOOKUP(A163,datos_2023!$B$1:$G$322,4,FALSE),"")</f>
        <v>240</v>
      </c>
    </row>
    <row r="164" spans="1:4">
      <c r="A164" s="3">
        <v>31601</v>
      </c>
      <c r="B164" s="4" t="s">
        <v>169</v>
      </c>
      <c r="C164" s="21">
        <f>IFERROR(VLOOKUP(A164,datos_2016!$B$1:$G$330,4,FALSE),"")</f>
        <v>576</v>
      </c>
      <c r="D164" s="21">
        <f>IFERROR(VLOOKUP(A164,datos_2023!$B$1:$G$322,4,FALSE),"")</f>
        <v>611</v>
      </c>
    </row>
    <row r="165" spans="1:4">
      <c r="A165" s="5">
        <v>31602</v>
      </c>
      <c r="B165" s="6" t="s">
        <v>170</v>
      </c>
      <c r="C165" s="21">
        <f>IFERROR(VLOOKUP(A165,datos_2016!$B$1:$G$330,4,FALSE),"")</f>
        <v>220</v>
      </c>
      <c r="D165" s="21">
        <f>IFERROR(VLOOKUP(A165,datos_2023!$B$1:$G$322,4,FALSE),"")</f>
        <v>230</v>
      </c>
    </row>
    <row r="166" spans="1:4">
      <c r="A166" s="3">
        <v>40101</v>
      </c>
      <c r="B166" s="4" t="s">
        <v>171</v>
      </c>
      <c r="C166" s="21">
        <f>IFERROR(VLOOKUP(A166,datos_2016!$B$1:$G$330,4,FALSE),"")</f>
        <v>4670</v>
      </c>
      <c r="D166" s="21">
        <f>IFERROR(VLOOKUP(A166,datos_2023!$B$1:$G$322,4,FALSE),"")</f>
        <v>7436</v>
      </c>
    </row>
    <row r="167" spans="1:4">
      <c r="A167" s="5">
        <v>40102</v>
      </c>
      <c r="B167" s="6" t="s">
        <v>172</v>
      </c>
      <c r="C167" s="21">
        <f>IFERROR(VLOOKUP(A167,datos_2016!$B$1:$G$330,4,FALSE),"")</f>
        <v>238</v>
      </c>
      <c r="D167" s="21">
        <f>IFERROR(VLOOKUP(A167,datos_2023!$B$1:$G$322,4,FALSE),"")</f>
        <v>826</v>
      </c>
    </row>
    <row r="168" spans="1:4">
      <c r="A168" s="3">
        <v>40103</v>
      </c>
      <c r="B168" s="4" t="s">
        <v>173</v>
      </c>
      <c r="C168" s="21">
        <f>IFERROR(VLOOKUP(A168,datos_2016!$B$1:$G$330,4,FALSE),"")</f>
        <v>23</v>
      </c>
      <c r="D168" s="21">
        <f>IFERROR(VLOOKUP(A168,datos_2023!$B$1:$G$322,4,FALSE),"")</f>
        <v>38</v>
      </c>
    </row>
    <row r="169" spans="1:4">
      <c r="A169" s="5">
        <v>40104</v>
      </c>
      <c r="B169" s="6" t="s">
        <v>174</v>
      </c>
      <c r="C169" s="21">
        <f>IFERROR(VLOOKUP(A169,datos_2016!$B$1:$G$330,4,FALSE),"")</f>
        <v>154</v>
      </c>
      <c r="D169" s="21">
        <f>IFERROR(VLOOKUP(A169,datos_2023!$B$1:$G$322,4,FALSE),"")</f>
        <v>417</v>
      </c>
    </row>
    <row r="170" spans="1:4">
      <c r="A170" s="3">
        <v>40201</v>
      </c>
      <c r="B170" s="4" t="s">
        <v>175</v>
      </c>
      <c r="C170" s="21">
        <f>IFERROR(VLOOKUP(A170,datos_2016!$B$1:$G$330,4,FALSE),"")</f>
        <v>1174</v>
      </c>
      <c r="D170" s="21">
        <f>IFERROR(VLOOKUP(A170,datos_2023!$B$1:$G$322,4,FALSE),"")</f>
        <v>1331</v>
      </c>
    </row>
    <row r="171" spans="1:4">
      <c r="A171" s="5">
        <v>40202</v>
      </c>
      <c r="B171" s="6" t="s">
        <v>176</v>
      </c>
      <c r="C171" s="21">
        <f>IFERROR(VLOOKUP(A171,datos_2016!$B$1:$G$330,4,FALSE),"")</f>
        <v>12</v>
      </c>
      <c r="D171" s="21">
        <f>IFERROR(VLOOKUP(A171,datos_2023!$B$1:$G$322,4,FALSE),"")</f>
        <v>24</v>
      </c>
    </row>
    <row r="172" spans="1:4">
      <c r="A172" s="3">
        <v>40301</v>
      </c>
      <c r="B172" s="4" t="s">
        <v>177</v>
      </c>
      <c r="C172" s="21">
        <f>IFERROR(VLOOKUP(A172,datos_2016!$B$1:$G$330,4,FALSE),"")</f>
        <v>325</v>
      </c>
      <c r="D172" s="21">
        <f>IFERROR(VLOOKUP(A172,datos_2023!$B$1:$G$322,4,FALSE),"")</f>
        <v>691</v>
      </c>
    </row>
    <row r="173" spans="1:4">
      <c r="A173" s="5">
        <v>40302</v>
      </c>
      <c r="B173" s="6" t="s">
        <v>178</v>
      </c>
      <c r="C173" s="21">
        <f>IFERROR(VLOOKUP(A173,datos_2016!$B$1:$G$330,4,FALSE),"")</f>
        <v>67</v>
      </c>
      <c r="D173" s="21">
        <f>IFERROR(VLOOKUP(A173,datos_2023!$B$1:$G$322,4,FALSE),"")</f>
        <v>179</v>
      </c>
    </row>
    <row r="174" spans="1:4">
      <c r="A174" s="3">
        <v>40401</v>
      </c>
      <c r="B174" s="4" t="s">
        <v>179</v>
      </c>
      <c r="C174" s="21">
        <f>IFERROR(VLOOKUP(A174,datos_2016!$B$1:$G$330,4,FALSE),"")</f>
        <v>76</v>
      </c>
      <c r="D174" s="21">
        <f>IFERROR(VLOOKUP(A174,datos_2023!$B$1:$G$322,4,FALSE),"")</f>
        <v>128</v>
      </c>
    </row>
    <row r="175" spans="1:4">
      <c r="A175" s="5">
        <v>40402</v>
      </c>
      <c r="B175" s="6" t="s">
        <v>180</v>
      </c>
      <c r="C175" s="21">
        <f>IFERROR(VLOOKUP(A175,datos_2016!$B$1:$G$330,4,FALSE),"")</f>
        <v>129</v>
      </c>
      <c r="D175" s="21">
        <f>IFERROR(VLOOKUP(A175,datos_2023!$B$1:$G$322,4,FALSE),"")</f>
        <v>126</v>
      </c>
    </row>
    <row r="176" spans="1:4">
      <c r="A176" s="3">
        <v>40501</v>
      </c>
      <c r="B176" s="4" t="s">
        <v>181</v>
      </c>
      <c r="C176" s="21">
        <f>IFERROR(VLOOKUP(A176,datos_2016!$B$1:$G$330,4,FALSE),"")</f>
        <v>124</v>
      </c>
      <c r="D176" s="21">
        <f>IFERROR(VLOOKUP(A176,datos_2023!$B$1:$G$322,4,FALSE),"")</f>
        <v>125</v>
      </c>
    </row>
    <row r="177" spans="1:4">
      <c r="A177" s="5">
        <v>40502</v>
      </c>
      <c r="B177" s="6" t="s">
        <v>182</v>
      </c>
      <c r="C177" s="21">
        <f>IFERROR(VLOOKUP(A177,datos_2016!$B$1:$G$330,4,FALSE),"")</f>
        <v>14</v>
      </c>
      <c r="D177" s="21">
        <f>IFERROR(VLOOKUP(A177,datos_2023!$B$1:$G$322,4,FALSE),"")</f>
        <v>85</v>
      </c>
    </row>
    <row r="178" spans="1:4">
      <c r="A178" s="3">
        <v>40503</v>
      </c>
      <c r="B178" s="4" t="s">
        <v>183</v>
      </c>
      <c r="C178" s="21">
        <f>IFERROR(VLOOKUP(A178,datos_2016!$B$1:$G$330,4,FALSE),"")</f>
        <v>16</v>
      </c>
      <c r="D178" s="21">
        <f>IFERROR(VLOOKUP(A178,datos_2023!$B$1:$G$322,4,FALSE),"")</f>
        <v>11</v>
      </c>
    </row>
    <row r="179" spans="1:4">
      <c r="A179" s="5">
        <v>40504</v>
      </c>
      <c r="B179" s="6" t="s">
        <v>184</v>
      </c>
      <c r="C179" s="21">
        <f>IFERROR(VLOOKUP(A179,datos_2016!$B$1:$G$330,4,FALSE),"")</f>
        <v>1</v>
      </c>
      <c r="D179" s="21">
        <f>IFERROR(VLOOKUP(A179,datos_2023!$B$1:$G$322,4,FALSE),"")</f>
        <v>16</v>
      </c>
    </row>
    <row r="180" spans="1:4">
      <c r="A180" s="3">
        <v>40505</v>
      </c>
      <c r="B180" s="4" t="s">
        <v>185</v>
      </c>
      <c r="C180" s="21">
        <f>IFERROR(VLOOKUP(A180,datos_2016!$B$1:$G$330,4,FALSE),"")</f>
        <v>25</v>
      </c>
      <c r="D180" s="21">
        <f>IFERROR(VLOOKUP(A180,datos_2023!$B$1:$G$322,4,FALSE),"")</f>
        <v>54</v>
      </c>
    </row>
    <row r="181" spans="1:4">
      <c r="A181" s="5">
        <v>40601</v>
      </c>
      <c r="B181" s="6" t="s">
        <v>186</v>
      </c>
      <c r="C181" s="21">
        <f>IFERROR(VLOOKUP(A181,datos_2016!$B$1:$G$330,4,FALSE),"")</f>
        <v>45</v>
      </c>
      <c r="D181" s="21">
        <f>IFERROR(VLOOKUP(A181,datos_2023!$B$1:$G$322,4,FALSE),"")</f>
        <v>220</v>
      </c>
    </row>
    <row r="182" spans="1:4">
      <c r="A182" s="3">
        <v>40602</v>
      </c>
      <c r="B182" s="4" t="s">
        <v>187</v>
      </c>
      <c r="C182" s="21">
        <f>IFERROR(VLOOKUP(A182,datos_2016!$B$1:$G$330,4,FALSE),"")</f>
        <v>67</v>
      </c>
      <c r="D182" s="21">
        <f>IFERROR(VLOOKUP(A182,datos_2023!$B$1:$G$322,4,FALSE),"")</f>
        <v>185</v>
      </c>
    </row>
    <row r="183" spans="1:4">
      <c r="A183" s="5">
        <v>40603</v>
      </c>
      <c r="B183" s="6" t="s">
        <v>188</v>
      </c>
      <c r="C183" s="21">
        <f>IFERROR(VLOOKUP(A183,datos_2016!$B$1:$G$330,4,FALSE),"")</f>
        <v>1</v>
      </c>
      <c r="D183" s="21">
        <f>IFERROR(VLOOKUP(A183,datos_2023!$B$1:$G$322,4,FALSE),"")</f>
        <v>116</v>
      </c>
    </row>
    <row r="184" spans="1:4">
      <c r="A184" s="3">
        <v>40701</v>
      </c>
      <c r="B184" s="4" t="s">
        <v>189</v>
      </c>
      <c r="C184" s="21">
        <f>IFERROR(VLOOKUP(A184,datos_2016!$B$1:$G$330,4,FALSE),"")</f>
        <v>479</v>
      </c>
      <c r="D184" s="21">
        <f>IFERROR(VLOOKUP(A184,datos_2023!$B$1:$G$322,4,FALSE),"")</f>
        <v>521</v>
      </c>
    </row>
    <row r="185" spans="1:4">
      <c r="A185" s="5">
        <v>40702</v>
      </c>
      <c r="B185" s="6" t="s">
        <v>190</v>
      </c>
      <c r="C185" s="21">
        <f>IFERROR(VLOOKUP(A185,datos_2016!$B$1:$G$330,4,FALSE),"")</f>
        <v>93</v>
      </c>
      <c r="D185" s="21">
        <f>IFERROR(VLOOKUP(A185,datos_2023!$B$1:$G$322,4,FALSE),"")</f>
        <v>163</v>
      </c>
    </row>
    <row r="186" spans="1:4">
      <c r="A186" s="3">
        <v>40801</v>
      </c>
      <c r="B186" s="4" t="s">
        <v>191</v>
      </c>
      <c r="C186" s="21">
        <f>IFERROR(VLOOKUP(A186,datos_2016!$B$1:$G$330,4,FALSE),"")</f>
        <v>1174</v>
      </c>
      <c r="D186" s="21">
        <f>IFERROR(VLOOKUP(A186,datos_2023!$B$1:$G$322,4,FALSE),"")</f>
        <v>531</v>
      </c>
    </row>
    <row r="187" spans="1:4">
      <c r="A187" s="5">
        <v>40802</v>
      </c>
      <c r="B187" s="6" t="s">
        <v>192</v>
      </c>
      <c r="C187" s="21">
        <f>IFERROR(VLOOKUP(A187,datos_2016!$B$1:$G$330,4,FALSE),"")</f>
        <v>60</v>
      </c>
      <c r="D187" s="21">
        <f>IFERROR(VLOOKUP(A187,datos_2023!$B$1:$G$322,4,FALSE),"")</f>
        <v>83</v>
      </c>
    </row>
    <row r="188" spans="1:4">
      <c r="A188" s="3">
        <v>40901</v>
      </c>
      <c r="B188" s="4" t="s">
        <v>193</v>
      </c>
      <c r="C188" s="21">
        <f>IFERROR(VLOOKUP(A188,datos_2016!$B$1:$G$330,4,FALSE),"")</f>
        <v>175</v>
      </c>
      <c r="D188" s="21">
        <f>IFERROR(VLOOKUP(A188,datos_2023!$B$1:$G$322,4,FALSE),"")</f>
        <v>256</v>
      </c>
    </row>
    <row r="189" spans="1:4">
      <c r="A189" s="5">
        <v>40902</v>
      </c>
      <c r="B189" s="6" t="s">
        <v>194</v>
      </c>
      <c r="C189" s="21">
        <f>IFERROR(VLOOKUP(A189,datos_2016!$B$1:$G$330,4,FALSE),"")</f>
        <v>19</v>
      </c>
      <c r="D189" s="21">
        <f>IFERROR(VLOOKUP(A189,datos_2023!$B$1:$G$322,4,FALSE),"")</f>
        <v>33</v>
      </c>
    </row>
    <row r="190" spans="1:4">
      <c r="A190" s="3">
        <v>40903</v>
      </c>
      <c r="B190" s="4" t="s">
        <v>195</v>
      </c>
      <c r="C190" s="21">
        <f>IFERROR(VLOOKUP(A190,datos_2016!$B$1:$G$330,4,FALSE),"")</f>
        <v>61</v>
      </c>
      <c r="D190" s="21">
        <f>IFERROR(VLOOKUP(A190,datos_2023!$B$1:$G$322,4,FALSE),"")</f>
        <v>72</v>
      </c>
    </row>
    <row r="191" spans="1:4">
      <c r="A191" s="5">
        <v>41001</v>
      </c>
      <c r="B191" s="6" t="s">
        <v>196</v>
      </c>
      <c r="C191" s="21">
        <f>IFERROR(VLOOKUP(A191,datos_2016!$B$1:$G$330,4,FALSE),"")</f>
        <v>79</v>
      </c>
      <c r="D191" s="21">
        <f>IFERROR(VLOOKUP(A191,datos_2023!$B$1:$G$322,4,FALSE),"")</f>
        <v>483</v>
      </c>
    </row>
    <row r="192" spans="1:4">
      <c r="A192" s="3">
        <v>41101</v>
      </c>
      <c r="B192" s="4" t="s">
        <v>197</v>
      </c>
      <c r="C192" s="21">
        <f>IFERROR(VLOOKUP(A192,datos_2016!$B$1:$G$330,4,FALSE),"")</f>
        <v>0</v>
      </c>
      <c r="D192" s="21">
        <f>IFERROR(VLOOKUP(A192,datos_2023!$B$1:$G$322,4,FALSE),"")</f>
        <v>136</v>
      </c>
    </row>
    <row r="193" spans="1:4">
      <c r="A193" s="5">
        <v>41201</v>
      </c>
      <c r="B193" s="6" t="s">
        <v>198</v>
      </c>
      <c r="C193" s="21">
        <f>IFERROR(VLOOKUP(A193,datos_2016!$B$1:$G$330,4,FALSE),"")</f>
        <v>285</v>
      </c>
      <c r="D193" s="21">
        <f>IFERROR(VLOOKUP(A193,datos_2023!$B$1:$G$322,4,FALSE),"")</f>
        <v>465</v>
      </c>
    </row>
    <row r="194" spans="1:4">
      <c r="A194" s="3">
        <v>41202</v>
      </c>
      <c r="B194" s="4" t="s">
        <v>199</v>
      </c>
      <c r="C194" s="21">
        <f>IFERROR(VLOOKUP(A194,datos_2016!$B$1:$G$330,4,FALSE),"")</f>
        <v>117</v>
      </c>
      <c r="D194" s="21">
        <f>IFERROR(VLOOKUP(A194,datos_2023!$B$1:$G$322,4,FALSE),"")</f>
        <v>106</v>
      </c>
    </row>
    <row r="195" spans="1:4">
      <c r="A195" s="5">
        <v>41301</v>
      </c>
      <c r="B195" s="6" t="s">
        <v>200</v>
      </c>
      <c r="C195" s="21">
        <f>IFERROR(VLOOKUP(A195,datos_2016!$B$1:$G$330,4,FALSE),"")</f>
        <v>11</v>
      </c>
      <c r="D195" s="21">
        <f>IFERROR(VLOOKUP(A195,datos_2023!$B$1:$G$322,4,FALSE),"")</f>
        <v>146</v>
      </c>
    </row>
    <row r="196" spans="1:4">
      <c r="A196" s="3">
        <v>41401</v>
      </c>
      <c r="B196" s="4" t="s">
        <v>201</v>
      </c>
      <c r="C196" s="21">
        <f>IFERROR(VLOOKUP(A196,datos_2016!$B$1:$G$330,4,FALSE),"")</f>
        <v>201</v>
      </c>
      <c r="D196" s="21">
        <f>IFERROR(VLOOKUP(A196,datos_2023!$B$1:$G$322,4,FALSE),"")</f>
        <v>358</v>
      </c>
    </row>
    <row r="197" spans="1:4">
      <c r="A197" s="5">
        <v>41501</v>
      </c>
      <c r="B197" s="6" t="s">
        <v>202</v>
      </c>
      <c r="C197" s="21">
        <f>IFERROR(VLOOKUP(A197,datos_2016!$B$1:$G$330,4,FALSE),"")</f>
        <v>0</v>
      </c>
      <c r="D197" s="21">
        <f>IFERROR(VLOOKUP(A197,datos_2023!$B$1:$G$322,4,FALSE),"")</f>
        <v>29</v>
      </c>
    </row>
    <row r="198" spans="1:4">
      <c r="A198" s="3">
        <v>41502</v>
      </c>
      <c r="B198" s="4" t="s">
        <v>203</v>
      </c>
      <c r="C198" s="21">
        <f>IFERROR(VLOOKUP(A198,datos_2016!$B$1:$G$330,4,FALSE),"")</f>
        <v>0</v>
      </c>
      <c r="D198" s="21">
        <f>IFERROR(VLOOKUP(A198,datos_2023!$B$1:$G$322,4,FALSE),"")</f>
        <v>32</v>
      </c>
    </row>
    <row r="199" spans="1:4">
      <c r="A199" s="5">
        <v>41503</v>
      </c>
      <c r="B199" s="6" t="s">
        <v>204</v>
      </c>
      <c r="C199" s="21">
        <f>IFERROR(VLOOKUP(A199,datos_2016!$B$1:$G$330,4,FALSE),"")</f>
        <v>0</v>
      </c>
      <c r="D199" s="21">
        <f>IFERROR(VLOOKUP(A199,datos_2023!$B$1:$G$322,4,FALSE),"")</f>
        <v>188</v>
      </c>
    </row>
    <row r="200" spans="1:4">
      <c r="A200" s="3">
        <v>41601</v>
      </c>
      <c r="B200" s="4" t="s">
        <v>205</v>
      </c>
      <c r="C200" s="21">
        <f>IFERROR(VLOOKUP(A200,datos_2016!$B$1:$G$330,4,FALSE),"")</f>
        <v>40</v>
      </c>
      <c r="D200" s="21">
        <f>IFERROR(VLOOKUP(A200,datos_2023!$B$1:$G$322,4,FALSE),"")</f>
        <v>332</v>
      </c>
    </row>
    <row r="201" spans="1:4">
      <c r="A201" s="5">
        <v>50101</v>
      </c>
      <c r="B201" s="6" t="s">
        <v>206</v>
      </c>
      <c r="C201" s="21">
        <f>IFERROR(VLOOKUP(A201,datos_2016!$B$1:$G$330,4,FALSE),"")</f>
        <v>1630</v>
      </c>
      <c r="D201" s="21">
        <f>IFERROR(VLOOKUP(A201,datos_2023!$B$1:$G$322,4,FALSE),"")</f>
        <v>3655</v>
      </c>
    </row>
    <row r="202" spans="1:4">
      <c r="A202" s="3">
        <v>50102</v>
      </c>
      <c r="B202" s="4" t="s">
        <v>207</v>
      </c>
      <c r="C202" s="21">
        <f>IFERROR(VLOOKUP(A202,datos_2016!$B$1:$G$330,4,FALSE),"")</f>
        <v>745</v>
      </c>
      <c r="D202" s="21">
        <f>IFERROR(VLOOKUP(A202,datos_2023!$B$1:$G$322,4,FALSE),"")</f>
        <v>1326</v>
      </c>
    </row>
    <row r="203" spans="1:4">
      <c r="A203" s="5">
        <v>50103</v>
      </c>
      <c r="B203" s="6" t="s">
        <v>208</v>
      </c>
      <c r="C203" s="21">
        <f>IFERROR(VLOOKUP(A203,datos_2016!$B$1:$G$330,4,FALSE),"")</f>
        <v>314</v>
      </c>
      <c r="D203" s="21">
        <f>IFERROR(VLOOKUP(A203,datos_2023!$B$1:$G$322,4,FALSE),"")</f>
        <v>528</v>
      </c>
    </row>
    <row r="204" spans="1:4">
      <c r="A204" s="3">
        <v>50104</v>
      </c>
      <c r="B204" s="4" t="s">
        <v>209</v>
      </c>
      <c r="C204" s="21">
        <f>IFERROR(VLOOKUP(A204,datos_2016!$B$1:$G$330,4,FALSE),"")</f>
        <v>98</v>
      </c>
      <c r="D204" s="21">
        <f>IFERROR(VLOOKUP(A204,datos_2023!$B$1:$G$322,4,FALSE),"")</f>
        <v>146</v>
      </c>
    </row>
    <row r="205" spans="1:4">
      <c r="A205" s="5">
        <v>50201</v>
      </c>
      <c r="B205" s="6" t="s">
        <v>210</v>
      </c>
      <c r="C205" s="21">
        <f>IFERROR(VLOOKUP(A205,datos_2016!$B$1:$G$330,4,FALSE),"")</f>
        <v>0</v>
      </c>
      <c r="D205" s="21">
        <f>IFERROR(VLOOKUP(A205,datos_2023!$B$1:$G$322,4,FALSE),"")</f>
        <v>0</v>
      </c>
    </row>
    <row r="206" spans="1:4">
      <c r="A206" s="3">
        <v>50202</v>
      </c>
      <c r="B206" s="4" t="s">
        <v>211</v>
      </c>
      <c r="C206" s="21">
        <f>IFERROR(VLOOKUP(A206,datos_2016!$B$1:$G$330,4,FALSE),"")</f>
        <v>331</v>
      </c>
      <c r="D206" s="21">
        <f>IFERROR(VLOOKUP(A206,datos_2023!$B$1:$G$322,4,FALSE),"")</f>
        <v>636</v>
      </c>
    </row>
    <row r="207" spans="1:4">
      <c r="A207" s="5">
        <v>50203</v>
      </c>
      <c r="B207" s="6" t="s">
        <v>212</v>
      </c>
      <c r="C207" s="21">
        <f>IFERROR(VLOOKUP(A207,datos_2016!$B$1:$G$330,4,FALSE),"")</f>
        <v>270</v>
      </c>
      <c r="D207" s="21">
        <f>IFERROR(VLOOKUP(A207,datos_2023!$B$1:$G$322,4,FALSE),"")</f>
        <v>454</v>
      </c>
    </row>
    <row r="208" spans="1:4">
      <c r="A208" s="3">
        <v>50204</v>
      </c>
      <c r="B208" s="4" t="s">
        <v>213</v>
      </c>
      <c r="C208" s="21" t="str">
        <f>IFERROR(VLOOKUP(A208,datos_2016!$B$1:$G$330,4,FALSE),"")</f>
        <v/>
      </c>
      <c r="D208" s="21" t="str">
        <f>IFERROR(VLOOKUP(A208,datos_2023!$B$1:$G$322,4,FALSE),"")</f>
        <v/>
      </c>
    </row>
    <row r="209" spans="1:4">
      <c r="A209" s="5">
        <v>50301</v>
      </c>
      <c r="B209" s="6" t="s">
        <v>214</v>
      </c>
      <c r="C209" s="21">
        <f>IFERROR(VLOOKUP(A209,datos_2016!$B$1:$G$330,4,FALSE),"")</f>
        <v>846</v>
      </c>
      <c r="D209" s="21">
        <f>IFERROR(VLOOKUP(A209,datos_2023!$B$1:$G$322,4,FALSE),"")</f>
        <v>1603</v>
      </c>
    </row>
    <row r="210" spans="1:4">
      <c r="A210" s="3">
        <v>50302</v>
      </c>
      <c r="B210" s="4" t="s">
        <v>215</v>
      </c>
      <c r="C210" s="21">
        <f>IFERROR(VLOOKUP(A210,datos_2016!$B$1:$G$330,4,FALSE),"")</f>
        <v>270</v>
      </c>
      <c r="D210" s="21">
        <f>IFERROR(VLOOKUP(A210,datos_2023!$B$1:$G$322,4,FALSE),"")</f>
        <v>862</v>
      </c>
    </row>
    <row r="211" spans="1:4">
      <c r="A211" s="5">
        <v>50303</v>
      </c>
      <c r="B211" s="6" t="s">
        <v>216</v>
      </c>
      <c r="C211" s="21">
        <f>IFERROR(VLOOKUP(A211,datos_2016!$B$1:$G$330,4,FALSE),"")</f>
        <v>20</v>
      </c>
      <c r="D211" s="21">
        <f>IFERROR(VLOOKUP(A211,datos_2023!$B$1:$G$322,4,FALSE),"")</f>
        <v>69</v>
      </c>
    </row>
    <row r="212" spans="1:4">
      <c r="A212" s="12">
        <v>50401</v>
      </c>
      <c r="B212" s="13" t="s">
        <v>217</v>
      </c>
      <c r="C212" s="21">
        <f>IFERROR(VLOOKUP(A212,datos_2016!$B$1:$G$330,4,FALSE),"")</f>
        <v>537</v>
      </c>
      <c r="D212" s="21">
        <f>IFERROR(VLOOKUP(A212,datos_2023!$B$1:$G$322,4,FALSE),"")</f>
        <v>726</v>
      </c>
    </row>
    <row r="213" spans="1:4">
      <c r="A213" s="5">
        <v>50402</v>
      </c>
      <c r="B213" s="6" t="s">
        <v>218</v>
      </c>
      <c r="C213" s="21">
        <f>IFERROR(VLOOKUP(A213,datos_2016!$B$1:$G$330,4,FALSE),"")</f>
        <v>359</v>
      </c>
      <c r="D213" s="21">
        <f>IFERROR(VLOOKUP(A213,datos_2023!$B$1:$G$322,4,FALSE),"")</f>
        <v>329</v>
      </c>
    </row>
    <row r="214" spans="1:4">
      <c r="A214" s="3">
        <v>50403</v>
      </c>
      <c r="B214" s="4" t="s">
        <v>219</v>
      </c>
      <c r="C214" s="21">
        <f>IFERROR(VLOOKUP(A214,datos_2016!$B$1:$G$330,4,FALSE),"")</f>
        <v>786</v>
      </c>
      <c r="D214" s="21">
        <f>IFERROR(VLOOKUP(A214,datos_2023!$B$1:$G$322,4,FALSE),"")</f>
        <v>1327</v>
      </c>
    </row>
    <row r="215" spans="1:4">
      <c r="A215" s="5">
        <v>50404</v>
      </c>
      <c r="B215" s="6" t="s">
        <v>220</v>
      </c>
      <c r="C215" s="21">
        <f>IFERROR(VLOOKUP(A215,datos_2016!$B$1:$G$330,4,FALSE),"")</f>
        <v>296</v>
      </c>
      <c r="D215" s="21">
        <f>IFERROR(VLOOKUP(A215,datos_2023!$B$1:$G$322,4,FALSE),"")</f>
        <v>348</v>
      </c>
    </row>
    <row r="216" spans="1:4">
      <c r="A216" s="3">
        <v>50405</v>
      </c>
      <c r="B216" s="4" t="s">
        <v>221</v>
      </c>
      <c r="C216" s="21" t="str">
        <f>IFERROR(VLOOKUP(A216,datos_2016!$B$1:$G$330,4,FALSE),"")</f>
        <v/>
      </c>
      <c r="D216" s="21">
        <f>IFERROR(VLOOKUP(A216,datos_2023!$B$1:$G$322,4,FALSE),"")</f>
        <v>0</v>
      </c>
    </row>
    <row r="217" spans="1:4">
      <c r="A217" s="5">
        <v>50501</v>
      </c>
      <c r="B217" s="6" t="s">
        <v>222</v>
      </c>
      <c r="C217" s="21">
        <f>IFERROR(VLOOKUP(A217,datos_2016!$B$1:$G$330,4,FALSE),"")</f>
        <v>306</v>
      </c>
      <c r="D217" s="21">
        <f>IFERROR(VLOOKUP(A217,datos_2023!$B$1:$G$322,4,FALSE),"")</f>
        <v>812</v>
      </c>
    </row>
    <row r="218" spans="1:4">
      <c r="A218" s="3">
        <v>50502</v>
      </c>
      <c r="B218" s="4" t="s">
        <v>223</v>
      </c>
      <c r="C218" s="21">
        <f>IFERROR(VLOOKUP(A218,datos_2016!$B$1:$G$330,4,FALSE),"")</f>
        <v>426</v>
      </c>
      <c r="D218" s="21">
        <f>IFERROR(VLOOKUP(A218,datos_2023!$B$1:$G$322,4,FALSE),"")</f>
        <v>529</v>
      </c>
    </row>
    <row r="219" spans="1:4">
      <c r="A219" s="5">
        <v>50601</v>
      </c>
      <c r="B219" s="6" t="s">
        <v>224</v>
      </c>
      <c r="C219" s="21">
        <f>IFERROR(VLOOKUP(A219,datos_2016!$B$1:$G$330,4,FALSE),"")</f>
        <v>1005</v>
      </c>
      <c r="D219" s="21">
        <f>IFERROR(VLOOKUP(A219,datos_2023!$B$1:$G$322,4,FALSE),"")</f>
        <v>839</v>
      </c>
    </row>
    <row r="220" spans="1:4">
      <c r="A220" s="3">
        <v>50602</v>
      </c>
      <c r="B220" s="4" t="s">
        <v>225</v>
      </c>
      <c r="C220" s="21">
        <f>IFERROR(VLOOKUP(A220,datos_2016!$B$1:$G$330,4,FALSE),"")</f>
        <v>457</v>
      </c>
      <c r="D220" s="21">
        <f>IFERROR(VLOOKUP(A220,datos_2023!$B$1:$G$322,4,FALSE),"")</f>
        <v>150</v>
      </c>
    </row>
    <row r="221" spans="1:4">
      <c r="A221" s="5">
        <v>50701</v>
      </c>
      <c r="B221" s="6" t="s">
        <v>226</v>
      </c>
      <c r="C221" s="21">
        <f>IFERROR(VLOOKUP(A221,datos_2016!$B$1:$G$330,4,FALSE),"")</f>
        <v>448</v>
      </c>
      <c r="D221" s="21">
        <f>IFERROR(VLOOKUP(A221,datos_2023!$B$1:$G$322,4,FALSE),"")</f>
        <v>741</v>
      </c>
    </row>
    <row r="222" spans="1:4">
      <c r="A222" s="3">
        <v>50702</v>
      </c>
      <c r="B222" s="4" t="s">
        <v>227</v>
      </c>
      <c r="C222" s="21">
        <f>IFERROR(VLOOKUP(A222,datos_2016!$B$1:$G$330,4,FALSE),"")</f>
        <v>131</v>
      </c>
      <c r="D222" s="21">
        <f>IFERROR(VLOOKUP(A222,datos_2023!$B$1:$G$322,4,FALSE),"")</f>
        <v>496</v>
      </c>
    </row>
    <row r="223" spans="1:4">
      <c r="A223" s="5">
        <v>50801</v>
      </c>
      <c r="B223" s="6" t="s">
        <v>228</v>
      </c>
      <c r="C223" s="21">
        <f>IFERROR(VLOOKUP(A223,datos_2016!$B$1:$G$330,4,FALSE),"")</f>
        <v>1451</v>
      </c>
      <c r="D223" s="21">
        <f>IFERROR(VLOOKUP(A223,datos_2023!$B$1:$G$322,4,FALSE),"")</f>
        <v>1314</v>
      </c>
    </row>
    <row r="224" spans="1:4">
      <c r="A224" s="3">
        <v>50802</v>
      </c>
      <c r="B224" s="4" t="s">
        <v>229</v>
      </c>
      <c r="C224" s="21">
        <f>IFERROR(VLOOKUP(A224,datos_2016!$B$1:$G$330,4,FALSE),"")</f>
        <v>152</v>
      </c>
      <c r="D224" s="21" t="str">
        <f>IFERROR(VLOOKUP(A224,datos_2023!$B$1:$G$322,4,FALSE),"")</f>
        <v/>
      </c>
    </row>
    <row r="225" spans="1:4">
      <c r="A225" s="5">
        <v>50901</v>
      </c>
      <c r="B225" s="6" t="s">
        <v>230</v>
      </c>
      <c r="C225" s="21">
        <f>IFERROR(VLOOKUP(A225,datos_2016!$B$1:$G$330,4,FALSE),"")</f>
        <v>265</v>
      </c>
      <c r="D225" s="21">
        <f>IFERROR(VLOOKUP(A225,datos_2023!$B$1:$G$322,4,FALSE),"")</f>
        <v>473</v>
      </c>
    </row>
    <row r="226" spans="1:4">
      <c r="A226" s="3">
        <v>50902</v>
      </c>
      <c r="B226" s="4" t="s">
        <v>231</v>
      </c>
      <c r="C226" s="21">
        <f>IFERROR(VLOOKUP(A226,datos_2016!$B$1:$G$330,4,FALSE),"")</f>
        <v>117</v>
      </c>
      <c r="D226" s="21">
        <f>IFERROR(VLOOKUP(A226,datos_2023!$B$1:$G$322,4,FALSE),"")</f>
        <v>52</v>
      </c>
    </row>
    <row r="227" spans="1:4">
      <c r="A227" s="5">
        <v>51001</v>
      </c>
      <c r="B227" s="6" t="s">
        <v>232</v>
      </c>
      <c r="C227" s="21">
        <f>IFERROR(VLOOKUP(A227,datos_2016!$B$1:$G$330,4,FALSE),"")</f>
        <v>90</v>
      </c>
      <c r="D227" s="21">
        <f>IFERROR(VLOOKUP(A227,datos_2023!$B$1:$G$322,4,FALSE),"")</f>
        <v>79</v>
      </c>
    </row>
    <row r="228" spans="1:4">
      <c r="A228" s="3">
        <v>51002</v>
      </c>
      <c r="B228" s="4" t="s">
        <v>233</v>
      </c>
      <c r="C228" s="21" t="str">
        <f>IFERROR(VLOOKUP(A228,datos_2016!$B$1:$G$330,4,FALSE),"")</f>
        <v/>
      </c>
      <c r="D228" s="21">
        <f>IFERROR(VLOOKUP(A228,datos_2023!$B$1:$G$322,4,FALSE),"")</f>
        <v>9</v>
      </c>
    </row>
    <row r="229" spans="1:4">
      <c r="A229" s="5">
        <v>51003</v>
      </c>
      <c r="B229" s="6" t="s">
        <v>234</v>
      </c>
      <c r="C229" s="21">
        <f>IFERROR(VLOOKUP(A229,datos_2016!$B$1:$G$330,4,FALSE),"")</f>
        <v>14</v>
      </c>
      <c r="D229" s="21">
        <f>IFERROR(VLOOKUP(A229,datos_2023!$B$1:$G$322,4,FALSE),"")</f>
        <v>49</v>
      </c>
    </row>
    <row r="230" spans="1:4">
      <c r="A230" s="3">
        <v>51101</v>
      </c>
      <c r="B230" s="4" t="s">
        <v>235</v>
      </c>
      <c r="C230" s="21">
        <f>IFERROR(VLOOKUP(A230,datos_2016!$B$1:$G$330,4,FALSE),"")</f>
        <v>499</v>
      </c>
      <c r="D230" s="21">
        <f>IFERROR(VLOOKUP(A230,datos_2023!$B$1:$G$322,4,FALSE),"")</f>
        <v>1687</v>
      </c>
    </row>
    <row r="231" spans="1:4">
      <c r="A231" s="5">
        <v>51102</v>
      </c>
      <c r="B231" s="6" t="s">
        <v>236</v>
      </c>
      <c r="C231" s="21">
        <f>IFERROR(VLOOKUP(A231,datos_2016!$B$1:$G$330,4,FALSE),"")</f>
        <v>388</v>
      </c>
      <c r="D231" s="21">
        <f>IFERROR(VLOOKUP(A231,datos_2023!$B$1:$G$322,4,FALSE),"")</f>
        <v>698</v>
      </c>
    </row>
    <row r="232" spans="1:4">
      <c r="A232" s="3">
        <v>51103</v>
      </c>
      <c r="B232" s="4" t="s">
        <v>237</v>
      </c>
      <c r="C232" s="21">
        <f>IFERROR(VLOOKUP(A232,datos_2016!$B$1:$G$330,4,FALSE),"")</f>
        <v>266</v>
      </c>
      <c r="D232" s="21">
        <f>IFERROR(VLOOKUP(A232,datos_2023!$B$1:$G$322,4,FALSE),"")</f>
        <v>488</v>
      </c>
    </row>
    <row r="233" spans="1:4">
      <c r="A233" s="5">
        <v>51201</v>
      </c>
      <c r="B233" s="6" t="s">
        <v>238</v>
      </c>
      <c r="C233" s="21">
        <f>IFERROR(VLOOKUP(A233,datos_2016!$B$1:$G$330,4,FALSE),"")</f>
        <v>658</v>
      </c>
      <c r="D233" s="21">
        <f>IFERROR(VLOOKUP(A233,datos_2023!$B$1:$G$322,4,FALSE),"")</f>
        <v>1174</v>
      </c>
    </row>
    <row r="234" spans="1:4">
      <c r="A234" s="3">
        <v>51202</v>
      </c>
      <c r="B234" s="4" t="s">
        <v>239</v>
      </c>
      <c r="C234" s="21">
        <f>IFERROR(VLOOKUP(A234,datos_2016!$B$1:$G$330,4,FALSE),"")</f>
        <v>284</v>
      </c>
      <c r="D234" s="21">
        <f>IFERROR(VLOOKUP(A234,datos_2023!$B$1:$G$322,4,FALSE),"")</f>
        <v>523</v>
      </c>
    </row>
    <row r="235" spans="1:4">
      <c r="A235" s="5">
        <v>51203</v>
      </c>
      <c r="B235" s="6" t="s">
        <v>240</v>
      </c>
      <c r="C235" s="21">
        <f>IFERROR(VLOOKUP(A235,datos_2016!$B$1:$G$330,4,FALSE),"")</f>
        <v>90</v>
      </c>
      <c r="D235" s="21">
        <f>IFERROR(VLOOKUP(A235,datos_2023!$B$1:$G$322,4,FALSE),"")</f>
        <v>398</v>
      </c>
    </row>
    <row r="236" spans="1:4">
      <c r="A236" s="3">
        <v>51204</v>
      </c>
      <c r="B236" s="4" t="s">
        <v>241</v>
      </c>
      <c r="C236" s="21" t="str">
        <f>IFERROR(VLOOKUP(A236,datos_2016!$B$1:$G$330,4,FALSE),"")</f>
        <v/>
      </c>
      <c r="D236" s="21" t="str">
        <f>IFERROR(VLOOKUP(A236,datos_2023!$B$1:$G$322,4,FALSE),"")</f>
        <v/>
      </c>
    </row>
    <row r="237" spans="1:4">
      <c r="A237" s="5">
        <v>51301</v>
      </c>
      <c r="B237" s="6" t="s">
        <v>242</v>
      </c>
      <c r="C237" s="21">
        <f>IFERROR(VLOOKUP(A237,datos_2016!$B$1:$G$330,4,FALSE),"")</f>
        <v>133</v>
      </c>
      <c r="D237" s="21">
        <f>IFERROR(VLOOKUP(A237,datos_2023!$B$1:$G$322,4,FALSE),"")</f>
        <v>52</v>
      </c>
    </row>
    <row r="238" spans="1:4">
      <c r="A238" s="3">
        <v>51302</v>
      </c>
      <c r="B238" s="4" t="s">
        <v>243</v>
      </c>
      <c r="C238" s="21">
        <f>IFERROR(VLOOKUP(A238,datos_2016!$B$1:$G$330,4,FALSE),"")</f>
        <v>209</v>
      </c>
      <c r="D238" s="21">
        <f>IFERROR(VLOOKUP(A238,datos_2023!$B$1:$G$322,4,FALSE),"")</f>
        <v>289</v>
      </c>
    </row>
    <row r="239" spans="1:4">
      <c r="A239" s="5">
        <v>51401</v>
      </c>
      <c r="B239" s="6" t="s">
        <v>244</v>
      </c>
      <c r="C239" s="21">
        <f>IFERROR(VLOOKUP(A239,datos_2016!$B$1:$G$330,4,FALSE),"")</f>
        <v>305</v>
      </c>
      <c r="D239" s="21">
        <f>IFERROR(VLOOKUP(A239,datos_2023!$B$1:$G$322,4,FALSE),"")</f>
        <v>485</v>
      </c>
    </row>
    <row r="240" spans="1:4">
      <c r="A240" s="3">
        <v>51402</v>
      </c>
      <c r="B240" s="4" t="s">
        <v>245</v>
      </c>
      <c r="C240" s="21">
        <f>IFERROR(VLOOKUP(A240,datos_2016!$B$1:$G$330,4,FALSE),"")</f>
        <v>173</v>
      </c>
      <c r="D240" s="21">
        <f>IFERROR(VLOOKUP(A240,datos_2023!$B$1:$G$322,4,FALSE),"")</f>
        <v>200</v>
      </c>
    </row>
    <row r="241" spans="1:4">
      <c r="A241" s="5">
        <v>51501</v>
      </c>
      <c r="B241" s="6" t="s">
        <v>246</v>
      </c>
      <c r="C241" s="21">
        <f>IFERROR(VLOOKUP(A241,datos_2016!$B$1:$G$330,4,FALSE),"")</f>
        <v>392</v>
      </c>
      <c r="D241" s="21">
        <f>IFERROR(VLOOKUP(A241,datos_2023!$B$1:$G$322,4,FALSE),"")</f>
        <v>764</v>
      </c>
    </row>
    <row r="242" spans="1:4">
      <c r="A242" s="3">
        <v>51601</v>
      </c>
      <c r="B242" s="4" t="s">
        <v>247</v>
      </c>
      <c r="C242" s="21">
        <f>IFERROR(VLOOKUP(A242,datos_2016!$B$1:$G$330,4,FALSE),"")</f>
        <v>28</v>
      </c>
      <c r="D242" s="21">
        <f>IFERROR(VLOOKUP(A242,datos_2023!$B$1:$G$322,4,FALSE),"")</f>
        <v>138</v>
      </c>
    </row>
    <row r="243" spans="1:4">
      <c r="A243" s="5">
        <v>60101</v>
      </c>
      <c r="B243" s="6" t="s">
        <v>248</v>
      </c>
      <c r="C243" s="21">
        <f>IFERROR(VLOOKUP(A243,datos_2016!$B$1:$G$330,4,FALSE),"")</f>
        <v>2196</v>
      </c>
      <c r="D243" s="21">
        <f>IFERROR(VLOOKUP(A243,datos_2023!$B$1:$G$322,4,FALSE),"")</f>
        <v>3753</v>
      </c>
    </row>
    <row r="244" spans="1:4">
      <c r="A244" s="3">
        <v>60201</v>
      </c>
      <c r="B244" s="4" t="s">
        <v>249</v>
      </c>
      <c r="C244" s="21">
        <f>IFERROR(VLOOKUP(A244,datos_2016!$B$1:$G$330,4,FALSE),"")</f>
        <v>499</v>
      </c>
      <c r="D244" s="21">
        <f>IFERROR(VLOOKUP(A244,datos_2023!$B$1:$G$322,4,FALSE),"")</f>
        <v>884</v>
      </c>
    </row>
    <row r="245" spans="1:4">
      <c r="A245" s="5">
        <v>60202</v>
      </c>
      <c r="B245" s="6" t="s">
        <v>250</v>
      </c>
      <c r="C245" s="21">
        <f>IFERROR(VLOOKUP(A245,datos_2016!$B$1:$G$330,4,FALSE),"")</f>
        <v>286</v>
      </c>
      <c r="D245" s="21">
        <f>IFERROR(VLOOKUP(A245,datos_2023!$B$1:$G$322,4,FALSE),"")</f>
        <v>460</v>
      </c>
    </row>
    <row r="246" spans="1:4">
      <c r="A246" s="3">
        <v>60301</v>
      </c>
      <c r="B246" s="4" t="s">
        <v>251</v>
      </c>
      <c r="C246" s="21">
        <f>IFERROR(VLOOKUP(A246,datos_2016!$B$1:$G$330,4,FALSE),"")</f>
        <v>582</v>
      </c>
      <c r="D246" s="21">
        <f>IFERROR(VLOOKUP(A246,datos_2023!$B$1:$G$322,4,FALSE),"")</f>
        <v>1094</v>
      </c>
    </row>
    <row r="247" spans="1:4">
      <c r="A247" s="5">
        <v>60302</v>
      </c>
      <c r="B247" s="6" t="s">
        <v>252</v>
      </c>
      <c r="C247" s="21">
        <f>IFERROR(VLOOKUP(A247,datos_2016!$B$1:$G$330,4,FALSE),"")</f>
        <v>216</v>
      </c>
      <c r="D247" s="21">
        <f>IFERROR(VLOOKUP(A247,datos_2023!$B$1:$G$322,4,FALSE),"")</f>
        <v>470</v>
      </c>
    </row>
    <row r="248" spans="1:4">
      <c r="A248" s="3">
        <v>60303</v>
      </c>
      <c r="B248" s="4" t="s">
        <v>253</v>
      </c>
      <c r="C248" s="21">
        <f>IFERROR(VLOOKUP(A248,datos_2016!$B$1:$G$330,4,FALSE),"")</f>
        <v>419</v>
      </c>
      <c r="D248" s="21">
        <f>IFERROR(VLOOKUP(A248,datos_2023!$B$1:$G$322,4,FALSE),"")</f>
        <v>754</v>
      </c>
    </row>
    <row r="249" spans="1:4">
      <c r="A249" s="5">
        <v>60401</v>
      </c>
      <c r="B249" s="6" t="s">
        <v>254</v>
      </c>
      <c r="C249" s="21">
        <f>IFERROR(VLOOKUP(A249,datos_2016!$B$1:$G$330,4,FALSE),"")</f>
        <v>293</v>
      </c>
      <c r="D249" s="21">
        <f>IFERROR(VLOOKUP(A249,datos_2023!$B$1:$G$322,4,FALSE),"")</f>
        <v>489</v>
      </c>
    </row>
    <row r="250" spans="1:4">
      <c r="A250" s="3">
        <v>60402</v>
      </c>
      <c r="B250" s="4" t="s">
        <v>255</v>
      </c>
      <c r="C250" s="21">
        <f>IFERROR(VLOOKUP(A250,datos_2016!$B$1:$G$330,4,FALSE),"")</f>
        <v>51</v>
      </c>
      <c r="D250" s="21">
        <f>IFERROR(VLOOKUP(A250,datos_2023!$B$1:$G$322,4,FALSE),"")</f>
        <v>529</v>
      </c>
    </row>
    <row r="251" spans="1:4">
      <c r="A251" s="5">
        <v>60501</v>
      </c>
      <c r="B251" s="6" t="s">
        <v>256</v>
      </c>
      <c r="C251" s="21">
        <f>IFERROR(VLOOKUP(A251,datos_2016!$B$1:$G$330,4,FALSE),"")</f>
        <v>741</v>
      </c>
      <c r="D251" s="21">
        <f>IFERROR(VLOOKUP(A251,datos_2023!$B$1:$G$322,4,FALSE),"")</f>
        <v>917</v>
      </c>
    </row>
    <row r="252" spans="1:4">
      <c r="A252" s="3">
        <v>60502</v>
      </c>
      <c r="B252" s="4" t="s">
        <v>257</v>
      </c>
      <c r="C252" s="21">
        <f>IFERROR(VLOOKUP(A252,datos_2016!$B$1:$G$330,4,FALSE),"")</f>
        <v>218</v>
      </c>
      <c r="D252" s="21">
        <f>IFERROR(VLOOKUP(A252,datos_2023!$B$1:$G$322,4,FALSE),"")</f>
        <v>500</v>
      </c>
    </row>
    <row r="253" spans="1:4">
      <c r="A253" s="5">
        <v>60601</v>
      </c>
      <c r="B253" s="6" t="s">
        <v>158</v>
      </c>
      <c r="C253" s="21">
        <f>IFERROR(VLOOKUP(A253,datos_2016!$B$1:$G$330,4,FALSE),"")</f>
        <v>385</v>
      </c>
      <c r="D253" s="21">
        <f>IFERROR(VLOOKUP(A253,datos_2023!$B$1:$G$322,4,FALSE),"")</f>
        <v>705</v>
      </c>
    </row>
    <row r="254" spans="1:4">
      <c r="A254" s="3">
        <v>70101</v>
      </c>
      <c r="B254" s="4" t="s">
        <v>258</v>
      </c>
      <c r="C254" s="21">
        <f>IFERROR(VLOOKUP(A254,datos_2016!$B$1:$G$330,4,FALSE),"")</f>
        <v>11653</v>
      </c>
      <c r="D254" s="21">
        <f>IFERROR(VLOOKUP(A254,datos_2023!$B$1:$G$322,4,FALSE),"")</f>
        <v>23314</v>
      </c>
    </row>
    <row r="255" spans="1:4">
      <c r="A255" s="5">
        <v>70102</v>
      </c>
      <c r="B255" s="6" t="s">
        <v>259</v>
      </c>
      <c r="C255" s="21">
        <f>IFERROR(VLOOKUP(A255,datos_2016!$B$1:$G$330,4,FALSE),"")</f>
        <v>913</v>
      </c>
      <c r="D255" s="21">
        <f>IFERROR(VLOOKUP(A255,datos_2023!$B$1:$G$322,4,FALSE),"")</f>
        <v>2601</v>
      </c>
    </row>
    <row r="256" spans="1:4">
      <c r="A256" s="3">
        <v>70103</v>
      </c>
      <c r="B256" s="4" t="s">
        <v>260</v>
      </c>
      <c r="C256" s="21">
        <f>IFERROR(VLOOKUP(A256,datos_2016!$B$1:$G$330,4,FALSE),"")</f>
        <v>283</v>
      </c>
      <c r="D256" s="21">
        <f>IFERROR(VLOOKUP(A256,datos_2023!$B$1:$G$322,4,FALSE),"")</f>
        <v>676</v>
      </c>
    </row>
    <row r="257" spans="1:4">
      <c r="A257" s="5">
        <v>70104</v>
      </c>
      <c r="B257" s="6" t="s">
        <v>261</v>
      </c>
      <c r="C257" s="21">
        <f>IFERROR(VLOOKUP(A257,datos_2016!$B$1:$G$330,4,FALSE),"")</f>
        <v>1003</v>
      </c>
      <c r="D257" s="21">
        <f>IFERROR(VLOOKUP(A257,datos_2023!$B$1:$G$322,4,FALSE),"")</f>
        <v>2373</v>
      </c>
    </row>
    <row r="258" spans="1:4">
      <c r="A258" s="3">
        <v>70105</v>
      </c>
      <c r="B258" s="4" t="s">
        <v>262</v>
      </c>
      <c r="C258" s="21">
        <f>IFERROR(VLOOKUP(A258,datos_2016!$B$1:$G$330,4,FALSE),"")</f>
        <v>434</v>
      </c>
      <c r="D258" s="21">
        <f>IFERROR(VLOOKUP(A258,datos_2023!$B$1:$G$322,4,FALSE),"")</f>
        <v>1034</v>
      </c>
    </row>
    <row r="259" spans="1:4">
      <c r="A259" s="5">
        <v>70201</v>
      </c>
      <c r="B259" s="6" t="s">
        <v>263</v>
      </c>
      <c r="C259" s="21">
        <f>IFERROR(VLOOKUP(A259,datos_2016!$B$1:$G$330,4,FALSE),"")</f>
        <v>1481</v>
      </c>
      <c r="D259" s="21">
        <f>IFERROR(VLOOKUP(A259,datos_2023!$B$1:$G$322,4,FALSE),"")</f>
        <v>3877</v>
      </c>
    </row>
    <row r="260" spans="1:4">
      <c r="A260" s="3">
        <v>70202</v>
      </c>
      <c r="B260" s="4" t="s">
        <v>264</v>
      </c>
      <c r="C260" s="21">
        <f>IFERROR(VLOOKUP(A260,datos_2016!$B$1:$G$330,4,FALSE),"")</f>
        <v>88</v>
      </c>
      <c r="D260" s="21">
        <f>IFERROR(VLOOKUP(A260,datos_2023!$B$1:$G$322,4,FALSE),"")</f>
        <v>237</v>
      </c>
    </row>
    <row r="261" spans="1:4">
      <c r="A261" s="5">
        <v>70301</v>
      </c>
      <c r="B261" s="6" t="s">
        <v>265</v>
      </c>
      <c r="C261" s="21">
        <f>IFERROR(VLOOKUP(A261,datos_2016!$B$1:$G$330,4,FALSE),"")</f>
        <v>233</v>
      </c>
      <c r="D261" s="21">
        <f>IFERROR(VLOOKUP(A261,datos_2023!$B$1:$G$322,4,FALSE),"")</f>
        <v>18</v>
      </c>
    </row>
    <row r="262" spans="1:4">
      <c r="A262" s="3">
        <v>70302</v>
      </c>
      <c r="B262" s="4" t="s">
        <v>266</v>
      </c>
      <c r="C262" s="21">
        <f>IFERROR(VLOOKUP(A262,datos_2016!$B$1:$G$330,4,FALSE),"")</f>
        <v>78</v>
      </c>
      <c r="D262" s="21">
        <f>IFERROR(VLOOKUP(A262,datos_2023!$B$1:$G$322,4,FALSE),"")</f>
        <v>5</v>
      </c>
    </row>
    <row r="263" spans="1:4">
      <c r="A263" s="5">
        <v>70303</v>
      </c>
      <c r="B263" s="6" t="s">
        <v>267</v>
      </c>
      <c r="C263" s="21">
        <f>IFERROR(VLOOKUP(A263,datos_2016!$B$1:$G$330,4,FALSE),"")</f>
        <v>35</v>
      </c>
      <c r="D263" s="21">
        <f>IFERROR(VLOOKUP(A263,datos_2023!$B$1:$G$322,4,FALSE),"")</f>
        <v>2</v>
      </c>
    </row>
    <row r="264" spans="1:4">
      <c r="A264" s="3">
        <v>70401</v>
      </c>
      <c r="B264" s="4" t="s">
        <v>268</v>
      </c>
      <c r="C264" s="21">
        <f>IFERROR(VLOOKUP(A264,datos_2016!$B$1:$G$330,4,FALSE),"")</f>
        <v>185</v>
      </c>
      <c r="D264" s="21">
        <f>IFERROR(VLOOKUP(A264,datos_2023!$B$1:$G$322,4,FALSE),"")</f>
        <v>431</v>
      </c>
    </row>
    <row r="265" spans="1:4">
      <c r="A265" s="5">
        <v>70402</v>
      </c>
      <c r="B265" s="6" t="s">
        <v>269</v>
      </c>
      <c r="C265" s="21">
        <f>IFERROR(VLOOKUP(A265,datos_2016!$B$1:$G$330,4,FALSE),"")</f>
        <v>186</v>
      </c>
      <c r="D265" s="21">
        <f>IFERROR(VLOOKUP(A265,datos_2023!$B$1:$G$322,4,FALSE),"")</f>
        <v>423</v>
      </c>
    </row>
    <row r="266" spans="1:4">
      <c r="A266" s="3">
        <v>70403</v>
      </c>
      <c r="B266" s="4" t="s">
        <v>270</v>
      </c>
      <c r="C266" s="21">
        <f>IFERROR(VLOOKUP(A266,datos_2016!$B$1:$G$330,4,FALSE),"")</f>
        <v>416</v>
      </c>
      <c r="D266" s="21">
        <f>IFERROR(VLOOKUP(A266,datos_2023!$B$1:$G$322,4,FALSE),"")</f>
        <v>1168</v>
      </c>
    </row>
    <row r="267" spans="1:4">
      <c r="A267" s="5">
        <v>70404</v>
      </c>
      <c r="B267" s="6" t="s">
        <v>271</v>
      </c>
      <c r="C267" s="21">
        <f>IFERROR(VLOOKUP(A267,datos_2016!$B$1:$G$330,4,FALSE),"")</f>
        <v>61</v>
      </c>
      <c r="D267" s="21">
        <f>IFERROR(VLOOKUP(A267,datos_2023!$B$1:$G$322,4,FALSE),"")</f>
        <v>179</v>
      </c>
    </row>
    <row r="268" spans="1:4">
      <c r="A268" s="3">
        <v>70501</v>
      </c>
      <c r="B268" s="4" t="s">
        <v>272</v>
      </c>
      <c r="C268" s="21">
        <f>IFERROR(VLOOKUP(A268,datos_2016!$B$1:$G$330,4,FALSE),"")</f>
        <v>123</v>
      </c>
      <c r="D268" s="21">
        <f>IFERROR(VLOOKUP(A268,datos_2023!$B$1:$G$322,4,FALSE),"")</f>
        <v>34</v>
      </c>
    </row>
    <row r="269" spans="1:4">
      <c r="A269" s="5">
        <v>70502</v>
      </c>
      <c r="B269" s="6" t="s">
        <v>273</v>
      </c>
      <c r="C269" s="21">
        <f>IFERROR(VLOOKUP(A269,datos_2016!$B$1:$G$330,4,FALSE),"")</f>
        <v>264</v>
      </c>
      <c r="D269" s="21">
        <f>IFERROR(VLOOKUP(A269,datos_2023!$B$1:$G$322,4,FALSE),"")</f>
        <v>488</v>
      </c>
    </row>
    <row r="270" spans="1:4">
      <c r="A270" s="3">
        <v>70503</v>
      </c>
      <c r="B270" s="4" t="s">
        <v>274</v>
      </c>
      <c r="C270" s="21">
        <f>IFERROR(VLOOKUP(A270,datos_2016!$B$1:$G$330,4,FALSE),"")</f>
        <v>153</v>
      </c>
      <c r="D270" s="21">
        <f>IFERROR(VLOOKUP(A270,datos_2023!$B$1:$G$322,4,FALSE),"")</f>
        <v>39</v>
      </c>
    </row>
    <row r="271" spans="1:4">
      <c r="A271" s="5">
        <v>70601</v>
      </c>
      <c r="B271" s="6" t="s">
        <v>275</v>
      </c>
      <c r="C271" s="21">
        <f>IFERROR(VLOOKUP(A271,datos_2016!$B$1:$G$330,4,FALSE),"")</f>
        <v>100</v>
      </c>
      <c r="D271" s="21">
        <f>IFERROR(VLOOKUP(A271,datos_2023!$B$1:$G$322,4,FALSE),"")</f>
        <v>275</v>
      </c>
    </row>
    <row r="272" spans="1:4">
      <c r="A272" s="3">
        <v>70602</v>
      </c>
      <c r="B272" s="4" t="s">
        <v>276</v>
      </c>
      <c r="C272" s="21">
        <f>IFERROR(VLOOKUP(A272,datos_2016!$B$1:$G$330,4,FALSE),"")</f>
        <v>190</v>
      </c>
      <c r="D272" s="21">
        <f>IFERROR(VLOOKUP(A272,datos_2023!$B$1:$G$322,4,FALSE),"")</f>
        <v>425</v>
      </c>
    </row>
    <row r="273" spans="1:4">
      <c r="A273" s="5">
        <v>70603</v>
      </c>
      <c r="B273" s="6" t="s">
        <v>277</v>
      </c>
      <c r="C273" s="21">
        <f>IFERROR(VLOOKUP(A273,datos_2016!$B$1:$G$330,4,FALSE),"")</f>
        <v>46</v>
      </c>
      <c r="D273" s="21">
        <f>IFERROR(VLOOKUP(A273,datos_2023!$B$1:$G$322,4,FALSE),"")</f>
        <v>125</v>
      </c>
    </row>
    <row r="274" spans="1:4">
      <c r="A274" s="3">
        <v>70701</v>
      </c>
      <c r="B274" s="4" t="s">
        <v>278</v>
      </c>
      <c r="C274" s="21">
        <f>IFERROR(VLOOKUP(A274,datos_2016!$B$1:$G$330,4,FALSE),"")</f>
        <v>25</v>
      </c>
      <c r="D274" s="21">
        <f>IFERROR(VLOOKUP(A274,datos_2023!$B$1:$G$322,4,FALSE),"")</f>
        <v>16</v>
      </c>
    </row>
    <row r="275" spans="1:4">
      <c r="A275" s="5">
        <v>70702</v>
      </c>
      <c r="B275" s="6" t="s">
        <v>279</v>
      </c>
      <c r="C275" s="21">
        <f>IFERROR(VLOOKUP(A275,datos_2016!$B$1:$G$330,4,FALSE),"")</f>
        <v>120</v>
      </c>
      <c r="D275" s="21">
        <f>IFERROR(VLOOKUP(A275,datos_2023!$B$1:$G$322,4,FALSE),"")</f>
        <v>120</v>
      </c>
    </row>
    <row r="276" spans="1:4">
      <c r="A276" s="3">
        <v>70703</v>
      </c>
      <c r="B276" s="4" t="s">
        <v>280</v>
      </c>
      <c r="C276" s="21">
        <f>IFERROR(VLOOKUP(A276,datos_2016!$B$1:$G$330,4,FALSE),"")</f>
        <v>221</v>
      </c>
      <c r="D276" s="21">
        <f>IFERROR(VLOOKUP(A276,datos_2023!$B$1:$G$322,4,FALSE),"")</f>
        <v>529</v>
      </c>
    </row>
    <row r="277" spans="1:4">
      <c r="A277" s="5">
        <v>70704</v>
      </c>
      <c r="B277" s="6" t="s">
        <v>281</v>
      </c>
      <c r="C277" s="21">
        <f>IFERROR(VLOOKUP(A277,datos_2016!$B$1:$G$330,4,FALSE),"")</f>
        <v>34</v>
      </c>
      <c r="D277" s="21">
        <f>IFERROR(VLOOKUP(A277,datos_2023!$B$1:$G$322,4,FALSE),"")</f>
        <v>17</v>
      </c>
    </row>
    <row r="278" spans="1:4">
      <c r="A278" s="3">
        <v>70705</v>
      </c>
      <c r="B278" s="4" t="s">
        <v>282</v>
      </c>
      <c r="C278" s="21">
        <f>IFERROR(VLOOKUP(A278,datos_2016!$B$1:$G$330,4,FALSE),"")</f>
        <v>49</v>
      </c>
      <c r="D278" s="21">
        <f>IFERROR(VLOOKUP(A278,datos_2023!$B$1:$G$322,4,FALSE),"")</f>
        <v>37</v>
      </c>
    </row>
    <row r="279" spans="1:4">
      <c r="A279" s="5">
        <v>70706</v>
      </c>
      <c r="B279" s="6" t="s">
        <v>283</v>
      </c>
      <c r="C279" s="21">
        <f>IFERROR(VLOOKUP(A279,datos_2016!$B$1:$G$330,4,FALSE),"")</f>
        <v>215</v>
      </c>
      <c r="D279" s="21">
        <f>IFERROR(VLOOKUP(A279,datos_2023!$B$1:$G$322,4,FALSE),"")</f>
        <v>110</v>
      </c>
    </row>
    <row r="280" spans="1:4">
      <c r="A280" s="3">
        <v>70707</v>
      </c>
      <c r="B280" s="4" t="s">
        <v>284</v>
      </c>
      <c r="C280" s="21">
        <f>IFERROR(VLOOKUP(A280,datos_2016!$B$1:$G$330,4,FALSE),"")</f>
        <v>30</v>
      </c>
      <c r="D280" s="21">
        <f>IFERROR(VLOOKUP(A280,datos_2023!$B$1:$G$322,4,FALSE),"")</f>
        <v>17</v>
      </c>
    </row>
    <row r="281" spans="1:4">
      <c r="A281" s="5">
        <v>70801</v>
      </c>
      <c r="B281" s="6" t="s">
        <v>285</v>
      </c>
      <c r="C281" s="21">
        <f>IFERROR(VLOOKUP(A281,datos_2016!$B$1:$G$330,4,FALSE),"")</f>
        <v>302</v>
      </c>
      <c r="D281" s="21">
        <f>IFERROR(VLOOKUP(A281,datos_2023!$B$1:$G$322,4,FALSE),"")</f>
        <v>44</v>
      </c>
    </row>
    <row r="282" spans="1:4">
      <c r="A282" s="3">
        <v>70802</v>
      </c>
      <c r="B282" s="4" t="s">
        <v>286</v>
      </c>
      <c r="C282" s="21">
        <f>IFERROR(VLOOKUP(A282,datos_2016!$B$1:$G$330,4,FALSE),"")</f>
        <v>31</v>
      </c>
      <c r="D282" s="21">
        <f>IFERROR(VLOOKUP(A282,datos_2023!$B$1:$G$322,4,FALSE),"")</f>
        <v>12</v>
      </c>
    </row>
    <row r="283" spans="1:4">
      <c r="A283" s="5">
        <v>70803</v>
      </c>
      <c r="B283" s="6" t="s">
        <v>287</v>
      </c>
      <c r="C283" s="21">
        <f>IFERROR(VLOOKUP(A283,datos_2016!$B$1:$G$330,4,FALSE),"")</f>
        <v>38</v>
      </c>
      <c r="D283" s="21">
        <f>IFERROR(VLOOKUP(A283,datos_2023!$B$1:$G$322,4,FALSE),"")</f>
        <v>3</v>
      </c>
    </row>
    <row r="284" spans="1:4">
      <c r="A284" s="3">
        <v>70804</v>
      </c>
      <c r="B284" s="4" t="s">
        <v>288</v>
      </c>
      <c r="C284" s="21">
        <f>IFERROR(VLOOKUP(A284,datos_2016!$B$1:$G$330,4,FALSE),"")</f>
        <v>42</v>
      </c>
      <c r="D284" s="21">
        <f>IFERROR(VLOOKUP(A284,datos_2023!$B$1:$G$322,4,FALSE),"")</f>
        <v>3</v>
      </c>
    </row>
    <row r="285" spans="1:4">
      <c r="A285" s="5">
        <v>70805</v>
      </c>
      <c r="B285" s="6" t="s">
        <v>289</v>
      </c>
      <c r="C285" s="21" t="str">
        <f>IFERROR(VLOOKUP(A285,datos_2016!$B$1:$G$330,4,FALSE),"")</f>
        <v/>
      </c>
      <c r="D285" s="21" t="str">
        <f>IFERROR(VLOOKUP(A285,datos_2023!$B$1:$G$322,4,FALSE),"")</f>
        <v/>
      </c>
    </row>
    <row r="286" spans="1:4">
      <c r="A286" s="3">
        <v>70901</v>
      </c>
      <c r="B286" s="4" t="s">
        <v>290</v>
      </c>
      <c r="C286" s="21">
        <f>IFERROR(VLOOKUP(A286,datos_2016!$B$1:$G$330,4,FALSE),"")</f>
        <v>198</v>
      </c>
      <c r="D286" s="21">
        <f>IFERROR(VLOOKUP(A286,datos_2023!$B$1:$G$322,4,FALSE),"")</f>
        <v>64</v>
      </c>
    </row>
    <row r="287" spans="1:4">
      <c r="A287" s="5">
        <v>70902</v>
      </c>
      <c r="B287" s="6" t="s">
        <v>291</v>
      </c>
      <c r="C287" s="21">
        <f>IFERROR(VLOOKUP(A287,datos_2016!$B$1:$G$330,4,FALSE),"")</f>
        <v>157</v>
      </c>
      <c r="D287" s="21">
        <f>IFERROR(VLOOKUP(A287,datos_2023!$B$1:$G$322,4,FALSE),"")</f>
        <v>17</v>
      </c>
    </row>
    <row r="288" spans="1:4">
      <c r="A288" s="3">
        <v>70903</v>
      </c>
      <c r="B288" s="4" t="s">
        <v>292</v>
      </c>
      <c r="C288" s="21">
        <f>IFERROR(VLOOKUP(A288,datos_2016!$B$1:$G$330,4,FALSE),"")</f>
        <v>134</v>
      </c>
      <c r="D288" s="21">
        <f>IFERROR(VLOOKUP(A288,datos_2023!$B$1:$G$322,4,FALSE),"")</f>
        <v>28</v>
      </c>
    </row>
    <row r="289" spans="1:4">
      <c r="A289" s="5">
        <v>70904</v>
      </c>
      <c r="B289" s="6" t="s">
        <v>293</v>
      </c>
      <c r="C289" s="21">
        <f>IFERROR(VLOOKUP(A289,datos_2016!$B$1:$G$330,4,FALSE),"")</f>
        <v>43</v>
      </c>
      <c r="D289" s="21">
        <f>IFERROR(VLOOKUP(A289,datos_2023!$B$1:$G$322,4,FALSE),"")</f>
        <v>3</v>
      </c>
    </row>
    <row r="290" spans="1:4">
      <c r="A290" s="3">
        <v>71001</v>
      </c>
      <c r="B290" s="4" t="s">
        <v>294</v>
      </c>
      <c r="C290" s="21">
        <f>IFERROR(VLOOKUP(A290,datos_2016!$B$1:$G$330,4,FALSE),"")</f>
        <v>756</v>
      </c>
      <c r="D290" s="21">
        <f>IFERROR(VLOOKUP(A290,datos_2023!$B$1:$G$322,4,FALSE),"")</f>
        <v>1879</v>
      </c>
    </row>
    <row r="291" spans="1:4">
      <c r="A291" s="5">
        <v>71002</v>
      </c>
      <c r="B291" s="6" t="s">
        <v>295</v>
      </c>
      <c r="C291" s="21">
        <f>IFERROR(VLOOKUP(A291,datos_2016!$B$1:$G$330,4,FALSE),"")</f>
        <v>153</v>
      </c>
      <c r="D291" s="21">
        <f>IFERROR(VLOOKUP(A291,datos_2023!$B$1:$G$322,4,FALSE),"")</f>
        <v>327</v>
      </c>
    </row>
    <row r="292" spans="1:4">
      <c r="A292" s="3">
        <v>71003</v>
      </c>
      <c r="B292" s="4" t="s">
        <v>296</v>
      </c>
      <c r="C292" s="21">
        <f>IFERROR(VLOOKUP(A292,datos_2016!$B$1:$G$330,4,FALSE),"")</f>
        <v>158</v>
      </c>
      <c r="D292" s="21">
        <f>IFERROR(VLOOKUP(A292,datos_2023!$B$1:$G$322,4,FALSE),"")</f>
        <v>397</v>
      </c>
    </row>
    <row r="293" spans="1:4">
      <c r="A293" s="5">
        <v>71004</v>
      </c>
      <c r="B293" s="6" t="s">
        <v>297</v>
      </c>
      <c r="C293" s="21">
        <f>IFERROR(VLOOKUP(A293,datos_2016!$B$1:$G$330,4,FALSE),"")</f>
        <v>123</v>
      </c>
      <c r="D293" s="21">
        <f>IFERROR(VLOOKUP(A293,datos_2023!$B$1:$G$322,4,FALSE),"")</f>
        <v>225</v>
      </c>
    </row>
    <row r="294" spans="1:4">
      <c r="A294" s="3">
        <v>71005</v>
      </c>
      <c r="B294" s="4" t="s">
        <v>298</v>
      </c>
      <c r="C294" s="21">
        <f>IFERROR(VLOOKUP(A294,datos_2016!$B$1:$G$330,4,FALSE),"")</f>
        <v>145</v>
      </c>
      <c r="D294" s="21">
        <f>IFERROR(VLOOKUP(A294,datos_2023!$B$1:$G$322,4,FALSE),"")</f>
        <v>318</v>
      </c>
    </row>
    <row r="295" spans="1:4">
      <c r="A295" s="5">
        <v>71101</v>
      </c>
      <c r="B295" s="6" t="s">
        <v>299</v>
      </c>
      <c r="C295" s="21">
        <f>IFERROR(VLOOKUP(A295,datos_2016!$B$1:$G$330,4,FALSE),"")</f>
        <v>163</v>
      </c>
      <c r="D295" s="21">
        <f>IFERROR(VLOOKUP(A295,datos_2023!$B$1:$G$322,4,FALSE),"")</f>
        <v>54</v>
      </c>
    </row>
    <row r="296" spans="1:4">
      <c r="A296" s="3">
        <v>71102</v>
      </c>
      <c r="B296" s="4" t="s">
        <v>300</v>
      </c>
      <c r="C296" s="21">
        <f>IFERROR(VLOOKUP(A296,datos_2016!$B$1:$G$330,4,FALSE),"")</f>
        <v>58</v>
      </c>
      <c r="D296" s="21">
        <f>IFERROR(VLOOKUP(A296,datos_2023!$B$1:$G$322,4,FALSE),"")</f>
        <v>25</v>
      </c>
    </row>
    <row r="297" spans="1:4">
      <c r="A297" s="5">
        <v>71103</v>
      </c>
      <c r="B297" s="6" t="s">
        <v>301</v>
      </c>
      <c r="C297" s="21">
        <f>IFERROR(VLOOKUP(A297,datos_2016!$B$1:$G$330,4,FALSE),"")</f>
        <v>46</v>
      </c>
      <c r="D297" s="21">
        <f>IFERROR(VLOOKUP(A297,datos_2023!$B$1:$G$322,4,FALSE),"")</f>
        <v>17</v>
      </c>
    </row>
    <row r="298" spans="1:4">
      <c r="A298" s="3">
        <v>71104</v>
      </c>
      <c r="B298" s="4" t="s">
        <v>302</v>
      </c>
      <c r="C298" s="21">
        <f>IFERROR(VLOOKUP(A298,datos_2016!$B$1:$G$330,4,FALSE),"")</f>
        <v>377</v>
      </c>
      <c r="D298" s="21">
        <f>IFERROR(VLOOKUP(A298,datos_2023!$B$1:$G$322,4,FALSE),"")</f>
        <v>122</v>
      </c>
    </row>
    <row r="299" spans="1:4">
      <c r="A299" s="5">
        <v>71105</v>
      </c>
      <c r="B299" s="6" t="s">
        <v>303</v>
      </c>
      <c r="C299" s="21">
        <f>IFERROR(VLOOKUP(A299,datos_2016!$B$1:$G$330,4,FALSE),"")</f>
        <v>27</v>
      </c>
      <c r="D299" s="21">
        <f>IFERROR(VLOOKUP(A299,datos_2023!$B$1:$G$322,4,FALSE),"")</f>
        <v>12</v>
      </c>
    </row>
    <row r="300" spans="1:4">
      <c r="A300" s="3">
        <v>71106</v>
      </c>
      <c r="B300" s="4" t="s">
        <v>304</v>
      </c>
      <c r="C300" s="21">
        <f>IFERROR(VLOOKUP(A300,datos_2016!$B$1:$G$330,4,FALSE),"")</f>
        <v>202</v>
      </c>
      <c r="D300" s="21" t="str">
        <f>IFERROR(VLOOKUP(A300,datos_2023!$B$1:$G$322,4,FALSE),"")</f>
        <v/>
      </c>
    </row>
    <row r="301" spans="1:4">
      <c r="A301" s="5">
        <v>71201</v>
      </c>
      <c r="B301" s="6" t="s">
        <v>305</v>
      </c>
      <c r="C301" s="21">
        <f>IFERROR(VLOOKUP(A301,datos_2016!$B$1:$G$330,4,FALSE),"")</f>
        <v>0</v>
      </c>
      <c r="D301" s="21">
        <f>IFERROR(VLOOKUP(A301,datos_2023!$B$1:$G$322,4,FALSE),"")</f>
        <v>0</v>
      </c>
    </row>
    <row r="302" spans="1:4">
      <c r="A302" s="3">
        <v>71301</v>
      </c>
      <c r="B302" s="4" t="s">
        <v>306</v>
      </c>
      <c r="C302" s="21">
        <f>IFERROR(VLOOKUP(A302,datos_2016!$B$1:$G$330,4,FALSE),"")</f>
        <v>189</v>
      </c>
      <c r="D302" s="21">
        <f>IFERROR(VLOOKUP(A302,datos_2023!$B$1:$G$322,4,FALSE),"")</f>
        <v>24</v>
      </c>
    </row>
    <row r="303" spans="1:4">
      <c r="A303" s="5">
        <v>71302</v>
      </c>
      <c r="B303" s="6" t="s">
        <v>307</v>
      </c>
      <c r="C303" s="21">
        <f>IFERROR(VLOOKUP(A303,datos_2016!$B$1:$G$330,4,FALSE),"")</f>
        <v>115</v>
      </c>
      <c r="D303" s="21">
        <f>IFERROR(VLOOKUP(A303,datos_2023!$B$1:$G$322,4,FALSE),"")</f>
        <v>10</v>
      </c>
    </row>
    <row r="304" spans="1:4">
      <c r="A304" s="3">
        <v>71401</v>
      </c>
      <c r="B304" s="4" t="s">
        <v>308</v>
      </c>
      <c r="C304" s="21">
        <f>IFERROR(VLOOKUP(A304,datos_2016!$B$1:$G$330,4,FALSE),"")</f>
        <v>299</v>
      </c>
      <c r="D304" s="21">
        <f>IFERROR(VLOOKUP(A304,datos_2023!$B$1:$G$322,4,FALSE),"")</f>
        <v>23</v>
      </c>
    </row>
    <row r="305" spans="1:4">
      <c r="A305" s="5">
        <v>71402</v>
      </c>
      <c r="B305" s="6" t="s">
        <v>309</v>
      </c>
      <c r="C305" s="21">
        <f>IFERROR(VLOOKUP(A305,datos_2016!$B$1:$G$330,4,FALSE),"")</f>
        <v>214</v>
      </c>
      <c r="D305" s="21">
        <f>IFERROR(VLOOKUP(A305,datos_2023!$B$1:$G$322,4,FALSE),"")</f>
        <v>23</v>
      </c>
    </row>
    <row r="306" spans="1:4">
      <c r="A306" s="3">
        <v>71403</v>
      </c>
      <c r="B306" s="4" t="s">
        <v>310</v>
      </c>
      <c r="C306" s="21">
        <f>IFERROR(VLOOKUP(A306,datos_2016!$B$1:$G$330,4,FALSE),"")</f>
        <v>33</v>
      </c>
      <c r="D306" s="21">
        <f>IFERROR(VLOOKUP(A306,datos_2023!$B$1:$G$322,4,FALSE),"")</f>
        <v>2</v>
      </c>
    </row>
    <row r="307" spans="1:4">
      <c r="A307" s="5">
        <v>71501</v>
      </c>
      <c r="B307" s="6" t="s">
        <v>311</v>
      </c>
      <c r="C307" s="21">
        <f>IFERROR(VLOOKUP(A307,datos_2016!$B$1:$G$330,4,FALSE),"")</f>
        <v>182</v>
      </c>
      <c r="D307" s="21">
        <f>IFERROR(VLOOKUP(A307,datos_2023!$B$1:$G$322,4,FALSE),"")</f>
        <v>79</v>
      </c>
    </row>
    <row r="308" spans="1:4">
      <c r="A308" s="3">
        <v>71502</v>
      </c>
      <c r="B308" s="4" t="s">
        <v>312</v>
      </c>
      <c r="C308" s="21">
        <f>IFERROR(VLOOKUP(A308,datos_2016!$B$1:$G$330,4,FALSE),"")</f>
        <v>46</v>
      </c>
      <c r="D308" s="21">
        <f>IFERROR(VLOOKUP(A308,datos_2023!$B$1:$G$322,4,FALSE),"")</f>
        <v>18</v>
      </c>
    </row>
    <row r="309" spans="1:4">
      <c r="A309" s="5">
        <v>71503</v>
      </c>
      <c r="B309" s="6" t="s">
        <v>257</v>
      </c>
      <c r="C309" s="21">
        <f>IFERROR(VLOOKUP(A309,datos_2016!$B$1:$G$330,4,FALSE),"")</f>
        <v>53</v>
      </c>
      <c r="D309" s="21">
        <f>IFERROR(VLOOKUP(A309,datos_2023!$B$1:$G$322,4,FALSE),"")</f>
        <v>16</v>
      </c>
    </row>
    <row r="310" spans="1:4">
      <c r="A310" s="3">
        <v>80101</v>
      </c>
      <c r="B310" s="4" t="s">
        <v>313</v>
      </c>
      <c r="C310" s="21">
        <f>IFERROR(VLOOKUP(A310,datos_2016!$B$1:$G$330,4,FALSE),"")</f>
        <v>458</v>
      </c>
      <c r="D310" s="21">
        <f>IFERROR(VLOOKUP(A310,datos_2023!$B$1:$G$322,4,FALSE),"")</f>
        <v>507</v>
      </c>
    </row>
    <row r="311" spans="1:4">
      <c r="A311" s="5">
        <v>80102</v>
      </c>
      <c r="B311" s="6" t="s">
        <v>300</v>
      </c>
      <c r="C311" s="21">
        <f>IFERROR(VLOOKUP(A311,datos_2016!$B$1:$G$330,4,FALSE),"")</f>
        <v>6</v>
      </c>
      <c r="D311" s="21">
        <f>IFERROR(VLOOKUP(A311,datos_2023!$B$1:$G$322,4,FALSE),"")</f>
        <v>20</v>
      </c>
    </row>
    <row r="312" spans="1:4">
      <c r="A312" s="3">
        <v>80201</v>
      </c>
      <c r="B312" s="4" t="s">
        <v>314</v>
      </c>
      <c r="C312" s="21">
        <f>IFERROR(VLOOKUP(A312,datos_2016!$B$1:$G$330,4,FALSE),"")</f>
        <v>0</v>
      </c>
      <c r="D312" s="21">
        <f>IFERROR(VLOOKUP(A312,datos_2023!$B$1:$G$322,4,FALSE),"")</f>
        <v>301</v>
      </c>
    </row>
    <row r="313" spans="1:4">
      <c r="A313" s="5">
        <v>80202</v>
      </c>
      <c r="B313" s="6" t="s">
        <v>315</v>
      </c>
      <c r="C313" s="21">
        <f>IFERROR(VLOOKUP(A313,datos_2016!$B$1:$G$330,4,FALSE),"")</f>
        <v>0</v>
      </c>
      <c r="D313" s="21">
        <f>IFERROR(VLOOKUP(A313,datos_2023!$B$1:$G$322,4,FALSE),"")</f>
        <v>74</v>
      </c>
    </row>
    <row r="314" spans="1:4">
      <c r="A314" s="3">
        <v>80301</v>
      </c>
      <c r="B314" s="4" t="s">
        <v>316</v>
      </c>
      <c r="C314" s="21">
        <f>IFERROR(VLOOKUP(A314,datos_2016!$B$1:$G$330,4,FALSE),"")</f>
        <v>25</v>
      </c>
      <c r="D314" s="21">
        <f>IFERROR(VLOOKUP(A314,datos_2023!$B$1:$G$322,4,FALSE),"")</f>
        <v>73</v>
      </c>
    </row>
    <row r="315" spans="1:4">
      <c r="A315" s="5">
        <v>80302</v>
      </c>
      <c r="B315" s="6" t="s">
        <v>317</v>
      </c>
      <c r="C315" s="21">
        <f>IFERROR(VLOOKUP(A315,datos_2016!$B$1:$G$330,4,FALSE),"")</f>
        <v>202</v>
      </c>
      <c r="D315" s="21">
        <f>IFERROR(VLOOKUP(A315,datos_2023!$B$1:$G$322,4,FALSE),"")</f>
        <v>303</v>
      </c>
    </row>
    <row r="316" spans="1:4">
      <c r="A316" s="3">
        <v>80303</v>
      </c>
      <c r="B316" s="4" t="s">
        <v>318</v>
      </c>
      <c r="C316" s="21">
        <f>IFERROR(VLOOKUP(A316,datos_2016!$B$1:$G$330,4,FALSE),"")</f>
        <v>3</v>
      </c>
      <c r="D316" s="21">
        <f>IFERROR(VLOOKUP(A316,datos_2023!$B$1:$G$322,4,FALSE),"")</f>
        <v>50</v>
      </c>
    </row>
    <row r="317" spans="1:4">
      <c r="A317" s="5">
        <v>80304</v>
      </c>
      <c r="B317" s="6" t="s">
        <v>319</v>
      </c>
      <c r="C317" s="21">
        <f>IFERROR(VLOOKUP(A317,datos_2016!$B$1:$G$330,4,FALSE),"")</f>
        <v>75</v>
      </c>
      <c r="D317" s="21">
        <f>IFERROR(VLOOKUP(A317,datos_2023!$B$1:$G$322,4,FALSE),"")</f>
        <v>276</v>
      </c>
    </row>
    <row r="318" spans="1:4">
      <c r="A318" s="3">
        <v>80401</v>
      </c>
      <c r="B318" s="4" t="s">
        <v>320</v>
      </c>
      <c r="C318" s="21">
        <f>IFERROR(VLOOKUP(A318,datos_2016!$B$1:$G$330,4,FALSE),"")</f>
        <v>5</v>
      </c>
      <c r="D318" s="21">
        <f>IFERROR(VLOOKUP(A318,datos_2023!$B$1:$G$322,4,FALSE),"")</f>
        <v>78</v>
      </c>
    </row>
    <row r="319" spans="1:4">
      <c r="A319" s="5">
        <v>80402</v>
      </c>
      <c r="B319" s="6" t="s">
        <v>321</v>
      </c>
      <c r="C319" s="21" t="str">
        <f>IFERROR(VLOOKUP(A319,datos_2016!$B$1:$G$330,4,FALSE),"")</f>
        <v/>
      </c>
      <c r="D319" s="21">
        <f>IFERROR(VLOOKUP(A319,datos_2023!$B$1:$G$322,4,FALSE),"")</f>
        <v>0</v>
      </c>
    </row>
    <row r="320" spans="1:4">
      <c r="A320" s="3">
        <v>80501</v>
      </c>
      <c r="B320" s="4" t="s">
        <v>322</v>
      </c>
      <c r="C320" s="21">
        <f>IFERROR(VLOOKUP(A320,datos_2016!$B$1:$G$330,4,FALSE),"")</f>
        <v>39</v>
      </c>
      <c r="D320" s="21">
        <f>IFERROR(VLOOKUP(A320,datos_2023!$B$1:$G$322,4,FALSE),"")</f>
        <v>120</v>
      </c>
    </row>
    <row r="321" spans="1:4">
      <c r="A321" s="5">
        <v>80601</v>
      </c>
      <c r="B321" s="6" t="s">
        <v>323</v>
      </c>
      <c r="C321" s="21">
        <f>IFERROR(VLOOKUP(A321,datos_2016!$B$1:$G$330,4,FALSE),"")</f>
        <v>4</v>
      </c>
      <c r="D321" s="21">
        <f>IFERROR(VLOOKUP(A321,datos_2023!$B$1:$G$322,4,FALSE),"")</f>
        <v>25</v>
      </c>
    </row>
    <row r="322" spans="1:4">
      <c r="A322" s="3">
        <v>80602</v>
      </c>
      <c r="B322" s="4" t="s">
        <v>324</v>
      </c>
      <c r="C322" s="21">
        <f>IFERROR(VLOOKUP(A322,datos_2016!$B$1:$G$330,4,FALSE),"")</f>
        <v>48</v>
      </c>
      <c r="D322" s="21">
        <f>IFERROR(VLOOKUP(A322,datos_2023!$B$1:$G$322,4,FALSE),"")</f>
        <v>110</v>
      </c>
    </row>
    <row r="323" spans="1:4">
      <c r="A323" s="5">
        <v>80701</v>
      </c>
      <c r="B323" s="6" t="s">
        <v>325</v>
      </c>
      <c r="C323" s="21">
        <f>IFERROR(VLOOKUP(A323,datos_2016!$B$1:$G$330,4,FALSE),"")</f>
        <v>15</v>
      </c>
      <c r="D323" s="21">
        <f>IFERROR(VLOOKUP(A323,datos_2023!$B$1:$G$322,4,FALSE),"")</f>
        <v>17</v>
      </c>
    </row>
    <row r="324" spans="1:4">
      <c r="A324" s="3">
        <v>80702</v>
      </c>
      <c r="B324" s="4" t="s">
        <v>301</v>
      </c>
      <c r="C324" s="21">
        <f>IFERROR(VLOOKUP(A324,datos_2016!$B$1:$G$330,4,FALSE),"")</f>
        <v>31</v>
      </c>
      <c r="D324" s="21">
        <f>IFERROR(VLOOKUP(A324,datos_2023!$B$1:$G$322,4,FALSE),"")</f>
        <v>18</v>
      </c>
    </row>
    <row r="325" spans="1:4">
      <c r="A325" s="5">
        <v>80703</v>
      </c>
      <c r="B325" s="6" t="s">
        <v>326</v>
      </c>
      <c r="C325" s="21" t="str">
        <f>IFERROR(VLOOKUP(A325,datos_2016!$B$1:$G$330,4,FALSE),"")</f>
        <v/>
      </c>
      <c r="D325" s="21" t="str">
        <f>IFERROR(VLOOKUP(A325,datos_2023!$B$1:$G$322,4,FALSE),"")</f>
        <v/>
      </c>
    </row>
    <row r="326" spans="1:4">
      <c r="A326" s="3">
        <v>80801</v>
      </c>
      <c r="B326" s="4" t="s">
        <v>327</v>
      </c>
      <c r="C326" s="21">
        <f>IFERROR(VLOOKUP(A326,datos_2016!$B$1:$G$330,4,FALSE),"")</f>
        <v>10</v>
      </c>
      <c r="D326" s="21">
        <f>IFERROR(VLOOKUP(A326,datos_2023!$B$1:$G$322,4,FALSE),"")</f>
        <v>34</v>
      </c>
    </row>
    <row r="327" spans="1:4">
      <c r="A327" s="5">
        <v>80802</v>
      </c>
      <c r="B327" s="6" t="s">
        <v>328</v>
      </c>
      <c r="C327" s="21">
        <f>IFERROR(VLOOKUP(A327,datos_2016!$B$1:$G$330,4,FALSE),"")</f>
        <v>0</v>
      </c>
      <c r="D327" s="21">
        <f>IFERROR(VLOOKUP(A327,datos_2023!$B$1:$G$322,4,FALSE),"")</f>
        <v>29</v>
      </c>
    </row>
    <row r="328" spans="1:4">
      <c r="A328" s="3">
        <v>80803</v>
      </c>
      <c r="B328" s="4" t="s">
        <v>329</v>
      </c>
      <c r="C328" s="21">
        <f>IFERROR(VLOOKUP(A328,datos_2016!$B$1:$G$330,4,FALSE),"")</f>
        <v>0</v>
      </c>
      <c r="D328" s="21">
        <f>IFERROR(VLOOKUP(A328,datos_2023!$B$1:$G$322,4,FALSE),"")</f>
        <v>7</v>
      </c>
    </row>
    <row r="329" spans="1:4">
      <c r="A329" s="5">
        <v>80804</v>
      </c>
      <c r="B329" s="6" t="s">
        <v>330</v>
      </c>
      <c r="C329" s="21" t="str">
        <f>IFERROR(VLOOKUP(A329,datos_2016!$B$1:$G$330,4,FALSE),"")</f>
        <v/>
      </c>
      <c r="D329" s="21" t="str">
        <f>IFERROR(VLOOKUP(A329,datos_2023!$B$1:$G$322,4,FALSE),"")</f>
        <v/>
      </c>
    </row>
    <row r="330" spans="1:4">
      <c r="A330" s="3">
        <v>90101</v>
      </c>
      <c r="B330" s="4" t="s">
        <v>331</v>
      </c>
      <c r="C330" s="21">
        <f>IFERROR(VLOOKUP(A330,datos_2016!$B$1:$G$330,4,FALSE),"")</f>
        <v>238</v>
      </c>
      <c r="D330" s="21">
        <f>IFERROR(VLOOKUP(A330,datos_2023!$B$1:$G$322,4,FALSE),"")</f>
        <v>247</v>
      </c>
    </row>
    <row r="331" spans="1:4">
      <c r="A331" s="5">
        <v>90102</v>
      </c>
      <c r="B331" s="6" t="s">
        <v>332</v>
      </c>
      <c r="C331" s="21">
        <f>IFERROR(VLOOKUP(A331,datos_2016!$B$1:$G$330,4,FALSE),"")</f>
        <v>32</v>
      </c>
      <c r="D331" s="21">
        <f>IFERROR(VLOOKUP(A331,datos_2023!$B$1:$G$322,4,FALSE),"")</f>
        <v>29</v>
      </c>
    </row>
    <row r="332" spans="1:4">
      <c r="A332" s="3">
        <v>90103</v>
      </c>
      <c r="B332" s="4" t="s">
        <v>333</v>
      </c>
      <c r="C332" s="21" t="str">
        <f>IFERROR(VLOOKUP(A332,datos_2016!$B$1:$G$330,4,FALSE),"")</f>
        <v/>
      </c>
      <c r="D332" s="21" t="str">
        <f>IFERROR(VLOOKUP(A332,datos_2023!$B$1:$G$322,4,FALSE),"")</f>
        <v/>
      </c>
    </row>
    <row r="333" spans="1:4">
      <c r="A333" s="5">
        <v>90104</v>
      </c>
      <c r="B333" s="6" t="s">
        <v>334</v>
      </c>
      <c r="C333" s="21">
        <f>IFERROR(VLOOKUP(A333,datos_2016!$B$1:$G$330,4,FALSE),"")</f>
        <v>1</v>
      </c>
      <c r="D333" s="21">
        <f>IFERROR(VLOOKUP(A333,datos_2023!$B$1:$G$322,4,FALSE),"")</f>
        <v>17</v>
      </c>
    </row>
    <row r="334" spans="1:4">
      <c r="A334" s="3">
        <v>90201</v>
      </c>
      <c r="B334" s="4" t="s">
        <v>335</v>
      </c>
      <c r="C334" s="21">
        <f>IFERROR(VLOOKUP(A334,datos_2016!$B$1:$G$330,4,FALSE),"")</f>
        <v>32</v>
      </c>
      <c r="D334" s="21">
        <f>IFERROR(VLOOKUP(A334,datos_2023!$B$1:$G$322,4,FALSE),"")</f>
        <v>23</v>
      </c>
    </row>
    <row r="335" spans="1:4">
      <c r="A335" s="5">
        <v>90202</v>
      </c>
      <c r="B335" s="6" t="s">
        <v>298</v>
      </c>
      <c r="C335" s="21">
        <f>IFERROR(VLOOKUP(A335,datos_2016!$B$1:$G$330,4,FALSE),"")</f>
        <v>3</v>
      </c>
      <c r="D335" s="21">
        <f>IFERROR(VLOOKUP(A335,datos_2023!$B$1:$G$322,4,FALSE),"")</f>
        <v>7</v>
      </c>
    </row>
    <row r="336" spans="1:4">
      <c r="A336" s="3">
        <v>90203</v>
      </c>
      <c r="B336" s="4" t="s">
        <v>336</v>
      </c>
      <c r="C336" s="21">
        <f>IFERROR(VLOOKUP(A336,datos_2016!$B$1:$G$330,4,FALSE),"")</f>
        <v>16</v>
      </c>
      <c r="D336" s="21">
        <f>IFERROR(VLOOKUP(A336,datos_2023!$B$1:$G$322,4,FALSE),"")</f>
        <v>22</v>
      </c>
    </row>
    <row r="337" spans="1:4">
      <c r="A337" s="5">
        <v>90301</v>
      </c>
      <c r="B337" s="6" t="s">
        <v>337</v>
      </c>
      <c r="C337" s="21">
        <f>IFERROR(VLOOKUP(A337,datos_2016!$B$1:$G$330,4,FALSE),"")</f>
        <v>0</v>
      </c>
      <c r="D337" s="21" t="str">
        <f>IFERROR(VLOOKUP(A337,datos_2023!$B$1:$G$322,4,FALSE),"")</f>
        <v/>
      </c>
    </row>
    <row r="338" spans="1:4">
      <c r="A338" s="3">
        <v>90302</v>
      </c>
      <c r="B338" s="4" t="s">
        <v>338</v>
      </c>
      <c r="C338" s="21">
        <f>IFERROR(VLOOKUP(A338,datos_2016!$B$1:$G$330,4,FALSE),"")</f>
        <v>1</v>
      </c>
      <c r="D338" s="21">
        <f>IFERROR(VLOOKUP(A338,datos_2023!$B$1:$G$322,4,FALSE),"")</f>
        <v>13</v>
      </c>
    </row>
    <row r="339" spans="1:4">
      <c r="A339" s="5">
        <v>90303</v>
      </c>
      <c r="B339" s="6" t="s">
        <v>339</v>
      </c>
      <c r="C339" s="21">
        <f>IFERROR(VLOOKUP(A339,datos_2016!$B$1:$G$330,4,FALSE),"")</f>
        <v>2</v>
      </c>
      <c r="D339" s="21">
        <f>IFERROR(VLOOKUP(A339,datos_2023!$B$1:$G$322,4,FALSE),"")</f>
        <v>11</v>
      </c>
    </row>
    <row r="340" spans="1:4">
      <c r="A340" s="3">
        <v>90401</v>
      </c>
      <c r="B340" s="4" t="s">
        <v>340</v>
      </c>
      <c r="C340" s="21" t="str">
        <f>IFERROR(VLOOKUP(A340,datos_2016!$B$1:$G$330,4,FALSE),"")</f>
        <v/>
      </c>
      <c r="D340" s="21">
        <f>IFERROR(VLOOKUP(A340,datos_2023!$B$1:$G$322,4,FALSE),"")</f>
        <v>34</v>
      </c>
    </row>
    <row r="341" spans="1:4">
      <c r="A341" s="5">
        <v>90402</v>
      </c>
      <c r="B341" s="6" t="s">
        <v>341</v>
      </c>
      <c r="C341" s="21" t="str">
        <f>IFERROR(VLOOKUP(A341,datos_2016!$B$1:$G$330,4,FALSE),"")</f>
        <v/>
      </c>
      <c r="D341" s="21" t="str">
        <f>IFERROR(VLOOKUP(A341,datos_2023!$B$1:$G$322,4,FALSE),"")</f>
        <v/>
      </c>
    </row>
    <row r="342" spans="1:4">
      <c r="A342" s="3">
        <v>90501</v>
      </c>
      <c r="B342" s="4" t="s">
        <v>342</v>
      </c>
      <c r="C342" s="21">
        <f>IFERROR(VLOOKUP(A342,datos_2016!$B$1:$G$330,4,FALSE),"")</f>
        <v>0</v>
      </c>
      <c r="D342" s="21" t="str">
        <f>IFERROR(VLOOKUP(A342,datos_2023!$B$1:$G$322,4,FALSE),"")</f>
        <v/>
      </c>
    </row>
    <row r="343" spans="1:4">
      <c r="A343" s="5">
        <v>90502</v>
      </c>
      <c r="B343" s="6" t="s">
        <v>343</v>
      </c>
      <c r="C343" s="21">
        <f>IFERROR(VLOOKUP(A343,datos_2016!$B$1:$G$330,4,FALSE),"")</f>
        <v>0</v>
      </c>
      <c r="D343" s="21" t="str">
        <f>IFERROR(VLOOKUP(A343,datos_2023!$B$1:$G$322,4,FALSE),"")</f>
        <v/>
      </c>
    </row>
    <row r="344" spans="1:4">
      <c r="A344" s="8">
        <v>90503</v>
      </c>
      <c r="B344" s="9" t="s">
        <v>344</v>
      </c>
      <c r="C344" s="21" t="str">
        <f>IFERROR(VLOOKUP(A344,datos_2016!$B$1:$G$330,4,FALSE),"")</f>
        <v/>
      </c>
      <c r="D344" s="21" t="str">
        <f>IFERROR(VLOOKUP(A344,datos_2023!$B$1:$G$322,4,FALSE),"")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177E-E103-4552-ADA2-A205C090E3E9}">
  <sheetPr codeName="Hoja5"/>
  <dimension ref="A1:D12"/>
  <sheetViews>
    <sheetView workbookViewId="0">
      <selection activeCell="D11" sqref="D11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346</v>
      </c>
      <c r="D1" s="2" t="s">
        <v>347</v>
      </c>
    </row>
    <row r="2" spans="1:4">
      <c r="A2" s="18">
        <v>1</v>
      </c>
      <c r="B2" s="19" t="s">
        <v>355</v>
      </c>
      <c r="C2" s="20">
        <v>6.136760557073127</v>
      </c>
      <c r="D2" s="20">
        <v>8.7908647087391056</v>
      </c>
    </row>
    <row r="3" spans="1:4">
      <c r="A3" s="18">
        <v>2</v>
      </c>
      <c r="B3" s="19" t="s">
        <v>356</v>
      </c>
      <c r="C3" s="20">
        <v>8.8189199077305496</v>
      </c>
      <c r="D3" s="20">
        <v>9.3670649920873625</v>
      </c>
    </row>
    <row r="4" spans="1:4">
      <c r="A4" s="18">
        <v>3</v>
      </c>
      <c r="B4" s="19" t="s">
        <v>123</v>
      </c>
      <c r="C4" s="20">
        <v>5.9476738447779596</v>
      </c>
      <c r="D4" s="20">
        <v>6.4435288016393031</v>
      </c>
    </row>
    <row r="5" spans="1:4">
      <c r="A5" s="18">
        <v>4</v>
      </c>
      <c r="B5" s="19" t="s">
        <v>171</v>
      </c>
      <c r="C5" s="20">
        <v>7.4058919803600656</v>
      </c>
      <c r="D5" s="20">
        <v>10.27985555842146</v>
      </c>
    </row>
    <row r="6" spans="1:4">
      <c r="A6" s="18">
        <v>5</v>
      </c>
      <c r="B6" s="19" t="s">
        <v>206</v>
      </c>
      <c r="C6" s="20">
        <v>9.8954848379412788</v>
      </c>
      <c r="D6" s="20">
        <v>12.95862441827183</v>
      </c>
    </row>
    <row r="7" spans="1:4">
      <c r="A7" s="18">
        <v>6</v>
      </c>
      <c r="B7" s="19" t="s">
        <v>248</v>
      </c>
      <c r="C7" s="20">
        <v>5.0553980932749294</v>
      </c>
      <c r="D7" s="20">
        <v>7.3250286269474998</v>
      </c>
    </row>
    <row r="8" spans="1:4">
      <c r="A8" s="18">
        <v>7</v>
      </c>
      <c r="B8" s="19" t="s">
        <v>357</v>
      </c>
      <c r="C8" s="20">
        <v>4.1202746729847926</v>
      </c>
      <c r="D8" s="20">
        <v>6.6046084761873542</v>
      </c>
    </row>
    <row r="9" spans="1:4">
      <c r="A9" s="18">
        <v>8</v>
      </c>
      <c r="B9" s="19" t="s">
        <v>358</v>
      </c>
      <c r="C9" s="20">
        <v>0.82852799093207152</v>
      </c>
      <c r="D9" s="20">
        <v>2.101774465807567</v>
      </c>
    </row>
    <row r="10" spans="1:4">
      <c r="A10" s="18">
        <v>9</v>
      </c>
      <c r="B10" s="19" t="s">
        <v>359</v>
      </c>
      <c r="C10" s="20">
        <v>2.1392838335966298</v>
      </c>
      <c r="D10" s="20">
        <v>1.9021097843016945</v>
      </c>
    </row>
    <row r="11" spans="1:4">
      <c r="A11" s="18">
        <v>10</v>
      </c>
      <c r="B11" s="19" t="s">
        <v>360</v>
      </c>
      <c r="C11" s="11">
        <v>3.5153090699017908</v>
      </c>
      <c r="D11" s="20">
        <v>5.4978416583653527</v>
      </c>
    </row>
    <row r="12" spans="1:4">
      <c r="A12" s="18">
        <v>11</v>
      </c>
      <c r="B12" s="19" t="s">
        <v>361</v>
      </c>
      <c r="C12" s="11">
        <v>6.4651298843756857</v>
      </c>
      <c r="D12" s="20">
        <v>7.9983960878608462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CBFF-4CF4-4F55-AE82-EAA0B460EA8A}">
  <sheetPr codeName="Hoja6"/>
  <dimension ref="A1:D12"/>
  <sheetViews>
    <sheetView workbookViewId="0">
      <selection activeCell="I16" sqref="I16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364</v>
      </c>
      <c r="D1" s="2" t="s">
        <v>365</v>
      </c>
    </row>
    <row r="2" spans="1:4">
      <c r="A2" s="18">
        <v>1</v>
      </c>
      <c r="B2" s="19" t="s">
        <v>355</v>
      </c>
      <c r="C2">
        <v>6852</v>
      </c>
      <c r="D2">
        <v>13757</v>
      </c>
    </row>
    <row r="3" spans="1:4">
      <c r="A3" s="18">
        <v>2</v>
      </c>
      <c r="B3" s="19" t="s">
        <v>356</v>
      </c>
      <c r="C3">
        <v>67975</v>
      </c>
      <c r="D3">
        <v>86359</v>
      </c>
    </row>
    <row r="4" spans="1:4">
      <c r="A4" s="18">
        <v>3</v>
      </c>
      <c r="B4" s="19" t="s">
        <v>123</v>
      </c>
      <c r="C4">
        <v>29528</v>
      </c>
      <c r="D4">
        <v>40753</v>
      </c>
    </row>
    <row r="5" spans="1:4">
      <c r="A5" s="18">
        <v>4</v>
      </c>
      <c r="B5" s="19" t="s">
        <v>171</v>
      </c>
      <c r="C5">
        <v>9955</v>
      </c>
      <c r="D5">
        <v>15942</v>
      </c>
    </row>
    <row r="6" spans="1:4">
      <c r="A6" s="18">
        <v>5</v>
      </c>
      <c r="B6" s="19" t="s">
        <v>206</v>
      </c>
      <c r="C6">
        <v>14789</v>
      </c>
      <c r="D6">
        <v>24448</v>
      </c>
    </row>
    <row r="7" spans="1:4">
      <c r="A7" s="18">
        <v>6</v>
      </c>
      <c r="B7" s="19" t="s">
        <v>248</v>
      </c>
      <c r="C7">
        <v>5886</v>
      </c>
      <c r="D7">
        <v>10555</v>
      </c>
    </row>
    <row r="8" spans="1:4">
      <c r="A8" s="18">
        <v>7</v>
      </c>
      <c r="B8" s="19" t="s">
        <v>357</v>
      </c>
      <c r="C8">
        <v>22903</v>
      </c>
      <c r="D8">
        <v>42315</v>
      </c>
    </row>
    <row r="9" spans="1:4">
      <c r="A9" s="18">
        <v>8</v>
      </c>
      <c r="B9" s="19" t="s">
        <v>358</v>
      </c>
      <c r="C9">
        <v>921</v>
      </c>
      <c r="D9">
        <v>2042</v>
      </c>
    </row>
    <row r="10" spans="1:4">
      <c r="A10" s="18">
        <v>9</v>
      </c>
      <c r="B10" s="19" t="s">
        <v>359</v>
      </c>
      <c r="C10">
        <v>325</v>
      </c>
      <c r="D10">
        <v>403</v>
      </c>
    </row>
    <row r="11" spans="1:4">
      <c r="A11" s="18">
        <v>10</v>
      </c>
      <c r="B11" s="19" t="s">
        <v>360</v>
      </c>
      <c r="C11" s="22">
        <v>1217</v>
      </c>
      <c r="D11" s="22">
        <v>2318</v>
      </c>
    </row>
    <row r="12" spans="1:4">
      <c r="A12" s="18">
        <v>11</v>
      </c>
      <c r="B12" s="19" t="s">
        <v>361</v>
      </c>
      <c r="C12" s="22">
        <v>159134</v>
      </c>
      <c r="D12" s="22">
        <v>236574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9471-ED8A-465B-B1E2-685008C3B9F6}">
  <dimension ref="A1:J2"/>
  <sheetViews>
    <sheetView tabSelected="1" workbookViewId="0">
      <selection activeCell="J23" sqref="J23"/>
    </sheetView>
  </sheetViews>
  <sheetFormatPr baseColWidth="10" defaultRowHeight="14.4"/>
  <sheetData>
    <row r="1" spans="1:10" ht="48">
      <c r="A1" s="23" t="s">
        <v>366</v>
      </c>
      <c r="B1" s="23" t="s">
        <v>367</v>
      </c>
      <c r="C1" s="24" t="s">
        <v>368</v>
      </c>
      <c r="D1" s="24" t="s">
        <v>369</v>
      </c>
      <c r="E1" s="25" t="s">
        <v>370</v>
      </c>
      <c r="F1" s="25" t="s">
        <v>371</v>
      </c>
      <c r="G1" s="26" t="s">
        <v>372</v>
      </c>
      <c r="H1" s="26" t="s">
        <v>373</v>
      </c>
      <c r="I1" s="27" t="s">
        <v>374</v>
      </c>
      <c r="J1" s="27" t="s">
        <v>375</v>
      </c>
    </row>
    <row r="2" spans="1:10" ht="15">
      <c r="A2" s="28">
        <v>8</v>
      </c>
      <c r="B2" s="2" t="s">
        <v>345</v>
      </c>
      <c r="C2" s="28">
        <v>0</v>
      </c>
      <c r="D2" s="28">
        <v>4.5999999999999996</v>
      </c>
      <c r="E2" s="28">
        <v>4.5999999999999996</v>
      </c>
      <c r="F2" s="28">
        <v>13.6</v>
      </c>
      <c r="G2" s="28">
        <v>13.6</v>
      </c>
      <c r="H2" s="28">
        <v>22.6</v>
      </c>
      <c r="I2" s="28">
        <v>22.6</v>
      </c>
      <c r="J2" s="2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A5D-017E-410B-8EE1-D23E54D1F664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datos_2016</vt:lpstr>
      <vt:lpstr>datos_2023</vt:lpstr>
      <vt:lpstr>Indicador_MUN</vt:lpstr>
      <vt:lpstr>Absoluto_MUN</vt:lpstr>
      <vt:lpstr>Indicador_DEP</vt:lpstr>
      <vt:lpstr>Absoluto_DEP</vt:lpstr>
      <vt:lpstr>Umbral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2026-05-24T20:47:41Z</dcterms:created>
  <dcterms:modified xsi:type="dcterms:W3CDTF">2026-05-25T03:38:17Z</dcterms:modified>
</cp:coreProperties>
</file>