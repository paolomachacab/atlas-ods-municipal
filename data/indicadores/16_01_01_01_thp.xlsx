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SN\Atlas2025\R_codes\Final\Input_indicadores\"/>
    </mc:Choice>
  </mc:AlternateContent>
  <xr:revisionPtr revIDLastSave="0" documentId="13_ncr:1_{739E6224-6CC7-464D-9899-ABFE1E99AFD8}" xr6:coauthVersionLast="47" xr6:coauthVersionMax="47" xr10:uidLastSave="{00000000-0000-0000-0000-000000000000}"/>
  <bookViews>
    <workbookView xWindow="-108" yWindow="-108" windowWidth="23256" windowHeight="12456" firstSheet="1" activeTab="6" xr2:uid="{5C29B3E8-901B-4117-916B-DEE42CE8F027}"/>
  </bookViews>
  <sheets>
    <sheet name="Datos Originales" sheetId="1" r:id="rId1"/>
    <sheet name="Datos procesado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  <sheet name="Mapa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48" i="2" l="1"/>
  <c r="Z347" i="2"/>
  <c r="Z346" i="2"/>
  <c r="X346" i="2"/>
  <c r="X347" i="2"/>
  <c r="X348" i="2"/>
  <c r="Y344" i="2" l="1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Y2" i="2"/>
  <c r="X2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W344" i="2"/>
  <c r="W343" i="2"/>
  <c r="W342" i="2"/>
  <c r="W341" i="2"/>
  <c r="W340" i="2"/>
  <c r="W339" i="2"/>
  <c r="W338" i="2"/>
  <c r="W337" i="2"/>
  <c r="W336" i="2"/>
  <c r="W335" i="2"/>
  <c r="W334" i="2"/>
  <c r="W333" i="2"/>
  <c r="W332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W314" i="2"/>
  <c r="W313" i="2"/>
  <c r="W312" i="2"/>
  <c r="W311" i="2"/>
  <c r="W310" i="2"/>
  <c r="W309" i="2"/>
  <c r="W308" i="2"/>
  <c r="W307" i="2"/>
  <c r="W306" i="2"/>
  <c r="W305" i="2"/>
  <c r="W304" i="2"/>
  <c r="W303" i="2"/>
  <c r="W302" i="2"/>
  <c r="W301" i="2"/>
  <c r="W300" i="2"/>
  <c r="W299" i="2"/>
  <c r="W298" i="2"/>
  <c r="W297" i="2"/>
  <c r="W296" i="2"/>
  <c r="W295" i="2"/>
  <c r="W294" i="2"/>
  <c r="W293" i="2"/>
  <c r="W292" i="2"/>
  <c r="W291" i="2"/>
  <c r="W290" i="2"/>
  <c r="W289" i="2"/>
  <c r="W288" i="2"/>
  <c r="W287" i="2"/>
  <c r="W286" i="2"/>
  <c r="W285" i="2"/>
  <c r="W284" i="2"/>
  <c r="W283" i="2"/>
  <c r="W282" i="2"/>
  <c r="W281" i="2"/>
  <c r="W280" i="2"/>
  <c r="W279" i="2"/>
  <c r="W278" i="2"/>
  <c r="W277" i="2"/>
  <c r="W276" i="2"/>
  <c r="W275" i="2"/>
  <c r="W274" i="2"/>
  <c r="W273" i="2"/>
  <c r="W272" i="2"/>
  <c r="W271" i="2"/>
  <c r="W270" i="2"/>
  <c r="W269" i="2"/>
  <c r="W268" i="2"/>
  <c r="W267" i="2"/>
  <c r="W266" i="2"/>
  <c r="W265" i="2"/>
  <c r="W264" i="2"/>
  <c r="W263" i="2"/>
  <c r="W262" i="2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W2" i="2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V2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  <c r="I193" i="1"/>
  <c r="H193" i="1"/>
  <c r="G193" i="1"/>
  <c r="F193" i="1"/>
  <c r="E193" i="1"/>
  <c r="D193" i="1"/>
  <c r="C193" i="1"/>
</calcChain>
</file>

<file path=xl/sharedStrings.xml><?xml version="1.0" encoding="utf-8"?>
<sst xmlns="http://schemas.openxmlformats.org/spreadsheetml/2006/main" count="2722" uniqueCount="762">
  <si>
    <t>CANTIDAD DE DENUNCIAS DE DELITOS CONTRA LA VIDA 
(DENOMIDANA A NIVEL INTERNACIONAL HOMICIDIOS)</t>
  </si>
  <si>
    <t>2017</t>
  </si>
  <si>
    <t>2018</t>
  </si>
  <si>
    <t>2019</t>
  </si>
  <si>
    <t>2020</t>
  </si>
  <si>
    <t>2021</t>
  </si>
  <si>
    <t>2022</t>
  </si>
  <si>
    <t>2023</t>
  </si>
  <si>
    <r>
      <t>BOLIVIA: DENUNCIAS DE DELITOS CONTRA LA VIDA</t>
    </r>
    <r>
      <rPr>
        <b/>
        <vertAlign val="superscript"/>
        <sz val="12"/>
        <color theme="1"/>
        <rFont val="Century Gothic"/>
        <family val="2"/>
      </rPr>
      <t>(1)</t>
    </r>
    <r>
      <rPr>
        <b/>
        <sz val="12"/>
        <color theme="1"/>
        <rFont val="Century Gothic"/>
        <family val="2"/>
      </rPr>
      <t>, POR AÑO, SEGÚN DEPARTAMENTO Y MUNICIPIO, 2021 -2025
(En número)</t>
    </r>
  </si>
  <si>
    <t>DEPARTAMENTO/MUNICIPIO</t>
  </si>
  <si>
    <t>Chuquisaca</t>
  </si>
  <si>
    <t>Sucre</t>
  </si>
  <si>
    <t>Monteagudo</t>
  </si>
  <si>
    <t>San Lucas</t>
  </si>
  <si>
    <t>Camargo</t>
  </si>
  <si>
    <t>Padilla</t>
  </si>
  <si>
    <t>Culpina</t>
  </si>
  <si>
    <t>Incahuasi</t>
  </si>
  <si>
    <t>Macharetí</t>
  </si>
  <si>
    <t>Poroma</t>
  </si>
  <si>
    <t>Yamparáez</t>
  </si>
  <si>
    <t>Sopachuy</t>
  </si>
  <si>
    <t>Yotala</t>
  </si>
  <si>
    <t>Tarvita</t>
  </si>
  <si>
    <t>Villa Charcas</t>
  </si>
  <si>
    <t>La Paz</t>
  </si>
  <si>
    <t>El Alto</t>
  </si>
  <si>
    <t>Viacha</t>
  </si>
  <si>
    <t>Sica Sica</t>
  </si>
  <si>
    <t>Caranavi</t>
  </si>
  <si>
    <t>Achacachi</t>
  </si>
  <si>
    <t>Desaguadero</t>
  </si>
  <si>
    <t>Copacabana</t>
  </si>
  <si>
    <t>Laja</t>
  </si>
  <si>
    <t>Patacamaya</t>
  </si>
  <si>
    <t>Pucarani</t>
  </si>
  <si>
    <t>Coripata</t>
  </si>
  <si>
    <t>Chulumani</t>
  </si>
  <si>
    <t>Santiago De Huata</t>
  </si>
  <si>
    <t>Coro Coro</t>
  </si>
  <si>
    <t>La Asunta</t>
  </si>
  <si>
    <t>Calamarca</t>
  </si>
  <si>
    <t>San Pedro De Tiquina</t>
  </si>
  <si>
    <t>San Buenaventura</t>
  </si>
  <si>
    <t>Sorata</t>
  </si>
  <si>
    <t>Umala</t>
  </si>
  <si>
    <t>San Pedro Curahuara</t>
  </si>
  <si>
    <t>Cajuata</t>
  </si>
  <si>
    <t>Coroico</t>
  </si>
  <si>
    <t>Achocalla</t>
  </si>
  <si>
    <t>Tiahuanacu</t>
  </si>
  <si>
    <t>Ixiamas</t>
  </si>
  <si>
    <t>Mecapaca</t>
  </si>
  <si>
    <t>Palos Blancos</t>
  </si>
  <si>
    <t>Collana</t>
  </si>
  <si>
    <t>Colquiri</t>
  </si>
  <si>
    <t>Pelechuco</t>
  </si>
  <si>
    <t>Apolo</t>
  </si>
  <si>
    <t>Waldo Ballivian</t>
  </si>
  <si>
    <t>Irupana</t>
  </si>
  <si>
    <t>Tacacoma</t>
  </si>
  <si>
    <t>Nazacara de Pacajes</t>
  </si>
  <si>
    <t>Tito Yupanqui</t>
  </si>
  <si>
    <t>Batallas</t>
  </si>
  <si>
    <t>Charazani</t>
  </si>
  <si>
    <t>Sapahaqui</t>
  </si>
  <si>
    <t>Puerto Acosta</t>
  </si>
  <si>
    <t>Ayata</t>
  </si>
  <si>
    <t>Cochabamba</t>
  </si>
  <si>
    <t>Puerto Villarroel</t>
  </si>
  <si>
    <t>Sacaba</t>
  </si>
  <si>
    <t>Entre Ríos</t>
  </si>
  <si>
    <t>Villa Tunari</t>
  </si>
  <si>
    <t>Quillacollo</t>
  </si>
  <si>
    <t>Sipe Sipe</t>
  </si>
  <si>
    <t>Punata</t>
  </si>
  <si>
    <t>Tiquipaya</t>
  </si>
  <si>
    <t>Chimoré</t>
  </si>
  <si>
    <t>Colcapirhua</t>
  </si>
  <si>
    <t>Tiraque</t>
  </si>
  <si>
    <t>Vinto</t>
  </si>
  <si>
    <t>Cliza</t>
  </si>
  <si>
    <t>Shinahota</t>
  </si>
  <si>
    <t>Toko</t>
  </si>
  <si>
    <t>Arani</t>
  </si>
  <si>
    <t>Colomi</t>
  </si>
  <si>
    <t>Tarata</t>
  </si>
  <si>
    <t>Arbieto</t>
  </si>
  <si>
    <t>Vacas</t>
  </si>
  <si>
    <t>San Benito</t>
  </si>
  <si>
    <t>Villa Rivero</t>
  </si>
  <si>
    <t>Anzaldo</t>
  </si>
  <si>
    <t>Capinota</t>
  </si>
  <si>
    <t>Tolata</t>
  </si>
  <si>
    <t>Pocona</t>
  </si>
  <si>
    <t>Mizque</t>
  </si>
  <si>
    <t>Tacachi</t>
  </si>
  <si>
    <t>Morochata</t>
  </si>
  <si>
    <t>Oruro</t>
  </si>
  <si>
    <t>Huanuni</t>
  </si>
  <si>
    <t>Challapata</t>
  </si>
  <si>
    <t>Sabaya</t>
  </si>
  <si>
    <t>Pampa Aullagas</t>
  </si>
  <si>
    <t>Caracollo</t>
  </si>
  <si>
    <t>Toledo</t>
  </si>
  <si>
    <t>Coipasa</t>
  </si>
  <si>
    <t>Huari</t>
  </si>
  <si>
    <t>Salinas De García Mendoza</t>
  </si>
  <si>
    <t>Poopó</t>
  </si>
  <si>
    <t>Huayllamarca</t>
  </si>
  <si>
    <t>Machacamarca</t>
  </si>
  <si>
    <t>Carangas</t>
  </si>
  <si>
    <t>Corque</t>
  </si>
  <si>
    <t>Belén de Andamarca</t>
  </si>
  <si>
    <t>Curahuara De Carangas</t>
  </si>
  <si>
    <t>Pazña</t>
  </si>
  <si>
    <t>Potosí</t>
  </si>
  <si>
    <t>Llallagua</t>
  </si>
  <si>
    <t>Villazón</t>
  </si>
  <si>
    <t>Tupiza</t>
  </si>
  <si>
    <t>Uncía</t>
  </si>
  <si>
    <t>Uyuni</t>
  </si>
  <si>
    <t>Betanzos</t>
  </si>
  <si>
    <t>Puna</t>
  </si>
  <si>
    <t>Cotagaita</t>
  </si>
  <si>
    <t>San Pedro de Macha</t>
  </si>
  <si>
    <t>Vitichi</t>
  </si>
  <si>
    <t>Pocoata</t>
  </si>
  <si>
    <t>Villa de Sacaca</t>
  </si>
  <si>
    <t>Tinguipaya</t>
  </si>
  <si>
    <t>Atocha</t>
  </si>
  <si>
    <t>Llica</t>
  </si>
  <si>
    <t>San Agustín</t>
  </si>
  <si>
    <t>Tarija</t>
  </si>
  <si>
    <t>Yacuiba</t>
  </si>
  <si>
    <t>Bermejo</t>
  </si>
  <si>
    <t>Villamontes</t>
  </si>
  <si>
    <t>Villa San Lorenzo</t>
  </si>
  <si>
    <t>Uriondo</t>
  </si>
  <si>
    <t>Caraparí</t>
  </si>
  <si>
    <t>Santa Cruz</t>
  </si>
  <si>
    <t>Santa Cruz de la Sierra</t>
  </si>
  <si>
    <t>Warnes</t>
  </si>
  <si>
    <t>Yapacaní</t>
  </si>
  <si>
    <t>Montero</t>
  </si>
  <si>
    <t>Cotoca</t>
  </si>
  <si>
    <t>Puerto Quijarro</t>
  </si>
  <si>
    <t>San Ignacio de Velasco</t>
  </si>
  <si>
    <t>Puerto Suarez</t>
  </si>
  <si>
    <t>Pailón</t>
  </si>
  <si>
    <t>San Matías</t>
  </si>
  <si>
    <t>San José de Chiquitos</t>
  </si>
  <si>
    <t>Ascensión de Guarayos</t>
  </si>
  <si>
    <t>La Guardia</t>
  </si>
  <si>
    <t>Portachuelo</t>
  </si>
  <si>
    <t>El Torno</t>
  </si>
  <si>
    <t>Camiri</t>
  </si>
  <si>
    <t>Porongo</t>
  </si>
  <si>
    <t>Mineros</t>
  </si>
  <si>
    <t>Cabezas</t>
  </si>
  <si>
    <t>Comarapa</t>
  </si>
  <si>
    <t>San Julián</t>
  </si>
  <si>
    <t>Vallegrande</t>
  </si>
  <si>
    <t>Mairana</t>
  </si>
  <si>
    <t>Samaipata</t>
  </si>
  <si>
    <t>Fernández Alonso</t>
  </si>
  <si>
    <t>San Rafael</t>
  </si>
  <si>
    <t>Charagua</t>
  </si>
  <si>
    <t>Pampa Grande</t>
  </si>
  <si>
    <t>Okinawa Uno</t>
  </si>
  <si>
    <t>Gral. Saavedra</t>
  </si>
  <si>
    <t>Santa Rosa del Sara</t>
  </si>
  <si>
    <t>San Pedro</t>
  </si>
  <si>
    <t>Roboré</t>
  </si>
  <si>
    <t>San Carlos</t>
  </si>
  <si>
    <t>Concepción</t>
  </si>
  <si>
    <t>San Miguel de Velasco</t>
  </si>
  <si>
    <t>Beni</t>
  </si>
  <si>
    <t>Riberalta</t>
  </si>
  <si>
    <t>Trinidad</t>
  </si>
  <si>
    <t>Guayaramerín</t>
  </si>
  <si>
    <t>San Borja</t>
  </si>
  <si>
    <t>Santa Ana de Yacuma</t>
  </si>
  <si>
    <t>Rurrenabaque</t>
  </si>
  <si>
    <t>Huacaraje</t>
  </si>
  <si>
    <t>Santa Rosa</t>
  </si>
  <si>
    <t>San Ramón</t>
  </si>
  <si>
    <t>Exaltación</t>
  </si>
  <si>
    <t>Pando</t>
  </si>
  <si>
    <t>Cobija</t>
  </si>
  <si>
    <t>EL Sena</t>
  </si>
  <si>
    <t>San Lorenzo</t>
  </si>
  <si>
    <t>Puerto Rico</t>
  </si>
  <si>
    <t>Bella Flor</t>
  </si>
  <si>
    <t>Bolpebra</t>
  </si>
  <si>
    <t>TOTAL</t>
  </si>
  <si>
    <t>Elaborado: Observatorio Boliviano de Seguridad Ciudadana y Lucha Contra las Drogas.</t>
  </si>
  <si>
    <t>Fuente: Policía Boliviana.</t>
  </si>
  <si>
    <t>(1): Comprende los delitos de asesinato, homicidio, feminicidio, parricidio e infanticidio.</t>
  </si>
  <si>
    <t>Nota 1: En la gestión 2025 las denuncias de homicidios registrados por la Policía Boliviana fueron cotejados con los casos ingresados en la Fiscalía General del Estado.</t>
  </si>
  <si>
    <t>COD_MUNCIPIO</t>
  </si>
  <si>
    <t>MUNICIPIO</t>
  </si>
  <si>
    <t>010101</t>
  </si>
  <si>
    <t>010102</t>
  </si>
  <si>
    <t>010103</t>
  </si>
  <si>
    <t>010401</t>
  </si>
  <si>
    <t>010403</t>
  </si>
  <si>
    <t>010501</t>
  </si>
  <si>
    <t>010502</t>
  </si>
  <si>
    <t>Huacareta</t>
  </si>
  <si>
    <t>010701</t>
  </si>
  <si>
    <t>010702</t>
  </si>
  <si>
    <t>010704</t>
  </si>
  <si>
    <t>010902</t>
  </si>
  <si>
    <t>011003</t>
  </si>
  <si>
    <t>020101</t>
  </si>
  <si>
    <t>020102</t>
  </si>
  <si>
    <t>Palca</t>
  </si>
  <si>
    <t>020103</t>
  </si>
  <si>
    <t>020104</t>
  </si>
  <si>
    <t>020105</t>
  </si>
  <si>
    <t>020201</t>
  </si>
  <si>
    <t>020202</t>
  </si>
  <si>
    <t>Ancoraimes</t>
  </si>
  <si>
    <t>020203</t>
  </si>
  <si>
    <t>Chua Cocani</t>
  </si>
  <si>
    <t>020301</t>
  </si>
  <si>
    <t>020302</t>
  </si>
  <si>
    <t>Caquiaviri</t>
  </si>
  <si>
    <t>020305</t>
  </si>
  <si>
    <t>Charaña</t>
  </si>
  <si>
    <t>020308</t>
  </si>
  <si>
    <t>Callapa</t>
  </si>
  <si>
    <t>020401</t>
  </si>
  <si>
    <t>020502</t>
  </si>
  <si>
    <t>020601</t>
  </si>
  <si>
    <t>020602</t>
  </si>
  <si>
    <t>Guanay</t>
  </si>
  <si>
    <t>020603</t>
  </si>
  <si>
    <t>020604</t>
  </si>
  <si>
    <t>Quiabaya</t>
  </si>
  <si>
    <t>020607</t>
  </si>
  <si>
    <t>Mapiri</t>
  </si>
  <si>
    <t>020608</t>
  </si>
  <si>
    <t>Teoponte</t>
  </si>
  <si>
    <t>020701</t>
  </si>
  <si>
    <t>020702</t>
  </si>
  <si>
    <t>020801</t>
  </si>
  <si>
    <t>020803</t>
  </si>
  <si>
    <t>020804</t>
  </si>
  <si>
    <t>020902</t>
  </si>
  <si>
    <t>021001</t>
  </si>
  <si>
    <t>Inquisivi</t>
  </si>
  <si>
    <t>021003</t>
  </si>
  <si>
    <t>021004</t>
  </si>
  <si>
    <t>021101</t>
  </si>
  <si>
    <t>021102</t>
  </si>
  <si>
    <t>021104</t>
  </si>
  <si>
    <t>021105</t>
  </si>
  <si>
    <t>021201</t>
  </si>
  <si>
    <t>021202</t>
  </si>
  <si>
    <t>021203</t>
  </si>
  <si>
    <t>021301</t>
  </si>
  <si>
    <t>021302</t>
  </si>
  <si>
    <t>021304</t>
  </si>
  <si>
    <t>021305</t>
  </si>
  <si>
    <t>021306</t>
  </si>
  <si>
    <t>Colquencha</t>
  </si>
  <si>
    <t>021307</t>
  </si>
  <si>
    <t>021401</t>
  </si>
  <si>
    <t>021402</t>
  </si>
  <si>
    <t>021501</t>
  </si>
  <si>
    <t>021701</t>
  </si>
  <si>
    <t>021702</t>
  </si>
  <si>
    <t>021802</t>
  </si>
  <si>
    <t>Papel Pampa</t>
  </si>
  <si>
    <t>022001</t>
  </si>
  <si>
    <t>030101</t>
  </si>
  <si>
    <t>030302</t>
  </si>
  <si>
    <t>030401</t>
  </si>
  <si>
    <t>030402</t>
  </si>
  <si>
    <t>030403</t>
  </si>
  <si>
    <t>030501</t>
  </si>
  <si>
    <t>030502</t>
  </si>
  <si>
    <t>030601</t>
  </si>
  <si>
    <t>Arque</t>
  </si>
  <si>
    <t>030701</t>
  </si>
  <si>
    <t>030801</t>
  </si>
  <si>
    <t>030802</t>
  </si>
  <si>
    <t>030803</t>
  </si>
  <si>
    <t>030901</t>
  </si>
  <si>
    <t>030902</t>
  </si>
  <si>
    <t>030903</t>
  </si>
  <si>
    <t>030904</t>
  </si>
  <si>
    <t>030905</t>
  </si>
  <si>
    <t>031001</t>
  </si>
  <si>
    <t>031002</t>
  </si>
  <si>
    <t>031003</t>
  </si>
  <si>
    <t>031203</t>
  </si>
  <si>
    <t>031204</t>
  </si>
  <si>
    <t>031205</t>
  </si>
  <si>
    <t>031206</t>
  </si>
  <si>
    <t>031401</t>
  </si>
  <si>
    <t>031402</t>
  </si>
  <si>
    <t>031403</t>
  </si>
  <si>
    <t>031601</t>
  </si>
  <si>
    <t>031602</t>
  </si>
  <si>
    <t>040101</t>
  </si>
  <si>
    <t>040102</t>
  </si>
  <si>
    <t>040201</t>
  </si>
  <si>
    <t>040301</t>
  </si>
  <si>
    <t>040401</t>
  </si>
  <si>
    <t>040601</t>
  </si>
  <si>
    <t>040701</t>
  </si>
  <si>
    <t>040801</t>
  </si>
  <si>
    <t>040802</t>
  </si>
  <si>
    <t>040901</t>
  </si>
  <si>
    <t>041001</t>
  </si>
  <si>
    <t>041202</t>
  </si>
  <si>
    <t>041301</t>
  </si>
  <si>
    <t>San Pedro de Totora</t>
  </si>
  <si>
    <t>041401</t>
  </si>
  <si>
    <t>041503</t>
  </si>
  <si>
    <t>041601</t>
  </si>
  <si>
    <t>050101</t>
  </si>
  <si>
    <t>050102</t>
  </si>
  <si>
    <t>050201</t>
  </si>
  <si>
    <t>050203</t>
  </si>
  <si>
    <t>050301</t>
  </si>
  <si>
    <t>050501</t>
  </si>
  <si>
    <t>S.P. De Buena Vista</t>
  </si>
  <si>
    <t>050601</t>
  </si>
  <si>
    <t>050701</t>
  </si>
  <si>
    <t>050801</t>
  </si>
  <si>
    <t>051101</t>
  </si>
  <si>
    <t>051201</t>
  </si>
  <si>
    <t>051401</t>
  </si>
  <si>
    <t>051501</t>
  </si>
  <si>
    <t>051601</t>
  </si>
  <si>
    <t>060101</t>
  </si>
  <si>
    <t>060201</t>
  </si>
  <si>
    <t>Padcaya</t>
  </si>
  <si>
    <t>060202</t>
  </si>
  <si>
    <t>060301</t>
  </si>
  <si>
    <t>060302</t>
  </si>
  <si>
    <t>060303</t>
  </si>
  <si>
    <t>060401</t>
  </si>
  <si>
    <t>060501</t>
  </si>
  <si>
    <t>060502</t>
  </si>
  <si>
    <t>El Puente</t>
  </si>
  <si>
    <t>060601</t>
  </si>
  <si>
    <t>070101</t>
  </si>
  <si>
    <t>070102</t>
  </si>
  <si>
    <t>070103</t>
  </si>
  <si>
    <t>070104</t>
  </si>
  <si>
    <t>070105</t>
  </si>
  <si>
    <t>070201</t>
  </si>
  <si>
    <t>070202</t>
  </si>
  <si>
    <t>070301</t>
  </si>
  <si>
    <t>070302</t>
  </si>
  <si>
    <t>070303</t>
  </si>
  <si>
    <t>070402</t>
  </si>
  <si>
    <t>070403</t>
  </si>
  <si>
    <t>070501</t>
  </si>
  <si>
    <t>070502</t>
  </si>
  <si>
    <t>070503</t>
  </si>
  <si>
    <t>070601</t>
  </si>
  <si>
    <t>070602</t>
  </si>
  <si>
    <t>070702</t>
  </si>
  <si>
    <t>070703</t>
  </si>
  <si>
    <t>070705</t>
  </si>
  <si>
    <t>Gutiérrez</t>
  </si>
  <si>
    <t>070706</t>
  </si>
  <si>
    <t>070801</t>
  </si>
  <si>
    <t>070805</t>
  </si>
  <si>
    <t>Pucara</t>
  </si>
  <si>
    <t>070902</t>
  </si>
  <si>
    <t>070903</t>
  </si>
  <si>
    <t>071001</t>
  </si>
  <si>
    <t>071002</t>
  </si>
  <si>
    <t>071003</t>
  </si>
  <si>
    <t>071004</t>
  </si>
  <si>
    <t>071104</t>
  </si>
  <si>
    <t>071201</t>
  </si>
  <si>
    <t>071301</t>
  </si>
  <si>
    <t>071401</t>
  </si>
  <si>
    <t>071402</t>
  </si>
  <si>
    <t>071501</t>
  </si>
  <si>
    <t>071503</t>
  </si>
  <si>
    <t>080101</t>
  </si>
  <si>
    <t>080201</t>
  </si>
  <si>
    <t>080202</t>
  </si>
  <si>
    <t>080302</t>
  </si>
  <si>
    <t>080304</t>
  </si>
  <si>
    <t>080401</t>
  </si>
  <si>
    <t>080402</t>
  </si>
  <si>
    <t>080501</t>
  </si>
  <si>
    <t>San Ignacio</t>
  </si>
  <si>
    <t>080601</t>
  </si>
  <si>
    <t>Loreto</t>
  </si>
  <si>
    <t>080701</t>
  </si>
  <si>
    <t>San Joaquín</t>
  </si>
  <si>
    <t>080702</t>
  </si>
  <si>
    <t>080801</t>
  </si>
  <si>
    <t>Magdalena</t>
  </si>
  <si>
    <t>090101</t>
  </si>
  <si>
    <t>090104</t>
  </si>
  <si>
    <t>090201</t>
  </si>
  <si>
    <t>090302</t>
  </si>
  <si>
    <t>090303</t>
  </si>
  <si>
    <t>NACIONAL</t>
  </si>
  <si>
    <t>CQS</t>
  </si>
  <si>
    <t>LPZ</t>
  </si>
  <si>
    <t>CBBA</t>
  </si>
  <si>
    <t>OR</t>
  </si>
  <si>
    <t>PTS</t>
  </si>
  <si>
    <t>TRJ</t>
  </si>
  <si>
    <t>SCZ</t>
  </si>
  <si>
    <t>BNI</t>
  </si>
  <si>
    <t>PND</t>
  </si>
  <si>
    <t>Depart</t>
  </si>
  <si>
    <t>Provincia</t>
  </si>
  <si>
    <t>Municipio</t>
  </si>
  <si>
    <t>Capital</t>
  </si>
  <si>
    <t>CodigoINE</t>
  </si>
  <si>
    <t>Oropeza</t>
  </si>
  <si>
    <t>Azurduy</t>
  </si>
  <si>
    <t>Villa Azurduy</t>
  </si>
  <si>
    <t>Villa Orías</t>
  </si>
  <si>
    <t>Zudáñez</t>
  </si>
  <si>
    <t>Zudañez</t>
  </si>
  <si>
    <t>Villa Zudáñez</t>
  </si>
  <si>
    <t>Presto</t>
  </si>
  <si>
    <t>Villa Mojocoya</t>
  </si>
  <si>
    <t>Villa de Mojocoya</t>
  </si>
  <si>
    <t>Icla</t>
  </si>
  <si>
    <t>Tomina</t>
  </si>
  <si>
    <t>Villa de Tomina</t>
  </si>
  <si>
    <t>Villa de Sopachui</t>
  </si>
  <si>
    <t>Villa Alcalá</t>
  </si>
  <si>
    <t>Alcalá</t>
  </si>
  <si>
    <t>El Villar</t>
  </si>
  <si>
    <t>Hernando Siles</t>
  </si>
  <si>
    <t>San Pablo de Huacareta</t>
  </si>
  <si>
    <t>Tarabuco</t>
  </si>
  <si>
    <t>Nor Cinti</t>
  </si>
  <si>
    <t>Belisario Boeto</t>
  </si>
  <si>
    <t>Villa Serrano</t>
  </si>
  <si>
    <t>Sur Cinti</t>
  </si>
  <si>
    <t>Villa Abecia</t>
  </si>
  <si>
    <t>Las Carreras</t>
  </si>
  <si>
    <t>Luis Calvo</t>
  </si>
  <si>
    <t>Villa Vaca Guzmán</t>
  </si>
  <si>
    <t>Huacaya</t>
  </si>
  <si>
    <t>Villa de Huacaya</t>
  </si>
  <si>
    <t>Villa de Macharetí</t>
  </si>
  <si>
    <t>Murillo</t>
  </si>
  <si>
    <t>Nuestra Señora de La Paz</t>
  </si>
  <si>
    <t>Omasuyos</t>
  </si>
  <si>
    <t>Villa Ancoraimes</t>
  </si>
  <si>
    <t>Huarina</t>
  </si>
  <si>
    <t>Santiago de Huata</t>
  </si>
  <si>
    <t>Huatajata</t>
  </si>
  <si>
    <t>Pacajes</t>
  </si>
  <si>
    <t>Corocoro</t>
  </si>
  <si>
    <t>Calacoto</t>
  </si>
  <si>
    <t>Comanche</t>
  </si>
  <si>
    <t>Santiago de Callapa</t>
  </si>
  <si>
    <t>Camacho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</si>
  <si>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</si>
  <si>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</si>
  <si>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</si>
  <si>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</si>
  <si>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</si>
  <si>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</si>
  <si>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</si>
  <si>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Aucapata</t>
  </si>
  <si>
    <t>Larecaja</t>
  </si>
  <si>
    <t>Combaya</t>
  </si>
  <si>
    <t>Tipuani</t>
  </si>
  <si>
    <t>Franz Tamayo</t>
  </si>
  <si>
    <t>Ingavi</t>
  </si>
  <si>
    <t>Puerto Mayor de Guaqui</t>
  </si>
  <si>
    <t>Guaqui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</si>
  <si>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</si>
  <si>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</si>
  <si>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</si>
  <si>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</si>
  <si>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</si>
  <si>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</si>
  <si>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</si>
  <si>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Yaco</t>
  </si>
  <si>
    <t>Malla</t>
  </si>
  <si>
    <t>Cairoma</t>
  </si>
  <si>
    <t>Quime</t>
  </si>
  <si>
    <t>Ichoca</t>
  </si>
  <si>
    <t>Villa Libertad Licoma</t>
  </si>
  <si>
    <t>Sud Yungas</t>
  </si>
  <si>
    <t>Villa de la Libertad</t>
  </si>
  <si>
    <t>Villa de Lanza</t>
  </si>
  <si>
    <t>Yanacachi</t>
  </si>
  <si>
    <t>Los Andes</t>
  </si>
  <si>
    <t>Puerto Pérez</t>
  </si>
  <si>
    <t>Aroma</t>
  </si>
  <si>
    <t>Villa Aroma</t>
  </si>
  <si>
    <t>Ayo Ayo</t>
  </si>
  <si>
    <t>Nor Yungas</t>
  </si>
  <si>
    <t>Abel Iturralde</t>
  </si>
  <si>
    <t>Bautista Saavedra</t>
  </si>
  <si>
    <t>General Juan José Pérez (Charazani)</t>
  </si>
  <si>
    <t>Villa General Juan José Pérez</t>
  </si>
  <si>
    <t>Curva</t>
  </si>
  <si>
    <t>Manco Kapac</t>
  </si>
  <si>
    <t>San Pedro de Tiquina</t>
  </si>
  <si>
    <t>Gualberto Villarroel</t>
  </si>
  <si>
    <t>San Pedro de Curahuara</t>
  </si>
  <si>
    <t>Gualberto Villarroe</t>
  </si>
  <si>
    <t>Chacarilla</t>
  </si>
  <si>
    <t>General José Manuel Pando</t>
  </si>
  <si>
    <t>Santiago de Machaca</t>
  </si>
  <si>
    <t>Catacora</t>
  </si>
  <si>
    <t>Alto Beni</t>
  </si>
  <si>
    <t>Cercado</t>
  </si>
  <si>
    <t>Campero</t>
  </si>
  <si>
    <t>Aiquile</t>
  </si>
  <si>
    <t>Pasorapa</t>
  </si>
  <si>
    <t>Omereque</t>
  </si>
  <si>
    <t>Ayopaya</t>
  </si>
  <si>
    <t>Ayopaya (Independencia)</t>
  </si>
  <si>
    <t>Villa de Independencia</t>
  </si>
  <si>
    <t>Cocapata</t>
  </si>
  <si>
    <t>Esteban Arze</t>
  </si>
  <si>
    <t>Villa de Anzaldo</t>
  </si>
  <si>
    <t>Sacabamba</t>
  </si>
  <si>
    <t>Villa de Arque</t>
  </si>
  <si>
    <t>Tacopaya</t>
  </si>
  <si>
    <t>Santivañez</t>
  </si>
  <si>
    <t>Villa Santivañez</t>
  </si>
  <si>
    <t>Sicaya</t>
  </si>
  <si>
    <t>Germán Jordán</t>
  </si>
  <si>
    <t>Toco</t>
  </si>
  <si>
    <t>Sipesipe</t>
  </si>
  <si>
    <t>Chapare</t>
  </si>
  <si>
    <t>Tapacarí</t>
  </si>
  <si>
    <t>Carrasco</t>
  </si>
  <si>
    <t>Totora</t>
  </si>
  <si>
    <t>Pojo</t>
  </si>
  <si>
    <t>Vila Vila</t>
  </si>
  <si>
    <t>Alalay</t>
  </si>
  <si>
    <t>TIOC-Raqaypampa</t>
  </si>
  <si>
    <t>Raqaypampa</t>
  </si>
  <si>
    <t>Villa Punata</t>
  </si>
  <si>
    <t>Villa José Quintín Mendoza</t>
  </si>
  <si>
    <t>Cuchumuela (Villa Gualberto Villarroel)</t>
  </si>
  <si>
    <t>Villa Gualberto Villarroel</t>
  </si>
  <si>
    <t>Bolivar</t>
  </si>
  <si>
    <t>El Choro</t>
  </si>
  <si>
    <t>Paria</t>
  </si>
  <si>
    <t>Soracachi</t>
  </si>
  <si>
    <t>Abaroa</t>
  </si>
  <si>
    <t>Santuario de Quillacas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</si>
  <si>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</si>
  <si>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</si>
  <si>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</si>
  <si>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</si>
  <si>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</si>
  <si>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</si>
  <si>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</si>
  <si>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</si>
  <si>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</si>
  <si>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</si>
  <si>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Villa de Poopó</t>
  </si>
  <si>
    <t>Antequera</t>
  </si>
  <si>
    <t>Pantaleón Dalence</t>
  </si>
  <si>
    <t>Villa de Huanuni</t>
  </si>
  <si>
    <t>Ladislao Cabrera</t>
  </si>
  <si>
    <t>Salinas de Garcí Mendoza</t>
  </si>
  <si>
    <t>Chipaya</t>
  </si>
  <si>
    <t>Saucarí</t>
  </si>
  <si>
    <t>Tomás Barrón</t>
  </si>
  <si>
    <t>Eucaliptus</t>
  </si>
  <si>
    <t>Sur Carangas</t>
  </si>
  <si>
    <t>Andamarca</t>
  </si>
  <si>
    <t>Santiago de Andamarca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</si>
  <si>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</si>
  <si>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</si>
  <si>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</si>
  <si>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</si>
  <si>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</si>
  <si>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</si>
  <si>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</si>
  <si>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Tomás Frías</t>
  </si>
  <si>
    <t>Yocalla</t>
  </si>
  <si>
    <t>Villa de Yocalla</t>
  </si>
  <si>
    <t>Urmiri</t>
  </si>
  <si>
    <t>Belén de Urmiri</t>
  </si>
  <si>
    <t>Rafael Bustillo</t>
  </si>
  <si>
    <t>Chayanta</t>
  </si>
  <si>
    <t>Chuquihuta Ayllu Jucumani</t>
  </si>
  <si>
    <t>Cornelio Saavedra</t>
  </si>
  <si>
    <t>Villa de Betanzos</t>
  </si>
  <si>
    <t>Chaquí</t>
  </si>
  <si>
    <t>Tacobamba</t>
  </si>
  <si>
    <t>Colquechaca</t>
  </si>
  <si>
    <t>Ravelo</t>
  </si>
  <si>
    <t>Ocurí</t>
  </si>
  <si>
    <t>Chárcas</t>
  </si>
  <si>
    <t>Toro Toro</t>
  </si>
  <si>
    <t>Nor Chichas</t>
  </si>
  <si>
    <t>Vitiche</t>
  </si>
  <si>
    <t>Alonso de Ibáñez</t>
  </si>
  <si>
    <t>Sacaca</t>
  </si>
  <si>
    <t>Caripuyo</t>
  </si>
  <si>
    <t>Sur Chichas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</si>
  <si>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</si>
  <si>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</si>
  <si>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</si>
  <si>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</si>
  <si>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</si>
  <si>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</si>
  <si>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</si>
  <si>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</si>
  <si>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</si>
  <si>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</si>
  <si>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</si>
  <si>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Villa Talavera</t>
  </si>
  <si>
    <t>Caiza "D"</t>
  </si>
  <si>
    <t>Ckochas</t>
  </si>
  <si>
    <t>Antonio Quijarro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</si>
  <si>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</si>
  <si>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</si>
  <si>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</si>
  <si>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</si>
  <si>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</si>
  <si>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</si>
  <si>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</si>
  <si>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Tahua</t>
  </si>
  <si>
    <t>Modesto Omiste</t>
  </si>
  <si>
    <t>Enrique Baldivieso</t>
  </si>
  <si>
    <t>Arce</t>
  </si>
  <si>
    <t>Gran Chaco</t>
  </si>
  <si>
    <t>Villa Montes</t>
  </si>
  <si>
    <t>Avilés</t>
  </si>
  <si>
    <t>Yunchará</t>
  </si>
  <si>
    <t>Méndez</t>
  </si>
  <si>
    <t>O'Connor</t>
  </si>
  <si>
    <t>Andrés Ibáñez</t>
  </si>
  <si>
    <t>Porongo (Ayacucho)</t>
  </si>
  <si>
    <t>Velasco</t>
  </si>
  <si>
    <t>San Miguel</t>
  </si>
  <si>
    <t>Ichilo</t>
  </si>
  <si>
    <t>Buena Vista</t>
  </si>
  <si>
    <t>San Juan</t>
  </si>
  <si>
    <t>Chiquitos</t>
  </si>
  <si>
    <t>San José</t>
  </si>
  <si>
    <t>Sara</t>
  </si>
  <si>
    <t>Colpa Bélgica</t>
  </si>
  <si>
    <t>Cordillera</t>
  </si>
  <si>
    <t>Lagunillas</t>
  </si>
  <si>
    <t>Cuevo</t>
  </si>
  <si>
    <t>Boyuibe</t>
  </si>
  <si>
    <t>Trigal</t>
  </si>
  <si>
    <t>Moro Moro</t>
  </si>
  <si>
    <t>Moromoro</t>
  </si>
  <si>
    <t>Postrervalle</t>
  </si>
  <si>
    <t>Pucará</t>
  </si>
  <si>
    <t>Florida</t>
  </si>
  <si>
    <t>Quirusillas</t>
  </si>
  <si>
    <t>Obispo Santistéban</t>
  </si>
  <si>
    <t>General Saavedra</t>
  </si>
  <si>
    <t>Ñuflo De Chávez</t>
  </si>
  <si>
    <t>San Javier</t>
  </si>
  <si>
    <t>San Antonio de Lomerio</t>
  </si>
  <si>
    <t>Cuatro Cañadas</t>
  </si>
  <si>
    <t>Angel Sandoval</t>
  </si>
  <si>
    <t>Manuel María Caballero</t>
  </si>
  <si>
    <t>Saipina</t>
  </si>
  <si>
    <t>Germán Busch</t>
  </si>
  <si>
    <t>El Carmen Rivero Tórrez</t>
  </si>
  <si>
    <t>Guarayos</t>
  </si>
  <si>
    <t>Ascención de Guarayos</t>
  </si>
  <si>
    <t>Urubichá</t>
  </si>
  <si>
    <t>Urubicha</t>
  </si>
  <si>
    <t>Vaca Diez</t>
  </si>
  <si>
    <t>General José Ballivián</t>
  </si>
  <si>
    <t>Reyes</t>
  </si>
  <si>
    <t>Puerto Menor de Rurrenabaque</t>
  </si>
  <si>
    <t>Yacuma</t>
  </si>
  <si>
    <t>Santa Ana</t>
  </si>
  <si>
    <t>Moxos</t>
  </si>
  <si>
    <t>Marbán</t>
  </si>
  <si>
    <t>San Andrés</t>
  </si>
  <si>
    <t>Mamoré</t>
  </si>
  <si>
    <t>Puerto Siles</t>
  </si>
  <si>
    <t>Iténez</t>
  </si>
  <si>
    <t>Baures</t>
  </si>
  <si>
    <t>Territorio Indigena Multiétnico</t>
  </si>
  <si>
    <t>Nicolás Suárez</t>
  </si>
  <si>
    <t>Porvenir</t>
  </si>
  <si>
    <t>Manuripi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</si>
  <si>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</si>
  <si>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</si>
  <si>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</si>
  <si>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</si>
  <si>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</si>
  <si>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</si>
  <si>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</si>
  <si>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</si>
  <si>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</si>
  <si>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</si>
  <si>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Max</t>
  </si>
  <si>
    <t>Homicidios 2017</t>
  </si>
  <si>
    <t>Homicidios 2018</t>
  </si>
  <si>
    <t>Homicidios 2019</t>
  </si>
  <si>
    <t>Homicidios 2022</t>
  </si>
  <si>
    <t>Homicidios 2023</t>
  </si>
  <si>
    <t>Homicidios 2024</t>
  </si>
  <si>
    <t>Departamento</t>
  </si>
  <si>
    <t>Población 2018</t>
  </si>
  <si>
    <t>Población 2017</t>
  </si>
  <si>
    <t>Población 2019</t>
  </si>
  <si>
    <t>Población 2022</t>
  </si>
  <si>
    <t>Población 2023</t>
  </si>
  <si>
    <t>Población 2024</t>
  </si>
  <si>
    <t>Homicidios cada 100 mil hab 2017</t>
  </si>
  <si>
    <t>Homicidios cada 100 mil hab 2018</t>
  </si>
  <si>
    <t>Homicidios cada 100 mil hab 2019</t>
  </si>
  <si>
    <t>Homicidios cada 100 mil hab 2022</t>
  </si>
  <si>
    <t>Homicidios cada 100 mil hab 2023</t>
  </si>
  <si>
    <t>Homicidios cada 100 mil hab 2024</t>
  </si>
  <si>
    <t>Promedio Homicidios cada 100 mil Hab 2017-2019</t>
  </si>
  <si>
    <t>Promedio Homicidios cada 100 mil Hab 2022-2024</t>
  </si>
  <si>
    <t>Id</t>
  </si>
  <si>
    <t>id_departamento</t>
  </si>
  <si>
    <t>Promedio Anual Cantidad de Homicidios cada 100 mil Hab 2017-2019</t>
  </si>
  <si>
    <t>Promedio Anual Cantidad de Homicidios cada 100 mil Hab 2022-2024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</si>
  <si>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</si>
  <si>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</si>
  <si>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</si>
  <si>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</si>
  <si>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</si>
  <si>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</si>
  <si>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</si>
  <si>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</si>
  <si>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</si>
  <si>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</si>
  <si>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Promedio</t>
  </si>
  <si>
    <t>Desviación estandar</t>
  </si>
  <si>
    <t>1/4 Desviacion estandar</t>
  </si>
  <si>
    <t>Prom - 1/4 DE</t>
  </si>
  <si>
    <t>Prom + 1/4 DE</t>
  </si>
  <si>
    <t>Umbral 1</t>
  </si>
  <si>
    <t>Umbral 2</t>
  </si>
  <si>
    <t>Umbral 3</t>
  </si>
  <si>
    <t>Umbral 4</t>
  </si>
  <si>
    <t>&lt; 1.31</t>
  </si>
  <si>
    <t>1.31 - 2.35</t>
  </si>
  <si>
    <t>2.35 - 3.39</t>
  </si>
  <si>
    <t>&gt;3.39</t>
  </si>
  <si>
    <t>Tasa de Homicidios por 100.000 habitantes en el periodo 2017-2019 y 2022-2024</t>
  </si>
  <si>
    <r>
      <t>BOLIVIA: DENUNCIAS DE DELITOS CONTRA LA VIDA</t>
    </r>
    <r>
      <rPr>
        <b/>
        <vertAlign val="superscript"/>
        <sz val="11"/>
        <color theme="1"/>
        <rFont val="Century Gothic"/>
        <family val="2"/>
      </rPr>
      <t>(1)</t>
    </r>
    <r>
      <rPr>
        <b/>
        <sz val="11"/>
        <color theme="1"/>
        <rFont val="Century Gothic"/>
        <family val="2"/>
      </rPr>
      <t>, POR AÑO, SEGÚN DEPARTAMENTO Y MUNICIPIO, 2021 -2024
(En número)</t>
    </r>
  </si>
  <si>
    <t>Bolivia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</si>
</sst>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Century Gothic"/>
      <family val="2"/>
    </font>
    <font>
      <b/>
      <vertAlign val="superscript"/>
      <sz val="12"/>
      <color theme="1"/>
      <name val="Century Gothic"/>
      <family val="2"/>
    </font>
    <font>
      <b/>
      <sz val="12"/>
      <color theme="0"/>
      <name val="Century Gothic"/>
      <family val="2"/>
    </font>
    <font>
      <b/>
      <sz val="12"/>
      <color theme="1"/>
      <name val="Arial"/>
      <family val="2"/>
    </font>
    <font>
      <b/>
      <sz val="11"/>
      <color theme="1"/>
      <name val="Century Gothic"/>
      <family val="2"/>
    </font>
    <font>
      <sz val="8"/>
      <color theme="1"/>
      <name val="Century Gothic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9"/>
      <name val="Aptos Display"/>
      <family val="2"/>
    </font>
    <font>
      <b/>
      <vertAlign val="superscript"/>
      <sz val="11"/>
      <color theme="1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vertical="center"/>
    </xf>
    <xf numFmtId="3" fontId="0" fillId="0" borderId="1" xfId="0" applyNumberFormat="1" applyBorder="1"/>
    <xf numFmtId="3" fontId="1" fillId="3" borderId="1" xfId="0" applyNumberFormat="1" applyFont="1" applyFill="1" applyBorder="1"/>
    <xf numFmtId="0" fontId="2" fillId="0" borderId="0" xfId="0" applyFont="1" applyAlignment="1">
      <alignment vertical="center"/>
    </xf>
    <xf numFmtId="0" fontId="5" fillId="4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3" fontId="7" fillId="5" borderId="1" xfId="0" applyNumberFormat="1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0" fillId="0" borderId="1" xfId="0" applyBorder="1"/>
    <xf numFmtId="0" fontId="1" fillId="3" borderId="1" xfId="0" applyFont="1" applyFill="1" applyBorder="1"/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1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9" fillId="0" borderId="1" xfId="0" applyFont="1" applyBorder="1"/>
    <xf numFmtId="0" fontId="10" fillId="0" borderId="1" xfId="0" applyFont="1" applyBorder="1"/>
    <xf numFmtId="0" fontId="1" fillId="0" borderId="0" xfId="0" applyFont="1" applyAlignment="1">
      <alignment horizontal="center" vertical="center" wrapText="1"/>
    </xf>
    <xf numFmtId="0" fontId="9" fillId="6" borderId="1" xfId="0" applyFont="1" applyFill="1" applyBorder="1"/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752475</xdr:colOff>
      <xdr:row>6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377355-9B5D-42B7-B171-D8456457C0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81" t="4204" r="16492" b="73904"/>
        <a:stretch/>
      </xdr:blipFill>
      <xdr:spPr>
        <a:xfrm>
          <a:off x="0" y="0"/>
          <a:ext cx="7877175" cy="1162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71770</xdr:colOff>
      <xdr:row>24</xdr:row>
      <xdr:rowOff>108000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8720251-0C99-4168-AA19-B38115487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29770" cy="46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10AF-5AE5-4058-88BB-3D5729671B40}">
  <dimension ref="A7:L205"/>
  <sheetViews>
    <sheetView workbookViewId="0">
      <selection activeCell="J5" sqref="J5"/>
    </sheetView>
  </sheetViews>
  <sheetFormatPr baseColWidth="10" defaultRowHeight="15" x14ac:dyDescent="0.3"/>
  <cols>
    <col min="1" max="1" width="18.5546875" customWidth="1"/>
    <col min="2" max="2" width="19.6640625" customWidth="1"/>
    <col min="10" max="10" width="11.44140625"/>
    <col min="11" max="11" width="37.88671875" style="4" customWidth="1"/>
    <col min="12" max="12" width="13.6640625" style="4" customWidth="1"/>
  </cols>
  <sheetData>
    <row r="7" spans="1:12" ht="15" customHeight="1" x14ac:dyDescent="0.3">
      <c r="A7" s="33" t="s">
        <v>760</v>
      </c>
      <c r="B7" s="33"/>
      <c r="C7" s="33"/>
      <c r="D7" s="33"/>
      <c r="E7" s="33"/>
      <c r="F7" s="33"/>
      <c r="G7" s="33"/>
      <c r="H7" s="33"/>
      <c r="I7" s="33"/>
      <c r="K7" s="16" t="s">
        <v>8</v>
      </c>
      <c r="L7" s="16"/>
    </row>
    <row r="8" spans="1:12" x14ac:dyDescent="0.3">
      <c r="A8" s="34" t="s">
        <v>200</v>
      </c>
      <c r="B8" s="34" t="s">
        <v>201</v>
      </c>
      <c r="C8" s="35" t="s">
        <v>0</v>
      </c>
      <c r="D8" s="35"/>
      <c r="E8" s="35"/>
      <c r="F8" s="35"/>
      <c r="G8" s="35"/>
      <c r="H8" s="35"/>
      <c r="I8" s="35"/>
      <c r="K8" s="5" t="s">
        <v>9</v>
      </c>
      <c r="L8" s="5">
        <v>2024</v>
      </c>
    </row>
    <row r="9" spans="1:12" ht="15.6" x14ac:dyDescent="0.3">
      <c r="A9" s="34"/>
      <c r="B9" s="34"/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5"/>
      <c r="K9" s="6" t="s">
        <v>411</v>
      </c>
      <c r="L9" s="6">
        <v>10</v>
      </c>
    </row>
    <row r="10" spans="1:12" x14ac:dyDescent="0.3">
      <c r="A10" s="13" t="s">
        <v>202</v>
      </c>
      <c r="B10" s="13" t="s">
        <v>11</v>
      </c>
      <c r="C10" s="2">
        <v>21</v>
      </c>
      <c r="D10" s="2">
        <v>12</v>
      </c>
      <c r="E10" s="2">
        <v>11</v>
      </c>
      <c r="F10" s="2">
        <v>14</v>
      </c>
      <c r="G10" s="2">
        <v>13</v>
      </c>
      <c r="H10" s="2">
        <v>10</v>
      </c>
      <c r="I10" s="2">
        <v>5</v>
      </c>
      <c r="K10" s="7" t="s">
        <v>11</v>
      </c>
      <c r="L10" s="8">
        <v>5</v>
      </c>
    </row>
    <row r="11" spans="1:12" ht="15" customHeight="1" x14ac:dyDescent="0.3">
      <c r="A11" s="13" t="s">
        <v>203</v>
      </c>
      <c r="B11" s="13" t="s">
        <v>22</v>
      </c>
      <c r="C11" s="2"/>
      <c r="D11" s="2"/>
      <c r="E11" s="2"/>
      <c r="F11" s="2"/>
      <c r="G11" s="2"/>
      <c r="H11" s="2">
        <v>1</v>
      </c>
      <c r="I11" s="2"/>
      <c r="K11" s="7" t="s">
        <v>12</v>
      </c>
      <c r="L11" s="8">
        <v>0</v>
      </c>
    </row>
    <row r="12" spans="1:12" x14ac:dyDescent="0.3">
      <c r="A12" s="13" t="s">
        <v>204</v>
      </c>
      <c r="B12" s="13" t="s">
        <v>19</v>
      </c>
      <c r="C12" s="2">
        <v>1</v>
      </c>
      <c r="D12" s="2">
        <v>1</v>
      </c>
      <c r="E12" s="2"/>
      <c r="F12" s="2"/>
      <c r="G12" s="2">
        <v>1</v>
      </c>
      <c r="H12" s="2">
        <v>1</v>
      </c>
      <c r="I12" s="2"/>
      <c r="K12" s="7" t="s">
        <v>13</v>
      </c>
      <c r="L12" s="8">
        <v>0</v>
      </c>
    </row>
    <row r="13" spans="1:12" x14ac:dyDescent="0.3">
      <c r="A13" s="13" t="s">
        <v>205</v>
      </c>
      <c r="B13" s="13" t="s">
        <v>15</v>
      </c>
      <c r="C13" s="2"/>
      <c r="D13" s="2">
        <v>1</v>
      </c>
      <c r="E13" s="2"/>
      <c r="F13" s="2"/>
      <c r="G13" s="2">
        <v>1</v>
      </c>
      <c r="H13" s="2"/>
      <c r="I13" s="2"/>
      <c r="K13" s="7" t="s">
        <v>14</v>
      </c>
      <c r="L13" s="8">
        <v>1</v>
      </c>
    </row>
    <row r="14" spans="1:12" x14ac:dyDescent="0.3">
      <c r="A14" s="13" t="s">
        <v>206</v>
      </c>
      <c r="B14" s="13" t="s">
        <v>21</v>
      </c>
      <c r="C14" s="2"/>
      <c r="D14" s="2"/>
      <c r="E14" s="2"/>
      <c r="F14" s="2"/>
      <c r="G14" s="2">
        <v>1</v>
      </c>
      <c r="H14" s="2"/>
      <c r="I14" s="2"/>
      <c r="K14" s="7" t="s">
        <v>15</v>
      </c>
      <c r="L14" s="8">
        <v>1</v>
      </c>
    </row>
    <row r="15" spans="1:12" x14ac:dyDescent="0.3">
      <c r="A15" s="13" t="s">
        <v>207</v>
      </c>
      <c r="B15" s="13" t="s">
        <v>12</v>
      </c>
      <c r="C15" s="2">
        <v>1</v>
      </c>
      <c r="D15" s="2"/>
      <c r="E15" s="2"/>
      <c r="F15" s="2"/>
      <c r="G15" s="2">
        <v>1</v>
      </c>
      <c r="H15" s="2">
        <v>1</v>
      </c>
      <c r="I15" s="2">
        <v>1</v>
      </c>
      <c r="K15" s="7" t="s">
        <v>16</v>
      </c>
      <c r="L15" s="8">
        <v>0</v>
      </c>
    </row>
    <row r="16" spans="1:12" x14ac:dyDescent="0.3">
      <c r="A16" s="13" t="s">
        <v>208</v>
      </c>
      <c r="B16" s="13" t="s">
        <v>209</v>
      </c>
      <c r="C16" s="2"/>
      <c r="D16" s="2">
        <v>1</v>
      </c>
      <c r="E16" s="2"/>
      <c r="F16" s="2"/>
      <c r="G16" s="2"/>
      <c r="H16" s="2"/>
      <c r="I16" s="2"/>
      <c r="K16" s="7" t="s">
        <v>17</v>
      </c>
      <c r="L16" s="8">
        <v>2</v>
      </c>
    </row>
    <row r="17" spans="1:12" x14ac:dyDescent="0.3">
      <c r="A17" s="13" t="s">
        <v>210</v>
      </c>
      <c r="B17" s="13" t="s">
        <v>14</v>
      </c>
      <c r="C17" s="2">
        <v>2</v>
      </c>
      <c r="D17" s="2"/>
      <c r="E17" s="2"/>
      <c r="F17" s="2"/>
      <c r="G17" s="2"/>
      <c r="H17" s="2">
        <v>1</v>
      </c>
      <c r="I17" s="2"/>
      <c r="K17" s="7" t="s">
        <v>18</v>
      </c>
      <c r="L17" s="8">
        <v>0</v>
      </c>
    </row>
    <row r="18" spans="1:12" x14ac:dyDescent="0.3">
      <c r="A18" s="13" t="s">
        <v>211</v>
      </c>
      <c r="B18" s="13" t="s">
        <v>13</v>
      </c>
      <c r="C18" s="2">
        <v>1</v>
      </c>
      <c r="D18" s="2"/>
      <c r="E18" s="2"/>
      <c r="F18" s="2"/>
      <c r="G18" s="2">
        <v>2</v>
      </c>
      <c r="H18" s="2">
        <v>1</v>
      </c>
      <c r="I18" s="2">
        <v>1</v>
      </c>
      <c r="K18" s="7" t="s">
        <v>19</v>
      </c>
      <c r="L18" s="8">
        <v>0</v>
      </c>
    </row>
    <row r="19" spans="1:12" x14ac:dyDescent="0.3">
      <c r="A19" s="13" t="s">
        <v>212</v>
      </c>
      <c r="B19" s="13" t="s">
        <v>24</v>
      </c>
      <c r="C19" s="2"/>
      <c r="D19" s="2"/>
      <c r="E19" s="2"/>
      <c r="F19" s="2"/>
      <c r="G19" s="2"/>
      <c r="H19" s="2"/>
      <c r="I19" s="2">
        <v>1</v>
      </c>
      <c r="K19" s="7" t="s">
        <v>20</v>
      </c>
      <c r="L19" s="8">
        <v>1</v>
      </c>
    </row>
    <row r="20" spans="1:12" x14ac:dyDescent="0.3">
      <c r="A20" s="13" t="s">
        <v>213</v>
      </c>
      <c r="B20" s="13" t="s">
        <v>16</v>
      </c>
      <c r="C20" s="2"/>
      <c r="D20" s="2"/>
      <c r="E20" s="2"/>
      <c r="F20" s="2"/>
      <c r="G20" s="2">
        <v>1</v>
      </c>
      <c r="H20" s="2"/>
      <c r="I20" s="2"/>
      <c r="K20" s="7" t="s">
        <v>21</v>
      </c>
      <c r="L20" s="8">
        <v>0</v>
      </c>
    </row>
    <row r="21" spans="1:12" x14ac:dyDescent="0.3">
      <c r="A21" s="13" t="s">
        <v>214</v>
      </c>
      <c r="B21" s="13" t="s">
        <v>18</v>
      </c>
      <c r="C21" s="2"/>
      <c r="D21" s="2"/>
      <c r="E21" s="2"/>
      <c r="F21" s="2"/>
      <c r="G21" s="2"/>
      <c r="H21" s="2">
        <v>2</v>
      </c>
      <c r="I21" s="2"/>
      <c r="K21" s="7" t="s">
        <v>22</v>
      </c>
      <c r="L21" s="8">
        <v>0</v>
      </c>
    </row>
    <row r="22" spans="1:12" x14ac:dyDescent="0.3">
      <c r="A22" s="13" t="s">
        <v>215</v>
      </c>
      <c r="B22" s="13" t="s">
        <v>25</v>
      </c>
      <c r="C22" s="2">
        <v>75</v>
      </c>
      <c r="D22" s="2">
        <v>25</v>
      </c>
      <c r="E22" s="2">
        <v>37</v>
      </c>
      <c r="F22" s="2">
        <v>16</v>
      </c>
      <c r="G22" s="2">
        <v>20</v>
      </c>
      <c r="H22" s="2">
        <v>28</v>
      </c>
      <c r="I22" s="2">
        <v>12</v>
      </c>
      <c r="K22" s="7" t="s">
        <v>23</v>
      </c>
      <c r="L22" s="8">
        <v>0</v>
      </c>
    </row>
    <row r="23" spans="1:12" x14ac:dyDescent="0.3">
      <c r="A23" s="13" t="s">
        <v>216</v>
      </c>
      <c r="B23" s="13" t="s">
        <v>217</v>
      </c>
      <c r="C23" s="2"/>
      <c r="D23" s="2">
        <v>1</v>
      </c>
      <c r="E23" s="2"/>
      <c r="F23" s="2"/>
      <c r="G23" s="2"/>
      <c r="H23" s="2"/>
      <c r="I23" s="2"/>
      <c r="K23" s="7" t="s">
        <v>24</v>
      </c>
      <c r="L23" s="8">
        <v>0</v>
      </c>
    </row>
    <row r="24" spans="1:12" ht="15.6" x14ac:dyDescent="0.3">
      <c r="A24" s="13" t="s">
        <v>218</v>
      </c>
      <c r="B24" s="13" t="s">
        <v>52</v>
      </c>
      <c r="C24" s="2">
        <v>1</v>
      </c>
      <c r="D24" s="2"/>
      <c r="E24" s="2"/>
      <c r="F24" s="2"/>
      <c r="G24" s="2">
        <v>1</v>
      </c>
      <c r="H24" s="2">
        <v>1</v>
      </c>
      <c r="I24" s="2"/>
      <c r="K24" s="6" t="s">
        <v>412</v>
      </c>
      <c r="L24" s="6">
        <v>60</v>
      </c>
    </row>
    <row r="25" spans="1:12" x14ac:dyDescent="0.3">
      <c r="A25" s="13" t="s">
        <v>219</v>
      </c>
      <c r="B25" s="13" t="s">
        <v>49</v>
      </c>
      <c r="C25" s="2">
        <v>3</v>
      </c>
      <c r="D25" s="2">
        <v>4</v>
      </c>
      <c r="E25" s="2">
        <v>1</v>
      </c>
      <c r="F25" s="2">
        <v>1</v>
      </c>
      <c r="G25" s="2">
        <v>1</v>
      </c>
      <c r="H25" s="2"/>
      <c r="I25" s="2"/>
      <c r="K25" s="7" t="s">
        <v>26</v>
      </c>
      <c r="L25" s="8">
        <v>16</v>
      </c>
    </row>
    <row r="26" spans="1:12" x14ac:dyDescent="0.3">
      <c r="A26" s="13" t="s">
        <v>220</v>
      </c>
      <c r="B26" s="13" t="s">
        <v>26</v>
      </c>
      <c r="C26" s="2">
        <v>172</v>
      </c>
      <c r="D26" s="2">
        <v>89</v>
      </c>
      <c r="E26" s="2">
        <v>45</v>
      </c>
      <c r="F26" s="2">
        <v>53</v>
      </c>
      <c r="G26" s="2">
        <v>43</v>
      </c>
      <c r="H26" s="2">
        <v>35</v>
      </c>
      <c r="I26" s="2">
        <v>26</v>
      </c>
      <c r="K26" s="7" t="s">
        <v>25</v>
      </c>
      <c r="L26" s="8">
        <v>16</v>
      </c>
    </row>
    <row r="27" spans="1:12" x14ac:dyDescent="0.3">
      <c r="A27" s="13" t="s">
        <v>221</v>
      </c>
      <c r="B27" s="13" t="s">
        <v>30</v>
      </c>
      <c r="C27" s="2"/>
      <c r="D27" s="2">
        <v>3</v>
      </c>
      <c r="E27" s="2">
        <v>2</v>
      </c>
      <c r="F27" s="2">
        <v>1</v>
      </c>
      <c r="G27" s="2">
        <v>1</v>
      </c>
      <c r="H27" s="2">
        <v>1</v>
      </c>
      <c r="I27" s="2">
        <v>3</v>
      </c>
      <c r="K27" s="7" t="s">
        <v>27</v>
      </c>
      <c r="L27" s="8">
        <v>6</v>
      </c>
    </row>
    <row r="28" spans="1:12" x14ac:dyDescent="0.3">
      <c r="A28" s="13" t="s">
        <v>222</v>
      </c>
      <c r="B28" s="13" t="s">
        <v>223</v>
      </c>
      <c r="C28" s="2"/>
      <c r="D28" s="2">
        <v>1</v>
      </c>
      <c r="E28" s="2"/>
      <c r="F28" s="2"/>
      <c r="G28" s="2"/>
      <c r="H28" s="2"/>
      <c r="I28" s="2"/>
      <c r="K28" s="7" t="s">
        <v>28</v>
      </c>
      <c r="L28" s="8">
        <v>0</v>
      </c>
    </row>
    <row r="29" spans="1:12" x14ac:dyDescent="0.3">
      <c r="A29" s="13" t="s">
        <v>224</v>
      </c>
      <c r="B29" s="13" t="s">
        <v>225</v>
      </c>
      <c r="C29" s="2"/>
      <c r="D29" s="2"/>
      <c r="E29" s="2"/>
      <c r="F29" s="2">
        <v>1</v>
      </c>
      <c r="G29" s="2"/>
      <c r="H29" s="2"/>
      <c r="I29" s="2"/>
      <c r="K29" s="7" t="s">
        <v>29</v>
      </c>
      <c r="L29" s="8">
        <v>3</v>
      </c>
    </row>
    <row r="30" spans="1:12" x14ac:dyDescent="0.3">
      <c r="A30" s="13" t="s">
        <v>226</v>
      </c>
      <c r="B30" s="13" t="s">
        <v>39</v>
      </c>
      <c r="C30" s="2">
        <v>1</v>
      </c>
      <c r="D30" s="2"/>
      <c r="E30" s="2"/>
      <c r="F30" s="2"/>
      <c r="G30" s="2">
        <v>1</v>
      </c>
      <c r="H30" s="2"/>
      <c r="I30" s="2"/>
      <c r="K30" s="7" t="s">
        <v>30</v>
      </c>
      <c r="L30" s="8">
        <v>1</v>
      </c>
    </row>
    <row r="31" spans="1:12" x14ac:dyDescent="0.3">
      <c r="A31" s="13" t="s">
        <v>227</v>
      </c>
      <c r="B31" s="13" t="s">
        <v>228</v>
      </c>
      <c r="C31" s="2"/>
      <c r="D31" s="2"/>
      <c r="E31" s="2">
        <v>1</v>
      </c>
      <c r="F31" s="2"/>
      <c r="G31" s="2"/>
      <c r="H31" s="2"/>
      <c r="I31" s="2"/>
      <c r="K31" s="7" t="s">
        <v>31</v>
      </c>
      <c r="L31" s="8">
        <v>3</v>
      </c>
    </row>
    <row r="32" spans="1:12" x14ac:dyDescent="0.3">
      <c r="A32" s="13" t="s">
        <v>229</v>
      </c>
      <c r="B32" s="13" t="s">
        <v>230</v>
      </c>
      <c r="C32" s="2"/>
      <c r="D32" s="2"/>
      <c r="E32" s="2">
        <v>1</v>
      </c>
      <c r="F32" s="2"/>
      <c r="G32" s="2"/>
      <c r="H32" s="2"/>
      <c r="I32" s="2"/>
      <c r="K32" s="7" t="s">
        <v>32</v>
      </c>
      <c r="L32" s="8">
        <v>0</v>
      </c>
    </row>
    <row r="33" spans="1:12" x14ac:dyDescent="0.3">
      <c r="A33" s="13" t="s">
        <v>231</v>
      </c>
      <c r="B33" s="13" t="s">
        <v>232</v>
      </c>
      <c r="C33" s="2"/>
      <c r="D33" s="2"/>
      <c r="E33" s="2">
        <v>1</v>
      </c>
      <c r="F33" s="2"/>
      <c r="G33" s="2"/>
      <c r="H33" s="2"/>
      <c r="I33" s="2"/>
      <c r="K33" s="7" t="s">
        <v>33</v>
      </c>
      <c r="L33" s="8">
        <v>0</v>
      </c>
    </row>
    <row r="34" spans="1:12" x14ac:dyDescent="0.3">
      <c r="A34" s="13" t="s">
        <v>233</v>
      </c>
      <c r="B34" s="13" t="s">
        <v>66</v>
      </c>
      <c r="C34" s="2"/>
      <c r="D34" s="2"/>
      <c r="E34" s="2"/>
      <c r="F34" s="2"/>
      <c r="G34" s="2"/>
      <c r="H34" s="2"/>
      <c r="I34" s="2">
        <v>1</v>
      </c>
      <c r="K34" s="7" t="s">
        <v>34</v>
      </c>
      <c r="L34" s="8">
        <v>1</v>
      </c>
    </row>
    <row r="35" spans="1:12" x14ac:dyDescent="0.3">
      <c r="A35" s="13" t="s">
        <v>234</v>
      </c>
      <c r="B35" s="13" t="s">
        <v>67</v>
      </c>
      <c r="C35" s="2"/>
      <c r="D35" s="2"/>
      <c r="E35" s="2"/>
      <c r="F35" s="2"/>
      <c r="G35" s="2"/>
      <c r="H35" s="2">
        <v>1</v>
      </c>
      <c r="I35" s="2"/>
      <c r="K35" s="7" t="s">
        <v>35</v>
      </c>
      <c r="L35" s="8">
        <v>1</v>
      </c>
    </row>
    <row r="36" spans="1:12" x14ac:dyDescent="0.3">
      <c r="A36" s="13" t="s">
        <v>235</v>
      </c>
      <c r="B36" s="13" t="s">
        <v>44</v>
      </c>
      <c r="C36" s="2">
        <v>1</v>
      </c>
      <c r="D36" s="2"/>
      <c r="E36" s="2"/>
      <c r="F36" s="2">
        <v>1</v>
      </c>
      <c r="G36" s="2"/>
      <c r="H36" s="2"/>
      <c r="I36" s="2"/>
      <c r="K36" s="7" t="s">
        <v>36</v>
      </c>
      <c r="L36" s="8">
        <v>0</v>
      </c>
    </row>
    <row r="37" spans="1:12" x14ac:dyDescent="0.3">
      <c r="A37" s="13" t="s">
        <v>236</v>
      </c>
      <c r="B37" s="13" t="s">
        <v>237</v>
      </c>
      <c r="C37" s="2"/>
      <c r="D37" s="2"/>
      <c r="E37" s="2">
        <v>1</v>
      </c>
      <c r="F37" s="2"/>
      <c r="G37" s="2"/>
      <c r="H37" s="2"/>
      <c r="I37" s="2"/>
      <c r="K37" s="7" t="s">
        <v>37</v>
      </c>
      <c r="L37" s="8">
        <v>0</v>
      </c>
    </row>
    <row r="38" spans="1:12" x14ac:dyDescent="0.3">
      <c r="A38" s="13" t="s">
        <v>238</v>
      </c>
      <c r="B38" s="13" t="s">
        <v>60</v>
      </c>
      <c r="C38" s="2"/>
      <c r="D38" s="2"/>
      <c r="E38" s="2"/>
      <c r="F38" s="2"/>
      <c r="G38" s="2">
        <v>1</v>
      </c>
      <c r="H38" s="2"/>
      <c r="I38" s="2"/>
      <c r="K38" s="7" t="s">
        <v>38</v>
      </c>
      <c r="L38" s="8">
        <v>3</v>
      </c>
    </row>
    <row r="39" spans="1:12" x14ac:dyDescent="0.3">
      <c r="A39" s="13" t="s">
        <v>239</v>
      </c>
      <c r="B39" s="13" t="s">
        <v>240</v>
      </c>
      <c r="C39" s="2"/>
      <c r="D39" s="2">
        <v>1</v>
      </c>
      <c r="E39" s="2"/>
      <c r="F39" s="2"/>
      <c r="G39" s="2"/>
      <c r="H39" s="2"/>
      <c r="I39" s="2"/>
      <c r="K39" s="7" t="s">
        <v>39</v>
      </c>
      <c r="L39" s="8">
        <v>1</v>
      </c>
    </row>
    <row r="40" spans="1:12" x14ac:dyDescent="0.3">
      <c r="A40" s="13" t="s">
        <v>241</v>
      </c>
      <c r="B40" s="13" t="s">
        <v>242</v>
      </c>
      <c r="C40" s="2">
        <v>2</v>
      </c>
      <c r="D40" s="2">
        <v>1</v>
      </c>
      <c r="E40" s="2"/>
      <c r="F40" s="2"/>
      <c r="G40" s="2"/>
      <c r="H40" s="2"/>
      <c r="I40" s="2"/>
      <c r="K40" s="7" t="s">
        <v>40</v>
      </c>
      <c r="L40" s="8">
        <v>1</v>
      </c>
    </row>
    <row r="41" spans="1:12" x14ac:dyDescent="0.3">
      <c r="A41" s="13" t="s">
        <v>243</v>
      </c>
      <c r="B41" s="13" t="s">
        <v>244</v>
      </c>
      <c r="C41" s="2"/>
      <c r="D41" s="2"/>
      <c r="E41" s="2">
        <v>1</v>
      </c>
      <c r="F41" s="2"/>
      <c r="G41" s="2"/>
      <c r="H41" s="2"/>
      <c r="I41" s="2"/>
      <c r="K41" s="7" t="s">
        <v>41</v>
      </c>
      <c r="L41" s="8">
        <v>0</v>
      </c>
    </row>
    <row r="42" spans="1:12" x14ac:dyDescent="0.3">
      <c r="A42" s="13" t="s">
        <v>245</v>
      </c>
      <c r="B42" s="13" t="s">
        <v>57</v>
      </c>
      <c r="C42" s="2"/>
      <c r="D42" s="2"/>
      <c r="E42" s="2"/>
      <c r="F42" s="2"/>
      <c r="G42" s="2">
        <v>1</v>
      </c>
      <c r="H42" s="2"/>
      <c r="I42" s="2"/>
      <c r="K42" s="7" t="s">
        <v>42</v>
      </c>
      <c r="L42" s="8">
        <v>0</v>
      </c>
    </row>
    <row r="43" spans="1:12" x14ac:dyDescent="0.3">
      <c r="A43" s="13" t="s">
        <v>246</v>
      </c>
      <c r="B43" s="13" t="s">
        <v>56</v>
      </c>
      <c r="C43" s="2"/>
      <c r="D43" s="2"/>
      <c r="E43" s="2"/>
      <c r="F43" s="2"/>
      <c r="G43" s="2"/>
      <c r="H43" s="2">
        <v>1</v>
      </c>
      <c r="I43" s="2"/>
      <c r="K43" s="7" t="s">
        <v>43</v>
      </c>
      <c r="L43" s="8">
        <v>1</v>
      </c>
    </row>
    <row r="44" spans="1:12" x14ac:dyDescent="0.3">
      <c r="A44" s="13" t="s">
        <v>247</v>
      </c>
      <c r="B44" s="13" t="s">
        <v>27</v>
      </c>
      <c r="C44" s="2">
        <v>20</v>
      </c>
      <c r="D44" s="2">
        <v>5</v>
      </c>
      <c r="E44" s="2">
        <v>8</v>
      </c>
      <c r="F44" s="2">
        <v>6</v>
      </c>
      <c r="G44" s="2">
        <v>5</v>
      </c>
      <c r="H44" s="2">
        <v>8</v>
      </c>
      <c r="I44" s="2">
        <v>3</v>
      </c>
      <c r="K44" s="7" t="s">
        <v>44</v>
      </c>
      <c r="L44" s="8">
        <v>0</v>
      </c>
    </row>
    <row r="45" spans="1:12" x14ac:dyDescent="0.3">
      <c r="A45" s="13" t="s">
        <v>248</v>
      </c>
      <c r="B45" s="13" t="s">
        <v>50</v>
      </c>
      <c r="C45" s="2"/>
      <c r="D45" s="2">
        <v>1</v>
      </c>
      <c r="E45" s="2"/>
      <c r="F45" s="2"/>
      <c r="G45" s="2"/>
      <c r="H45" s="2"/>
      <c r="I45" s="2"/>
      <c r="K45" s="7" t="s">
        <v>45</v>
      </c>
      <c r="L45" s="8">
        <v>2</v>
      </c>
    </row>
    <row r="46" spans="1:12" x14ac:dyDescent="0.3">
      <c r="A46" s="13" t="s">
        <v>249</v>
      </c>
      <c r="B46" s="13" t="s">
        <v>31</v>
      </c>
      <c r="C46" s="2"/>
      <c r="D46" s="2">
        <v>1</v>
      </c>
      <c r="E46" s="2">
        <v>2</v>
      </c>
      <c r="F46" s="2"/>
      <c r="G46" s="2">
        <v>1</v>
      </c>
      <c r="H46" s="2"/>
      <c r="I46" s="2">
        <v>1</v>
      </c>
      <c r="K46" s="7" t="s">
        <v>46</v>
      </c>
      <c r="L46" s="8">
        <v>1</v>
      </c>
    </row>
    <row r="47" spans="1:12" x14ac:dyDescent="0.3">
      <c r="A47" s="13" t="s">
        <v>250</v>
      </c>
      <c r="B47" s="13" t="s">
        <v>65</v>
      </c>
      <c r="C47" s="2"/>
      <c r="D47" s="2"/>
      <c r="E47" s="2"/>
      <c r="F47" s="2">
        <v>1</v>
      </c>
      <c r="G47" s="2"/>
      <c r="H47" s="2"/>
      <c r="I47" s="2">
        <v>1</v>
      </c>
      <c r="K47" s="7" t="s">
        <v>47</v>
      </c>
      <c r="L47" s="8">
        <v>0</v>
      </c>
    </row>
    <row r="48" spans="1:12" x14ac:dyDescent="0.3">
      <c r="A48" s="13" t="s">
        <v>251</v>
      </c>
      <c r="B48" s="13" t="s">
        <v>252</v>
      </c>
      <c r="C48" s="2"/>
      <c r="D48" s="2"/>
      <c r="E48" s="2">
        <v>1</v>
      </c>
      <c r="F48" s="2"/>
      <c r="G48" s="2"/>
      <c r="H48" s="2"/>
      <c r="I48" s="2"/>
      <c r="K48" s="7" t="s">
        <v>48</v>
      </c>
      <c r="L48" s="8">
        <v>1</v>
      </c>
    </row>
    <row r="49" spans="1:12" x14ac:dyDescent="0.3">
      <c r="A49" s="13" t="s">
        <v>253</v>
      </c>
      <c r="B49" s="13" t="s">
        <v>47</v>
      </c>
      <c r="C49" s="2"/>
      <c r="D49" s="2"/>
      <c r="E49" s="2"/>
      <c r="F49" s="2"/>
      <c r="G49" s="2"/>
      <c r="H49" s="2">
        <v>2</v>
      </c>
      <c r="I49" s="2"/>
      <c r="K49" s="7" t="s">
        <v>49</v>
      </c>
      <c r="L49" s="8">
        <v>0</v>
      </c>
    </row>
    <row r="50" spans="1:12" x14ac:dyDescent="0.3">
      <c r="A50" s="13" t="s">
        <v>254</v>
      </c>
      <c r="B50" s="13" t="s">
        <v>55</v>
      </c>
      <c r="C50" s="2"/>
      <c r="D50" s="2"/>
      <c r="E50" s="2">
        <v>1</v>
      </c>
      <c r="F50" s="2">
        <v>1</v>
      </c>
      <c r="G50" s="2">
        <v>1</v>
      </c>
      <c r="H50" s="2"/>
      <c r="I50" s="2"/>
      <c r="K50" s="7" t="s">
        <v>50</v>
      </c>
      <c r="L50" s="8">
        <v>2</v>
      </c>
    </row>
    <row r="51" spans="1:12" x14ac:dyDescent="0.3">
      <c r="A51" s="13" t="s">
        <v>255</v>
      </c>
      <c r="B51" s="13" t="s">
        <v>37</v>
      </c>
      <c r="C51" s="2">
        <v>3</v>
      </c>
      <c r="D51" s="2">
        <v>1</v>
      </c>
      <c r="E51" s="2"/>
      <c r="F51" s="2"/>
      <c r="G51" s="2">
        <v>1</v>
      </c>
      <c r="H51" s="2">
        <v>1</v>
      </c>
      <c r="I51" s="2"/>
      <c r="K51" s="7" t="s">
        <v>51</v>
      </c>
      <c r="L51" s="8">
        <v>1</v>
      </c>
    </row>
    <row r="52" spans="1:12" x14ac:dyDescent="0.3">
      <c r="A52" s="13" t="s">
        <v>256</v>
      </c>
      <c r="B52" s="13" t="s">
        <v>59</v>
      </c>
      <c r="C52" s="2"/>
      <c r="D52" s="2"/>
      <c r="E52" s="2"/>
      <c r="F52" s="2"/>
      <c r="G52" s="2"/>
      <c r="H52" s="2">
        <v>1</v>
      </c>
      <c r="I52" s="2"/>
      <c r="K52" s="7" t="s">
        <v>52</v>
      </c>
      <c r="L52" s="8">
        <v>0</v>
      </c>
    </row>
    <row r="53" spans="1:12" x14ac:dyDescent="0.3">
      <c r="A53" s="13" t="s">
        <v>257</v>
      </c>
      <c r="B53" s="13" t="s">
        <v>53</v>
      </c>
      <c r="C53" s="2"/>
      <c r="D53" s="2">
        <v>2</v>
      </c>
      <c r="E53" s="2">
        <v>1</v>
      </c>
      <c r="F53" s="2"/>
      <c r="G53" s="2"/>
      <c r="H53" s="2"/>
      <c r="I53" s="2">
        <v>2</v>
      </c>
      <c r="K53" s="7" t="s">
        <v>53</v>
      </c>
      <c r="L53" s="8">
        <v>0</v>
      </c>
    </row>
    <row r="54" spans="1:12" x14ac:dyDescent="0.3">
      <c r="A54" s="13" t="s">
        <v>258</v>
      </c>
      <c r="B54" s="13" t="s">
        <v>40</v>
      </c>
      <c r="C54" s="2"/>
      <c r="D54" s="2">
        <v>1</v>
      </c>
      <c r="E54" s="2">
        <v>3</v>
      </c>
      <c r="F54" s="2"/>
      <c r="G54" s="2"/>
      <c r="H54" s="2">
        <v>1</v>
      </c>
      <c r="I54" s="2">
        <v>1</v>
      </c>
      <c r="K54" s="7" t="s">
        <v>54</v>
      </c>
      <c r="L54" s="8">
        <v>0</v>
      </c>
    </row>
    <row r="55" spans="1:12" x14ac:dyDescent="0.3">
      <c r="A55" s="13" t="s">
        <v>259</v>
      </c>
      <c r="B55" s="13" t="s">
        <v>35</v>
      </c>
      <c r="C55" s="2">
        <v>2</v>
      </c>
      <c r="D55" s="2"/>
      <c r="E55" s="2">
        <v>1</v>
      </c>
      <c r="F55" s="2"/>
      <c r="G55" s="2"/>
      <c r="H55" s="2">
        <v>3</v>
      </c>
      <c r="I55" s="2"/>
      <c r="K55" s="7" t="s">
        <v>55</v>
      </c>
      <c r="L55" s="8">
        <v>0</v>
      </c>
    </row>
    <row r="56" spans="1:12" x14ac:dyDescent="0.3">
      <c r="A56" s="13" t="s">
        <v>260</v>
      </c>
      <c r="B56" s="13" t="s">
        <v>33</v>
      </c>
      <c r="C56" s="2">
        <v>1</v>
      </c>
      <c r="D56" s="2"/>
      <c r="E56" s="2">
        <v>2</v>
      </c>
      <c r="F56" s="2">
        <v>1</v>
      </c>
      <c r="G56" s="2">
        <v>3</v>
      </c>
      <c r="H56" s="2">
        <v>1</v>
      </c>
      <c r="I56" s="2"/>
      <c r="K56" s="7" t="s">
        <v>56</v>
      </c>
      <c r="L56" s="8">
        <v>0</v>
      </c>
    </row>
    <row r="57" spans="1:12" x14ac:dyDescent="0.3">
      <c r="A57" s="13" t="s">
        <v>261</v>
      </c>
      <c r="B57" s="13" t="s">
        <v>63</v>
      </c>
      <c r="C57" s="2">
        <v>1</v>
      </c>
      <c r="D57" s="2"/>
      <c r="E57" s="2">
        <v>1</v>
      </c>
      <c r="F57" s="2"/>
      <c r="G57" s="2"/>
      <c r="H57" s="2">
        <v>1</v>
      </c>
      <c r="I57" s="2"/>
      <c r="K57" s="7" t="s">
        <v>57</v>
      </c>
      <c r="L57" s="8">
        <v>0</v>
      </c>
    </row>
    <row r="58" spans="1:12" x14ac:dyDescent="0.3">
      <c r="A58" s="13" t="s">
        <v>262</v>
      </c>
      <c r="B58" s="13" t="s">
        <v>28</v>
      </c>
      <c r="C58" s="2">
        <v>2</v>
      </c>
      <c r="D58" s="2">
        <v>1</v>
      </c>
      <c r="E58" s="2"/>
      <c r="F58" s="2">
        <v>2</v>
      </c>
      <c r="G58" s="2"/>
      <c r="H58" s="2">
        <v>4</v>
      </c>
      <c r="I58" s="2">
        <v>5</v>
      </c>
      <c r="K58" s="7" t="s">
        <v>58</v>
      </c>
      <c r="L58" s="8">
        <v>0</v>
      </c>
    </row>
    <row r="59" spans="1:12" x14ac:dyDescent="0.3">
      <c r="A59" s="13" t="s">
        <v>263</v>
      </c>
      <c r="B59" s="13" t="s">
        <v>45</v>
      </c>
      <c r="C59" s="2">
        <v>1</v>
      </c>
      <c r="D59" s="2"/>
      <c r="E59" s="2"/>
      <c r="F59" s="2"/>
      <c r="G59" s="2"/>
      <c r="H59" s="2"/>
      <c r="I59" s="2"/>
      <c r="K59" s="7" t="s">
        <v>59</v>
      </c>
      <c r="L59" s="8">
        <v>0</v>
      </c>
    </row>
    <row r="60" spans="1:12" x14ac:dyDescent="0.3">
      <c r="A60" s="13" t="s">
        <v>264</v>
      </c>
      <c r="B60" s="13" t="s">
        <v>41</v>
      </c>
      <c r="C60" s="2"/>
      <c r="D60" s="2">
        <v>1</v>
      </c>
      <c r="E60" s="2"/>
      <c r="F60" s="2">
        <v>1</v>
      </c>
      <c r="G60" s="2"/>
      <c r="H60" s="2">
        <v>1</v>
      </c>
      <c r="I60" s="2"/>
      <c r="K60" s="7" t="s">
        <v>60</v>
      </c>
      <c r="L60" s="8">
        <v>0</v>
      </c>
    </row>
    <row r="61" spans="1:12" x14ac:dyDescent="0.3">
      <c r="A61" s="13" t="s">
        <v>265</v>
      </c>
      <c r="B61" s="13" t="s">
        <v>34</v>
      </c>
      <c r="C61" s="2">
        <v>1</v>
      </c>
      <c r="D61" s="2">
        <v>2</v>
      </c>
      <c r="E61" s="2">
        <v>3</v>
      </c>
      <c r="F61" s="2">
        <v>4</v>
      </c>
      <c r="G61" s="2">
        <v>1</v>
      </c>
      <c r="H61" s="2"/>
      <c r="I61" s="2">
        <v>1</v>
      </c>
      <c r="K61" s="7" t="s">
        <v>61</v>
      </c>
      <c r="L61" s="8">
        <v>0</v>
      </c>
    </row>
    <row r="62" spans="1:12" x14ac:dyDescent="0.3">
      <c r="A62" s="13" t="s">
        <v>266</v>
      </c>
      <c r="B62" s="13" t="s">
        <v>267</v>
      </c>
      <c r="C62" s="2">
        <v>1</v>
      </c>
      <c r="D62" s="2"/>
      <c r="E62" s="2"/>
      <c r="F62" s="2"/>
      <c r="G62" s="2"/>
      <c r="H62" s="2"/>
      <c r="I62" s="2"/>
      <c r="K62" s="7" t="s">
        <v>62</v>
      </c>
      <c r="L62" s="8">
        <v>0</v>
      </c>
    </row>
    <row r="63" spans="1:12" x14ac:dyDescent="0.3">
      <c r="A63" s="13" t="s">
        <v>268</v>
      </c>
      <c r="B63" s="13" t="s">
        <v>54</v>
      </c>
      <c r="C63" s="2"/>
      <c r="D63" s="2"/>
      <c r="E63" s="2">
        <v>2</v>
      </c>
      <c r="F63" s="2"/>
      <c r="G63" s="2"/>
      <c r="H63" s="2"/>
      <c r="I63" s="2"/>
      <c r="K63" s="7" t="s">
        <v>63</v>
      </c>
      <c r="L63" s="8">
        <v>0</v>
      </c>
    </row>
    <row r="64" spans="1:12" x14ac:dyDescent="0.3">
      <c r="A64" s="13" t="s">
        <v>269</v>
      </c>
      <c r="B64" s="13" t="s">
        <v>48</v>
      </c>
      <c r="C64" s="2">
        <v>2</v>
      </c>
      <c r="D64" s="2">
        <v>1</v>
      </c>
      <c r="E64" s="2">
        <v>1</v>
      </c>
      <c r="F64" s="2"/>
      <c r="G64" s="2"/>
      <c r="H64" s="2">
        <v>1</v>
      </c>
      <c r="I64" s="2"/>
      <c r="K64" s="7" t="s">
        <v>64</v>
      </c>
      <c r="L64" s="8">
        <v>0</v>
      </c>
    </row>
    <row r="65" spans="1:12" x14ac:dyDescent="0.3">
      <c r="A65" s="13" t="s">
        <v>270</v>
      </c>
      <c r="B65" s="13" t="s">
        <v>36</v>
      </c>
      <c r="C65" s="2"/>
      <c r="D65" s="2"/>
      <c r="E65" s="2">
        <v>1</v>
      </c>
      <c r="F65" s="2"/>
      <c r="G65" s="2">
        <v>1</v>
      </c>
      <c r="H65" s="2"/>
      <c r="I65" s="2"/>
      <c r="K65" s="7" t="s">
        <v>65</v>
      </c>
      <c r="L65" s="8">
        <v>0</v>
      </c>
    </row>
    <row r="66" spans="1:12" x14ac:dyDescent="0.3">
      <c r="A66" s="13" t="s">
        <v>271</v>
      </c>
      <c r="B66" s="13" t="s">
        <v>51</v>
      </c>
      <c r="C66" s="2"/>
      <c r="D66" s="2"/>
      <c r="E66" s="2">
        <v>1</v>
      </c>
      <c r="F66" s="2">
        <v>1</v>
      </c>
      <c r="G66" s="2"/>
      <c r="H66" s="2">
        <v>1</v>
      </c>
      <c r="I66" s="2"/>
      <c r="K66" s="7" t="s">
        <v>66</v>
      </c>
      <c r="L66" s="8">
        <v>0</v>
      </c>
    </row>
    <row r="67" spans="1:12" x14ac:dyDescent="0.3">
      <c r="A67" s="13" t="s">
        <v>272</v>
      </c>
      <c r="B67" s="13" t="s">
        <v>32</v>
      </c>
      <c r="C67" s="2">
        <v>3</v>
      </c>
      <c r="D67" s="2">
        <v>4</v>
      </c>
      <c r="E67" s="2">
        <v>1</v>
      </c>
      <c r="F67" s="2"/>
      <c r="G67" s="2">
        <v>4</v>
      </c>
      <c r="H67" s="2">
        <v>2</v>
      </c>
      <c r="I67" s="2"/>
      <c r="K67" s="7" t="s">
        <v>67</v>
      </c>
      <c r="L67" s="8">
        <v>0</v>
      </c>
    </row>
    <row r="68" spans="1:12" ht="15.6" x14ac:dyDescent="0.3">
      <c r="A68" s="13" t="s">
        <v>273</v>
      </c>
      <c r="B68" s="13" t="s">
        <v>42</v>
      </c>
      <c r="C68" s="2"/>
      <c r="D68" s="2"/>
      <c r="E68" s="2"/>
      <c r="F68" s="2"/>
      <c r="G68" s="2">
        <v>2</v>
      </c>
      <c r="H68" s="2"/>
      <c r="I68" s="2"/>
      <c r="K68" s="6" t="s">
        <v>413</v>
      </c>
      <c r="L68" s="6">
        <v>127</v>
      </c>
    </row>
    <row r="69" spans="1:12" x14ac:dyDescent="0.3">
      <c r="A69" s="13" t="s">
        <v>274</v>
      </c>
      <c r="B69" s="13" t="s">
        <v>275</v>
      </c>
      <c r="C69" s="2"/>
      <c r="D69" s="2">
        <v>1</v>
      </c>
      <c r="E69" s="2"/>
      <c r="F69" s="2"/>
      <c r="G69" s="2"/>
      <c r="H69" s="2"/>
      <c r="I69" s="2"/>
      <c r="K69" s="7" t="s">
        <v>68</v>
      </c>
      <c r="L69" s="8">
        <v>29</v>
      </c>
    </row>
    <row r="70" spans="1:12" x14ac:dyDescent="0.3">
      <c r="A70" s="13" t="s">
        <v>276</v>
      </c>
      <c r="B70" s="13" t="s">
        <v>29</v>
      </c>
      <c r="C70" s="2">
        <v>3</v>
      </c>
      <c r="D70" s="2">
        <v>2</v>
      </c>
      <c r="E70" s="2">
        <v>1</v>
      </c>
      <c r="F70" s="2"/>
      <c r="G70" s="2">
        <v>2</v>
      </c>
      <c r="H70" s="2">
        <v>2</v>
      </c>
      <c r="I70" s="2">
        <v>2</v>
      </c>
      <c r="K70" s="7" t="s">
        <v>69</v>
      </c>
      <c r="L70" s="8">
        <v>16</v>
      </c>
    </row>
    <row r="71" spans="1:12" x14ac:dyDescent="0.3">
      <c r="A71" s="13" t="s">
        <v>277</v>
      </c>
      <c r="B71" s="13" t="s">
        <v>68</v>
      </c>
      <c r="C71" s="2">
        <v>23</v>
      </c>
      <c r="D71" s="2">
        <v>21</v>
      </c>
      <c r="E71" s="2">
        <v>25</v>
      </c>
      <c r="F71" s="2">
        <v>17</v>
      </c>
      <c r="G71" s="2">
        <v>16</v>
      </c>
      <c r="H71" s="2">
        <v>19</v>
      </c>
      <c r="I71" s="2">
        <v>24</v>
      </c>
      <c r="K71" s="7" t="s">
        <v>70</v>
      </c>
      <c r="L71" s="8">
        <v>20</v>
      </c>
    </row>
    <row r="72" spans="1:12" x14ac:dyDescent="0.3">
      <c r="A72" s="13" t="s">
        <v>278</v>
      </c>
      <c r="B72" s="13" t="s">
        <v>97</v>
      </c>
      <c r="C72" s="2"/>
      <c r="D72" s="2"/>
      <c r="E72" s="2"/>
      <c r="F72" s="2"/>
      <c r="G72" s="2"/>
      <c r="H72" s="2"/>
      <c r="I72" s="2">
        <v>1</v>
      </c>
      <c r="K72" s="7" t="s">
        <v>71</v>
      </c>
      <c r="L72" s="8">
        <v>13</v>
      </c>
    </row>
    <row r="73" spans="1:12" x14ac:dyDescent="0.3">
      <c r="A73" s="13" t="s">
        <v>279</v>
      </c>
      <c r="B73" s="13" t="s">
        <v>86</v>
      </c>
      <c r="C73" s="2">
        <v>2</v>
      </c>
      <c r="D73" s="2"/>
      <c r="E73" s="2"/>
      <c r="F73" s="2"/>
      <c r="G73" s="2">
        <v>1</v>
      </c>
      <c r="H73" s="2"/>
      <c r="I73" s="2">
        <v>1</v>
      </c>
      <c r="K73" s="7" t="s">
        <v>72</v>
      </c>
      <c r="L73" s="8">
        <v>9</v>
      </c>
    </row>
    <row r="74" spans="1:12" x14ac:dyDescent="0.3">
      <c r="A74" s="13" t="s">
        <v>280</v>
      </c>
      <c r="B74" s="13" t="s">
        <v>91</v>
      </c>
      <c r="C74" s="2"/>
      <c r="D74" s="2"/>
      <c r="E74" s="2"/>
      <c r="F74" s="2"/>
      <c r="G74" s="2">
        <v>1</v>
      </c>
      <c r="H74" s="2"/>
      <c r="I74" s="2"/>
      <c r="K74" s="7" t="s">
        <v>73</v>
      </c>
      <c r="L74" s="8">
        <v>6</v>
      </c>
    </row>
    <row r="75" spans="1:12" x14ac:dyDescent="0.3">
      <c r="A75" s="13" t="s">
        <v>281</v>
      </c>
      <c r="B75" s="13" t="s">
        <v>87</v>
      </c>
      <c r="C75" s="2">
        <v>6</v>
      </c>
      <c r="D75" s="2">
        <v>2</v>
      </c>
      <c r="E75" s="2">
        <v>1</v>
      </c>
      <c r="F75" s="2">
        <v>2</v>
      </c>
      <c r="G75" s="2">
        <v>1</v>
      </c>
      <c r="H75" s="2"/>
      <c r="I75" s="2">
        <v>2</v>
      </c>
      <c r="K75" s="7" t="s">
        <v>74</v>
      </c>
      <c r="L75" s="8">
        <v>9</v>
      </c>
    </row>
    <row r="76" spans="1:12" x14ac:dyDescent="0.3">
      <c r="A76" s="13" t="s">
        <v>282</v>
      </c>
      <c r="B76" s="13" t="s">
        <v>84</v>
      </c>
      <c r="C76" s="2">
        <v>1</v>
      </c>
      <c r="D76" s="2"/>
      <c r="E76" s="2"/>
      <c r="F76" s="2"/>
      <c r="G76" s="2">
        <v>1</v>
      </c>
      <c r="H76" s="2">
        <v>2</v>
      </c>
      <c r="I76" s="2"/>
      <c r="K76" s="7" t="s">
        <v>75</v>
      </c>
      <c r="L76" s="8">
        <v>3</v>
      </c>
    </row>
    <row r="77" spans="1:12" x14ac:dyDescent="0.3">
      <c r="A77" s="13" t="s">
        <v>283</v>
      </c>
      <c r="B77" s="13" t="s">
        <v>88</v>
      </c>
      <c r="C77" s="2">
        <v>1</v>
      </c>
      <c r="D77" s="2"/>
      <c r="E77" s="2"/>
      <c r="F77" s="2"/>
      <c r="G77" s="2">
        <v>2</v>
      </c>
      <c r="H77" s="2"/>
      <c r="I77" s="2"/>
      <c r="K77" s="7" t="s">
        <v>76</v>
      </c>
      <c r="L77" s="8">
        <v>8</v>
      </c>
    </row>
    <row r="78" spans="1:12" x14ac:dyDescent="0.3">
      <c r="A78" s="13" t="s">
        <v>284</v>
      </c>
      <c r="B78" s="13" t="s">
        <v>285</v>
      </c>
      <c r="C78" s="2">
        <v>1</v>
      </c>
      <c r="D78" s="2"/>
      <c r="E78" s="2"/>
      <c r="F78" s="2"/>
      <c r="G78" s="2"/>
      <c r="H78" s="2"/>
      <c r="I78" s="2"/>
      <c r="K78" s="7" t="s">
        <v>77</v>
      </c>
      <c r="L78" s="8">
        <v>0</v>
      </c>
    </row>
    <row r="79" spans="1:12" x14ac:dyDescent="0.3">
      <c r="A79" s="13" t="s">
        <v>286</v>
      </c>
      <c r="B79" s="13" t="s">
        <v>92</v>
      </c>
      <c r="C79" s="2"/>
      <c r="D79" s="2"/>
      <c r="E79" s="2"/>
      <c r="F79" s="2"/>
      <c r="G79" s="2"/>
      <c r="H79" s="2">
        <v>1</v>
      </c>
      <c r="I79" s="2"/>
      <c r="K79" s="7" t="s">
        <v>78</v>
      </c>
      <c r="L79" s="8">
        <v>3</v>
      </c>
    </row>
    <row r="80" spans="1:12" x14ac:dyDescent="0.3">
      <c r="A80" s="13" t="s">
        <v>287</v>
      </c>
      <c r="B80" s="13" t="s">
        <v>81</v>
      </c>
      <c r="C80" s="2">
        <v>6</v>
      </c>
      <c r="D80" s="2">
        <v>3</v>
      </c>
      <c r="E80" s="2">
        <v>2</v>
      </c>
      <c r="F80" s="2">
        <v>2</v>
      </c>
      <c r="G80" s="2">
        <v>3</v>
      </c>
      <c r="H80" s="2">
        <v>1</v>
      </c>
      <c r="I80" s="2"/>
      <c r="K80" s="7" t="s">
        <v>79</v>
      </c>
      <c r="L80" s="8">
        <v>1</v>
      </c>
    </row>
    <row r="81" spans="1:12" x14ac:dyDescent="0.3">
      <c r="A81" s="13" t="s">
        <v>288</v>
      </c>
      <c r="B81" s="13" t="s">
        <v>83</v>
      </c>
      <c r="C81" s="2"/>
      <c r="D81" s="2"/>
      <c r="E81" s="2"/>
      <c r="F81" s="2">
        <v>1</v>
      </c>
      <c r="G81" s="2">
        <v>3</v>
      </c>
      <c r="H81" s="2"/>
      <c r="I81" s="2"/>
      <c r="K81" s="7" t="s">
        <v>80</v>
      </c>
      <c r="L81" s="8">
        <v>0</v>
      </c>
    </row>
    <row r="82" spans="1:12" x14ac:dyDescent="0.3">
      <c r="A82" s="13" t="s">
        <v>289</v>
      </c>
      <c r="B82" s="13" t="s">
        <v>93</v>
      </c>
      <c r="C82" s="2"/>
      <c r="D82" s="2"/>
      <c r="E82" s="2">
        <v>1</v>
      </c>
      <c r="F82" s="2">
        <v>1</v>
      </c>
      <c r="G82" s="2"/>
      <c r="H82" s="2"/>
      <c r="I82" s="2">
        <v>2</v>
      </c>
      <c r="K82" s="7" t="s">
        <v>81</v>
      </c>
      <c r="L82" s="8">
        <v>1</v>
      </c>
    </row>
    <row r="83" spans="1:12" x14ac:dyDescent="0.3">
      <c r="A83" s="13" t="s">
        <v>290</v>
      </c>
      <c r="B83" s="13" t="s">
        <v>73</v>
      </c>
      <c r="C83" s="2">
        <v>19</v>
      </c>
      <c r="D83" s="2">
        <v>16</v>
      </c>
      <c r="E83" s="2">
        <v>9</v>
      </c>
      <c r="F83" s="2">
        <v>13</v>
      </c>
      <c r="G83" s="2">
        <v>8</v>
      </c>
      <c r="H83" s="2">
        <v>6</v>
      </c>
      <c r="I83" s="2">
        <v>10</v>
      </c>
      <c r="K83" s="7" t="s">
        <v>82</v>
      </c>
      <c r="L83" s="8">
        <v>1</v>
      </c>
    </row>
    <row r="84" spans="1:12" x14ac:dyDescent="0.3">
      <c r="A84" s="13" t="s">
        <v>291</v>
      </c>
      <c r="B84" s="13" t="s">
        <v>74</v>
      </c>
      <c r="C84" s="2">
        <v>9</v>
      </c>
      <c r="D84" s="2">
        <v>2</v>
      </c>
      <c r="E84" s="2">
        <v>6</v>
      </c>
      <c r="F84" s="2">
        <v>6</v>
      </c>
      <c r="G84" s="2">
        <v>4</v>
      </c>
      <c r="H84" s="2">
        <v>6</v>
      </c>
      <c r="I84" s="2">
        <v>2</v>
      </c>
      <c r="K84" s="7" t="s">
        <v>83</v>
      </c>
      <c r="L84" s="8">
        <v>0</v>
      </c>
    </row>
    <row r="85" spans="1:12" x14ac:dyDescent="0.3">
      <c r="A85" s="13" t="s">
        <v>292</v>
      </c>
      <c r="B85" s="13" t="s">
        <v>76</v>
      </c>
      <c r="C85" s="2">
        <v>7</v>
      </c>
      <c r="D85" s="2">
        <v>4</v>
      </c>
      <c r="E85" s="2">
        <v>3</v>
      </c>
      <c r="F85" s="2">
        <v>5</v>
      </c>
      <c r="G85" s="2"/>
      <c r="H85" s="2">
        <v>4</v>
      </c>
      <c r="I85" s="2">
        <v>1</v>
      </c>
      <c r="K85" s="7" t="s">
        <v>84</v>
      </c>
      <c r="L85" s="8">
        <v>1</v>
      </c>
    </row>
    <row r="86" spans="1:12" x14ac:dyDescent="0.3">
      <c r="A86" s="13" t="s">
        <v>293</v>
      </c>
      <c r="B86" s="13" t="s">
        <v>80</v>
      </c>
      <c r="C86" s="2">
        <v>6</v>
      </c>
      <c r="D86" s="2">
        <v>3</v>
      </c>
      <c r="E86" s="2">
        <v>4</v>
      </c>
      <c r="F86" s="2">
        <v>5</v>
      </c>
      <c r="G86" s="2">
        <v>2</v>
      </c>
      <c r="H86" s="2">
        <v>1</v>
      </c>
      <c r="I86" s="2">
        <v>3</v>
      </c>
      <c r="K86" s="7" t="s">
        <v>85</v>
      </c>
      <c r="L86" s="8">
        <v>0</v>
      </c>
    </row>
    <row r="87" spans="1:12" x14ac:dyDescent="0.3">
      <c r="A87" s="13" t="s">
        <v>294</v>
      </c>
      <c r="B87" s="13" t="s">
        <v>78</v>
      </c>
      <c r="C87" s="2">
        <v>3</v>
      </c>
      <c r="D87" s="2">
        <v>3</v>
      </c>
      <c r="E87" s="2">
        <v>5</v>
      </c>
      <c r="F87" s="2"/>
      <c r="G87" s="2">
        <v>2</v>
      </c>
      <c r="H87" s="2">
        <v>2</v>
      </c>
      <c r="I87" s="2">
        <v>4</v>
      </c>
      <c r="K87" s="7" t="s">
        <v>86</v>
      </c>
      <c r="L87" s="8">
        <v>2</v>
      </c>
    </row>
    <row r="88" spans="1:12" x14ac:dyDescent="0.3">
      <c r="A88" s="13" t="s">
        <v>295</v>
      </c>
      <c r="B88" s="13" t="s">
        <v>70</v>
      </c>
      <c r="C88" s="2">
        <v>16</v>
      </c>
      <c r="D88" s="2">
        <v>15</v>
      </c>
      <c r="E88" s="2">
        <v>14</v>
      </c>
      <c r="F88" s="2">
        <v>4</v>
      </c>
      <c r="G88" s="2">
        <v>7</v>
      </c>
      <c r="H88" s="2">
        <v>10</v>
      </c>
      <c r="I88" s="2">
        <v>12</v>
      </c>
      <c r="K88" s="7" t="s">
        <v>87</v>
      </c>
      <c r="L88" s="8">
        <v>0</v>
      </c>
    </row>
    <row r="89" spans="1:12" x14ac:dyDescent="0.3">
      <c r="A89" s="13" t="s">
        <v>296</v>
      </c>
      <c r="B89" s="13" t="s">
        <v>85</v>
      </c>
      <c r="C89" s="2"/>
      <c r="D89" s="2">
        <v>1</v>
      </c>
      <c r="E89" s="2">
        <v>1</v>
      </c>
      <c r="F89" s="2">
        <v>2</v>
      </c>
      <c r="G89" s="2">
        <v>2</v>
      </c>
      <c r="H89" s="2">
        <v>2</v>
      </c>
      <c r="I89" s="2"/>
      <c r="K89" s="7" t="s">
        <v>88</v>
      </c>
      <c r="L89" s="8">
        <v>1</v>
      </c>
    </row>
    <row r="90" spans="1:12" x14ac:dyDescent="0.3">
      <c r="A90" s="13" t="s">
        <v>297</v>
      </c>
      <c r="B90" s="13" t="s">
        <v>72</v>
      </c>
      <c r="C90" s="2">
        <v>4</v>
      </c>
      <c r="D90" s="2">
        <v>2</v>
      </c>
      <c r="E90" s="2">
        <v>8</v>
      </c>
      <c r="F90" s="2">
        <v>5</v>
      </c>
      <c r="G90" s="2">
        <v>8</v>
      </c>
      <c r="H90" s="2">
        <v>11</v>
      </c>
      <c r="I90" s="2">
        <v>4</v>
      </c>
      <c r="K90" s="7" t="s">
        <v>89</v>
      </c>
      <c r="L90" s="8">
        <v>0</v>
      </c>
    </row>
    <row r="91" spans="1:12" x14ac:dyDescent="0.3">
      <c r="A91" s="13" t="s">
        <v>298</v>
      </c>
      <c r="B91" s="13" t="s">
        <v>94</v>
      </c>
      <c r="C91" s="2"/>
      <c r="D91" s="2"/>
      <c r="E91" s="2"/>
      <c r="F91" s="2"/>
      <c r="G91" s="2">
        <v>1</v>
      </c>
      <c r="H91" s="2"/>
      <c r="I91" s="2"/>
      <c r="K91" s="7" t="s">
        <v>90</v>
      </c>
      <c r="L91" s="8">
        <v>0</v>
      </c>
    </row>
    <row r="92" spans="1:12" x14ac:dyDescent="0.3">
      <c r="A92" s="13" t="s">
        <v>299</v>
      </c>
      <c r="B92" s="13" t="s">
        <v>77</v>
      </c>
      <c r="C92" s="2">
        <v>1</v>
      </c>
      <c r="D92" s="2">
        <v>1</v>
      </c>
      <c r="E92" s="2">
        <v>1</v>
      </c>
      <c r="F92" s="2"/>
      <c r="G92" s="2">
        <v>1</v>
      </c>
      <c r="H92" s="2">
        <v>4</v>
      </c>
      <c r="I92" s="2">
        <v>1</v>
      </c>
      <c r="K92" s="7" t="s">
        <v>91</v>
      </c>
      <c r="L92" s="8">
        <v>1</v>
      </c>
    </row>
    <row r="93" spans="1:12" x14ac:dyDescent="0.3">
      <c r="A93" s="13" t="s">
        <v>300</v>
      </c>
      <c r="B93" s="13" t="s">
        <v>69</v>
      </c>
      <c r="C93" s="2">
        <v>8</v>
      </c>
      <c r="D93" s="2">
        <v>7</v>
      </c>
      <c r="E93" s="2">
        <v>8</v>
      </c>
      <c r="F93" s="2">
        <v>10</v>
      </c>
      <c r="G93" s="2">
        <v>4</v>
      </c>
      <c r="H93" s="2">
        <v>13</v>
      </c>
      <c r="I93" s="2">
        <v>43</v>
      </c>
      <c r="K93" s="7" t="s">
        <v>92</v>
      </c>
      <c r="L93" s="8">
        <v>1</v>
      </c>
    </row>
    <row r="94" spans="1:12" x14ac:dyDescent="0.3">
      <c r="A94" s="13" t="s">
        <v>301</v>
      </c>
      <c r="B94" s="13" t="s">
        <v>71</v>
      </c>
      <c r="C94" s="2"/>
      <c r="D94" s="2">
        <v>1</v>
      </c>
      <c r="E94" s="2">
        <v>3</v>
      </c>
      <c r="F94" s="2">
        <v>9</v>
      </c>
      <c r="G94" s="2"/>
      <c r="H94" s="2">
        <v>10</v>
      </c>
      <c r="I94" s="2">
        <v>26</v>
      </c>
      <c r="K94" s="7" t="s">
        <v>93</v>
      </c>
      <c r="L94" s="8">
        <v>0</v>
      </c>
    </row>
    <row r="95" spans="1:12" x14ac:dyDescent="0.3">
      <c r="A95" s="13" t="s">
        <v>302</v>
      </c>
      <c r="B95" s="13" t="s">
        <v>75</v>
      </c>
      <c r="C95" s="2">
        <v>2</v>
      </c>
      <c r="D95" s="2">
        <v>1</v>
      </c>
      <c r="E95" s="2">
        <v>3</v>
      </c>
      <c r="F95" s="2">
        <v>1</v>
      </c>
      <c r="G95" s="2">
        <v>2</v>
      </c>
      <c r="H95" s="2">
        <v>6</v>
      </c>
      <c r="I95" s="2">
        <v>1</v>
      </c>
      <c r="K95" s="7" t="s">
        <v>94</v>
      </c>
      <c r="L95" s="8">
        <v>1</v>
      </c>
    </row>
    <row r="96" spans="1:12" x14ac:dyDescent="0.3">
      <c r="A96" s="13" t="s">
        <v>303</v>
      </c>
      <c r="B96" s="13" t="s">
        <v>90</v>
      </c>
      <c r="C96" s="2">
        <v>1</v>
      </c>
      <c r="D96" s="2"/>
      <c r="E96" s="2"/>
      <c r="F96" s="2">
        <v>1</v>
      </c>
      <c r="G96" s="2">
        <v>1</v>
      </c>
      <c r="H96" s="2"/>
      <c r="I96" s="2"/>
      <c r="K96" s="7" t="s">
        <v>95</v>
      </c>
      <c r="L96" s="8">
        <v>0</v>
      </c>
    </row>
    <row r="97" spans="1:12" x14ac:dyDescent="0.3">
      <c r="A97" s="13" t="s">
        <v>304</v>
      </c>
      <c r="B97" s="13" t="s">
        <v>89</v>
      </c>
      <c r="C97" s="2"/>
      <c r="D97" s="2"/>
      <c r="E97" s="2"/>
      <c r="F97" s="2"/>
      <c r="G97" s="2"/>
      <c r="H97" s="2">
        <v>2</v>
      </c>
      <c r="I97" s="2"/>
      <c r="K97" s="7" t="s">
        <v>96</v>
      </c>
      <c r="L97" s="8">
        <v>1</v>
      </c>
    </row>
    <row r="98" spans="1:12" x14ac:dyDescent="0.3">
      <c r="A98" s="13" t="s">
        <v>305</v>
      </c>
      <c r="B98" s="13" t="s">
        <v>79</v>
      </c>
      <c r="C98" s="2">
        <v>3</v>
      </c>
      <c r="D98" s="2"/>
      <c r="E98" s="2"/>
      <c r="F98" s="2"/>
      <c r="G98" s="2">
        <v>2</v>
      </c>
      <c r="H98" s="2">
        <v>1</v>
      </c>
      <c r="I98" s="2">
        <v>3</v>
      </c>
      <c r="K98" s="7" t="s">
        <v>97</v>
      </c>
      <c r="L98" s="8">
        <v>0</v>
      </c>
    </row>
    <row r="99" spans="1:12" ht="15.6" x14ac:dyDescent="0.3">
      <c r="A99" s="13" t="s">
        <v>306</v>
      </c>
      <c r="B99" s="13" t="s">
        <v>82</v>
      </c>
      <c r="C99" s="2">
        <v>1</v>
      </c>
      <c r="D99" s="2">
        <v>3</v>
      </c>
      <c r="E99" s="2">
        <v>2</v>
      </c>
      <c r="F99" s="2">
        <v>1</v>
      </c>
      <c r="G99" s="2"/>
      <c r="H99" s="2">
        <v>2</v>
      </c>
      <c r="I99" s="2"/>
      <c r="K99" s="6" t="s">
        <v>414</v>
      </c>
      <c r="L99" s="6">
        <v>30</v>
      </c>
    </row>
    <row r="100" spans="1:12" x14ac:dyDescent="0.3">
      <c r="A100" s="13" t="s">
        <v>307</v>
      </c>
      <c r="B100" s="13" t="s">
        <v>98</v>
      </c>
      <c r="C100" s="2">
        <v>51</v>
      </c>
      <c r="D100" s="2">
        <v>87</v>
      </c>
      <c r="E100" s="2">
        <v>19</v>
      </c>
      <c r="F100" s="2">
        <v>21</v>
      </c>
      <c r="G100" s="2">
        <v>15</v>
      </c>
      <c r="H100" s="2">
        <v>12</v>
      </c>
      <c r="I100" s="2">
        <v>13</v>
      </c>
      <c r="K100" s="7" t="s">
        <v>98</v>
      </c>
      <c r="L100" s="8">
        <v>21</v>
      </c>
    </row>
    <row r="101" spans="1:12" x14ac:dyDescent="0.3">
      <c r="A101" s="13" t="s">
        <v>308</v>
      </c>
      <c r="B101" s="13" t="s">
        <v>103</v>
      </c>
      <c r="C101" s="2">
        <v>1</v>
      </c>
      <c r="D101" s="2"/>
      <c r="E101" s="2">
        <v>7</v>
      </c>
      <c r="F101" s="2">
        <v>2</v>
      </c>
      <c r="G101" s="2"/>
      <c r="H101" s="2"/>
      <c r="I101" s="2">
        <v>1</v>
      </c>
      <c r="K101" s="7" t="s">
        <v>99</v>
      </c>
      <c r="L101" s="8">
        <v>3</v>
      </c>
    </row>
    <row r="102" spans="1:12" x14ac:dyDescent="0.3">
      <c r="A102" s="13" t="s">
        <v>309</v>
      </c>
      <c r="B102" s="13" t="s">
        <v>100</v>
      </c>
      <c r="C102" s="2">
        <v>1</v>
      </c>
      <c r="D102" s="2">
        <v>2</v>
      </c>
      <c r="E102" s="2">
        <v>2</v>
      </c>
      <c r="F102" s="2"/>
      <c r="G102" s="2">
        <v>1</v>
      </c>
      <c r="H102" s="2"/>
      <c r="I102" s="2">
        <v>1</v>
      </c>
      <c r="K102" s="7" t="s">
        <v>100</v>
      </c>
      <c r="L102" s="8">
        <v>2</v>
      </c>
    </row>
    <row r="103" spans="1:12" x14ac:dyDescent="0.3">
      <c r="A103" s="13" t="s">
        <v>310</v>
      </c>
      <c r="B103" s="13" t="s">
        <v>112</v>
      </c>
      <c r="C103" s="2"/>
      <c r="D103" s="2"/>
      <c r="E103" s="2"/>
      <c r="F103" s="2"/>
      <c r="G103" s="2"/>
      <c r="H103" s="2"/>
      <c r="I103" s="2">
        <v>1</v>
      </c>
      <c r="K103" s="7" t="s">
        <v>101</v>
      </c>
      <c r="L103" s="8">
        <v>1</v>
      </c>
    </row>
    <row r="104" spans="1:12" x14ac:dyDescent="0.3">
      <c r="A104" s="13" t="s">
        <v>311</v>
      </c>
      <c r="B104" s="13" t="s">
        <v>114</v>
      </c>
      <c r="C104" s="2"/>
      <c r="D104" s="2"/>
      <c r="E104" s="2">
        <v>1</v>
      </c>
      <c r="F104" s="2"/>
      <c r="G104" s="2"/>
      <c r="H104" s="2"/>
      <c r="I104" s="2">
        <v>1</v>
      </c>
      <c r="K104" s="7" t="s">
        <v>102</v>
      </c>
      <c r="L104" s="8">
        <v>0</v>
      </c>
    </row>
    <row r="105" spans="1:12" x14ac:dyDescent="0.3">
      <c r="A105" s="13" t="s">
        <v>312</v>
      </c>
      <c r="B105" s="13" t="s">
        <v>108</v>
      </c>
      <c r="C105" s="2"/>
      <c r="D105" s="2"/>
      <c r="E105" s="2"/>
      <c r="F105" s="2"/>
      <c r="G105" s="2"/>
      <c r="H105" s="2"/>
      <c r="I105" s="2">
        <v>1</v>
      </c>
      <c r="K105" s="7" t="s">
        <v>103</v>
      </c>
      <c r="L105" s="8">
        <v>0</v>
      </c>
    </row>
    <row r="106" spans="1:12" x14ac:dyDescent="0.3">
      <c r="A106" s="13" t="s">
        <v>313</v>
      </c>
      <c r="B106" s="13" t="s">
        <v>99</v>
      </c>
      <c r="C106" s="2">
        <v>2</v>
      </c>
      <c r="D106" s="2">
        <v>13</v>
      </c>
      <c r="E106" s="2">
        <v>1</v>
      </c>
      <c r="F106" s="2">
        <v>2</v>
      </c>
      <c r="G106" s="2">
        <v>1</v>
      </c>
      <c r="H106" s="2">
        <v>3</v>
      </c>
      <c r="I106" s="2">
        <v>1</v>
      </c>
      <c r="K106" s="7" t="s">
        <v>104</v>
      </c>
      <c r="L106" s="8">
        <v>0</v>
      </c>
    </row>
    <row r="107" spans="1:12" x14ac:dyDescent="0.3">
      <c r="A107" s="13" t="s">
        <v>314</v>
      </c>
      <c r="B107" s="13" t="s">
        <v>107</v>
      </c>
      <c r="C107" s="2"/>
      <c r="D107" s="2"/>
      <c r="E107" s="2">
        <v>1</v>
      </c>
      <c r="F107" s="2"/>
      <c r="G107" s="2">
        <v>1</v>
      </c>
      <c r="H107" s="2"/>
      <c r="I107" s="2"/>
      <c r="K107" s="7" t="s">
        <v>105</v>
      </c>
      <c r="L107" s="8">
        <v>0</v>
      </c>
    </row>
    <row r="108" spans="1:12" x14ac:dyDescent="0.3">
      <c r="A108" s="13" t="s">
        <v>315</v>
      </c>
      <c r="B108" s="13" t="s">
        <v>102</v>
      </c>
      <c r="C108" s="2"/>
      <c r="D108" s="2"/>
      <c r="E108" s="2"/>
      <c r="F108" s="2"/>
      <c r="G108" s="2"/>
      <c r="H108" s="2"/>
      <c r="I108" s="2">
        <v>2</v>
      </c>
      <c r="K108" s="7" t="s">
        <v>106</v>
      </c>
      <c r="L108" s="8">
        <v>1</v>
      </c>
    </row>
    <row r="109" spans="1:12" x14ac:dyDescent="0.3">
      <c r="A109" s="13" t="s">
        <v>316</v>
      </c>
      <c r="B109" s="13" t="s">
        <v>101</v>
      </c>
      <c r="C109" s="2"/>
      <c r="D109" s="2">
        <v>1</v>
      </c>
      <c r="E109" s="2"/>
      <c r="F109" s="2">
        <v>1</v>
      </c>
      <c r="G109" s="2">
        <v>3</v>
      </c>
      <c r="H109" s="2"/>
      <c r="I109" s="2">
        <v>1</v>
      </c>
      <c r="K109" s="7" t="s">
        <v>107</v>
      </c>
      <c r="L109" s="8">
        <v>0</v>
      </c>
    </row>
    <row r="110" spans="1:12" x14ac:dyDescent="0.3">
      <c r="A110" s="13" t="s">
        <v>317</v>
      </c>
      <c r="B110" s="13" t="s">
        <v>104</v>
      </c>
      <c r="C110" s="2"/>
      <c r="D110" s="2">
        <v>1</v>
      </c>
      <c r="E110" s="2"/>
      <c r="F110" s="2"/>
      <c r="G110" s="2"/>
      <c r="H110" s="2">
        <v>1</v>
      </c>
      <c r="I110" s="2"/>
      <c r="K110" s="7" t="s">
        <v>108</v>
      </c>
      <c r="L110" s="8">
        <v>0</v>
      </c>
    </row>
    <row r="111" spans="1:12" x14ac:dyDescent="0.3">
      <c r="A111" s="13" t="s">
        <v>318</v>
      </c>
      <c r="B111" s="13" t="s">
        <v>113</v>
      </c>
      <c r="C111" s="2"/>
      <c r="D111" s="2"/>
      <c r="E111" s="2"/>
      <c r="F111" s="2"/>
      <c r="G111" s="2"/>
      <c r="H111" s="2">
        <v>1</v>
      </c>
      <c r="I111" s="2"/>
      <c r="K111" s="7" t="s">
        <v>109</v>
      </c>
      <c r="L111" s="8">
        <v>0</v>
      </c>
    </row>
    <row r="112" spans="1:12" x14ac:dyDescent="0.3">
      <c r="A112" s="13" t="s">
        <v>319</v>
      </c>
      <c r="B112" s="13" t="s">
        <v>320</v>
      </c>
      <c r="C112" s="2"/>
      <c r="D112" s="2"/>
      <c r="E112" s="2"/>
      <c r="F112" s="2">
        <v>1</v>
      </c>
      <c r="G112" s="2"/>
      <c r="H112" s="2"/>
      <c r="I112" s="2"/>
      <c r="K112" s="7" t="s">
        <v>110</v>
      </c>
      <c r="L112" s="8">
        <v>1</v>
      </c>
    </row>
    <row r="113" spans="1:12" x14ac:dyDescent="0.3">
      <c r="A113" s="13" t="s">
        <v>321</v>
      </c>
      <c r="B113" s="13" t="s">
        <v>106</v>
      </c>
      <c r="C113" s="2"/>
      <c r="D113" s="2"/>
      <c r="E113" s="2"/>
      <c r="F113" s="2"/>
      <c r="G113" s="2">
        <v>1</v>
      </c>
      <c r="H113" s="2"/>
      <c r="I113" s="2"/>
      <c r="K113" s="7" t="s">
        <v>111</v>
      </c>
      <c r="L113" s="8">
        <v>0</v>
      </c>
    </row>
    <row r="114" spans="1:12" x14ac:dyDescent="0.3">
      <c r="A114" s="13" t="s">
        <v>322</v>
      </c>
      <c r="B114" s="13" t="s">
        <v>111</v>
      </c>
      <c r="C114" s="2"/>
      <c r="D114" s="2"/>
      <c r="E114" s="2"/>
      <c r="F114" s="2"/>
      <c r="G114" s="2">
        <v>1</v>
      </c>
      <c r="H114" s="2"/>
      <c r="I114" s="2"/>
      <c r="K114" s="7" t="s">
        <v>112</v>
      </c>
      <c r="L114" s="8">
        <v>0</v>
      </c>
    </row>
    <row r="115" spans="1:12" x14ac:dyDescent="0.3">
      <c r="A115" s="13" t="s">
        <v>323</v>
      </c>
      <c r="B115" s="13" t="s">
        <v>109</v>
      </c>
      <c r="C115" s="2"/>
      <c r="D115" s="2"/>
      <c r="E115" s="2">
        <v>1</v>
      </c>
      <c r="F115" s="2"/>
      <c r="G115" s="2"/>
      <c r="H115" s="2"/>
      <c r="I115" s="2"/>
      <c r="K115" s="7" t="s">
        <v>113</v>
      </c>
      <c r="L115" s="8">
        <v>0</v>
      </c>
    </row>
    <row r="116" spans="1:12" x14ac:dyDescent="0.3">
      <c r="A116" s="13" t="s">
        <v>324</v>
      </c>
      <c r="B116" s="13" t="s">
        <v>116</v>
      </c>
      <c r="C116" s="2">
        <v>6</v>
      </c>
      <c r="D116" s="2">
        <v>19</v>
      </c>
      <c r="E116" s="2">
        <v>12</v>
      </c>
      <c r="F116" s="2">
        <v>13</v>
      </c>
      <c r="G116" s="2">
        <v>10</v>
      </c>
      <c r="H116" s="2">
        <v>12</v>
      </c>
      <c r="I116" s="2">
        <v>7</v>
      </c>
      <c r="K116" s="7" t="s">
        <v>114</v>
      </c>
      <c r="L116" s="8">
        <v>0</v>
      </c>
    </row>
    <row r="117" spans="1:12" x14ac:dyDescent="0.3">
      <c r="A117" s="13" t="s">
        <v>325</v>
      </c>
      <c r="B117" s="13" t="s">
        <v>129</v>
      </c>
      <c r="C117" s="2"/>
      <c r="D117" s="2"/>
      <c r="E117" s="2"/>
      <c r="F117" s="2"/>
      <c r="G117" s="2"/>
      <c r="H117" s="2">
        <v>1</v>
      </c>
      <c r="I117" s="2"/>
      <c r="K117" s="7" t="s">
        <v>115</v>
      </c>
      <c r="L117" s="8">
        <v>1</v>
      </c>
    </row>
    <row r="118" spans="1:12" ht="15.6" x14ac:dyDescent="0.3">
      <c r="A118" s="13" t="s">
        <v>326</v>
      </c>
      <c r="B118" s="13" t="s">
        <v>120</v>
      </c>
      <c r="C118" s="2"/>
      <c r="D118" s="2"/>
      <c r="E118" s="2"/>
      <c r="F118" s="2">
        <v>3</v>
      </c>
      <c r="G118" s="2">
        <v>4</v>
      </c>
      <c r="H118" s="2">
        <v>3</v>
      </c>
      <c r="I118" s="2">
        <v>1</v>
      </c>
      <c r="K118" s="6" t="s">
        <v>415</v>
      </c>
      <c r="L118" s="6">
        <v>15</v>
      </c>
    </row>
    <row r="119" spans="1:12" x14ac:dyDescent="0.3">
      <c r="A119" s="13" t="s">
        <v>327</v>
      </c>
      <c r="B119" s="13" t="s">
        <v>117</v>
      </c>
      <c r="C119" s="2">
        <v>2</v>
      </c>
      <c r="D119" s="2">
        <v>3</v>
      </c>
      <c r="E119" s="2">
        <v>4</v>
      </c>
      <c r="F119" s="2"/>
      <c r="G119" s="2">
        <v>2</v>
      </c>
      <c r="H119" s="2">
        <v>1</v>
      </c>
      <c r="I119" s="2">
        <v>9</v>
      </c>
      <c r="K119" s="7" t="s">
        <v>116</v>
      </c>
      <c r="L119" s="8">
        <v>5</v>
      </c>
    </row>
    <row r="120" spans="1:12" x14ac:dyDescent="0.3">
      <c r="A120" s="13" t="s">
        <v>328</v>
      </c>
      <c r="B120" s="13" t="s">
        <v>122</v>
      </c>
      <c r="C120" s="2"/>
      <c r="D120" s="2"/>
      <c r="E120" s="2"/>
      <c r="F120" s="2">
        <v>1</v>
      </c>
      <c r="G120" s="2"/>
      <c r="H120" s="2">
        <v>1</v>
      </c>
      <c r="I120" s="2"/>
      <c r="K120" s="7" t="s">
        <v>117</v>
      </c>
      <c r="L120" s="8">
        <v>0</v>
      </c>
    </row>
    <row r="121" spans="1:12" x14ac:dyDescent="0.3">
      <c r="A121" s="13" t="s">
        <v>329</v>
      </c>
      <c r="B121" s="13" t="s">
        <v>330</v>
      </c>
      <c r="C121" s="2"/>
      <c r="D121" s="2"/>
      <c r="E121" s="2"/>
      <c r="F121" s="2">
        <v>1</v>
      </c>
      <c r="G121" s="2"/>
      <c r="H121" s="2"/>
      <c r="I121" s="2"/>
      <c r="K121" s="7" t="s">
        <v>118</v>
      </c>
      <c r="L121" s="8">
        <v>0</v>
      </c>
    </row>
    <row r="122" spans="1:12" x14ac:dyDescent="0.3">
      <c r="A122" s="13" t="s">
        <v>331</v>
      </c>
      <c r="B122" s="13" t="s">
        <v>124</v>
      </c>
      <c r="C122" s="2"/>
      <c r="D122" s="2"/>
      <c r="E122" s="2"/>
      <c r="F122" s="2"/>
      <c r="G122" s="2">
        <v>1</v>
      </c>
      <c r="H122" s="2">
        <v>1</v>
      </c>
      <c r="I122" s="2">
        <v>1</v>
      </c>
      <c r="K122" s="7" t="s">
        <v>119</v>
      </c>
      <c r="L122" s="8">
        <v>3</v>
      </c>
    </row>
    <row r="123" spans="1:12" x14ac:dyDescent="0.3">
      <c r="A123" s="13" t="s">
        <v>332</v>
      </c>
      <c r="B123" s="13" t="s">
        <v>128</v>
      </c>
      <c r="C123" s="2"/>
      <c r="D123" s="2"/>
      <c r="E123" s="2"/>
      <c r="F123" s="2"/>
      <c r="G123" s="2"/>
      <c r="H123" s="2">
        <v>1</v>
      </c>
      <c r="I123" s="2"/>
      <c r="K123" s="7" t="s">
        <v>120</v>
      </c>
      <c r="L123" s="8">
        <v>1</v>
      </c>
    </row>
    <row r="124" spans="1:12" x14ac:dyDescent="0.3">
      <c r="A124" s="13" t="s">
        <v>333</v>
      </c>
      <c r="B124" s="13" t="s">
        <v>119</v>
      </c>
      <c r="C124" s="2">
        <v>2</v>
      </c>
      <c r="D124" s="2">
        <v>1</v>
      </c>
      <c r="E124" s="2"/>
      <c r="F124" s="2">
        <v>3</v>
      </c>
      <c r="G124" s="2">
        <v>1</v>
      </c>
      <c r="H124" s="2">
        <v>1</v>
      </c>
      <c r="I124" s="2">
        <v>5</v>
      </c>
      <c r="K124" s="7" t="s">
        <v>121</v>
      </c>
      <c r="L124" s="8">
        <v>0</v>
      </c>
    </row>
    <row r="125" spans="1:12" x14ac:dyDescent="0.3">
      <c r="A125" s="13" t="s">
        <v>334</v>
      </c>
      <c r="B125" s="13" t="s">
        <v>123</v>
      </c>
      <c r="C125" s="2"/>
      <c r="D125" s="2"/>
      <c r="E125" s="2">
        <v>1</v>
      </c>
      <c r="F125" s="2"/>
      <c r="G125" s="2"/>
      <c r="H125" s="2">
        <v>3</v>
      </c>
      <c r="I125" s="2">
        <v>1</v>
      </c>
      <c r="K125" s="7" t="s">
        <v>122</v>
      </c>
      <c r="L125" s="8">
        <v>1</v>
      </c>
    </row>
    <row r="126" spans="1:12" x14ac:dyDescent="0.3">
      <c r="A126" s="13" t="s">
        <v>335</v>
      </c>
      <c r="B126" s="13" t="s">
        <v>121</v>
      </c>
      <c r="C126" s="2">
        <v>1</v>
      </c>
      <c r="D126" s="2">
        <v>4</v>
      </c>
      <c r="E126" s="2">
        <v>3</v>
      </c>
      <c r="F126" s="2"/>
      <c r="G126" s="2">
        <v>3</v>
      </c>
      <c r="H126" s="2">
        <v>1</v>
      </c>
      <c r="I126" s="2"/>
      <c r="K126" s="7" t="s">
        <v>123</v>
      </c>
      <c r="L126" s="8">
        <v>1</v>
      </c>
    </row>
    <row r="127" spans="1:12" x14ac:dyDescent="0.3">
      <c r="A127" s="13" t="s">
        <v>336</v>
      </c>
      <c r="B127" s="13" t="s">
        <v>131</v>
      </c>
      <c r="C127" s="2">
        <v>1</v>
      </c>
      <c r="D127" s="2"/>
      <c r="E127" s="2">
        <v>1</v>
      </c>
      <c r="F127" s="2"/>
      <c r="G127" s="2"/>
      <c r="H127" s="2"/>
      <c r="I127" s="2"/>
      <c r="K127" s="7" t="s">
        <v>124</v>
      </c>
      <c r="L127" s="8">
        <v>1</v>
      </c>
    </row>
    <row r="128" spans="1:12" x14ac:dyDescent="0.3">
      <c r="A128" s="13" t="s">
        <v>337</v>
      </c>
      <c r="B128" s="13" t="s">
        <v>118</v>
      </c>
      <c r="C128" s="2">
        <v>2</v>
      </c>
      <c r="D128" s="2">
        <v>4</v>
      </c>
      <c r="E128" s="2">
        <v>5</v>
      </c>
      <c r="F128" s="2">
        <v>1</v>
      </c>
      <c r="G128" s="2">
        <v>6</v>
      </c>
      <c r="H128" s="2">
        <v>4</v>
      </c>
      <c r="I128" s="2">
        <v>4</v>
      </c>
      <c r="K128" s="7" t="s">
        <v>125</v>
      </c>
      <c r="L128" s="8">
        <v>0</v>
      </c>
    </row>
    <row r="129" spans="1:12" x14ac:dyDescent="0.3">
      <c r="A129" s="13" t="s">
        <v>338</v>
      </c>
      <c r="B129" s="13" t="s">
        <v>132</v>
      </c>
      <c r="C129" s="2"/>
      <c r="D129" s="2"/>
      <c r="E129" s="2"/>
      <c r="F129" s="2"/>
      <c r="G129" s="2">
        <v>1</v>
      </c>
      <c r="H129" s="2"/>
      <c r="I129" s="2"/>
      <c r="K129" s="7" t="s">
        <v>126</v>
      </c>
      <c r="L129" s="8">
        <v>1</v>
      </c>
    </row>
    <row r="130" spans="1:12" x14ac:dyDescent="0.3">
      <c r="A130" s="13" t="s">
        <v>339</v>
      </c>
      <c r="B130" s="13" t="s">
        <v>133</v>
      </c>
      <c r="C130" s="2">
        <v>12</v>
      </c>
      <c r="D130" s="2">
        <v>13</v>
      </c>
      <c r="E130" s="2">
        <v>12</v>
      </c>
      <c r="F130" s="2">
        <v>7</v>
      </c>
      <c r="G130" s="2">
        <v>7</v>
      </c>
      <c r="H130" s="2">
        <v>7</v>
      </c>
      <c r="I130" s="2">
        <v>10</v>
      </c>
      <c r="K130" s="7" t="s">
        <v>127</v>
      </c>
      <c r="L130" s="8">
        <v>0</v>
      </c>
    </row>
    <row r="131" spans="1:12" x14ac:dyDescent="0.3">
      <c r="A131" s="13" t="s">
        <v>340</v>
      </c>
      <c r="B131" s="13" t="s">
        <v>341</v>
      </c>
      <c r="C131" s="2"/>
      <c r="D131" s="2">
        <v>2</v>
      </c>
      <c r="E131" s="2"/>
      <c r="F131" s="2">
        <v>1</v>
      </c>
      <c r="G131" s="2"/>
      <c r="H131" s="2"/>
      <c r="I131" s="2"/>
      <c r="K131" s="7" t="s">
        <v>128</v>
      </c>
      <c r="L131" s="8">
        <v>0</v>
      </c>
    </row>
    <row r="132" spans="1:12" x14ac:dyDescent="0.3">
      <c r="A132" s="13" t="s">
        <v>342</v>
      </c>
      <c r="B132" s="13" t="s">
        <v>135</v>
      </c>
      <c r="C132" s="2">
        <v>3</v>
      </c>
      <c r="D132" s="2">
        <v>2</v>
      </c>
      <c r="E132" s="2">
        <v>7</v>
      </c>
      <c r="F132" s="2">
        <v>4</v>
      </c>
      <c r="G132" s="2">
        <v>2</v>
      </c>
      <c r="H132" s="2">
        <v>4</v>
      </c>
      <c r="I132" s="2">
        <v>6</v>
      </c>
      <c r="K132" s="7" t="s">
        <v>129</v>
      </c>
      <c r="L132" s="8">
        <v>0</v>
      </c>
    </row>
    <row r="133" spans="1:12" x14ac:dyDescent="0.3">
      <c r="A133" s="13" t="s">
        <v>343</v>
      </c>
      <c r="B133" s="13" t="s">
        <v>134</v>
      </c>
      <c r="C133" s="2">
        <v>4</v>
      </c>
      <c r="D133" s="2">
        <v>8</v>
      </c>
      <c r="E133" s="2">
        <v>11</v>
      </c>
      <c r="F133" s="2">
        <v>4</v>
      </c>
      <c r="G133" s="2">
        <v>3</v>
      </c>
      <c r="H133" s="2">
        <v>13</v>
      </c>
      <c r="I133" s="2">
        <v>3</v>
      </c>
      <c r="K133" s="7" t="s">
        <v>130</v>
      </c>
      <c r="L133" s="8">
        <v>1</v>
      </c>
    </row>
    <row r="134" spans="1:12" x14ac:dyDescent="0.3">
      <c r="A134" s="13" t="s">
        <v>344</v>
      </c>
      <c r="B134" s="13" t="s">
        <v>139</v>
      </c>
      <c r="C134" s="2"/>
      <c r="D134" s="2">
        <v>1</v>
      </c>
      <c r="E134" s="2">
        <v>2</v>
      </c>
      <c r="F134" s="2"/>
      <c r="G134" s="2">
        <v>2</v>
      </c>
      <c r="H134" s="2">
        <v>1</v>
      </c>
      <c r="I134" s="2"/>
      <c r="K134" s="7" t="s">
        <v>131</v>
      </c>
      <c r="L134" s="8">
        <v>1</v>
      </c>
    </row>
    <row r="135" spans="1:12" x14ac:dyDescent="0.3">
      <c r="A135" s="13" t="s">
        <v>345</v>
      </c>
      <c r="B135" s="13" t="s">
        <v>136</v>
      </c>
      <c r="C135" s="2">
        <v>2</v>
      </c>
      <c r="D135" s="2">
        <v>5</v>
      </c>
      <c r="E135" s="2">
        <v>2</v>
      </c>
      <c r="F135" s="2"/>
      <c r="G135" s="2"/>
      <c r="H135" s="2">
        <v>4</v>
      </c>
      <c r="I135" s="2">
        <v>5</v>
      </c>
      <c r="K135" s="7" t="s">
        <v>132</v>
      </c>
      <c r="L135" s="8">
        <v>0</v>
      </c>
    </row>
    <row r="136" spans="1:12" ht="15.6" x14ac:dyDescent="0.3">
      <c r="A136" s="13" t="s">
        <v>346</v>
      </c>
      <c r="B136" s="13" t="s">
        <v>138</v>
      </c>
      <c r="C136" s="2"/>
      <c r="D136" s="2"/>
      <c r="E136" s="2"/>
      <c r="F136" s="2"/>
      <c r="G136" s="2"/>
      <c r="H136" s="2"/>
      <c r="I136" s="2">
        <v>1</v>
      </c>
      <c r="K136" s="6" t="s">
        <v>416</v>
      </c>
      <c r="L136" s="6">
        <v>30</v>
      </c>
    </row>
    <row r="137" spans="1:12" x14ac:dyDescent="0.3">
      <c r="A137" s="13" t="s">
        <v>347</v>
      </c>
      <c r="B137" s="13" t="s">
        <v>137</v>
      </c>
      <c r="C137" s="2">
        <v>6</v>
      </c>
      <c r="D137" s="2"/>
      <c r="E137" s="2">
        <v>1</v>
      </c>
      <c r="F137" s="2"/>
      <c r="G137" s="2">
        <v>1</v>
      </c>
      <c r="H137" s="2"/>
      <c r="I137" s="2"/>
      <c r="K137" s="7" t="s">
        <v>133</v>
      </c>
      <c r="L137" s="8">
        <v>12</v>
      </c>
    </row>
    <row r="138" spans="1:12" x14ac:dyDescent="0.3">
      <c r="A138" s="13" t="s">
        <v>348</v>
      </c>
      <c r="B138" s="13" t="s">
        <v>349</v>
      </c>
      <c r="C138" s="2"/>
      <c r="D138" s="2">
        <v>1</v>
      </c>
      <c r="E138" s="2"/>
      <c r="F138" s="2"/>
      <c r="G138" s="2"/>
      <c r="H138" s="2"/>
      <c r="I138" s="2"/>
      <c r="K138" s="7" t="s">
        <v>134</v>
      </c>
      <c r="L138" s="8">
        <v>8</v>
      </c>
    </row>
    <row r="139" spans="1:12" x14ac:dyDescent="0.3">
      <c r="A139" s="13" t="s">
        <v>350</v>
      </c>
      <c r="B139" s="13" t="s">
        <v>71</v>
      </c>
      <c r="C139" s="2">
        <v>1</v>
      </c>
      <c r="D139" s="2">
        <v>1</v>
      </c>
      <c r="E139" s="2"/>
      <c r="F139" s="2">
        <v>1</v>
      </c>
      <c r="G139" s="2"/>
      <c r="H139" s="2"/>
      <c r="I139" s="2"/>
      <c r="K139" s="7" t="s">
        <v>135</v>
      </c>
      <c r="L139" s="8">
        <v>3</v>
      </c>
    </row>
    <row r="140" spans="1:12" x14ac:dyDescent="0.3">
      <c r="A140" s="13" t="s">
        <v>351</v>
      </c>
      <c r="B140" s="13" t="s">
        <v>141</v>
      </c>
      <c r="C140" s="2">
        <v>88</v>
      </c>
      <c r="D140" s="2">
        <v>75</v>
      </c>
      <c r="E140" s="2">
        <v>56</v>
      </c>
      <c r="F140" s="2">
        <v>55</v>
      </c>
      <c r="G140" s="2">
        <v>43</v>
      </c>
      <c r="H140" s="2">
        <v>27</v>
      </c>
      <c r="I140" s="2">
        <v>52</v>
      </c>
      <c r="K140" s="7" t="s">
        <v>136</v>
      </c>
      <c r="L140" s="8">
        <v>1</v>
      </c>
    </row>
    <row r="141" spans="1:12" x14ac:dyDescent="0.3">
      <c r="A141" s="13" t="s">
        <v>352</v>
      </c>
      <c r="B141" s="13" t="s">
        <v>145</v>
      </c>
      <c r="C141" s="2">
        <v>7</v>
      </c>
      <c r="D141" s="2">
        <v>1</v>
      </c>
      <c r="E141" s="2">
        <v>4</v>
      </c>
      <c r="F141" s="2">
        <v>2</v>
      </c>
      <c r="G141" s="2">
        <v>3</v>
      </c>
      <c r="H141" s="2">
        <v>7</v>
      </c>
      <c r="I141" s="2">
        <v>18</v>
      </c>
      <c r="K141" s="7" t="s">
        <v>137</v>
      </c>
      <c r="L141" s="8">
        <v>3</v>
      </c>
    </row>
    <row r="142" spans="1:12" x14ac:dyDescent="0.3">
      <c r="A142" s="13" t="s">
        <v>353</v>
      </c>
      <c r="B142" s="13" t="s">
        <v>157</v>
      </c>
      <c r="C142" s="2"/>
      <c r="D142" s="2"/>
      <c r="E142" s="2"/>
      <c r="F142" s="2"/>
      <c r="G142" s="2">
        <v>1</v>
      </c>
      <c r="H142" s="2">
        <v>2</v>
      </c>
      <c r="I142" s="2">
        <v>3</v>
      </c>
      <c r="K142" s="7" t="s">
        <v>138</v>
      </c>
      <c r="L142" s="8">
        <v>3</v>
      </c>
    </row>
    <row r="143" spans="1:12" x14ac:dyDescent="0.3">
      <c r="A143" s="13" t="s">
        <v>354</v>
      </c>
      <c r="B143" s="13" t="s">
        <v>153</v>
      </c>
      <c r="C143" s="2">
        <v>7</v>
      </c>
      <c r="D143" s="2">
        <v>10</v>
      </c>
      <c r="E143" s="2">
        <v>8</v>
      </c>
      <c r="F143" s="2">
        <v>6</v>
      </c>
      <c r="G143" s="2">
        <v>6</v>
      </c>
      <c r="H143" s="2">
        <v>5</v>
      </c>
      <c r="I143" s="2">
        <v>5</v>
      </c>
      <c r="K143" s="7" t="s">
        <v>139</v>
      </c>
      <c r="L143" s="8">
        <v>0</v>
      </c>
    </row>
    <row r="144" spans="1:12" x14ac:dyDescent="0.3">
      <c r="A144" s="13" t="s">
        <v>355</v>
      </c>
      <c r="B144" s="13" t="s">
        <v>155</v>
      </c>
      <c r="C144" s="2">
        <v>7</v>
      </c>
      <c r="D144" s="2">
        <v>5</v>
      </c>
      <c r="E144" s="2">
        <v>5</v>
      </c>
      <c r="F144" s="2">
        <v>2</v>
      </c>
      <c r="G144" s="2">
        <v>2</v>
      </c>
      <c r="H144" s="2">
        <v>2</v>
      </c>
      <c r="I144" s="2">
        <v>2</v>
      </c>
      <c r="K144" s="7" t="s">
        <v>71</v>
      </c>
      <c r="L144" s="8">
        <v>0</v>
      </c>
    </row>
    <row r="145" spans="1:12" ht="15.6" x14ac:dyDescent="0.3">
      <c r="A145" s="13" t="s">
        <v>356</v>
      </c>
      <c r="B145" s="13" t="s">
        <v>142</v>
      </c>
      <c r="C145" s="2">
        <v>6</v>
      </c>
      <c r="D145" s="2">
        <v>7</v>
      </c>
      <c r="E145" s="2">
        <v>12</v>
      </c>
      <c r="F145" s="2">
        <v>12</v>
      </c>
      <c r="G145" s="2">
        <v>11</v>
      </c>
      <c r="H145" s="2">
        <v>20</v>
      </c>
      <c r="I145" s="2">
        <v>39</v>
      </c>
      <c r="K145" s="6" t="s">
        <v>417</v>
      </c>
      <c r="L145" s="6">
        <v>136</v>
      </c>
    </row>
    <row r="146" spans="1:12" x14ac:dyDescent="0.3">
      <c r="A146" s="13" t="s">
        <v>357</v>
      </c>
      <c r="B146" s="13" t="s">
        <v>169</v>
      </c>
      <c r="C146" s="2"/>
      <c r="D146" s="2"/>
      <c r="E146" s="2"/>
      <c r="F146" s="2">
        <v>3</v>
      </c>
      <c r="G146" s="2"/>
      <c r="H146" s="2"/>
      <c r="I146" s="2"/>
      <c r="K146" s="7" t="s">
        <v>141</v>
      </c>
      <c r="L146" s="8">
        <v>34</v>
      </c>
    </row>
    <row r="147" spans="1:12" x14ac:dyDescent="0.3">
      <c r="A147" s="13" t="s">
        <v>358</v>
      </c>
      <c r="B147" s="13" t="s">
        <v>147</v>
      </c>
      <c r="C147" s="2"/>
      <c r="D147" s="2">
        <v>3</v>
      </c>
      <c r="E147" s="2">
        <v>8</v>
      </c>
      <c r="F147" s="2">
        <v>4</v>
      </c>
      <c r="G147" s="2">
        <v>7</v>
      </c>
      <c r="H147" s="2">
        <v>7</v>
      </c>
      <c r="I147" s="2">
        <v>6</v>
      </c>
      <c r="K147" s="7" t="s">
        <v>142</v>
      </c>
      <c r="L147" s="8">
        <v>23</v>
      </c>
    </row>
    <row r="148" spans="1:12" x14ac:dyDescent="0.3">
      <c r="A148" s="13" t="s">
        <v>359</v>
      </c>
      <c r="B148" s="13" t="s">
        <v>176</v>
      </c>
      <c r="C148" s="2"/>
      <c r="D148" s="2">
        <v>1</v>
      </c>
      <c r="E148" s="2"/>
      <c r="F148" s="2">
        <v>2</v>
      </c>
      <c r="G148" s="2"/>
      <c r="H148" s="2">
        <v>1</v>
      </c>
      <c r="I148" s="2"/>
      <c r="K148" s="7" t="s">
        <v>143</v>
      </c>
      <c r="L148" s="8">
        <v>3</v>
      </c>
    </row>
    <row r="149" spans="1:12" x14ac:dyDescent="0.3">
      <c r="A149" s="13" t="s">
        <v>360</v>
      </c>
      <c r="B149" s="13" t="s">
        <v>166</v>
      </c>
      <c r="C149" s="2"/>
      <c r="D149" s="2"/>
      <c r="E149" s="2"/>
      <c r="F149" s="2"/>
      <c r="G149" s="2"/>
      <c r="H149" s="2">
        <v>2</v>
      </c>
      <c r="I149" s="2"/>
      <c r="K149" s="7" t="s">
        <v>144</v>
      </c>
      <c r="L149" s="8">
        <v>12</v>
      </c>
    </row>
    <row r="150" spans="1:12" x14ac:dyDescent="0.3">
      <c r="A150" s="13" t="s">
        <v>361</v>
      </c>
      <c r="B150" s="13" t="s">
        <v>174</v>
      </c>
      <c r="C150" s="2"/>
      <c r="D150" s="2"/>
      <c r="E150" s="2"/>
      <c r="F150" s="2">
        <v>1</v>
      </c>
      <c r="G150" s="2"/>
      <c r="H150" s="2">
        <v>1</v>
      </c>
      <c r="I150" s="2"/>
      <c r="K150" s="7" t="s">
        <v>145</v>
      </c>
      <c r="L150" s="8">
        <v>9</v>
      </c>
    </row>
    <row r="151" spans="1:12" x14ac:dyDescent="0.3">
      <c r="A151" s="13" t="s">
        <v>362</v>
      </c>
      <c r="B151" s="13" t="s">
        <v>143</v>
      </c>
      <c r="C151" s="2">
        <v>5</v>
      </c>
      <c r="D151" s="2">
        <v>1</v>
      </c>
      <c r="E151" s="2">
        <v>10</v>
      </c>
      <c r="F151" s="2">
        <v>17</v>
      </c>
      <c r="G151" s="2">
        <v>16</v>
      </c>
      <c r="H151" s="2">
        <v>11</v>
      </c>
      <c r="I151" s="2">
        <v>11</v>
      </c>
      <c r="K151" s="7" t="s">
        <v>146</v>
      </c>
      <c r="L151" s="8">
        <v>11</v>
      </c>
    </row>
    <row r="152" spans="1:12" x14ac:dyDescent="0.3">
      <c r="A152" s="13" t="s">
        <v>363</v>
      </c>
      <c r="B152" s="13" t="s">
        <v>151</v>
      </c>
      <c r="C152" s="2"/>
      <c r="D152" s="2"/>
      <c r="E152" s="2"/>
      <c r="F152" s="2"/>
      <c r="G152" s="2">
        <v>1</v>
      </c>
      <c r="H152" s="2">
        <v>7</v>
      </c>
      <c r="I152" s="2">
        <v>4</v>
      </c>
      <c r="K152" s="7" t="s">
        <v>147</v>
      </c>
      <c r="L152" s="8">
        <v>6</v>
      </c>
    </row>
    <row r="153" spans="1:12" x14ac:dyDescent="0.3">
      <c r="A153" s="13" t="s">
        <v>364</v>
      </c>
      <c r="B153" s="13" t="s">
        <v>149</v>
      </c>
      <c r="C153" s="2"/>
      <c r="D153" s="2">
        <v>1</v>
      </c>
      <c r="E153" s="2">
        <v>1</v>
      </c>
      <c r="F153" s="2">
        <v>4</v>
      </c>
      <c r="G153" s="2">
        <v>3</v>
      </c>
      <c r="H153" s="2">
        <v>4</v>
      </c>
      <c r="I153" s="2">
        <v>12</v>
      </c>
      <c r="K153" s="7" t="s">
        <v>148</v>
      </c>
      <c r="L153" s="8">
        <v>7</v>
      </c>
    </row>
    <row r="154" spans="1:12" x14ac:dyDescent="0.3">
      <c r="A154" s="13" t="s">
        <v>365</v>
      </c>
      <c r="B154" s="13" t="s">
        <v>173</v>
      </c>
      <c r="C154" s="2"/>
      <c r="D154" s="2"/>
      <c r="E154" s="2"/>
      <c r="F154" s="2"/>
      <c r="G154" s="2"/>
      <c r="H154" s="2">
        <v>1</v>
      </c>
      <c r="I154" s="2"/>
      <c r="K154" s="7" t="s">
        <v>149</v>
      </c>
      <c r="L154" s="8">
        <v>3</v>
      </c>
    </row>
    <row r="155" spans="1:12" x14ac:dyDescent="0.3">
      <c r="A155" s="13" t="s">
        <v>366</v>
      </c>
      <c r="B155" s="13" t="s">
        <v>154</v>
      </c>
      <c r="C155" s="2">
        <v>1</v>
      </c>
      <c r="D155" s="2">
        <v>1</v>
      </c>
      <c r="E155" s="2">
        <v>4</v>
      </c>
      <c r="F155" s="2">
        <v>5</v>
      </c>
      <c r="G155" s="2">
        <v>1</v>
      </c>
      <c r="H155" s="2">
        <v>4</v>
      </c>
      <c r="I155" s="2">
        <v>4</v>
      </c>
      <c r="K155" s="7" t="s">
        <v>150</v>
      </c>
      <c r="L155" s="8">
        <v>3</v>
      </c>
    </row>
    <row r="156" spans="1:12" x14ac:dyDescent="0.3">
      <c r="A156" s="13" t="s">
        <v>367</v>
      </c>
      <c r="B156" s="13" t="s">
        <v>171</v>
      </c>
      <c r="C156" s="2"/>
      <c r="D156" s="2"/>
      <c r="E156" s="2"/>
      <c r="F156" s="2"/>
      <c r="G156" s="2"/>
      <c r="H156" s="2"/>
      <c r="I156" s="2">
        <v>1</v>
      </c>
      <c r="K156" s="7" t="s">
        <v>151</v>
      </c>
      <c r="L156" s="8">
        <v>4</v>
      </c>
    </row>
    <row r="157" spans="1:12" x14ac:dyDescent="0.3">
      <c r="A157" s="13" t="s">
        <v>368</v>
      </c>
      <c r="B157" s="13" t="s">
        <v>167</v>
      </c>
      <c r="C157" s="2">
        <v>1</v>
      </c>
      <c r="D157" s="2"/>
      <c r="E157" s="2"/>
      <c r="F157" s="2"/>
      <c r="G157" s="2">
        <v>1</v>
      </c>
      <c r="H157" s="2">
        <v>1</v>
      </c>
      <c r="I157" s="2"/>
      <c r="K157" s="7" t="s">
        <v>152</v>
      </c>
      <c r="L157" s="8">
        <v>6</v>
      </c>
    </row>
    <row r="158" spans="1:12" x14ac:dyDescent="0.3">
      <c r="A158" s="13" t="s">
        <v>369</v>
      </c>
      <c r="B158" s="13" t="s">
        <v>159</v>
      </c>
      <c r="C158" s="2"/>
      <c r="D158" s="2">
        <v>3</v>
      </c>
      <c r="E158" s="2">
        <v>1</v>
      </c>
      <c r="F158" s="2"/>
      <c r="G158" s="2">
        <v>1</v>
      </c>
      <c r="H158" s="2"/>
      <c r="I158" s="2">
        <v>5</v>
      </c>
      <c r="K158" s="7" t="s">
        <v>153</v>
      </c>
      <c r="L158" s="8">
        <v>1</v>
      </c>
    </row>
    <row r="159" spans="1:12" x14ac:dyDescent="0.3">
      <c r="A159" s="13" t="s">
        <v>370</v>
      </c>
      <c r="B159" s="13" t="s">
        <v>371</v>
      </c>
      <c r="C159" s="2"/>
      <c r="D159" s="2"/>
      <c r="E159" s="2">
        <v>1</v>
      </c>
      <c r="F159" s="2"/>
      <c r="G159" s="2"/>
      <c r="H159" s="2"/>
      <c r="I159" s="2"/>
      <c r="K159" s="7" t="s">
        <v>154</v>
      </c>
      <c r="L159" s="8">
        <v>1</v>
      </c>
    </row>
    <row r="160" spans="1:12" x14ac:dyDescent="0.3">
      <c r="A160" s="13" t="s">
        <v>372</v>
      </c>
      <c r="B160" s="13" t="s">
        <v>156</v>
      </c>
      <c r="C160" s="2">
        <v>2</v>
      </c>
      <c r="D160" s="2">
        <v>2</v>
      </c>
      <c r="E160" s="2"/>
      <c r="F160" s="2">
        <v>2</v>
      </c>
      <c r="G160" s="2">
        <v>1</v>
      </c>
      <c r="H160" s="2">
        <v>3</v>
      </c>
      <c r="I160" s="2">
        <v>5</v>
      </c>
      <c r="K160" s="7" t="s">
        <v>155</v>
      </c>
      <c r="L160" s="8">
        <v>4</v>
      </c>
    </row>
    <row r="161" spans="1:12" x14ac:dyDescent="0.3">
      <c r="A161" s="13" t="s">
        <v>373</v>
      </c>
      <c r="B161" s="13" t="s">
        <v>162</v>
      </c>
      <c r="C161" s="2">
        <v>2</v>
      </c>
      <c r="D161" s="2"/>
      <c r="E161" s="2"/>
      <c r="F161" s="2">
        <v>1</v>
      </c>
      <c r="G161" s="2">
        <v>2</v>
      </c>
      <c r="H161" s="2"/>
      <c r="I161" s="2">
        <v>2</v>
      </c>
      <c r="K161" s="7" t="s">
        <v>156</v>
      </c>
      <c r="L161" s="8">
        <v>2</v>
      </c>
    </row>
    <row r="162" spans="1:12" x14ac:dyDescent="0.3">
      <c r="A162" s="13" t="s">
        <v>374</v>
      </c>
      <c r="B162" s="13" t="s">
        <v>375</v>
      </c>
      <c r="C162" s="2"/>
      <c r="D162" s="2"/>
      <c r="E162" s="2">
        <v>1</v>
      </c>
      <c r="F162" s="2"/>
      <c r="G162" s="2"/>
      <c r="H162" s="2"/>
      <c r="I162" s="2"/>
      <c r="K162" s="7" t="s">
        <v>157</v>
      </c>
      <c r="L162" s="8">
        <v>2</v>
      </c>
    </row>
    <row r="163" spans="1:12" x14ac:dyDescent="0.3">
      <c r="A163" s="13" t="s">
        <v>376</v>
      </c>
      <c r="B163" s="13" t="s">
        <v>168</v>
      </c>
      <c r="C163" s="2"/>
      <c r="D163" s="2"/>
      <c r="E163" s="2"/>
      <c r="F163" s="2"/>
      <c r="G163" s="2">
        <v>1</v>
      </c>
      <c r="H163" s="2"/>
      <c r="I163" s="2"/>
      <c r="K163" s="7" t="s">
        <v>158</v>
      </c>
      <c r="L163" s="8">
        <v>0</v>
      </c>
    </row>
    <row r="164" spans="1:12" x14ac:dyDescent="0.3">
      <c r="A164" s="13" t="s">
        <v>377</v>
      </c>
      <c r="B164" s="13" t="s">
        <v>163</v>
      </c>
      <c r="C164" s="2"/>
      <c r="D164" s="2"/>
      <c r="E164" s="2"/>
      <c r="F164" s="2">
        <v>1</v>
      </c>
      <c r="G164" s="2"/>
      <c r="H164" s="2">
        <v>4</v>
      </c>
      <c r="I164" s="2"/>
      <c r="K164" s="7" t="s">
        <v>159</v>
      </c>
      <c r="L164" s="8">
        <v>1</v>
      </c>
    </row>
    <row r="165" spans="1:12" x14ac:dyDescent="0.3">
      <c r="A165" s="13" t="s">
        <v>378</v>
      </c>
      <c r="B165" s="13" t="s">
        <v>144</v>
      </c>
      <c r="C165" s="2">
        <v>10</v>
      </c>
      <c r="D165" s="2">
        <v>9</v>
      </c>
      <c r="E165" s="2">
        <v>4</v>
      </c>
      <c r="F165" s="2">
        <v>6</v>
      </c>
      <c r="G165" s="2">
        <v>6</v>
      </c>
      <c r="H165" s="2">
        <v>5</v>
      </c>
      <c r="I165" s="2">
        <v>7</v>
      </c>
      <c r="K165" s="7" t="s">
        <v>160</v>
      </c>
      <c r="L165" s="8">
        <v>3</v>
      </c>
    </row>
    <row r="166" spans="1:12" x14ac:dyDescent="0.3">
      <c r="A166" s="13" t="s">
        <v>379</v>
      </c>
      <c r="B166" s="13" t="s">
        <v>170</v>
      </c>
      <c r="C166" s="2"/>
      <c r="D166" s="2"/>
      <c r="E166" s="2"/>
      <c r="F166" s="2"/>
      <c r="G166" s="2"/>
      <c r="H166" s="2"/>
      <c r="I166" s="2">
        <v>1</v>
      </c>
      <c r="K166" s="7" t="s">
        <v>161</v>
      </c>
      <c r="L166" s="8">
        <v>0</v>
      </c>
    </row>
    <row r="167" spans="1:12" x14ac:dyDescent="0.3">
      <c r="A167" s="13" t="s">
        <v>380</v>
      </c>
      <c r="B167" s="13" t="s">
        <v>158</v>
      </c>
      <c r="C167" s="2"/>
      <c r="D167" s="2">
        <v>1</v>
      </c>
      <c r="E167" s="2">
        <v>1</v>
      </c>
      <c r="F167" s="2">
        <v>1</v>
      </c>
      <c r="G167" s="2">
        <v>1</v>
      </c>
      <c r="H167" s="2">
        <v>2</v>
      </c>
      <c r="I167" s="2">
        <v>1</v>
      </c>
      <c r="K167" s="7" t="s">
        <v>162</v>
      </c>
      <c r="L167" s="8">
        <v>0</v>
      </c>
    </row>
    <row r="168" spans="1:12" x14ac:dyDescent="0.3">
      <c r="A168" s="13" t="s">
        <v>381</v>
      </c>
      <c r="B168" s="13" t="s">
        <v>165</v>
      </c>
      <c r="C168" s="2"/>
      <c r="D168" s="2"/>
      <c r="E168" s="2"/>
      <c r="F168" s="2"/>
      <c r="G168" s="2"/>
      <c r="H168" s="2">
        <v>1</v>
      </c>
      <c r="I168" s="2"/>
      <c r="K168" s="7" t="s">
        <v>163</v>
      </c>
      <c r="L168" s="8">
        <v>0</v>
      </c>
    </row>
    <row r="169" spans="1:12" x14ac:dyDescent="0.3">
      <c r="A169" s="13" t="s">
        <v>382</v>
      </c>
      <c r="B169" s="13" t="s">
        <v>161</v>
      </c>
      <c r="C169" s="2">
        <v>2</v>
      </c>
      <c r="D169" s="2"/>
      <c r="E169" s="2"/>
      <c r="F169" s="2">
        <v>1</v>
      </c>
      <c r="G169" s="2">
        <v>3</v>
      </c>
      <c r="H169" s="2">
        <v>2</v>
      </c>
      <c r="I169" s="2">
        <v>1</v>
      </c>
      <c r="K169" s="7" t="s">
        <v>164</v>
      </c>
      <c r="L169" s="8">
        <v>1</v>
      </c>
    </row>
    <row r="170" spans="1:12" x14ac:dyDescent="0.3">
      <c r="A170" s="13" t="s">
        <v>383</v>
      </c>
      <c r="B170" s="13" t="s">
        <v>150</v>
      </c>
      <c r="C170" s="2">
        <v>1</v>
      </c>
      <c r="D170" s="2">
        <v>3</v>
      </c>
      <c r="E170" s="2">
        <v>8</v>
      </c>
      <c r="F170" s="2">
        <v>4</v>
      </c>
      <c r="G170" s="2">
        <v>4</v>
      </c>
      <c r="H170" s="2">
        <v>7</v>
      </c>
      <c r="I170" s="2">
        <v>9</v>
      </c>
      <c r="K170" s="7" t="s">
        <v>165</v>
      </c>
      <c r="L170" s="8">
        <v>0</v>
      </c>
    </row>
    <row r="171" spans="1:12" x14ac:dyDescent="0.3">
      <c r="A171" s="13" t="s">
        <v>384</v>
      </c>
      <c r="B171" s="13" t="s">
        <v>160</v>
      </c>
      <c r="C171" s="2"/>
      <c r="D171" s="2"/>
      <c r="E171" s="2"/>
      <c r="F171" s="2"/>
      <c r="G171" s="2">
        <v>2</v>
      </c>
      <c r="H171" s="2">
        <v>1</v>
      </c>
      <c r="I171" s="2">
        <v>2</v>
      </c>
      <c r="K171" s="7" t="s">
        <v>166</v>
      </c>
      <c r="L171" s="8">
        <v>0</v>
      </c>
    </row>
    <row r="172" spans="1:12" x14ac:dyDescent="0.3">
      <c r="A172" s="13" t="s">
        <v>385</v>
      </c>
      <c r="B172" s="13" t="s">
        <v>148</v>
      </c>
      <c r="C172" s="2"/>
      <c r="D172" s="2">
        <v>1</v>
      </c>
      <c r="E172" s="2">
        <v>2</v>
      </c>
      <c r="F172" s="2">
        <v>1</v>
      </c>
      <c r="G172" s="2">
        <v>2</v>
      </c>
      <c r="H172" s="2">
        <v>7</v>
      </c>
      <c r="I172" s="2">
        <v>7</v>
      </c>
      <c r="K172" s="7" t="s">
        <v>167</v>
      </c>
      <c r="L172" s="8">
        <v>0</v>
      </c>
    </row>
    <row r="173" spans="1:12" x14ac:dyDescent="0.3">
      <c r="A173" s="13" t="s">
        <v>386</v>
      </c>
      <c r="B173" s="13" t="s">
        <v>146</v>
      </c>
      <c r="C173" s="2"/>
      <c r="D173" s="2">
        <v>1</v>
      </c>
      <c r="E173" s="2">
        <v>2</v>
      </c>
      <c r="F173" s="2">
        <v>1</v>
      </c>
      <c r="G173" s="2">
        <v>2</v>
      </c>
      <c r="H173" s="2">
        <v>6</v>
      </c>
      <c r="I173" s="2">
        <v>15</v>
      </c>
      <c r="K173" s="7" t="s">
        <v>168</v>
      </c>
      <c r="L173" s="8">
        <v>0</v>
      </c>
    </row>
    <row r="174" spans="1:12" x14ac:dyDescent="0.3">
      <c r="A174" s="13" t="s">
        <v>387</v>
      </c>
      <c r="B174" s="13" t="s">
        <v>152</v>
      </c>
      <c r="C174" s="2">
        <v>1</v>
      </c>
      <c r="D174" s="2">
        <v>1</v>
      </c>
      <c r="E174" s="2">
        <v>2</v>
      </c>
      <c r="F174" s="2">
        <v>2</v>
      </c>
      <c r="G174" s="2">
        <v>2</v>
      </c>
      <c r="H174" s="2">
        <v>1</v>
      </c>
      <c r="I174" s="2">
        <v>6</v>
      </c>
      <c r="K174" s="7" t="s">
        <v>169</v>
      </c>
      <c r="L174" s="8">
        <v>0</v>
      </c>
    </row>
    <row r="175" spans="1:12" x14ac:dyDescent="0.3">
      <c r="A175" s="13" t="s">
        <v>388</v>
      </c>
      <c r="B175" s="13" t="s">
        <v>349</v>
      </c>
      <c r="C175" s="2">
        <v>1</v>
      </c>
      <c r="D175" s="2"/>
      <c r="E175" s="2"/>
      <c r="F175" s="2">
        <v>1</v>
      </c>
      <c r="G175" s="2"/>
      <c r="H175" s="2"/>
      <c r="I175" s="2"/>
      <c r="K175" s="7" t="s">
        <v>170</v>
      </c>
      <c r="L175" s="8">
        <v>0</v>
      </c>
    </row>
    <row r="176" spans="1:12" x14ac:dyDescent="0.3">
      <c r="A176" s="13" t="s">
        <v>389</v>
      </c>
      <c r="B176" s="13" t="s">
        <v>179</v>
      </c>
      <c r="C176" s="2">
        <v>24</v>
      </c>
      <c r="D176" s="2">
        <v>16</v>
      </c>
      <c r="E176" s="2">
        <v>13</v>
      </c>
      <c r="F176" s="2">
        <v>7</v>
      </c>
      <c r="G176" s="2">
        <v>17</v>
      </c>
      <c r="H176" s="2">
        <v>7</v>
      </c>
      <c r="I176" s="2">
        <v>5</v>
      </c>
      <c r="K176" s="7" t="s">
        <v>171</v>
      </c>
      <c r="L176" s="8">
        <v>0</v>
      </c>
    </row>
    <row r="177" spans="1:12" x14ac:dyDescent="0.3">
      <c r="A177" s="13" t="s">
        <v>390</v>
      </c>
      <c r="B177" s="13" t="s">
        <v>178</v>
      </c>
      <c r="C177" s="2">
        <v>24</v>
      </c>
      <c r="D177" s="2">
        <v>5</v>
      </c>
      <c r="E177" s="2">
        <v>9</v>
      </c>
      <c r="F177" s="2">
        <v>12</v>
      </c>
      <c r="G177" s="2">
        <v>5</v>
      </c>
      <c r="H177" s="2">
        <v>6</v>
      </c>
      <c r="I177" s="2">
        <v>11</v>
      </c>
      <c r="K177" s="7" t="s">
        <v>172</v>
      </c>
      <c r="L177" s="8">
        <v>0</v>
      </c>
    </row>
    <row r="178" spans="1:12" x14ac:dyDescent="0.3">
      <c r="A178" s="13" t="s">
        <v>391</v>
      </c>
      <c r="B178" s="13" t="s">
        <v>180</v>
      </c>
      <c r="C178" s="2">
        <v>7</v>
      </c>
      <c r="D178" s="2">
        <v>1</v>
      </c>
      <c r="E178" s="2">
        <v>5</v>
      </c>
      <c r="F178" s="2">
        <v>6</v>
      </c>
      <c r="G178" s="2">
        <v>6</v>
      </c>
      <c r="H178" s="2">
        <v>7</v>
      </c>
      <c r="I178" s="2">
        <v>5</v>
      </c>
      <c r="K178" s="7" t="s">
        <v>173</v>
      </c>
      <c r="L178" s="8">
        <v>0</v>
      </c>
    </row>
    <row r="179" spans="1:12" x14ac:dyDescent="0.3">
      <c r="A179" s="13" t="s">
        <v>392</v>
      </c>
      <c r="B179" s="13" t="s">
        <v>181</v>
      </c>
      <c r="C179" s="2">
        <v>2</v>
      </c>
      <c r="D179" s="2">
        <v>3</v>
      </c>
      <c r="E179" s="2">
        <v>2</v>
      </c>
      <c r="F179" s="2"/>
      <c r="G179" s="2">
        <v>3</v>
      </c>
      <c r="H179" s="2">
        <v>4</v>
      </c>
      <c r="I179" s="2">
        <v>2</v>
      </c>
      <c r="K179" s="7" t="s">
        <v>174</v>
      </c>
      <c r="L179" s="8">
        <v>0</v>
      </c>
    </row>
    <row r="180" spans="1:12" x14ac:dyDescent="0.3">
      <c r="A180" s="13" t="s">
        <v>393</v>
      </c>
      <c r="B180" s="13" t="s">
        <v>183</v>
      </c>
      <c r="C180" s="2"/>
      <c r="D180" s="2"/>
      <c r="E180" s="2">
        <v>3</v>
      </c>
      <c r="F180" s="2">
        <v>2</v>
      </c>
      <c r="G180" s="2">
        <v>1</v>
      </c>
      <c r="H180" s="2">
        <v>1</v>
      </c>
      <c r="I180" s="2">
        <v>4</v>
      </c>
      <c r="K180" s="7" t="s">
        <v>175</v>
      </c>
      <c r="L180" s="8">
        <v>0</v>
      </c>
    </row>
    <row r="181" spans="1:12" x14ac:dyDescent="0.3">
      <c r="A181" s="13" t="s">
        <v>394</v>
      </c>
      <c r="B181" s="13" t="s">
        <v>182</v>
      </c>
      <c r="C181" s="2">
        <v>1</v>
      </c>
      <c r="D181" s="2"/>
      <c r="E181" s="2"/>
      <c r="F181" s="2">
        <v>2</v>
      </c>
      <c r="G181" s="2">
        <v>4</v>
      </c>
      <c r="H181" s="2">
        <v>1</v>
      </c>
      <c r="I181" s="2">
        <v>4</v>
      </c>
      <c r="K181" s="7" t="s">
        <v>176</v>
      </c>
      <c r="L181" s="8">
        <v>0</v>
      </c>
    </row>
    <row r="182" spans="1:12" ht="15.6" x14ac:dyDescent="0.3">
      <c r="A182" s="13" t="s">
        <v>395</v>
      </c>
      <c r="B182" s="13" t="s">
        <v>187</v>
      </c>
      <c r="C182" s="2"/>
      <c r="D182" s="2"/>
      <c r="E182" s="2"/>
      <c r="F182" s="2"/>
      <c r="G182" s="2"/>
      <c r="H182" s="2">
        <v>1</v>
      </c>
      <c r="I182" s="2"/>
      <c r="K182" s="6" t="s">
        <v>418</v>
      </c>
      <c r="L182" s="6">
        <v>33</v>
      </c>
    </row>
    <row r="183" spans="1:12" x14ac:dyDescent="0.3">
      <c r="A183" s="13" t="s">
        <v>396</v>
      </c>
      <c r="B183" s="13" t="s">
        <v>397</v>
      </c>
      <c r="C183" s="2"/>
      <c r="D183" s="2"/>
      <c r="E183" s="2">
        <v>1</v>
      </c>
      <c r="F183" s="2">
        <v>3</v>
      </c>
      <c r="G183" s="2"/>
      <c r="H183" s="2"/>
      <c r="I183" s="2"/>
      <c r="K183" s="7" t="s">
        <v>178</v>
      </c>
      <c r="L183" s="8">
        <v>12</v>
      </c>
    </row>
    <row r="184" spans="1:12" x14ac:dyDescent="0.3">
      <c r="A184" s="13" t="s">
        <v>398</v>
      </c>
      <c r="B184" s="13" t="s">
        <v>399</v>
      </c>
      <c r="C184" s="2">
        <v>1</v>
      </c>
      <c r="D184" s="2"/>
      <c r="E184" s="2"/>
      <c r="F184" s="2"/>
      <c r="G184" s="2"/>
      <c r="H184" s="2"/>
      <c r="I184" s="2"/>
      <c r="K184" s="7" t="s">
        <v>179</v>
      </c>
      <c r="L184" s="8">
        <v>2</v>
      </c>
    </row>
    <row r="185" spans="1:12" x14ac:dyDescent="0.3">
      <c r="A185" s="13" t="s">
        <v>400</v>
      </c>
      <c r="B185" s="13" t="s">
        <v>401</v>
      </c>
      <c r="C185" s="2"/>
      <c r="D185" s="2"/>
      <c r="E185" s="2">
        <v>1</v>
      </c>
      <c r="F185" s="2">
        <v>1</v>
      </c>
      <c r="G185" s="2"/>
      <c r="H185" s="2"/>
      <c r="I185" s="2"/>
      <c r="K185" s="7" t="s">
        <v>180</v>
      </c>
      <c r="L185" s="8">
        <v>7</v>
      </c>
    </row>
    <row r="186" spans="1:12" x14ac:dyDescent="0.3">
      <c r="A186" s="13" t="s">
        <v>402</v>
      </c>
      <c r="B186" s="13" t="s">
        <v>186</v>
      </c>
      <c r="C186" s="2"/>
      <c r="D186" s="2"/>
      <c r="E186" s="2"/>
      <c r="F186" s="2"/>
      <c r="G186" s="2"/>
      <c r="H186" s="2">
        <v>1</v>
      </c>
      <c r="I186" s="2"/>
      <c r="K186" s="7" t="s">
        <v>181</v>
      </c>
      <c r="L186" s="8">
        <v>4</v>
      </c>
    </row>
    <row r="187" spans="1:12" x14ac:dyDescent="0.3">
      <c r="A187" s="13" t="s">
        <v>403</v>
      </c>
      <c r="B187" s="13" t="s">
        <v>404</v>
      </c>
      <c r="C187" s="2">
        <v>1</v>
      </c>
      <c r="D187" s="2"/>
      <c r="E187" s="2"/>
      <c r="F187" s="2"/>
      <c r="G187" s="2"/>
      <c r="H187" s="2"/>
      <c r="I187" s="2"/>
      <c r="K187" s="7" t="s">
        <v>182</v>
      </c>
      <c r="L187" s="8">
        <v>2</v>
      </c>
    </row>
    <row r="188" spans="1:12" x14ac:dyDescent="0.3">
      <c r="A188" s="13" t="s">
        <v>405</v>
      </c>
      <c r="B188" s="13" t="s">
        <v>189</v>
      </c>
      <c r="C188" s="2">
        <v>7</v>
      </c>
      <c r="D188" s="2">
        <v>7</v>
      </c>
      <c r="E188" s="2">
        <v>13</v>
      </c>
      <c r="F188" s="2">
        <v>6</v>
      </c>
      <c r="G188" s="2">
        <v>11</v>
      </c>
      <c r="H188" s="2">
        <v>20</v>
      </c>
      <c r="I188" s="2">
        <v>10</v>
      </c>
      <c r="K188" s="7" t="s">
        <v>183</v>
      </c>
      <c r="L188" s="8">
        <v>4</v>
      </c>
    </row>
    <row r="189" spans="1:12" x14ac:dyDescent="0.3">
      <c r="A189" s="13" t="s">
        <v>406</v>
      </c>
      <c r="B189" s="13" t="s">
        <v>193</v>
      </c>
      <c r="C189" s="2"/>
      <c r="D189" s="2"/>
      <c r="E189" s="2"/>
      <c r="F189" s="2"/>
      <c r="G189" s="2"/>
      <c r="H189" s="2">
        <v>1</v>
      </c>
      <c r="I189" s="2"/>
      <c r="K189" s="7" t="s">
        <v>184</v>
      </c>
      <c r="L189" s="8">
        <v>1</v>
      </c>
    </row>
    <row r="190" spans="1:12" x14ac:dyDescent="0.3">
      <c r="A190" s="13" t="s">
        <v>407</v>
      </c>
      <c r="B190" s="13" t="s">
        <v>192</v>
      </c>
      <c r="C190" s="2">
        <v>1</v>
      </c>
      <c r="D190" s="2"/>
      <c r="E190" s="2"/>
      <c r="F190" s="2"/>
      <c r="G190" s="2"/>
      <c r="H190" s="2">
        <v>1</v>
      </c>
      <c r="I190" s="2"/>
      <c r="K190" s="7" t="s">
        <v>185</v>
      </c>
      <c r="L190" s="8">
        <v>1</v>
      </c>
    </row>
    <row r="191" spans="1:12" x14ac:dyDescent="0.3">
      <c r="A191" s="13" t="s">
        <v>408</v>
      </c>
      <c r="B191" s="13" t="s">
        <v>191</v>
      </c>
      <c r="C191" s="2"/>
      <c r="D191" s="2"/>
      <c r="E191" s="2"/>
      <c r="F191" s="2"/>
      <c r="G191" s="2"/>
      <c r="H191" s="2">
        <v>1</v>
      </c>
      <c r="I191" s="2"/>
      <c r="K191" s="7" t="s">
        <v>186</v>
      </c>
      <c r="L191" s="8">
        <v>0</v>
      </c>
    </row>
    <row r="192" spans="1:12" x14ac:dyDescent="0.3">
      <c r="A192" s="13" t="s">
        <v>409</v>
      </c>
      <c r="B192" s="13" t="s">
        <v>190</v>
      </c>
      <c r="C192" s="2"/>
      <c r="D192" s="2"/>
      <c r="E192" s="2"/>
      <c r="F192" s="2"/>
      <c r="G192" s="2"/>
      <c r="H192" s="2">
        <v>2</v>
      </c>
      <c r="I192" s="2"/>
      <c r="K192" s="7" t="s">
        <v>187</v>
      </c>
      <c r="L192" s="8">
        <v>0</v>
      </c>
    </row>
    <row r="193" spans="1:12" ht="15.6" x14ac:dyDescent="0.3">
      <c r="B193" s="14" t="s">
        <v>410</v>
      </c>
      <c r="C193" s="3">
        <f>SUM(C10:C192)</f>
        <v>747</v>
      </c>
      <c r="D193" s="3">
        <f t="shared" ref="D193:I193" si="0">SUM(D10:D192)</f>
        <v>574</v>
      </c>
      <c r="E193" s="3">
        <f t="shared" si="0"/>
        <v>497</v>
      </c>
      <c r="F193" s="3">
        <f t="shared" si="0"/>
        <v>428</v>
      </c>
      <c r="G193" s="3">
        <f t="shared" si="0"/>
        <v>417</v>
      </c>
      <c r="H193" s="3">
        <f t="shared" si="0"/>
        <v>485</v>
      </c>
      <c r="I193" s="3">
        <f t="shared" si="0"/>
        <v>540</v>
      </c>
      <c r="K193" s="6" t="s">
        <v>419</v>
      </c>
      <c r="L193" s="6">
        <v>12</v>
      </c>
    </row>
    <row r="194" spans="1:12" x14ac:dyDescent="0.3">
      <c r="K194" s="7" t="s">
        <v>189</v>
      </c>
      <c r="L194" s="8">
        <v>11</v>
      </c>
    </row>
    <row r="195" spans="1:12" x14ac:dyDescent="0.3">
      <c r="K195" s="7" t="s">
        <v>190</v>
      </c>
      <c r="L195" s="8">
        <v>0</v>
      </c>
    </row>
    <row r="196" spans="1:12" x14ac:dyDescent="0.3">
      <c r="K196" s="7" t="s">
        <v>191</v>
      </c>
      <c r="L196" s="8">
        <v>0</v>
      </c>
    </row>
    <row r="197" spans="1:12" x14ac:dyDescent="0.3">
      <c r="K197" s="7" t="s">
        <v>192</v>
      </c>
      <c r="L197" s="8">
        <v>0</v>
      </c>
    </row>
    <row r="198" spans="1:12" x14ac:dyDescent="0.3">
      <c r="K198" s="7" t="s">
        <v>193</v>
      </c>
      <c r="L198" s="8">
        <v>0</v>
      </c>
    </row>
    <row r="199" spans="1:12" x14ac:dyDescent="0.3">
      <c r="K199" s="7" t="s">
        <v>194</v>
      </c>
      <c r="L199" s="8">
        <v>1</v>
      </c>
    </row>
    <row r="200" spans="1:12" ht="14.4" x14ac:dyDescent="0.3">
      <c r="K200" s="9" t="s">
        <v>195</v>
      </c>
      <c r="L200" s="10">
        <v>453</v>
      </c>
    </row>
    <row r="202" spans="1:12" x14ac:dyDescent="0.3">
      <c r="A202" s="11" t="s">
        <v>196</v>
      </c>
      <c r="B202" s="4"/>
    </row>
    <row r="203" spans="1:12" x14ac:dyDescent="0.3">
      <c r="A203" s="12" t="s">
        <v>197</v>
      </c>
      <c r="B203" s="4"/>
    </row>
    <row r="204" spans="1:12" x14ac:dyDescent="0.3">
      <c r="A204" s="12" t="s">
        <v>198</v>
      </c>
      <c r="B204" s="4"/>
    </row>
    <row r="205" spans="1:12" x14ac:dyDescent="0.3">
      <c r="A205" s="32" t="s">
        <v>199</v>
      </c>
      <c r="B205" s="32"/>
    </row>
  </sheetData>
  <mergeCells count="5">
    <mergeCell ref="A205:B205"/>
    <mergeCell ref="A7:I7"/>
    <mergeCell ref="A8:A9"/>
    <mergeCell ref="B8:B9"/>
    <mergeCell ref="C8:I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9B9E-1AAB-4590-B983-3CD9CDC43419}">
  <dimension ref="A1:Z351"/>
  <sheetViews>
    <sheetView zoomScale="90" zoomScaleNormal="90" workbookViewId="0">
      <pane xSplit="5" ySplit="1" topLeftCell="N233" activePane="bottomRight" state="frozen"/>
      <selection pane="topRight" activeCell="F1" sqref="F1"/>
      <selection pane="bottomLeft" activeCell="A2" sqref="A2"/>
      <selection pane="bottomRight" activeCell="A246" sqref="A246:Q248"/>
    </sheetView>
  </sheetViews>
  <sheetFormatPr baseColWidth="10" defaultRowHeight="14.4" x14ac:dyDescent="0.3"/>
  <cols>
    <col min="1" max="1" width="12.33203125" bestFit="1" customWidth="1"/>
    <col min="2" max="2" width="25.6640625" bestFit="1" customWidth="1"/>
    <col min="3" max="3" width="21.6640625" customWidth="1"/>
    <col min="4" max="4" width="31.6640625" bestFit="1" customWidth="1"/>
    <col min="6" max="11" width="14.109375" bestFit="1" customWidth="1"/>
    <col min="12" max="17" width="15.33203125" bestFit="1" customWidth="1"/>
    <col min="18" max="23" width="22.88671875" customWidth="1"/>
    <col min="24" max="25" width="32.5546875" customWidth="1"/>
  </cols>
  <sheetData>
    <row r="1" spans="1:25" s="19" customFormat="1" ht="30" customHeight="1" x14ac:dyDescent="0.3">
      <c r="A1" s="18" t="s">
        <v>420</v>
      </c>
      <c r="B1" s="18" t="s">
        <v>421</v>
      </c>
      <c r="C1" s="18" t="s">
        <v>422</v>
      </c>
      <c r="D1" s="18" t="s">
        <v>423</v>
      </c>
      <c r="E1" s="18" t="s">
        <v>424</v>
      </c>
      <c r="F1" s="18" t="s">
        <v>719</v>
      </c>
      <c r="G1" s="18" t="s">
        <v>718</v>
      </c>
      <c r="H1" s="18" t="s">
        <v>720</v>
      </c>
      <c r="I1" s="18" t="s">
        <v>721</v>
      </c>
      <c r="J1" s="18" t="s">
        <v>722</v>
      </c>
      <c r="K1" s="18" t="s">
        <v>723</v>
      </c>
      <c r="L1" s="18" t="s">
        <v>711</v>
      </c>
      <c r="M1" s="18" t="s">
        <v>712</v>
      </c>
      <c r="N1" s="18" t="s">
        <v>713</v>
      </c>
      <c r="O1" s="18" t="s">
        <v>714</v>
      </c>
      <c r="P1" s="18" t="s">
        <v>715</v>
      </c>
      <c r="Q1" s="18" t="s">
        <v>716</v>
      </c>
      <c r="R1" s="18" t="s">
        <v>724</v>
      </c>
      <c r="S1" s="18" t="s">
        <v>725</v>
      </c>
      <c r="T1" s="18" t="s">
        <v>726</v>
      </c>
      <c r="U1" s="18" t="s">
        <v>727</v>
      </c>
      <c r="V1" s="18" t="s">
        <v>728</v>
      </c>
      <c r="W1" s="18" t="s">
        <v>729</v>
      </c>
      <c r="X1" s="18" t="s">
        <v>730</v>
      </c>
      <c r="Y1" s="18" t="s">
        <v>731</v>
      </c>
    </row>
    <row r="2" spans="1:25" x14ac:dyDescent="0.3">
      <c r="A2" s="13" t="s">
        <v>10</v>
      </c>
      <c r="B2" s="13" t="s">
        <v>425</v>
      </c>
      <c r="C2" s="13" t="s">
        <v>11</v>
      </c>
      <c r="D2" s="13" t="s">
        <v>11</v>
      </c>
      <c r="E2" s="17">
        <v>10101</v>
      </c>
      <c r="F2" s="17">
        <v>276257</v>
      </c>
      <c r="G2" s="17">
        <v>279184</v>
      </c>
      <c r="H2" s="17">
        <v>282111</v>
      </c>
      <c r="I2" s="17">
        <v>290892</v>
      </c>
      <c r="J2" s="17">
        <v>293819</v>
      </c>
      <c r="K2" s="17">
        <v>296746</v>
      </c>
      <c r="L2" s="13">
        <v>21</v>
      </c>
      <c r="M2" s="13">
        <v>12</v>
      </c>
      <c r="N2" s="13">
        <v>11</v>
      </c>
      <c r="O2" s="13">
        <v>10</v>
      </c>
      <c r="P2" s="13">
        <v>5</v>
      </c>
      <c r="Q2" s="13">
        <v>5</v>
      </c>
      <c r="R2" s="21">
        <f t="shared" ref="R2:W2" si="0">(L2/F2)*100000</f>
        <v>7.6016173345833762</v>
      </c>
      <c r="S2" s="21">
        <f t="shared" si="0"/>
        <v>4.2982405868531153</v>
      </c>
      <c r="T2" s="21">
        <f t="shared" si="0"/>
        <v>3.8991744384302631</v>
      </c>
      <c r="U2" s="21">
        <f t="shared" si="0"/>
        <v>3.4377019649904432</v>
      </c>
      <c r="V2" s="21">
        <f t="shared" si="0"/>
        <v>1.7017279345447367</v>
      </c>
      <c r="W2" s="21">
        <f t="shared" si="0"/>
        <v>1.684942678250086</v>
      </c>
      <c r="X2" s="21">
        <f>AVERAGE(R2:T2)</f>
        <v>5.2663441199555852</v>
      </c>
      <c r="Y2" s="21">
        <f>AVERAGE(U2:W2)</f>
        <v>2.2747908592617554</v>
      </c>
    </row>
    <row r="3" spans="1:25" x14ac:dyDescent="0.3">
      <c r="A3" s="13" t="s">
        <v>10</v>
      </c>
      <c r="B3" s="13" t="s">
        <v>425</v>
      </c>
      <c r="C3" s="13" t="s">
        <v>22</v>
      </c>
      <c r="D3" s="13" t="s">
        <v>22</v>
      </c>
      <c r="E3" s="17">
        <v>10102</v>
      </c>
      <c r="F3" s="17">
        <v>9376</v>
      </c>
      <c r="G3" s="17">
        <v>9359</v>
      </c>
      <c r="H3" s="17">
        <v>9341</v>
      </c>
      <c r="I3" s="17">
        <v>9290</v>
      </c>
      <c r="J3" s="17">
        <v>9273</v>
      </c>
      <c r="K3" s="17">
        <v>9256</v>
      </c>
      <c r="L3" s="13">
        <v>0</v>
      </c>
      <c r="M3" s="13">
        <v>0</v>
      </c>
      <c r="N3" s="13">
        <v>0</v>
      </c>
      <c r="O3" s="13">
        <v>1</v>
      </c>
      <c r="P3" s="13">
        <v>0</v>
      </c>
      <c r="Q3" s="13">
        <v>0</v>
      </c>
      <c r="R3" s="21">
        <f t="shared" ref="R3:R66" si="1">(L3/F3)*100000</f>
        <v>0</v>
      </c>
      <c r="S3" s="21">
        <f t="shared" ref="S3:S66" si="2">(M3/G3)*100000</f>
        <v>0</v>
      </c>
      <c r="T3" s="21">
        <f t="shared" ref="T3:T66" si="3">(N3/H3)*100000</f>
        <v>0</v>
      </c>
      <c r="U3" s="21">
        <f t="shared" ref="U3:U66" si="4">(O3/I3)*100000</f>
        <v>10.764262648008613</v>
      </c>
      <c r="V3" s="21">
        <f t="shared" ref="V3:V66" si="5">(P3/J3)*100000</f>
        <v>0</v>
      </c>
      <c r="W3" s="21">
        <f t="shared" ref="W3:W66" si="6">(Q3/K3)*100000</f>
        <v>0</v>
      </c>
      <c r="X3" s="21">
        <f t="shared" ref="X3:X66" si="7">AVERAGE(R3:T3)</f>
        <v>0</v>
      </c>
      <c r="Y3" s="21">
        <f t="shared" ref="Y3:Y66" si="8">AVERAGE(U3:W3)</f>
        <v>3.5880875493362043</v>
      </c>
    </row>
    <row r="4" spans="1:25" x14ac:dyDescent="0.3">
      <c r="A4" s="13" t="s">
        <v>10</v>
      </c>
      <c r="B4" s="13" t="s">
        <v>425</v>
      </c>
      <c r="C4" s="13" t="s">
        <v>19</v>
      </c>
      <c r="D4" s="13" t="s">
        <v>19</v>
      </c>
      <c r="E4" s="17">
        <v>10103</v>
      </c>
      <c r="F4" s="17">
        <v>15331</v>
      </c>
      <c r="G4" s="17">
        <v>15091</v>
      </c>
      <c r="H4" s="17">
        <v>14850</v>
      </c>
      <c r="I4" s="17">
        <v>14130</v>
      </c>
      <c r="J4" s="17">
        <v>13889</v>
      </c>
      <c r="K4" s="17">
        <v>13649</v>
      </c>
      <c r="L4" s="13">
        <v>1</v>
      </c>
      <c r="M4" s="13">
        <v>1</v>
      </c>
      <c r="N4" s="13">
        <v>0</v>
      </c>
      <c r="O4" s="13">
        <v>1</v>
      </c>
      <c r="P4" s="13">
        <v>0</v>
      </c>
      <c r="Q4" s="13">
        <v>0</v>
      </c>
      <c r="R4" s="21">
        <f t="shared" si="1"/>
        <v>6.5227317200443542</v>
      </c>
      <c r="S4" s="21">
        <f t="shared" si="2"/>
        <v>6.6264661056258696</v>
      </c>
      <c r="T4" s="21">
        <f t="shared" si="3"/>
        <v>0</v>
      </c>
      <c r="U4" s="21">
        <f t="shared" si="4"/>
        <v>7.077140835102619</v>
      </c>
      <c r="V4" s="21">
        <f t="shared" si="5"/>
        <v>0</v>
      </c>
      <c r="W4" s="21">
        <f t="shared" si="6"/>
        <v>0</v>
      </c>
      <c r="X4" s="21">
        <f t="shared" si="7"/>
        <v>4.3830659418900746</v>
      </c>
      <c r="Y4" s="21">
        <f t="shared" si="8"/>
        <v>2.3590469450342062</v>
      </c>
    </row>
    <row r="5" spans="1:25" x14ac:dyDescent="0.3">
      <c r="A5" s="13" t="s">
        <v>10</v>
      </c>
      <c r="B5" s="13" t="s">
        <v>426</v>
      </c>
      <c r="C5" s="13" t="s">
        <v>427</v>
      </c>
      <c r="D5" s="13" t="s">
        <v>427</v>
      </c>
      <c r="E5" s="17">
        <v>10201</v>
      </c>
      <c r="F5" s="17">
        <v>9507</v>
      </c>
      <c r="G5" s="17">
        <v>9278</v>
      </c>
      <c r="H5" s="17">
        <v>9048</v>
      </c>
      <c r="I5" s="17">
        <v>8361</v>
      </c>
      <c r="J5" s="17">
        <v>8132</v>
      </c>
      <c r="K5" s="17">
        <v>7903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21">
        <f t="shared" si="1"/>
        <v>0</v>
      </c>
      <c r="S5" s="21">
        <f t="shared" si="2"/>
        <v>0</v>
      </c>
      <c r="T5" s="21">
        <f t="shared" si="3"/>
        <v>0</v>
      </c>
      <c r="U5" s="21">
        <f t="shared" si="4"/>
        <v>0</v>
      </c>
      <c r="V5" s="21">
        <f t="shared" si="5"/>
        <v>0</v>
      </c>
      <c r="W5" s="21">
        <f t="shared" si="6"/>
        <v>0</v>
      </c>
      <c r="X5" s="21">
        <f t="shared" si="7"/>
        <v>0</v>
      </c>
      <c r="Y5" s="21">
        <f t="shared" si="8"/>
        <v>0</v>
      </c>
    </row>
    <row r="6" spans="1:25" x14ac:dyDescent="0.3">
      <c r="A6" s="13" t="s">
        <v>10</v>
      </c>
      <c r="B6" s="13" t="s">
        <v>426</v>
      </c>
      <c r="C6" s="13" t="s">
        <v>23</v>
      </c>
      <c r="D6" s="13" t="s">
        <v>428</v>
      </c>
      <c r="E6" s="17">
        <v>10202</v>
      </c>
      <c r="F6" s="17">
        <v>15324</v>
      </c>
      <c r="G6" s="17">
        <v>15537</v>
      </c>
      <c r="H6" s="17">
        <v>15749</v>
      </c>
      <c r="I6" s="17">
        <v>16387</v>
      </c>
      <c r="J6" s="17">
        <v>16599</v>
      </c>
      <c r="K6" s="17">
        <v>16812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21">
        <f t="shared" si="1"/>
        <v>0</v>
      </c>
      <c r="S6" s="21">
        <f t="shared" si="2"/>
        <v>0</v>
      </c>
      <c r="T6" s="21">
        <f t="shared" si="3"/>
        <v>0</v>
      </c>
      <c r="U6" s="21">
        <f t="shared" si="4"/>
        <v>0</v>
      </c>
      <c r="V6" s="21">
        <f t="shared" si="5"/>
        <v>0</v>
      </c>
      <c r="W6" s="21">
        <f t="shared" si="6"/>
        <v>0</v>
      </c>
      <c r="X6" s="21">
        <f t="shared" si="7"/>
        <v>0</v>
      </c>
      <c r="Y6" s="21">
        <f t="shared" si="8"/>
        <v>0</v>
      </c>
    </row>
    <row r="7" spans="1:25" x14ac:dyDescent="0.3">
      <c r="A7" s="13" t="s">
        <v>10</v>
      </c>
      <c r="B7" s="13" t="s">
        <v>429</v>
      </c>
      <c r="C7" s="13" t="s">
        <v>430</v>
      </c>
      <c r="D7" s="13" t="s">
        <v>431</v>
      </c>
      <c r="E7" s="17">
        <v>10301</v>
      </c>
      <c r="F7" s="17">
        <v>12334</v>
      </c>
      <c r="G7" s="17">
        <v>12528</v>
      </c>
      <c r="H7" s="17">
        <v>12722</v>
      </c>
      <c r="I7" s="17">
        <v>13305</v>
      </c>
      <c r="J7" s="17">
        <v>13500</v>
      </c>
      <c r="K7" s="17">
        <v>13694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21">
        <f t="shared" si="1"/>
        <v>0</v>
      </c>
      <c r="S7" s="21">
        <f t="shared" si="2"/>
        <v>0</v>
      </c>
      <c r="T7" s="21">
        <f t="shared" si="3"/>
        <v>0</v>
      </c>
      <c r="U7" s="21">
        <f t="shared" si="4"/>
        <v>0</v>
      </c>
      <c r="V7" s="21">
        <f t="shared" si="5"/>
        <v>0</v>
      </c>
      <c r="W7" s="21">
        <f t="shared" si="6"/>
        <v>0</v>
      </c>
      <c r="X7" s="21">
        <f t="shared" si="7"/>
        <v>0</v>
      </c>
      <c r="Y7" s="21">
        <f t="shared" si="8"/>
        <v>0</v>
      </c>
    </row>
    <row r="8" spans="1:25" x14ac:dyDescent="0.3">
      <c r="A8" s="13" t="s">
        <v>10</v>
      </c>
      <c r="B8" s="13" t="s">
        <v>429</v>
      </c>
      <c r="C8" s="13" t="s">
        <v>432</v>
      </c>
      <c r="D8" s="13" t="s">
        <v>432</v>
      </c>
      <c r="E8" s="17">
        <v>10302</v>
      </c>
      <c r="F8" s="17">
        <v>12449</v>
      </c>
      <c r="G8" s="17">
        <v>12462</v>
      </c>
      <c r="H8" s="17">
        <v>12475</v>
      </c>
      <c r="I8" s="17">
        <v>12513</v>
      </c>
      <c r="J8" s="17">
        <v>12526</v>
      </c>
      <c r="K8" s="17">
        <v>12539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21">
        <f t="shared" si="1"/>
        <v>0</v>
      </c>
      <c r="S8" s="21">
        <f t="shared" si="2"/>
        <v>0</v>
      </c>
      <c r="T8" s="21">
        <f t="shared" si="3"/>
        <v>0</v>
      </c>
      <c r="U8" s="21">
        <f t="shared" si="4"/>
        <v>0</v>
      </c>
      <c r="V8" s="21">
        <f t="shared" si="5"/>
        <v>0</v>
      </c>
      <c r="W8" s="21">
        <f t="shared" si="6"/>
        <v>0</v>
      </c>
      <c r="X8" s="21">
        <f t="shared" si="7"/>
        <v>0</v>
      </c>
      <c r="Y8" s="21">
        <f t="shared" si="8"/>
        <v>0</v>
      </c>
    </row>
    <row r="9" spans="1:25" x14ac:dyDescent="0.3">
      <c r="A9" s="13" t="s">
        <v>10</v>
      </c>
      <c r="B9" s="13" t="s">
        <v>429</v>
      </c>
      <c r="C9" s="13" t="s">
        <v>433</v>
      </c>
      <c r="D9" s="13" t="s">
        <v>434</v>
      </c>
      <c r="E9" s="17">
        <v>10303</v>
      </c>
      <c r="F9" s="17">
        <v>8479</v>
      </c>
      <c r="G9" s="17">
        <v>8562</v>
      </c>
      <c r="H9" s="17">
        <v>8644</v>
      </c>
      <c r="I9" s="17">
        <v>8891</v>
      </c>
      <c r="J9" s="17">
        <v>8973</v>
      </c>
      <c r="K9" s="17">
        <v>9055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21">
        <f t="shared" si="1"/>
        <v>0</v>
      </c>
      <c r="S9" s="21">
        <f t="shared" si="2"/>
        <v>0</v>
      </c>
      <c r="T9" s="21">
        <f t="shared" si="3"/>
        <v>0</v>
      </c>
      <c r="U9" s="21">
        <f t="shared" si="4"/>
        <v>0</v>
      </c>
      <c r="V9" s="21">
        <f t="shared" si="5"/>
        <v>0</v>
      </c>
      <c r="W9" s="21">
        <f t="shared" si="6"/>
        <v>0</v>
      </c>
      <c r="X9" s="21">
        <f t="shared" si="7"/>
        <v>0</v>
      </c>
      <c r="Y9" s="21">
        <f t="shared" si="8"/>
        <v>0</v>
      </c>
    </row>
    <row r="10" spans="1:25" x14ac:dyDescent="0.3">
      <c r="A10" s="13" t="s">
        <v>10</v>
      </c>
      <c r="B10" s="13" t="s">
        <v>429</v>
      </c>
      <c r="C10" s="13" t="s">
        <v>435</v>
      </c>
      <c r="D10" s="13" t="s">
        <v>435</v>
      </c>
      <c r="E10" s="17">
        <v>10304</v>
      </c>
      <c r="F10" s="17">
        <v>8349</v>
      </c>
      <c r="G10" s="17">
        <v>8465</v>
      </c>
      <c r="H10" s="17">
        <v>8580</v>
      </c>
      <c r="I10" s="17">
        <v>8925</v>
      </c>
      <c r="J10" s="17">
        <v>9040</v>
      </c>
      <c r="K10" s="17">
        <v>9155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21">
        <f t="shared" si="1"/>
        <v>0</v>
      </c>
      <c r="S10" s="21">
        <f t="shared" si="2"/>
        <v>0</v>
      </c>
      <c r="T10" s="21">
        <f t="shared" si="3"/>
        <v>0</v>
      </c>
      <c r="U10" s="21">
        <f t="shared" si="4"/>
        <v>0</v>
      </c>
      <c r="V10" s="21">
        <f t="shared" si="5"/>
        <v>0</v>
      </c>
      <c r="W10" s="21">
        <f t="shared" si="6"/>
        <v>0</v>
      </c>
      <c r="X10" s="21">
        <f t="shared" si="7"/>
        <v>0</v>
      </c>
      <c r="Y10" s="21">
        <f t="shared" si="8"/>
        <v>0</v>
      </c>
    </row>
    <row r="11" spans="1:25" x14ac:dyDescent="0.3">
      <c r="A11" s="13" t="s">
        <v>10</v>
      </c>
      <c r="B11" s="13" t="s">
        <v>436</v>
      </c>
      <c r="C11" s="13" t="s">
        <v>15</v>
      </c>
      <c r="D11" s="13" t="s">
        <v>15</v>
      </c>
      <c r="E11" s="17">
        <v>10401</v>
      </c>
      <c r="F11" s="17">
        <v>9887</v>
      </c>
      <c r="G11" s="17">
        <v>9788</v>
      </c>
      <c r="H11" s="17">
        <v>9688</v>
      </c>
      <c r="I11" s="17">
        <v>9391</v>
      </c>
      <c r="J11" s="17">
        <v>9291</v>
      </c>
      <c r="K11" s="17">
        <v>9192</v>
      </c>
      <c r="L11" s="13">
        <v>0</v>
      </c>
      <c r="M11" s="13">
        <v>1</v>
      </c>
      <c r="N11" s="13">
        <v>0</v>
      </c>
      <c r="O11" s="13">
        <v>0</v>
      </c>
      <c r="P11" s="13">
        <v>0</v>
      </c>
      <c r="Q11" s="13">
        <v>1</v>
      </c>
      <c r="R11" s="21">
        <f t="shared" si="1"/>
        <v>0</v>
      </c>
      <c r="S11" s="21">
        <f t="shared" si="2"/>
        <v>10.21659174499387</v>
      </c>
      <c r="T11" s="21">
        <f t="shared" si="3"/>
        <v>0</v>
      </c>
      <c r="U11" s="21">
        <f t="shared" si="4"/>
        <v>0</v>
      </c>
      <c r="V11" s="21">
        <f t="shared" si="5"/>
        <v>0</v>
      </c>
      <c r="W11" s="21">
        <f t="shared" si="6"/>
        <v>10.879025239338555</v>
      </c>
      <c r="X11" s="21">
        <f t="shared" si="7"/>
        <v>3.4055305816646233</v>
      </c>
      <c r="Y11" s="21">
        <f t="shared" si="8"/>
        <v>3.6263417464461849</v>
      </c>
    </row>
    <row r="12" spans="1:25" x14ac:dyDescent="0.3">
      <c r="A12" s="13" t="s">
        <v>10</v>
      </c>
      <c r="B12" s="13" t="s">
        <v>436</v>
      </c>
      <c r="C12" s="13" t="s">
        <v>436</v>
      </c>
      <c r="D12" s="13" t="s">
        <v>437</v>
      </c>
      <c r="E12" s="17">
        <v>10402</v>
      </c>
      <c r="F12" s="17">
        <v>8500</v>
      </c>
      <c r="G12" s="17">
        <v>8502</v>
      </c>
      <c r="H12" s="17">
        <v>8503</v>
      </c>
      <c r="I12" s="17">
        <v>8507</v>
      </c>
      <c r="J12" s="17">
        <v>8508</v>
      </c>
      <c r="K12" s="17">
        <v>8509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21">
        <f t="shared" si="1"/>
        <v>0</v>
      </c>
      <c r="S12" s="21">
        <f t="shared" si="2"/>
        <v>0</v>
      </c>
      <c r="T12" s="21">
        <f t="shared" si="3"/>
        <v>0</v>
      </c>
      <c r="U12" s="21">
        <f t="shared" si="4"/>
        <v>0</v>
      </c>
      <c r="V12" s="21">
        <f t="shared" si="5"/>
        <v>0</v>
      </c>
      <c r="W12" s="21">
        <f t="shared" si="6"/>
        <v>0</v>
      </c>
      <c r="X12" s="21">
        <f t="shared" si="7"/>
        <v>0</v>
      </c>
      <c r="Y12" s="21">
        <f t="shared" si="8"/>
        <v>0</v>
      </c>
    </row>
    <row r="13" spans="1:25" x14ac:dyDescent="0.3">
      <c r="A13" s="13" t="s">
        <v>10</v>
      </c>
      <c r="B13" s="13" t="s">
        <v>436</v>
      </c>
      <c r="C13" s="13" t="s">
        <v>21</v>
      </c>
      <c r="D13" s="13" t="s">
        <v>438</v>
      </c>
      <c r="E13" s="17">
        <v>10403</v>
      </c>
      <c r="F13" s="17">
        <v>7158</v>
      </c>
      <c r="G13" s="17">
        <v>7127</v>
      </c>
      <c r="H13" s="17">
        <v>7096</v>
      </c>
      <c r="I13" s="17">
        <v>7004</v>
      </c>
      <c r="J13" s="17">
        <v>6973</v>
      </c>
      <c r="K13" s="17">
        <v>6942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21">
        <f t="shared" si="1"/>
        <v>0</v>
      </c>
      <c r="S13" s="21">
        <f t="shared" si="2"/>
        <v>0</v>
      </c>
      <c r="T13" s="21">
        <f t="shared" si="3"/>
        <v>0</v>
      </c>
      <c r="U13" s="21">
        <f t="shared" si="4"/>
        <v>0</v>
      </c>
      <c r="V13" s="21">
        <f t="shared" si="5"/>
        <v>0</v>
      </c>
      <c r="W13" s="21">
        <f t="shared" si="6"/>
        <v>0</v>
      </c>
      <c r="X13" s="21">
        <f t="shared" si="7"/>
        <v>0</v>
      </c>
      <c r="Y13" s="21">
        <f t="shared" si="8"/>
        <v>0</v>
      </c>
    </row>
    <row r="14" spans="1:25" x14ac:dyDescent="0.3">
      <c r="A14" s="13" t="s">
        <v>10</v>
      </c>
      <c r="B14" s="13" t="s">
        <v>436</v>
      </c>
      <c r="C14" s="13" t="s">
        <v>439</v>
      </c>
      <c r="D14" s="13" t="s">
        <v>440</v>
      </c>
      <c r="E14" s="17">
        <v>10404</v>
      </c>
      <c r="F14" s="17">
        <v>4430</v>
      </c>
      <c r="G14" s="17">
        <v>4335</v>
      </c>
      <c r="H14" s="17">
        <v>4241</v>
      </c>
      <c r="I14" s="17">
        <v>3957</v>
      </c>
      <c r="J14" s="17">
        <v>3863</v>
      </c>
      <c r="K14" s="17">
        <v>3768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21">
        <f t="shared" si="1"/>
        <v>0</v>
      </c>
      <c r="S14" s="21">
        <f t="shared" si="2"/>
        <v>0</v>
      </c>
      <c r="T14" s="21">
        <f t="shared" si="3"/>
        <v>0</v>
      </c>
      <c r="U14" s="21">
        <f t="shared" si="4"/>
        <v>0</v>
      </c>
      <c r="V14" s="21">
        <f t="shared" si="5"/>
        <v>0</v>
      </c>
      <c r="W14" s="21">
        <f t="shared" si="6"/>
        <v>0</v>
      </c>
      <c r="X14" s="21">
        <f t="shared" si="7"/>
        <v>0</v>
      </c>
      <c r="Y14" s="21">
        <f t="shared" si="8"/>
        <v>0</v>
      </c>
    </row>
    <row r="15" spans="1:25" x14ac:dyDescent="0.3">
      <c r="A15" s="13" t="s">
        <v>10</v>
      </c>
      <c r="B15" s="13" t="s">
        <v>436</v>
      </c>
      <c r="C15" s="13" t="s">
        <v>441</v>
      </c>
      <c r="D15" s="13" t="s">
        <v>441</v>
      </c>
      <c r="E15" s="17">
        <v>10405</v>
      </c>
      <c r="F15" s="17">
        <v>4960</v>
      </c>
      <c r="G15" s="17">
        <v>5060</v>
      </c>
      <c r="H15" s="17">
        <v>5159</v>
      </c>
      <c r="I15" s="17">
        <v>5456</v>
      </c>
      <c r="J15" s="17">
        <v>5555</v>
      </c>
      <c r="K15" s="17">
        <v>5654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21">
        <f t="shared" si="1"/>
        <v>0</v>
      </c>
      <c r="S15" s="21">
        <f t="shared" si="2"/>
        <v>0</v>
      </c>
      <c r="T15" s="21">
        <f t="shared" si="3"/>
        <v>0</v>
      </c>
      <c r="U15" s="21">
        <f t="shared" si="4"/>
        <v>0</v>
      </c>
      <c r="V15" s="21">
        <f t="shared" si="5"/>
        <v>0</v>
      </c>
      <c r="W15" s="21">
        <f t="shared" si="6"/>
        <v>0</v>
      </c>
      <c r="X15" s="21">
        <f t="shared" si="7"/>
        <v>0</v>
      </c>
      <c r="Y15" s="21">
        <f t="shared" si="8"/>
        <v>0</v>
      </c>
    </row>
    <row r="16" spans="1:25" x14ac:dyDescent="0.3">
      <c r="A16" s="13" t="s">
        <v>10</v>
      </c>
      <c r="B16" s="13" t="s">
        <v>442</v>
      </c>
      <c r="C16" s="13" t="s">
        <v>12</v>
      </c>
      <c r="D16" s="13" t="s">
        <v>12</v>
      </c>
      <c r="E16" s="17">
        <v>10501</v>
      </c>
      <c r="F16" s="17">
        <v>24404</v>
      </c>
      <c r="G16" s="17">
        <v>24425</v>
      </c>
      <c r="H16" s="17">
        <v>24445</v>
      </c>
      <c r="I16" s="17">
        <v>24506</v>
      </c>
      <c r="J16" s="17">
        <v>24526</v>
      </c>
      <c r="K16" s="17">
        <v>24546</v>
      </c>
      <c r="L16" s="13">
        <v>1</v>
      </c>
      <c r="M16" s="13">
        <v>0</v>
      </c>
      <c r="N16" s="13">
        <v>0</v>
      </c>
      <c r="O16" s="13">
        <v>1</v>
      </c>
      <c r="P16" s="13">
        <v>1</v>
      </c>
      <c r="Q16" s="13">
        <v>0</v>
      </c>
      <c r="R16" s="21">
        <f t="shared" si="1"/>
        <v>4.0976889034584492</v>
      </c>
      <c r="S16" s="21">
        <f t="shared" si="2"/>
        <v>0</v>
      </c>
      <c r="T16" s="21">
        <f t="shared" si="3"/>
        <v>0</v>
      </c>
      <c r="U16" s="21">
        <f t="shared" si="4"/>
        <v>4.0806333142903783</v>
      </c>
      <c r="V16" s="21">
        <f t="shared" si="5"/>
        <v>4.0773057163826145</v>
      </c>
      <c r="W16" s="21">
        <f t="shared" si="6"/>
        <v>0</v>
      </c>
      <c r="X16" s="21">
        <f t="shared" si="7"/>
        <v>1.3658963011528165</v>
      </c>
      <c r="Y16" s="21">
        <f t="shared" si="8"/>
        <v>2.7193130102243308</v>
      </c>
    </row>
    <row r="17" spans="1:25" x14ac:dyDescent="0.3">
      <c r="A17" s="13" t="s">
        <v>10</v>
      </c>
      <c r="B17" s="13" t="s">
        <v>442</v>
      </c>
      <c r="C17" s="13" t="s">
        <v>443</v>
      </c>
      <c r="D17" s="13" t="s">
        <v>443</v>
      </c>
      <c r="E17" s="17">
        <v>10502</v>
      </c>
      <c r="F17" s="17">
        <v>7870</v>
      </c>
      <c r="G17" s="17">
        <v>7775</v>
      </c>
      <c r="H17" s="17">
        <v>7679</v>
      </c>
      <c r="I17" s="17">
        <v>7392</v>
      </c>
      <c r="J17" s="17">
        <v>7296</v>
      </c>
      <c r="K17" s="17">
        <v>7200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21">
        <f t="shared" si="1"/>
        <v>0</v>
      </c>
      <c r="S17" s="21">
        <f t="shared" si="2"/>
        <v>0</v>
      </c>
      <c r="T17" s="21">
        <f t="shared" si="3"/>
        <v>0</v>
      </c>
      <c r="U17" s="21">
        <f t="shared" si="4"/>
        <v>0</v>
      </c>
      <c r="V17" s="21">
        <f t="shared" si="5"/>
        <v>0</v>
      </c>
      <c r="W17" s="21">
        <f t="shared" si="6"/>
        <v>0</v>
      </c>
      <c r="X17" s="21">
        <f t="shared" si="7"/>
        <v>0</v>
      </c>
      <c r="Y17" s="21">
        <f t="shared" si="8"/>
        <v>0</v>
      </c>
    </row>
    <row r="18" spans="1:25" x14ac:dyDescent="0.3">
      <c r="A18" s="13" t="s">
        <v>10</v>
      </c>
      <c r="B18" s="13" t="s">
        <v>20</v>
      </c>
      <c r="C18" s="13" t="s">
        <v>444</v>
      </c>
      <c r="D18" s="13" t="s">
        <v>444</v>
      </c>
      <c r="E18" s="17">
        <v>10601</v>
      </c>
      <c r="F18" s="17">
        <v>15435</v>
      </c>
      <c r="G18" s="17">
        <v>15134</v>
      </c>
      <c r="H18" s="17">
        <v>14832</v>
      </c>
      <c r="I18" s="17">
        <v>13927</v>
      </c>
      <c r="J18" s="17">
        <v>13625</v>
      </c>
      <c r="K18" s="17">
        <v>13323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21">
        <f t="shared" si="1"/>
        <v>0</v>
      </c>
      <c r="S18" s="21">
        <f t="shared" si="2"/>
        <v>0</v>
      </c>
      <c r="T18" s="21">
        <f t="shared" si="3"/>
        <v>0</v>
      </c>
      <c r="U18" s="21">
        <f t="shared" si="4"/>
        <v>0</v>
      </c>
      <c r="V18" s="21">
        <f t="shared" si="5"/>
        <v>0</v>
      </c>
      <c r="W18" s="21">
        <f t="shared" si="6"/>
        <v>0</v>
      </c>
      <c r="X18" s="21">
        <f t="shared" si="7"/>
        <v>0</v>
      </c>
      <c r="Y18" s="21">
        <f t="shared" si="8"/>
        <v>0</v>
      </c>
    </row>
    <row r="19" spans="1:25" x14ac:dyDescent="0.3">
      <c r="A19" s="13" t="s">
        <v>10</v>
      </c>
      <c r="B19" s="13" t="s">
        <v>20</v>
      </c>
      <c r="C19" s="13" t="s">
        <v>20</v>
      </c>
      <c r="D19" s="13" t="s">
        <v>20</v>
      </c>
      <c r="E19" s="17">
        <v>10602</v>
      </c>
      <c r="F19" s="17">
        <v>9431</v>
      </c>
      <c r="G19" s="17">
        <v>9296</v>
      </c>
      <c r="H19" s="17">
        <v>9160</v>
      </c>
      <c r="I19" s="17">
        <v>8752</v>
      </c>
      <c r="J19" s="17">
        <v>8616</v>
      </c>
      <c r="K19" s="17">
        <v>8480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1</v>
      </c>
      <c r="R19" s="21">
        <f t="shared" si="1"/>
        <v>0</v>
      </c>
      <c r="S19" s="21">
        <f t="shared" si="2"/>
        <v>0</v>
      </c>
      <c r="T19" s="21">
        <f t="shared" si="3"/>
        <v>0</v>
      </c>
      <c r="U19" s="21">
        <f t="shared" si="4"/>
        <v>0</v>
      </c>
      <c r="V19" s="21">
        <f t="shared" si="5"/>
        <v>0</v>
      </c>
      <c r="W19" s="21">
        <f t="shared" si="6"/>
        <v>11.79245283018868</v>
      </c>
      <c r="X19" s="21">
        <f t="shared" si="7"/>
        <v>0</v>
      </c>
      <c r="Y19" s="21">
        <f t="shared" si="8"/>
        <v>3.9308176100628933</v>
      </c>
    </row>
    <row r="20" spans="1:25" x14ac:dyDescent="0.3">
      <c r="A20" s="13" t="s">
        <v>10</v>
      </c>
      <c r="B20" s="13" t="s">
        <v>445</v>
      </c>
      <c r="C20" s="13" t="s">
        <v>14</v>
      </c>
      <c r="D20" s="13" t="s">
        <v>14</v>
      </c>
      <c r="E20" s="17">
        <v>10701</v>
      </c>
      <c r="F20" s="17">
        <v>15256</v>
      </c>
      <c r="G20" s="17">
        <v>15179</v>
      </c>
      <c r="H20" s="17">
        <v>15101</v>
      </c>
      <c r="I20" s="17">
        <v>14868</v>
      </c>
      <c r="J20" s="17">
        <v>14791</v>
      </c>
      <c r="K20" s="17">
        <v>14713</v>
      </c>
      <c r="L20" s="13">
        <v>2</v>
      </c>
      <c r="M20" s="13">
        <v>0</v>
      </c>
      <c r="N20" s="13">
        <v>0</v>
      </c>
      <c r="O20" s="13">
        <v>1</v>
      </c>
      <c r="P20" s="13">
        <v>0</v>
      </c>
      <c r="Q20" s="13">
        <v>1</v>
      </c>
      <c r="R20" s="21">
        <f t="shared" si="1"/>
        <v>13.109596224436288</v>
      </c>
      <c r="S20" s="21">
        <f t="shared" si="2"/>
        <v>0</v>
      </c>
      <c r="T20" s="21">
        <f t="shared" si="3"/>
        <v>0</v>
      </c>
      <c r="U20" s="21">
        <f t="shared" si="4"/>
        <v>6.7258541834813022</v>
      </c>
      <c r="V20" s="21">
        <f t="shared" si="5"/>
        <v>0</v>
      </c>
      <c r="W20" s="21">
        <f t="shared" si="6"/>
        <v>6.7967103921701897</v>
      </c>
      <c r="X20" s="21">
        <f t="shared" si="7"/>
        <v>4.3698654081454293</v>
      </c>
      <c r="Y20" s="21">
        <f t="shared" si="8"/>
        <v>4.5075215252171636</v>
      </c>
    </row>
    <row r="21" spans="1:25" x14ac:dyDescent="0.3">
      <c r="A21" s="13" t="s">
        <v>10</v>
      </c>
      <c r="B21" s="13" t="s">
        <v>445</v>
      </c>
      <c r="C21" s="13" t="s">
        <v>13</v>
      </c>
      <c r="D21" s="13" t="s">
        <v>13</v>
      </c>
      <c r="E21" s="17">
        <v>10702</v>
      </c>
      <c r="F21" s="17">
        <v>30101</v>
      </c>
      <c r="G21" s="17">
        <v>29618</v>
      </c>
      <c r="H21" s="17">
        <v>29134</v>
      </c>
      <c r="I21" s="17">
        <v>27683</v>
      </c>
      <c r="J21" s="17">
        <v>27199</v>
      </c>
      <c r="K21" s="17">
        <v>26715</v>
      </c>
      <c r="L21" s="13">
        <v>1</v>
      </c>
      <c r="M21" s="13">
        <v>0</v>
      </c>
      <c r="N21" s="13">
        <v>0</v>
      </c>
      <c r="O21" s="13">
        <v>1</v>
      </c>
      <c r="P21" s="13">
        <v>1</v>
      </c>
      <c r="Q21" s="13">
        <v>0</v>
      </c>
      <c r="R21" s="21">
        <f t="shared" si="1"/>
        <v>3.3221487658217335</v>
      </c>
      <c r="S21" s="21">
        <f t="shared" si="2"/>
        <v>0</v>
      </c>
      <c r="T21" s="21">
        <f t="shared" si="3"/>
        <v>0</v>
      </c>
      <c r="U21" s="21">
        <f t="shared" si="4"/>
        <v>3.612325253765849</v>
      </c>
      <c r="V21" s="21">
        <f t="shared" si="5"/>
        <v>3.6766057575646163</v>
      </c>
      <c r="W21" s="21">
        <f t="shared" si="6"/>
        <v>0</v>
      </c>
      <c r="X21" s="21">
        <f t="shared" si="7"/>
        <v>1.1073829219405777</v>
      </c>
      <c r="Y21" s="21">
        <f t="shared" si="8"/>
        <v>2.4296436704434883</v>
      </c>
    </row>
    <row r="22" spans="1:25" x14ac:dyDescent="0.3">
      <c r="A22" s="13" t="s">
        <v>10</v>
      </c>
      <c r="B22" s="13" t="s">
        <v>445</v>
      </c>
      <c r="C22" s="13" t="s">
        <v>17</v>
      </c>
      <c r="D22" s="13" t="s">
        <v>17</v>
      </c>
      <c r="E22" s="17">
        <v>10703</v>
      </c>
      <c r="F22" s="17">
        <v>14484</v>
      </c>
      <c r="G22" s="17">
        <v>14770</v>
      </c>
      <c r="H22" s="17">
        <v>15056</v>
      </c>
      <c r="I22" s="17">
        <v>15913</v>
      </c>
      <c r="J22" s="17">
        <v>16198</v>
      </c>
      <c r="K22" s="17">
        <v>16484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2</v>
      </c>
      <c r="R22" s="21">
        <f t="shared" si="1"/>
        <v>0</v>
      </c>
      <c r="S22" s="21">
        <f t="shared" si="2"/>
        <v>0</v>
      </c>
      <c r="T22" s="21">
        <f t="shared" si="3"/>
        <v>0</v>
      </c>
      <c r="U22" s="21">
        <f t="shared" si="4"/>
        <v>0</v>
      </c>
      <c r="V22" s="21">
        <f t="shared" si="5"/>
        <v>0</v>
      </c>
      <c r="W22" s="21">
        <f t="shared" si="6"/>
        <v>12.132977432661976</v>
      </c>
      <c r="X22" s="21">
        <f t="shared" si="7"/>
        <v>0</v>
      </c>
      <c r="Y22" s="21">
        <f t="shared" si="8"/>
        <v>4.044325810887325</v>
      </c>
    </row>
    <row r="23" spans="1:25" x14ac:dyDescent="0.3">
      <c r="A23" s="13" t="s">
        <v>10</v>
      </c>
      <c r="B23" s="13" t="s">
        <v>445</v>
      </c>
      <c r="C23" s="13" t="s">
        <v>24</v>
      </c>
      <c r="D23" s="13" t="s">
        <v>24</v>
      </c>
      <c r="E23" s="17">
        <v>10704</v>
      </c>
      <c r="F23" s="17">
        <v>15372</v>
      </c>
      <c r="G23" s="17">
        <v>15216</v>
      </c>
      <c r="H23" s="17">
        <v>15060</v>
      </c>
      <c r="I23" s="17">
        <v>14593</v>
      </c>
      <c r="J23" s="17">
        <v>14438</v>
      </c>
      <c r="K23" s="17">
        <v>14282</v>
      </c>
      <c r="L23" s="13">
        <v>0</v>
      </c>
      <c r="M23" s="13">
        <v>0</v>
      </c>
      <c r="N23" s="13">
        <v>0</v>
      </c>
      <c r="O23" s="13">
        <v>0</v>
      </c>
      <c r="P23" s="13">
        <v>1</v>
      </c>
      <c r="Q23" s="13">
        <v>0</v>
      </c>
      <c r="R23" s="21">
        <f t="shared" si="1"/>
        <v>0</v>
      </c>
      <c r="S23" s="21">
        <f t="shared" si="2"/>
        <v>0</v>
      </c>
      <c r="T23" s="21">
        <f t="shared" si="3"/>
        <v>0</v>
      </c>
      <c r="U23" s="21">
        <f t="shared" si="4"/>
        <v>0</v>
      </c>
      <c r="V23" s="21">
        <f t="shared" si="5"/>
        <v>6.9261670591494671</v>
      </c>
      <c r="W23" s="21">
        <f t="shared" si="6"/>
        <v>0</v>
      </c>
      <c r="X23" s="21">
        <f t="shared" si="7"/>
        <v>0</v>
      </c>
      <c r="Y23" s="21">
        <f t="shared" si="8"/>
        <v>2.3087223530498222</v>
      </c>
    </row>
    <row r="24" spans="1:25" x14ac:dyDescent="0.3">
      <c r="A24" s="13" t="s">
        <v>10</v>
      </c>
      <c r="B24" s="13" t="s">
        <v>446</v>
      </c>
      <c r="C24" s="13" t="s">
        <v>447</v>
      </c>
      <c r="D24" s="13" t="s">
        <v>447</v>
      </c>
      <c r="E24" s="17">
        <v>10801</v>
      </c>
      <c r="F24" s="17">
        <v>10305</v>
      </c>
      <c r="G24" s="17">
        <v>10134</v>
      </c>
      <c r="H24" s="17">
        <v>9963</v>
      </c>
      <c r="I24" s="17">
        <v>9449</v>
      </c>
      <c r="J24" s="17">
        <v>9278</v>
      </c>
      <c r="K24" s="17">
        <v>9107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21">
        <f t="shared" si="1"/>
        <v>0</v>
      </c>
      <c r="S24" s="21">
        <f t="shared" si="2"/>
        <v>0</v>
      </c>
      <c r="T24" s="21">
        <f t="shared" si="3"/>
        <v>0</v>
      </c>
      <c r="U24" s="21">
        <f t="shared" si="4"/>
        <v>0</v>
      </c>
      <c r="V24" s="21">
        <f t="shared" si="5"/>
        <v>0</v>
      </c>
      <c r="W24" s="21">
        <f t="shared" si="6"/>
        <v>0</v>
      </c>
      <c r="X24" s="21">
        <f t="shared" si="7"/>
        <v>0</v>
      </c>
      <c r="Y24" s="21">
        <f t="shared" si="8"/>
        <v>0</v>
      </c>
    </row>
    <row r="25" spans="1:25" x14ac:dyDescent="0.3">
      <c r="A25" s="13" t="s">
        <v>10</v>
      </c>
      <c r="B25" s="13" t="s">
        <v>448</v>
      </c>
      <c r="C25" s="13" t="s">
        <v>449</v>
      </c>
      <c r="D25" s="13" t="s">
        <v>449</v>
      </c>
      <c r="E25" s="17">
        <v>10901</v>
      </c>
      <c r="F25" s="17">
        <v>4289</v>
      </c>
      <c r="G25" s="17">
        <v>4445</v>
      </c>
      <c r="H25" s="17">
        <v>4600</v>
      </c>
      <c r="I25" s="17">
        <v>5065</v>
      </c>
      <c r="J25" s="17">
        <v>5220</v>
      </c>
      <c r="K25" s="17">
        <v>5375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21">
        <f t="shared" si="1"/>
        <v>0</v>
      </c>
      <c r="S25" s="21">
        <f t="shared" si="2"/>
        <v>0</v>
      </c>
      <c r="T25" s="21">
        <f t="shared" si="3"/>
        <v>0</v>
      </c>
      <c r="U25" s="21">
        <f t="shared" si="4"/>
        <v>0</v>
      </c>
      <c r="V25" s="21">
        <f t="shared" si="5"/>
        <v>0</v>
      </c>
      <c r="W25" s="21">
        <f t="shared" si="6"/>
        <v>0</v>
      </c>
      <c r="X25" s="21">
        <f t="shared" si="7"/>
        <v>0</v>
      </c>
      <c r="Y25" s="21">
        <f t="shared" si="8"/>
        <v>0</v>
      </c>
    </row>
    <row r="26" spans="1:25" x14ac:dyDescent="0.3">
      <c r="A26" s="13" t="s">
        <v>10</v>
      </c>
      <c r="B26" s="13" t="s">
        <v>448</v>
      </c>
      <c r="C26" s="13" t="s">
        <v>16</v>
      </c>
      <c r="D26" s="13" t="s">
        <v>16</v>
      </c>
      <c r="E26" s="17">
        <v>10902</v>
      </c>
      <c r="F26" s="17">
        <v>16530</v>
      </c>
      <c r="G26" s="17">
        <v>16290</v>
      </c>
      <c r="H26" s="17">
        <v>16049</v>
      </c>
      <c r="I26" s="17">
        <v>15329</v>
      </c>
      <c r="J26" s="17">
        <v>15088</v>
      </c>
      <c r="K26" s="17">
        <v>14848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21">
        <f t="shared" si="1"/>
        <v>0</v>
      </c>
      <c r="S26" s="21">
        <f t="shared" si="2"/>
        <v>0</v>
      </c>
      <c r="T26" s="21">
        <f t="shared" si="3"/>
        <v>0</v>
      </c>
      <c r="U26" s="21">
        <f t="shared" si="4"/>
        <v>0</v>
      </c>
      <c r="V26" s="21">
        <f t="shared" si="5"/>
        <v>0</v>
      </c>
      <c r="W26" s="21">
        <f t="shared" si="6"/>
        <v>0</v>
      </c>
      <c r="X26" s="21">
        <f t="shared" si="7"/>
        <v>0</v>
      </c>
      <c r="Y26" s="21">
        <f t="shared" si="8"/>
        <v>0</v>
      </c>
    </row>
    <row r="27" spans="1:25" x14ac:dyDescent="0.3">
      <c r="A27" s="13" t="s">
        <v>10</v>
      </c>
      <c r="B27" s="13" t="s">
        <v>448</v>
      </c>
      <c r="C27" s="13" t="s">
        <v>450</v>
      </c>
      <c r="D27" s="13" t="s">
        <v>450</v>
      </c>
      <c r="E27" s="17">
        <v>10903</v>
      </c>
      <c r="F27" s="17">
        <v>4475</v>
      </c>
      <c r="G27" s="17">
        <v>4552</v>
      </c>
      <c r="H27" s="17">
        <v>4629</v>
      </c>
      <c r="I27" s="17">
        <v>4861</v>
      </c>
      <c r="J27" s="17">
        <v>4939</v>
      </c>
      <c r="K27" s="17">
        <v>5016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21">
        <f t="shared" si="1"/>
        <v>0</v>
      </c>
      <c r="S27" s="21">
        <f t="shared" si="2"/>
        <v>0</v>
      </c>
      <c r="T27" s="21">
        <f t="shared" si="3"/>
        <v>0</v>
      </c>
      <c r="U27" s="21">
        <f t="shared" si="4"/>
        <v>0</v>
      </c>
      <c r="V27" s="21">
        <f t="shared" si="5"/>
        <v>0</v>
      </c>
      <c r="W27" s="21">
        <f t="shared" si="6"/>
        <v>0</v>
      </c>
      <c r="X27" s="21">
        <f t="shared" si="7"/>
        <v>0</v>
      </c>
      <c r="Y27" s="21">
        <f t="shared" si="8"/>
        <v>0</v>
      </c>
    </row>
    <row r="28" spans="1:25" x14ac:dyDescent="0.3">
      <c r="A28" s="13" t="s">
        <v>10</v>
      </c>
      <c r="B28" s="13" t="s">
        <v>451</v>
      </c>
      <c r="C28" s="13" t="s">
        <v>452</v>
      </c>
      <c r="D28" s="13" t="s">
        <v>452</v>
      </c>
      <c r="E28" s="17">
        <v>11001</v>
      </c>
      <c r="F28" s="17">
        <v>11204</v>
      </c>
      <c r="G28" s="17">
        <v>11501</v>
      </c>
      <c r="H28" s="17">
        <v>11798</v>
      </c>
      <c r="I28" s="17">
        <v>12688</v>
      </c>
      <c r="J28" s="17">
        <v>12985</v>
      </c>
      <c r="K28" s="17">
        <v>13282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21">
        <f t="shared" si="1"/>
        <v>0</v>
      </c>
      <c r="S28" s="21">
        <f t="shared" si="2"/>
        <v>0</v>
      </c>
      <c r="T28" s="21">
        <f t="shared" si="3"/>
        <v>0</v>
      </c>
      <c r="U28" s="21">
        <f t="shared" si="4"/>
        <v>0</v>
      </c>
      <c r="V28" s="21">
        <f t="shared" si="5"/>
        <v>0</v>
      </c>
      <c r="W28" s="21">
        <f t="shared" si="6"/>
        <v>0</v>
      </c>
      <c r="X28" s="21">
        <f t="shared" si="7"/>
        <v>0</v>
      </c>
      <c r="Y28" s="21">
        <f t="shared" si="8"/>
        <v>0</v>
      </c>
    </row>
    <row r="29" spans="1:25" x14ac:dyDescent="0.3">
      <c r="A29" s="13" t="s">
        <v>10</v>
      </c>
      <c r="B29" s="13" t="s">
        <v>451</v>
      </c>
      <c r="C29" s="13" t="s">
        <v>453</v>
      </c>
      <c r="D29" s="13" t="s">
        <v>454</v>
      </c>
      <c r="E29" s="17">
        <v>11002</v>
      </c>
      <c r="F29" s="17">
        <v>2544</v>
      </c>
      <c r="G29" s="17">
        <v>2544</v>
      </c>
      <c r="H29" s="17">
        <v>2545</v>
      </c>
      <c r="I29" s="17">
        <v>2546</v>
      </c>
      <c r="J29" s="17">
        <v>2547</v>
      </c>
      <c r="K29" s="17">
        <v>2547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21">
        <f t="shared" si="1"/>
        <v>0</v>
      </c>
      <c r="S29" s="21">
        <f t="shared" si="2"/>
        <v>0</v>
      </c>
      <c r="T29" s="21">
        <f t="shared" si="3"/>
        <v>0</v>
      </c>
      <c r="U29" s="21">
        <f t="shared" si="4"/>
        <v>0</v>
      </c>
      <c r="V29" s="21">
        <f t="shared" si="5"/>
        <v>0</v>
      </c>
      <c r="W29" s="21">
        <f t="shared" si="6"/>
        <v>0</v>
      </c>
      <c r="X29" s="21">
        <f t="shared" si="7"/>
        <v>0</v>
      </c>
      <c r="Y29" s="21">
        <f t="shared" si="8"/>
        <v>0</v>
      </c>
    </row>
    <row r="30" spans="1:25" x14ac:dyDescent="0.3">
      <c r="A30" s="13" t="s">
        <v>10</v>
      </c>
      <c r="B30" s="13" t="s">
        <v>451</v>
      </c>
      <c r="C30" s="13" t="s">
        <v>18</v>
      </c>
      <c r="D30" s="13" t="s">
        <v>455</v>
      </c>
      <c r="E30" s="17">
        <v>11003</v>
      </c>
      <c r="F30" s="17">
        <v>7342</v>
      </c>
      <c r="G30" s="17">
        <v>7327</v>
      </c>
      <c r="H30" s="17">
        <v>7311</v>
      </c>
      <c r="I30" s="17">
        <v>7266</v>
      </c>
      <c r="J30" s="17">
        <v>7250</v>
      </c>
      <c r="K30" s="17">
        <v>7235</v>
      </c>
      <c r="L30" s="13">
        <v>0</v>
      </c>
      <c r="M30" s="13">
        <v>0</v>
      </c>
      <c r="N30" s="13">
        <v>0</v>
      </c>
      <c r="O30" s="13">
        <v>2</v>
      </c>
      <c r="P30" s="13">
        <v>0</v>
      </c>
      <c r="Q30" s="13">
        <v>0</v>
      </c>
      <c r="R30" s="21">
        <f t="shared" si="1"/>
        <v>0</v>
      </c>
      <c r="S30" s="21">
        <f t="shared" si="2"/>
        <v>0</v>
      </c>
      <c r="T30" s="21">
        <f t="shared" si="3"/>
        <v>0</v>
      </c>
      <c r="U30" s="21">
        <f t="shared" si="4"/>
        <v>27.525461051472611</v>
      </c>
      <c r="V30" s="21">
        <f t="shared" si="5"/>
        <v>0</v>
      </c>
      <c r="W30" s="21">
        <f t="shared" si="6"/>
        <v>0</v>
      </c>
      <c r="X30" s="21">
        <f t="shared" si="7"/>
        <v>0</v>
      </c>
      <c r="Y30" s="21">
        <f t="shared" si="8"/>
        <v>9.1751536838242043</v>
      </c>
    </row>
    <row r="31" spans="1:25" x14ac:dyDescent="0.3">
      <c r="A31" s="13" t="s">
        <v>25</v>
      </c>
      <c r="B31" s="13" t="s">
        <v>456</v>
      </c>
      <c r="C31" s="13" t="s">
        <v>457</v>
      </c>
      <c r="D31" s="13" t="s">
        <v>457</v>
      </c>
      <c r="E31" s="17">
        <v>20101</v>
      </c>
      <c r="F31" s="17">
        <v>762703</v>
      </c>
      <c r="G31" s="17">
        <v>761950</v>
      </c>
      <c r="H31" s="17">
        <v>761196</v>
      </c>
      <c r="I31" s="17">
        <v>758937</v>
      </c>
      <c r="J31" s="17">
        <v>758184</v>
      </c>
      <c r="K31" s="17">
        <v>757431</v>
      </c>
      <c r="L31" s="13">
        <v>75</v>
      </c>
      <c r="M31" s="13">
        <v>25</v>
      </c>
      <c r="N31" s="13">
        <v>37</v>
      </c>
      <c r="O31" s="13">
        <v>28</v>
      </c>
      <c r="P31" s="13">
        <v>12</v>
      </c>
      <c r="Q31" s="13">
        <v>16</v>
      </c>
      <c r="R31" s="21">
        <f t="shared" si="1"/>
        <v>9.8334476198467815</v>
      </c>
      <c r="S31" s="21">
        <f t="shared" si="2"/>
        <v>3.2810551873482514</v>
      </c>
      <c r="T31" s="21">
        <f t="shared" si="3"/>
        <v>4.8607717329045341</v>
      </c>
      <c r="U31" s="21">
        <f t="shared" si="4"/>
        <v>3.6893707909879216</v>
      </c>
      <c r="V31" s="21">
        <f t="shared" si="5"/>
        <v>1.5827292583330694</v>
      </c>
      <c r="W31" s="21">
        <f t="shared" si="6"/>
        <v>2.1124036380871658</v>
      </c>
      <c r="X31" s="21">
        <f t="shared" si="7"/>
        <v>5.9917581800331883</v>
      </c>
      <c r="Y31" s="21">
        <f t="shared" si="8"/>
        <v>2.4615012291360521</v>
      </c>
    </row>
    <row r="32" spans="1:25" x14ac:dyDescent="0.3">
      <c r="A32" s="13" t="s">
        <v>25</v>
      </c>
      <c r="B32" s="13" t="s">
        <v>456</v>
      </c>
      <c r="C32" s="13" t="s">
        <v>217</v>
      </c>
      <c r="D32" s="13" t="s">
        <v>217</v>
      </c>
      <c r="E32" s="17">
        <v>20102</v>
      </c>
      <c r="F32" s="17">
        <v>18750</v>
      </c>
      <c r="G32" s="17">
        <v>19176</v>
      </c>
      <c r="H32" s="17">
        <v>19601</v>
      </c>
      <c r="I32" s="17">
        <v>20878</v>
      </c>
      <c r="J32" s="17">
        <v>21303</v>
      </c>
      <c r="K32" s="17">
        <v>21729</v>
      </c>
      <c r="L32" s="13">
        <v>0</v>
      </c>
      <c r="M32" s="13">
        <v>1</v>
      </c>
      <c r="N32" s="13">
        <v>0</v>
      </c>
      <c r="O32" s="13">
        <v>0</v>
      </c>
      <c r="P32" s="13">
        <v>0</v>
      </c>
      <c r="Q32" s="13">
        <v>0</v>
      </c>
      <c r="R32" s="21">
        <f t="shared" si="1"/>
        <v>0</v>
      </c>
      <c r="S32" s="21">
        <f t="shared" si="2"/>
        <v>5.2148518982060912</v>
      </c>
      <c r="T32" s="21">
        <f t="shared" si="3"/>
        <v>0</v>
      </c>
      <c r="U32" s="21">
        <f t="shared" si="4"/>
        <v>0</v>
      </c>
      <c r="V32" s="21">
        <f t="shared" si="5"/>
        <v>0</v>
      </c>
      <c r="W32" s="21">
        <f t="shared" si="6"/>
        <v>0</v>
      </c>
      <c r="X32" s="21">
        <f t="shared" si="7"/>
        <v>1.7382839660686971</v>
      </c>
      <c r="Y32" s="21">
        <f t="shared" si="8"/>
        <v>0</v>
      </c>
    </row>
    <row r="33" spans="1:25" x14ac:dyDescent="0.3">
      <c r="A33" s="13" t="s">
        <v>25</v>
      </c>
      <c r="B33" s="13" t="s">
        <v>456</v>
      </c>
      <c r="C33" s="13" t="s">
        <v>52</v>
      </c>
      <c r="D33" s="13" t="s">
        <v>52</v>
      </c>
      <c r="E33" s="17">
        <v>20103</v>
      </c>
      <c r="F33" s="17">
        <v>17756</v>
      </c>
      <c r="G33" s="17">
        <v>18140</v>
      </c>
      <c r="H33" s="17">
        <v>18524</v>
      </c>
      <c r="I33" s="17">
        <v>19677</v>
      </c>
      <c r="J33" s="17">
        <v>20062</v>
      </c>
      <c r="K33" s="17">
        <v>20446</v>
      </c>
      <c r="L33" s="13">
        <v>1</v>
      </c>
      <c r="M33" s="13">
        <v>0</v>
      </c>
      <c r="N33" s="13">
        <v>0</v>
      </c>
      <c r="O33" s="13">
        <v>1</v>
      </c>
      <c r="P33" s="13">
        <v>0</v>
      </c>
      <c r="Q33" s="13">
        <v>0</v>
      </c>
      <c r="R33" s="21">
        <f t="shared" si="1"/>
        <v>5.6318990763685512</v>
      </c>
      <c r="S33" s="21">
        <f t="shared" si="2"/>
        <v>0</v>
      </c>
      <c r="T33" s="21">
        <f t="shared" si="3"/>
        <v>0</v>
      </c>
      <c r="U33" s="21">
        <f t="shared" si="4"/>
        <v>5.0820755196422223</v>
      </c>
      <c r="V33" s="21">
        <f t="shared" si="5"/>
        <v>0</v>
      </c>
      <c r="W33" s="21">
        <f t="shared" si="6"/>
        <v>0</v>
      </c>
      <c r="X33" s="21">
        <f t="shared" si="7"/>
        <v>1.8772996921228504</v>
      </c>
      <c r="Y33" s="21">
        <f t="shared" si="8"/>
        <v>1.6940251732140741</v>
      </c>
    </row>
    <row r="34" spans="1:25" x14ac:dyDescent="0.3">
      <c r="A34" s="13" t="s">
        <v>25</v>
      </c>
      <c r="B34" s="13" t="s">
        <v>456</v>
      </c>
      <c r="C34" s="13" t="s">
        <v>49</v>
      </c>
      <c r="D34" s="13" t="s">
        <v>49</v>
      </c>
      <c r="E34" s="17">
        <v>20104</v>
      </c>
      <c r="F34" s="17">
        <v>32330</v>
      </c>
      <c r="G34" s="17">
        <v>34310</v>
      </c>
      <c r="H34" s="17">
        <v>36289</v>
      </c>
      <c r="I34" s="17">
        <v>42229</v>
      </c>
      <c r="J34" s="17">
        <v>44208</v>
      </c>
      <c r="K34" s="17">
        <v>46188</v>
      </c>
      <c r="L34" s="13">
        <v>3</v>
      </c>
      <c r="M34" s="13">
        <v>4</v>
      </c>
      <c r="N34" s="13">
        <v>1</v>
      </c>
      <c r="O34" s="13">
        <v>0</v>
      </c>
      <c r="P34" s="13">
        <v>0</v>
      </c>
      <c r="Q34" s="13">
        <v>0</v>
      </c>
      <c r="R34" s="21">
        <f t="shared" si="1"/>
        <v>9.2793071450665021</v>
      </c>
      <c r="S34" s="21">
        <f t="shared" si="2"/>
        <v>11.658408627222384</v>
      </c>
      <c r="T34" s="21">
        <f t="shared" si="3"/>
        <v>2.7556559839069692</v>
      </c>
      <c r="U34" s="21">
        <f t="shared" si="4"/>
        <v>0</v>
      </c>
      <c r="V34" s="21">
        <f t="shared" si="5"/>
        <v>0</v>
      </c>
      <c r="W34" s="21">
        <f t="shared" si="6"/>
        <v>0</v>
      </c>
      <c r="X34" s="21">
        <f t="shared" si="7"/>
        <v>7.8977905853986181</v>
      </c>
      <c r="Y34" s="21">
        <f t="shared" si="8"/>
        <v>0</v>
      </c>
    </row>
    <row r="35" spans="1:25" x14ac:dyDescent="0.3">
      <c r="A35" s="13" t="s">
        <v>25</v>
      </c>
      <c r="B35" s="13" t="s">
        <v>456</v>
      </c>
      <c r="C35" s="13" t="s">
        <v>26</v>
      </c>
      <c r="D35" s="13" t="s">
        <v>26</v>
      </c>
      <c r="E35" s="17">
        <v>20105</v>
      </c>
      <c r="F35" s="17">
        <v>864024</v>
      </c>
      <c r="G35" s="17">
        <v>867139</v>
      </c>
      <c r="H35" s="17">
        <v>870253</v>
      </c>
      <c r="I35" s="17">
        <v>879596</v>
      </c>
      <c r="J35" s="17">
        <v>882711</v>
      </c>
      <c r="K35" s="17">
        <v>885825</v>
      </c>
      <c r="L35" s="13">
        <v>172</v>
      </c>
      <c r="M35" s="13">
        <v>89</v>
      </c>
      <c r="N35" s="13">
        <v>45</v>
      </c>
      <c r="O35" s="13">
        <v>35</v>
      </c>
      <c r="P35" s="13">
        <v>26</v>
      </c>
      <c r="Q35" s="13">
        <v>16</v>
      </c>
      <c r="R35" s="21">
        <f t="shared" si="1"/>
        <v>19.906854439228539</v>
      </c>
      <c r="S35" s="21">
        <f t="shared" si="2"/>
        <v>10.263637087018344</v>
      </c>
      <c r="T35" s="21">
        <f t="shared" si="3"/>
        <v>5.1709100686811773</v>
      </c>
      <c r="U35" s="21">
        <f t="shared" si="4"/>
        <v>3.9790994956775609</v>
      </c>
      <c r="V35" s="21">
        <f t="shared" si="5"/>
        <v>2.9454713943748292</v>
      </c>
      <c r="W35" s="21">
        <f t="shared" si="6"/>
        <v>1.8062258346738918</v>
      </c>
      <c r="X35" s="21">
        <f t="shared" si="7"/>
        <v>11.780467198309353</v>
      </c>
      <c r="Y35" s="21">
        <f t="shared" si="8"/>
        <v>2.9102655749087609</v>
      </c>
    </row>
    <row r="36" spans="1:25" x14ac:dyDescent="0.3">
      <c r="A36" s="13" t="s">
        <v>25</v>
      </c>
      <c r="B36" s="13" t="s">
        <v>458</v>
      </c>
      <c r="C36" s="13" t="s">
        <v>30</v>
      </c>
      <c r="D36" s="13" t="s">
        <v>30</v>
      </c>
      <c r="E36" s="17">
        <v>20201</v>
      </c>
      <c r="F36" s="17">
        <v>46558</v>
      </c>
      <c r="G36" s="17">
        <v>46658</v>
      </c>
      <c r="H36" s="17">
        <v>46757</v>
      </c>
      <c r="I36" s="17">
        <v>47057</v>
      </c>
      <c r="J36" s="17">
        <v>47157</v>
      </c>
      <c r="K36" s="17">
        <v>47257</v>
      </c>
      <c r="L36" s="13">
        <v>0</v>
      </c>
      <c r="M36" s="13">
        <v>3</v>
      </c>
      <c r="N36" s="13">
        <v>2</v>
      </c>
      <c r="O36" s="13">
        <v>1</v>
      </c>
      <c r="P36" s="13">
        <v>3</v>
      </c>
      <c r="Q36" s="13">
        <v>1</v>
      </c>
      <c r="R36" s="21">
        <f t="shared" si="1"/>
        <v>0</v>
      </c>
      <c r="S36" s="21">
        <f t="shared" si="2"/>
        <v>6.4297655278837498</v>
      </c>
      <c r="T36" s="21">
        <f t="shared" si="3"/>
        <v>4.2774343948499691</v>
      </c>
      <c r="U36" s="21">
        <f t="shared" si="4"/>
        <v>2.1250823469409439</v>
      </c>
      <c r="V36" s="21">
        <f t="shared" si="5"/>
        <v>6.3617278452827781</v>
      </c>
      <c r="W36" s="21">
        <f t="shared" si="6"/>
        <v>2.1160886217914805</v>
      </c>
      <c r="X36" s="21">
        <f t="shared" si="7"/>
        <v>3.5690666409112395</v>
      </c>
      <c r="Y36" s="21">
        <f t="shared" si="8"/>
        <v>3.5342996046717339</v>
      </c>
    </row>
    <row r="37" spans="1:25" x14ac:dyDescent="0.3">
      <c r="A37" s="13" t="s">
        <v>25</v>
      </c>
      <c r="B37" s="13" t="s">
        <v>458</v>
      </c>
      <c r="C37" s="13" t="s">
        <v>223</v>
      </c>
      <c r="D37" s="13" t="s">
        <v>459</v>
      </c>
      <c r="E37" s="17">
        <v>20202</v>
      </c>
      <c r="F37" s="17">
        <v>14726</v>
      </c>
      <c r="G37" s="17">
        <v>15045</v>
      </c>
      <c r="H37" s="17">
        <v>15363</v>
      </c>
      <c r="I37" s="17">
        <v>16317</v>
      </c>
      <c r="J37" s="17">
        <v>16635</v>
      </c>
      <c r="K37" s="17">
        <v>16953</v>
      </c>
      <c r="L37" s="13">
        <v>0</v>
      </c>
      <c r="M37" s="13">
        <v>1</v>
      </c>
      <c r="N37" s="13">
        <v>0</v>
      </c>
      <c r="O37" s="13">
        <v>0</v>
      </c>
      <c r="P37" s="13">
        <v>0</v>
      </c>
      <c r="Q37" s="13">
        <v>0</v>
      </c>
      <c r="R37" s="21">
        <f t="shared" si="1"/>
        <v>0</v>
      </c>
      <c r="S37" s="21">
        <f t="shared" si="2"/>
        <v>6.6467264872050524</v>
      </c>
      <c r="T37" s="21">
        <f t="shared" si="3"/>
        <v>0</v>
      </c>
      <c r="U37" s="21">
        <f t="shared" si="4"/>
        <v>0</v>
      </c>
      <c r="V37" s="21">
        <f t="shared" si="5"/>
        <v>0</v>
      </c>
      <c r="W37" s="21">
        <f t="shared" si="6"/>
        <v>0</v>
      </c>
      <c r="X37" s="21">
        <f t="shared" si="7"/>
        <v>2.2155754957350173</v>
      </c>
      <c r="Y37" s="21">
        <f t="shared" si="8"/>
        <v>0</v>
      </c>
    </row>
    <row r="38" spans="1:25" x14ac:dyDescent="0.3">
      <c r="A38" s="13" t="s">
        <v>25</v>
      </c>
      <c r="B38" s="13" t="s">
        <v>458</v>
      </c>
      <c r="C38" s="13" t="s">
        <v>225</v>
      </c>
      <c r="D38" s="13" t="s">
        <v>225</v>
      </c>
      <c r="E38" s="17">
        <v>20203</v>
      </c>
      <c r="F38" s="17">
        <v>5929</v>
      </c>
      <c r="G38" s="17">
        <v>6115</v>
      </c>
      <c r="H38" s="17">
        <v>6300</v>
      </c>
      <c r="I38" s="17">
        <v>6856</v>
      </c>
      <c r="J38" s="17">
        <v>7041</v>
      </c>
      <c r="K38" s="17">
        <v>7226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21">
        <f t="shared" si="1"/>
        <v>0</v>
      </c>
      <c r="S38" s="21">
        <f t="shared" si="2"/>
        <v>0</v>
      </c>
      <c r="T38" s="21">
        <f t="shared" si="3"/>
        <v>0</v>
      </c>
      <c r="U38" s="21">
        <f t="shared" si="4"/>
        <v>0</v>
      </c>
      <c r="V38" s="21">
        <f t="shared" si="5"/>
        <v>0</v>
      </c>
      <c r="W38" s="21">
        <f t="shared" si="6"/>
        <v>0</v>
      </c>
      <c r="X38" s="21">
        <f t="shared" si="7"/>
        <v>0</v>
      </c>
      <c r="Y38" s="21">
        <f t="shared" si="8"/>
        <v>0</v>
      </c>
    </row>
    <row r="39" spans="1:25" x14ac:dyDescent="0.3">
      <c r="A39" s="13" t="s">
        <v>25</v>
      </c>
      <c r="B39" s="13" t="s">
        <v>458</v>
      </c>
      <c r="C39" s="13" t="s">
        <v>460</v>
      </c>
      <c r="D39" s="13" t="s">
        <v>460</v>
      </c>
      <c r="E39" s="17">
        <v>20204</v>
      </c>
      <c r="F39" s="17">
        <v>8253</v>
      </c>
      <c r="G39" s="17">
        <v>8314</v>
      </c>
      <c r="H39" s="17">
        <v>8374</v>
      </c>
      <c r="I39" s="17">
        <v>8557</v>
      </c>
      <c r="J39" s="17">
        <v>8618</v>
      </c>
      <c r="K39" s="17">
        <v>8679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21">
        <f t="shared" si="1"/>
        <v>0</v>
      </c>
      <c r="S39" s="21">
        <f t="shared" si="2"/>
        <v>0</v>
      </c>
      <c r="T39" s="21">
        <f t="shared" si="3"/>
        <v>0</v>
      </c>
      <c r="U39" s="21">
        <f t="shared" si="4"/>
        <v>0</v>
      </c>
      <c r="V39" s="21">
        <f t="shared" si="5"/>
        <v>0</v>
      </c>
      <c r="W39" s="21">
        <f t="shared" si="6"/>
        <v>0</v>
      </c>
      <c r="X39" s="21">
        <f t="shared" si="7"/>
        <v>0</v>
      </c>
      <c r="Y39" s="21">
        <f t="shared" si="8"/>
        <v>0</v>
      </c>
    </row>
    <row r="40" spans="1:25" x14ac:dyDescent="0.3">
      <c r="A40" s="13" t="s">
        <v>25</v>
      </c>
      <c r="B40" s="13" t="s">
        <v>458</v>
      </c>
      <c r="C40" s="13" t="s">
        <v>461</v>
      </c>
      <c r="D40" s="13" t="s">
        <v>461</v>
      </c>
      <c r="E40" s="17">
        <v>20205</v>
      </c>
      <c r="F40" s="17">
        <v>8864</v>
      </c>
      <c r="G40" s="17">
        <v>8925</v>
      </c>
      <c r="H40" s="17">
        <v>8985</v>
      </c>
      <c r="I40" s="17">
        <v>9166</v>
      </c>
      <c r="J40" s="17">
        <v>9227</v>
      </c>
      <c r="K40" s="17">
        <v>9287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3</v>
      </c>
      <c r="R40" s="21">
        <f t="shared" si="1"/>
        <v>0</v>
      </c>
      <c r="S40" s="21">
        <f t="shared" si="2"/>
        <v>0</v>
      </c>
      <c r="T40" s="21">
        <f t="shared" si="3"/>
        <v>0</v>
      </c>
      <c r="U40" s="21">
        <f t="shared" si="4"/>
        <v>0</v>
      </c>
      <c r="V40" s="21">
        <f t="shared" si="5"/>
        <v>0</v>
      </c>
      <c r="W40" s="21">
        <f t="shared" si="6"/>
        <v>32.303219554215573</v>
      </c>
      <c r="X40" s="21">
        <f t="shared" si="7"/>
        <v>0</v>
      </c>
      <c r="Y40" s="21">
        <f t="shared" si="8"/>
        <v>10.767739851405191</v>
      </c>
    </row>
    <row r="41" spans="1:25" x14ac:dyDescent="0.3">
      <c r="A41" s="13" t="s">
        <v>25</v>
      </c>
      <c r="B41" s="13" t="s">
        <v>458</v>
      </c>
      <c r="C41" s="13" t="s">
        <v>462</v>
      </c>
      <c r="D41" s="13" t="s">
        <v>462</v>
      </c>
      <c r="E41" s="17">
        <v>20206</v>
      </c>
      <c r="F41" s="17">
        <v>4423</v>
      </c>
      <c r="G41" s="17">
        <v>4523</v>
      </c>
      <c r="H41" s="17">
        <v>4622</v>
      </c>
      <c r="I41" s="17">
        <v>4920</v>
      </c>
      <c r="J41" s="17">
        <v>5019</v>
      </c>
      <c r="K41" s="17">
        <v>5118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21">
        <f t="shared" si="1"/>
        <v>0</v>
      </c>
      <c r="S41" s="21">
        <f t="shared" si="2"/>
        <v>0</v>
      </c>
      <c r="T41" s="21">
        <f t="shared" si="3"/>
        <v>0</v>
      </c>
      <c r="U41" s="21">
        <f t="shared" si="4"/>
        <v>0</v>
      </c>
      <c r="V41" s="21">
        <f t="shared" si="5"/>
        <v>0</v>
      </c>
      <c r="W41" s="21">
        <f t="shared" si="6"/>
        <v>0</v>
      </c>
      <c r="X41" s="21">
        <f t="shared" si="7"/>
        <v>0</v>
      </c>
      <c r="Y41" s="21">
        <f t="shared" si="8"/>
        <v>0</v>
      </c>
    </row>
    <row r="42" spans="1:25" x14ac:dyDescent="0.3">
      <c r="A42" s="13" t="s">
        <v>25</v>
      </c>
      <c r="B42" s="13" t="s">
        <v>463</v>
      </c>
      <c r="C42" s="13" t="s">
        <v>39</v>
      </c>
      <c r="D42" s="13" t="s">
        <v>464</v>
      </c>
      <c r="E42" s="17">
        <v>20301</v>
      </c>
      <c r="F42" s="17">
        <v>11857</v>
      </c>
      <c r="G42" s="17">
        <v>12099</v>
      </c>
      <c r="H42" s="17">
        <v>12341</v>
      </c>
      <c r="I42" s="17">
        <v>13067</v>
      </c>
      <c r="J42" s="17">
        <v>13309</v>
      </c>
      <c r="K42" s="17">
        <v>13551</v>
      </c>
      <c r="L42" s="13">
        <v>1</v>
      </c>
      <c r="M42" s="13">
        <v>0</v>
      </c>
      <c r="N42" s="13">
        <v>0</v>
      </c>
      <c r="O42" s="13">
        <v>0</v>
      </c>
      <c r="P42" s="13">
        <v>0</v>
      </c>
      <c r="Q42" s="13">
        <v>1</v>
      </c>
      <c r="R42" s="21">
        <f t="shared" si="1"/>
        <v>8.4338365522476177</v>
      </c>
      <c r="S42" s="21">
        <f t="shared" si="2"/>
        <v>0</v>
      </c>
      <c r="T42" s="21">
        <f t="shared" si="3"/>
        <v>0</v>
      </c>
      <c r="U42" s="21">
        <f t="shared" si="4"/>
        <v>0</v>
      </c>
      <c r="V42" s="21">
        <f t="shared" si="5"/>
        <v>0</v>
      </c>
      <c r="W42" s="21">
        <f t="shared" si="6"/>
        <v>7.3795291860379306</v>
      </c>
      <c r="X42" s="21">
        <f t="shared" si="7"/>
        <v>2.8112788507492059</v>
      </c>
      <c r="Y42" s="21">
        <f t="shared" si="8"/>
        <v>2.4598430620126437</v>
      </c>
    </row>
    <row r="43" spans="1:25" x14ac:dyDescent="0.3">
      <c r="A43" s="13" t="s">
        <v>25</v>
      </c>
      <c r="B43" s="13" t="s">
        <v>463</v>
      </c>
      <c r="C43" s="13" t="s">
        <v>228</v>
      </c>
      <c r="D43" s="13" t="s">
        <v>228</v>
      </c>
      <c r="E43" s="17">
        <v>20302</v>
      </c>
      <c r="F43" s="17">
        <v>15055</v>
      </c>
      <c r="G43" s="17">
        <v>15129</v>
      </c>
      <c r="H43" s="17">
        <v>15202</v>
      </c>
      <c r="I43" s="17">
        <v>15423</v>
      </c>
      <c r="J43" s="17">
        <v>15496</v>
      </c>
      <c r="K43" s="17">
        <v>15570</v>
      </c>
      <c r="L43" s="13">
        <v>0</v>
      </c>
      <c r="M43" s="13">
        <v>0</v>
      </c>
      <c r="N43" s="13">
        <v>1</v>
      </c>
      <c r="O43" s="13">
        <v>0</v>
      </c>
      <c r="P43" s="13">
        <v>0</v>
      </c>
      <c r="Q43" s="13">
        <v>0</v>
      </c>
      <c r="R43" s="21">
        <f t="shared" si="1"/>
        <v>0</v>
      </c>
      <c r="S43" s="21">
        <f t="shared" si="2"/>
        <v>0</v>
      </c>
      <c r="T43" s="21">
        <f t="shared" si="3"/>
        <v>6.5780818313379825</v>
      </c>
      <c r="U43" s="21">
        <f t="shared" si="4"/>
        <v>0</v>
      </c>
      <c r="V43" s="21">
        <f t="shared" si="5"/>
        <v>0</v>
      </c>
      <c r="W43" s="21">
        <f t="shared" si="6"/>
        <v>0</v>
      </c>
      <c r="X43" s="21">
        <f t="shared" si="7"/>
        <v>2.1926939437793274</v>
      </c>
      <c r="Y43" s="21">
        <f t="shared" si="8"/>
        <v>0</v>
      </c>
    </row>
    <row r="44" spans="1:25" x14ac:dyDescent="0.3">
      <c r="A44" s="13" t="s">
        <v>25</v>
      </c>
      <c r="B44" s="13" t="s">
        <v>463</v>
      </c>
      <c r="C44" s="13" t="s">
        <v>465</v>
      </c>
      <c r="D44" s="13" t="s">
        <v>465</v>
      </c>
      <c r="E44" s="17">
        <v>20303</v>
      </c>
      <c r="F44" s="17">
        <v>10854</v>
      </c>
      <c r="G44" s="17">
        <v>11049</v>
      </c>
      <c r="H44" s="17">
        <v>11244</v>
      </c>
      <c r="I44" s="17">
        <v>11829</v>
      </c>
      <c r="J44" s="17">
        <v>12024</v>
      </c>
      <c r="K44" s="17">
        <v>12219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21">
        <f t="shared" si="1"/>
        <v>0</v>
      </c>
      <c r="S44" s="21">
        <f t="shared" si="2"/>
        <v>0</v>
      </c>
      <c r="T44" s="21">
        <f t="shared" si="3"/>
        <v>0</v>
      </c>
      <c r="U44" s="21">
        <f t="shared" si="4"/>
        <v>0</v>
      </c>
      <c r="V44" s="21">
        <f t="shared" si="5"/>
        <v>0</v>
      </c>
      <c r="W44" s="21">
        <f t="shared" si="6"/>
        <v>0</v>
      </c>
      <c r="X44" s="21">
        <f t="shared" si="7"/>
        <v>0</v>
      </c>
      <c r="Y44" s="21">
        <f t="shared" si="8"/>
        <v>0</v>
      </c>
    </row>
    <row r="45" spans="1:25" x14ac:dyDescent="0.3">
      <c r="A45" s="13" t="s">
        <v>25</v>
      </c>
      <c r="B45" s="13" t="s">
        <v>463</v>
      </c>
      <c r="C45" s="13" t="s">
        <v>466</v>
      </c>
      <c r="D45" s="13" t="s">
        <v>466</v>
      </c>
      <c r="E45" s="17">
        <v>20304</v>
      </c>
      <c r="F45" s="17">
        <v>4446</v>
      </c>
      <c r="G45" s="17">
        <v>4559</v>
      </c>
      <c r="H45" s="17">
        <v>4672</v>
      </c>
      <c r="I45" s="17">
        <v>5012</v>
      </c>
      <c r="J45" s="17">
        <v>5125</v>
      </c>
      <c r="K45" s="17">
        <v>5238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21">
        <f t="shared" si="1"/>
        <v>0</v>
      </c>
      <c r="S45" s="21">
        <f t="shared" si="2"/>
        <v>0</v>
      </c>
      <c r="T45" s="21">
        <f t="shared" si="3"/>
        <v>0</v>
      </c>
      <c r="U45" s="21">
        <f t="shared" si="4"/>
        <v>0</v>
      </c>
      <c r="V45" s="21">
        <f t="shared" si="5"/>
        <v>0</v>
      </c>
      <c r="W45" s="21">
        <f t="shared" si="6"/>
        <v>0</v>
      </c>
      <c r="X45" s="21">
        <f t="shared" si="7"/>
        <v>0</v>
      </c>
      <c r="Y45" s="21">
        <f t="shared" si="8"/>
        <v>0</v>
      </c>
    </row>
    <row r="46" spans="1:25" x14ac:dyDescent="0.3">
      <c r="A46" s="13" t="s">
        <v>25</v>
      </c>
      <c r="B46" s="13" t="s">
        <v>463</v>
      </c>
      <c r="C46" s="13" t="s">
        <v>230</v>
      </c>
      <c r="D46" s="13" t="s">
        <v>230</v>
      </c>
      <c r="E46" s="17">
        <v>20305</v>
      </c>
      <c r="F46" s="17">
        <v>3652</v>
      </c>
      <c r="G46" s="17">
        <v>3734</v>
      </c>
      <c r="H46" s="17">
        <v>3815</v>
      </c>
      <c r="I46" s="17">
        <v>4059</v>
      </c>
      <c r="J46" s="17">
        <v>4140</v>
      </c>
      <c r="K46" s="17">
        <v>4221</v>
      </c>
      <c r="L46" s="13">
        <v>0</v>
      </c>
      <c r="M46" s="13">
        <v>0</v>
      </c>
      <c r="N46" s="13">
        <v>1</v>
      </c>
      <c r="O46" s="13">
        <v>0</v>
      </c>
      <c r="P46" s="13">
        <v>0</v>
      </c>
      <c r="Q46" s="13">
        <v>0</v>
      </c>
      <c r="R46" s="21">
        <f t="shared" si="1"/>
        <v>0</v>
      </c>
      <c r="S46" s="21">
        <f t="shared" si="2"/>
        <v>0</v>
      </c>
      <c r="T46" s="21">
        <f t="shared" si="3"/>
        <v>26.212319790301439</v>
      </c>
      <c r="U46" s="21">
        <f t="shared" si="4"/>
        <v>0</v>
      </c>
      <c r="V46" s="21">
        <f t="shared" si="5"/>
        <v>0</v>
      </c>
      <c r="W46" s="21">
        <f t="shared" si="6"/>
        <v>0</v>
      </c>
      <c r="X46" s="21">
        <f t="shared" si="7"/>
        <v>8.7374399301004804</v>
      </c>
      <c r="Y46" s="21">
        <f t="shared" si="8"/>
        <v>0</v>
      </c>
    </row>
    <row r="47" spans="1:25" x14ac:dyDescent="0.3">
      <c r="A47" s="13" t="s">
        <v>25</v>
      </c>
      <c r="B47" s="13" t="s">
        <v>463</v>
      </c>
      <c r="C47" s="13" t="s">
        <v>58</v>
      </c>
      <c r="D47" s="13" t="s">
        <v>58</v>
      </c>
      <c r="E47" s="17">
        <v>20306</v>
      </c>
      <c r="F47" s="17">
        <v>5641</v>
      </c>
      <c r="G47" s="17">
        <v>5756</v>
      </c>
      <c r="H47" s="17">
        <v>5870</v>
      </c>
      <c r="I47" s="17">
        <v>6213</v>
      </c>
      <c r="J47" s="17">
        <v>6328</v>
      </c>
      <c r="K47" s="17">
        <v>6442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21">
        <f t="shared" si="1"/>
        <v>0</v>
      </c>
      <c r="S47" s="21">
        <f t="shared" si="2"/>
        <v>0</v>
      </c>
      <c r="T47" s="21">
        <f t="shared" si="3"/>
        <v>0</v>
      </c>
      <c r="U47" s="21">
        <f t="shared" si="4"/>
        <v>0</v>
      </c>
      <c r="V47" s="21">
        <f t="shared" si="5"/>
        <v>0</v>
      </c>
      <c r="W47" s="21">
        <f t="shared" si="6"/>
        <v>0</v>
      </c>
      <c r="X47" s="21">
        <f t="shared" si="7"/>
        <v>0</v>
      </c>
      <c r="Y47" s="21">
        <f t="shared" si="8"/>
        <v>0</v>
      </c>
    </row>
    <row r="48" spans="1:25" x14ac:dyDescent="0.3">
      <c r="A48" s="13" t="s">
        <v>25</v>
      </c>
      <c r="B48" s="13" t="s">
        <v>463</v>
      </c>
      <c r="C48" s="13" t="s">
        <v>61</v>
      </c>
      <c r="D48" s="13" t="s">
        <v>61</v>
      </c>
      <c r="E48" s="17">
        <v>20307</v>
      </c>
      <c r="F48" s="17">
        <v>2037</v>
      </c>
      <c r="G48" s="17">
        <v>2321</v>
      </c>
      <c r="H48" s="17">
        <v>2604</v>
      </c>
      <c r="I48" s="17">
        <v>3455</v>
      </c>
      <c r="J48" s="17">
        <v>3738</v>
      </c>
      <c r="K48" s="17">
        <v>4022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21">
        <f t="shared" si="1"/>
        <v>0</v>
      </c>
      <c r="S48" s="21">
        <f t="shared" si="2"/>
        <v>0</v>
      </c>
      <c r="T48" s="21">
        <f t="shared" si="3"/>
        <v>0</v>
      </c>
      <c r="U48" s="21">
        <f t="shared" si="4"/>
        <v>0</v>
      </c>
      <c r="V48" s="21">
        <f t="shared" si="5"/>
        <v>0</v>
      </c>
      <c r="W48" s="21">
        <f t="shared" si="6"/>
        <v>0</v>
      </c>
      <c r="X48" s="21">
        <f t="shared" si="7"/>
        <v>0</v>
      </c>
      <c r="Y48" s="21">
        <f t="shared" si="8"/>
        <v>0</v>
      </c>
    </row>
    <row r="49" spans="1:25" x14ac:dyDescent="0.3">
      <c r="A49" s="13" t="s">
        <v>25</v>
      </c>
      <c r="B49" s="13" t="s">
        <v>463</v>
      </c>
      <c r="C49" s="13" t="s">
        <v>467</v>
      </c>
      <c r="D49" s="13" t="s">
        <v>467</v>
      </c>
      <c r="E49" s="17">
        <v>20308</v>
      </c>
      <c r="F49" s="17">
        <v>7601</v>
      </c>
      <c r="G49" s="17">
        <v>7663</v>
      </c>
      <c r="H49" s="17">
        <v>7725</v>
      </c>
      <c r="I49" s="17">
        <v>7912</v>
      </c>
      <c r="J49" s="17">
        <v>7975</v>
      </c>
      <c r="K49" s="17">
        <v>8037</v>
      </c>
      <c r="L49" s="13">
        <v>0</v>
      </c>
      <c r="M49" s="13">
        <v>0</v>
      </c>
      <c r="N49" s="13">
        <v>1</v>
      </c>
      <c r="O49" s="13">
        <v>0</v>
      </c>
      <c r="P49" s="13">
        <v>0</v>
      </c>
      <c r="Q49" s="13">
        <v>0</v>
      </c>
      <c r="R49" s="21">
        <f t="shared" si="1"/>
        <v>0</v>
      </c>
      <c r="S49" s="21">
        <f t="shared" si="2"/>
        <v>0</v>
      </c>
      <c r="T49" s="21">
        <f t="shared" si="3"/>
        <v>12.944983818770226</v>
      </c>
      <c r="U49" s="21">
        <f t="shared" si="4"/>
        <v>0</v>
      </c>
      <c r="V49" s="21">
        <f t="shared" si="5"/>
        <v>0</v>
      </c>
      <c r="W49" s="21">
        <f t="shared" si="6"/>
        <v>0</v>
      </c>
      <c r="X49" s="21">
        <f t="shared" si="7"/>
        <v>4.3149946062567421</v>
      </c>
      <c r="Y49" s="21">
        <f t="shared" si="8"/>
        <v>0</v>
      </c>
    </row>
    <row r="50" spans="1:25" x14ac:dyDescent="0.3">
      <c r="A50" s="13" t="s">
        <v>25</v>
      </c>
      <c r="B50" s="13" t="s">
        <v>468</v>
      </c>
      <c r="C50" s="13" t="s">
        <v>66</v>
      </c>
      <c r="D50" s="13" t="s">
        <v>66</v>
      </c>
      <c r="E50" s="17">
        <v>20401</v>
      </c>
      <c r="F50" s="17">
        <v>12424</v>
      </c>
      <c r="G50" s="17">
        <v>12651</v>
      </c>
      <c r="H50" s="17">
        <v>12878</v>
      </c>
      <c r="I50" s="17">
        <v>13558</v>
      </c>
      <c r="J50" s="17">
        <v>13785</v>
      </c>
      <c r="K50" s="17">
        <v>14012</v>
      </c>
      <c r="L50" s="13">
        <v>0</v>
      </c>
      <c r="M50" s="13">
        <v>0</v>
      </c>
      <c r="N50" s="13">
        <v>0</v>
      </c>
      <c r="O50" s="13">
        <v>0</v>
      </c>
      <c r="P50" s="13">
        <v>1</v>
      </c>
      <c r="Q50" s="13">
        <v>0</v>
      </c>
      <c r="R50" s="21">
        <f t="shared" si="1"/>
        <v>0</v>
      </c>
      <c r="S50" s="21">
        <f t="shared" si="2"/>
        <v>0</v>
      </c>
      <c r="T50" s="21">
        <f t="shared" si="3"/>
        <v>0</v>
      </c>
      <c r="U50" s="21">
        <f t="shared" si="4"/>
        <v>0</v>
      </c>
      <c r="V50" s="21">
        <f t="shared" si="5"/>
        <v>7.2542618788538267</v>
      </c>
      <c r="W50" s="21">
        <f t="shared" si="6"/>
        <v>0</v>
      </c>
      <c r="X50" s="21">
        <f t="shared" si="7"/>
        <v>0</v>
      </c>
      <c r="Y50" s="21">
        <f t="shared" si="8"/>
        <v>2.4180872929512756</v>
      </c>
    </row>
    <row r="51" spans="1:25" x14ac:dyDescent="0.3">
      <c r="A51" s="13" t="s">
        <v>25</v>
      </c>
      <c r="B51" s="13" t="s">
        <v>468</v>
      </c>
      <c r="C51" s="13" t="s">
        <v>469</v>
      </c>
      <c r="D51" s="13" t="s">
        <v>469</v>
      </c>
      <c r="E51" s="17">
        <v>20402</v>
      </c>
      <c r="F51" s="17">
        <v>16559</v>
      </c>
      <c r="G51" s="17">
        <v>16738</v>
      </c>
      <c r="H51" s="17">
        <v>16917</v>
      </c>
      <c r="I51" s="17">
        <v>17453</v>
      </c>
      <c r="J51" s="17">
        <v>17632</v>
      </c>
      <c r="K51" s="17">
        <v>17811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21">
        <f t="shared" si="1"/>
        <v>0</v>
      </c>
      <c r="S51" s="21">
        <f t="shared" si="2"/>
        <v>0</v>
      </c>
      <c r="T51" s="21">
        <f t="shared" si="3"/>
        <v>0</v>
      </c>
      <c r="U51" s="21">
        <f t="shared" si="4"/>
        <v>0</v>
      </c>
      <c r="V51" s="21">
        <f t="shared" si="5"/>
        <v>0</v>
      </c>
      <c r="W51" s="21">
        <f t="shared" si="6"/>
        <v>0</v>
      </c>
      <c r="X51" s="21">
        <f t="shared" si="7"/>
        <v>0</v>
      </c>
      <c r="Y51" s="21">
        <f t="shared" si="8"/>
        <v>0</v>
      </c>
    </row>
    <row r="52" spans="1:25" x14ac:dyDescent="0.3">
      <c r="A52" s="13" t="s">
        <v>25</v>
      </c>
      <c r="B52" s="13" t="s">
        <v>468</v>
      </c>
      <c r="C52" s="13" t="s">
        <v>470</v>
      </c>
      <c r="D52" s="13" t="s">
        <v>471</v>
      </c>
      <c r="E52" s="17">
        <v>20403</v>
      </c>
      <c r="F52" s="17">
        <v>15734</v>
      </c>
      <c r="G52" s="17">
        <v>15963</v>
      </c>
      <c r="H52" s="17">
        <v>16191</v>
      </c>
      <c r="I52" s="17">
        <v>16878</v>
      </c>
      <c r="J52" s="17">
        <v>17107</v>
      </c>
      <c r="K52" s="17">
        <v>17336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21">
        <f t="shared" si="1"/>
        <v>0</v>
      </c>
      <c r="S52" s="21">
        <f t="shared" si="2"/>
        <v>0</v>
      </c>
      <c r="T52" s="21">
        <f t="shared" si="3"/>
        <v>0</v>
      </c>
      <c r="U52" s="21">
        <f t="shared" si="4"/>
        <v>0</v>
      </c>
      <c r="V52" s="21">
        <f t="shared" si="5"/>
        <v>0</v>
      </c>
      <c r="W52" s="21">
        <f t="shared" si="6"/>
        <v>0</v>
      </c>
      <c r="X52" s="21">
        <f t="shared" si="7"/>
        <v>0</v>
      </c>
      <c r="Y52" s="21">
        <f t="shared" si="8"/>
        <v>0</v>
      </c>
    </row>
    <row r="53" spans="1:25" x14ac:dyDescent="0.3">
      <c r="A53" s="13" t="s">
        <v>25</v>
      </c>
      <c r="B53" s="13" t="s">
        <v>468</v>
      </c>
      <c r="C53" s="13" t="s">
        <v>472</v>
      </c>
      <c r="D53" s="13" t="s">
        <v>472</v>
      </c>
      <c r="E53" s="17">
        <v>20404</v>
      </c>
      <c r="F53" s="17">
        <v>5474</v>
      </c>
      <c r="G53" s="17">
        <v>5500</v>
      </c>
      <c r="H53" s="17">
        <v>5526</v>
      </c>
      <c r="I53" s="17">
        <v>5605</v>
      </c>
      <c r="J53" s="17">
        <v>5632</v>
      </c>
      <c r="K53" s="17">
        <v>5658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21">
        <f t="shared" si="1"/>
        <v>0</v>
      </c>
      <c r="S53" s="21">
        <f t="shared" si="2"/>
        <v>0</v>
      </c>
      <c r="T53" s="21">
        <f t="shared" si="3"/>
        <v>0</v>
      </c>
      <c r="U53" s="21">
        <f t="shared" si="4"/>
        <v>0</v>
      </c>
      <c r="V53" s="21">
        <f t="shared" si="5"/>
        <v>0</v>
      </c>
      <c r="W53" s="21">
        <f t="shared" si="6"/>
        <v>0</v>
      </c>
      <c r="X53" s="21">
        <f t="shared" si="7"/>
        <v>0</v>
      </c>
      <c r="Y53" s="21">
        <f t="shared" si="8"/>
        <v>0</v>
      </c>
    </row>
    <row r="54" spans="1:25" x14ac:dyDescent="0.3">
      <c r="A54" s="13" t="s">
        <v>25</v>
      </c>
      <c r="B54" s="13" t="s">
        <v>468</v>
      </c>
      <c r="C54" s="13" t="s">
        <v>473</v>
      </c>
      <c r="D54" s="13" t="s">
        <v>473</v>
      </c>
      <c r="E54" s="17">
        <v>20405</v>
      </c>
      <c r="F54" s="17">
        <v>7874</v>
      </c>
      <c r="G54" s="17">
        <v>8012</v>
      </c>
      <c r="H54" s="17">
        <v>8149</v>
      </c>
      <c r="I54" s="17">
        <v>8562</v>
      </c>
      <c r="J54" s="17">
        <v>8699</v>
      </c>
      <c r="K54" s="17">
        <v>8837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21">
        <f t="shared" si="1"/>
        <v>0</v>
      </c>
      <c r="S54" s="21">
        <f t="shared" si="2"/>
        <v>0</v>
      </c>
      <c r="T54" s="21">
        <f t="shared" si="3"/>
        <v>0</v>
      </c>
      <c r="U54" s="21">
        <f t="shared" si="4"/>
        <v>0</v>
      </c>
      <c r="V54" s="21">
        <f t="shared" si="5"/>
        <v>0</v>
      </c>
      <c r="W54" s="21">
        <f t="shared" si="6"/>
        <v>0</v>
      </c>
      <c r="X54" s="21">
        <f t="shared" si="7"/>
        <v>0</v>
      </c>
      <c r="Y54" s="21">
        <f t="shared" si="8"/>
        <v>0</v>
      </c>
    </row>
    <row r="55" spans="1:25" x14ac:dyDescent="0.3">
      <c r="A55" s="13" t="s">
        <v>25</v>
      </c>
      <c r="B55" s="13" t="s">
        <v>474</v>
      </c>
      <c r="C55" s="13" t="s">
        <v>475</v>
      </c>
      <c r="D55" s="13" t="s">
        <v>475</v>
      </c>
      <c r="E55" s="17">
        <v>20501</v>
      </c>
      <c r="F55" s="17">
        <v>14122</v>
      </c>
      <c r="G55" s="17">
        <v>14652</v>
      </c>
      <c r="H55" s="17">
        <v>15181</v>
      </c>
      <c r="I55" s="17">
        <v>16771</v>
      </c>
      <c r="J55" s="17">
        <v>17300</v>
      </c>
      <c r="K55" s="17">
        <v>17830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21">
        <f t="shared" si="1"/>
        <v>0</v>
      </c>
      <c r="S55" s="21">
        <f t="shared" si="2"/>
        <v>0</v>
      </c>
      <c r="T55" s="21">
        <f t="shared" si="3"/>
        <v>0</v>
      </c>
      <c r="U55" s="21">
        <f t="shared" si="4"/>
        <v>0</v>
      </c>
      <c r="V55" s="21">
        <f t="shared" si="5"/>
        <v>0</v>
      </c>
      <c r="W55" s="21">
        <f t="shared" si="6"/>
        <v>0</v>
      </c>
      <c r="X55" s="21">
        <f t="shared" si="7"/>
        <v>0</v>
      </c>
      <c r="Y55" s="21">
        <f t="shared" si="8"/>
        <v>0</v>
      </c>
    </row>
    <row r="56" spans="1:25" x14ac:dyDescent="0.3">
      <c r="A56" s="13" t="s">
        <v>25</v>
      </c>
      <c r="B56" s="13" t="s">
        <v>474</v>
      </c>
      <c r="C56" s="13" t="s">
        <v>67</v>
      </c>
      <c r="D56" s="13" t="s">
        <v>67</v>
      </c>
      <c r="E56" s="17">
        <v>20502</v>
      </c>
      <c r="F56" s="17">
        <v>8668</v>
      </c>
      <c r="G56" s="17">
        <v>8720</v>
      </c>
      <c r="H56" s="17">
        <v>8771</v>
      </c>
      <c r="I56" s="17">
        <v>8926</v>
      </c>
      <c r="J56" s="17">
        <v>8977</v>
      </c>
      <c r="K56" s="17">
        <v>9029</v>
      </c>
      <c r="L56" s="13">
        <v>0</v>
      </c>
      <c r="M56" s="13">
        <v>0</v>
      </c>
      <c r="N56" s="13">
        <v>0</v>
      </c>
      <c r="O56" s="13">
        <v>1</v>
      </c>
      <c r="P56" s="13">
        <v>0</v>
      </c>
      <c r="Q56" s="13">
        <v>0</v>
      </c>
      <c r="R56" s="21">
        <f t="shared" si="1"/>
        <v>0</v>
      </c>
      <c r="S56" s="21">
        <f t="shared" si="2"/>
        <v>0</v>
      </c>
      <c r="T56" s="21">
        <f t="shared" si="3"/>
        <v>0</v>
      </c>
      <c r="U56" s="21">
        <f t="shared" si="4"/>
        <v>11.203226529240421</v>
      </c>
      <c r="V56" s="21">
        <f t="shared" si="5"/>
        <v>0</v>
      </c>
      <c r="W56" s="21">
        <f t="shared" si="6"/>
        <v>0</v>
      </c>
      <c r="X56" s="21">
        <f t="shared" si="7"/>
        <v>0</v>
      </c>
      <c r="Y56" s="21">
        <f t="shared" si="8"/>
        <v>3.7344088430801405</v>
      </c>
    </row>
    <row r="57" spans="1:25" x14ac:dyDescent="0.3">
      <c r="A57" s="13" t="s">
        <v>25</v>
      </c>
      <c r="B57" s="13" t="s">
        <v>474</v>
      </c>
      <c r="C57" s="13" t="s">
        <v>476</v>
      </c>
      <c r="D57" s="13" t="s">
        <v>476</v>
      </c>
      <c r="E57" s="17">
        <v>20503</v>
      </c>
      <c r="F57" s="17">
        <v>6006</v>
      </c>
      <c r="G57" s="17">
        <v>6108</v>
      </c>
      <c r="H57" s="17">
        <v>6210</v>
      </c>
      <c r="I57" s="17">
        <v>6517</v>
      </c>
      <c r="J57" s="17">
        <v>6619</v>
      </c>
      <c r="K57" s="17">
        <v>6721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21">
        <f t="shared" si="1"/>
        <v>0</v>
      </c>
      <c r="S57" s="21">
        <f t="shared" si="2"/>
        <v>0</v>
      </c>
      <c r="T57" s="21">
        <f t="shared" si="3"/>
        <v>0</v>
      </c>
      <c r="U57" s="21">
        <f t="shared" si="4"/>
        <v>0</v>
      </c>
      <c r="V57" s="21">
        <f t="shared" si="5"/>
        <v>0</v>
      </c>
      <c r="W57" s="21">
        <f t="shared" si="6"/>
        <v>0</v>
      </c>
      <c r="X57" s="21">
        <f t="shared" si="7"/>
        <v>0</v>
      </c>
      <c r="Y57" s="21">
        <f t="shared" si="8"/>
        <v>0</v>
      </c>
    </row>
    <row r="58" spans="1:25" x14ac:dyDescent="0.3">
      <c r="A58" s="13" t="s">
        <v>25</v>
      </c>
      <c r="B58" s="13" t="s">
        <v>477</v>
      </c>
      <c r="C58" s="13" t="s">
        <v>44</v>
      </c>
      <c r="D58" s="13" t="s">
        <v>44</v>
      </c>
      <c r="E58" s="17">
        <v>20601</v>
      </c>
      <c r="F58" s="17">
        <v>26250</v>
      </c>
      <c r="G58" s="17">
        <v>26798</v>
      </c>
      <c r="H58" s="17">
        <v>27345</v>
      </c>
      <c r="I58" s="17">
        <v>28988</v>
      </c>
      <c r="J58" s="17">
        <v>29535</v>
      </c>
      <c r="K58" s="17">
        <v>30083</v>
      </c>
      <c r="L58" s="13">
        <v>1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21">
        <f t="shared" si="1"/>
        <v>3.8095238095238093</v>
      </c>
      <c r="S58" s="21">
        <f t="shared" si="2"/>
        <v>0</v>
      </c>
      <c r="T58" s="21">
        <f t="shared" si="3"/>
        <v>0</v>
      </c>
      <c r="U58" s="21">
        <f t="shared" si="4"/>
        <v>0</v>
      </c>
      <c r="V58" s="21">
        <f t="shared" si="5"/>
        <v>0</v>
      </c>
      <c r="W58" s="21">
        <f t="shared" si="6"/>
        <v>0</v>
      </c>
      <c r="X58" s="21">
        <f t="shared" si="7"/>
        <v>1.2698412698412698</v>
      </c>
      <c r="Y58" s="21">
        <f t="shared" si="8"/>
        <v>0</v>
      </c>
    </row>
    <row r="59" spans="1:25" x14ac:dyDescent="0.3">
      <c r="A59" s="13" t="s">
        <v>25</v>
      </c>
      <c r="B59" s="13" t="s">
        <v>477</v>
      </c>
      <c r="C59" s="13" t="s">
        <v>237</v>
      </c>
      <c r="D59" s="13" t="s">
        <v>237</v>
      </c>
      <c r="E59" s="17">
        <v>20602</v>
      </c>
      <c r="F59" s="17">
        <v>15454</v>
      </c>
      <c r="G59" s="17">
        <v>15587</v>
      </c>
      <c r="H59" s="17">
        <v>15720</v>
      </c>
      <c r="I59" s="17">
        <v>16120</v>
      </c>
      <c r="J59" s="17">
        <v>16253</v>
      </c>
      <c r="K59" s="17">
        <v>16386</v>
      </c>
      <c r="L59" s="13">
        <v>0</v>
      </c>
      <c r="M59" s="13">
        <v>0</v>
      </c>
      <c r="N59" s="13">
        <v>1</v>
      </c>
      <c r="O59" s="13">
        <v>0</v>
      </c>
      <c r="P59" s="13">
        <v>0</v>
      </c>
      <c r="Q59" s="13">
        <v>0</v>
      </c>
      <c r="R59" s="21">
        <f t="shared" si="1"/>
        <v>0</v>
      </c>
      <c r="S59" s="21">
        <f t="shared" si="2"/>
        <v>0</v>
      </c>
      <c r="T59" s="21">
        <f t="shared" si="3"/>
        <v>6.3613231552162848</v>
      </c>
      <c r="U59" s="21">
        <f t="shared" si="4"/>
        <v>0</v>
      </c>
      <c r="V59" s="21">
        <f t="shared" si="5"/>
        <v>0</v>
      </c>
      <c r="W59" s="21">
        <f t="shared" si="6"/>
        <v>0</v>
      </c>
      <c r="X59" s="21">
        <f t="shared" si="7"/>
        <v>2.1204410517387617</v>
      </c>
      <c r="Y59" s="21">
        <f t="shared" si="8"/>
        <v>0</v>
      </c>
    </row>
    <row r="60" spans="1:25" x14ac:dyDescent="0.3">
      <c r="A60" s="13" t="s">
        <v>25</v>
      </c>
      <c r="B60" s="13" t="s">
        <v>477</v>
      </c>
      <c r="C60" s="13" t="s">
        <v>60</v>
      </c>
      <c r="D60" s="13" t="s">
        <v>60</v>
      </c>
      <c r="E60" s="17">
        <v>20603</v>
      </c>
      <c r="F60" s="17">
        <v>8840</v>
      </c>
      <c r="G60" s="17">
        <v>8972</v>
      </c>
      <c r="H60" s="17">
        <v>9103</v>
      </c>
      <c r="I60" s="17">
        <v>9498</v>
      </c>
      <c r="J60" s="17">
        <v>9629</v>
      </c>
      <c r="K60" s="17">
        <v>9761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21">
        <f t="shared" si="1"/>
        <v>0</v>
      </c>
      <c r="S60" s="21">
        <f t="shared" si="2"/>
        <v>0</v>
      </c>
      <c r="T60" s="21">
        <f t="shared" si="3"/>
        <v>0</v>
      </c>
      <c r="U60" s="21">
        <f t="shared" si="4"/>
        <v>0</v>
      </c>
      <c r="V60" s="21">
        <f t="shared" si="5"/>
        <v>0</v>
      </c>
      <c r="W60" s="21">
        <f t="shared" si="6"/>
        <v>0</v>
      </c>
      <c r="X60" s="21">
        <f t="shared" si="7"/>
        <v>0</v>
      </c>
      <c r="Y60" s="21">
        <f t="shared" si="8"/>
        <v>0</v>
      </c>
    </row>
    <row r="61" spans="1:25" x14ac:dyDescent="0.3">
      <c r="A61" s="13" t="s">
        <v>25</v>
      </c>
      <c r="B61" s="13" t="s">
        <v>477</v>
      </c>
      <c r="C61" s="13" t="s">
        <v>240</v>
      </c>
      <c r="D61" s="13" t="s">
        <v>240</v>
      </c>
      <c r="E61" s="17">
        <v>20604</v>
      </c>
      <c r="F61" s="17">
        <v>3326</v>
      </c>
      <c r="G61" s="17">
        <v>3454</v>
      </c>
      <c r="H61" s="17">
        <v>3582</v>
      </c>
      <c r="I61" s="17">
        <v>3967</v>
      </c>
      <c r="J61" s="17">
        <v>4096</v>
      </c>
      <c r="K61" s="17">
        <v>4224</v>
      </c>
      <c r="L61" s="13">
        <v>0</v>
      </c>
      <c r="M61" s="13">
        <v>1</v>
      </c>
      <c r="N61" s="13">
        <v>0</v>
      </c>
      <c r="O61" s="13">
        <v>0</v>
      </c>
      <c r="P61" s="13">
        <v>0</v>
      </c>
      <c r="Q61" s="13">
        <v>0</v>
      </c>
      <c r="R61" s="21">
        <f t="shared" si="1"/>
        <v>0</v>
      </c>
      <c r="S61" s="21">
        <f t="shared" si="2"/>
        <v>28.951939779965254</v>
      </c>
      <c r="T61" s="21">
        <f t="shared" si="3"/>
        <v>0</v>
      </c>
      <c r="U61" s="21">
        <f t="shared" si="4"/>
        <v>0</v>
      </c>
      <c r="V61" s="21">
        <f t="shared" si="5"/>
        <v>0</v>
      </c>
      <c r="W61" s="21">
        <f t="shared" si="6"/>
        <v>0</v>
      </c>
      <c r="X61" s="21">
        <f t="shared" si="7"/>
        <v>9.6506465933217509</v>
      </c>
      <c r="Y61" s="21">
        <f t="shared" si="8"/>
        <v>0</v>
      </c>
    </row>
    <row r="62" spans="1:25" x14ac:dyDescent="0.3">
      <c r="A62" s="13" t="s">
        <v>25</v>
      </c>
      <c r="B62" s="13" t="s">
        <v>477</v>
      </c>
      <c r="C62" s="13" t="s">
        <v>478</v>
      </c>
      <c r="D62" s="13" t="s">
        <v>478</v>
      </c>
      <c r="E62" s="17">
        <v>20605</v>
      </c>
      <c r="F62" s="17">
        <v>3647</v>
      </c>
      <c r="G62" s="17">
        <v>3630</v>
      </c>
      <c r="H62" s="17">
        <v>3613</v>
      </c>
      <c r="I62" s="17">
        <v>3563</v>
      </c>
      <c r="J62" s="17">
        <v>3546</v>
      </c>
      <c r="K62" s="17">
        <v>3529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21">
        <f t="shared" si="1"/>
        <v>0</v>
      </c>
      <c r="S62" s="21">
        <f t="shared" si="2"/>
        <v>0</v>
      </c>
      <c r="T62" s="21">
        <f t="shared" si="3"/>
        <v>0</v>
      </c>
      <c r="U62" s="21">
        <f t="shared" si="4"/>
        <v>0</v>
      </c>
      <c r="V62" s="21">
        <f t="shared" si="5"/>
        <v>0</v>
      </c>
      <c r="W62" s="21">
        <f t="shared" si="6"/>
        <v>0</v>
      </c>
      <c r="X62" s="21">
        <f t="shared" si="7"/>
        <v>0</v>
      </c>
      <c r="Y62" s="21">
        <f t="shared" si="8"/>
        <v>0</v>
      </c>
    </row>
    <row r="63" spans="1:25" x14ac:dyDescent="0.3">
      <c r="A63" s="13" t="s">
        <v>25</v>
      </c>
      <c r="B63" s="13" t="s">
        <v>477</v>
      </c>
      <c r="C63" s="13" t="s">
        <v>479</v>
      </c>
      <c r="D63" s="13" t="s">
        <v>479</v>
      </c>
      <c r="E63" s="17">
        <v>20606</v>
      </c>
      <c r="F63" s="17">
        <v>9040</v>
      </c>
      <c r="G63" s="17">
        <v>8851</v>
      </c>
      <c r="H63" s="17">
        <v>8661</v>
      </c>
      <c r="I63" s="17">
        <v>8094</v>
      </c>
      <c r="J63" s="17">
        <v>7905</v>
      </c>
      <c r="K63" s="17">
        <v>7716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21">
        <f t="shared" si="1"/>
        <v>0</v>
      </c>
      <c r="S63" s="21">
        <f t="shared" si="2"/>
        <v>0</v>
      </c>
      <c r="T63" s="21">
        <f t="shared" si="3"/>
        <v>0</v>
      </c>
      <c r="U63" s="21">
        <f t="shared" si="4"/>
        <v>0</v>
      </c>
      <c r="V63" s="21">
        <f t="shared" si="5"/>
        <v>0</v>
      </c>
      <c r="W63" s="21">
        <f t="shared" si="6"/>
        <v>0</v>
      </c>
      <c r="X63" s="21">
        <f t="shared" si="7"/>
        <v>0</v>
      </c>
      <c r="Y63" s="21">
        <f t="shared" si="8"/>
        <v>0</v>
      </c>
    </row>
    <row r="64" spans="1:25" x14ac:dyDescent="0.3">
      <c r="A64" s="13" t="s">
        <v>25</v>
      </c>
      <c r="B64" s="13" t="s">
        <v>477</v>
      </c>
      <c r="C64" s="13" t="s">
        <v>242</v>
      </c>
      <c r="D64" s="13" t="s">
        <v>242</v>
      </c>
      <c r="E64" s="17">
        <v>20607</v>
      </c>
      <c r="F64" s="17">
        <v>17204</v>
      </c>
      <c r="G64" s="17">
        <v>17867</v>
      </c>
      <c r="H64" s="17">
        <v>18530</v>
      </c>
      <c r="I64" s="17">
        <v>20518</v>
      </c>
      <c r="J64" s="17">
        <v>21180</v>
      </c>
      <c r="K64" s="17">
        <v>21843</v>
      </c>
      <c r="L64" s="13">
        <v>2</v>
      </c>
      <c r="M64" s="13">
        <v>1</v>
      </c>
      <c r="N64" s="13">
        <v>0</v>
      </c>
      <c r="O64" s="13">
        <v>0</v>
      </c>
      <c r="P64" s="13">
        <v>0</v>
      </c>
      <c r="Q64" s="13">
        <v>0</v>
      </c>
      <c r="R64" s="21">
        <f t="shared" si="1"/>
        <v>11.625203441060219</v>
      </c>
      <c r="S64" s="21">
        <f t="shared" si="2"/>
        <v>5.5969105054010191</v>
      </c>
      <c r="T64" s="21">
        <f t="shared" si="3"/>
        <v>0</v>
      </c>
      <c r="U64" s="21">
        <f t="shared" si="4"/>
        <v>0</v>
      </c>
      <c r="V64" s="21">
        <f t="shared" si="5"/>
        <v>0</v>
      </c>
      <c r="W64" s="21">
        <f t="shared" si="6"/>
        <v>0</v>
      </c>
      <c r="X64" s="21">
        <f t="shared" si="7"/>
        <v>5.7407046488204125</v>
      </c>
      <c r="Y64" s="21">
        <f t="shared" si="8"/>
        <v>0</v>
      </c>
    </row>
    <row r="65" spans="1:25" x14ac:dyDescent="0.3">
      <c r="A65" s="13" t="s">
        <v>25</v>
      </c>
      <c r="B65" s="13" t="s">
        <v>477</v>
      </c>
      <c r="C65" s="13" t="s">
        <v>244</v>
      </c>
      <c r="D65" s="13" t="s">
        <v>244</v>
      </c>
      <c r="E65" s="17">
        <v>20608</v>
      </c>
      <c r="F65" s="17">
        <v>11028</v>
      </c>
      <c r="G65" s="17">
        <v>11364</v>
      </c>
      <c r="H65" s="17">
        <v>11700</v>
      </c>
      <c r="I65" s="17">
        <v>12707</v>
      </c>
      <c r="J65" s="17">
        <v>13043</v>
      </c>
      <c r="K65" s="17">
        <v>13379</v>
      </c>
      <c r="L65" s="13">
        <v>0</v>
      </c>
      <c r="M65" s="13">
        <v>0</v>
      </c>
      <c r="N65" s="13">
        <v>1</v>
      </c>
      <c r="O65" s="13">
        <v>0</v>
      </c>
      <c r="P65" s="13">
        <v>0</v>
      </c>
      <c r="Q65" s="13">
        <v>0</v>
      </c>
      <c r="R65" s="21">
        <f t="shared" si="1"/>
        <v>0</v>
      </c>
      <c r="S65" s="21">
        <f t="shared" si="2"/>
        <v>0</v>
      </c>
      <c r="T65" s="21">
        <f t="shared" si="3"/>
        <v>8.5470085470085468</v>
      </c>
      <c r="U65" s="21">
        <f t="shared" si="4"/>
        <v>0</v>
      </c>
      <c r="V65" s="21">
        <f t="shared" si="5"/>
        <v>0</v>
      </c>
      <c r="W65" s="21">
        <f t="shared" si="6"/>
        <v>0</v>
      </c>
      <c r="X65" s="21">
        <f t="shared" si="7"/>
        <v>2.8490028490028489</v>
      </c>
      <c r="Y65" s="21">
        <f t="shared" si="8"/>
        <v>0</v>
      </c>
    </row>
    <row r="66" spans="1:25" x14ac:dyDescent="0.3">
      <c r="A66" s="13" t="s">
        <v>25</v>
      </c>
      <c r="B66" s="13" t="s">
        <v>480</v>
      </c>
      <c r="C66" s="13" t="s">
        <v>57</v>
      </c>
      <c r="D66" s="13" t="s">
        <v>57</v>
      </c>
      <c r="E66" s="17">
        <v>20701</v>
      </c>
      <c r="F66" s="17">
        <v>19828</v>
      </c>
      <c r="G66" s="17">
        <v>19732</v>
      </c>
      <c r="H66" s="17">
        <v>19636</v>
      </c>
      <c r="I66" s="17">
        <v>19348</v>
      </c>
      <c r="J66" s="17">
        <v>19252</v>
      </c>
      <c r="K66" s="17">
        <v>19156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21">
        <f t="shared" si="1"/>
        <v>0</v>
      </c>
      <c r="S66" s="21">
        <f t="shared" si="2"/>
        <v>0</v>
      </c>
      <c r="T66" s="21">
        <f t="shared" si="3"/>
        <v>0</v>
      </c>
      <c r="U66" s="21">
        <f t="shared" si="4"/>
        <v>0</v>
      </c>
      <c r="V66" s="21">
        <f t="shared" si="5"/>
        <v>0</v>
      </c>
      <c r="W66" s="21">
        <f t="shared" si="6"/>
        <v>0</v>
      </c>
      <c r="X66" s="21">
        <f t="shared" si="7"/>
        <v>0</v>
      </c>
      <c r="Y66" s="21">
        <f t="shared" si="8"/>
        <v>0</v>
      </c>
    </row>
    <row r="67" spans="1:25" x14ac:dyDescent="0.3">
      <c r="A67" s="13" t="s">
        <v>25</v>
      </c>
      <c r="B67" s="13" t="s">
        <v>480</v>
      </c>
      <c r="C67" s="13" t="s">
        <v>56</v>
      </c>
      <c r="D67" s="13" t="s">
        <v>56</v>
      </c>
      <c r="E67" s="17">
        <v>20702</v>
      </c>
      <c r="F67" s="17">
        <v>7730</v>
      </c>
      <c r="G67" s="17">
        <v>7920</v>
      </c>
      <c r="H67" s="17">
        <v>8110</v>
      </c>
      <c r="I67" s="17">
        <v>8680</v>
      </c>
      <c r="J67" s="17">
        <v>8870</v>
      </c>
      <c r="K67" s="17">
        <v>9060</v>
      </c>
      <c r="L67" s="13">
        <v>0</v>
      </c>
      <c r="M67" s="13">
        <v>0</v>
      </c>
      <c r="N67" s="13">
        <v>0</v>
      </c>
      <c r="O67" s="13">
        <v>1</v>
      </c>
      <c r="P67" s="13">
        <v>0</v>
      </c>
      <c r="Q67" s="13">
        <v>0</v>
      </c>
      <c r="R67" s="21">
        <f t="shared" ref="R67:R130" si="9">(L67/F67)*100000</f>
        <v>0</v>
      </c>
      <c r="S67" s="21">
        <f t="shared" ref="S67:S130" si="10">(M67/G67)*100000</f>
        <v>0</v>
      </c>
      <c r="T67" s="21">
        <f t="shared" ref="T67:T130" si="11">(N67/H67)*100000</f>
        <v>0</v>
      </c>
      <c r="U67" s="21">
        <f t="shared" ref="U67:U130" si="12">(O67/I67)*100000</f>
        <v>11.52073732718894</v>
      </c>
      <c r="V67" s="21">
        <f t="shared" ref="V67:V130" si="13">(P67/J67)*100000</f>
        <v>0</v>
      </c>
      <c r="W67" s="21">
        <f t="shared" ref="W67:W130" si="14">(Q67/K67)*100000</f>
        <v>0</v>
      </c>
      <c r="X67" s="21">
        <f t="shared" ref="X67:X130" si="15">AVERAGE(R67:T67)</f>
        <v>0</v>
      </c>
      <c r="Y67" s="21">
        <f t="shared" ref="Y67:Y130" si="16">AVERAGE(U67:W67)</f>
        <v>3.8402457757296466</v>
      </c>
    </row>
    <row r="68" spans="1:25" x14ac:dyDescent="0.3">
      <c r="A68" s="13" t="s">
        <v>25</v>
      </c>
      <c r="B68" s="13" t="s">
        <v>481</v>
      </c>
      <c r="C68" s="13" t="s">
        <v>27</v>
      </c>
      <c r="D68" s="13" t="s">
        <v>27</v>
      </c>
      <c r="E68" s="17">
        <v>20801</v>
      </c>
      <c r="F68" s="17">
        <v>94403</v>
      </c>
      <c r="G68" s="17">
        <v>97139</v>
      </c>
      <c r="H68" s="17">
        <v>99875</v>
      </c>
      <c r="I68" s="17">
        <v>108082</v>
      </c>
      <c r="J68" s="17">
        <v>110818</v>
      </c>
      <c r="K68" s="17">
        <v>113554</v>
      </c>
      <c r="L68" s="13">
        <v>20</v>
      </c>
      <c r="M68" s="13">
        <v>5</v>
      </c>
      <c r="N68" s="13">
        <v>8</v>
      </c>
      <c r="O68" s="13">
        <v>8</v>
      </c>
      <c r="P68" s="13">
        <v>3</v>
      </c>
      <c r="Q68" s="13">
        <v>6</v>
      </c>
      <c r="R68" s="21">
        <f t="shared" si="9"/>
        <v>21.185767401459699</v>
      </c>
      <c r="S68" s="21">
        <f t="shared" si="10"/>
        <v>5.1472632001564769</v>
      </c>
      <c r="T68" s="21">
        <f t="shared" si="11"/>
        <v>8.0100125156445561</v>
      </c>
      <c r="U68" s="21">
        <f t="shared" si="12"/>
        <v>7.4017875316889032</v>
      </c>
      <c r="V68" s="21">
        <f t="shared" si="13"/>
        <v>2.707141439116389</v>
      </c>
      <c r="W68" s="21">
        <f t="shared" si="14"/>
        <v>5.283829719780897</v>
      </c>
      <c r="X68" s="21">
        <f t="shared" si="15"/>
        <v>11.447681039086911</v>
      </c>
      <c r="Y68" s="21">
        <f t="shared" si="16"/>
        <v>5.1309195635287299</v>
      </c>
    </row>
    <row r="69" spans="1:25" x14ac:dyDescent="0.3">
      <c r="A69" s="13" t="s">
        <v>25</v>
      </c>
      <c r="B69" s="13" t="s">
        <v>481</v>
      </c>
      <c r="C69" s="13" t="s">
        <v>482</v>
      </c>
      <c r="D69" s="13" t="s">
        <v>483</v>
      </c>
      <c r="E69" s="17">
        <v>20802</v>
      </c>
      <c r="F69" s="17">
        <v>7826</v>
      </c>
      <c r="G69" s="17">
        <v>7935</v>
      </c>
      <c r="H69" s="17">
        <v>8045</v>
      </c>
      <c r="I69" s="17">
        <v>8373</v>
      </c>
      <c r="J69" s="17">
        <v>8483</v>
      </c>
      <c r="K69" s="17">
        <v>8592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21">
        <f t="shared" si="9"/>
        <v>0</v>
      </c>
      <c r="S69" s="21">
        <f t="shared" si="10"/>
        <v>0</v>
      </c>
      <c r="T69" s="21">
        <f t="shared" si="11"/>
        <v>0</v>
      </c>
      <c r="U69" s="21">
        <f t="shared" si="12"/>
        <v>0</v>
      </c>
      <c r="V69" s="21">
        <f t="shared" si="13"/>
        <v>0</v>
      </c>
      <c r="W69" s="21">
        <f t="shared" si="14"/>
        <v>0</v>
      </c>
      <c r="X69" s="21">
        <f t="shared" si="15"/>
        <v>0</v>
      </c>
      <c r="Y69" s="21">
        <f t="shared" si="16"/>
        <v>0</v>
      </c>
    </row>
    <row r="70" spans="1:25" x14ac:dyDescent="0.3">
      <c r="A70" s="13" t="s">
        <v>25</v>
      </c>
      <c r="B70" s="13" t="s">
        <v>481</v>
      </c>
      <c r="C70" s="13" t="s">
        <v>50</v>
      </c>
      <c r="D70" s="13" t="s">
        <v>50</v>
      </c>
      <c r="E70" s="17">
        <v>20803</v>
      </c>
      <c r="F70" s="17">
        <v>12797</v>
      </c>
      <c r="G70" s="17">
        <v>12919</v>
      </c>
      <c r="H70" s="17">
        <v>13040</v>
      </c>
      <c r="I70" s="17">
        <v>13405</v>
      </c>
      <c r="J70" s="17">
        <v>13526</v>
      </c>
      <c r="K70" s="17">
        <v>13648</v>
      </c>
      <c r="L70" s="13">
        <v>0</v>
      </c>
      <c r="M70" s="13">
        <v>1</v>
      </c>
      <c r="N70" s="13">
        <v>0</v>
      </c>
      <c r="O70" s="13">
        <v>0</v>
      </c>
      <c r="P70" s="13">
        <v>0</v>
      </c>
      <c r="Q70" s="13">
        <v>2</v>
      </c>
      <c r="R70" s="21">
        <f t="shared" si="9"/>
        <v>0</v>
      </c>
      <c r="S70" s="21">
        <f t="shared" si="10"/>
        <v>7.7405371932812139</v>
      </c>
      <c r="T70" s="21">
        <f t="shared" si="11"/>
        <v>0</v>
      </c>
      <c r="U70" s="21">
        <f t="shared" si="12"/>
        <v>0</v>
      </c>
      <c r="V70" s="21">
        <f t="shared" si="13"/>
        <v>0</v>
      </c>
      <c r="W70" s="21">
        <f t="shared" si="14"/>
        <v>14.654161781946071</v>
      </c>
      <c r="X70" s="21">
        <f t="shared" si="15"/>
        <v>2.5801790644270715</v>
      </c>
      <c r="Y70" s="21">
        <f t="shared" si="16"/>
        <v>4.8847205939820233</v>
      </c>
    </row>
    <row r="71" spans="1:25" x14ac:dyDescent="0.3">
      <c r="A71" s="13" t="s">
        <v>25</v>
      </c>
      <c r="B71" s="13" t="s">
        <v>481</v>
      </c>
      <c r="C71" s="13" t="s">
        <v>31</v>
      </c>
      <c r="D71" s="13" t="s">
        <v>31</v>
      </c>
      <c r="E71" s="17">
        <v>20804</v>
      </c>
      <c r="F71" s="17">
        <v>7366</v>
      </c>
      <c r="G71" s="17">
        <v>7442</v>
      </c>
      <c r="H71" s="17">
        <v>7518</v>
      </c>
      <c r="I71" s="17">
        <v>7745</v>
      </c>
      <c r="J71" s="17">
        <v>7821</v>
      </c>
      <c r="K71" s="17">
        <v>7897</v>
      </c>
      <c r="L71" s="13">
        <v>0</v>
      </c>
      <c r="M71" s="13">
        <v>1</v>
      </c>
      <c r="N71" s="13">
        <v>2</v>
      </c>
      <c r="O71" s="13">
        <v>0</v>
      </c>
      <c r="P71" s="13">
        <v>1</v>
      </c>
      <c r="Q71" s="13">
        <v>3</v>
      </c>
      <c r="R71" s="21">
        <f t="shared" si="9"/>
        <v>0</v>
      </c>
      <c r="S71" s="21">
        <f t="shared" si="10"/>
        <v>13.437248051599031</v>
      </c>
      <c r="T71" s="21">
        <f t="shared" si="11"/>
        <v>26.602819898909285</v>
      </c>
      <c r="U71" s="21">
        <f t="shared" si="12"/>
        <v>0</v>
      </c>
      <c r="V71" s="21">
        <f t="shared" si="13"/>
        <v>12.786088735455825</v>
      </c>
      <c r="W71" s="21">
        <f t="shared" si="14"/>
        <v>37.989109788527287</v>
      </c>
      <c r="X71" s="21">
        <f t="shared" si="15"/>
        <v>13.346689316836105</v>
      </c>
      <c r="Y71" s="21">
        <f t="shared" si="16"/>
        <v>16.925066174661037</v>
      </c>
    </row>
    <row r="72" spans="1:25" x14ac:dyDescent="0.3">
      <c r="A72" s="13" t="s">
        <v>25</v>
      </c>
      <c r="B72" s="13" t="s">
        <v>481</v>
      </c>
      <c r="C72" s="13" t="s">
        <v>484</v>
      </c>
      <c r="D72" s="13" t="s">
        <v>485</v>
      </c>
      <c r="E72" s="17">
        <v>20805</v>
      </c>
      <c r="F72" s="17">
        <v>6891</v>
      </c>
      <c r="G72" s="17">
        <v>7041</v>
      </c>
      <c r="H72" s="17">
        <v>7190</v>
      </c>
      <c r="I72" s="17">
        <v>7638</v>
      </c>
      <c r="J72" s="17">
        <v>7787</v>
      </c>
      <c r="K72" s="17">
        <v>7936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21">
        <f t="shared" si="9"/>
        <v>0</v>
      </c>
      <c r="S72" s="21">
        <f t="shared" si="10"/>
        <v>0</v>
      </c>
      <c r="T72" s="21">
        <f t="shared" si="11"/>
        <v>0</v>
      </c>
      <c r="U72" s="21">
        <f t="shared" si="12"/>
        <v>0</v>
      </c>
      <c r="V72" s="21">
        <f t="shared" si="13"/>
        <v>0</v>
      </c>
      <c r="W72" s="21">
        <f t="shared" si="14"/>
        <v>0</v>
      </c>
      <c r="X72" s="21">
        <f t="shared" si="15"/>
        <v>0</v>
      </c>
      <c r="Y72" s="21">
        <f t="shared" si="16"/>
        <v>0</v>
      </c>
    </row>
    <row r="73" spans="1:25" x14ac:dyDescent="0.3">
      <c r="A73" s="13" t="s">
        <v>25</v>
      </c>
      <c r="B73" s="13" t="s">
        <v>481</v>
      </c>
      <c r="C73" s="13" t="s">
        <v>486</v>
      </c>
      <c r="D73" s="13" t="s">
        <v>487</v>
      </c>
      <c r="E73" s="17">
        <v>20806</v>
      </c>
      <c r="F73" s="17">
        <v>15863</v>
      </c>
      <c r="G73" s="17">
        <v>16028</v>
      </c>
      <c r="H73" s="17">
        <v>16192</v>
      </c>
      <c r="I73" s="17">
        <v>16687</v>
      </c>
      <c r="J73" s="17">
        <v>16851</v>
      </c>
      <c r="K73" s="17">
        <v>17016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21">
        <f t="shared" si="9"/>
        <v>0</v>
      </c>
      <c r="S73" s="21">
        <f t="shared" si="10"/>
        <v>0</v>
      </c>
      <c r="T73" s="21">
        <f t="shared" si="11"/>
        <v>0</v>
      </c>
      <c r="U73" s="21">
        <f t="shared" si="12"/>
        <v>0</v>
      </c>
      <c r="V73" s="21">
        <f t="shared" si="13"/>
        <v>0</v>
      </c>
      <c r="W73" s="21">
        <f t="shared" si="14"/>
        <v>0</v>
      </c>
      <c r="X73" s="21">
        <f t="shared" si="15"/>
        <v>0</v>
      </c>
      <c r="Y73" s="21">
        <f t="shared" si="16"/>
        <v>0</v>
      </c>
    </row>
    <row r="74" spans="1:25" x14ac:dyDescent="0.3">
      <c r="A74" s="13" t="s">
        <v>25</v>
      </c>
      <c r="B74" s="13" t="s">
        <v>481</v>
      </c>
      <c r="C74" s="13" t="s">
        <v>488</v>
      </c>
      <c r="D74" s="13" t="s">
        <v>488</v>
      </c>
      <c r="E74" s="17">
        <v>20807</v>
      </c>
      <c r="F74" s="17">
        <v>6993</v>
      </c>
      <c r="G74" s="17">
        <v>7072</v>
      </c>
      <c r="H74" s="17">
        <v>7150</v>
      </c>
      <c r="I74" s="17">
        <v>7384</v>
      </c>
      <c r="J74" s="17">
        <v>7462</v>
      </c>
      <c r="K74" s="17">
        <v>7540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21">
        <f t="shared" si="9"/>
        <v>0</v>
      </c>
      <c r="S74" s="21">
        <f t="shared" si="10"/>
        <v>0</v>
      </c>
      <c r="T74" s="21">
        <f t="shared" si="11"/>
        <v>0</v>
      </c>
      <c r="U74" s="21">
        <f t="shared" si="12"/>
        <v>0</v>
      </c>
      <c r="V74" s="21">
        <f t="shared" si="13"/>
        <v>0</v>
      </c>
      <c r="W74" s="21">
        <f t="shared" si="14"/>
        <v>0</v>
      </c>
      <c r="X74" s="21">
        <f t="shared" si="15"/>
        <v>0</v>
      </c>
      <c r="Y74" s="21">
        <f t="shared" si="16"/>
        <v>0</v>
      </c>
    </row>
    <row r="75" spans="1:25" x14ac:dyDescent="0.3">
      <c r="A75" s="13" t="s">
        <v>25</v>
      </c>
      <c r="B75" s="13" t="s">
        <v>489</v>
      </c>
      <c r="C75" s="13" t="s">
        <v>490</v>
      </c>
      <c r="D75" s="13" t="s">
        <v>490</v>
      </c>
      <c r="E75" s="17">
        <v>20901</v>
      </c>
      <c r="F75" s="17">
        <v>10957</v>
      </c>
      <c r="G75" s="17">
        <v>10921</v>
      </c>
      <c r="H75" s="17">
        <v>10885</v>
      </c>
      <c r="I75" s="17">
        <v>10776</v>
      </c>
      <c r="J75" s="17">
        <v>10739</v>
      </c>
      <c r="K75" s="17">
        <v>10703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21">
        <f t="shared" si="9"/>
        <v>0</v>
      </c>
      <c r="S75" s="21">
        <f t="shared" si="10"/>
        <v>0</v>
      </c>
      <c r="T75" s="21">
        <f t="shared" si="11"/>
        <v>0</v>
      </c>
      <c r="U75" s="21">
        <f t="shared" si="12"/>
        <v>0</v>
      </c>
      <c r="V75" s="21">
        <f t="shared" si="13"/>
        <v>0</v>
      </c>
      <c r="W75" s="21">
        <f t="shared" si="14"/>
        <v>0</v>
      </c>
      <c r="X75" s="21">
        <f t="shared" si="15"/>
        <v>0</v>
      </c>
      <c r="Y75" s="21">
        <f t="shared" si="16"/>
        <v>0</v>
      </c>
    </row>
    <row r="76" spans="1:25" x14ac:dyDescent="0.3">
      <c r="A76" s="13" t="s">
        <v>25</v>
      </c>
      <c r="B76" s="13" t="s">
        <v>489</v>
      </c>
      <c r="C76" s="13" t="s">
        <v>65</v>
      </c>
      <c r="D76" s="13" t="s">
        <v>65</v>
      </c>
      <c r="E76" s="17">
        <v>20902</v>
      </c>
      <c r="F76" s="17">
        <v>14156</v>
      </c>
      <c r="G76" s="17">
        <v>14491</v>
      </c>
      <c r="H76" s="17">
        <v>14825</v>
      </c>
      <c r="I76" s="17">
        <v>15828</v>
      </c>
      <c r="J76" s="17">
        <v>16163</v>
      </c>
      <c r="K76" s="17">
        <v>16497</v>
      </c>
      <c r="L76" s="13">
        <v>0</v>
      </c>
      <c r="M76" s="13">
        <v>0</v>
      </c>
      <c r="N76" s="13">
        <v>0</v>
      </c>
      <c r="O76" s="13">
        <v>0</v>
      </c>
      <c r="P76" s="13">
        <v>1</v>
      </c>
      <c r="Q76" s="13">
        <v>0</v>
      </c>
      <c r="R76" s="21">
        <f t="shared" si="9"/>
        <v>0</v>
      </c>
      <c r="S76" s="21">
        <f t="shared" si="10"/>
        <v>0</v>
      </c>
      <c r="T76" s="21">
        <f t="shared" si="11"/>
        <v>0</v>
      </c>
      <c r="U76" s="21">
        <f t="shared" si="12"/>
        <v>0</v>
      </c>
      <c r="V76" s="21">
        <f t="shared" si="13"/>
        <v>6.1869702406731424</v>
      </c>
      <c r="W76" s="21">
        <f t="shared" si="14"/>
        <v>0</v>
      </c>
      <c r="X76" s="21">
        <f t="shared" si="15"/>
        <v>0</v>
      </c>
      <c r="Y76" s="21">
        <f t="shared" si="16"/>
        <v>2.062323413557714</v>
      </c>
    </row>
    <row r="77" spans="1:25" x14ac:dyDescent="0.3">
      <c r="A77" s="13" t="s">
        <v>25</v>
      </c>
      <c r="B77" s="13" t="s">
        <v>489</v>
      </c>
      <c r="C77" s="13" t="s">
        <v>491</v>
      </c>
      <c r="D77" s="13" t="s">
        <v>491</v>
      </c>
      <c r="E77" s="17">
        <v>20903</v>
      </c>
      <c r="F77" s="17">
        <v>9390</v>
      </c>
      <c r="G77" s="17">
        <v>9806</v>
      </c>
      <c r="H77" s="17">
        <v>10221</v>
      </c>
      <c r="I77" s="17">
        <v>11466</v>
      </c>
      <c r="J77" s="17">
        <v>11881</v>
      </c>
      <c r="K77" s="17">
        <v>12296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21">
        <f t="shared" si="9"/>
        <v>0</v>
      </c>
      <c r="S77" s="21">
        <f t="shared" si="10"/>
        <v>0</v>
      </c>
      <c r="T77" s="21">
        <f t="shared" si="11"/>
        <v>0</v>
      </c>
      <c r="U77" s="21">
        <f t="shared" si="12"/>
        <v>0</v>
      </c>
      <c r="V77" s="21">
        <f t="shared" si="13"/>
        <v>0</v>
      </c>
      <c r="W77" s="21">
        <f t="shared" si="14"/>
        <v>0</v>
      </c>
      <c r="X77" s="21">
        <f t="shared" si="15"/>
        <v>0</v>
      </c>
      <c r="Y77" s="21">
        <f t="shared" si="16"/>
        <v>0</v>
      </c>
    </row>
    <row r="78" spans="1:25" x14ac:dyDescent="0.3">
      <c r="A78" s="13" t="s">
        <v>25</v>
      </c>
      <c r="B78" s="13" t="s">
        <v>489</v>
      </c>
      <c r="C78" s="13" t="s">
        <v>492</v>
      </c>
      <c r="D78" s="13" t="s">
        <v>492</v>
      </c>
      <c r="E78" s="17">
        <v>20904</v>
      </c>
      <c r="F78" s="17">
        <v>5229</v>
      </c>
      <c r="G78" s="17">
        <v>5239</v>
      </c>
      <c r="H78" s="17">
        <v>5248</v>
      </c>
      <c r="I78" s="17">
        <v>5278</v>
      </c>
      <c r="J78" s="17">
        <v>5287</v>
      </c>
      <c r="K78" s="17">
        <v>5297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21">
        <f t="shared" si="9"/>
        <v>0</v>
      </c>
      <c r="S78" s="21">
        <f t="shared" si="10"/>
        <v>0</v>
      </c>
      <c r="T78" s="21">
        <f t="shared" si="11"/>
        <v>0</v>
      </c>
      <c r="U78" s="21">
        <f t="shared" si="12"/>
        <v>0</v>
      </c>
      <c r="V78" s="21">
        <f t="shared" si="13"/>
        <v>0</v>
      </c>
      <c r="W78" s="21">
        <f t="shared" si="14"/>
        <v>0</v>
      </c>
      <c r="X78" s="21">
        <f t="shared" si="15"/>
        <v>0</v>
      </c>
      <c r="Y78" s="21">
        <f t="shared" si="16"/>
        <v>0</v>
      </c>
    </row>
    <row r="79" spans="1:25" x14ac:dyDescent="0.3">
      <c r="A79" s="13" t="s">
        <v>25</v>
      </c>
      <c r="B79" s="13" t="s">
        <v>489</v>
      </c>
      <c r="C79" s="13" t="s">
        <v>493</v>
      </c>
      <c r="D79" s="13" t="s">
        <v>493</v>
      </c>
      <c r="E79" s="17">
        <v>20905</v>
      </c>
      <c r="F79" s="17">
        <v>12290</v>
      </c>
      <c r="G79" s="17">
        <v>12477</v>
      </c>
      <c r="H79" s="17">
        <v>12663</v>
      </c>
      <c r="I79" s="17">
        <v>13224</v>
      </c>
      <c r="J79" s="17">
        <v>13411</v>
      </c>
      <c r="K79" s="17">
        <v>13598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21">
        <f t="shared" si="9"/>
        <v>0</v>
      </c>
      <c r="S79" s="21">
        <f t="shared" si="10"/>
        <v>0</v>
      </c>
      <c r="T79" s="21">
        <f t="shared" si="11"/>
        <v>0</v>
      </c>
      <c r="U79" s="21">
        <f t="shared" si="12"/>
        <v>0</v>
      </c>
      <c r="V79" s="21">
        <f t="shared" si="13"/>
        <v>0</v>
      </c>
      <c r="W79" s="21">
        <f t="shared" si="14"/>
        <v>0</v>
      </c>
      <c r="X79" s="21">
        <f t="shared" si="15"/>
        <v>0</v>
      </c>
      <c r="Y79" s="21">
        <f t="shared" si="16"/>
        <v>0</v>
      </c>
    </row>
    <row r="80" spans="1:25" x14ac:dyDescent="0.3">
      <c r="A80" s="13" t="s">
        <v>25</v>
      </c>
      <c r="B80" s="13" t="s">
        <v>252</v>
      </c>
      <c r="C80" s="13" t="s">
        <v>252</v>
      </c>
      <c r="D80" s="13" t="s">
        <v>252</v>
      </c>
      <c r="E80" s="17">
        <v>21001</v>
      </c>
      <c r="F80" s="17">
        <v>16368</v>
      </c>
      <c r="G80" s="17">
        <v>16698</v>
      </c>
      <c r="H80" s="17">
        <v>17028</v>
      </c>
      <c r="I80" s="17">
        <v>18019</v>
      </c>
      <c r="J80" s="17">
        <v>18349</v>
      </c>
      <c r="K80" s="17">
        <v>18679</v>
      </c>
      <c r="L80" s="13">
        <v>0</v>
      </c>
      <c r="M80" s="13">
        <v>0</v>
      </c>
      <c r="N80" s="13">
        <v>1</v>
      </c>
      <c r="O80" s="13">
        <v>0</v>
      </c>
      <c r="P80" s="13">
        <v>0</v>
      </c>
      <c r="Q80" s="13">
        <v>0</v>
      </c>
      <c r="R80" s="21">
        <f t="shared" si="9"/>
        <v>0</v>
      </c>
      <c r="S80" s="21">
        <f t="shared" si="10"/>
        <v>0</v>
      </c>
      <c r="T80" s="21">
        <f t="shared" si="11"/>
        <v>5.8726802912849427</v>
      </c>
      <c r="U80" s="21">
        <f t="shared" si="12"/>
        <v>0</v>
      </c>
      <c r="V80" s="21">
        <f t="shared" si="13"/>
        <v>0</v>
      </c>
      <c r="W80" s="21">
        <f t="shared" si="14"/>
        <v>0</v>
      </c>
      <c r="X80" s="21">
        <f t="shared" si="15"/>
        <v>1.9575600970949809</v>
      </c>
      <c r="Y80" s="21">
        <f t="shared" si="16"/>
        <v>0</v>
      </c>
    </row>
    <row r="81" spans="1:25" x14ac:dyDescent="0.3">
      <c r="A81" s="13" t="s">
        <v>25</v>
      </c>
      <c r="B81" s="13" t="s">
        <v>252</v>
      </c>
      <c r="C81" s="13" t="s">
        <v>494</v>
      </c>
      <c r="D81" s="13" t="s">
        <v>494</v>
      </c>
      <c r="E81" s="17">
        <v>21002</v>
      </c>
      <c r="F81" s="17">
        <v>9358</v>
      </c>
      <c r="G81" s="17">
        <v>9577</v>
      </c>
      <c r="H81" s="17">
        <v>9795</v>
      </c>
      <c r="I81" s="17">
        <v>10450</v>
      </c>
      <c r="J81" s="17">
        <v>10669</v>
      </c>
      <c r="K81" s="17">
        <v>10887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21">
        <f t="shared" si="9"/>
        <v>0</v>
      </c>
      <c r="S81" s="21">
        <f t="shared" si="10"/>
        <v>0</v>
      </c>
      <c r="T81" s="21">
        <f t="shared" si="11"/>
        <v>0</v>
      </c>
      <c r="U81" s="21">
        <f t="shared" si="12"/>
        <v>0</v>
      </c>
      <c r="V81" s="21">
        <f t="shared" si="13"/>
        <v>0</v>
      </c>
      <c r="W81" s="21">
        <f t="shared" si="14"/>
        <v>0</v>
      </c>
      <c r="X81" s="21">
        <f t="shared" si="15"/>
        <v>0</v>
      </c>
      <c r="Y81" s="21">
        <f t="shared" si="16"/>
        <v>0</v>
      </c>
    </row>
    <row r="82" spans="1:25" x14ac:dyDescent="0.3">
      <c r="A82" s="13" t="s">
        <v>25</v>
      </c>
      <c r="B82" s="13" t="s">
        <v>252</v>
      </c>
      <c r="C82" s="13" t="s">
        <v>47</v>
      </c>
      <c r="D82" s="13" t="s">
        <v>47</v>
      </c>
      <c r="E82" s="17">
        <v>21003</v>
      </c>
      <c r="F82" s="17">
        <v>12586</v>
      </c>
      <c r="G82" s="17">
        <v>13012</v>
      </c>
      <c r="H82" s="17">
        <v>13437</v>
      </c>
      <c r="I82" s="17">
        <v>14714</v>
      </c>
      <c r="J82" s="17">
        <v>15139</v>
      </c>
      <c r="K82" s="17">
        <v>15565</v>
      </c>
      <c r="L82" s="13">
        <v>0</v>
      </c>
      <c r="M82" s="13">
        <v>0</v>
      </c>
      <c r="N82" s="13">
        <v>0</v>
      </c>
      <c r="O82" s="13">
        <v>2</v>
      </c>
      <c r="P82" s="13">
        <v>0</v>
      </c>
      <c r="Q82" s="13">
        <v>0</v>
      </c>
      <c r="R82" s="21">
        <f t="shared" si="9"/>
        <v>0</v>
      </c>
      <c r="S82" s="21">
        <f t="shared" si="10"/>
        <v>0</v>
      </c>
      <c r="T82" s="21">
        <f t="shared" si="11"/>
        <v>0</v>
      </c>
      <c r="U82" s="21">
        <f t="shared" si="12"/>
        <v>13.592496941688189</v>
      </c>
      <c r="V82" s="21">
        <f t="shared" si="13"/>
        <v>0</v>
      </c>
      <c r="W82" s="21">
        <f t="shared" si="14"/>
        <v>0</v>
      </c>
      <c r="X82" s="21">
        <f t="shared" si="15"/>
        <v>0</v>
      </c>
      <c r="Y82" s="21">
        <f t="shared" si="16"/>
        <v>4.5308323138960631</v>
      </c>
    </row>
    <row r="83" spans="1:25" x14ac:dyDescent="0.3">
      <c r="A83" s="13" t="s">
        <v>25</v>
      </c>
      <c r="B83" s="13" t="s">
        <v>252</v>
      </c>
      <c r="C83" s="13" t="s">
        <v>55</v>
      </c>
      <c r="D83" s="13" t="s">
        <v>55</v>
      </c>
      <c r="E83" s="17">
        <v>21004</v>
      </c>
      <c r="F83" s="17">
        <v>21239</v>
      </c>
      <c r="G83" s="17">
        <v>21563</v>
      </c>
      <c r="H83" s="17">
        <v>21886</v>
      </c>
      <c r="I83" s="17">
        <v>22858</v>
      </c>
      <c r="J83" s="17">
        <v>23181</v>
      </c>
      <c r="K83" s="17">
        <v>23505</v>
      </c>
      <c r="L83" s="13">
        <v>0</v>
      </c>
      <c r="M83" s="13">
        <v>0</v>
      </c>
      <c r="N83" s="13">
        <v>1</v>
      </c>
      <c r="O83" s="13">
        <v>0</v>
      </c>
      <c r="P83" s="13">
        <v>0</v>
      </c>
      <c r="Q83" s="13">
        <v>0</v>
      </c>
      <c r="R83" s="21">
        <f t="shared" si="9"/>
        <v>0</v>
      </c>
      <c r="S83" s="21">
        <f t="shared" si="10"/>
        <v>0</v>
      </c>
      <c r="T83" s="21">
        <f t="shared" si="11"/>
        <v>4.5691309512930642</v>
      </c>
      <c r="U83" s="21">
        <f t="shared" si="12"/>
        <v>0</v>
      </c>
      <c r="V83" s="21">
        <f t="shared" si="13"/>
        <v>0</v>
      </c>
      <c r="W83" s="21">
        <f t="shared" si="14"/>
        <v>0</v>
      </c>
      <c r="X83" s="21">
        <f t="shared" si="15"/>
        <v>1.5230436504310214</v>
      </c>
      <c r="Y83" s="21">
        <f t="shared" si="16"/>
        <v>0</v>
      </c>
    </row>
    <row r="84" spans="1:25" x14ac:dyDescent="0.3">
      <c r="A84" s="13" t="s">
        <v>25</v>
      </c>
      <c r="B84" s="13" t="s">
        <v>252</v>
      </c>
      <c r="C84" s="13" t="s">
        <v>495</v>
      </c>
      <c r="D84" s="13" t="s">
        <v>495</v>
      </c>
      <c r="E84" s="17">
        <v>21005</v>
      </c>
      <c r="F84" s="17">
        <v>8596</v>
      </c>
      <c r="G84" s="17">
        <v>8733</v>
      </c>
      <c r="H84" s="17">
        <v>8869</v>
      </c>
      <c r="I84" s="17">
        <v>9279</v>
      </c>
      <c r="J84" s="17">
        <v>9415</v>
      </c>
      <c r="K84" s="17">
        <v>9552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21">
        <f t="shared" si="9"/>
        <v>0</v>
      </c>
      <c r="S84" s="21">
        <f t="shared" si="10"/>
        <v>0</v>
      </c>
      <c r="T84" s="21">
        <f t="shared" si="11"/>
        <v>0</v>
      </c>
      <c r="U84" s="21">
        <f t="shared" si="12"/>
        <v>0</v>
      </c>
      <c r="V84" s="21">
        <f t="shared" si="13"/>
        <v>0</v>
      </c>
      <c r="W84" s="21">
        <f t="shared" si="14"/>
        <v>0</v>
      </c>
      <c r="X84" s="21">
        <f t="shared" si="15"/>
        <v>0</v>
      </c>
      <c r="Y84" s="21">
        <f t="shared" si="16"/>
        <v>0</v>
      </c>
    </row>
    <row r="85" spans="1:25" x14ac:dyDescent="0.3">
      <c r="A85" s="13" t="s">
        <v>25</v>
      </c>
      <c r="B85" s="13" t="s">
        <v>252</v>
      </c>
      <c r="C85" s="13" t="s">
        <v>496</v>
      </c>
      <c r="D85" s="13" t="s">
        <v>496</v>
      </c>
      <c r="E85" s="17">
        <v>21006</v>
      </c>
      <c r="F85" s="17">
        <v>6483</v>
      </c>
      <c r="G85" s="17">
        <v>6683</v>
      </c>
      <c r="H85" s="17">
        <v>6882</v>
      </c>
      <c r="I85" s="17">
        <v>7479</v>
      </c>
      <c r="J85" s="17">
        <v>7678</v>
      </c>
      <c r="K85" s="17">
        <v>7877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21">
        <f t="shared" si="9"/>
        <v>0</v>
      </c>
      <c r="S85" s="21">
        <f t="shared" si="10"/>
        <v>0</v>
      </c>
      <c r="T85" s="21">
        <f t="shared" si="11"/>
        <v>0</v>
      </c>
      <c r="U85" s="21">
        <f t="shared" si="12"/>
        <v>0</v>
      </c>
      <c r="V85" s="21">
        <f t="shared" si="13"/>
        <v>0</v>
      </c>
      <c r="W85" s="21">
        <f t="shared" si="14"/>
        <v>0</v>
      </c>
      <c r="X85" s="21">
        <f t="shared" si="15"/>
        <v>0</v>
      </c>
      <c r="Y85" s="21">
        <f t="shared" si="16"/>
        <v>0</v>
      </c>
    </row>
    <row r="86" spans="1:25" x14ac:dyDescent="0.3">
      <c r="A86" s="13" t="s">
        <v>25</v>
      </c>
      <c r="B86" s="13" t="s">
        <v>497</v>
      </c>
      <c r="C86" s="13" t="s">
        <v>37</v>
      </c>
      <c r="D86" s="13" t="s">
        <v>498</v>
      </c>
      <c r="E86" s="17">
        <v>21101</v>
      </c>
      <c r="F86" s="17">
        <v>18023</v>
      </c>
      <c r="G86" s="17">
        <v>18063</v>
      </c>
      <c r="H86" s="17">
        <v>18103</v>
      </c>
      <c r="I86" s="17">
        <v>18223</v>
      </c>
      <c r="J86" s="17">
        <v>18263</v>
      </c>
      <c r="K86" s="17">
        <v>18303</v>
      </c>
      <c r="L86" s="13">
        <v>3</v>
      </c>
      <c r="M86" s="13">
        <v>1</v>
      </c>
      <c r="N86" s="13">
        <v>0</v>
      </c>
      <c r="O86" s="13">
        <v>1</v>
      </c>
      <c r="P86" s="13">
        <v>0</v>
      </c>
      <c r="Q86" s="13">
        <v>0</v>
      </c>
      <c r="R86" s="21">
        <f t="shared" si="9"/>
        <v>16.645397547578092</v>
      </c>
      <c r="S86" s="21">
        <f t="shared" si="10"/>
        <v>5.536178929302995</v>
      </c>
      <c r="T86" s="21">
        <f t="shared" si="11"/>
        <v>0</v>
      </c>
      <c r="U86" s="21">
        <f t="shared" si="12"/>
        <v>5.4875706524721508</v>
      </c>
      <c r="V86" s="21">
        <f t="shared" si="13"/>
        <v>0</v>
      </c>
      <c r="W86" s="21">
        <f t="shared" si="14"/>
        <v>0</v>
      </c>
      <c r="X86" s="21">
        <f t="shared" si="15"/>
        <v>7.3938588256270288</v>
      </c>
      <c r="Y86" s="21">
        <f t="shared" si="16"/>
        <v>1.8291902174907169</v>
      </c>
    </row>
    <row r="87" spans="1:25" x14ac:dyDescent="0.3">
      <c r="A87" s="13" t="s">
        <v>25</v>
      </c>
      <c r="B87" s="13" t="s">
        <v>497</v>
      </c>
      <c r="C87" s="13" t="s">
        <v>59</v>
      </c>
      <c r="D87" s="13" t="s">
        <v>499</v>
      </c>
      <c r="E87" s="17">
        <v>21102</v>
      </c>
      <c r="F87" s="17">
        <v>19777</v>
      </c>
      <c r="G87" s="17">
        <v>20278</v>
      </c>
      <c r="H87" s="17">
        <v>20778</v>
      </c>
      <c r="I87" s="17">
        <v>22279</v>
      </c>
      <c r="J87" s="17">
        <v>22779</v>
      </c>
      <c r="K87" s="17">
        <v>23279</v>
      </c>
      <c r="L87" s="13">
        <v>0</v>
      </c>
      <c r="M87" s="13">
        <v>0</v>
      </c>
      <c r="N87" s="13">
        <v>0</v>
      </c>
      <c r="O87" s="13">
        <v>1</v>
      </c>
      <c r="P87" s="13">
        <v>0</v>
      </c>
      <c r="Q87" s="13">
        <v>0</v>
      </c>
      <c r="R87" s="21">
        <f t="shared" si="9"/>
        <v>0</v>
      </c>
      <c r="S87" s="21">
        <f t="shared" si="10"/>
        <v>0</v>
      </c>
      <c r="T87" s="21">
        <f t="shared" si="11"/>
        <v>0</v>
      </c>
      <c r="U87" s="21">
        <f t="shared" si="12"/>
        <v>4.4885318012478121</v>
      </c>
      <c r="V87" s="21">
        <f t="shared" si="13"/>
        <v>0</v>
      </c>
      <c r="W87" s="21">
        <f t="shared" si="14"/>
        <v>0</v>
      </c>
      <c r="X87" s="21">
        <f t="shared" si="15"/>
        <v>0</v>
      </c>
      <c r="Y87" s="21">
        <f t="shared" si="16"/>
        <v>1.4961772670826041</v>
      </c>
    </row>
    <row r="88" spans="1:25" x14ac:dyDescent="0.3">
      <c r="A88" s="13" t="s">
        <v>25</v>
      </c>
      <c r="B88" s="13" t="s">
        <v>497</v>
      </c>
      <c r="C88" s="13" t="s">
        <v>500</v>
      </c>
      <c r="D88" s="13" t="s">
        <v>500</v>
      </c>
      <c r="E88" s="17">
        <v>21103</v>
      </c>
      <c r="F88" s="17">
        <v>6918</v>
      </c>
      <c r="G88" s="17">
        <v>7018</v>
      </c>
      <c r="H88" s="17">
        <v>7117</v>
      </c>
      <c r="I88" s="17">
        <v>7416</v>
      </c>
      <c r="J88" s="17">
        <v>7515</v>
      </c>
      <c r="K88" s="17">
        <v>7615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21">
        <f t="shared" si="9"/>
        <v>0</v>
      </c>
      <c r="S88" s="21">
        <f t="shared" si="10"/>
        <v>0</v>
      </c>
      <c r="T88" s="21">
        <f t="shared" si="11"/>
        <v>0</v>
      </c>
      <c r="U88" s="21">
        <f t="shared" si="12"/>
        <v>0</v>
      </c>
      <c r="V88" s="21">
        <f t="shared" si="13"/>
        <v>0</v>
      </c>
      <c r="W88" s="21">
        <f t="shared" si="14"/>
        <v>0</v>
      </c>
      <c r="X88" s="21">
        <f t="shared" si="15"/>
        <v>0</v>
      </c>
      <c r="Y88" s="21">
        <f t="shared" si="16"/>
        <v>0</v>
      </c>
    </row>
    <row r="89" spans="1:25" x14ac:dyDescent="0.3">
      <c r="A89" s="13" t="s">
        <v>25</v>
      </c>
      <c r="B89" s="13" t="s">
        <v>497</v>
      </c>
      <c r="C89" s="13" t="s">
        <v>53</v>
      </c>
      <c r="D89" s="13" t="s">
        <v>53</v>
      </c>
      <c r="E89" s="17">
        <v>21104</v>
      </c>
      <c r="F89" s="17">
        <v>25734</v>
      </c>
      <c r="G89" s="17">
        <v>25934</v>
      </c>
      <c r="H89" s="17">
        <v>26135</v>
      </c>
      <c r="I89" s="17">
        <v>26736</v>
      </c>
      <c r="J89" s="17">
        <v>26937</v>
      </c>
      <c r="K89" s="17">
        <v>27137</v>
      </c>
      <c r="L89" s="13">
        <v>0</v>
      </c>
      <c r="M89" s="13">
        <v>2</v>
      </c>
      <c r="N89" s="13">
        <v>1</v>
      </c>
      <c r="O89" s="13">
        <v>0</v>
      </c>
      <c r="P89" s="13">
        <v>2</v>
      </c>
      <c r="Q89" s="13">
        <v>0</v>
      </c>
      <c r="R89" s="21">
        <f t="shared" si="9"/>
        <v>0</v>
      </c>
      <c r="S89" s="21">
        <f t="shared" si="10"/>
        <v>7.7118840132644406</v>
      </c>
      <c r="T89" s="21">
        <f t="shared" si="11"/>
        <v>3.8262865888655062</v>
      </c>
      <c r="U89" s="21">
        <f t="shared" si="12"/>
        <v>0</v>
      </c>
      <c r="V89" s="21">
        <f t="shared" si="13"/>
        <v>7.4247317815643914</v>
      </c>
      <c r="W89" s="21">
        <f t="shared" si="14"/>
        <v>0</v>
      </c>
      <c r="X89" s="21">
        <f t="shared" si="15"/>
        <v>3.8460568673766491</v>
      </c>
      <c r="Y89" s="21">
        <f t="shared" si="16"/>
        <v>2.4749105938547973</v>
      </c>
    </row>
    <row r="90" spans="1:25" x14ac:dyDescent="0.3">
      <c r="A90" s="13" t="s">
        <v>25</v>
      </c>
      <c r="B90" s="13" t="s">
        <v>497</v>
      </c>
      <c r="C90" s="13" t="s">
        <v>40</v>
      </c>
      <c r="D90" s="13" t="s">
        <v>40</v>
      </c>
      <c r="E90" s="17">
        <v>21105</v>
      </c>
      <c r="F90" s="17">
        <v>42432</v>
      </c>
      <c r="G90" s="17">
        <v>42883</v>
      </c>
      <c r="H90" s="17">
        <v>43333</v>
      </c>
      <c r="I90" s="17">
        <v>44686</v>
      </c>
      <c r="J90" s="17">
        <v>45136</v>
      </c>
      <c r="K90" s="17">
        <v>45587</v>
      </c>
      <c r="L90" s="13">
        <v>0</v>
      </c>
      <c r="M90" s="13">
        <v>1</v>
      </c>
      <c r="N90" s="13">
        <v>3</v>
      </c>
      <c r="O90" s="13">
        <v>1</v>
      </c>
      <c r="P90" s="13">
        <v>1</v>
      </c>
      <c r="Q90" s="13">
        <v>1</v>
      </c>
      <c r="R90" s="21">
        <f t="shared" si="9"/>
        <v>0</v>
      </c>
      <c r="S90" s="21">
        <f t="shared" si="10"/>
        <v>2.3319264044026768</v>
      </c>
      <c r="T90" s="21">
        <f t="shared" si="11"/>
        <v>6.9231301779244454</v>
      </c>
      <c r="U90" s="21">
        <f t="shared" si="12"/>
        <v>2.2378373539811127</v>
      </c>
      <c r="V90" s="21">
        <f t="shared" si="13"/>
        <v>2.2155264090747964</v>
      </c>
      <c r="W90" s="21">
        <f t="shared" si="14"/>
        <v>2.1936078267927259</v>
      </c>
      <c r="X90" s="21">
        <f t="shared" si="15"/>
        <v>3.085018860775707</v>
      </c>
      <c r="Y90" s="21">
        <f t="shared" si="16"/>
        <v>2.215657196616212</v>
      </c>
    </row>
    <row r="91" spans="1:25" x14ac:dyDescent="0.3">
      <c r="A91" s="13" t="s">
        <v>25</v>
      </c>
      <c r="B91" s="13" t="s">
        <v>501</v>
      </c>
      <c r="C91" s="13" t="s">
        <v>35</v>
      </c>
      <c r="D91" s="13" t="s">
        <v>35</v>
      </c>
      <c r="E91" s="17">
        <v>21201</v>
      </c>
      <c r="F91" s="17">
        <v>38343</v>
      </c>
      <c r="G91" s="17">
        <v>39987</v>
      </c>
      <c r="H91" s="17">
        <v>41631</v>
      </c>
      <c r="I91" s="17">
        <v>46562</v>
      </c>
      <c r="J91" s="17">
        <v>48206</v>
      </c>
      <c r="K91" s="17">
        <v>49850</v>
      </c>
      <c r="L91" s="13">
        <v>2</v>
      </c>
      <c r="M91" s="13">
        <v>0</v>
      </c>
      <c r="N91" s="13">
        <v>1</v>
      </c>
      <c r="O91" s="13">
        <v>3</v>
      </c>
      <c r="P91" s="13">
        <v>0</v>
      </c>
      <c r="Q91" s="13">
        <v>1</v>
      </c>
      <c r="R91" s="21">
        <f t="shared" si="9"/>
        <v>5.2160759460657751</v>
      </c>
      <c r="S91" s="21">
        <f t="shared" si="10"/>
        <v>0</v>
      </c>
      <c r="T91" s="21">
        <f t="shared" si="11"/>
        <v>2.4020561600730224</v>
      </c>
      <c r="U91" s="21">
        <f t="shared" si="12"/>
        <v>6.4430222069498724</v>
      </c>
      <c r="V91" s="21">
        <f t="shared" si="13"/>
        <v>0</v>
      </c>
      <c r="W91" s="21">
        <f t="shared" si="14"/>
        <v>2.0060180541624875</v>
      </c>
      <c r="X91" s="21">
        <f t="shared" si="15"/>
        <v>2.5393773687129326</v>
      </c>
      <c r="Y91" s="21">
        <f t="shared" si="16"/>
        <v>2.8163467537041202</v>
      </c>
    </row>
    <row r="92" spans="1:25" x14ac:dyDescent="0.3">
      <c r="A92" s="13" t="s">
        <v>25</v>
      </c>
      <c r="B92" s="13" t="s">
        <v>501</v>
      </c>
      <c r="C92" s="13" t="s">
        <v>33</v>
      </c>
      <c r="D92" s="13" t="s">
        <v>33</v>
      </c>
      <c r="E92" s="17">
        <v>21202</v>
      </c>
      <c r="F92" s="17">
        <v>30415</v>
      </c>
      <c r="G92" s="17">
        <v>31592</v>
      </c>
      <c r="H92" s="17">
        <v>32768</v>
      </c>
      <c r="I92" s="17">
        <v>36299</v>
      </c>
      <c r="J92" s="17">
        <v>37475</v>
      </c>
      <c r="K92" s="17">
        <v>38652</v>
      </c>
      <c r="L92" s="13">
        <v>1</v>
      </c>
      <c r="M92" s="13">
        <v>0</v>
      </c>
      <c r="N92" s="13">
        <v>2</v>
      </c>
      <c r="O92" s="13">
        <v>1</v>
      </c>
      <c r="P92" s="13">
        <v>0</v>
      </c>
      <c r="Q92" s="13">
        <v>0</v>
      </c>
      <c r="R92" s="21">
        <f t="shared" si="9"/>
        <v>3.2878513891172121</v>
      </c>
      <c r="S92" s="21">
        <f t="shared" si="10"/>
        <v>0</v>
      </c>
      <c r="T92" s="21">
        <f t="shared" si="11"/>
        <v>6.103515625</v>
      </c>
      <c r="U92" s="21">
        <f t="shared" si="12"/>
        <v>2.7548968291137497</v>
      </c>
      <c r="V92" s="21">
        <f t="shared" si="13"/>
        <v>0</v>
      </c>
      <c r="W92" s="21">
        <f t="shared" si="14"/>
        <v>0</v>
      </c>
      <c r="X92" s="21">
        <f t="shared" si="15"/>
        <v>3.1304556713724039</v>
      </c>
      <c r="Y92" s="21">
        <f t="shared" si="16"/>
        <v>0.91829894303791659</v>
      </c>
    </row>
    <row r="93" spans="1:25" x14ac:dyDescent="0.3">
      <c r="A93" s="13" t="s">
        <v>25</v>
      </c>
      <c r="B93" s="13" t="s">
        <v>501</v>
      </c>
      <c r="C93" s="13" t="s">
        <v>63</v>
      </c>
      <c r="D93" s="13" t="s">
        <v>63</v>
      </c>
      <c r="E93" s="17">
        <v>21203</v>
      </c>
      <c r="F93" s="17">
        <v>18751</v>
      </c>
      <c r="G93" s="17">
        <v>19017</v>
      </c>
      <c r="H93" s="17">
        <v>19282</v>
      </c>
      <c r="I93" s="17">
        <v>20077</v>
      </c>
      <c r="J93" s="17">
        <v>20342</v>
      </c>
      <c r="K93" s="17">
        <v>20607</v>
      </c>
      <c r="L93" s="13">
        <v>1</v>
      </c>
      <c r="M93" s="13">
        <v>0</v>
      </c>
      <c r="N93" s="13">
        <v>1</v>
      </c>
      <c r="O93" s="13">
        <v>1</v>
      </c>
      <c r="P93" s="13">
        <v>0</v>
      </c>
      <c r="Q93" s="13">
        <v>0</v>
      </c>
      <c r="R93" s="21">
        <f t="shared" si="9"/>
        <v>5.3330489040584501</v>
      </c>
      <c r="S93" s="21">
        <f t="shared" si="10"/>
        <v>0</v>
      </c>
      <c r="T93" s="21">
        <f t="shared" si="11"/>
        <v>5.186184005808526</v>
      </c>
      <c r="U93" s="21">
        <f t="shared" si="12"/>
        <v>4.9808238282611947</v>
      </c>
      <c r="V93" s="21">
        <f t="shared" si="13"/>
        <v>0</v>
      </c>
      <c r="W93" s="21">
        <f t="shared" si="14"/>
        <v>0</v>
      </c>
      <c r="X93" s="21">
        <f t="shared" si="15"/>
        <v>3.5064109699556583</v>
      </c>
      <c r="Y93" s="21">
        <f t="shared" si="16"/>
        <v>1.6602746094203982</v>
      </c>
    </row>
    <row r="94" spans="1:25" x14ac:dyDescent="0.3">
      <c r="A94" s="13" t="s">
        <v>25</v>
      </c>
      <c r="B94" s="13" t="s">
        <v>501</v>
      </c>
      <c r="C94" s="13" t="s">
        <v>502</v>
      </c>
      <c r="D94" s="13" t="s">
        <v>502</v>
      </c>
      <c r="E94" s="17">
        <v>21204</v>
      </c>
      <c r="F94" s="17">
        <v>7082</v>
      </c>
      <c r="G94" s="17">
        <v>7199</v>
      </c>
      <c r="H94" s="17">
        <v>7316</v>
      </c>
      <c r="I94" s="17">
        <v>7666</v>
      </c>
      <c r="J94" s="17">
        <v>7783</v>
      </c>
      <c r="K94" s="17">
        <v>7900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21">
        <f t="shared" si="9"/>
        <v>0</v>
      </c>
      <c r="S94" s="21">
        <f t="shared" si="10"/>
        <v>0</v>
      </c>
      <c r="T94" s="21">
        <f t="shared" si="11"/>
        <v>0</v>
      </c>
      <c r="U94" s="21">
        <f t="shared" si="12"/>
        <v>0</v>
      </c>
      <c r="V94" s="21">
        <f t="shared" si="13"/>
        <v>0</v>
      </c>
      <c r="W94" s="21">
        <f t="shared" si="14"/>
        <v>0</v>
      </c>
      <c r="X94" s="21">
        <f t="shared" si="15"/>
        <v>0</v>
      </c>
      <c r="Y94" s="21">
        <f t="shared" si="16"/>
        <v>0</v>
      </c>
    </row>
    <row r="95" spans="1:25" x14ac:dyDescent="0.3">
      <c r="A95" s="13" t="s">
        <v>25</v>
      </c>
      <c r="B95" s="13" t="s">
        <v>503</v>
      </c>
      <c r="C95" s="13" t="s">
        <v>28</v>
      </c>
      <c r="D95" s="13" t="s">
        <v>504</v>
      </c>
      <c r="E95" s="17">
        <v>21301</v>
      </c>
      <c r="F95" s="17">
        <v>32384</v>
      </c>
      <c r="G95" s="17">
        <v>32599</v>
      </c>
      <c r="H95" s="17">
        <v>32813</v>
      </c>
      <c r="I95" s="17">
        <v>33456</v>
      </c>
      <c r="J95" s="17">
        <v>33671</v>
      </c>
      <c r="K95" s="17">
        <v>33885</v>
      </c>
      <c r="L95" s="13">
        <v>2</v>
      </c>
      <c r="M95" s="13">
        <v>1</v>
      </c>
      <c r="N95" s="13">
        <v>0</v>
      </c>
      <c r="O95" s="13">
        <v>4</v>
      </c>
      <c r="P95" s="13">
        <v>5</v>
      </c>
      <c r="Q95" s="13">
        <v>0</v>
      </c>
      <c r="R95" s="21">
        <f t="shared" si="9"/>
        <v>6.1758893280632403</v>
      </c>
      <c r="S95" s="21">
        <f t="shared" si="10"/>
        <v>3.0675787600846651</v>
      </c>
      <c r="T95" s="21">
        <f t="shared" si="11"/>
        <v>0</v>
      </c>
      <c r="U95" s="21">
        <f t="shared" si="12"/>
        <v>11.956001912960307</v>
      </c>
      <c r="V95" s="21">
        <f t="shared" si="13"/>
        <v>14.849573817231446</v>
      </c>
      <c r="W95" s="21">
        <f t="shared" si="14"/>
        <v>0</v>
      </c>
      <c r="X95" s="21">
        <f t="shared" si="15"/>
        <v>3.081156029382635</v>
      </c>
      <c r="Y95" s="21">
        <f t="shared" si="16"/>
        <v>8.935191910063919</v>
      </c>
    </row>
    <row r="96" spans="1:25" x14ac:dyDescent="0.3">
      <c r="A96" s="13" t="s">
        <v>25</v>
      </c>
      <c r="B96" s="13" t="s">
        <v>503</v>
      </c>
      <c r="C96" s="13" t="s">
        <v>45</v>
      </c>
      <c r="D96" s="13" t="s">
        <v>45</v>
      </c>
      <c r="E96" s="17">
        <v>21302</v>
      </c>
      <c r="F96" s="17">
        <v>8986</v>
      </c>
      <c r="G96" s="17">
        <v>9003</v>
      </c>
      <c r="H96" s="17">
        <v>9019</v>
      </c>
      <c r="I96" s="17">
        <v>9069</v>
      </c>
      <c r="J96" s="17">
        <v>9085</v>
      </c>
      <c r="K96" s="17">
        <v>9102</v>
      </c>
      <c r="L96" s="13">
        <v>1</v>
      </c>
      <c r="M96" s="13">
        <v>0</v>
      </c>
      <c r="N96" s="13">
        <v>0</v>
      </c>
      <c r="O96" s="13">
        <v>0</v>
      </c>
      <c r="P96" s="13">
        <v>0</v>
      </c>
      <c r="Q96" s="13">
        <v>2</v>
      </c>
      <c r="R96" s="21">
        <f t="shared" si="9"/>
        <v>11.128421989761852</v>
      </c>
      <c r="S96" s="21">
        <f t="shared" si="10"/>
        <v>0</v>
      </c>
      <c r="T96" s="21">
        <f t="shared" si="11"/>
        <v>0</v>
      </c>
      <c r="U96" s="21">
        <f t="shared" si="12"/>
        <v>0</v>
      </c>
      <c r="V96" s="21">
        <f t="shared" si="13"/>
        <v>0</v>
      </c>
      <c r="W96" s="21">
        <f t="shared" si="14"/>
        <v>21.973192704900022</v>
      </c>
      <c r="X96" s="21">
        <f t="shared" si="15"/>
        <v>3.7094739965872843</v>
      </c>
      <c r="Y96" s="21">
        <f t="shared" si="16"/>
        <v>7.3243975683000073</v>
      </c>
    </row>
    <row r="97" spans="1:25" x14ac:dyDescent="0.3">
      <c r="A97" s="13" t="s">
        <v>25</v>
      </c>
      <c r="B97" s="13" t="s">
        <v>503</v>
      </c>
      <c r="C97" s="13" t="s">
        <v>505</v>
      </c>
      <c r="D97" s="13" t="s">
        <v>505</v>
      </c>
      <c r="E97" s="17">
        <v>21303</v>
      </c>
      <c r="F97" s="17">
        <v>9240</v>
      </c>
      <c r="G97" s="17">
        <v>9528</v>
      </c>
      <c r="H97" s="17">
        <v>9816</v>
      </c>
      <c r="I97" s="17">
        <v>10681</v>
      </c>
      <c r="J97" s="17">
        <v>10970</v>
      </c>
      <c r="K97" s="17">
        <v>11258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21">
        <f t="shared" si="9"/>
        <v>0</v>
      </c>
      <c r="S97" s="21">
        <f t="shared" si="10"/>
        <v>0</v>
      </c>
      <c r="T97" s="21">
        <f t="shared" si="11"/>
        <v>0</v>
      </c>
      <c r="U97" s="21">
        <f t="shared" si="12"/>
        <v>0</v>
      </c>
      <c r="V97" s="21">
        <f t="shared" si="13"/>
        <v>0</v>
      </c>
      <c r="W97" s="21">
        <f t="shared" si="14"/>
        <v>0</v>
      </c>
      <c r="X97" s="21">
        <f t="shared" si="15"/>
        <v>0</v>
      </c>
      <c r="Y97" s="21">
        <f t="shared" si="16"/>
        <v>0</v>
      </c>
    </row>
    <row r="98" spans="1:25" x14ac:dyDescent="0.3">
      <c r="A98" s="13" t="s">
        <v>25</v>
      </c>
      <c r="B98" s="13" t="s">
        <v>503</v>
      </c>
      <c r="C98" s="13" t="s">
        <v>41</v>
      </c>
      <c r="D98" s="13" t="s">
        <v>41</v>
      </c>
      <c r="E98" s="17">
        <v>21304</v>
      </c>
      <c r="F98" s="17">
        <v>13627</v>
      </c>
      <c r="G98" s="17">
        <v>13870</v>
      </c>
      <c r="H98" s="17">
        <v>14113</v>
      </c>
      <c r="I98" s="17">
        <v>14841</v>
      </c>
      <c r="J98" s="17">
        <v>15084</v>
      </c>
      <c r="K98" s="17">
        <v>15327</v>
      </c>
      <c r="L98" s="13">
        <v>0</v>
      </c>
      <c r="M98" s="13">
        <v>1</v>
      </c>
      <c r="N98" s="13">
        <v>0</v>
      </c>
      <c r="O98" s="13">
        <v>1</v>
      </c>
      <c r="P98" s="13">
        <v>0</v>
      </c>
      <c r="Q98" s="13">
        <v>0</v>
      </c>
      <c r="R98" s="21">
        <f t="shared" si="9"/>
        <v>0</v>
      </c>
      <c r="S98" s="21">
        <f t="shared" si="10"/>
        <v>7.2098053352559486</v>
      </c>
      <c r="T98" s="21">
        <f t="shared" si="11"/>
        <v>0</v>
      </c>
      <c r="U98" s="21">
        <f t="shared" si="12"/>
        <v>6.7380904251735059</v>
      </c>
      <c r="V98" s="21">
        <f t="shared" si="13"/>
        <v>0</v>
      </c>
      <c r="W98" s="21">
        <f t="shared" si="14"/>
        <v>0</v>
      </c>
      <c r="X98" s="21">
        <f t="shared" si="15"/>
        <v>2.4032684450853163</v>
      </c>
      <c r="Y98" s="21">
        <f t="shared" si="16"/>
        <v>2.2460301417245021</v>
      </c>
    </row>
    <row r="99" spans="1:25" x14ac:dyDescent="0.3">
      <c r="A99" s="13" t="s">
        <v>25</v>
      </c>
      <c r="B99" s="13" t="s">
        <v>503</v>
      </c>
      <c r="C99" s="13" t="s">
        <v>34</v>
      </c>
      <c r="D99" s="13" t="s">
        <v>34</v>
      </c>
      <c r="E99" s="17">
        <v>21305</v>
      </c>
      <c r="F99" s="17">
        <v>23812</v>
      </c>
      <c r="G99" s="17">
        <v>24003</v>
      </c>
      <c r="H99" s="17">
        <v>24194</v>
      </c>
      <c r="I99" s="17">
        <v>24766</v>
      </c>
      <c r="J99" s="17">
        <v>24957</v>
      </c>
      <c r="K99" s="17">
        <v>25148</v>
      </c>
      <c r="L99" s="13">
        <v>1</v>
      </c>
      <c r="M99" s="13">
        <v>2</v>
      </c>
      <c r="N99" s="13">
        <v>3</v>
      </c>
      <c r="O99" s="13">
        <v>0</v>
      </c>
      <c r="P99" s="13">
        <v>1</v>
      </c>
      <c r="Q99" s="13">
        <v>1</v>
      </c>
      <c r="R99" s="21">
        <f t="shared" si="9"/>
        <v>4.1995632454224765</v>
      </c>
      <c r="S99" s="21">
        <f t="shared" si="10"/>
        <v>8.3322917968587262</v>
      </c>
      <c r="T99" s="21">
        <f t="shared" si="11"/>
        <v>12.399768537653964</v>
      </c>
      <c r="U99" s="21">
        <f t="shared" si="12"/>
        <v>0</v>
      </c>
      <c r="V99" s="21">
        <f t="shared" si="13"/>
        <v>4.0068918539888614</v>
      </c>
      <c r="W99" s="21">
        <f t="shared" si="14"/>
        <v>3.9764593605853351</v>
      </c>
      <c r="X99" s="21">
        <f t="shared" si="15"/>
        <v>8.3105411933117228</v>
      </c>
      <c r="Y99" s="21">
        <f t="shared" si="16"/>
        <v>2.6611170715247323</v>
      </c>
    </row>
    <row r="100" spans="1:25" x14ac:dyDescent="0.3">
      <c r="A100" s="13" t="s">
        <v>25</v>
      </c>
      <c r="B100" s="13" t="s">
        <v>503</v>
      </c>
      <c r="C100" s="13" t="s">
        <v>267</v>
      </c>
      <c r="D100" s="13" t="s">
        <v>267</v>
      </c>
      <c r="E100" s="17">
        <v>21306</v>
      </c>
      <c r="F100" s="17">
        <v>10967</v>
      </c>
      <c r="G100" s="17">
        <v>11185</v>
      </c>
      <c r="H100" s="17">
        <v>11402</v>
      </c>
      <c r="I100" s="17">
        <v>12055</v>
      </c>
      <c r="J100" s="17">
        <v>12272</v>
      </c>
      <c r="K100" s="17">
        <v>12490</v>
      </c>
      <c r="L100" s="13">
        <v>1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21">
        <f t="shared" si="9"/>
        <v>9.1182638825567608</v>
      </c>
      <c r="S100" s="21">
        <f t="shared" si="10"/>
        <v>0</v>
      </c>
      <c r="T100" s="21">
        <f t="shared" si="11"/>
        <v>0</v>
      </c>
      <c r="U100" s="21">
        <f t="shared" si="12"/>
        <v>0</v>
      </c>
      <c r="V100" s="21">
        <f t="shared" si="13"/>
        <v>0</v>
      </c>
      <c r="W100" s="21">
        <f t="shared" si="14"/>
        <v>0</v>
      </c>
      <c r="X100" s="21">
        <f t="shared" si="15"/>
        <v>3.0394212941855869</v>
      </c>
      <c r="Y100" s="21">
        <f t="shared" si="16"/>
        <v>0</v>
      </c>
    </row>
    <row r="101" spans="1:25" x14ac:dyDescent="0.3">
      <c r="A101" s="13" t="s">
        <v>25</v>
      </c>
      <c r="B101" s="13" t="s">
        <v>503</v>
      </c>
      <c r="C101" s="13" t="s">
        <v>54</v>
      </c>
      <c r="D101" s="13" t="s">
        <v>54</v>
      </c>
      <c r="E101" s="17">
        <v>21307</v>
      </c>
      <c r="F101" s="17">
        <v>5244</v>
      </c>
      <c r="G101" s="17">
        <v>5284</v>
      </c>
      <c r="H101" s="17">
        <v>5324</v>
      </c>
      <c r="I101" s="17">
        <v>5445</v>
      </c>
      <c r="J101" s="17">
        <v>5486</v>
      </c>
      <c r="K101" s="17">
        <v>5526</v>
      </c>
      <c r="L101" s="13">
        <v>0</v>
      </c>
      <c r="M101" s="13">
        <v>0</v>
      </c>
      <c r="N101" s="13">
        <v>2</v>
      </c>
      <c r="O101" s="13">
        <v>0</v>
      </c>
      <c r="P101" s="13">
        <v>0</v>
      </c>
      <c r="Q101" s="13">
        <v>0</v>
      </c>
      <c r="R101" s="21">
        <f t="shared" si="9"/>
        <v>0</v>
      </c>
      <c r="S101" s="21">
        <f t="shared" si="10"/>
        <v>0</v>
      </c>
      <c r="T101" s="21">
        <f t="shared" si="11"/>
        <v>37.56574004507889</v>
      </c>
      <c r="U101" s="21">
        <f t="shared" si="12"/>
        <v>0</v>
      </c>
      <c r="V101" s="21">
        <f t="shared" si="13"/>
        <v>0</v>
      </c>
      <c r="W101" s="21">
        <f t="shared" si="14"/>
        <v>0</v>
      </c>
      <c r="X101" s="21">
        <f t="shared" si="15"/>
        <v>12.521913348359631</v>
      </c>
      <c r="Y101" s="21">
        <f t="shared" si="16"/>
        <v>0</v>
      </c>
    </row>
    <row r="102" spans="1:25" x14ac:dyDescent="0.3">
      <c r="A102" s="13" t="s">
        <v>25</v>
      </c>
      <c r="B102" s="13" t="s">
        <v>506</v>
      </c>
      <c r="C102" s="13" t="s">
        <v>48</v>
      </c>
      <c r="D102" s="13" t="s">
        <v>48</v>
      </c>
      <c r="E102" s="17">
        <v>21401</v>
      </c>
      <c r="F102" s="17">
        <v>22861</v>
      </c>
      <c r="G102" s="17">
        <v>23554</v>
      </c>
      <c r="H102" s="17">
        <v>24247</v>
      </c>
      <c r="I102" s="17">
        <v>26325</v>
      </c>
      <c r="J102" s="17">
        <v>27018</v>
      </c>
      <c r="K102" s="17">
        <v>27711</v>
      </c>
      <c r="L102" s="13">
        <v>2</v>
      </c>
      <c r="M102" s="13">
        <v>1</v>
      </c>
      <c r="N102" s="13">
        <v>1</v>
      </c>
      <c r="O102" s="13">
        <v>1</v>
      </c>
      <c r="P102" s="13">
        <v>0</v>
      </c>
      <c r="Q102" s="13">
        <v>1</v>
      </c>
      <c r="R102" s="21">
        <f t="shared" si="9"/>
        <v>8.7485236866278804</v>
      </c>
      <c r="S102" s="21">
        <f t="shared" si="10"/>
        <v>4.2455633862613569</v>
      </c>
      <c r="T102" s="21">
        <f t="shared" si="11"/>
        <v>4.1242215531818367</v>
      </c>
      <c r="U102" s="21">
        <f t="shared" si="12"/>
        <v>3.7986704653371324</v>
      </c>
      <c r="V102" s="21">
        <f t="shared" si="13"/>
        <v>0</v>
      </c>
      <c r="W102" s="21">
        <f t="shared" si="14"/>
        <v>3.6086752553137744</v>
      </c>
      <c r="X102" s="21">
        <f t="shared" si="15"/>
        <v>5.7061028753570247</v>
      </c>
      <c r="Y102" s="21">
        <f t="shared" si="16"/>
        <v>2.4691152402169689</v>
      </c>
    </row>
    <row r="103" spans="1:25" x14ac:dyDescent="0.3">
      <c r="A103" s="13" t="s">
        <v>25</v>
      </c>
      <c r="B103" s="13" t="s">
        <v>506</v>
      </c>
      <c r="C103" s="13" t="s">
        <v>36</v>
      </c>
      <c r="D103" s="13" t="s">
        <v>36</v>
      </c>
      <c r="E103" s="17">
        <v>21402</v>
      </c>
      <c r="F103" s="17">
        <v>19680</v>
      </c>
      <c r="G103" s="17">
        <v>20230</v>
      </c>
      <c r="H103" s="17">
        <v>20780</v>
      </c>
      <c r="I103" s="17">
        <v>22430</v>
      </c>
      <c r="J103" s="17">
        <v>22980</v>
      </c>
      <c r="K103" s="17">
        <v>23530</v>
      </c>
      <c r="L103" s="13">
        <v>0</v>
      </c>
      <c r="M103" s="13">
        <v>0</v>
      </c>
      <c r="N103" s="13">
        <v>1</v>
      </c>
      <c r="O103" s="13">
        <v>0</v>
      </c>
      <c r="P103" s="13">
        <v>0</v>
      </c>
      <c r="Q103" s="13">
        <v>0</v>
      </c>
      <c r="R103" s="21">
        <f t="shared" si="9"/>
        <v>0</v>
      </c>
      <c r="S103" s="21">
        <f t="shared" si="10"/>
        <v>0</v>
      </c>
      <c r="T103" s="21">
        <f t="shared" si="11"/>
        <v>4.8123195380173245</v>
      </c>
      <c r="U103" s="21">
        <f t="shared" si="12"/>
        <v>0</v>
      </c>
      <c r="V103" s="21">
        <f t="shared" si="13"/>
        <v>0</v>
      </c>
      <c r="W103" s="21">
        <f t="shared" si="14"/>
        <v>0</v>
      </c>
      <c r="X103" s="21">
        <f t="shared" si="15"/>
        <v>1.6041065126724414</v>
      </c>
      <c r="Y103" s="21">
        <f t="shared" si="16"/>
        <v>0</v>
      </c>
    </row>
    <row r="104" spans="1:25" x14ac:dyDescent="0.3">
      <c r="A104" s="13" t="s">
        <v>25</v>
      </c>
      <c r="B104" s="13" t="s">
        <v>507</v>
      </c>
      <c r="C104" s="13" t="s">
        <v>51</v>
      </c>
      <c r="D104" s="13" t="s">
        <v>51</v>
      </c>
      <c r="E104" s="17">
        <v>21501</v>
      </c>
      <c r="F104" s="17">
        <v>10709</v>
      </c>
      <c r="G104" s="17">
        <v>10979</v>
      </c>
      <c r="H104" s="17">
        <v>11248</v>
      </c>
      <c r="I104" s="17">
        <v>12056</v>
      </c>
      <c r="J104" s="17">
        <v>12326</v>
      </c>
      <c r="K104" s="17">
        <v>12595</v>
      </c>
      <c r="L104" s="13">
        <v>0</v>
      </c>
      <c r="M104" s="13">
        <v>0</v>
      </c>
      <c r="N104" s="13">
        <v>1</v>
      </c>
      <c r="O104" s="13">
        <v>1</v>
      </c>
      <c r="P104" s="13">
        <v>0</v>
      </c>
      <c r="Q104" s="13">
        <v>1</v>
      </c>
      <c r="R104" s="21">
        <f t="shared" si="9"/>
        <v>0</v>
      </c>
      <c r="S104" s="21">
        <f t="shared" si="10"/>
        <v>0</v>
      </c>
      <c r="T104" s="21">
        <f t="shared" si="11"/>
        <v>8.8904694167852067</v>
      </c>
      <c r="U104" s="21">
        <f t="shared" si="12"/>
        <v>8.2946250829462507</v>
      </c>
      <c r="V104" s="21">
        <f t="shared" si="13"/>
        <v>0</v>
      </c>
      <c r="W104" s="21">
        <f t="shared" si="14"/>
        <v>7.9396585946804281</v>
      </c>
      <c r="X104" s="21">
        <f t="shared" si="15"/>
        <v>2.9634898055950689</v>
      </c>
      <c r="Y104" s="21">
        <f t="shared" si="16"/>
        <v>5.4114278925422257</v>
      </c>
    </row>
    <row r="105" spans="1:25" x14ac:dyDescent="0.3">
      <c r="A105" s="13" t="s">
        <v>25</v>
      </c>
      <c r="B105" s="13" t="s">
        <v>507</v>
      </c>
      <c r="C105" s="13" t="s">
        <v>43</v>
      </c>
      <c r="D105" s="13" t="s">
        <v>43</v>
      </c>
      <c r="E105" s="17">
        <v>21502</v>
      </c>
      <c r="F105" s="17">
        <v>9292</v>
      </c>
      <c r="G105" s="17">
        <v>9408</v>
      </c>
      <c r="H105" s="17">
        <v>9524</v>
      </c>
      <c r="I105" s="17">
        <v>9873</v>
      </c>
      <c r="J105" s="17">
        <v>9989</v>
      </c>
      <c r="K105" s="17">
        <v>10105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1</v>
      </c>
      <c r="R105" s="21">
        <f t="shared" si="9"/>
        <v>0</v>
      </c>
      <c r="S105" s="21">
        <f t="shared" si="10"/>
        <v>0</v>
      </c>
      <c r="T105" s="21">
        <f t="shared" si="11"/>
        <v>0</v>
      </c>
      <c r="U105" s="21">
        <f t="shared" si="12"/>
        <v>0</v>
      </c>
      <c r="V105" s="21">
        <f t="shared" si="13"/>
        <v>0</v>
      </c>
      <c r="W105" s="21">
        <f t="shared" si="14"/>
        <v>9.896091044037604</v>
      </c>
      <c r="X105" s="21">
        <f t="shared" si="15"/>
        <v>0</v>
      </c>
      <c r="Y105" s="21">
        <f t="shared" si="16"/>
        <v>3.2986970146792012</v>
      </c>
    </row>
    <row r="106" spans="1:25" x14ac:dyDescent="0.3">
      <c r="A106" s="13" t="s">
        <v>25</v>
      </c>
      <c r="B106" s="13" t="s">
        <v>508</v>
      </c>
      <c r="C106" s="13" t="s">
        <v>509</v>
      </c>
      <c r="D106" s="13" t="s">
        <v>510</v>
      </c>
      <c r="E106" s="17">
        <v>21601</v>
      </c>
      <c r="F106" s="17">
        <v>14165</v>
      </c>
      <c r="G106" s="17">
        <v>14393</v>
      </c>
      <c r="H106" s="17">
        <v>14621</v>
      </c>
      <c r="I106" s="17">
        <v>15306</v>
      </c>
      <c r="J106" s="17">
        <v>15535</v>
      </c>
      <c r="K106" s="17">
        <v>15763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21">
        <f t="shared" si="9"/>
        <v>0</v>
      </c>
      <c r="S106" s="21">
        <f t="shared" si="10"/>
        <v>0</v>
      </c>
      <c r="T106" s="21">
        <f t="shared" si="11"/>
        <v>0</v>
      </c>
      <c r="U106" s="21">
        <f t="shared" si="12"/>
        <v>0</v>
      </c>
      <c r="V106" s="21">
        <f t="shared" si="13"/>
        <v>0</v>
      </c>
      <c r="W106" s="21">
        <f t="shared" si="14"/>
        <v>0</v>
      </c>
      <c r="X106" s="21">
        <f t="shared" si="15"/>
        <v>0</v>
      </c>
      <c r="Y106" s="21">
        <f t="shared" si="16"/>
        <v>0</v>
      </c>
    </row>
    <row r="107" spans="1:25" x14ac:dyDescent="0.3">
      <c r="A107" s="13" t="s">
        <v>25</v>
      </c>
      <c r="B107" s="13" t="s">
        <v>508</v>
      </c>
      <c r="C107" s="13" t="s">
        <v>511</v>
      </c>
      <c r="D107" s="13" t="s">
        <v>511</v>
      </c>
      <c r="E107" s="17">
        <v>21602</v>
      </c>
      <c r="F107" s="17">
        <v>4671</v>
      </c>
      <c r="G107" s="17">
        <v>4948</v>
      </c>
      <c r="H107" s="17">
        <v>5225</v>
      </c>
      <c r="I107" s="17">
        <v>6057</v>
      </c>
      <c r="J107" s="17">
        <v>6334</v>
      </c>
      <c r="K107" s="17">
        <v>6611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21">
        <f t="shared" si="9"/>
        <v>0</v>
      </c>
      <c r="S107" s="21">
        <f t="shared" si="10"/>
        <v>0</v>
      </c>
      <c r="T107" s="21">
        <f t="shared" si="11"/>
        <v>0</v>
      </c>
      <c r="U107" s="21">
        <f t="shared" si="12"/>
        <v>0</v>
      </c>
      <c r="V107" s="21">
        <f t="shared" si="13"/>
        <v>0</v>
      </c>
      <c r="W107" s="21">
        <f t="shared" si="14"/>
        <v>0</v>
      </c>
      <c r="X107" s="21">
        <f t="shared" si="15"/>
        <v>0</v>
      </c>
      <c r="Y107" s="21">
        <f t="shared" si="16"/>
        <v>0</v>
      </c>
    </row>
    <row r="108" spans="1:25" x14ac:dyDescent="0.3">
      <c r="A108" s="13" t="s">
        <v>25</v>
      </c>
      <c r="B108" s="13" t="s">
        <v>512</v>
      </c>
      <c r="C108" s="13" t="s">
        <v>32</v>
      </c>
      <c r="D108" s="13" t="s">
        <v>32</v>
      </c>
      <c r="E108" s="17">
        <v>21701</v>
      </c>
      <c r="F108" s="17">
        <v>15986</v>
      </c>
      <c r="G108" s="17">
        <v>16197</v>
      </c>
      <c r="H108" s="17">
        <v>16408</v>
      </c>
      <c r="I108" s="17">
        <v>17041</v>
      </c>
      <c r="J108" s="17">
        <v>17252</v>
      </c>
      <c r="K108" s="17">
        <v>17463</v>
      </c>
      <c r="L108" s="13">
        <v>3</v>
      </c>
      <c r="M108" s="13">
        <v>4</v>
      </c>
      <c r="N108" s="13">
        <v>1</v>
      </c>
      <c r="O108" s="13">
        <v>2</v>
      </c>
      <c r="P108" s="13">
        <v>0</v>
      </c>
      <c r="Q108" s="13">
        <v>0</v>
      </c>
      <c r="R108" s="21">
        <f t="shared" si="9"/>
        <v>18.766420618040787</v>
      </c>
      <c r="S108" s="21">
        <f t="shared" si="10"/>
        <v>24.695931345310861</v>
      </c>
      <c r="T108" s="21">
        <f t="shared" si="11"/>
        <v>6.0945880058508042</v>
      </c>
      <c r="U108" s="21">
        <f t="shared" si="12"/>
        <v>11.736400445983216</v>
      </c>
      <c r="V108" s="21">
        <f t="shared" si="13"/>
        <v>0</v>
      </c>
      <c r="W108" s="21">
        <f t="shared" si="14"/>
        <v>0</v>
      </c>
      <c r="X108" s="21">
        <f t="shared" si="15"/>
        <v>16.518979989734152</v>
      </c>
      <c r="Y108" s="21">
        <f t="shared" si="16"/>
        <v>3.9121334819944056</v>
      </c>
    </row>
    <row r="109" spans="1:25" x14ac:dyDescent="0.3">
      <c r="A109" s="13" t="s">
        <v>25</v>
      </c>
      <c r="B109" s="13" t="s">
        <v>512</v>
      </c>
      <c r="C109" s="13" t="s">
        <v>513</v>
      </c>
      <c r="D109" s="13" t="s">
        <v>513</v>
      </c>
      <c r="E109" s="17">
        <v>21702</v>
      </c>
      <c r="F109" s="17">
        <v>7349</v>
      </c>
      <c r="G109" s="17">
        <v>7608</v>
      </c>
      <c r="H109" s="17">
        <v>7867</v>
      </c>
      <c r="I109" s="17">
        <v>8645</v>
      </c>
      <c r="J109" s="17">
        <v>8905</v>
      </c>
      <c r="K109" s="17">
        <v>9164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21">
        <f t="shared" si="9"/>
        <v>0</v>
      </c>
      <c r="S109" s="21">
        <f t="shared" si="10"/>
        <v>0</v>
      </c>
      <c r="T109" s="21">
        <f t="shared" si="11"/>
        <v>0</v>
      </c>
      <c r="U109" s="21">
        <f t="shared" si="12"/>
        <v>0</v>
      </c>
      <c r="V109" s="21">
        <f t="shared" si="13"/>
        <v>0</v>
      </c>
      <c r="W109" s="21">
        <f t="shared" si="14"/>
        <v>0</v>
      </c>
      <c r="X109" s="21">
        <f t="shared" si="15"/>
        <v>0</v>
      </c>
      <c r="Y109" s="21">
        <f t="shared" si="16"/>
        <v>0</v>
      </c>
    </row>
    <row r="110" spans="1:25" x14ac:dyDescent="0.3">
      <c r="A110" s="13" t="s">
        <v>25</v>
      </c>
      <c r="B110" s="13" t="s">
        <v>512</v>
      </c>
      <c r="C110" s="13" t="s">
        <v>62</v>
      </c>
      <c r="D110" s="13" t="s">
        <v>62</v>
      </c>
      <c r="E110" s="17">
        <v>21703</v>
      </c>
      <c r="F110" s="17">
        <v>6788</v>
      </c>
      <c r="G110" s="17">
        <v>6893</v>
      </c>
      <c r="H110" s="17">
        <v>6998</v>
      </c>
      <c r="I110" s="17">
        <v>7314</v>
      </c>
      <c r="J110" s="17">
        <v>7420</v>
      </c>
      <c r="K110" s="17">
        <v>7525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21">
        <f t="shared" si="9"/>
        <v>0</v>
      </c>
      <c r="S110" s="21">
        <f t="shared" si="10"/>
        <v>0</v>
      </c>
      <c r="T110" s="21">
        <f t="shared" si="11"/>
        <v>0</v>
      </c>
      <c r="U110" s="21">
        <f t="shared" si="12"/>
        <v>0</v>
      </c>
      <c r="V110" s="21">
        <f t="shared" si="13"/>
        <v>0</v>
      </c>
      <c r="W110" s="21">
        <f t="shared" si="14"/>
        <v>0</v>
      </c>
      <c r="X110" s="21">
        <f t="shared" si="15"/>
        <v>0</v>
      </c>
      <c r="Y110" s="21">
        <f t="shared" si="16"/>
        <v>0</v>
      </c>
    </row>
    <row r="111" spans="1:25" x14ac:dyDescent="0.3">
      <c r="A111" s="13" t="s">
        <v>25</v>
      </c>
      <c r="B111" s="13" t="s">
        <v>514</v>
      </c>
      <c r="C111" s="13" t="s">
        <v>515</v>
      </c>
      <c r="D111" s="13" t="s">
        <v>515</v>
      </c>
      <c r="E111" s="17">
        <v>21801</v>
      </c>
      <c r="F111" s="17">
        <v>9008</v>
      </c>
      <c r="G111" s="17">
        <v>9038</v>
      </c>
      <c r="H111" s="17">
        <v>9067</v>
      </c>
      <c r="I111" s="17">
        <v>9157</v>
      </c>
      <c r="J111" s="17">
        <v>9187</v>
      </c>
      <c r="K111" s="17">
        <v>9217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1</v>
      </c>
      <c r="R111" s="21">
        <f t="shared" si="9"/>
        <v>0</v>
      </c>
      <c r="S111" s="21">
        <f t="shared" si="10"/>
        <v>0</v>
      </c>
      <c r="T111" s="21">
        <f t="shared" si="11"/>
        <v>0</v>
      </c>
      <c r="U111" s="21">
        <f t="shared" si="12"/>
        <v>0</v>
      </c>
      <c r="V111" s="21">
        <f t="shared" si="13"/>
        <v>0</v>
      </c>
      <c r="W111" s="21">
        <f t="shared" si="14"/>
        <v>10.849517196484756</v>
      </c>
      <c r="X111" s="21">
        <f t="shared" si="15"/>
        <v>0</v>
      </c>
      <c r="Y111" s="21">
        <f t="shared" si="16"/>
        <v>3.6165057321615852</v>
      </c>
    </row>
    <row r="112" spans="1:25" x14ac:dyDescent="0.3">
      <c r="A112" s="13" t="s">
        <v>25</v>
      </c>
      <c r="B112" s="13" t="s">
        <v>516</v>
      </c>
      <c r="C112" s="13" t="s">
        <v>275</v>
      </c>
      <c r="D112" s="13" t="s">
        <v>275</v>
      </c>
      <c r="E112" s="17">
        <v>21802</v>
      </c>
      <c r="F112" s="17">
        <v>6856</v>
      </c>
      <c r="G112" s="17">
        <v>6826</v>
      </c>
      <c r="H112" s="17">
        <v>6797</v>
      </c>
      <c r="I112" s="17">
        <v>6708</v>
      </c>
      <c r="J112" s="17">
        <v>6679</v>
      </c>
      <c r="K112" s="17">
        <v>6649</v>
      </c>
      <c r="L112" s="13">
        <v>0</v>
      </c>
      <c r="M112" s="13">
        <v>1</v>
      </c>
      <c r="N112" s="13">
        <v>0</v>
      </c>
      <c r="O112" s="13">
        <v>0</v>
      </c>
      <c r="P112" s="13">
        <v>0</v>
      </c>
      <c r="Q112" s="13">
        <v>0</v>
      </c>
      <c r="R112" s="21">
        <f t="shared" si="9"/>
        <v>0</v>
      </c>
      <c r="S112" s="21">
        <f t="shared" si="10"/>
        <v>14.64986815118664</v>
      </c>
      <c r="T112" s="21">
        <f t="shared" si="11"/>
        <v>0</v>
      </c>
      <c r="U112" s="21">
        <f t="shared" si="12"/>
        <v>0</v>
      </c>
      <c r="V112" s="21">
        <f t="shared" si="13"/>
        <v>0</v>
      </c>
      <c r="W112" s="21">
        <f t="shared" si="14"/>
        <v>0</v>
      </c>
      <c r="X112" s="21">
        <f t="shared" si="15"/>
        <v>4.8832893837288802</v>
      </c>
      <c r="Y112" s="21">
        <f t="shared" si="16"/>
        <v>0</v>
      </c>
    </row>
    <row r="113" spans="1:25" x14ac:dyDescent="0.3">
      <c r="A113" s="13" t="s">
        <v>25</v>
      </c>
      <c r="B113" s="13" t="s">
        <v>516</v>
      </c>
      <c r="C113" s="13" t="s">
        <v>517</v>
      </c>
      <c r="D113" s="13" t="s">
        <v>517</v>
      </c>
      <c r="E113" s="17">
        <v>21803</v>
      </c>
      <c r="F113" s="17">
        <v>2024</v>
      </c>
      <c r="G113" s="17">
        <v>2028</v>
      </c>
      <c r="H113" s="17">
        <v>2032</v>
      </c>
      <c r="I113" s="17">
        <v>2044</v>
      </c>
      <c r="J113" s="17">
        <v>2048</v>
      </c>
      <c r="K113" s="17">
        <v>2052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21">
        <f t="shared" si="9"/>
        <v>0</v>
      </c>
      <c r="S113" s="21">
        <f t="shared" si="10"/>
        <v>0</v>
      </c>
      <c r="T113" s="21">
        <f t="shared" si="11"/>
        <v>0</v>
      </c>
      <c r="U113" s="21">
        <f t="shared" si="12"/>
        <v>0</v>
      </c>
      <c r="V113" s="21">
        <f t="shared" si="13"/>
        <v>0</v>
      </c>
      <c r="W113" s="21">
        <f t="shared" si="14"/>
        <v>0</v>
      </c>
      <c r="X113" s="21">
        <f t="shared" si="15"/>
        <v>0</v>
      </c>
      <c r="Y113" s="21">
        <f t="shared" si="16"/>
        <v>0</v>
      </c>
    </row>
    <row r="114" spans="1:25" x14ac:dyDescent="0.3">
      <c r="A114" s="13" t="s">
        <v>25</v>
      </c>
      <c r="B114" s="13" t="s">
        <v>518</v>
      </c>
      <c r="C114" s="13" t="s">
        <v>519</v>
      </c>
      <c r="D114" s="13" t="s">
        <v>519</v>
      </c>
      <c r="E114" s="17">
        <v>21901</v>
      </c>
      <c r="F114" s="17">
        <v>5515</v>
      </c>
      <c r="G114" s="17">
        <v>5699</v>
      </c>
      <c r="H114" s="17">
        <v>5883</v>
      </c>
      <c r="I114" s="17">
        <v>6436</v>
      </c>
      <c r="J114" s="17">
        <v>6621</v>
      </c>
      <c r="K114" s="17">
        <v>6805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21">
        <f t="shared" si="9"/>
        <v>0</v>
      </c>
      <c r="S114" s="21">
        <f t="shared" si="10"/>
        <v>0</v>
      </c>
      <c r="T114" s="21">
        <f t="shared" si="11"/>
        <v>0</v>
      </c>
      <c r="U114" s="21">
        <f t="shared" si="12"/>
        <v>0</v>
      </c>
      <c r="V114" s="21">
        <f t="shared" si="13"/>
        <v>0</v>
      </c>
      <c r="W114" s="21">
        <f t="shared" si="14"/>
        <v>0</v>
      </c>
      <c r="X114" s="21">
        <f t="shared" si="15"/>
        <v>0</v>
      </c>
      <c r="Y114" s="21">
        <f t="shared" si="16"/>
        <v>0</v>
      </c>
    </row>
    <row r="115" spans="1:25" x14ac:dyDescent="0.3">
      <c r="A115" s="13" t="s">
        <v>25</v>
      </c>
      <c r="B115" s="13" t="s">
        <v>518</v>
      </c>
      <c r="C115" s="13" t="s">
        <v>520</v>
      </c>
      <c r="D115" s="13" t="s">
        <v>520</v>
      </c>
      <c r="E115" s="17">
        <v>21902</v>
      </c>
      <c r="F115" s="17">
        <v>3910</v>
      </c>
      <c r="G115" s="17">
        <v>4116</v>
      </c>
      <c r="H115" s="17">
        <v>4322</v>
      </c>
      <c r="I115" s="17">
        <v>4939</v>
      </c>
      <c r="J115" s="17">
        <v>5145</v>
      </c>
      <c r="K115" s="17">
        <v>5351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21">
        <f t="shared" si="9"/>
        <v>0</v>
      </c>
      <c r="S115" s="21">
        <f t="shared" si="10"/>
        <v>0</v>
      </c>
      <c r="T115" s="21">
        <f t="shared" si="11"/>
        <v>0</v>
      </c>
      <c r="U115" s="21">
        <f t="shared" si="12"/>
        <v>0</v>
      </c>
      <c r="V115" s="21">
        <f t="shared" si="13"/>
        <v>0</v>
      </c>
      <c r="W115" s="21">
        <f t="shared" si="14"/>
        <v>0</v>
      </c>
      <c r="X115" s="21">
        <f t="shared" si="15"/>
        <v>0</v>
      </c>
      <c r="Y115" s="21">
        <f t="shared" si="16"/>
        <v>0</v>
      </c>
    </row>
    <row r="116" spans="1:25" x14ac:dyDescent="0.3">
      <c r="A116" s="13" t="s">
        <v>25</v>
      </c>
      <c r="B116" s="13" t="s">
        <v>29</v>
      </c>
      <c r="C116" s="13" t="s">
        <v>29</v>
      </c>
      <c r="D116" s="13" t="s">
        <v>29</v>
      </c>
      <c r="E116" s="17">
        <v>22001</v>
      </c>
      <c r="F116" s="17">
        <v>54224</v>
      </c>
      <c r="G116" s="17">
        <v>55003</v>
      </c>
      <c r="H116" s="17">
        <v>55782</v>
      </c>
      <c r="I116" s="17">
        <v>58118</v>
      </c>
      <c r="J116" s="17">
        <v>58897</v>
      </c>
      <c r="K116" s="17">
        <v>59676</v>
      </c>
      <c r="L116" s="13">
        <v>3</v>
      </c>
      <c r="M116" s="13">
        <v>2</v>
      </c>
      <c r="N116" s="13">
        <v>1</v>
      </c>
      <c r="O116" s="13">
        <v>2</v>
      </c>
      <c r="P116" s="13">
        <v>2</v>
      </c>
      <c r="Q116" s="13">
        <v>3</v>
      </c>
      <c r="R116" s="21">
        <f t="shared" si="9"/>
        <v>5.5326054883446449</v>
      </c>
      <c r="S116" s="21">
        <f t="shared" si="10"/>
        <v>3.6361653000745418</v>
      </c>
      <c r="T116" s="21">
        <f t="shared" si="11"/>
        <v>1.7926929833996632</v>
      </c>
      <c r="U116" s="21">
        <f t="shared" si="12"/>
        <v>3.4412746481296672</v>
      </c>
      <c r="V116" s="21">
        <f t="shared" si="13"/>
        <v>3.3957586973869636</v>
      </c>
      <c r="W116" s="21">
        <f t="shared" si="14"/>
        <v>5.0271465915946107</v>
      </c>
      <c r="X116" s="21">
        <f t="shared" si="15"/>
        <v>3.6538212572729498</v>
      </c>
      <c r="Y116" s="21">
        <f t="shared" si="16"/>
        <v>3.9547266457037473</v>
      </c>
    </row>
    <row r="117" spans="1:25" x14ac:dyDescent="0.3">
      <c r="A117" s="13" t="s">
        <v>25</v>
      </c>
      <c r="B117" s="13" t="s">
        <v>29</v>
      </c>
      <c r="C117" s="13" t="s">
        <v>521</v>
      </c>
      <c r="D117" s="13" t="s">
        <v>521</v>
      </c>
      <c r="E117" s="17">
        <v>22002</v>
      </c>
      <c r="F117" s="17">
        <v>10940</v>
      </c>
      <c r="G117" s="17">
        <v>10890</v>
      </c>
      <c r="H117" s="17">
        <v>10839</v>
      </c>
      <c r="I117" s="17">
        <v>10687</v>
      </c>
      <c r="J117" s="17">
        <v>10636</v>
      </c>
      <c r="K117" s="17">
        <v>10585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21">
        <f t="shared" si="9"/>
        <v>0</v>
      </c>
      <c r="S117" s="21">
        <f t="shared" si="10"/>
        <v>0</v>
      </c>
      <c r="T117" s="21">
        <f t="shared" si="11"/>
        <v>0</v>
      </c>
      <c r="U117" s="21">
        <f t="shared" si="12"/>
        <v>0</v>
      </c>
      <c r="V117" s="21">
        <f t="shared" si="13"/>
        <v>0</v>
      </c>
      <c r="W117" s="21">
        <f t="shared" si="14"/>
        <v>0</v>
      </c>
      <c r="X117" s="21">
        <f t="shared" si="15"/>
        <v>0</v>
      </c>
      <c r="Y117" s="21">
        <f t="shared" si="16"/>
        <v>0</v>
      </c>
    </row>
    <row r="118" spans="1:25" x14ac:dyDescent="0.3">
      <c r="A118" s="13" t="s">
        <v>68</v>
      </c>
      <c r="B118" s="13" t="s">
        <v>522</v>
      </c>
      <c r="C118" s="13" t="s">
        <v>68</v>
      </c>
      <c r="D118" s="13" t="s">
        <v>68</v>
      </c>
      <c r="E118" s="17">
        <v>30101</v>
      </c>
      <c r="F118" s="17">
        <v>645968</v>
      </c>
      <c r="G118" s="17">
        <v>648759</v>
      </c>
      <c r="H118" s="17">
        <v>651550</v>
      </c>
      <c r="I118" s="17">
        <v>659923</v>
      </c>
      <c r="J118" s="17">
        <v>662714</v>
      </c>
      <c r="K118" s="17">
        <v>665505</v>
      </c>
      <c r="L118" s="13">
        <v>23</v>
      </c>
      <c r="M118" s="13">
        <v>21</v>
      </c>
      <c r="N118" s="13">
        <v>25</v>
      </c>
      <c r="O118" s="13">
        <v>19</v>
      </c>
      <c r="P118" s="13">
        <v>24</v>
      </c>
      <c r="Q118" s="13">
        <v>29</v>
      </c>
      <c r="R118" s="21">
        <f t="shared" si="9"/>
        <v>3.560547890917197</v>
      </c>
      <c r="S118" s="21">
        <f t="shared" si="10"/>
        <v>3.2369493139979562</v>
      </c>
      <c r="T118" s="21">
        <f t="shared" si="11"/>
        <v>3.8370040672243113</v>
      </c>
      <c r="U118" s="21">
        <f t="shared" si="12"/>
        <v>2.8791237765618112</v>
      </c>
      <c r="V118" s="21">
        <f t="shared" si="13"/>
        <v>3.6214717057433519</v>
      </c>
      <c r="W118" s="21">
        <f t="shared" si="14"/>
        <v>4.3575931059871831</v>
      </c>
      <c r="X118" s="21">
        <f t="shared" si="15"/>
        <v>3.5448337573798216</v>
      </c>
      <c r="Y118" s="21">
        <f t="shared" si="16"/>
        <v>3.619396196097449</v>
      </c>
    </row>
    <row r="119" spans="1:25" x14ac:dyDescent="0.3">
      <c r="A119" s="13" t="s">
        <v>68</v>
      </c>
      <c r="B119" s="13" t="s">
        <v>523</v>
      </c>
      <c r="C119" s="13" t="s">
        <v>524</v>
      </c>
      <c r="D119" s="13" t="s">
        <v>524</v>
      </c>
      <c r="E119" s="17">
        <v>30201</v>
      </c>
      <c r="F119" s="17">
        <v>23207</v>
      </c>
      <c r="G119" s="17">
        <v>23195</v>
      </c>
      <c r="H119" s="17">
        <v>23183</v>
      </c>
      <c r="I119" s="17">
        <v>23147</v>
      </c>
      <c r="J119" s="17">
        <v>23135</v>
      </c>
      <c r="K119" s="17">
        <v>23123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21">
        <f t="shared" si="9"/>
        <v>0</v>
      </c>
      <c r="S119" s="21">
        <f t="shared" si="10"/>
        <v>0</v>
      </c>
      <c r="T119" s="21">
        <f t="shared" si="11"/>
        <v>0</v>
      </c>
      <c r="U119" s="21">
        <f t="shared" si="12"/>
        <v>0</v>
      </c>
      <c r="V119" s="21">
        <f t="shared" si="13"/>
        <v>0</v>
      </c>
      <c r="W119" s="21">
        <f t="shared" si="14"/>
        <v>0</v>
      </c>
      <c r="X119" s="21">
        <f t="shared" si="15"/>
        <v>0</v>
      </c>
      <c r="Y119" s="21">
        <f t="shared" si="16"/>
        <v>0</v>
      </c>
    </row>
    <row r="120" spans="1:25" x14ac:dyDescent="0.3">
      <c r="A120" s="13" t="s">
        <v>68</v>
      </c>
      <c r="B120" s="13" t="s">
        <v>523</v>
      </c>
      <c r="C120" s="13" t="s">
        <v>525</v>
      </c>
      <c r="D120" s="13" t="s">
        <v>525</v>
      </c>
      <c r="E120" s="17">
        <v>30202</v>
      </c>
      <c r="F120" s="17">
        <v>6696</v>
      </c>
      <c r="G120" s="17">
        <v>6664</v>
      </c>
      <c r="H120" s="17">
        <v>6633</v>
      </c>
      <c r="I120" s="17">
        <v>6538</v>
      </c>
      <c r="J120" s="17">
        <v>6507</v>
      </c>
      <c r="K120" s="17">
        <v>6475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21">
        <f t="shared" si="9"/>
        <v>0</v>
      </c>
      <c r="S120" s="21">
        <f t="shared" si="10"/>
        <v>0</v>
      </c>
      <c r="T120" s="21">
        <f t="shared" si="11"/>
        <v>0</v>
      </c>
      <c r="U120" s="21">
        <f t="shared" si="12"/>
        <v>0</v>
      </c>
      <c r="V120" s="21">
        <f t="shared" si="13"/>
        <v>0</v>
      </c>
      <c r="W120" s="21">
        <f t="shared" si="14"/>
        <v>0</v>
      </c>
      <c r="X120" s="21">
        <f t="shared" si="15"/>
        <v>0</v>
      </c>
      <c r="Y120" s="21">
        <f t="shared" si="16"/>
        <v>0</v>
      </c>
    </row>
    <row r="121" spans="1:25" x14ac:dyDescent="0.3">
      <c r="A121" s="13" t="s">
        <v>68</v>
      </c>
      <c r="B121" s="13" t="s">
        <v>523</v>
      </c>
      <c r="C121" s="13" t="s">
        <v>526</v>
      </c>
      <c r="D121" s="13" t="s">
        <v>526</v>
      </c>
      <c r="E121" s="17">
        <v>30203</v>
      </c>
      <c r="F121" s="17">
        <v>6083</v>
      </c>
      <c r="G121" s="17">
        <v>6172</v>
      </c>
      <c r="H121" s="17">
        <v>6260</v>
      </c>
      <c r="I121" s="17">
        <v>6524</v>
      </c>
      <c r="J121" s="17">
        <v>6612</v>
      </c>
      <c r="K121" s="17">
        <v>6700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21">
        <f t="shared" si="9"/>
        <v>0</v>
      </c>
      <c r="S121" s="21">
        <f t="shared" si="10"/>
        <v>0</v>
      </c>
      <c r="T121" s="21">
        <f t="shared" si="11"/>
        <v>0</v>
      </c>
      <c r="U121" s="21">
        <f t="shared" si="12"/>
        <v>0</v>
      </c>
      <c r="V121" s="21">
        <f t="shared" si="13"/>
        <v>0</v>
      </c>
      <c r="W121" s="21">
        <f t="shared" si="14"/>
        <v>0</v>
      </c>
      <c r="X121" s="21">
        <f t="shared" si="15"/>
        <v>0</v>
      </c>
      <c r="Y121" s="21">
        <f t="shared" si="16"/>
        <v>0</v>
      </c>
    </row>
    <row r="122" spans="1:25" x14ac:dyDescent="0.3">
      <c r="A122" s="13" t="s">
        <v>68</v>
      </c>
      <c r="B122" s="13" t="s">
        <v>527</v>
      </c>
      <c r="C122" s="13" t="s">
        <v>528</v>
      </c>
      <c r="D122" s="13" t="s">
        <v>529</v>
      </c>
      <c r="E122" s="17">
        <v>30301</v>
      </c>
      <c r="F122" s="17">
        <v>22890</v>
      </c>
      <c r="G122" s="17">
        <v>22737</v>
      </c>
      <c r="H122" s="17">
        <v>22583</v>
      </c>
      <c r="I122" s="17">
        <v>22122</v>
      </c>
      <c r="J122" s="17">
        <v>21969</v>
      </c>
      <c r="K122" s="17">
        <v>21815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21">
        <f t="shared" si="9"/>
        <v>0</v>
      </c>
      <c r="S122" s="21">
        <f t="shared" si="10"/>
        <v>0</v>
      </c>
      <c r="T122" s="21">
        <f t="shared" si="11"/>
        <v>0</v>
      </c>
      <c r="U122" s="21">
        <f t="shared" si="12"/>
        <v>0</v>
      </c>
      <c r="V122" s="21">
        <f t="shared" si="13"/>
        <v>0</v>
      </c>
      <c r="W122" s="21">
        <f t="shared" si="14"/>
        <v>0</v>
      </c>
      <c r="X122" s="21">
        <f t="shared" si="15"/>
        <v>0</v>
      </c>
      <c r="Y122" s="21">
        <f t="shared" si="16"/>
        <v>0</v>
      </c>
    </row>
    <row r="123" spans="1:25" x14ac:dyDescent="0.3">
      <c r="A123" s="13" t="s">
        <v>68</v>
      </c>
      <c r="B123" s="13" t="s">
        <v>527</v>
      </c>
      <c r="C123" s="13" t="s">
        <v>97</v>
      </c>
      <c r="D123" s="13" t="s">
        <v>97</v>
      </c>
      <c r="E123" s="17">
        <v>30302</v>
      </c>
      <c r="F123" s="17">
        <v>13598</v>
      </c>
      <c r="G123" s="17">
        <v>13759</v>
      </c>
      <c r="H123" s="17">
        <v>13919</v>
      </c>
      <c r="I123" s="17">
        <v>14400</v>
      </c>
      <c r="J123" s="17">
        <v>14560</v>
      </c>
      <c r="K123" s="17">
        <v>14720</v>
      </c>
      <c r="L123" s="13">
        <v>0</v>
      </c>
      <c r="M123" s="13">
        <v>0</v>
      </c>
      <c r="N123" s="13">
        <v>0</v>
      </c>
      <c r="O123" s="13">
        <v>0</v>
      </c>
      <c r="P123" s="13">
        <v>1</v>
      </c>
      <c r="Q123" s="13">
        <v>0</v>
      </c>
      <c r="R123" s="21">
        <f t="shared" si="9"/>
        <v>0</v>
      </c>
      <c r="S123" s="21">
        <f t="shared" si="10"/>
        <v>0</v>
      </c>
      <c r="T123" s="21">
        <f t="shared" si="11"/>
        <v>0</v>
      </c>
      <c r="U123" s="21">
        <f t="shared" si="12"/>
        <v>0</v>
      </c>
      <c r="V123" s="21">
        <f t="shared" si="13"/>
        <v>6.8681318681318677</v>
      </c>
      <c r="W123" s="21">
        <f t="shared" si="14"/>
        <v>0</v>
      </c>
      <c r="X123" s="21">
        <f t="shared" si="15"/>
        <v>0</v>
      </c>
      <c r="Y123" s="21">
        <f t="shared" si="16"/>
        <v>2.2893772893772892</v>
      </c>
    </row>
    <row r="124" spans="1:25" x14ac:dyDescent="0.3">
      <c r="A124" s="13" t="s">
        <v>68</v>
      </c>
      <c r="B124" s="13" t="s">
        <v>527</v>
      </c>
      <c r="C124" s="13" t="s">
        <v>530</v>
      </c>
      <c r="D124" s="13" t="s">
        <v>530</v>
      </c>
      <c r="E124" s="17">
        <v>30303</v>
      </c>
      <c r="F124" s="17">
        <v>18714</v>
      </c>
      <c r="G124" s="17">
        <v>18842</v>
      </c>
      <c r="H124" s="17">
        <v>18970</v>
      </c>
      <c r="I124" s="17">
        <v>19353</v>
      </c>
      <c r="J124" s="17">
        <v>19480</v>
      </c>
      <c r="K124" s="17">
        <v>19608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21">
        <f t="shared" si="9"/>
        <v>0</v>
      </c>
      <c r="S124" s="21">
        <f t="shared" si="10"/>
        <v>0</v>
      </c>
      <c r="T124" s="21">
        <f t="shared" si="11"/>
        <v>0</v>
      </c>
      <c r="U124" s="21">
        <f t="shared" si="12"/>
        <v>0</v>
      </c>
      <c r="V124" s="21">
        <f t="shared" si="13"/>
        <v>0</v>
      </c>
      <c r="W124" s="21">
        <f t="shared" si="14"/>
        <v>0</v>
      </c>
      <c r="X124" s="21">
        <f t="shared" si="15"/>
        <v>0</v>
      </c>
      <c r="Y124" s="21">
        <f t="shared" si="16"/>
        <v>0</v>
      </c>
    </row>
    <row r="125" spans="1:25" x14ac:dyDescent="0.3">
      <c r="A125" s="13" t="s">
        <v>68</v>
      </c>
      <c r="B125" s="13" t="s">
        <v>531</v>
      </c>
      <c r="C125" s="13" t="s">
        <v>86</v>
      </c>
      <c r="D125" s="13" t="s">
        <v>86</v>
      </c>
      <c r="E125" s="17">
        <v>30401</v>
      </c>
      <c r="F125" s="17">
        <v>9505</v>
      </c>
      <c r="G125" s="17">
        <v>9758</v>
      </c>
      <c r="H125" s="17">
        <v>10010</v>
      </c>
      <c r="I125" s="17">
        <v>10768</v>
      </c>
      <c r="J125" s="17">
        <v>11020</v>
      </c>
      <c r="K125" s="17">
        <v>11273</v>
      </c>
      <c r="L125" s="13">
        <v>2</v>
      </c>
      <c r="M125" s="13">
        <v>0</v>
      </c>
      <c r="N125" s="13">
        <v>0</v>
      </c>
      <c r="O125" s="13">
        <v>0</v>
      </c>
      <c r="P125" s="13">
        <v>1</v>
      </c>
      <c r="Q125" s="13">
        <v>2</v>
      </c>
      <c r="R125" s="21">
        <f t="shared" si="9"/>
        <v>21.041557075223565</v>
      </c>
      <c r="S125" s="21">
        <f t="shared" si="10"/>
        <v>0</v>
      </c>
      <c r="T125" s="21">
        <f t="shared" si="11"/>
        <v>0</v>
      </c>
      <c r="U125" s="21">
        <f t="shared" si="12"/>
        <v>0</v>
      </c>
      <c r="V125" s="21">
        <f t="shared" si="13"/>
        <v>9.0744101633393814</v>
      </c>
      <c r="W125" s="21">
        <f t="shared" si="14"/>
        <v>17.741506253880956</v>
      </c>
      <c r="X125" s="21">
        <f t="shared" si="15"/>
        <v>7.0138523584078554</v>
      </c>
      <c r="Y125" s="21">
        <f t="shared" si="16"/>
        <v>8.938638805740112</v>
      </c>
    </row>
    <row r="126" spans="1:25" x14ac:dyDescent="0.3">
      <c r="A126" s="13" t="s">
        <v>68</v>
      </c>
      <c r="B126" s="13" t="s">
        <v>531</v>
      </c>
      <c r="C126" s="13" t="s">
        <v>91</v>
      </c>
      <c r="D126" s="13" t="s">
        <v>532</v>
      </c>
      <c r="E126" s="17">
        <v>30402</v>
      </c>
      <c r="F126" s="17">
        <v>7252</v>
      </c>
      <c r="G126" s="17">
        <v>7264</v>
      </c>
      <c r="H126" s="17">
        <v>7275</v>
      </c>
      <c r="I126" s="17">
        <v>7311</v>
      </c>
      <c r="J126" s="17">
        <v>7323</v>
      </c>
      <c r="K126" s="17">
        <v>7335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1</v>
      </c>
      <c r="R126" s="21">
        <f t="shared" si="9"/>
        <v>0</v>
      </c>
      <c r="S126" s="21">
        <f t="shared" si="10"/>
        <v>0</v>
      </c>
      <c r="T126" s="21">
        <f t="shared" si="11"/>
        <v>0</v>
      </c>
      <c r="U126" s="21">
        <f t="shared" si="12"/>
        <v>0</v>
      </c>
      <c r="V126" s="21">
        <f t="shared" si="13"/>
        <v>0</v>
      </c>
      <c r="W126" s="21">
        <f t="shared" si="14"/>
        <v>13.633265167007499</v>
      </c>
      <c r="X126" s="21">
        <f t="shared" si="15"/>
        <v>0</v>
      </c>
      <c r="Y126" s="21">
        <f t="shared" si="16"/>
        <v>4.5444217223358327</v>
      </c>
    </row>
    <row r="127" spans="1:25" x14ac:dyDescent="0.3">
      <c r="A127" s="13" t="s">
        <v>68</v>
      </c>
      <c r="B127" s="13" t="s">
        <v>531</v>
      </c>
      <c r="C127" s="13" t="s">
        <v>87</v>
      </c>
      <c r="D127" s="13" t="s">
        <v>87</v>
      </c>
      <c r="E127" s="17">
        <v>30403</v>
      </c>
      <c r="F127" s="17">
        <v>22416</v>
      </c>
      <c r="G127" s="17">
        <v>23410</v>
      </c>
      <c r="H127" s="17">
        <v>24404</v>
      </c>
      <c r="I127" s="17">
        <v>27387</v>
      </c>
      <c r="J127" s="17">
        <v>28381</v>
      </c>
      <c r="K127" s="17">
        <v>29375</v>
      </c>
      <c r="L127" s="13">
        <v>6</v>
      </c>
      <c r="M127" s="13">
        <v>2</v>
      </c>
      <c r="N127" s="13">
        <v>1</v>
      </c>
      <c r="O127" s="13">
        <v>0</v>
      </c>
      <c r="P127" s="13">
        <v>2</v>
      </c>
      <c r="Q127" s="13">
        <v>0</v>
      </c>
      <c r="R127" s="21">
        <f t="shared" si="9"/>
        <v>26.76659528907923</v>
      </c>
      <c r="S127" s="21">
        <f t="shared" si="10"/>
        <v>8.5433575395130283</v>
      </c>
      <c r="T127" s="21">
        <f t="shared" si="11"/>
        <v>4.0976889034584492</v>
      </c>
      <c r="U127" s="21">
        <f t="shared" si="12"/>
        <v>0</v>
      </c>
      <c r="V127" s="21">
        <f t="shared" si="13"/>
        <v>7.0469680419999294</v>
      </c>
      <c r="W127" s="21">
        <f t="shared" si="14"/>
        <v>0</v>
      </c>
      <c r="X127" s="21">
        <f t="shared" si="15"/>
        <v>13.135880577350235</v>
      </c>
      <c r="Y127" s="21">
        <f t="shared" si="16"/>
        <v>2.3489893473333097</v>
      </c>
    </row>
    <row r="128" spans="1:25" x14ac:dyDescent="0.3">
      <c r="A128" s="13" t="s">
        <v>68</v>
      </c>
      <c r="B128" s="13" t="s">
        <v>531</v>
      </c>
      <c r="C128" s="13" t="s">
        <v>533</v>
      </c>
      <c r="D128" s="13" t="s">
        <v>533</v>
      </c>
      <c r="E128" s="17">
        <v>30404</v>
      </c>
      <c r="F128" s="17">
        <v>4625</v>
      </c>
      <c r="G128" s="17">
        <v>4677</v>
      </c>
      <c r="H128" s="17">
        <v>4728</v>
      </c>
      <c r="I128" s="17">
        <v>4884</v>
      </c>
      <c r="J128" s="17">
        <v>4935</v>
      </c>
      <c r="K128" s="17">
        <v>4987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21">
        <f t="shared" si="9"/>
        <v>0</v>
      </c>
      <c r="S128" s="21">
        <f t="shared" si="10"/>
        <v>0</v>
      </c>
      <c r="T128" s="21">
        <f t="shared" si="11"/>
        <v>0</v>
      </c>
      <c r="U128" s="21">
        <f t="shared" si="12"/>
        <v>0</v>
      </c>
      <c r="V128" s="21">
        <f t="shared" si="13"/>
        <v>0</v>
      </c>
      <c r="W128" s="21">
        <f t="shared" si="14"/>
        <v>0</v>
      </c>
      <c r="X128" s="21">
        <f t="shared" si="15"/>
        <v>0</v>
      </c>
      <c r="Y128" s="21">
        <f t="shared" si="16"/>
        <v>0</v>
      </c>
    </row>
    <row r="129" spans="1:25" x14ac:dyDescent="0.3">
      <c r="A129" s="13" t="s">
        <v>68</v>
      </c>
      <c r="B129" s="13" t="s">
        <v>84</v>
      </c>
      <c r="C129" s="13" t="s">
        <v>84</v>
      </c>
      <c r="D129" s="13" t="s">
        <v>84</v>
      </c>
      <c r="E129" s="17">
        <v>30501</v>
      </c>
      <c r="F129" s="17">
        <v>10204</v>
      </c>
      <c r="G129" s="17">
        <v>10344</v>
      </c>
      <c r="H129" s="17">
        <v>10483</v>
      </c>
      <c r="I129" s="17">
        <v>10903</v>
      </c>
      <c r="J129" s="17">
        <v>11043</v>
      </c>
      <c r="K129" s="17">
        <v>11183</v>
      </c>
      <c r="L129" s="13">
        <v>1</v>
      </c>
      <c r="M129" s="13">
        <v>0</v>
      </c>
      <c r="N129" s="13">
        <v>0</v>
      </c>
      <c r="O129" s="13">
        <v>2</v>
      </c>
      <c r="P129" s="13">
        <v>0</v>
      </c>
      <c r="Q129" s="13">
        <v>1</v>
      </c>
      <c r="R129" s="21">
        <f t="shared" si="9"/>
        <v>9.8000784006272053</v>
      </c>
      <c r="S129" s="21">
        <f t="shared" si="10"/>
        <v>0</v>
      </c>
      <c r="T129" s="21">
        <f t="shared" si="11"/>
        <v>0</v>
      </c>
      <c r="U129" s="21">
        <f t="shared" si="12"/>
        <v>18.34357516279923</v>
      </c>
      <c r="V129" s="21">
        <f t="shared" si="13"/>
        <v>0</v>
      </c>
      <c r="W129" s="21">
        <f t="shared" si="14"/>
        <v>8.9421443262094247</v>
      </c>
      <c r="X129" s="21">
        <f t="shared" si="15"/>
        <v>3.2666928002090683</v>
      </c>
      <c r="Y129" s="21">
        <f t="shared" si="16"/>
        <v>9.095239829669552</v>
      </c>
    </row>
    <row r="130" spans="1:25" x14ac:dyDescent="0.3">
      <c r="A130" s="13" t="s">
        <v>68</v>
      </c>
      <c r="B130" s="13" t="s">
        <v>84</v>
      </c>
      <c r="C130" s="13" t="s">
        <v>88</v>
      </c>
      <c r="D130" s="13" t="s">
        <v>88</v>
      </c>
      <c r="E130" s="17">
        <v>30502</v>
      </c>
      <c r="F130" s="17">
        <v>8719</v>
      </c>
      <c r="G130" s="17">
        <v>8675</v>
      </c>
      <c r="H130" s="17">
        <v>8630</v>
      </c>
      <c r="I130" s="17">
        <v>8498</v>
      </c>
      <c r="J130" s="17">
        <v>8453</v>
      </c>
      <c r="K130" s="17">
        <v>8409</v>
      </c>
      <c r="L130" s="13">
        <v>1</v>
      </c>
      <c r="M130" s="13">
        <v>0</v>
      </c>
      <c r="N130" s="13">
        <v>0</v>
      </c>
      <c r="O130" s="13">
        <v>0</v>
      </c>
      <c r="P130" s="13">
        <v>0</v>
      </c>
      <c r="Q130" s="13">
        <v>1</v>
      </c>
      <c r="R130" s="21">
        <f t="shared" si="9"/>
        <v>11.469205184080744</v>
      </c>
      <c r="S130" s="21">
        <f t="shared" si="10"/>
        <v>0</v>
      </c>
      <c r="T130" s="21">
        <f t="shared" si="11"/>
        <v>0</v>
      </c>
      <c r="U130" s="21">
        <f t="shared" si="12"/>
        <v>0</v>
      </c>
      <c r="V130" s="21">
        <f t="shared" si="13"/>
        <v>0</v>
      </c>
      <c r="W130" s="21">
        <f t="shared" si="14"/>
        <v>11.892020454275182</v>
      </c>
      <c r="X130" s="21">
        <f t="shared" si="15"/>
        <v>3.8230683946935815</v>
      </c>
      <c r="Y130" s="21">
        <f t="shared" si="16"/>
        <v>3.9640068180917272</v>
      </c>
    </row>
    <row r="131" spans="1:25" x14ac:dyDescent="0.3">
      <c r="A131" s="13" t="s">
        <v>68</v>
      </c>
      <c r="B131" s="13" t="s">
        <v>285</v>
      </c>
      <c r="C131" s="13" t="s">
        <v>285</v>
      </c>
      <c r="D131" s="13" t="s">
        <v>534</v>
      </c>
      <c r="E131" s="17">
        <v>30601</v>
      </c>
      <c r="F131" s="17">
        <v>10612</v>
      </c>
      <c r="G131" s="17">
        <v>10615</v>
      </c>
      <c r="H131" s="17">
        <v>10617</v>
      </c>
      <c r="I131" s="17">
        <v>10626</v>
      </c>
      <c r="J131" s="17">
        <v>10629</v>
      </c>
      <c r="K131" s="17">
        <v>10632</v>
      </c>
      <c r="L131" s="13">
        <v>1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21">
        <f t="shared" ref="R131:R194" si="17">(L131/F131)*100000</f>
        <v>9.4232943837165468</v>
      </c>
      <c r="S131" s="21">
        <f t="shared" ref="S131:S194" si="18">(M131/G131)*100000</f>
        <v>0</v>
      </c>
      <c r="T131" s="21">
        <f t="shared" ref="T131:T194" si="19">(N131/H131)*100000</f>
        <v>0</v>
      </c>
      <c r="U131" s="21">
        <f t="shared" ref="U131:U194" si="20">(O131/I131)*100000</f>
        <v>0</v>
      </c>
      <c r="V131" s="21">
        <f t="shared" ref="V131:V194" si="21">(P131/J131)*100000</f>
        <v>0</v>
      </c>
      <c r="W131" s="21">
        <f t="shared" ref="W131:W194" si="22">(Q131/K131)*100000</f>
        <v>0</v>
      </c>
      <c r="X131" s="21">
        <f t="shared" ref="X131:X194" si="23">AVERAGE(R131:T131)</f>
        <v>3.1410981279055155</v>
      </c>
      <c r="Y131" s="21">
        <f t="shared" ref="Y131:Y194" si="24">AVERAGE(U131:W131)</f>
        <v>0</v>
      </c>
    </row>
    <row r="132" spans="1:25" x14ac:dyDescent="0.3">
      <c r="A132" s="13" t="s">
        <v>68</v>
      </c>
      <c r="B132" s="13" t="s">
        <v>285</v>
      </c>
      <c r="C132" s="13" t="s">
        <v>535</v>
      </c>
      <c r="D132" s="13" t="s">
        <v>535</v>
      </c>
      <c r="E132" s="17">
        <v>30602</v>
      </c>
      <c r="F132" s="17">
        <v>10460</v>
      </c>
      <c r="G132" s="17">
        <v>10502</v>
      </c>
      <c r="H132" s="17">
        <v>10543</v>
      </c>
      <c r="I132" s="17">
        <v>10667</v>
      </c>
      <c r="J132" s="17">
        <v>10709</v>
      </c>
      <c r="K132" s="17">
        <v>10750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21">
        <f t="shared" si="17"/>
        <v>0</v>
      </c>
      <c r="S132" s="21">
        <f t="shared" si="18"/>
        <v>0</v>
      </c>
      <c r="T132" s="21">
        <f t="shared" si="19"/>
        <v>0</v>
      </c>
      <c r="U132" s="21">
        <f t="shared" si="20"/>
        <v>0</v>
      </c>
      <c r="V132" s="21">
        <f t="shared" si="21"/>
        <v>0</v>
      </c>
      <c r="W132" s="21">
        <f t="shared" si="22"/>
        <v>0</v>
      </c>
      <c r="X132" s="21">
        <f t="shared" si="23"/>
        <v>0</v>
      </c>
      <c r="Y132" s="21">
        <f t="shared" si="24"/>
        <v>0</v>
      </c>
    </row>
    <row r="133" spans="1:25" x14ac:dyDescent="0.3">
      <c r="A133" s="13" t="s">
        <v>68</v>
      </c>
      <c r="B133" s="13" t="s">
        <v>92</v>
      </c>
      <c r="C133" s="13" t="s">
        <v>92</v>
      </c>
      <c r="D133" s="13" t="s">
        <v>92</v>
      </c>
      <c r="E133" s="17">
        <v>30701</v>
      </c>
      <c r="F133" s="17">
        <v>19456</v>
      </c>
      <c r="G133" s="17">
        <v>19452</v>
      </c>
      <c r="H133" s="17">
        <v>19448</v>
      </c>
      <c r="I133" s="17">
        <v>19435</v>
      </c>
      <c r="J133" s="17">
        <v>19431</v>
      </c>
      <c r="K133" s="17">
        <v>19427</v>
      </c>
      <c r="L133" s="13">
        <v>0</v>
      </c>
      <c r="M133" s="13">
        <v>0</v>
      </c>
      <c r="N133" s="13">
        <v>0</v>
      </c>
      <c r="O133" s="13">
        <v>1</v>
      </c>
      <c r="P133" s="13">
        <v>0</v>
      </c>
      <c r="Q133" s="13">
        <v>1</v>
      </c>
      <c r="R133" s="21">
        <f t="shared" si="17"/>
        <v>0</v>
      </c>
      <c r="S133" s="21">
        <f t="shared" si="18"/>
        <v>0</v>
      </c>
      <c r="T133" s="21">
        <f t="shared" si="19"/>
        <v>0</v>
      </c>
      <c r="U133" s="21">
        <f t="shared" si="20"/>
        <v>5.1453563159248779</v>
      </c>
      <c r="V133" s="21">
        <f t="shared" si="21"/>
        <v>0</v>
      </c>
      <c r="W133" s="21">
        <f t="shared" si="22"/>
        <v>5.147475163432337</v>
      </c>
      <c r="X133" s="21">
        <f t="shared" si="23"/>
        <v>0</v>
      </c>
      <c r="Y133" s="21">
        <f t="shared" si="24"/>
        <v>3.4309438264524048</v>
      </c>
    </row>
    <row r="134" spans="1:25" x14ac:dyDescent="0.3">
      <c r="A134" s="13" t="s">
        <v>68</v>
      </c>
      <c r="B134" s="13" t="s">
        <v>92</v>
      </c>
      <c r="C134" s="13" t="s">
        <v>536</v>
      </c>
      <c r="D134" s="13" t="s">
        <v>537</v>
      </c>
      <c r="E134" s="17">
        <v>30702</v>
      </c>
      <c r="F134" s="17">
        <v>7116</v>
      </c>
      <c r="G134" s="17">
        <v>7234</v>
      </c>
      <c r="H134" s="17">
        <v>7351</v>
      </c>
      <c r="I134" s="17">
        <v>7705</v>
      </c>
      <c r="J134" s="17">
        <v>7822</v>
      </c>
      <c r="K134" s="17">
        <v>7940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21">
        <f t="shared" si="17"/>
        <v>0</v>
      </c>
      <c r="S134" s="21">
        <f t="shared" si="18"/>
        <v>0</v>
      </c>
      <c r="T134" s="21">
        <f t="shared" si="19"/>
        <v>0</v>
      </c>
      <c r="U134" s="21">
        <f t="shared" si="20"/>
        <v>0</v>
      </c>
      <c r="V134" s="21">
        <f t="shared" si="21"/>
        <v>0</v>
      </c>
      <c r="W134" s="21">
        <f t="shared" si="22"/>
        <v>0</v>
      </c>
      <c r="X134" s="21">
        <f t="shared" si="23"/>
        <v>0</v>
      </c>
      <c r="Y134" s="21">
        <f t="shared" si="24"/>
        <v>0</v>
      </c>
    </row>
    <row r="135" spans="1:25" x14ac:dyDescent="0.3">
      <c r="A135" s="13" t="s">
        <v>68</v>
      </c>
      <c r="B135" s="13" t="s">
        <v>92</v>
      </c>
      <c r="C135" s="13" t="s">
        <v>538</v>
      </c>
      <c r="D135" s="13" t="s">
        <v>538</v>
      </c>
      <c r="E135" s="17">
        <v>30703</v>
      </c>
      <c r="F135" s="17">
        <v>3840</v>
      </c>
      <c r="G135" s="17">
        <v>3860</v>
      </c>
      <c r="H135" s="17">
        <v>3880</v>
      </c>
      <c r="I135" s="17">
        <v>3940</v>
      </c>
      <c r="J135" s="17">
        <v>3960</v>
      </c>
      <c r="K135" s="17">
        <v>3980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21">
        <f t="shared" si="17"/>
        <v>0</v>
      </c>
      <c r="S135" s="21">
        <f t="shared" si="18"/>
        <v>0</v>
      </c>
      <c r="T135" s="21">
        <f t="shared" si="19"/>
        <v>0</v>
      </c>
      <c r="U135" s="21">
        <f t="shared" si="20"/>
        <v>0</v>
      </c>
      <c r="V135" s="21">
        <f t="shared" si="21"/>
        <v>0</v>
      </c>
      <c r="W135" s="21">
        <f t="shared" si="22"/>
        <v>0</v>
      </c>
      <c r="X135" s="21">
        <f t="shared" si="23"/>
        <v>0</v>
      </c>
      <c r="Y135" s="21">
        <f t="shared" si="24"/>
        <v>0</v>
      </c>
    </row>
    <row r="136" spans="1:25" x14ac:dyDescent="0.3">
      <c r="A136" s="13" t="s">
        <v>68</v>
      </c>
      <c r="B136" s="13" t="s">
        <v>539</v>
      </c>
      <c r="C136" s="13" t="s">
        <v>81</v>
      </c>
      <c r="D136" s="13" t="s">
        <v>81</v>
      </c>
      <c r="E136" s="17">
        <v>30801</v>
      </c>
      <c r="F136" s="17">
        <v>21589</v>
      </c>
      <c r="G136" s="17">
        <v>21527</v>
      </c>
      <c r="H136" s="17">
        <v>21465</v>
      </c>
      <c r="I136" s="17">
        <v>21279</v>
      </c>
      <c r="J136" s="17">
        <v>21217</v>
      </c>
      <c r="K136" s="17">
        <v>21155</v>
      </c>
      <c r="L136" s="13">
        <v>6</v>
      </c>
      <c r="M136" s="13">
        <v>3</v>
      </c>
      <c r="N136" s="13">
        <v>2</v>
      </c>
      <c r="O136" s="13">
        <v>1</v>
      </c>
      <c r="P136" s="13">
        <v>0</v>
      </c>
      <c r="Q136" s="13">
        <v>1</v>
      </c>
      <c r="R136" s="21">
        <f t="shared" si="17"/>
        <v>27.791931076010933</v>
      </c>
      <c r="S136" s="21">
        <f t="shared" si="18"/>
        <v>13.935987364704788</v>
      </c>
      <c r="T136" s="21">
        <f t="shared" si="19"/>
        <v>9.3174935942231532</v>
      </c>
      <c r="U136" s="21">
        <f t="shared" si="20"/>
        <v>4.6994689600075192</v>
      </c>
      <c r="V136" s="21">
        <f t="shared" si="21"/>
        <v>0</v>
      </c>
      <c r="W136" s="21">
        <f t="shared" si="22"/>
        <v>4.7270148900969033</v>
      </c>
      <c r="X136" s="21">
        <f t="shared" si="23"/>
        <v>17.015137344979625</v>
      </c>
      <c r="Y136" s="21">
        <f t="shared" si="24"/>
        <v>3.1421612833681407</v>
      </c>
    </row>
    <row r="137" spans="1:25" x14ac:dyDescent="0.3">
      <c r="A137" s="13" t="s">
        <v>68</v>
      </c>
      <c r="B137" s="13" t="s">
        <v>539</v>
      </c>
      <c r="C137" s="13" t="s">
        <v>540</v>
      </c>
      <c r="D137" s="13" t="s">
        <v>540</v>
      </c>
      <c r="E137" s="17">
        <v>30802</v>
      </c>
      <c r="F137" s="17">
        <v>7192</v>
      </c>
      <c r="G137" s="17">
        <v>7220</v>
      </c>
      <c r="H137" s="17">
        <v>7247</v>
      </c>
      <c r="I137" s="17">
        <v>7328</v>
      </c>
      <c r="J137" s="17">
        <v>7355</v>
      </c>
      <c r="K137" s="17">
        <v>7382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21">
        <f t="shared" si="17"/>
        <v>0</v>
      </c>
      <c r="S137" s="21">
        <f t="shared" si="18"/>
        <v>0</v>
      </c>
      <c r="T137" s="21">
        <f t="shared" si="19"/>
        <v>0</v>
      </c>
      <c r="U137" s="21">
        <f t="shared" si="20"/>
        <v>0</v>
      </c>
      <c r="V137" s="21">
        <f t="shared" si="21"/>
        <v>0</v>
      </c>
      <c r="W137" s="21">
        <f t="shared" si="22"/>
        <v>0</v>
      </c>
      <c r="X137" s="21">
        <f t="shared" si="23"/>
        <v>0</v>
      </c>
      <c r="Y137" s="21">
        <f t="shared" si="24"/>
        <v>0</v>
      </c>
    </row>
    <row r="138" spans="1:25" x14ac:dyDescent="0.3">
      <c r="A138" s="13" t="s">
        <v>68</v>
      </c>
      <c r="B138" s="13" t="s">
        <v>539</v>
      </c>
      <c r="C138" s="13" t="s">
        <v>93</v>
      </c>
      <c r="D138" s="13" t="s">
        <v>93</v>
      </c>
      <c r="E138" s="17">
        <v>30803</v>
      </c>
      <c r="F138" s="17">
        <v>6852</v>
      </c>
      <c r="G138" s="17">
        <v>7115</v>
      </c>
      <c r="H138" s="17">
        <v>7377</v>
      </c>
      <c r="I138" s="17">
        <v>8163</v>
      </c>
      <c r="J138" s="17">
        <v>8425</v>
      </c>
      <c r="K138" s="17">
        <v>8687</v>
      </c>
      <c r="L138" s="13">
        <v>0</v>
      </c>
      <c r="M138" s="13">
        <v>0</v>
      </c>
      <c r="N138" s="13">
        <v>1</v>
      </c>
      <c r="O138" s="13">
        <v>0</v>
      </c>
      <c r="P138" s="13">
        <v>2</v>
      </c>
      <c r="Q138" s="13">
        <v>0</v>
      </c>
      <c r="R138" s="21">
        <f t="shared" si="17"/>
        <v>0</v>
      </c>
      <c r="S138" s="21">
        <f t="shared" si="18"/>
        <v>0</v>
      </c>
      <c r="T138" s="21">
        <f t="shared" si="19"/>
        <v>13.555645926528397</v>
      </c>
      <c r="U138" s="21">
        <f t="shared" si="20"/>
        <v>0</v>
      </c>
      <c r="V138" s="21">
        <f t="shared" si="21"/>
        <v>23.738872403560833</v>
      </c>
      <c r="W138" s="21">
        <f t="shared" si="22"/>
        <v>0</v>
      </c>
      <c r="X138" s="21">
        <f t="shared" si="23"/>
        <v>4.5185486421761327</v>
      </c>
      <c r="Y138" s="21">
        <f t="shared" si="24"/>
        <v>7.9129574678536114</v>
      </c>
    </row>
    <row r="139" spans="1:25" x14ac:dyDescent="0.3">
      <c r="A139" s="13" t="s">
        <v>68</v>
      </c>
      <c r="B139" s="13" t="s">
        <v>73</v>
      </c>
      <c r="C139" s="13" t="s">
        <v>73</v>
      </c>
      <c r="D139" s="13" t="s">
        <v>73</v>
      </c>
      <c r="E139" s="17">
        <v>30901</v>
      </c>
      <c r="F139" s="17">
        <v>149498</v>
      </c>
      <c r="G139" s="17">
        <v>151962</v>
      </c>
      <c r="H139" s="17">
        <v>154425</v>
      </c>
      <c r="I139" s="17">
        <v>161815</v>
      </c>
      <c r="J139" s="17">
        <v>164278</v>
      </c>
      <c r="K139" s="17">
        <v>166741</v>
      </c>
      <c r="L139" s="13">
        <v>19</v>
      </c>
      <c r="M139" s="13">
        <v>16</v>
      </c>
      <c r="N139" s="13">
        <v>9</v>
      </c>
      <c r="O139" s="13">
        <v>6</v>
      </c>
      <c r="P139" s="13">
        <v>10</v>
      </c>
      <c r="Q139" s="13">
        <v>6</v>
      </c>
      <c r="R139" s="21">
        <f t="shared" si="17"/>
        <v>12.709200123078569</v>
      </c>
      <c r="S139" s="21">
        <f t="shared" si="18"/>
        <v>10.528948026480304</v>
      </c>
      <c r="T139" s="21">
        <f t="shared" si="19"/>
        <v>5.8280718795531818</v>
      </c>
      <c r="U139" s="21">
        <f t="shared" si="20"/>
        <v>3.7079380774341071</v>
      </c>
      <c r="V139" s="21">
        <f t="shared" si="21"/>
        <v>6.0872423574672201</v>
      </c>
      <c r="W139" s="21">
        <f t="shared" si="22"/>
        <v>3.5983951157783629</v>
      </c>
      <c r="X139" s="21">
        <f t="shared" si="23"/>
        <v>9.6887400097040182</v>
      </c>
      <c r="Y139" s="21">
        <f t="shared" si="24"/>
        <v>4.4645251835598971</v>
      </c>
    </row>
    <row r="140" spans="1:25" x14ac:dyDescent="0.3">
      <c r="A140" s="13" t="s">
        <v>68</v>
      </c>
      <c r="B140" s="13" t="s">
        <v>73</v>
      </c>
      <c r="C140" s="13" t="s">
        <v>541</v>
      </c>
      <c r="D140" s="13" t="s">
        <v>541</v>
      </c>
      <c r="E140" s="17">
        <v>30902</v>
      </c>
      <c r="F140" s="17">
        <v>47545</v>
      </c>
      <c r="G140" s="17">
        <v>48740</v>
      </c>
      <c r="H140" s="17">
        <v>49934</v>
      </c>
      <c r="I140" s="17">
        <v>53519</v>
      </c>
      <c r="J140" s="17">
        <v>54713</v>
      </c>
      <c r="K140" s="17">
        <v>55908</v>
      </c>
      <c r="L140" s="13">
        <v>9</v>
      </c>
      <c r="M140" s="13">
        <v>2</v>
      </c>
      <c r="N140" s="13">
        <v>6</v>
      </c>
      <c r="O140" s="13">
        <v>6</v>
      </c>
      <c r="P140" s="13">
        <v>2</v>
      </c>
      <c r="Q140" s="13">
        <v>9</v>
      </c>
      <c r="R140" s="21">
        <f t="shared" si="17"/>
        <v>18.929435271847723</v>
      </c>
      <c r="S140" s="21">
        <f t="shared" si="18"/>
        <v>4.1034058268362745</v>
      </c>
      <c r="T140" s="21">
        <f t="shared" si="19"/>
        <v>12.015860936436095</v>
      </c>
      <c r="U140" s="21">
        <f t="shared" si="20"/>
        <v>11.210971804405911</v>
      </c>
      <c r="V140" s="21">
        <f t="shared" si="21"/>
        <v>3.6554383784475353</v>
      </c>
      <c r="W140" s="21">
        <f t="shared" si="22"/>
        <v>16.097875080489374</v>
      </c>
      <c r="X140" s="21">
        <f t="shared" si="23"/>
        <v>11.682900678373363</v>
      </c>
      <c r="Y140" s="21">
        <f t="shared" si="24"/>
        <v>10.321428421114273</v>
      </c>
    </row>
    <row r="141" spans="1:25" x14ac:dyDescent="0.3">
      <c r="A141" s="13" t="s">
        <v>68</v>
      </c>
      <c r="B141" s="13" t="s">
        <v>73</v>
      </c>
      <c r="C141" s="13" t="s">
        <v>76</v>
      </c>
      <c r="D141" s="13" t="s">
        <v>76</v>
      </c>
      <c r="E141" s="17">
        <v>30903</v>
      </c>
      <c r="F141" s="17">
        <v>57211</v>
      </c>
      <c r="G141" s="17">
        <v>57872</v>
      </c>
      <c r="H141" s="17">
        <v>58533</v>
      </c>
      <c r="I141" s="17">
        <v>60517</v>
      </c>
      <c r="J141" s="17">
        <v>61179</v>
      </c>
      <c r="K141" s="17">
        <v>61840</v>
      </c>
      <c r="L141" s="13">
        <v>7</v>
      </c>
      <c r="M141" s="13">
        <v>4</v>
      </c>
      <c r="N141" s="13">
        <v>3</v>
      </c>
      <c r="O141" s="13">
        <v>4</v>
      </c>
      <c r="P141" s="13">
        <v>1</v>
      </c>
      <c r="Q141" s="13">
        <v>8</v>
      </c>
      <c r="R141" s="21">
        <f t="shared" si="17"/>
        <v>12.235409274440229</v>
      </c>
      <c r="S141" s="21">
        <f t="shared" si="18"/>
        <v>6.911805363560962</v>
      </c>
      <c r="T141" s="21">
        <f t="shared" si="19"/>
        <v>5.1253139254779354</v>
      </c>
      <c r="U141" s="21">
        <f t="shared" si="20"/>
        <v>6.6097129732141386</v>
      </c>
      <c r="V141" s="21">
        <f t="shared" si="21"/>
        <v>1.6345478023504796</v>
      </c>
      <c r="W141" s="21">
        <f t="shared" si="22"/>
        <v>12.936610608020699</v>
      </c>
      <c r="X141" s="21">
        <f t="shared" si="23"/>
        <v>8.090842854493042</v>
      </c>
      <c r="Y141" s="21">
        <f t="shared" si="24"/>
        <v>7.0602904611951054</v>
      </c>
    </row>
    <row r="142" spans="1:25" x14ac:dyDescent="0.3">
      <c r="A142" s="13" t="s">
        <v>68</v>
      </c>
      <c r="B142" s="13" t="s">
        <v>73</v>
      </c>
      <c r="C142" s="13" t="s">
        <v>80</v>
      </c>
      <c r="D142" s="13" t="s">
        <v>80</v>
      </c>
      <c r="E142" s="17">
        <v>30904</v>
      </c>
      <c r="F142" s="17">
        <v>53675</v>
      </c>
      <c r="G142" s="17">
        <v>54016</v>
      </c>
      <c r="H142" s="17">
        <v>54357</v>
      </c>
      <c r="I142" s="17">
        <v>55381</v>
      </c>
      <c r="J142" s="17">
        <v>55723</v>
      </c>
      <c r="K142" s="17">
        <v>56064</v>
      </c>
      <c r="L142" s="13">
        <v>6</v>
      </c>
      <c r="M142" s="13">
        <v>3</v>
      </c>
      <c r="N142" s="13">
        <v>4</v>
      </c>
      <c r="O142" s="13">
        <v>1</v>
      </c>
      <c r="P142" s="13">
        <v>3</v>
      </c>
      <c r="Q142" s="13">
        <v>0</v>
      </c>
      <c r="R142" s="21">
        <f t="shared" si="17"/>
        <v>11.178388448998602</v>
      </c>
      <c r="S142" s="21">
        <f t="shared" si="18"/>
        <v>5.5539099526066344</v>
      </c>
      <c r="T142" s="21">
        <f t="shared" si="19"/>
        <v>7.3587578416763257</v>
      </c>
      <c r="U142" s="21">
        <f t="shared" si="20"/>
        <v>1.8056734259041909</v>
      </c>
      <c r="V142" s="21">
        <f t="shared" si="21"/>
        <v>5.3837733072519427</v>
      </c>
      <c r="W142" s="21">
        <f t="shared" si="22"/>
        <v>0</v>
      </c>
      <c r="X142" s="21">
        <f t="shared" si="23"/>
        <v>8.030352081093854</v>
      </c>
      <c r="Y142" s="21">
        <f t="shared" si="24"/>
        <v>2.3964822443853779</v>
      </c>
    </row>
    <row r="143" spans="1:25" x14ac:dyDescent="0.3">
      <c r="A143" s="13" t="s">
        <v>68</v>
      </c>
      <c r="B143" s="13" t="s">
        <v>73</v>
      </c>
      <c r="C143" s="13" t="s">
        <v>78</v>
      </c>
      <c r="D143" s="13" t="s">
        <v>78</v>
      </c>
      <c r="E143" s="17">
        <v>30905</v>
      </c>
      <c r="F143" s="17">
        <v>58038</v>
      </c>
      <c r="G143" s="17">
        <v>59248</v>
      </c>
      <c r="H143" s="17">
        <v>60457</v>
      </c>
      <c r="I143" s="17">
        <v>64086</v>
      </c>
      <c r="J143" s="17">
        <v>65295</v>
      </c>
      <c r="K143" s="17">
        <v>66505</v>
      </c>
      <c r="L143" s="13">
        <v>3</v>
      </c>
      <c r="M143" s="13">
        <v>3</v>
      </c>
      <c r="N143" s="13">
        <v>5</v>
      </c>
      <c r="O143" s="13">
        <v>2</v>
      </c>
      <c r="P143" s="13">
        <v>4</v>
      </c>
      <c r="Q143" s="13">
        <v>3</v>
      </c>
      <c r="R143" s="21">
        <f t="shared" si="17"/>
        <v>5.169027189083014</v>
      </c>
      <c r="S143" s="21">
        <f t="shared" si="18"/>
        <v>5.0634620577909804</v>
      </c>
      <c r="T143" s="21">
        <f t="shared" si="19"/>
        <v>8.2703409034520412</v>
      </c>
      <c r="U143" s="21">
        <f t="shared" si="20"/>
        <v>3.1208064163779916</v>
      </c>
      <c r="V143" s="21">
        <f t="shared" si="21"/>
        <v>6.1260433417566427</v>
      </c>
      <c r="W143" s="21">
        <f t="shared" si="22"/>
        <v>4.5109390271408163</v>
      </c>
      <c r="X143" s="21">
        <f t="shared" si="23"/>
        <v>6.1676100501086779</v>
      </c>
      <c r="Y143" s="21">
        <f t="shared" si="24"/>
        <v>4.5859295950918169</v>
      </c>
    </row>
    <row r="144" spans="1:25" x14ac:dyDescent="0.3">
      <c r="A144" s="13" t="s">
        <v>68</v>
      </c>
      <c r="B144" s="13" t="s">
        <v>542</v>
      </c>
      <c r="C144" s="13" t="s">
        <v>70</v>
      </c>
      <c r="D144" s="13" t="s">
        <v>70</v>
      </c>
      <c r="E144" s="17">
        <v>31001</v>
      </c>
      <c r="F144" s="17">
        <v>191894</v>
      </c>
      <c r="G144" s="17">
        <v>195779</v>
      </c>
      <c r="H144" s="17">
        <v>199665</v>
      </c>
      <c r="I144" s="17">
        <v>211321</v>
      </c>
      <c r="J144" s="17">
        <v>215207</v>
      </c>
      <c r="K144" s="17">
        <v>219092</v>
      </c>
      <c r="L144" s="13">
        <v>16</v>
      </c>
      <c r="M144" s="13">
        <v>15</v>
      </c>
      <c r="N144" s="13">
        <v>14</v>
      </c>
      <c r="O144" s="13">
        <v>10</v>
      </c>
      <c r="P144" s="13">
        <v>12</v>
      </c>
      <c r="Q144" s="13">
        <v>20</v>
      </c>
      <c r="R144" s="21">
        <f t="shared" si="17"/>
        <v>8.3379365691475495</v>
      </c>
      <c r="S144" s="21">
        <f t="shared" si="18"/>
        <v>7.6617001823484641</v>
      </c>
      <c r="T144" s="21">
        <f t="shared" si="19"/>
        <v>7.0117446723261461</v>
      </c>
      <c r="U144" s="21">
        <f t="shared" si="20"/>
        <v>4.7321373644834166</v>
      </c>
      <c r="V144" s="21">
        <f t="shared" si="21"/>
        <v>5.5760268021021622</v>
      </c>
      <c r="W144" s="21">
        <f t="shared" si="22"/>
        <v>9.1285852518576664</v>
      </c>
      <c r="X144" s="21">
        <f t="shared" si="23"/>
        <v>7.6704604746073857</v>
      </c>
      <c r="Y144" s="21">
        <f t="shared" si="24"/>
        <v>6.4789164728144151</v>
      </c>
    </row>
    <row r="145" spans="1:25" x14ac:dyDescent="0.3">
      <c r="A145" s="13" t="s">
        <v>68</v>
      </c>
      <c r="B145" s="13" t="s">
        <v>542</v>
      </c>
      <c r="C145" s="13" t="s">
        <v>85</v>
      </c>
      <c r="D145" s="13" t="s">
        <v>85</v>
      </c>
      <c r="E145" s="17">
        <v>31002</v>
      </c>
      <c r="F145" s="17">
        <v>20352</v>
      </c>
      <c r="G145" s="17">
        <v>20566</v>
      </c>
      <c r="H145" s="17">
        <v>20779</v>
      </c>
      <c r="I145" s="17">
        <v>21419</v>
      </c>
      <c r="J145" s="17">
        <v>21633</v>
      </c>
      <c r="K145" s="17">
        <v>21846</v>
      </c>
      <c r="L145" s="13">
        <v>0</v>
      </c>
      <c r="M145" s="13">
        <v>1</v>
      </c>
      <c r="N145" s="13">
        <v>1</v>
      </c>
      <c r="O145" s="13">
        <v>2</v>
      </c>
      <c r="P145" s="13">
        <v>0</v>
      </c>
      <c r="Q145" s="13">
        <v>0</v>
      </c>
      <c r="R145" s="21">
        <f t="shared" si="17"/>
        <v>0</v>
      </c>
      <c r="S145" s="21">
        <f t="shared" si="18"/>
        <v>4.862394242925216</v>
      </c>
      <c r="T145" s="21">
        <f t="shared" si="19"/>
        <v>4.8125511333557913</v>
      </c>
      <c r="U145" s="21">
        <f t="shared" si="20"/>
        <v>9.337504085158038</v>
      </c>
      <c r="V145" s="21">
        <f t="shared" si="21"/>
        <v>0</v>
      </c>
      <c r="W145" s="21">
        <f t="shared" si="22"/>
        <v>0</v>
      </c>
      <c r="X145" s="21">
        <f t="shared" si="23"/>
        <v>3.224981792093669</v>
      </c>
      <c r="Y145" s="21">
        <f t="shared" si="24"/>
        <v>3.112501361719346</v>
      </c>
    </row>
    <row r="146" spans="1:25" x14ac:dyDescent="0.3">
      <c r="A146" s="13" t="s">
        <v>68</v>
      </c>
      <c r="B146" s="13" t="s">
        <v>542</v>
      </c>
      <c r="C146" s="13" t="s">
        <v>72</v>
      </c>
      <c r="D146" s="13" t="s">
        <v>72</v>
      </c>
      <c r="E146" s="17">
        <v>31003</v>
      </c>
      <c r="F146" s="17">
        <v>80703</v>
      </c>
      <c r="G146" s="17">
        <v>82567</v>
      </c>
      <c r="H146" s="17">
        <v>84430</v>
      </c>
      <c r="I146" s="17">
        <v>90020</v>
      </c>
      <c r="J146" s="17">
        <v>91884</v>
      </c>
      <c r="K146" s="17">
        <v>93747</v>
      </c>
      <c r="L146" s="13">
        <v>4</v>
      </c>
      <c r="M146" s="13">
        <v>2</v>
      </c>
      <c r="N146" s="13">
        <v>8</v>
      </c>
      <c r="O146" s="13">
        <v>11</v>
      </c>
      <c r="P146" s="13">
        <v>4</v>
      </c>
      <c r="Q146" s="13">
        <v>9</v>
      </c>
      <c r="R146" s="21">
        <f t="shared" si="17"/>
        <v>4.9564452374756822</v>
      </c>
      <c r="S146" s="21">
        <f t="shared" si="18"/>
        <v>2.4222752431358776</v>
      </c>
      <c r="T146" s="21">
        <f t="shared" si="19"/>
        <v>9.4753049863792498</v>
      </c>
      <c r="U146" s="21">
        <f t="shared" si="20"/>
        <v>12.219506776271938</v>
      </c>
      <c r="V146" s="21">
        <f t="shared" si="21"/>
        <v>4.3533150494101251</v>
      </c>
      <c r="W146" s="21">
        <f t="shared" si="22"/>
        <v>9.6003072098307154</v>
      </c>
      <c r="X146" s="21">
        <f t="shared" si="23"/>
        <v>5.6180084889969359</v>
      </c>
      <c r="Y146" s="21">
        <f t="shared" si="24"/>
        <v>8.724376345170926</v>
      </c>
    </row>
    <row r="147" spans="1:25" x14ac:dyDescent="0.3">
      <c r="A147" s="13" t="s">
        <v>68</v>
      </c>
      <c r="B147" s="13" t="s">
        <v>543</v>
      </c>
      <c r="C147" s="13" t="s">
        <v>543</v>
      </c>
      <c r="D147" s="13" t="s">
        <v>543</v>
      </c>
      <c r="E147" s="17">
        <v>31101</v>
      </c>
      <c r="F147" s="17">
        <v>24642</v>
      </c>
      <c r="G147" s="17">
        <v>24646</v>
      </c>
      <c r="H147" s="17">
        <v>24649</v>
      </c>
      <c r="I147" s="17">
        <v>24659</v>
      </c>
      <c r="J147" s="17">
        <v>24663</v>
      </c>
      <c r="K147" s="17">
        <v>24666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21">
        <f t="shared" si="17"/>
        <v>0</v>
      </c>
      <c r="S147" s="21">
        <f t="shared" si="18"/>
        <v>0</v>
      </c>
      <c r="T147" s="21">
        <f t="shared" si="19"/>
        <v>0</v>
      </c>
      <c r="U147" s="21">
        <f t="shared" si="20"/>
        <v>0</v>
      </c>
      <c r="V147" s="21">
        <f t="shared" si="21"/>
        <v>0</v>
      </c>
      <c r="W147" s="21">
        <f t="shared" si="22"/>
        <v>0</v>
      </c>
      <c r="X147" s="21">
        <f t="shared" si="23"/>
        <v>0</v>
      </c>
      <c r="Y147" s="21">
        <f t="shared" si="24"/>
        <v>0</v>
      </c>
    </row>
    <row r="148" spans="1:25" x14ac:dyDescent="0.3">
      <c r="A148" s="13" t="s">
        <v>68</v>
      </c>
      <c r="B148" s="13" t="s">
        <v>544</v>
      </c>
      <c r="C148" s="13" t="s">
        <v>545</v>
      </c>
      <c r="D148" s="13" t="s">
        <v>545</v>
      </c>
      <c r="E148" s="17">
        <v>31201</v>
      </c>
      <c r="F148" s="17">
        <v>14730</v>
      </c>
      <c r="G148" s="17">
        <v>14743</v>
      </c>
      <c r="H148" s="17">
        <v>14756</v>
      </c>
      <c r="I148" s="17">
        <v>14795</v>
      </c>
      <c r="J148" s="17">
        <v>14808</v>
      </c>
      <c r="K148" s="17">
        <v>14821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21">
        <f t="shared" si="17"/>
        <v>0</v>
      </c>
      <c r="S148" s="21">
        <f t="shared" si="18"/>
        <v>0</v>
      </c>
      <c r="T148" s="21">
        <f t="shared" si="19"/>
        <v>0</v>
      </c>
      <c r="U148" s="21">
        <f t="shared" si="20"/>
        <v>0</v>
      </c>
      <c r="V148" s="21">
        <f t="shared" si="21"/>
        <v>0</v>
      </c>
      <c r="W148" s="21">
        <f t="shared" si="22"/>
        <v>0</v>
      </c>
      <c r="X148" s="21">
        <f t="shared" si="23"/>
        <v>0</v>
      </c>
      <c r="Y148" s="21">
        <f t="shared" si="24"/>
        <v>0</v>
      </c>
    </row>
    <row r="149" spans="1:25" x14ac:dyDescent="0.3">
      <c r="A149" s="13" t="s">
        <v>68</v>
      </c>
      <c r="B149" s="13" t="s">
        <v>544</v>
      </c>
      <c r="C149" s="13" t="s">
        <v>546</v>
      </c>
      <c r="D149" s="13" t="s">
        <v>546</v>
      </c>
      <c r="E149" s="17">
        <v>31202</v>
      </c>
      <c r="F149" s="17">
        <v>10868</v>
      </c>
      <c r="G149" s="17">
        <v>11011</v>
      </c>
      <c r="H149" s="17">
        <v>11153</v>
      </c>
      <c r="I149" s="17">
        <v>11580</v>
      </c>
      <c r="J149" s="17">
        <v>11723</v>
      </c>
      <c r="K149" s="17">
        <v>11865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21">
        <f t="shared" si="17"/>
        <v>0</v>
      </c>
      <c r="S149" s="21">
        <f t="shared" si="18"/>
        <v>0</v>
      </c>
      <c r="T149" s="21">
        <f t="shared" si="19"/>
        <v>0</v>
      </c>
      <c r="U149" s="21">
        <f t="shared" si="20"/>
        <v>0</v>
      </c>
      <c r="V149" s="21">
        <f t="shared" si="21"/>
        <v>0</v>
      </c>
      <c r="W149" s="21">
        <f t="shared" si="22"/>
        <v>0</v>
      </c>
      <c r="X149" s="21">
        <f t="shared" si="23"/>
        <v>0</v>
      </c>
      <c r="Y149" s="21">
        <f t="shared" si="24"/>
        <v>0</v>
      </c>
    </row>
    <row r="150" spans="1:25" x14ac:dyDescent="0.3">
      <c r="A150" s="13" t="s">
        <v>68</v>
      </c>
      <c r="B150" s="13" t="s">
        <v>544</v>
      </c>
      <c r="C150" s="13" t="s">
        <v>94</v>
      </c>
      <c r="D150" s="13" t="s">
        <v>94</v>
      </c>
      <c r="E150" s="17">
        <v>31203</v>
      </c>
      <c r="F150" s="17">
        <v>11378</v>
      </c>
      <c r="G150" s="17">
        <v>11504</v>
      </c>
      <c r="H150" s="17">
        <v>11630</v>
      </c>
      <c r="I150" s="17">
        <v>12007</v>
      </c>
      <c r="J150" s="17">
        <v>12132</v>
      </c>
      <c r="K150" s="17">
        <v>12258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1</v>
      </c>
      <c r="R150" s="21">
        <f t="shared" si="17"/>
        <v>0</v>
      </c>
      <c r="S150" s="21">
        <f t="shared" si="18"/>
        <v>0</v>
      </c>
      <c r="T150" s="21">
        <f t="shared" si="19"/>
        <v>0</v>
      </c>
      <c r="U150" s="21">
        <f t="shared" si="20"/>
        <v>0</v>
      </c>
      <c r="V150" s="21">
        <f t="shared" si="21"/>
        <v>0</v>
      </c>
      <c r="W150" s="21">
        <f t="shared" si="22"/>
        <v>8.1579376733561766</v>
      </c>
      <c r="X150" s="21">
        <f t="shared" si="23"/>
        <v>0</v>
      </c>
      <c r="Y150" s="21">
        <f t="shared" si="24"/>
        <v>2.719312557785392</v>
      </c>
    </row>
    <row r="151" spans="1:25" x14ac:dyDescent="0.3">
      <c r="A151" s="13" t="s">
        <v>68</v>
      </c>
      <c r="B151" s="13" t="s">
        <v>544</v>
      </c>
      <c r="C151" s="13" t="s">
        <v>77</v>
      </c>
      <c r="D151" s="13" t="s">
        <v>77</v>
      </c>
      <c r="E151" s="17">
        <v>31204</v>
      </c>
      <c r="F151" s="17">
        <v>24146</v>
      </c>
      <c r="G151" s="17">
        <v>24629</v>
      </c>
      <c r="H151" s="17">
        <v>25111</v>
      </c>
      <c r="I151" s="17">
        <v>26557</v>
      </c>
      <c r="J151" s="17">
        <v>27039</v>
      </c>
      <c r="K151" s="17">
        <v>27521</v>
      </c>
      <c r="L151" s="13">
        <v>1</v>
      </c>
      <c r="M151" s="13">
        <v>1</v>
      </c>
      <c r="N151" s="13">
        <v>1</v>
      </c>
      <c r="O151" s="13">
        <v>4</v>
      </c>
      <c r="P151" s="13">
        <v>1</v>
      </c>
      <c r="Q151" s="13">
        <v>0</v>
      </c>
      <c r="R151" s="21">
        <f t="shared" si="17"/>
        <v>4.1414727076948559</v>
      </c>
      <c r="S151" s="21">
        <f t="shared" si="18"/>
        <v>4.0602541719111613</v>
      </c>
      <c r="T151" s="21">
        <f t="shared" si="19"/>
        <v>3.9823185058340966</v>
      </c>
      <c r="U151" s="21">
        <f t="shared" si="20"/>
        <v>15.06194223745152</v>
      </c>
      <c r="V151" s="21">
        <f t="shared" si="21"/>
        <v>3.6983616257997705</v>
      </c>
      <c r="W151" s="21">
        <f t="shared" si="22"/>
        <v>0</v>
      </c>
      <c r="X151" s="21">
        <f t="shared" si="23"/>
        <v>4.0613484618133713</v>
      </c>
      <c r="Y151" s="21">
        <f t="shared" si="24"/>
        <v>6.2534346210837635</v>
      </c>
    </row>
    <row r="152" spans="1:25" x14ac:dyDescent="0.3">
      <c r="A152" s="13" t="s">
        <v>68</v>
      </c>
      <c r="B152" s="13" t="s">
        <v>544</v>
      </c>
      <c r="C152" s="13" t="s">
        <v>69</v>
      </c>
      <c r="D152" s="13" t="s">
        <v>69</v>
      </c>
      <c r="E152" s="17">
        <v>31205</v>
      </c>
      <c r="F152" s="17">
        <v>54114</v>
      </c>
      <c r="G152" s="17">
        <v>55611</v>
      </c>
      <c r="H152" s="17">
        <v>57108</v>
      </c>
      <c r="I152" s="17">
        <v>61600</v>
      </c>
      <c r="J152" s="17">
        <v>63098</v>
      </c>
      <c r="K152" s="17">
        <v>64595</v>
      </c>
      <c r="L152" s="13">
        <v>8</v>
      </c>
      <c r="M152" s="13">
        <v>7</v>
      </c>
      <c r="N152" s="13">
        <v>8</v>
      </c>
      <c r="O152" s="13">
        <v>13</v>
      </c>
      <c r="P152" s="13">
        <v>43</v>
      </c>
      <c r="Q152" s="13">
        <v>16</v>
      </c>
      <c r="R152" s="21">
        <f t="shared" si="17"/>
        <v>14.78360498207488</v>
      </c>
      <c r="S152" s="21">
        <f t="shared" si="18"/>
        <v>12.587437737138336</v>
      </c>
      <c r="T152" s="21">
        <f t="shared" si="19"/>
        <v>14.008545212579673</v>
      </c>
      <c r="U152" s="21">
        <f t="shared" si="20"/>
        <v>21.103896103896105</v>
      </c>
      <c r="V152" s="21">
        <f t="shared" si="21"/>
        <v>68.147960315699393</v>
      </c>
      <c r="W152" s="21">
        <f t="shared" si="22"/>
        <v>24.769719018499885</v>
      </c>
      <c r="X152" s="21">
        <f t="shared" si="23"/>
        <v>13.793195977264295</v>
      </c>
      <c r="Y152" s="21">
        <f t="shared" si="24"/>
        <v>38.007191812698458</v>
      </c>
    </row>
    <row r="153" spans="1:25" x14ac:dyDescent="0.3">
      <c r="A153" s="13" t="s">
        <v>68</v>
      </c>
      <c r="B153" s="13" t="s">
        <v>544</v>
      </c>
      <c r="C153" s="13" t="s">
        <v>71</v>
      </c>
      <c r="D153" s="13" t="s">
        <v>71</v>
      </c>
      <c r="E153" s="17">
        <v>31206</v>
      </c>
      <c r="F153" s="17">
        <v>37479</v>
      </c>
      <c r="G153" s="17">
        <v>38665</v>
      </c>
      <c r="H153" s="17">
        <v>39851</v>
      </c>
      <c r="I153" s="17">
        <v>43408</v>
      </c>
      <c r="J153" s="17">
        <v>44594</v>
      </c>
      <c r="K153" s="17">
        <v>45780</v>
      </c>
      <c r="L153" s="13">
        <v>0</v>
      </c>
      <c r="M153" s="13">
        <v>1</v>
      </c>
      <c r="N153" s="13">
        <v>3</v>
      </c>
      <c r="O153" s="13">
        <v>10</v>
      </c>
      <c r="P153" s="13">
        <v>26</v>
      </c>
      <c r="Q153" s="13">
        <v>13</v>
      </c>
      <c r="R153" s="21">
        <f t="shared" si="17"/>
        <v>0</v>
      </c>
      <c r="S153" s="21">
        <f t="shared" si="18"/>
        <v>2.58631837579206</v>
      </c>
      <c r="T153" s="21">
        <f t="shared" si="19"/>
        <v>7.5280419562871694</v>
      </c>
      <c r="U153" s="21">
        <f t="shared" si="20"/>
        <v>23.037228160707706</v>
      </c>
      <c r="V153" s="21">
        <f t="shared" si="21"/>
        <v>58.303807687132803</v>
      </c>
      <c r="W153" s="21">
        <f t="shared" si="22"/>
        <v>28.396679772826563</v>
      </c>
      <c r="X153" s="21">
        <f t="shared" si="23"/>
        <v>3.3714534440264097</v>
      </c>
      <c r="Y153" s="21">
        <f t="shared" si="24"/>
        <v>36.579238540222356</v>
      </c>
    </row>
    <row r="154" spans="1:25" x14ac:dyDescent="0.3">
      <c r="A154" s="13" t="s">
        <v>68</v>
      </c>
      <c r="B154" s="13" t="s">
        <v>95</v>
      </c>
      <c r="C154" s="13" t="s">
        <v>95</v>
      </c>
      <c r="D154" s="13" t="s">
        <v>95</v>
      </c>
      <c r="E154" s="17">
        <v>31301</v>
      </c>
      <c r="F154" s="17">
        <v>19877</v>
      </c>
      <c r="G154" s="17">
        <v>19880</v>
      </c>
      <c r="H154" s="17">
        <v>19883</v>
      </c>
      <c r="I154" s="17">
        <v>19891</v>
      </c>
      <c r="J154" s="17">
        <v>19893</v>
      </c>
      <c r="K154" s="17">
        <v>19896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21">
        <f t="shared" si="17"/>
        <v>0</v>
      </c>
      <c r="S154" s="21">
        <f t="shared" si="18"/>
        <v>0</v>
      </c>
      <c r="T154" s="21">
        <f t="shared" si="19"/>
        <v>0</v>
      </c>
      <c r="U154" s="21">
        <f t="shared" si="20"/>
        <v>0</v>
      </c>
      <c r="V154" s="21">
        <f t="shared" si="21"/>
        <v>0</v>
      </c>
      <c r="W154" s="21">
        <f t="shared" si="22"/>
        <v>0</v>
      </c>
      <c r="X154" s="21">
        <f t="shared" si="23"/>
        <v>0</v>
      </c>
      <c r="Y154" s="21">
        <f t="shared" si="24"/>
        <v>0</v>
      </c>
    </row>
    <row r="155" spans="1:25" x14ac:dyDescent="0.3">
      <c r="A155" s="13" t="s">
        <v>68</v>
      </c>
      <c r="B155" s="13" t="s">
        <v>95</v>
      </c>
      <c r="C155" s="13" t="s">
        <v>547</v>
      </c>
      <c r="D155" s="13" t="s">
        <v>547</v>
      </c>
      <c r="E155" s="17">
        <v>31302</v>
      </c>
      <c r="F155" s="17">
        <v>5369</v>
      </c>
      <c r="G155" s="17">
        <v>5352</v>
      </c>
      <c r="H155" s="17">
        <v>5334</v>
      </c>
      <c r="I155" s="17">
        <v>5280</v>
      </c>
      <c r="J155" s="17">
        <v>5262</v>
      </c>
      <c r="K155" s="17">
        <v>5244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21">
        <f t="shared" si="17"/>
        <v>0</v>
      </c>
      <c r="S155" s="21">
        <f t="shared" si="18"/>
        <v>0</v>
      </c>
      <c r="T155" s="21">
        <f t="shared" si="19"/>
        <v>0</v>
      </c>
      <c r="U155" s="21">
        <f t="shared" si="20"/>
        <v>0</v>
      </c>
      <c r="V155" s="21">
        <f t="shared" si="21"/>
        <v>0</v>
      </c>
      <c r="W155" s="21">
        <f t="shared" si="22"/>
        <v>0</v>
      </c>
      <c r="X155" s="21">
        <f t="shared" si="23"/>
        <v>0</v>
      </c>
      <c r="Y155" s="21">
        <f t="shared" si="24"/>
        <v>0</v>
      </c>
    </row>
    <row r="156" spans="1:25" x14ac:dyDescent="0.3">
      <c r="A156" s="13" t="s">
        <v>68</v>
      </c>
      <c r="B156" s="13" t="s">
        <v>95</v>
      </c>
      <c r="C156" s="13" t="s">
        <v>548</v>
      </c>
      <c r="D156" s="13" t="s">
        <v>548</v>
      </c>
      <c r="E156" s="17">
        <v>31303</v>
      </c>
      <c r="F156" s="17">
        <v>3474</v>
      </c>
      <c r="G156" s="17">
        <v>3480</v>
      </c>
      <c r="H156" s="17">
        <v>3485</v>
      </c>
      <c r="I156" s="17">
        <v>3501</v>
      </c>
      <c r="J156" s="17">
        <v>3507</v>
      </c>
      <c r="K156" s="17">
        <v>3512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21">
        <f t="shared" si="17"/>
        <v>0</v>
      </c>
      <c r="S156" s="21">
        <f t="shared" si="18"/>
        <v>0</v>
      </c>
      <c r="T156" s="21">
        <f t="shared" si="19"/>
        <v>0</v>
      </c>
      <c r="U156" s="21">
        <f t="shared" si="20"/>
        <v>0</v>
      </c>
      <c r="V156" s="21">
        <f t="shared" si="21"/>
        <v>0</v>
      </c>
      <c r="W156" s="21">
        <f t="shared" si="22"/>
        <v>0</v>
      </c>
      <c r="X156" s="21">
        <f t="shared" si="23"/>
        <v>0</v>
      </c>
      <c r="Y156" s="21">
        <f t="shared" si="24"/>
        <v>0</v>
      </c>
    </row>
    <row r="157" spans="1:25" x14ac:dyDescent="0.3">
      <c r="A157" s="13" t="s">
        <v>68</v>
      </c>
      <c r="B157" s="13" t="s">
        <v>95</v>
      </c>
      <c r="C157" s="13" t="s">
        <v>549</v>
      </c>
      <c r="D157" s="13" t="s">
        <v>550</v>
      </c>
      <c r="E157" s="17">
        <v>31304</v>
      </c>
      <c r="F157" s="17">
        <v>7461</v>
      </c>
      <c r="G157" s="17">
        <v>7546</v>
      </c>
      <c r="H157" s="17">
        <v>7631</v>
      </c>
      <c r="I157" s="17">
        <v>7886</v>
      </c>
      <c r="J157" s="17">
        <v>7971</v>
      </c>
      <c r="K157" s="17">
        <v>8056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21">
        <f t="shared" si="17"/>
        <v>0</v>
      </c>
      <c r="S157" s="21">
        <f t="shared" si="18"/>
        <v>0</v>
      </c>
      <c r="T157" s="21">
        <f t="shared" si="19"/>
        <v>0</v>
      </c>
      <c r="U157" s="21">
        <f t="shared" si="20"/>
        <v>0</v>
      </c>
      <c r="V157" s="21">
        <f t="shared" si="21"/>
        <v>0</v>
      </c>
      <c r="W157" s="21">
        <f t="shared" si="22"/>
        <v>0</v>
      </c>
      <c r="X157" s="21">
        <f t="shared" si="23"/>
        <v>0</v>
      </c>
      <c r="Y157" s="21">
        <f t="shared" si="24"/>
        <v>0</v>
      </c>
    </row>
    <row r="158" spans="1:25" x14ac:dyDescent="0.3">
      <c r="A158" s="13" t="s">
        <v>68</v>
      </c>
      <c r="B158" s="13" t="s">
        <v>75</v>
      </c>
      <c r="C158" s="13" t="s">
        <v>75</v>
      </c>
      <c r="D158" s="13" t="s">
        <v>551</v>
      </c>
      <c r="E158" s="17">
        <v>31401</v>
      </c>
      <c r="F158" s="17">
        <v>31537</v>
      </c>
      <c r="G158" s="17">
        <v>32068</v>
      </c>
      <c r="H158" s="17">
        <v>32598</v>
      </c>
      <c r="I158" s="17">
        <v>34188</v>
      </c>
      <c r="J158" s="17">
        <v>34718</v>
      </c>
      <c r="K158" s="17">
        <v>35248</v>
      </c>
      <c r="L158" s="13">
        <v>2</v>
      </c>
      <c r="M158" s="13">
        <v>1</v>
      </c>
      <c r="N158" s="13">
        <v>3</v>
      </c>
      <c r="O158" s="13">
        <v>6</v>
      </c>
      <c r="P158" s="13">
        <v>1</v>
      </c>
      <c r="Q158" s="13">
        <v>3</v>
      </c>
      <c r="R158" s="21">
        <f t="shared" si="17"/>
        <v>6.3417573009480925</v>
      </c>
      <c r="S158" s="21">
        <f t="shared" si="18"/>
        <v>3.1183734564051395</v>
      </c>
      <c r="T158" s="21">
        <f t="shared" si="19"/>
        <v>9.2030185900975514</v>
      </c>
      <c r="U158" s="21">
        <f t="shared" si="20"/>
        <v>17.55001755001755</v>
      </c>
      <c r="V158" s="21">
        <f t="shared" si="21"/>
        <v>2.8803502505904719</v>
      </c>
      <c r="W158" s="21">
        <f t="shared" si="22"/>
        <v>8.5111211983658652</v>
      </c>
      <c r="X158" s="21">
        <f t="shared" si="23"/>
        <v>6.2210497824835942</v>
      </c>
      <c r="Y158" s="21">
        <f t="shared" si="24"/>
        <v>9.6471629996579633</v>
      </c>
    </row>
    <row r="159" spans="1:25" x14ac:dyDescent="0.3">
      <c r="A159" s="13" t="s">
        <v>68</v>
      </c>
      <c r="B159" s="13" t="s">
        <v>75</v>
      </c>
      <c r="C159" s="13" t="s">
        <v>90</v>
      </c>
      <c r="D159" s="13" t="s">
        <v>90</v>
      </c>
      <c r="E159" s="17">
        <v>31402</v>
      </c>
      <c r="F159" s="17">
        <v>8328</v>
      </c>
      <c r="G159" s="17">
        <v>8367</v>
      </c>
      <c r="H159" s="17">
        <v>8406</v>
      </c>
      <c r="I159" s="17">
        <v>8522</v>
      </c>
      <c r="J159" s="17">
        <v>8560</v>
      </c>
      <c r="K159" s="17">
        <v>8599</v>
      </c>
      <c r="L159" s="13">
        <v>1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21">
        <f t="shared" si="17"/>
        <v>12.007684918347742</v>
      </c>
      <c r="S159" s="21">
        <f t="shared" si="18"/>
        <v>0</v>
      </c>
      <c r="T159" s="21">
        <f t="shared" si="19"/>
        <v>0</v>
      </c>
      <c r="U159" s="21">
        <f t="shared" si="20"/>
        <v>0</v>
      </c>
      <c r="V159" s="21">
        <f t="shared" si="21"/>
        <v>0</v>
      </c>
      <c r="W159" s="21">
        <f t="shared" si="22"/>
        <v>0</v>
      </c>
      <c r="X159" s="21">
        <f t="shared" si="23"/>
        <v>4.0025616394492474</v>
      </c>
      <c r="Y159" s="21">
        <f t="shared" si="24"/>
        <v>0</v>
      </c>
    </row>
    <row r="160" spans="1:25" x14ac:dyDescent="0.3">
      <c r="A160" s="13" t="s">
        <v>68</v>
      </c>
      <c r="B160" s="13" t="s">
        <v>75</v>
      </c>
      <c r="C160" s="13" t="s">
        <v>89</v>
      </c>
      <c r="D160" s="13" t="s">
        <v>552</v>
      </c>
      <c r="E160" s="17">
        <v>31403</v>
      </c>
      <c r="F160" s="17">
        <v>13350</v>
      </c>
      <c r="G160" s="17">
        <v>13308</v>
      </c>
      <c r="H160" s="17">
        <v>13266</v>
      </c>
      <c r="I160" s="17">
        <v>13139</v>
      </c>
      <c r="J160" s="17">
        <v>13096</v>
      </c>
      <c r="K160" s="17">
        <v>13054</v>
      </c>
      <c r="L160" s="13">
        <v>0</v>
      </c>
      <c r="M160" s="13">
        <v>0</v>
      </c>
      <c r="N160" s="13">
        <v>0</v>
      </c>
      <c r="O160" s="13">
        <v>2</v>
      </c>
      <c r="P160" s="13">
        <v>0</v>
      </c>
      <c r="Q160" s="13">
        <v>0</v>
      </c>
      <c r="R160" s="21">
        <f t="shared" si="17"/>
        <v>0</v>
      </c>
      <c r="S160" s="21">
        <f t="shared" si="18"/>
        <v>0</v>
      </c>
      <c r="T160" s="21">
        <f t="shared" si="19"/>
        <v>0</v>
      </c>
      <c r="U160" s="21">
        <f t="shared" si="20"/>
        <v>15.22185858893371</v>
      </c>
      <c r="V160" s="21">
        <f t="shared" si="21"/>
        <v>0</v>
      </c>
      <c r="W160" s="21">
        <f t="shared" si="22"/>
        <v>0</v>
      </c>
      <c r="X160" s="21">
        <f t="shared" si="23"/>
        <v>0</v>
      </c>
      <c r="Y160" s="21">
        <f t="shared" si="24"/>
        <v>5.0739528629779036</v>
      </c>
    </row>
    <row r="161" spans="1:25" x14ac:dyDescent="0.3">
      <c r="A161" s="13" t="s">
        <v>68</v>
      </c>
      <c r="B161" s="13" t="s">
        <v>75</v>
      </c>
      <c r="C161" s="13" t="s">
        <v>96</v>
      </c>
      <c r="D161" s="13" t="s">
        <v>96</v>
      </c>
      <c r="E161" s="17">
        <v>31404</v>
      </c>
      <c r="F161" s="17">
        <v>1296</v>
      </c>
      <c r="G161" s="17">
        <v>1295</v>
      </c>
      <c r="H161" s="17">
        <v>1294</v>
      </c>
      <c r="I161" s="17">
        <v>1290</v>
      </c>
      <c r="J161" s="17">
        <v>1288</v>
      </c>
      <c r="K161" s="17">
        <v>1287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1</v>
      </c>
      <c r="R161" s="21">
        <f t="shared" si="17"/>
        <v>0</v>
      </c>
      <c r="S161" s="21">
        <f t="shared" si="18"/>
        <v>0</v>
      </c>
      <c r="T161" s="21">
        <f t="shared" si="19"/>
        <v>0</v>
      </c>
      <c r="U161" s="21">
        <f t="shared" si="20"/>
        <v>0</v>
      </c>
      <c r="V161" s="21">
        <f t="shared" si="21"/>
        <v>0</v>
      </c>
      <c r="W161" s="21">
        <f t="shared" si="22"/>
        <v>77.700077700077699</v>
      </c>
      <c r="X161" s="21">
        <f t="shared" si="23"/>
        <v>0</v>
      </c>
      <c r="Y161" s="21">
        <f t="shared" si="24"/>
        <v>25.900025900025899</v>
      </c>
    </row>
    <row r="162" spans="1:25" x14ac:dyDescent="0.3">
      <c r="A162" s="13" t="s">
        <v>68</v>
      </c>
      <c r="B162" s="13" t="s">
        <v>75</v>
      </c>
      <c r="C162" s="13" t="s">
        <v>553</v>
      </c>
      <c r="D162" s="13" t="s">
        <v>554</v>
      </c>
      <c r="E162" s="17">
        <v>31405</v>
      </c>
      <c r="F162" s="17">
        <v>3207</v>
      </c>
      <c r="G162" s="17">
        <v>3295</v>
      </c>
      <c r="H162" s="17">
        <v>3383</v>
      </c>
      <c r="I162" s="17">
        <v>3646</v>
      </c>
      <c r="J162" s="17">
        <v>3734</v>
      </c>
      <c r="K162" s="17">
        <v>3822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21">
        <f t="shared" si="17"/>
        <v>0</v>
      </c>
      <c r="S162" s="21">
        <f t="shared" si="18"/>
        <v>0</v>
      </c>
      <c r="T162" s="21">
        <f t="shared" si="19"/>
        <v>0</v>
      </c>
      <c r="U162" s="21">
        <f t="shared" si="20"/>
        <v>0</v>
      </c>
      <c r="V162" s="21">
        <f t="shared" si="21"/>
        <v>0</v>
      </c>
      <c r="W162" s="21">
        <f t="shared" si="22"/>
        <v>0</v>
      </c>
      <c r="X162" s="21">
        <f t="shared" si="23"/>
        <v>0</v>
      </c>
      <c r="Y162" s="21">
        <f t="shared" si="24"/>
        <v>0</v>
      </c>
    </row>
    <row r="163" spans="1:25" x14ac:dyDescent="0.3">
      <c r="A163" s="13" t="s">
        <v>68</v>
      </c>
      <c r="B163" s="13" t="s">
        <v>555</v>
      </c>
      <c r="C163" s="13" t="s">
        <v>555</v>
      </c>
      <c r="D163" s="13" t="s">
        <v>555</v>
      </c>
      <c r="E163" s="17">
        <v>31501</v>
      </c>
      <c r="F163" s="17">
        <v>7697</v>
      </c>
      <c r="G163" s="17">
        <v>7781</v>
      </c>
      <c r="H163" s="17">
        <v>7864</v>
      </c>
      <c r="I163" s="17">
        <v>8115</v>
      </c>
      <c r="J163" s="17">
        <v>8198</v>
      </c>
      <c r="K163" s="17">
        <v>8282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21">
        <f t="shared" si="17"/>
        <v>0</v>
      </c>
      <c r="S163" s="21">
        <f t="shared" si="18"/>
        <v>0</v>
      </c>
      <c r="T163" s="21">
        <f t="shared" si="19"/>
        <v>0</v>
      </c>
      <c r="U163" s="21">
        <f t="shared" si="20"/>
        <v>0</v>
      </c>
      <c r="V163" s="21">
        <f t="shared" si="21"/>
        <v>0</v>
      </c>
      <c r="W163" s="21">
        <f t="shared" si="22"/>
        <v>0</v>
      </c>
      <c r="X163" s="21">
        <f t="shared" si="23"/>
        <v>0</v>
      </c>
      <c r="Y163" s="21">
        <f t="shared" si="24"/>
        <v>0</v>
      </c>
    </row>
    <row r="164" spans="1:25" x14ac:dyDescent="0.3">
      <c r="A164" s="13" t="s">
        <v>68</v>
      </c>
      <c r="B164" s="13" t="s">
        <v>79</v>
      </c>
      <c r="C164" s="13" t="s">
        <v>79</v>
      </c>
      <c r="D164" s="13" t="s">
        <v>79</v>
      </c>
      <c r="E164" s="17">
        <v>31601</v>
      </c>
      <c r="F164" s="17">
        <v>20083</v>
      </c>
      <c r="G164" s="17">
        <v>19853</v>
      </c>
      <c r="H164" s="17">
        <v>19623</v>
      </c>
      <c r="I164" s="17">
        <v>18934</v>
      </c>
      <c r="J164" s="17">
        <v>18705</v>
      </c>
      <c r="K164" s="17">
        <v>18475</v>
      </c>
      <c r="L164" s="13">
        <v>3</v>
      </c>
      <c r="M164" s="13">
        <v>0</v>
      </c>
      <c r="N164" s="13">
        <v>0</v>
      </c>
      <c r="O164" s="13">
        <v>1</v>
      </c>
      <c r="P164" s="13">
        <v>3</v>
      </c>
      <c r="Q164" s="13">
        <v>1</v>
      </c>
      <c r="R164" s="21">
        <f t="shared" si="17"/>
        <v>14.938007269830205</v>
      </c>
      <c r="S164" s="21">
        <f t="shared" si="18"/>
        <v>0</v>
      </c>
      <c r="T164" s="21">
        <f t="shared" si="19"/>
        <v>0</v>
      </c>
      <c r="U164" s="21">
        <f t="shared" si="20"/>
        <v>5.2815041723882965</v>
      </c>
      <c r="V164" s="21">
        <f t="shared" si="21"/>
        <v>16.038492381716118</v>
      </c>
      <c r="W164" s="21">
        <f t="shared" si="22"/>
        <v>5.4127198917456019</v>
      </c>
      <c r="X164" s="21">
        <f t="shared" si="23"/>
        <v>4.9793357566100687</v>
      </c>
      <c r="Y164" s="21">
        <f t="shared" si="24"/>
        <v>8.9109054819500049</v>
      </c>
    </row>
    <row r="165" spans="1:25" x14ac:dyDescent="0.3">
      <c r="A165" s="13" t="s">
        <v>68</v>
      </c>
      <c r="B165" s="13" t="s">
        <v>79</v>
      </c>
      <c r="C165" s="13" t="s">
        <v>82</v>
      </c>
      <c r="D165" s="13" t="s">
        <v>82</v>
      </c>
      <c r="E165" s="17">
        <v>31602</v>
      </c>
      <c r="F165" s="17">
        <v>23479</v>
      </c>
      <c r="G165" s="17">
        <v>24007</v>
      </c>
      <c r="H165" s="17">
        <v>24534</v>
      </c>
      <c r="I165" s="17">
        <v>26117</v>
      </c>
      <c r="J165" s="17">
        <v>26644</v>
      </c>
      <c r="K165" s="17">
        <v>27172</v>
      </c>
      <c r="L165" s="13">
        <v>1</v>
      </c>
      <c r="M165" s="13">
        <v>3</v>
      </c>
      <c r="N165" s="13">
        <v>2</v>
      </c>
      <c r="O165" s="13">
        <v>2</v>
      </c>
      <c r="P165" s="13">
        <v>0</v>
      </c>
      <c r="Q165" s="13">
        <v>1</v>
      </c>
      <c r="R165" s="21">
        <f t="shared" si="17"/>
        <v>4.2591251756889132</v>
      </c>
      <c r="S165" s="21">
        <f t="shared" si="18"/>
        <v>12.496355229724664</v>
      </c>
      <c r="T165" s="21">
        <f t="shared" si="19"/>
        <v>8.1519523925980266</v>
      </c>
      <c r="U165" s="21">
        <f t="shared" si="20"/>
        <v>7.6578473791017352</v>
      </c>
      <c r="V165" s="21">
        <f t="shared" si="21"/>
        <v>0</v>
      </c>
      <c r="W165" s="21">
        <f t="shared" si="22"/>
        <v>3.6802590902399532</v>
      </c>
      <c r="X165" s="21">
        <f t="shared" si="23"/>
        <v>8.3024775993372018</v>
      </c>
      <c r="Y165" s="21">
        <f t="shared" si="24"/>
        <v>3.7793688231138964</v>
      </c>
    </row>
    <row r="166" spans="1:25" x14ac:dyDescent="0.3">
      <c r="A166" s="13" t="s">
        <v>98</v>
      </c>
      <c r="B166" s="13" t="s">
        <v>522</v>
      </c>
      <c r="C166" s="13" t="s">
        <v>98</v>
      </c>
      <c r="D166" s="13" t="s">
        <v>98</v>
      </c>
      <c r="E166" s="17">
        <v>40101</v>
      </c>
      <c r="F166" s="17">
        <v>278863</v>
      </c>
      <c r="G166" s="17">
        <v>281647</v>
      </c>
      <c r="H166" s="17">
        <v>284430</v>
      </c>
      <c r="I166" s="17">
        <v>292782</v>
      </c>
      <c r="J166" s="17">
        <v>295566</v>
      </c>
      <c r="K166" s="17">
        <v>298350</v>
      </c>
      <c r="L166" s="13">
        <v>51</v>
      </c>
      <c r="M166" s="13">
        <v>87</v>
      </c>
      <c r="N166" s="13">
        <v>19</v>
      </c>
      <c r="O166" s="13">
        <v>12</v>
      </c>
      <c r="P166" s="13">
        <v>13</v>
      </c>
      <c r="Q166" s="13">
        <v>21</v>
      </c>
      <c r="R166" s="21">
        <f t="shared" si="17"/>
        <v>18.288550291720306</v>
      </c>
      <c r="S166" s="21">
        <f t="shared" si="18"/>
        <v>30.88973076226624</v>
      </c>
      <c r="T166" s="21">
        <f t="shared" si="19"/>
        <v>6.6800267201068806</v>
      </c>
      <c r="U166" s="21">
        <f t="shared" si="20"/>
        <v>4.0986126196282564</v>
      </c>
      <c r="V166" s="21">
        <f t="shared" si="21"/>
        <v>4.3983408105127113</v>
      </c>
      <c r="W166" s="21">
        <f t="shared" si="22"/>
        <v>7.038712921065863</v>
      </c>
      <c r="X166" s="21">
        <f t="shared" si="23"/>
        <v>18.619435924697807</v>
      </c>
      <c r="Y166" s="21">
        <f t="shared" si="24"/>
        <v>5.1785554504022775</v>
      </c>
    </row>
    <row r="167" spans="1:25" x14ac:dyDescent="0.3">
      <c r="A167" s="13" t="s">
        <v>98</v>
      </c>
      <c r="B167" s="13" t="s">
        <v>522</v>
      </c>
      <c r="C167" s="13" t="s">
        <v>103</v>
      </c>
      <c r="D167" s="13" t="s">
        <v>103</v>
      </c>
      <c r="E167" s="17">
        <v>40102</v>
      </c>
      <c r="F167" s="17">
        <v>23005</v>
      </c>
      <c r="G167" s="17">
        <v>22983</v>
      </c>
      <c r="H167" s="17">
        <v>22960</v>
      </c>
      <c r="I167" s="17">
        <v>22894</v>
      </c>
      <c r="J167" s="17">
        <v>22872</v>
      </c>
      <c r="K167" s="17">
        <v>22850</v>
      </c>
      <c r="L167" s="13">
        <v>1</v>
      </c>
      <c r="M167" s="13">
        <v>0</v>
      </c>
      <c r="N167" s="13">
        <v>7</v>
      </c>
      <c r="O167" s="13">
        <v>0</v>
      </c>
      <c r="P167" s="13">
        <v>1</v>
      </c>
      <c r="Q167" s="13">
        <v>0</v>
      </c>
      <c r="R167" s="21">
        <f t="shared" si="17"/>
        <v>4.3468811128015652</v>
      </c>
      <c r="S167" s="21">
        <f t="shared" si="18"/>
        <v>0</v>
      </c>
      <c r="T167" s="21">
        <f t="shared" si="19"/>
        <v>30.487804878048781</v>
      </c>
      <c r="U167" s="21">
        <f t="shared" si="20"/>
        <v>0</v>
      </c>
      <c r="V167" s="21">
        <f t="shared" si="21"/>
        <v>4.3721580972367962</v>
      </c>
      <c r="W167" s="21">
        <f t="shared" si="22"/>
        <v>0</v>
      </c>
      <c r="X167" s="21">
        <f t="shared" si="23"/>
        <v>11.611561996950115</v>
      </c>
      <c r="Y167" s="21">
        <f t="shared" si="24"/>
        <v>1.4573860324122654</v>
      </c>
    </row>
    <row r="168" spans="1:25" x14ac:dyDescent="0.3">
      <c r="A168" s="13" t="s">
        <v>98</v>
      </c>
      <c r="B168" s="13" t="s">
        <v>522</v>
      </c>
      <c r="C168" s="13" t="s">
        <v>556</v>
      </c>
      <c r="D168" s="13" t="s">
        <v>556</v>
      </c>
      <c r="E168" s="17">
        <v>40103</v>
      </c>
      <c r="F168" s="17">
        <v>9255</v>
      </c>
      <c r="G168" s="17">
        <v>9361</v>
      </c>
      <c r="H168" s="17">
        <v>9467</v>
      </c>
      <c r="I168" s="17">
        <v>9785</v>
      </c>
      <c r="J168" s="17">
        <v>9891</v>
      </c>
      <c r="K168" s="17">
        <v>9997</v>
      </c>
      <c r="L168" s="13">
        <v>0</v>
      </c>
      <c r="M168" s="13">
        <v>0</v>
      </c>
      <c r="N168" s="13">
        <v>0</v>
      </c>
      <c r="O168" s="13">
        <v>0</v>
      </c>
      <c r="P168" s="13">
        <v>0</v>
      </c>
      <c r="Q168" s="13">
        <v>0</v>
      </c>
      <c r="R168" s="21">
        <f t="shared" si="17"/>
        <v>0</v>
      </c>
      <c r="S168" s="21">
        <f t="shared" si="18"/>
        <v>0</v>
      </c>
      <c r="T168" s="21">
        <f t="shared" si="19"/>
        <v>0</v>
      </c>
      <c r="U168" s="21">
        <f t="shared" si="20"/>
        <v>0</v>
      </c>
      <c r="V168" s="21">
        <f t="shared" si="21"/>
        <v>0</v>
      </c>
      <c r="W168" s="21">
        <f t="shared" si="22"/>
        <v>0</v>
      </c>
      <c r="X168" s="21">
        <f t="shared" si="23"/>
        <v>0</v>
      </c>
      <c r="Y168" s="21">
        <f t="shared" si="24"/>
        <v>0</v>
      </c>
    </row>
    <row r="169" spans="1:25" x14ac:dyDescent="0.3">
      <c r="A169" s="13" t="s">
        <v>98</v>
      </c>
      <c r="B169" s="13" t="s">
        <v>522</v>
      </c>
      <c r="C169" s="13" t="s">
        <v>557</v>
      </c>
      <c r="D169" s="13" t="s">
        <v>558</v>
      </c>
      <c r="E169" s="17">
        <v>40104</v>
      </c>
      <c r="F169" s="17">
        <v>14062</v>
      </c>
      <c r="G169" s="17">
        <v>14305</v>
      </c>
      <c r="H169" s="17">
        <v>14548</v>
      </c>
      <c r="I169" s="17">
        <v>15278</v>
      </c>
      <c r="J169" s="17">
        <v>15521</v>
      </c>
      <c r="K169" s="17">
        <v>15764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0</v>
      </c>
      <c r="R169" s="21">
        <f t="shared" si="17"/>
        <v>0</v>
      </c>
      <c r="S169" s="21">
        <f t="shared" si="18"/>
        <v>0</v>
      </c>
      <c r="T169" s="21">
        <f t="shared" si="19"/>
        <v>0</v>
      </c>
      <c r="U169" s="21">
        <f t="shared" si="20"/>
        <v>0</v>
      </c>
      <c r="V169" s="21">
        <f t="shared" si="21"/>
        <v>0</v>
      </c>
      <c r="W169" s="21">
        <f t="shared" si="22"/>
        <v>0</v>
      </c>
      <c r="X169" s="21">
        <f t="shared" si="23"/>
        <v>0</v>
      </c>
      <c r="Y169" s="21">
        <f t="shared" si="24"/>
        <v>0</v>
      </c>
    </row>
    <row r="170" spans="1:25" x14ac:dyDescent="0.3">
      <c r="A170" s="13" t="s">
        <v>98</v>
      </c>
      <c r="B170" s="13" t="s">
        <v>559</v>
      </c>
      <c r="C170" s="13" t="s">
        <v>100</v>
      </c>
      <c r="D170" s="13" t="s">
        <v>100</v>
      </c>
      <c r="E170" s="17">
        <v>40201</v>
      </c>
      <c r="F170" s="17">
        <v>31630</v>
      </c>
      <c r="G170" s="17">
        <v>32173</v>
      </c>
      <c r="H170" s="17">
        <v>32715</v>
      </c>
      <c r="I170" s="17">
        <v>34342</v>
      </c>
      <c r="J170" s="17">
        <v>34885</v>
      </c>
      <c r="K170" s="17">
        <v>35427</v>
      </c>
      <c r="L170" s="13">
        <v>1</v>
      </c>
      <c r="M170" s="13">
        <v>2</v>
      </c>
      <c r="N170" s="13">
        <v>2</v>
      </c>
      <c r="O170" s="13">
        <v>0</v>
      </c>
      <c r="P170" s="13">
        <v>1</v>
      </c>
      <c r="Q170" s="13">
        <v>2</v>
      </c>
      <c r="R170" s="21">
        <f t="shared" si="17"/>
        <v>3.1615554852987668</v>
      </c>
      <c r="S170" s="21">
        <f t="shared" si="18"/>
        <v>6.2163926273583439</v>
      </c>
      <c r="T170" s="21">
        <f t="shared" si="19"/>
        <v>6.1134036374751641</v>
      </c>
      <c r="U170" s="21">
        <f t="shared" si="20"/>
        <v>0</v>
      </c>
      <c r="V170" s="21">
        <f t="shared" si="21"/>
        <v>2.8665615594094884</v>
      </c>
      <c r="W170" s="21">
        <f t="shared" si="22"/>
        <v>5.6454116916476131</v>
      </c>
      <c r="X170" s="21">
        <f t="shared" si="23"/>
        <v>5.1637839167107584</v>
      </c>
      <c r="Y170" s="21">
        <f t="shared" si="24"/>
        <v>2.8373244170190337</v>
      </c>
    </row>
    <row r="171" spans="1:25" x14ac:dyDescent="0.3">
      <c r="A171" s="13" t="s">
        <v>98</v>
      </c>
      <c r="B171" s="13" t="s">
        <v>559</v>
      </c>
      <c r="C171" s="13" t="s">
        <v>560</v>
      </c>
      <c r="D171" s="13" t="s">
        <v>560</v>
      </c>
      <c r="E171" s="17">
        <v>40202</v>
      </c>
      <c r="F171" s="17">
        <v>4514</v>
      </c>
      <c r="G171" s="17">
        <v>4606</v>
      </c>
      <c r="H171" s="17">
        <v>4699</v>
      </c>
      <c r="I171" s="17">
        <v>4976</v>
      </c>
      <c r="J171" s="17">
        <v>5069</v>
      </c>
      <c r="K171" s="17">
        <v>5161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  <c r="R171" s="21">
        <f t="shared" si="17"/>
        <v>0</v>
      </c>
      <c r="S171" s="21">
        <f t="shared" si="18"/>
        <v>0</v>
      </c>
      <c r="T171" s="21">
        <f t="shared" si="19"/>
        <v>0</v>
      </c>
      <c r="U171" s="21">
        <f t="shared" si="20"/>
        <v>0</v>
      </c>
      <c r="V171" s="21">
        <f t="shared" si="21"/>
        <v>0</v>
      </c>
      <c r="W171" s="21">
        <f t="shared" si="22"/>
        <v>0</v>
      </c>
      <c r="X171" s="21">
        <f t="shared" si="23"/>
        <v>0</v>
      </c>
      <c r="Y171" s="21">
        <f t="shared" si="24"/>
        <v>0</v>
      </c>
    </row>
    <row r="172" spans="1:25" x14ac:dyDescent="0.3">
      <c r="A172" s="13" t="s">
        <v>98</v>
      </c>
      <c r="B172" s="13" t="s">
        <v>111</v>
      </c>
      <c r="C172" s="13" t="s">
        <v>112</v>
      </c>
      <c r="D172" s="13" t="s">
        <v>112</v>
      </c>
      <c r="E172" s="17">
        <v>40301</v>
      </c>
      <c r="F172" s="17">
        <v>12088</v>
      </c>
      <c r="G172" s="17">
        <v>12661</v>
      </c>
      <c r="H172" s="17">
        <v>13234</v>
      </c>
      <c r="I172" s="17">
        <v>14954</v>
      </c>
      <c r="J172" s="17">
        <v>15528</v>
      </c>
      <c r="K172" s="17">
        <v>16101</v>
      </c>
      <c r="L172" s="13">
        <v>0</v>
      </c>
      <c r="M172" s="13">
        <v>0</v>
      </c>
      <c r="N172" s="13">
        <v>0</v>
      </c>
      <c r="O172" s="13">
        <v>0</v>
      </c>
      <c r="P172" s="13">
        <v>1</v>
      </c>
      <c r="Q172" s="13">
        <v>0</v>
      </c>
      <c r="R172" s="21">
        <f t="shared" si="17"/>
        <v>0</v>
      </c>
      <c r="S172" s="21">
        <f t="shared" si="18"/>
        <v>0</v>
      </c>
      <c r="T172" s="21">
        <f t="shared" si="19"/>
        <v>0</v>
      </c>
      <c r="U172" s="21">
        <f t="shared" si="20"/>
        <v>0</v>
      </c>
      <c r="V172" s="21">
        <f t="shared" si="21"/>
        <v>6.4399793920659461</v>
      </c>
      <c r="W172" s="21">
        <f t="shared" si="22"/>
        <v>0</v>
      </c>
      <c r="X172" s="21">
        <f t="shared" si="23"/>
        <v>0</v>
      </c>
      <c r="Y172" s="21">
        <f t="shared" si="24"/>
        <v>2.1466597973553152</v>
      </c>
    </row>
    <row r="173" spans="1:25" x14ac:dyDescent="0.3">
      <c r="A173" s="13" t="s">
        <v>98</v>
      </c>
      <c r="B173" s="13" t="s">
        <v>111</v>
      </c>
      <c r="C173" s="13" t="s">
        <v>561</v>
      </c>
      <c r="D173" s="13" t="s">
        <v>561</v>
      </c>
      <c r="E173" s="17">
        <v>40302</v>
      </c>
      <c r="F173" s="17">
        <v>2123</v>
      </c>
      <c r="G173" s="17">
        <v>2177</v>
      </c>
      <c r="H173" s="17">
        <v>2232</v>
      </c>
      <c r="I173" s="17">
        <v>2395</v>
      </c>
      <c r="J173" s="17">
        <v>2450</v>
      </c>
      <c r="K173" s="17">
        <v>2504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  <c r="R173" s="21">
        <f t="shared" si="17"/>
        <v>0</v>
      </c>
      <c r="S173" s="21">
        <f t="shared" si="18"/>
        <v>0</v>
      </c>
      <c r="T173" s="21">
        <f t="shared" si="19"/>
        <v>0</v>
      </c>
      <c r="U173" s="21">
        <f t="shared" si="20"/>
        <v>0</v>
      </c>
      <c r="V173" s="21">
        <f t="shared" si="21"/>
        <v>0</v>
      </c>
      <c r="W173" s="21">
        <f t="shared" si="22"/>
        <v>0</v>
      </c>
      <c r="X173" s="21">
        <f t="shared" si="23"/>
        <v>0</v>
      </c>
      <c r="Y173" s="21">
        <f t="shared" si="24"/>
        <v>0</v>
      </c>
    </row>
    <row r="174" spans="1:25" x14ac:dyDescent="0.3">
      <c r="A174" s="13" t="s">
        <v>98</v>
      </c>
      <c r="B174" s="13" t="s">
        <v>562</v>
      </c>
      <c r="C174" s="13" t="s">
        <v>563</v>
      </c>
      <c r="D174" s="13" t="s">
        <v>563</v>
      </c>
      <c r="E174" s="17">
        <v>40401</v>
      </c>
      <c r="F174" s="17">
        <v>5225</v>
      </c>
      <c r="G174" s="17">
        <v>5434</v>
      </c>
      <c r="H174" s="17">
        <v>5642</v>
      </c>
      <c r="I174" s="17">
        <v>6267</v>
      </c>
      <c r="J174" s="17">
        <v>6475</v>
      </c>
      <c r="K174" s="17">
        <v>6683</v>
      </c>
      <c r="L174" s="13">
        <v>0</v>
      </c>
      <c r="M174" s="13">
        <v>0</v>
      </c>
      <c r="N174" s="13">
        <v>1</v>
      </c>
      <c r="O174" s="13">
        <v>0</v>
      </c>
      <c r="P174" s="13">
        <v>1</v>
      </c>
      <c r="Q174" s="13">
        <v>0</v>
      </c>
      <c r="R174" s="21">
        <f t="shared" si="17"/>
        <v>0</v>
      </c>
      <c r="S174" s="21">
        <f t="shared" si="18"/>
        <v>0</v>
      </c>
      <c r="T174" s="21">
        <f t="shared" si="19"/>
        <v>17.724211272598371</v>
      </c>
      <c r="U174" s="21">
        <f t="shared" si="20"/>
        <v>0</v>
      </c>
      <c r="V174" s="21">
        <f t="shared" si="21"/>
        <v>15.444015444015445</v>
      </c>
      <c r="W174" s="21">
        <f t="shared" si="22"/>
        <v>0</v>
      </c>
      <c r="X174" s="21">
        <f t="shared" si="23"/>
        <v>5.9080704241994573</v>
      </c>
      <c r="Y174" s="21">
        <f t="shared" si="24"/>
        <v>5.1480051480051481</v>
      </c>
    </row>
    <row r="175" spans="1:25" x14ac:dyDescent="0.3">
      <c r="A175" s="13" t="s">
        <v>98</v>
      </c>
      <c r="B175" s="13" t="s">
        <v>562</v>
      </c>
      <c r="C175" s="13" t="s">
        <v>564</v>
      </c>
      <c r="D175" s="13" t="s">
        <v>564</v>
      </c>
      <c r="E175" s="17">
        <v>40402</v>
      </c>
      <c r="F175" s="17">
        <v>5455</v>
      </c>
      <c r="G175" s="17">
        <v>5505</v>
      </c>
      <c r="H175" s="17">
        <v>5555</v>
      </c>
      <c r="I175" s="17">
        <v>5704</v>
      </c>
      <c r="J175" s="17">
        <v>5753</v>
      </c>
      <c r="K175" s="17">
        <v>5803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21">
        <f t="shared" si="17"/>
        <v>0</v>
      </c>
      <c r="S175" s="21">
        <f t="shared" si="18"/>
        <v>0</v>
      </c>
      <c r="T175" s="21">
        <f t="shared" si="19"/>
        <v>0</v>
      </c>
      <c r="U175" s="21">
        <f t="shared" si="20"/>
        <v>0</v>
      </c>
      <c r="V175" s="21">
        <f t="shared" si="21"/>
        <v>0</v>
      </c>
      <c r="W175" s="21">
        <f t="shared" si="22"/>
        <v>0</v>
      </c>
      <c r="X175" s="21">
        <f t="shared" si="23"/>
        <v>0</v>
      </c>
      <c r="Y175" s="21">
        <f t="shared" si="24"/>
        <v>0</v>
      </c>
    </row>
    <row r="176" spans="1:25" x14ac:dyDescent="0.3">
      <c r="A176" s="13" t="s">
        <v>98</v>
      </c>
      <c r="B176" s="13" t="s">
        <v>565</v>
      </c>
      <c r="C176" s="13" t="s">
        <v>566</v>
      </c>
      <c r="D176" s="13" t="s">
        <v>566</v>
      </c>
      <c r="E176" s="17">
        <v>40501</v>
      </c>
      <c r="F176" s="17">
        <v>2256</v>
      </c>
      <c r="G176" s="17">
        <v>2507</v>
      </c>
      <c r="H176" s="17">
        <v>2758</v>
      </c>
      <c r="I176" s="17">
        <v>3510</v>
      </c>
      <c r="J176" s="17">
        <v>3760</v>
      </c>
      <c r="K176" s="17">
        <v>4011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21">
        <f t="shared" si="17"/>
        <v>0</v>
      </c>
      <c r="S176" s="21">
        <f t="shared" si="18"/>
        <v>0</v>
      </c>
      <c r="T176" s="21">
        <f t="shared" si="19"/>
        <v>0</v>
      </c>
      <c r="U176" s="21">
        <f t="shared" si="20"/>
        <v>0</v>
      </c>
      <c r="V176" s="21">
        <f t="shared" si="21"/>
        <v>0</v>
      </c>
      <c r="W176" s="21">
        <f t="shared" si="22"/>
        <v>0</v>
      </c>
      <c r="X176" s="21">
        <f t="shared" si="23"/>
        <v>0</v>
      </c>
      <c r="Y176" s="21">
        <f t="shared" si="24"/>
        <v>0</v>
      </c>
    </row>
    <row r="177" spans="1:25" x14ac:dyDescent="0.3">
      <c r="A177" s="13" t="s">
        <v>98</v>
      </c>
      <c r="B177" s="13" t="s">
        <v>565</v>
      </c>
      <c r="C177" s="13" t="s">
        <v>567</v>
      </c>
      <c r="D177" s="13" t="s">
        <v>567</v>
      </c>
      <c r="E177" s="17">
        <v>40502</v>
      </c>
      <c r="F177" s="17">
        <v>4226</v>
      </c>
      <c r="G177" s="17">
        <v>4227</v>
      </c>
      <c r="H177" s="17">
        <v>4228</v>
      </c>
      <c r="I177" s="17">
        <v>4230</v>
      </c>
      <c r="J177" s="17">
        <v>4230</v>
      </c>
      <c r="K177" s="17">
        <v>4231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21">
        <f t="shared" si="17"/>
        <v>0</v>
      </c>
      <c r="S177" s="21">
        <f t="shared" si="18"/>
        <v>0</v>
      </c>
      <c r="T177" s="21">
        <f t="shared" si="19"/>
        <v>0</v>
      </c>
      <c r="U177" s="21">
        <f t="shared" si="20"/>
        <v>0</v>
      </c>
      <c r="V177" s="21">
        <f t="shared" si="21"/>
        <v>0</v>
      </c>
      <c r="W177" s="21">
        <f t="shared" si="22"/>
        <v>0</v>
      </c>
      <c r="X177" s="21">
        <f t="shared" si="23"/>
        <v>0</v>
      </c>
      <c r="Y177" s="21">
        <f t="shared" si="24"/>
        <v>0</v>
      </c>
    </row>
    <row r="178" spans="1:25" x14ac:dyDescent="0.3">
      <c r="A178" s="13" t="s">
        <v>98</v>
      </c>
      <c r="B178" s="13" t="s">
        <v>565</v>
      </c>
      <c r="C178" s="13" t="s">
        <v>568</v>
      </c>
      <c r="D178" s="13" t="s">
        <v>568</v>
      </c>
      <c r="E178" s="17">
        <v>40503</v>
      </c>
      <c r="F178" s="17">
        <v>1780</v>
      </c>
      <c r="G178" s="17">
        <v>1742</v>
      </c>
      <c r="H178" s="17">
        <v>1705</v>
      </c>
      <c r="I178" s="17">
        <v>1592</v>
      </c>
      <c r="J178" s="17">
        <v>1555</v>
      </c>
      <c r="K178" s="17">
        <v>1517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21">
        <f t="shared" si="17"/>
        <v>0</v>
      </c>
      <c r="S178" s="21">
        <f t="shared" si="18"/>
        <v>0</v>
      </c>
      <c r="T178" s="21">
        <f t="shared" si="19"/>
        <v>0</v>
      </c>
      <c r="U178" s="21">
        <f t="shared" si="20"/>
        <v>0</v>
      </c>
      <c r="V178" s="21">
        <f t="shared" si="21"/>
        <v>0</v>
      </c>
      <c r="W178" s="21">
        <f t="shared" si="22"/>
        <v>0</v>
      </c>
      <c r="X178" s="21">
        <f t="shared" si="23"/>
        <v>0</v>
      </c>
      <c r="Y178" s="21">
        <f t="shared" si="24"/>
        <v>0</v>
      </c>
    </row>
    <row r="179" spans="1:25" x14ac:dyDescent="0.3">
      <c r="A179" s="13" t="s">
        <v>98</v>
      </c>
      <c r="B179" s="13" t="s">
        <v>565</v>
      </c>
      <c r="C179" s="13" t="s">
        <v>569</v>
      </c>
      <c r="D179" s="13" t="s">
        <v>569</v>
      </c>
      <c r="E179" s="17">
        <v>40504</v>
      </c>
      <c r="F179" s="17">
        <v>664</v>
      </c>
      <c r="G179" s="17">
        <v>695</v>
      </c>
      <c r="H179" s="17">
        <v>725</v>
      </c>
      <c r="I179" s="17">
        <v>815</v>
      </c>
      <c r="J179" s="17">
        <v>845</v>
      </c>
      <c r="K179" s="17">
        <v>875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21">
        <f t="shared" si="17"/>
        <v>0</v>
      </c>
      <c r="S179" s="21">
        <f t="shared" si="18"/>
        <v>0</v>
      </c>
      <c r="T179" s="21">
        <f t="shared" si="19"/>
        <v>0</v>
      </c>
      <c r="U179" s="21">
        <f t="shared" si="20"/>
        <v>0</v>
      </c>
      <c r="V179" s="21">
        <f t="shared" si="21"/>
        <v>0</v>
      </c>
      <c r="W179" s="21">
        <f t="shared" si="22"/>
        <v>0</v>
      </c>
      <c r="X179" s="21">
        <f t="shared" si="23"/>
        <v>0</v>
      </c>
      <c r="Y179" s="21">
        <f t="shared" si="24"/>
        <v>0</v>
      </c>
    </row>
    <row r="180" spans="1:25" x14ac:dyDescent="0.3">
      <c r="A180" s="13" t="s">
        <v>98</v>
      </c>
      <c r="B180" s="13" t="s">
        <v>565</v>
      </c>
      <c r="C180" s="13" t="s">
        <v>570</v>
      </c>
      <c r="D180" s="13" t="s">
        <v>570</v>
      </c>
      <c r="E180" s="17">
        <v>40505</v>
      </c>
      <c r="F180" s="17">
        <v>3194</v>
      </c>
      <c r="G180" s="17">
        <v>3292</v>
      </c>
      <c r="H180" s="17">
        <v>3390</v>
      </c>
      <c r="I180" s="17">
        <v>3685</v>
      </c>
      <c r="J180" s="17">
        <v>3784</v>
      </c>
      <c r="K180" s="17">
        <v>3882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21">
        <f t="shared" si="17"/>
        <v>0</v>
      </c>
      <c r="S180" s="21">
        <f t="shared" si="18"/>
        <v>0</v>
      </c>
      <c r="T180" s="21">
        <f t="shared" si="19"/>
        <v>0</v>
      </c>
      <c r="U180" s="21">
        <f t="shared" si="20"/>
        <v>0</v>
      </c>
      <c r="V180" s="21">
        <f t="shared" si="21"/>
        <v>0</v>
      </c>
      <c r="W180" s="21">
        <f t="shared" si="22"/>
        <v>0</v>
      </c>
      <c r="X180" s="21">
        <f t="shared" si="23"/>
        <v>0</v>
      </c>
      <c r="Y180" s="21">
        <f t="shared" si="24"/>
        <v>0</v>
      </c>
    </row>
    <row r="181" spans="1:25" x14ac:dyDescent="0.3">
      <c r="A181" s="13" t="s">
        <v>98</v>
      </c>
      <c r="B181" s="13" t="s">
        <v>108</v>
      </c>
      <c r="C181" s="13" t="s">
        <v>108</v>
      </c>
      <c r="D181" s="13" t="s">
        <v>571</v>
      </c>
      <c r="E181" s="17">
        <v>40601</v>
      </c>
      <c r="F181" s="17">
        <v>8255</v>
      </c>
      <c r="G181" s="17">
        <v>8388</v>
      </c>
      <c r="H181" s="17">
        <v>8522</v>
      </c>
      <c r="I181" s="17">
        <v>8922</v>
      </c>
      <c r="J181" s="17">
        <v>9056</v>
      </c>
      <c r="K181" s="17">
        <v>9189</v>
      </c>
      <c r="L181" s="13">
        <v>0</v>
      </c>
      <c r="M181" s="13">
        <v>0</v>
      </c>
      <c r="N181" s="13">
        <v>0</v>
      </c>
      <c r="O181" s="13">
        <v>0</v>
      </c>
      <c r="P181" s="13">
        <v>1</v>
      </c>
      <c r="Q181" s="13">
        <v>0</v>
      </c>
      <c r="R181" s="21">
        <f t="shared" si="17"/>
        <v>0</v>
      </c>
      <c r="S181" s="21">
        <f t="shared" si="18"/>
        <v>0</v>
      </c>
      <c r="T181" s="21">
        <f t="shared" si="19"/>
        <v>0</v>
      </c>
      <c r="U181" s="21">
        <f t="shared" si="20"/>
        <v>0</v>
      </c>
      <c r="V181" s="21">
        <f t="shared" si="21"/>
        <v>11.042402826855124</v>
      </c>
      <c r="W181" s="21">
        <f t="shared" si="22"/>
        <v>0</v>
      </c>
      <c r="X181" s="21">
        <f t="shared" si="23"/>
        <v>0</v>
      </c>
      <c r="Y181" s="21">
        <f t="shared" si="24"/>
        <v>3.6808009422850412</v>
      </c>
    </row>
    <row r="182" spans="1:25" x14ac:dyDescent="0.3">
      <c r="A182" s="13" t="s">
        <v>98</v>
      </c>
      <c r="B182" s="13" t="s">
        <v>108</v>
      </c>
      <c r="C182" s="13" t="s">
        <v>115</v>
      </c>
      <c r="D182" s="13" t="s">
        <v>115</v>
      </c>
      <c r="E182" s="17">
        <v>40602</v>
      </c>
      <c r="F182" s="17">
        <v>5245</v>
      </c>
      <c r="G182" s="17">
        <v>5103</v>
      </c>
      <c r="H182" s="17">
        <v>4961</v>
      </c>
      <c r="I182" s="17">
        <v>4535</v>
      </c>
      <c r="J182" s="17">
        <v>4393</v>
      </c>
      <c r="K182" s="17">
        <v>4251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1</v>
      </c>
      <c r="R182" s="21">
        <f t="shared" si="17"/>
        <v>0</v>
      </c>
      <c r="S182" s="21">
        <f t="shared" si="18"/>
        <v>0</v>
      </c>
      <c r="T182" s="21">
        <f t="shared" si="19"/>
        <v>0</v>
      </c>
      <c r="U182" s="21">
        <f t="shared" si="20"/>
        <v>0</v>
      </c>
      <c r="V182" s="21">
        <f t="shared" si="21"/>
        <v>0</v>
      </c>
      <c r="W182" s="21">
        <f t="shared" si="22"/>
        <v>23.52387673488591</v>
      </c>
      <c r="X182" s="21">
        <f t="shared" si="23"/>
        <v>0</v>
      </c>
      <c r="Y182" s="21">
        <f t="shared" si="24"/>
        <v>7.84129224496197</v>
      </c>
    </row>
    <row r="183" spans="1:25" x14ac:dyDescent="0.3">
      <c r="A183" s="13" t="s">
        <v>98</v>
      </c>
      <c r="B183" s="13" t="s">
        <v>108</v>
      </c>
      <c r="C183" s="13" t="s">
        <v>572</v>
      </c>
      <c r="D183" s="13" t="s">
        <v>572</v>
      </c>
      <c r="E183" s="17">
        <v>40603</v>
      </c>
      <c r="F183" s="17">
        <v>3432</v>
      </c>
      <c r="G183" s="17">
        <v>3465</v>
      </c>
      <c r="H183" s="17">
        <v>3499</v>
      </c>
      <c r="I183" s="17">
        <v>3599</v>
      </c>
      <c r="J183" s="17">
        <v>3633</v>
      </c>
      <c r="K183" s="17">
        <v>3666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21">
        <f t="shared" si="17"/>
        <v>0</v>
      </c>
      <c r="S183" s="21">
        <f t="shared" si="18"/>
        <v>0</v>
      </c>
      <c r="T183" s="21">
        <f t="shared" si="19"/>
        <v>0</v>
      </c>
      <c r="U183" s="21">
        <f t="shared" si="20"/>
        <v>0</v>
      </c>
      <c r="V183" s="21">
        <f t="shared" si="21"/>
        <v>0</v>
      </c>
      <c r="W183" s="21">
        <f t="shared" si="22"/>
        <v>0</v>
      </c>
      <c r="X183" s="21">
        <f t="shared" si="23"/>
        <v>0</v>
      </c>
      <c r="Y183" s="21">
        <f t="shared" si="24"/>
        <v>0</v>
      </c>
    </row>
    <row r="184" spans="1:25" x14ac:dyDescent="0.3">
      <c r="A184" s="13" t="s">
        <v>98</v>
      </c>
      <c r="B184" s="13" t="s">
        <v>573</v>
      </c>
      <c r="C184" s="13" t="s">
        <v>99</v>
      </c>
      <c r="D184" s="13" t="s">
        <v>574</v>
      </c>
      <c r="E184" s="17">
        <v>40701</v>
      </c>
      <c r="F184" s="17">
        <v>22777</v>
      </c>
      <c r="G184" s="17">
        <v>22398</v>
      </c>
      <c r="H184" s="17">
        <v>22018</v>
      </c>
      <c r="I184" s="17">
        <v>20878</v>
      </c>
      <c r="J184" s="17">
        <v>20498</v>
      </c>
      <c r="K184" s="17">
        <v>20118</v>
      </c>
      <c r="L184" s="13">
        <v>2</v>
      </c>
      <c r="M184" s="13">
        <v>13</v>
      </c>
      <c r="N184" s="13">
        <v>1</v>
      </c>
      <c r="O184" s="13">
        <v>3</v>
      </c>
      <c r="P184" s="13">
        <v>1</v>
      </c>
      <c r="Q184" s="13">
        <v>3</v>
      </c>
      <c r="R184" s="21">
        <f t="shared" si="17"/>
        <v>8.7807876366510076</v>
      </c>
      <c r="S184" s="21">
        <f t="shared" si="18"/>
        <v>58.040896508616846</v>
      </c>
      <c r="T184" s="21">
        <f t="shared" si="19"/>
        <v>4.5417385775274779</v>
      </c>
      <c r="U184" s="21">
        <f t="shared" si="20"/>
        <v>14.369192451384231</v>
      </c>
      <c r="V184" s="21">
        <f t="shared" si="21"/>
        <v>4.8785247341204014</v>
      </c>
      <c r="W184" s="21">
        <f t="shared" si="22"/>
        <v>14.912019087384433</v>
      </c>
      <c r="X184" s="21">
        <f t="shared" si="23"/>
        <v>23.787807574265113</v>
      </c>
      <c r="Y184" s="21">
        <f t="shared" si="24"/>
        <v>11.386578757629687</v>
      </c>
    </row>
    <row r="185" spans="1:25" x14ac:dyDescent="0.3">
      <c r="A185" s="13" t="s">
        <v>98</v>
      </c>
      <c r="B185" s="13" t="s">
        <v>573</v>
      </c>
      <c r="C185" s="13" t="s">
        <v>110</v>
      </c>
      <c r="D185" s="13" t="s">
        <v>110</v>
      </c>
      <c r="E185" s="17">
        <v>40702</v>
      </c>
      <c r="F185" s="17">
        <v>5362</v>
      </c>
      <c r="G185" s="17">
        <v>5470</v>
      </c>
      <c r="H185" s="17">
        <v>5578</v>
      </c>
      <c r="I185" s="17">
        <v>5903</v>
      </c>
      <c r="J185" s="17">
        <v>6012</v>
      </c>
      <c r="K185" s="17">
        <v>6120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1</v>
      </c>
      <c r="R185" s="21">
        <f t="shared" si="17"/>
        <v>0</v>
      </c>
      <c r="S185" s="21">
        <f t="shared" si="18"/>
        <v>0</v>
      </c>
      <c r="T185" s="21">
        <f t="shared" si="19"/>
        <v>0</v>
      </c>
      <c r="U185" s="21">
        <f t="shared" si="20"/>
        <v>0</v>
      </c>
      <c r="V185" s="21">
        <f t="shared" si="21"/>
        <v>0</v>
      </c>
      <c r="W185" s="21">
        <f t="shared" si="22"/>
        <v>16.33986928104575</v>
      </c>
      <c r="X185" s="21">
        <f t="shared" si="23"/>
        <v>0</v>
      </c>
      <c r="Y185" s="21">
        <f t="shared" si="24"/>
        <v>5.4466230936819171</v>
      </c>
    </row>
    <row r="186" spans="1:25" x14ac:dyDescent="0.3">
      <c r="A186" s="13" t="s">
        <v>98</v>
      </c>
      <c r="B186" s="13" t="s">
        <v>575</v>
      </c>
      <c r="C186" s="13" t="s">
        <v>576</v>
      </c>
      <c r="D186" s="13" t="s">
        <v>576</v>
      </c>
      <c r="E186" s="17">
        <v>40801</v>
      </c>
      <c r="F186" s="17">
        <v>13568</v>
      </c>
      <c r="G186" s="17">
        <v>13906</v>
      </c>
      <c r="H186" s="17">
        <v>14244</v>
      </c>
      <c r="I186" s="17">
        <v>15258</v>
      </c>
      <c r="J186" s="17">
        <v>15596</v>
      </c>
      <c r="K186" s="17">
        <v>15934</v>
      </c>
      <c r="L186" s="13">
        <v>0</v>
      </c>
      <c r="M186" s="13">
        <v>0</v>
      </c>
      <c r="N186" s="13">
        <v>1</v>
      </c>
      <c r="O186" s="13">
        <v>0</v>
      </c>
      <c r="P186" s="13">
        <v>0</v>
      </c>
      <c r="Q186" s="13">
        <v>0</v>
      </c>
      <c r="R186" s="21">
        <f t="shared" si="17"/>
        <v>0</v>
      </c>
      <c r="S186" s="21">
        <f t="shared" si="18"/>
        <v>0</v>
      </c>
      <c r="T186" s="21">
        <f t="shared" si="19"/>
        <v>7.0204998595900028</v>
      </c>
      <c r="U186" s="21">
        <f t="shared" si="20"/>
        <v>0</v>
      </c>
      <c r="V186" s="21">
        <f t="shared" si="21"/>
        <v>0</v>
      </c>
      <c r="W186" s="21">
        <f t="shared" si="22"/>
        <v>0</v>
      </c>
      <c r="X186" s="21">
        <f t="shared" si="23"/>
        <v>2.3401666198633344</v>
      </c>
      <c r="Y186" s="21">
        <f t="shared" si="24"/>
        <v>0</v>
      </c>
    </row>
    <row r="187" spans="1:25" x14ac:dyDescent="0.3">
      <c r="A187" s="13" t="s">
        <v>98</v>
      </c>
      <c r="B187" s="13" t="s">
        <v>575</v>
      </c>
      <c r="C187" s="13" t="s">
        <v>102</v>
      </c>
      <c r="D187" s="13" t="s">
        <v>102</v>
      </c>
      <c r="E187" s="17">
        <v>40802</v>
      </c>
      <c r="F187" s="17">
        <v>3066</v>
      </c>
      <c r="G187" s="17">
        <v>3085</v>
      </c>
      <c r="H187" s="17">
        <v>3104</v>
      </c>
      <c r="I187" s="17">
        <v>3160</v>
      </c>
      <c r="J187" s="17">
        <v>3178</v>
      </c>
      <c r="K187" s="17">
        <v>3197</v>
      </c>
      <c r="L187" s="13">
        <v>0</v>
      </c>
      <c r="M187" s="13">
        <v>0</v>
      </c>
      <c r="N187" s="13">
        <v>0</v>
      </c>
      <c r="O187" s="13">
        <v>0</v>
      </c>
      <c r="P187" s="13">
        <v>2</v>
      </c>
      <c r="Q187" s="13">
        <v>0</v>
      </c>
      <c r="R187" s="21">
        <f t="shared" si="17"/>
        <v>0</v>
      </c>
      <c r="S187" s="21">
        <f t="shared" si="18"/>
        <v>0</v>
      </c>
      <c r="T187" s="21">
        <f t="shared" si="19"/>
        <v>0</v>
      </c>
      <c r="U187" s="21">
        <f t="shared" si="20"/>
        <v>0</v>
      </c>
      <c r="V187" s="21">
        <f t="shared" si="21"/>
        <v>62.932662051604787</v>
      </c>
      <c r="W187" s="21">
        <f t="shared" si="22"/>
        <v>0</v>
      </c>
      <c r="X187" s="21">
        <f t="shared" si="23"/>
        <v>0</v>
      </c>
      <c r="Y187" s="21">
        <f t="shared" si="24"/>
        <v>20.977554017201594</v>
      </c>
    </row>
    <row r="188" spans="1:25" x14ac:dyDescent="0.3">
      <c r="A188" s="13" t="s">
        <v>98</v>
      </c>
      <c r="B188" s="13" t="s">
        <v>101</v>
      </c>
      <c r="C188" s="13" t="s">
        <v>101</v>
      </c>
      <c r="D188" s="13" t="s">
        <v>101</v>
      </c>
      <c r="E188" s="17">
        <v>40901</v>
      </c>
      <c r="F188" s="17">
        <v>11137</v>
      </c>
      <c r="G188" s="17">
        <v>11761</v>
      </c>
      <c r="H188" s="17">
        <v>12385</v>
      </c>
      <c r="I188" s="17">
        <v>14256</v>
      </c>
      <c r="J188" s="17">
        <v>14880</v>
      </c>
      <c r="K188" s="17">
        <v>15504</v>
      </c>
      <c r="L188" s="13">
        <v>0</v>
      </c>
      <c r="M188" s="13">
        <v>1</v>
      </c>
      <c r="N188" s="13">
        <v>0</v>
      </c>
      <c r="O188" s="13">
        <v>0</v>
      </c>
      <c r="P188" s="13">
        <v>1</v>
      </c>
      <c r="Q188" s="13">
        <v>1</v>
      </c>
      <c r="R188" s="21">
        <f t="shared" si="17"/>
        <v>0</v>
      </c>
      <c r="S188" s="21">
        <f t="shared" si="18"/>
        <v>8.5026783436782587</v>
      </c>
      <c r="T188" s="21">
        <f t="shared" si="19"/>
        <v>0</v>
      </c>
      <c r="U188" s="21">
        <f t="shared" si="20"/>
        <v>0</v>
      </c>
      <c r="V188" s="21">
        <f t="shared" si="21"/>
        <v>6.720430107526882</v>
      </c>
      <c r="W188" s="21">
        <f t="shared" si="22"/>
        <v>6.4499484004127963</v>
      </c>
      <c r="X188" s="21">
        <f t="shared" si="23"/>
        <v>2.8342261145594194</v>
      </c>
      <c r="Y188" s="21">
        <f t="shared" si="24"/>
        <v>4.3901261693132261</v>
      </c>
    </row>
    <row r="189" spans="1:25" x14ac:dyDescent="0.3">
      <c r="A189" s="13" t="s">
        <v>98</v>
      </c>
      <c r="B189" s="13" t="s">
        <v>101</v>
      </c>
      <c r="C189" s="13" t="s">
        <v>105</v>
      </c>
      <c r="D189" s="13" t="s">
        <v>105</v>
      </c>
      <c r="E189" s="17">
        <v>40902</v>
      </c>
      <c r="F189" s="17">
        <v>1113</v>
      </c>
      <c r="G189" s="17">
        <v>1155</v>
      </c>
      <c r="H189" s="17">
        <v>1196</v>
      </c>
      <c r="I189" s="17">
        <v>1322</v>
      </c>
      <c r="J189" s="17">
        <v>1364</v>
      </c>
      <c r="K189" s="17">
        <v>1406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21">
        <f t="shared" si="17"/>
        <v>0</v>
      </c>
      <c r="S189" s="21">
        <f t="shared" si="18"/>
        <v>0</v>
      </c>
      <c r="T189" s="21">
        <f t="shared" si="19"/>
        <v>0</v>
      </c>
      <c r="U189" s="21">
        <f t="shared" si="20"/>
        <v>0</v>
      </c>
      <c r="V189" s="21">
        <f t="shared" si="21"/>
        <v>0</v>
      </c>
      <c r="W189" s="21">
        <f t="shared" si="22"/>
        <v>0</v>
      </c>
      <c r="X189" s="21">
        <f t="shared" si="23"/>
        <v>0</v>
      </c>
      <c r="Y189" s="21">
        <f t="shared" si="24"/>
        <v>0</v>
      </c>
    </row>
    <row r="190" spans="1:25" x14ac:dyDescent="0.3">
      <c r="A190" s="13" t="s">
        <v>98</v>
      </c>
      <c r="B190" s="13" t="s">
        <v>101</v>
      </c>
      <c r="C190" s="13" t="s">
        <v>577</v>
      </c>
      <c r="D190" s="13" t="s">
        <v>577</v>
      </c>
      <c r="E190" s="17">
        <v>40903</v>
      </c>
      <c r="F190" s="17">
        <v>2150</v>
      </c>
      <c r="G190" s="17">
        <v>2179</v>
      </c>
      <c r="H190" s="17">
        <v>2208</v>
      </c>
      <c r="I190" s="17">
        <v>2296</v>
      </c>
      <c r="J190" s="17">
        <v>2326</v>
      </c>
      <c r="K190" s="17">
        <v>2355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21">
        <f t="shared" si="17"/>
        <v>0</v>
      </c>
      <c r="S190" s="21">
        <f t="shared" si="18"/>
        <v>0</v>
      </c>
      <c r="T190" s="21">
        <f t="shared" si="19"/>
        <v>0</v>
      </c>
      <c r="U190" s="21">
        <f t="shared" si="20"/>
        <v>0</v>
      </c>
      <c r="V190" s="21">
        <f t="shared" si="21"/>
        <v>0</v>
      </c>
      <c r="W190" s="21">
        <f t="shared" si="22"/>
        <v>0</v>
      </c>
      <c r="X190" s="21">
        <f t="shared" si="23"/>
        <v>0</v>
      </c>
      <c r="Y190" s="21">
        <f t="shared" si="24"/>
        <v>0</v>
      </c>
    </row>
    <row r="191" spans="1:25" x14ac:dyDescent="0.3">
      <c r="A191" s="13" t="s">
        <v>98</v>
      </c>
      <c r="B191" s="13" t="s">
        <v>578</v>
      </c>
      <c r="C191" s="13" t="s">
        <v>104</v>
      </c>
      <c r="D191" s="13" t="s">
        <v>104</v>
      </c>
      <c r="E191" s="17">
        <v>41001</v>
      </c>
      <c r="F191" s="17">
        <v>11004</v>
      </c>
      <c r="G191" s="17">
        <v>11176</v>
      </c>
      <c r="H191" s="17">
        <v>11347</v>
      </c>
      <c r="I191" s="17">
        <v>11860</v>
      </c>
      <c r="J191" s="17">
        <v>12031</v>
      </c>
      <c r="K191" s="17">
        <v>12202</v>
      </c>
      <c r="L191" s="13">
        <v>0</v>
      </c>
      <c r="M191" s="13">
        <v>1</v>
      </c>
      <c r="N191" s="13">
        <v>0</v>
      </c>
      <c r="O191" s="13">
        <v>1</v>
      </c>
      <c r="P191" s="13">
        <v>0</v>
      </c>
      <c r="Q191" s="13">
        <v>0</v>
      </c>
      <c r="R191" s="21">
        <f t="shared" si="17"/>
        <v>0</v>
      </c>
      <c r="S191" s="21">
        <f t="shared" si="18"/>
        <v>8.9477451682176081</v>
      </c>
      <c r="T191" s="21">
        <f t="shared" si="19"/>
        <v>0</v>
      </c>
      <c r="U191" s="21">
        <f t="shared" si="20"/>
        <v>8.4317032040472171</v>
      </c>
      <c r="V191" s="21">
        <f t="shared" si="21"/>
        <v>0</v>
      </c>
      <c r="W191" s="21">
        <f t="shared" si="22"/>
        <v>0</v>
      </c>
      <c r="X191" s="21">
        <f t="shared" si="23"/>
        <v>2.9825817227392029</v>
      </c>
      <c r="Y191" s="21">
        <f t="shared" si="24"/>
        <v>2.8105677346824058</v>
      </c>
    </row>
    <row r="192" spans="1:25" x14ac:dyDescent="0.3">
      <c r="A192" s="13" t="s">
        <v>98</v>
      </c>
      <c r="B192" s="13" t="s">
        <v>579</v>
      </c>
      <c r="C192" s="13" t="s">
        <v>580</v>
      </c>
      <c r="D192" s="13" t="s">
        <v>580</v>
      </c>
      <c r="E192" s="17">
        <v>41101</v>
      </c>
      <c r="F192" s="17">
        <v>5295</v>
      </c>
      <c r="G192" s="17">
        <v>5301</v>
      </c>
      <c r="H192" s="17">
        <v>5307</v>
      </c>
      <c r="I192" s="17">
        <v>5324</v>
      </c>
      <c r="J192" s="17">
        <v>5329</v>
      </c>
      <c r="K192" s="17">
        <v>5335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21">
        <f t="shared" si="17"/>
        <v>0</v>
      </c>
      <c r="S192" s="21">
        <f t="shared" si="18"/>
        <v>0</v>
      </c>
      <c r="T192" s="21">
        <f t="shared" si="19"/>
        <v>0</v>
      </c>
      <c r="U192" s="21">
        <f t="shared" si="20"/>
        <v>0</v>
      </c>
      <c r="V192" s="21">
        <f t="shared" si="21"/>
        <v>0</v>
      </c>
      <c r="W192" s="21">
        <f t="shared" si="22"/>
        <v>0</v>
      </c>
      <c r="X192" s="21">
        <f t="shared" si="23"/>
        <v>0</v>
      </c>
      <c r="Y192" s="21">
        <f t="shared" si="24"/>
        <v>0</v>
      </c>
    </row>
    <row r="193" spans="1:25" x14ac:dyDescent="0.3">
      <c r="A193" s="13" t="s">
        <v>98</v>
      </c>
      <c r="B193" s="13" t="s">
        <v>581</v>
      </c>
      <c r="C193" s="13" t="s">
        <v>582</v>
      </c>
      <c r="D193" s="13" t="s">
        <v>583</v>
      </c>
      <c r="E193" s="17">
        <v>41201</v>
      </c>
      <c r="F193" s="17">
        <v>5672</v>
      </c>
      <c r="G193" s="17">
        <v>5764</v>
      </c>
      <c r="H193" s="17">
        <v>5855</v>
      </c>
      <c r="I193" s="17">
        <v>6129</v>
      </c>
      <c r="J193" s="17">
        <v>6220</v>
      </c>
      <c r="K193" s="17">
        <v>6311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21">
        <f t="shared" si="17"/>
        <v>0</v>
      </c>
      <c r="S193" s="21">
        <f t="shared" si="18"/>
        <v>0</v>
      </c>
      <c r="T193" s="21">
        <f t="shared" si="19"/>
        <v>0</v>
      </c>
      <c r="U193" s="21">
        <f t="shared" si="20"/>
        <v>0</v>
      </c>
      <c r="V193" s="21">
        <f t="shared" si="21"/>
        <v>0</v>
      </c>
      <c r="W193" s="21">
        <f t="shared" si="22"/>
        <v>0</v>
      </c>
      <c r="X193" s="21">
        <f t="shared" si="23"/>
        <v>0</v>
      </c>
      <c r="Y193" s="21">
        <f t="shared" si="24"/>
        <v>0</v>
      </c>
    </row>
    <row r="194" spans="1:25" x14ac:dyDescent="0.3">
      <c r="A194" s="13" t="s">
        <v>98</v>
      </c>
      <c r="B194" s="13" t="s">
        <v>581</v>
      </c>
      <c r="C194" s="13" t="s">
        <v>113</v>
      </c>
      <c r="D194" s="13" t="s">
        <v>113</v>
      </c>
      <c r="E194" s="17">
        <v>41202</v>
      </c>
      <c r="F194" s="17">
        <v>2451</v>
      </c>
      <c r="G194" s="17">
        <v>2539</v>
      </c>
      <c r="H194" s="17">
        <v>2626</v>
      </c>
      <c r="I194" s="17">
        <v>2887</v>
      </c>
      <c r="J194" s="17">
        <v>2974</v>
      </c>
      <c r="K194" s="17">
        <v>3061</v>
      </c>
      <c r="L194" s="13">
        <v>0</v>
      </c>
      <c r="M194" s="13">
        <v>0</v>
      </c>
      <c r="N194" s="13">
        <v>0</v>
      </c>
      <c r="O194" s="13">
        <v>1</v>
      </c>
      <c r="P194" s="13">
        <v>0</v>
      </c>
      <c r="Q194" s="13">
        <v>0</v>
      </c>
      <c r="R194" s="21">
        <f t="shared" si="17"/>
        <v>0</v>
      </c>
      <c r="S194" s="21">
        <f t="shared" si="18"/>
        <v>0</v>
      </c>
      <c r="T194" s="21">
        <f t="shared" si="19"/>
        <v>0</v>
      </c>
      <c r="U194" s="21">
        <f t="shared" si="20"/>
        <v>34.638032559750606</v>
      </c>
      <c r="V194" s="21">
        <f t="shared" si="21"/>
        <v>0</v>
      </c>
      <c r="W194" s="21">
        <f t="shared" si="22"/>
        <v>0</v>
      </c>
      <c r="X194" s="21">
        <f t="shared" si="23"/>
        <v>0</v>
      </c>
      <c r="Y194" s="21">
        <f t="shared" si="24"/>
        <v>11.546010853250202</v>
      </c>
    </row>
    <row r="195" spans="1:25" x14ac:dyDescent="0.3">
      <c r="A195" s="13" t="s">
        <v>98</v>
      </c>
      <c r="B195" s="13" t="s">
        <v>320</v>
      </c>
      <c r="C195" s="13" t="s">
        <v>545</v>
      </c>
      <c r="D195" s="13" t="s">
        <v>545</v>
      </c>
      <c r="E195" s="17">
        <v>41301</v>
      </c>
      <c r="F195" s="17">
        <v>5992</v>
      </c>
      <c r="G195" s="17">
        <v>6084</v>
      </c>
      <c r="H195" s="17">
        <v>6176</v>
      </c>
      <c r="I195" s="17">
        <v>6453</v>
      </c>
      <c r="J195" s="17">
        <v>6545</v>
      </c>
      <c r="K195" s="17">
        <v>6637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21">
        <f t="shared" ref="R195:R258" si="25">(L195/F195)*100000</f>
        <v>0</v>
      </c>
      <c r="S195" s="21">
        <f t="shared" ref="S195:S258" si="26">(M195/G195)*100000</f>
        <v>0</v>
      </c>
      <c r="T195" s="21">
        <f t="shared" ref="T195:T258" si="27">(N195/H195)*100000</f>
        <v>0</v>
      </c>
      <c r="U195" s="21">
        <f t="shared" ref="U195:U258" si="28">(O195/I195)*100000</f>
        <v>0</v>
      </c>
      <c r="V195" s="21">
        <f t="shared" ref="V195:V258" si="29">(P195/J195)*100000</f>
        <v>0</v>
      </c>
      <c r="W195" s="21">
        <f t="shared" ref="W195:W258" si="30">(Q195/K195)*100000</f>
        <v>0</v>
      </c>
      <c r="X195" s="21">
        <f t="shared" ref="X195:X258" si="31">AVERAGE(R195:T195)</f>
        <v>0</v>
      </c>
      <c r="Y195" s="21">
        <f t="shared" ref="Y195:Y258" si="32">AVERAGE(U195:W195)</f>
        <v>0</v>
      </c>
    </row>
    <row r="196" spans="1:25" x14ac:dyDescent="0.3">
      <c r="A196" s="13" t="s">
        <v>98</v>
      </c>
      <c r="B196" s="13" t="s">
        <v>584</v>
      </c>
      <c r="C196" s="13" t="s">
        <v>585</v>
      </c>
      <c r="D196" s="13" t="s">
        <v>585</v>
      </c>
      <c r="E196" s="17">
        <v>41401</v>
      </c>
      <c r="F196" s="17">
        <v>13374</v>
      </c>
      <c r="G196" s="17">
        <v>13393</v>
      </c>
      <c r="H196" s="17">
        <v>13411</v>
      </c>
      <c r="I196" s="17">
        <v>13466</v>
      </c>
      <c r="J196" s="17">
        <v>13484</v>
      </c>
      <c r="K196" s="17">
        <v>13502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1</v>
      </c>
      <c r="R196" s="21">
        <f t="shared" si="25"/>
        <v>0</v>
      </c>
      <c r="S196" s="21">
        <f t="shared" si="26"/>
        <v>0</v>
      </c>
      <c r="T196" s="21">
        <f t="shared" si="27"/>
        <v>0</v>
      </c>
      <c r="U196" s="21">
        <f t="shared" si="28"/>
        <v>0</v>
      </c>
      <c r="V196" s="21">
        <f t="shared" si="29"/>
        <v>0</v>
      </c>
      <c r="W196" s="21">
        <f t="shared" si="30"/>
        <v>7.406310176270182</v>
      </c>
      <c r="X196" s="21">
        <f t="shared" si="31"/>
        <v>0</v>
      </c>
      <c r="Y196" s="21">
        <f t="shared" si="32"/>
        <v>2.4687700587567272</v>
      </c>
    </row>
    <row r="197" spans="1:25" x14ac:dyDescent="0.3">
      <c r="A197" s="13" t="s">
        <v>98</v>
      </c>
      <c r="B197" s="13" t="s">
        <v>586</v>
      </c>
      <c r="C197" s="13" t="s">
        <v>587</v>
      </c>
      <c r="D197" s="13" t="s">
        <v>587</v>
      </c>
      <c r="E197" s="17">
        <v>41501</v>
      </c>
      <c r="F197" s="17">
        <v>823</v>
      </c>
      <c r="G197" s="17">
        <v>886</v>
      </c>
      <c r="H197" s="17">
        <v>948</v>
      </c>
      <c r="I197" s="17">
        <v>1137</v>
      </c>
      <c r="J197" s="17">
        <v>1199</v>
      </c>
      <c r="K197" s="17">
        <v>1262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21">
        <f t="shared" si="25"/>
        <v>0</v>
      </c>
      <c r="S197" s="21">
        <f t="shared" si="26"/>
        <v>0</v>
      </c>
      <c r="T197" s="21">
        <f t="shared" si="27"/>
        <v>0</v>
      </c>
      <c r="U197" s="21">
        <f t="shared" si="28"/>
        <v>0</v>
      </c>
      <c r="V197" s="21">
        <f t="shared" si="29"/>
        <v>0</v>
      </c>
      <c r="W197" s="21">
        <f t="shared" si="30"/>
        <v>0</v>
      </c>
      <c r="X197" s="21">
        <f t="shared" si="31"/>
        <v>0</v>
      </c>
      <c r="Y197" s="21">
        <f t="shared" si="32"/>
        <v>0</v>
      </c>
    </row>
    <row r="198" spans="1:25" x14ac:dyDescent="0.3">
      <c r="A198" s="13" t="s">
        <v>98</v>
      </c>
      <c r="B198" s="13" t="s">
        <v>586</v>
      </c>
      <c r="C198" s="13" t="s">
        <v>588</v>
      </c>
      <c r="D198" s="13" t="s">
        <v>588</v>
      </c>
      <c r="E198" s="17">
        <v>41502</v>
      </c>
      <c r="F198" s="17">
        <v>899</v>
      </c>
      <c r="G198" s="17">
        <v>934</v>
      </c>
      <c r="H198" s="17">
        <v>968</v>
      </c>
      <c r="I198" s="17">
        <v>1071</v>
      </c>
      <c r="J198" s="17">
        <v>1106</v>
      </c>
      <c r="K198" s="17">
        <v>1140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  <c r="R198" s="21">
        <f t="shared" si="25"/>
        <v>0</v>
      </c>
      <c r="S198" s="21">
        <f t="shared" si="26"/>
        <v>0</v>
      </c>
      <c r="T198" s="21">
        <f t="shared" si="27"/>
        <v>0</v>
      </c>
      <c r="U198" s="21">
        <f t="shared" si="28"/>
        <v>0</v>
      </c>
      <c r="V198" s="21">
        <f t="shared" si="29"/>
        <v>0</v>
      </c>
      <c r="W198" s="21">
        <f t="shared" si="30"/>
        <v>0</v>
      </c>
      <c r="X198" s="21">
        <f t="shared" si="31"/>
        <v>0</v>
      </c>
      <c r="Y198" s="21">
        <f t="shared" si="32"/>
        <v>0</v>
      </c>
    </row>
    <row r="199" spans="1:25" x14ac:dyDescent="0.3">
      <c r="A199" s="13" t="s">
        <v>98</v>
      </c>
      <c r="B199" s="13" t="s">
        <v>586</v>
      </c>
      <c r="C199" s="13" t="s">
        <v>111</v>
      </c>
      <c r="D199" s="13" t="s">
        <v>111</v>
      </c>
      <c r="E199" s="17">
        <v>41503</v>
      </c>
      <c r="F199" s="17">
        <v>960</v>
      </c>
      <c r="G199" s="17">
        <v>985</v>
      </c>
      <c r="H199" s="17">
        <v>1009</v>
      </c>
      <c r="I199" s="17">
        <v>1081</v>
      </c>
      <c r="J199" s="17">
        <v>1105</v>
      </c>
      <c r="K199" s="17">
        <v>1129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21">
        <f t="shared" si="25"/>
        <v>0</v>
      </c>
      <c r="S199" s="21">
        <f t="shared" si="26"/>
        <v>0</v>
      </c>
      <c r="T199" s="21">
        <f t="shared" si="27"/>
        <v>0</v>
      </c>
      <c r="U199" s="21">
        <f t="shared" si="28"/>
        <v>0</v>
      </c>
      <c r="V199" s="21">
        <f t="shared" si="29"/>
        <v>0</v>
      </c>
      <c r="W199" s="21">
        <f t="shared" si="30"/>
        <v>0</v>
      </c>
      <c r="X199" s="21">
        <f t="shared" si="31"/>
        <v>0</v>
      </c>
      <c r="Y199" s="21">
        <f t="shared" si="32"/>
        <v>0</v>
      </c>
    </row>
    <row r="200" spans="1:25" x14ac:dyDescent="0.3">
      <c r="A200" s="13" t="s">
        <v>98</v>
      </c>
      <c r="B200" s="13" t="s">
        <v>589</v>
      </c>
      <c r="C200" s="13" t="s">
        <v>109</v>
      </c>
      <c r="D200" s="13" t="s">
        <v>590</v>
      </c>
      <c r="E200" s="17">
        <v>41601</v>
      </c>
      <c r="F200" s="17">
        <v>5708</v>
      </c>
      <c r="G200" s="17">
        <v>5749</v>
      </c>
      <c r="H200" s="17">
        <v>5790</v>
      </c>
      <c r="I200" s="17">
        <v>5914</v>
      </c>
      <c r="J200" s="17">
        <v>5955</v>
      </c>
      <c r="K200" s="17">
        <v>5996</v>
      </c>
      <c r="L200" s="13">
        <v>0</v>
      </c>
      <c r="M200" s="13">
        <v>0</v>
      </c>
      <c r="N200" s="13">
        <v>1</v>
      </c>
      <c r="O200" s="13">
        <v>0</v>
      </c>
      <c r="P200" s="13">
        <v>0</v>
      </c>
      <c r="Q200" s="13">
        <v>0</v>
      </c>
      <c r="R200" s="21">
        <f t="shared" si="25"/>
        <v>0</v>
      </c>
      <c r="S200" s="21">
        <f t="shared" si="26"/>
        <v>0</v>
      </c>
      <c r="T200" s="21">
        <f t="shared" si="27"/>
        <v>17.271157167530223</v>
      </c>
      <c r="U200" s="21">
        <f t="shared" si="28"/>
        <v>0</v>
      </c>
      <c r="V200" s="21">
        <f t="shared" si="29"/>
        <v>0</v>
      </c>
      <c r="W200" s="21">
        <f t="shared" si="30"/>
        <v>0</v>
      </c>
      <c r="X200" s="21">
        <f t="shared" si="31"/>
        <v>5.7570523891767413</v>
      </c>
      <c r="Y200" s="21">
        <f t="shared" si="32"/>
        <v>0</v>
      </c>
    </row>
    <row r="201" spans="1:25" x14ac:dyDescent="0.3">
      <c r="A201" s="13" t="s">
        <v>116</v>
      </c>
      <c r="B201" s="13" t="s">
        <v>591</v>
      </c>
      <c r="C201" s="13" t="s">
        <v>116</v>
      </c>
      <c r="D201" s="13" t="s">
        <v>116</v>
      </c>
      <c r="E201" s="17">
        <v>50101</v>
      </c>
      <c r="F201" s="17">
        <v>202719</v>
      </c>
      <c r="G201" s="17">
        <v>205002</v>
      </c>
      <c r="H201" s="17">
        <v>207285</v>
      </c>
      <c r="I201" s="17">
        <v>214135</v>
      </c>
      <c r="J201" s="17">
        <v>216419</v>
      </c>
      <c r="K201" s="17">
        <v>218702</v>
      </c>
      <c r="L201" s="13">
        <v>6</v>
      </c>
      <c r="M201" s="13">
        <v>19</v>
      </c>
      <c r="N201" s="13">
        <v>12</v>
      </c>
      <c r="O201" s="13">
        <v>12</v>
      </c>
      <c r="P201" s="13">
        <v>7</v>
      </c>
      <c r="Q201" s="13">
        <v>5</v>
      </c>
      <c r="R201" s="21">
        <f t="shared" si="25"/>
        <v>2.9597620351323757</v>
      </c>
      <c r="S201" s="21">
        <f t="shared" si="26"/>
        <v>9.2682022614413526</v>
      </c>
      <c r="T201" s="21">
        <f t="shared" si="27"/>
        <v>5.7891309067226286</v>
      </c>
      <c r="U201" s="21">
        <f t="shared" si="28"/>
        <v>5.6039414388119644</v>
      </c>
      <c r="V201" s="21">
        <f t="shared" si="29"/>
        <v>3.2344664747549894</v>
      </c>
      <c r="W201" s="21">
        <f t="shared" si="30"/>
        <v>2.286215946813472</v>
      </c>
      <c r="X201" s="21">
        <f t="shared" si="31"/>
        <v>6.0056984010987859</v>
      </c>
      <c r="Y201" s="21">
        <f t="shared" si="32"/>
        <v>3.7082079534601422</v>
      </c>
    </row>
    <row r="202" spans="1:25" x14ac:dyDescent="0.3">
      <c r="A202" s="13" t="s">
        <v>116</v>
      </c>
      <c r="B202" s="13" t="s">
        <v>591</v>
      </c>
      <c r="C202" s="13" t="s">
        <v>129</v>
      </c>
      <c r="D202" s="13" t="s">
        <v>129</v>
      </c>
      <c r="E202" s="17">
        <v>50102</v>
      </c>
      <c r="F202" s="17">
        <v>27926</v>
      </c>
      <c r="G202" s="17">
        <v>28071</v>
      </c>
      <c r="H202" s="17">
        <v>28216</v>
      </c>
      <c r="I202" s="17">
        <v>28652</v>
      </c>
      <c r="J202" s="17">
        <v>28797</v>
      </c>
      <c r="K202" s="17">
        <v>28942</v>
      </c>
      <c r="L202" s="13">
        <v>0</v>
      </c>
      <c r="M202" s="13">
        <v>0</v>
      </c>
      <c r="N202" s="13">
        <v>0</v>
      </c>
      <c r="O202" s="13">
        <v>1</v>
      </c>
      <c r="P202" s="13">
        <v>0</v>
      </c>
      <c r="Q202" s="13">
        <v>0</v>
      </c>
      <c r="R202" s="21">
        <f t="shared" si="25"/>
        <v>0</v>
      </c>
      <c r="S202" s="21">
        <f t="shared" si="26"/>
        <v>0</v>
      </c>
      <c r="T202" s="21">
        <f t="shared" si="27"/>
        <v>0</v>
      </c>
      <c r="U202" s="21">
        <f t="shared" si="28"/>
        <v>3.4901577551305323</v>
      </c>
      <c r="V202" s="21">
        <f t="shared" si="29"/>
        <v>0</v>
      </c>
      <c r="W202" s="21">
        <f t="shared" si="30"/>
        <v>0</v>
      </c>
      <c r="X202" s="21">
        <f t="shared" si="31"/>
        <v>0</v>
      </c>
      <c r="Y202" s="21">
        <f t="shared" si="32"/>
        <v>1.163385918376844</v>
      </c>
    </row>
    <row r="203" spans="1:25" x14ac:dyDescent="0.3">
      <c r="A203" s="13" t="s">
        <v>116</v>
      </c>
      <c r="B203" s="13" t="s">
        <v>591</v>
      </c>
      <c r="C203" s="13" t="s">
        <v>592</v>
      </c>
      <c r="D203" s="13" t="s">
        <v>593</v>
      </c>
      <c r="E203" s="17">
        <v>50103</v>
      </c>
      <c r="F203" s="17">
        <v>10343</v>
      </c>
      <c r="G203" s="17">
        <v>10616</v>
      </c>
      <c r="H203" s="17">
        <v>10889</v>
      </c>
      <c r="I203" s="17">
        <v>11707</v>
      </c>
      <c r="J203" s="17">
        <v>11980</v>
      </c>
      <c r="K203" s="17">
        <v>12253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21">
        <f t="shared" si="25"/>
        <v>0</v>
      </c>
      <c r="S203" s="21">
        <f t="shared" si="26"/>
        <v>0</v>
      </c>
      <c r="T203" s="21">
        <f t="shared" si="27"/>
        <v>0</v>
      </c>
      <c r="U203" s="21">
        <f t="shared" si="28"/>
        <v>0</v>
      </c>
      <c r="V203" s="21">
        <f t="shared" si="29"/>
        <v>0</v>
      </c>
      <c r="W203" s="21">
        <f t="shared" si="30"/>
        <v>0</v>
      </c>
      <c r="X203" s="21">
        <f t="shared" si="31"/>
        <v>0</v>
      </c>
      <c r="Y203" s="21">
        <f t="shared" si="32"/>
        <v>0</v>
      </c>
    </row>
    <row r="204" spans="1:25" x14ac:dyDescent="0.3">
      <c r="A204" s="13" t="s">
        <v>116</v>
      </c>
      <c r="B204" s="13" t="s">
        <v>591</v>
      </c>
      <c r="C204" s="13" t="s">
        <v>594</v>
      </c>
      <c r="D204" s="13" t="s">
        <v>595</v>
      </c>
      <c r="E204" s="17">
        <v>50104</v>
      </c>
      <c r="F204" s="17">
        <v>2910</v>
      </c>
      <c r="G204" s="17">
        <v>2940</v>
      </c>
      <c r="H204" s="17">
        <v>2970</v>
      </c>
      <c r="I204" s="17">
        <v>3061</v>
      </c>
      <c r="J204" s="17">
        <v>3091</v>
      </c>
      <c r="K204" s="17">
        <v>3121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21">
        <f t="shared" si="25"/>
        <v>0</v>
      </c>
      <c r="S204" s="21">
        <f t="shared" si="26"/>
        <v>0</v>
      </c>
      <c r="T204" s="21">
        <f t="shared" si="27"/>
        <v>0</v>
      </c>
      <c r="U204" s="21">
        <f t="shared" si="28"/>
        <v>0</v>
      </c>
      <c r="V204" s="21">
        <f t="shared" si="29"/>
        <v>0</v>
      </c>
      <c r="W204" s="21">
        <f t="shared" si="30"/>
        <v>0</v>
      </c>
      <c r="X204" s="21">
        <f t="shared" si="31"/>
        <v>0</v>
      </c>
      <c r="Y204" s="21">
        <f t="shared" si="32"/>
        <v>0</v>
      </c>
    </row>
    <row r="205" spans="1:25" x14ac:dyDescent="0.3">
      <c r="A205" s="13" t="s">
        <v>116</v>
      </c>
      <c r="B205" s="13" t="s">
        <v>596</v>
      </c>
      <c r="C205" s="13" t="s">
        <v>120</v>
      </c>
      <c r="D205" s="13" t="s">
        <v>120</v>
      </c>
      <c r="E205" s="17">
        <v>50201</v>
      </c>
      <c r="F205" s="17">
        <v>22332</v>
      </c>
      <c r="G205" s="17">
        <v>22394</v>
      </c>
      <c r="H205" s="17">
        <v>22456</v>
      </c>
      <c r="I205" s="17">
        <v>22643</v>
      </c>
      <c r="J205" s="17">
        <v>22706</v>
      </c>
      <c r="K205" s="17">
        <v>22768</v>
      </c>
      <c r="L205" s="13">
        <v>0</v>
      </c>
      <c r="M205" s="13">
        <v>0</v>
      </c>
      <c r="N205" s="13">
        <v>0</v>
      </c>
      <c r="O205" s="13">
        <v>3</v>
      </c>
      <c r="P205" s="13">
        <v>1</v>
      </c>
      <c r="Q205" s="13">
        <v>1</v>
      </c>
      <c r="R205" s="21">
        <f t="shared" si="25"/>
        <v>0</v>
      </c>
      <c r="S205" s="21">
        <f t="shared" si="26"/>
        <v>0</v>
      </c>
      <c r="T205" s="21">
        <f t="shared" si="27"/>
        <v>0</v>
      </c>
      <c r="U205" s="21">
        <f t="shared" si="28"/>
        <v>13.249127765755421</v>
      </c>
      <c r="V205" s="21">
        <f t="shared" si="29"/>
        <v>4.4041222584338939</v>
      </c>
      <c r="W205" s="21">
        <f t="shared" si="30"/>
        <v>4.3921293042867182</v>
      </c>
      <c r="X205" s="21">
        <f t="shared" si="31"/>
        <v>0</v>
      </c>
      <c r="Y205" s="21">
        <f t="shared" si="32"/>
        <v>7.3484597761586778</v>
      </c>
    </row>
    <row r="206" spans="1:25" x14ac:dyDescent="0.3">
      <c r="A206" s="13" t="s">
        <v>116</v>
      </c>
      <c r="B206" s="13" t="s">
        <v>596</v>
      </c>
      <c r="C206" s="13" t="s">
        <v>597</v>
      </c>
      <c r="D206" s="13" t="s">
        <v>597</v>
      </c>
      <c r="E206" s="17">
        <v>50202</v>
      </c>
      <c r="F206" s="17">
        <v>16084</v>
      </c>
      <c r="G206" s="17">
        <v>16075</v>
      </c>
      <c r="H206" s="17">
        <v>16066</v>
      </c>
      <c r="I206" s="17">
        <v>16039</v>
      </c>
      <c r="J206" s="17">
        <v>16030</v>
      </c>
      <c r="K206" s="17">
        <v>16021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21">
        <f t="shared" si="25"/>
        <v>0</v>
      </c>
      <c r="S206" s="21">
        <f t="shared" si="26"/>
        <v>0</v>
      </c>
      <c r="T206" s="21">
        <f t="shared" si="27"/>
        <v>0</v>
      </c>
      <c r="U206" s="21">
        <f t="shared" si="28"/>
        <v>0</v>
      </c>
      <c r="V206" s="21">
        <f t="shared" si="29"/>
        <v>0</v>
      </c>
      <c r="W206" s="21">
        <f t="shared" si="30"/>
        <v>0</v>
      </c>
      <c r="X206" s="21">
        <f t="shared" si="31"/>
        <v>0</v>
      </c>
      <c r="Y206" s="21">
        <f t="shared" si="32"/>
        <v>0</v>
      </c>
    </row>
    <row r="207" spans="1:25" x14ac:dyDescent="0.3">
      <c r="A207" s="13" t="s">
        <v>116</v>
      </c>
      <c r="B207" s="13" t="s">
        <v>596</v>
      </c>
      <c r="C207" s="13" t="s">
        <v>117</v>
      </c>
      <c r="D207" s="13" t="s">
        <v>117</v>
      </c>
      <c r="E207" s="17">
        <v>50203</v>
      </c>
      <c r="F207" s="17">
        <v>41347</v>
      </c>
      <c r="G207" s="17">
        <v>41395</v>
      </c>
      <c r="H207" s="17">
        <v>41444</v>
      </c>
      <c r="I207" s="17">
        <v>41589</v>
      </c>
      <c r="J207" s="17">
        <v>41638</v>
      </c>
      <c r="K207" s="17">
        <v>41686</v>
      </c>
      <c r="L207" s="13">
        <v>2</v>
      </c>
      <c r="M207" s="13">
        <v>3</v>
      </c>
      <c r="N207" s="13">
        <v>4</v>
      </c>
      <c r="O207" s="13">
        <v>1</v>
      </c>
      <c r="P207" s="13">
        <v>9</v>
      </c>
      <c r="Q207" s="13">
        <v>0</v>
      </c>
      <c r="R207" s="21">
        <f t="shared" si="25"/>
        <v>4.8371103103006261</v>
      </c>
      <c r="S207" s="21">
        <f t="shared" si="26"/>
        <v>7.2472520835849741</v>
      </c>
      <c r="T207" s="21">
        <f t="shared" si="27"/>
        <v>9.6515780330083967</v>
      </c>
      <c r="U207" s="21">
        <f t="shared" si="28"/>
        <v>2.4044819543629328</v>
      </c>
      <c r="V207" s="21">
        <f t="shared" si="29"/>
        <v>21.614871031269512</v>
      </c>
      <c r="W207" s="21">
        <f t="shared" si="30"/>
        <v>0</v>
      </c>
      <c r="X207" s="21">
        <f t="shared" si="31"/>
        <v>7.245313475631332</v>
      </c>
      <c r="Y207" s="21">
        <f t="shared" si="32"/>
        <v>8.0064509952108143</v>
      </c>
    </row>
    <row r="208" spans="1:25" x14ac:dyDescent="0.3">
      <c r="A208" s="13" t="s">
        <v>116</v>
      </c>
      <c r="B208" s="13" t="s">
        <v>596</v>
      </c>
      <c r="C208" s="13" t="s">
        <v>598</v>
      </c>
      <c r="D208" s="13" t="s">
        <v>598</v>
      </c>
      <c r="E208" s="17">
        <v>50204</v>
      </c>
      <c r="F208" s="17">
        <v>8103</v>
      </c>
      <c r="G208" s="17">
        <v>8120</v>
      </c>
      <c r="H208" s="17">
        <v>8136</v>
      </c>
      <c r="I208" s="17">
        <v>8187</v>
      </c>
      <c r="J208" s="17">
        <v>8203</v>
      </c>
      <c r="K208" s="17">
        <v>8220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21">
        <f t="shared" si="25"/>
        <v>0</v>
      </c>
      <c r="S208" s="21">
        <f t="shared" si="26"/>
        <v>0</v>
      </c>
      <c r="T208" s="21">
        <f t="shared" si="27"/>
        <v>0</v>
      </c>
      <c r="U208" s="21">
        <f t="shared" si="28"/>
        <v>0</v>
      </c>
      <c r="V208" s="21">
        <f t="shared" si="29"/>
        <v>0</v>
      </c>
      <c r="W208" s="21">
        <f t="shared" si="30"/>
        <v>0</v>
      </c>
      <c r="X208" s="21">
        <f t="shared" si="31"/>
        <v>0</v>
      </c>
      <c r="Y208" s="21">
        <f t="shared" si="32"/>
        <v>0</v>
      </c>
    </row>
    <row r="209" spans="1:25" x14ac:dyDescent="0.3">
      <c r="A209" s="13" t="s">
        <v>116</v>
      </c>
      <c r="B209" s="13" t="s">
        <v>599</v>
      </c>
      <c r="C209" s="13" t="s">
        <v>122</v>
      </c>
      <c r="D209" s="13" t="s">
        <v>600</v>
      </c>
      <c r="E209" s="17">
        <v>50301</v>
      </c>
      <c r="F209" s="17">
        <v>33081</v>
      </c>
      <c r="G209" s="17">
        <v>32913</v>
      </c>
      <c r="H209" s="17">
        <v>32745</v>
      </c>
      <c r="I209" s="17">
        <v>32240</v>
      </c>
      <c r="J209" s="17">
        <v>32072</v>
      </c>
      <c r="K209" s="17">
        <v>31904</v>
      </c>
      <c r="L209" s="13">
        <v>0</v>
      </c>
      <c r="M209" s="13">
        <v>0</v>
      </c>
      <c r="N209" s="13">
        <v>0</v>
      </c>
      <c r="O209" s="13">
        <v>1</v>
      </c>
      <c r="P209" s="13">
        <v>0</v>
      </c>
      <c r="Q209" s="13">
        <v>1</v>
      </c>
      <c r="R209" s="21">
        <f t="shared" si="25"/>
        <v>0</v>
      </c>
      <c r="S209" s="21">
        <f t="shared" si="26"/>
        <v>0</v>
      </c>
      <c r="T209" s="21">
        <f t="shared" si="27"/>
        <v>0</v>
      </c>
      <c r="U209" s="21">
        <f t="shared" si="28"/>
        <v>3.1017369727047148</v>
      </c>
      <c r="V209" s="21">
        <f t="shared" si="29"/>
        <v>0</v>
      </c>
      <c r="W209" s="21">
        <f t="shared" si="30"/>
        <v>3.1344032096288865</v>
      </c>
      <c r="X209" s="21">
        <f t="shared" si="31"/>
        <v>0</v>
      </c>
      <c r="Y209" s="21">
        <f t="shared" si="32"/>
        <v>2.0787133941112006</v>
      </c>
    </row>
    <row r="210" spans="1:25" x14ac:dyDescent="0.3">
      <c r="A210" s="13" t="s">
        <v>116</v>
      </c>
      <c r="B210" s="13" t="s">
        <v>599</v>
      </c>
      <c r="C210" s="13" t="s">
        <v>601</v>
      </c>
      <c r="D210" s="13" t="s">
        <v>601</v>
      </c>
      <c r="E210" s="17">
        <v>50302</v>
      </c>
      <c r="F210" s="17">
        <v>9650</v>
      </c>
      <c r="G210" s="17">
        <v>9598</v>
      </c>
      <c r="H210" s="17">
        <v>9545</v>
      </c>
      <c r="I210" s="17">
        <v>9389</v>
      </c>
      <c r="J210" s="17">
        <v>9337</v>
      </c>
      <c r="K210" s="17">
        <v>9285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  <c r="R210" s="21">
        <f t="shared" si="25"/>
        <v>0</v>
      </c>
      <c r="S210" s="21">
        <f t="shared" si="26"/>
        <v>0</v>
      </c>
      <c r="T210" s="21">
        <f t="shared" si="27"/>
        <v>0</v>
      </c>
      <c r="U210" s="21">
        <f t="shared" si="28"/>
        <v>0</v>
      </c>
      <c r="V210" s="21">
        <f t="shared" si="29"/>
        <v>0</v>
      </c>
      <c r="W210" s="21">
        <f t="shared" si="30"/>
        <v>0</v>
      </c>
      <c r="X210" s="21">
        <f t="shared" si="31"/>
        <v>0</v>
      </c>
      <c r="Y210" s="21">
        <f t="shared" si="32"/>
        <v>0</v>
      </c>
    </row>
    <row r="211" spans="1:25" x14ac:dyDescent="0.3">
      <c r="A211" s="13" t="s">
        <v>116</v>
      </c>
      <c r="B211" s="13" t="s">
        <v>599</v>
      </c>
      <c r="C211" s="13" t="s">
        <v>602</v>
      </c>
      <c r="D211" s="13" t="s">
        <v>602</v>
      </c>
      <c r="E211" s="17">
        <v>50303</v>
      </c>
      <c r="F211" s="17">
        <v>12890</v>
      </c>
      <c r="G211" s="17">
        <v>13101</v>
      </c>
      <c r="H211" s="17">
        <v>13311</v>
      </c>
      <c r="I211" s="17">
        <v>13944</v>
      </c>
      <c r="J211" s="17">
        <v>14155</v>
      </c>
      <c r="K211" s="17">
        <v>14366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21">
        <f t="shared" si="25"/>
        <v>0</v>
      </c>
      <c r="S211" s="21">
        <f t="shared" si="26"/>
        <v>0</v>
      </c>
      <c r="T211" s="21">
        <f t="shared" si="27"/>
        <v>0</v>
      </c>
      <c r="U211" s="21">
        <f t="shared" si="28"/>
        <v>0</v>
      </c>
      <c r="V211" s="21">
        <f t="shared" si="29"/>
        <v>0</v>
      </c>
      <c r="W211" s="21">
        <f t="shared" si="30"/>
        <v>0</v>
      </c>
      <c r="X211" s="21">
        <f t="shared" si="31"/>
        <v>0</v>
      </c>
      <c r="Y211" s="21">
        <f t="shared" si="32"/>
        <v>0</v>
      </c>
    </row>
    <row r="212" spans="1:25" x14ac:dyDescent="0.3">
      <c r="A212" s="13" t="s">
        <v>116</v>
      </c>
      <c r="B212" s="13" t="s">
        <v>597</v>
      </c>
      <c r="C212" s="13" t="s">
        <v>603</v>
      </c>
      <c r="D212" s="13" t="s">
        <v>603</v>
      </c>
      <c r="E212" s="17">
        <v>50401</v>
      </c>
      <c r="F212" s="17">
        <v>15720</v>
      </c>
      <c r="G212" s="17">
        <v>15812</v>
      </c>
      <c r="H212" s="17">
        <v>15903</v>
      </c>
      <c r="I212" s="17">
        <v>16179</v>
      </c>
      <c r="J212" s="17">
        <v>16271</v>
      </c>
      <c r="K212" s="17">
        <v>16363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  <c r="R212" s="21">
        <f t="shared" si="25"/>
        <v>0</v>
      </c>
      <c r="S212" s="21">
        <f t="shared" si="26"/>
        <v>0</v>
      </c>
      <c r="T212" s="21">
        <f t="shared" si="27"/>
        <v>0</v>
      </c>
      <c r="U212" s="21">
        <f t="shared" si="28"/>
        <v>0</v>
      </c>
      <c r="V212" s="21">
        <f t="shared" si="29"/>
        <v>0</v>
      </c>
      <c r="W212" s="21">
        <f t="shared" si="30"/>
        <v>0</v>
      </c>
      <c r="X212" s="21">
        <f t="shared" si="31"/>
        <v>0</v>
      </c>
      <c r="Y212" s="21">
        <f t="shared" si="32"/>
        <v>0</v>
      </c>
    </row>
    <row r="213" spans="1:25" x14ac:dyDescent="0.3">
      <c r="A213" s="13" t="s">
        <v>116</v>
      </c>
      <c r="B213" s="13" t="s">
        <v>597</v>
      </c>
      <c r="C213" s="13" t="s">
        <v>604</v>
      </c>
      <c r="D213" s="13" t="s">
        <v>604</v>
      </c>
      <c r="E213" s="17">
        <v>50402</v>
      </c>
      <c r="F213" s="17">
        <v>19420</v>
      </c>
      <c r="G213" s="17">
        <v>19061</v>
      </c>
      <c r="H213" s="17">
        <v>18702</v>
      </c>
      <c r="I213" s="17">
        <v>17626</v>
      </c>
      <c r="J213" s="17">
        <v>17268</v>
      </c>
      <c r="K213" s="17">
        <v>16909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21">
        <f t="shared" si="25"/>
        <v>0</v>
      </c>
      <c r="S213" s="21">
        <f t="shared" si="26"/>
        <v>0</v>
      </c>
      <c r="T213" s="21">
        <f t="shared" si="27"/>
        <v>0</v>
      </c>
      <c r="U213" s="21">
        <f t="shared" si="28"/>
        <v>0</v>
      </c>
      <c r="V213" s="21">
        <f t="shared" si="29"/>
        <v>0</v>
      </c>
      <c r="W213" s="21">
        <f t="shared" si="30"/>
        <v>0</v>
      </c>
      <c r="X213" s="21">
        <f t="shared" si="31"/>
        <v>0</v>
      </c>
      <c r="Y213" s="21">
        <f t="shared" si="32"/>
        <v>0</v>
      </c>
    </row>
    <row r="214" spans="1:25" x14ac:dyDescent="0.3">
      <c r="A214" s="13" t="s">
        <v>116</v>
      </c>
      <c r="B214" s="13" t="s">
        <v>597</v>
      </c>
      <c r="C214" s="13" t="s">
        <v>127</v>
      </c>
      <c r="D214" s="13" t="s">
        <v>127</v>
      </c>
      <c r="E214" s="17">
        <v>50403</v>
      </c>
      <c r="F214" s="17">
        <v>28960</v>
      </c>
      <c r="G214" s="17">
        <v>29486</v>
      </c>
      <c r="H214" s="17">
        <v>30011</v>
      </c>
      <c r="I214" s="17">
        <v>31589</v>
      </c>
      <c r="J214" s="17">
        <v>32115</v>
      </c>
      <c r="K214" s="17">
        <v>32641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21">
        <f t="shared" si="25"/>
        <v>0</v>
      </c>
      <c r="S214" s="21">
        <f t="shared" si="26"/>
        <v>0</v>
      </c>
      <c r="T214" s="21">
        <f t="shared" si="27"/>
        <v>0</v>
      </c>
      <c r="U214" s="21">
        <f t="shared" si="28"/>
        <v>0</v>
      </c>
      <c r="V214" s="21">
        <f t="shared" si="29"/>
        <v>0</v>
      </c>
      <c r="W214" s="21">
        <f t="shared" si="30"/>
        <v>0</v>
      </c>
      <c r="X214" s="21">
        <f t="shared" si="31"/>
        <v>0</v>
      </c>
      <c r="Y214" s="21">
        <f t="shared" si="32"/>
        <v>0</v>
      </c>
    </row>
    <row r="215" spans="1:25" x14ac:dyDescent="0.3">
      <c r="A215" s="13" t="s">
        <v>116</v>
      </c>
      <c r="B215" s="13" t="s">
        <v>597</v>
      </c>
      <c r="C215" s="13" t="s">
        <v>605</v>
      </c>
      <c r="D215" s="13" t="s">
        <v>605</v>
      </c>
      <c r="E215" s="17">
        <v>50404</v>
      </c>
      <c r="F215" s="17">
        <v>15457</v>
      </c>
      <c r="G215" s="17">
        <v>15325</v>
      </c>
      <c r="H215" s="17">
        <v>15193</v>
      </c>
      <c r="I215" s="17">
        <v>14796</v>
      </c>
      <c r="J215" s="17">
        <v>14664</v>
      </c>
      <c r="K215" s="17">
        <v>14532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21">
        <f t="shared" si="25"/>
        <v>0</v>
      </c>
      <c r="S215" s="21">
        <f t="shared" si="26"/>
        <v>0</v>
      </c>
      <c r="T215" s="21">
        <f t="shared" si="27"/>
        <v>0</v>
      </c>
      <c r="U215" s="21">
        <f t="shared" si="28"/>
        <v>0</v>
      </c>
      <c r="V215" s="21">
        <f t="shared" si="29"/>
        <v>0</v>
      </c>
      <c r="W215" s="21">
        <f t="shared" si="30"/>
        <v>0</v>
      </c>
      <c r="X215" s="21">
        <f t="shared" si="31"/>
        <v>0</v>
      </c>
      <c r="Y215" s="21">
        <f t="shared" si="32"/>
        <v>0</v>
      </c>
    </row>
    <row r="216" spans="1:25" x14ac:dyDescent="0.3">
      <c r="A216" s="13" t="s">
        <v>116</v>
      </c>
      <c r="B216" s="13" t="s">
        <v>597</v>
      </c>
      <c r="C216" s="13" t="s">
        <v>125</v>
      </c>
      <c r="D216" s="13" t="s">
        <v>125</v>
      </c>
      <c r="E216" s="17">
        <v>50405</v>
      </c>
      <c r="F216" s="17">
        <v>20386</v>
      </c>
      <c r="G216" s="17">
        <v>20475</v>
      </c>
      <c r="H216" s="17">
        <v>20564</v>
      </c>
      <c r="I216" s="17">
        <v>20832</v>
      </c>
      <c r="J216" s="17">
        <v>20922</v>
      </c>
      <c r="K216" s="17">
        <v>21011</v>
      </c>
      <c r="L216" s="13">
        <v>0</v>
      </c>
      <c r="M216" s="13">
        <v>0</v>
      </c>
      <c r="N216" s="13">
        <v>0</v>
      </c>
      <c r="O216" s="13">
        <v>0</v>
      </c>
      <c r="P216" s="13">
        <v>1</v>
      </c>
      <c r="Q216" s="13">
        <v>0</v>
      </c>
      <c r="R216" s="21">
        <f t="shared" si="25"/>
        <v>0</v>
      </c>
      <c r="S216" s="21">
        <f t="shared" si="26"/>
        <v>0</v>
      </c>
      <c r="T216" s="21">
        <f t="shared" si="27"/>
        <v>0</v>
      </c>
      <c r="U216" s="21">
        <f t="shared" si="28"/>
        <v>0</v>
      </c>
      <c r="V216" s="21">
        <f t="shared" si="29"/>
        <v>4.7796577765032024</v>
      </c>
      <c r="W216" s="21">
        <f t="shared" si="30"/>
        <v>0</v>
      </c>
      <c r="X216" s="21">
        <f t="shared" si="31"/>
        <v>0</v>
      </c>
      <c r="Y216" s="21">
        <f t="shared" si="32"/>
        <v>1.5932192588344007</v>
      </c>
    </row>
    <row r="217" spans="1:25" x14ac:dyDescent="0.3">
      <c r="A217" s="13" t="s">
        <v>116</v>
      </c>
      <c r="B217" s="13" t="s">
        <v>606</v>
      </c>
      <c r="C217" s="13" t="s">
        <v>172</v>
      </c>
      <c r="D217" s="13" t="s">
        <v>172</v>
      </c>
      <c r="E217" s="17">
        <v>50501</v>
      </c>
      <c r="F217" s="17">
        <v>29347</v>
      </c>
      <c r="G217" s="17">
        <v>29214</v>
      </c>
      <c r="H217" s="17">
        <v>29081</v>
      </c>
      <c r="I217" s="17">
        <v>28682</v>
      </c>
      <c r="J217" s="17">
        <v>28549</v>
      </c>
      <c r="K217" s="17">
        <v>28416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21">
        <f t="shared" si="25"/>
        <v>0</v>
      </c>
      <c r="S217" s="21">
        <f t="shared" si="26"/>
        <v>0</v>
      </c>
      <c r="T217" s="21">
        <f t="shared" si="27"/>
        <v>0</v>
      </c>
      <c r="U217" s="21">
        <f t="shared" si="28"/>
        <v>0</v>
      </c>
      <c r="V217" s="21">
        <f t="shared" si="29"/>
        <v>0</v>
      </c>
      <c r="W217" s="21">
        <f t="shared" si="30"/>
        <v>0</v>
      </c>
      <c r="X217" s="21">
        <f t="shared" si="31"/>
        <v>0</v>
      </c>
      <c r="Y217" s="21">
        <f t="shared" si="32"/>
        <v>0</v>
      </c>
    </row>
    <row r="218" spans="1:25" x14ac:dyDescent="0.3">
      <c r="A218" s="13" t="s">
        <v>116</v>
      </c>
      <c r="B218" s="13" t="s">
        <v>606</v>
      </c>
      <c r="C218" s="13" t="s">
        <v>607</v>
      </c>
      <c r="D218" s="13" t="s">
        <v>607</v>
      </c>
      <c r="E218" s="17">
        <v>50502</v>
      </c>
      <c r="F218" s="17">
        <v>10805</v>
      </c>
      <c r="G218" s="17">
        <v>10792</v>
      </c>
      <c r="H218" s="17">
        <v>10779</v>
      </c>
      <c r="I218" s="17">
        <v>10740</v>
      </c>
      <c r="J218" s="17">
        <v>10727</v>
      </c>
      <c r="K218" s="17">
        <v>10714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0</v>
      </c>
      <c r="R218" s="21">
        <f t="shared" si="25"/>
        <v>0</v>
      </c>
      <c r="S218" s="21">
        <f t="shared" si="26"/>
        <v>0</v>
      </c>
      <c r="T218" s="21">
        <f t="shared" si="27"/>
        <v>0</v>
      </c>
      <c r="U218" s="21">
        <f t="shared" si="28"/>
        <v>0</v>
      </c>
      <c r="V218" s="21">
        <f t="shared" si="29"/>
        <v>0</v>
      </c>
      <c r="W218" s="21">
        <f t="shared" si="30"/>
        <v>0</v>
      </c>
      <c r="X218" s="21">
        <f t="shared" si="31"/>
        <v>0</v>
      </c>
      <c r="Y218" s="21">
        <f t="shared" si="32"/>
        <v>0</v>
      </c>
    </row>
    <row r="219" spans="1:25" x14ac:dyDescent="0.3">
      <c r="A219" s="13" t="s">
        <v>116</v>
      </c>
      <c r="B219" s="13" t="s">
        <v>608</v>
      </c>
      <c r="C219" s="13" t="s">
        <v>124</v>
      </c>
      <c r="D219" s="13" t="s">
        <v>124</v>
      </c>
      <c r="E219" s="17">
        <v>50601</v>
      </c>
      <c r="F219" s="17">
        <v>30726</v>
      </c>
      <c r="G219" s="17">
        <v>30511</v>
      </c>
      <c r="H219" s="17">
        <v>30296</v>
      </c>
      <c r="I219" s="17">
        <v>29651</v>
      </c>
      <c r="J219" s="17">
        <v>29436</v>
      </c>
      <c r="K219" s="17">
        <v>29221</v>
      </c>
      <c r="L219" s="13">
        <v>0</v>
      </c>
      <c r="M219" s="13">
        <v>0</v>
      </c>
      <c r="N219" s="13">
        <v>0</v>
      </c>
      <c r="O219" s="13">
        <v>1</v>
      </c>
      <c r="P219" s="13">
        <v>1</v>
      </c>
      <c r="Q219" s="13">
        <v>1</v>
      </c>
      <c r="R219" s="21">
        <f t="shared" si="25"/>
        <v>0</v>
      </c>
      <c r="S219" s="21">
        <f t="shared" si="26"/>
        <v>0</v>
      </c>
      <c r="T219" s="21">
        <f t="shared" si="27"/>
        <v>0</v>
      </c>
      <c r="U219" s="21">
        <f t="shared" si="28"/>
        <v>3.3725675356649014</v>
      </c>
      <c r="V219" s="21">
        <f t="shared" si="29"/>
        <v>3.3972007066177468</v>
      </c>
      <c r="W219" s="21">
        <f t="shared" si="30"/>
        <v>3.4221963656274599</v>
      </c>
      <c r="X219" s="21">
        <f t="shared" si="31"/>
        <v>0</v>
      </c>
      <c r="Y219" s="21">
        <f t="shared" si="32"/>
        <v>3.3973215359700362</v>
      </c>
    </row>
    <row r="220" spans="1:25" x14ac:dyDescent="0.3">
      <c r="A220" s="13" t="s">
        <v>116</v>
      </c>
      <c r="B220" s="13" t="s">
        <v>608</v>
      </c>
      <c r="C220" s="13" t="s">
        <v>609</v>
      </c>
      <c r="D220" s="13" t="s">
        <v>609</v>
      </c>
      <c r="E220" s="17">
        <v>50602</v>
      </c>
      <c r="F220" s="17">
        <v>10454</v>
      </c>
      <c r="G220" s="17">
        <v>10415</v>
      </c>
      <c r="H220" s="17">
        <v>10377</v>
      </c>
      <c r="I220" s="17">
        <v>10261</v>
      </c>
      <c r="J220" s="17">
        <v>10223</v>
      </c>
      <c r="K220" s="17">
        <v>10184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1</v>
      </c>
      <c r="R220" s="21">
        <f t="shared" si="25"/>
        <v>0</v>
      </c>
      <c r="S220" s="21">
        <f t="shared" si="26"/>
        <v>0</v>
      </c>
      <c r="T220" s="21">
        <f t="shared" si="27"/>
        <v>0</v>
      </c>
      <c r="U220" s="21">
        <f t="shared" si="28"/>
        <v>0</v>
      </c>
      <c r="V220" s="21">
        <f t="shared" si="29"/>
        <v>0</v>
      </c>
      <c r="W220" s="21">
        <f t="shared" si="30"/>
        <v>9.8193244304791829</v>
      </c>
      <c r="X220" s="21">
        <f t="shared" si="31"/>
        <v>0</v>
      </c>
      <c r="Y220" s="21">
        <f t="shared" si="32"/>
        <v>3.2731081434930611</v>
      </c>
    </row>
    <row r="221" spans="1:25" x14ac:dyDescent="0.3">
      <c r="A221" s="13" t="s">
        <v>116</v>
      </c>
      <c r="B221" s="13" t="s">
        <v>610</v>
      </c>
      <c r="C221" s="13" t="s">
        <v>611</v>
      </c>
      <c r="D221" s="13" t="s">
        <v>128</v>
      </c>
      <c r="E221" s="17">
        <v>50701</v>
      </c>
      <c r="F221" s="17">
        <v>18609</v>
      </c>
      <c r="G221" s="17">
        <v>18408</v>
      </c>
      <c r="H221" s="17">
        <v>18208</v>
      </c>
      <c r="I221" s="17">
        <v>17606</v>
      </c>
      <c r="J221" s="17">
        <v>17406</v>
      </c>
      <c r="K221" s="17">
        <v>17205</v>
      </c>
      <c r="L221" s="13">
        <v>0</v>
      </c>
      <c r="M221" s="13">
        <v>0</v>
      </c>
      <c r="N221" s="13">
        <v>0</v>
      </c>
      <c r="O221" s="13">
        <v>1</v>
      </c>
      <c r="P221" s="13">
        <v>0</v>
      </c>
      <c r="Q221" s="13">
        <v>0</v>
      </c>
      <c r="R221" s="21">
        <f t="shared" si="25"/>
        <v>0</v>
      </c>
      <c r="S221" s="21">
        <f t="shared" si="26"/>
        <v>0</v>
      </c>
      <c r="T221" s="21">
        <f t="shared" si="27"/>
        <v>0</v>
      </c>
      <c r="U221" s="21">
        <f t="shared" si="28"/>
        <v>5.6798818584573443</v>
      </c>
      <c r="V221" s="21">
        <f t="shared" si="29"/>
        <v>0</v>
      </c>
      <c r="W221" s="21">
        <f t="shared" si="30"/>
        <v>0</v>
      </c>
      <c r="X221" s="21">
        <f t="shared" si="31"/>
        <v>0</v>
      </c>
      <c r="Y221" s="21">
        <f t="shared" si="32"/>
        <v>1.8932939528191148</v>
      </c>
    </row>
    <row r="222" spans="1:25" x14ac:dyDescent="0.3">
      <c r="A222" s="13" t="s">
        <v>116</v>
      </c>
      <c r="B222" s="13" t="s">
        <v>610</v>
      </c>
      <c r="C222" s="13" t="s">
        <v>612</v>
      </c>
      <c r="D222" s="13" t="s">
        <v>612</v>
      </c>
      <c r="E222" s="17">
        <v>50702</v>
      </c>
      <c r="F222" s="17">
        <v>8602</v>
      </c>
      <c r="G222" s="17">
        <v>8581</v>
      </c>
      <c r="H222" s="17">
        <v>8561</v>
      </c>
      <c r="I222" s="17">
        <v>8499</v>
      </c>
      <c r="J222" s="17">
        <v>8479</v>
      </c>
      <c r="K222" s="17">
        <v>8458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21">
        <f t="shared" si="25"/>
        <v>0</v>
      </c>
      <c r="S222" s="21">
        <f t="shared" si="26"/>
        <v>0</v>
      </c>
      <c r="T222" s="21">
        <f t="shared" si="27"/>
        <v>0</v>
      </c>
      <c r="U222" s="21">
        <f t="shared" si="28"/>
        <v>0</v>
      </c>
      <c r="V222" s="21">
        <f t="shared" si="29"/>
        <v>0</v>
      </c>
      <c r="W222" s="21">
        <f t="shared" si="30"/>
        <v>0</v>
      </c>
      <c r="X222" s="21">
        <f t="shared" si="31"/>
        <v>0</v>
      </c>
      <c r="Y222" s="21">
        <f t="shared" si="32"/>
        <v>0</v>
      </c>
    </row>
    <row r="223" spans="1:25" x14ac:dyDescent="0.3">
      <c r="A223" s="13" t="s">
        <v>116</v>
      </c>
      <c r="B223" s="13" t="s">
        <v>613</v>
      </c>
      <c r="C223" s="13" t="s">
        <v>119</v>
      </c>
      <c r="D223" s="13" t="s">
        <v>119</v>
      </c>
      <c r="E223" s="17">
        <v>50801</v>
      </c>
      <c r="F223" s="17">
        <v>45137</v>
      </c>
      <c r="G223" s="17">
        <v>45202</v>
      </c>
      <c r="H223" s="17">
        <v>45267</v>
      </c>
      <c r="I223" s="17">
        <v>45461</v>
      </c>
      <c r="J223" s="17">
        <v>45525</v>
      </c>
      <c r="K223" s="17">
        <v>45590</v>
      </c>
      <c r="L223" s="13">
        <v>2</v>
      </c>
      <c r="M223" s="13">
        <v>1</v>
      </c>
      <c r="N223" s="13">
        <v>0</v>
      </c>
      <c r="O223" s="13">
        <v>1</v>
      </c>
      <c r="P223" s="13">
        <v>5</v>
      </c>
      <c r="Q223" s="13">
        <v>3</v>
      </c>
      <c r="R223" s="21">
        <f t="shared" si="25"/>
        <v>4.4309546491791663</v>
      </c>
      <c r="S223" s="21">
        <f t="shared" si="26"/>
        <v>2.2122914915269236</v>
      </c>
      <c r="T223" s="21">
        <f t="shared" si="27"/>
        <v>0</v>
      </c>
      <c r="U223" s="21">
        <f t="shared" si="28"/>
        <v>2.1996876443545017</v>
      </c>
      <c r="V223" s="21">
        <f t="shared" si="29"/>
        <v>10.982976386600768</v>
      </c>
      <c r="W223" s="21">
        <f t="shared" si="30"/>
        <v>6.5803904364992327</v>
      </c>
      <c r="X223" s="21">
        <f t="shared" si="31"/>
        <v>2.2144153802353634</v>
      </c>
      <c r="Y223" s="21">
        <f t="shared" si="32"/>
        <v>6.5876848224848343</v>
      </c>
    </row>
    <row r="224" spans="1:25" x14ac:dyDescent="0.3">
      <c r="A224" s="13" t="s">
        <v>116</v>
      </c>
      <c r="B224" s="13" t="s">
        <v>613</v>
      </c>
      <c r="C224" s="13" t="s">
        <v>130</v>
      </c>
      <c r="D224" s="13" t="s">
        <v>130</v>
      </c>
      <c r="E224" s="17">
        <v>50802</v>
      </c>
      <c r="F224" s="17">
        <v>10557</v>
      </c>
      <c r="G224" s="17">
        <v>10422</v>
      </c>
      <c r="H224" s="17">
        <v>10287</v>
      </c>
      <c r="I224" s="17">
        <v>9881</v>
      </c>
      <c r="J224" s="17">
        <v>9745</v>
      </c>
      <c r="K224" s="17">
        <v>9610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1</v>
      </c>
      <c r="R224" s="21">
        <f t="shared" si="25"/>
        <v>0</v>
      </c>
      <c r="S224" s="21">
        <f t="shared" si="26"/>
        <v>0</v>
      </c>
      <c r="T224" s="21">
        <f t="shared" si="27"/>
        <v>0</v>
      </c>
      <c r="U224" s="21">
        <f t="shared" si="28"/>
        <v>0</v>
      </c>
      <c r="V224" s="21">
        <f t="shared" si="29"/>
        <v>0</v>
      </c>
      <c r="W224" s="21">
        <f t="shared" si="30"/>
        <v>10.40582726326743</v>
      </c>
      <c r="X224" s="21">
        <f t="shared" si="31"/>
        <v>0</v>
      </c>
      <c r="Y224" s="21">
        <f t="shared" si="32"/>
        <v>3.46860908775581</v>
      </c>
    </row>
    <row r="225" spans="1:25" x14ac:dyDescent="0.3">
      <c r="A225" s="13" t="s">
        <v>116</v>
      </c>
      <c r="B225" s="13" t="s">
        <v>614</v>
      </c>
      <c r="C225" s="13" t="s">
        <v>615</v>
      </c>
      <c r="D225" s="13" t="s">
        <v>616</v>
      </c>
      <c r="E225" s="17">
        <v>50901</v>
      </c>
      <c r="F225" s="17">
        <v>12890</v>
      </c>
      <c r="G225" s="17">
        <v>12869</v>
      </c>
      <c r="H225" s="17">
        <v>12847</v>
      </c>
      <c r="I225" s="17">
        <v>12783</v>
      </c>
      <c r="J225" s="17">
        <v>12761</v>
      </c>
      <c r="K225" s="17">
        <v>12740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0</v>
      </c>
      <c r="R225" s="21">
        <f t="shared" si="25"/>
        <v>0</v>
      </c>
      <c r="S225" s="21">
        <f t="shared" si="26"/>
        <v>0</v>
      </c>
      <c r="T225" s="21">
        <f t="shared" si="27"/>
        <v>0</v>
      </c>
      <c r="U225" s="21">
        <f t="shared" si="28"/>
        <v>0</v>
      </c>
      <c r="V225" s="21">
        <f t="shared" si="29"/>
        <v>0</v>
      </c>
      <c r="W225" s="21">
        <f t="shared" si="30"/>
        <v>0</v>
      </c>
      <c r="X225" s="21">
        <f t="shared" si="31"/>
        <v>0</v>
      </c>
      <c r="Y225" s="21">
        <f t="shared" si="32"/>
        <v>0</v>
      </c>
    </row>
    <row r="226" spans="1:25" x14ac:dyDescent="0.3">
      <c r="A226" s="13" t="s">
        <v>116</v>
      </c>
      <c r="B226" s="13" t="s">
        <v>614</v>
      </c>
      <c r="C226" s="13" t="s">
        <v>617</v>
      </c>
      <c r="D226" s="13" t="s">
        <v>618</v>
      </c>
      <c r="E226" s="17">
        <v>50902</v>
      </c>
      <c r="F226" s="17">
        <v>1294</v>
      </c>
      <c r="G226" s="17">
        <v>1341</v>
      </c>
      <c r="H226" s="17">
        <v>1387</v>
      </c>
      <c r="I226" s="17">
        <v>1528</v>
      </c>
      <c r="J226" s="17">
        <v>1574</v>
      </c>
      <c r="K226" s="17">
        <v>1621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21">
        <f t="shared" si="25"/>
        <v>0</v>
      </c>
      <c r="S226" s="21">
        <f t="shared" si="26"/>
        <v>0</v>
      </c>
      <c r="T226" s="21">
        <f t="shared" si="27"/>
        <v>0</v>
      </c>
      <c r="U226" s="21">
        <f t="shared" si="28"/>
        <v>0</v>
      </c>
      <c r="V226" s="21">
        <f t="shared" si="29"/>
        <v>0</v>
      </c>
      <c r="W226" s="21">
        <f t="shared" si="30"/>
        <v>0</v>
      </c>
      <c r="X226" s="21">
        <f t="shared" si="31"/>
        <v>0</v>
      </c>
      <c r="Y226" s="21">
        <f t="shared" si="32"/>
        <v>0</v>
      </c>
    </row>
    <row r="227" spans="1:25" x14ac:dyDescent="0.3">
      <c r="A227" s="13" t="s">
        <v>116</v>
      </c>
      <c r="B227" s="13" t="s">
        <v>619</v>
      </c>
      <c r="C227" s="13" t="s">
        <v>620</v>
      </c>
      <c r="D227" s="13" t="s">
        <v>621</v>
      </c>
      <c r="E227" s="17">
        <v>51001</v>
      </c>
      <c r="F227" s="17">
        <v>3279</v>
      </c>
      <c r="G227" s="17">
        <v>3261</v>
      </c>
      <c r="H227" s="17">
        <v>3242</v>
      </c>
      <c r="I227" s="17">
        <v>3187</v>
      </c>
      <c r="J227" s="17">
        <v>3168</v>
      </c>
      <c r="K227" s="17">
        <v>3150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21">
        <f t="shared" si="25"/>
        <v>0</v>
      </c>
      <c r="S227" s="21">
        <f t="shared" si="26"/>
        <v>0</v>
      </c>
      <c r="T227" s="21">
        <f t="shared" si="27"/>
        <v>0</v>
      </c>
      <c r="U227" s="21">
        <f t="shared" si="28"/>
        <v>0</v>
      </c>
      <c r="V227" s="21">
        <f t="shared" si="29"/>
        <v>0</v>
      </c>
      <c r="W227" s="21">
        <f t="shared" si="30"/>
        <v>0</v>
      </c>
      <c r="X227" s="21">
        <f t="shared" si="31"/>
        <v>0</v>
      </c>
      <c r="Y227" s="21">
        <f t="shared" si="32"/>
        <v>0</v>
      </c>
    </row>
    <row r="228" spans="1:25" x14ac:dyDescent="0.3">
      <c r="A228" s="13" t="s">
        <v>116</v>
      </c>
      <c r="B228" s="13" t="s">
        <v>619</v>
      </c>
      <c r="C228" s="13" t="s">
        <v>622</v>
      </c>
      <c r="D228" s="13" t="s">
        <v>622</v>
      </c>
      <c r="E228" s="17">
        <v>51002</v>
      </c>
      <c r="F228" s="17">
        <v>1115</v>
      </c>
      <c r="G228" s="17">
        <v>1103</v>
      </c>
      <c r="H228" s="17">
        <v>1090</v>
      </c>
      <c r="I228" s="17">
        <v>1051</v>
      </c>
      <c r="J228" s="17">
        <v>1038</v>
      </c>
      <c r="K228" s="17">
        <v>1025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  <c r="R228" s="21">
        <f t="shared" si="25"/>
        <v>0</v>
      </c>
      <c r="S228" s="21">
        <f t="shared" si="26"/>
        <v>0</v>
      </c>
      <c r="T228" s="21">
        <f t="shared" si="27"/>
        <v>0</v>
      </c>
      <c r="U228" s="21">
        <f t="shared" si="28"/>
        <v>0</v>
      </c>
      <c r="V228" s="21">
        <f t="shared" si="29"/>
        <v>0</v>
      </c>
      <c r="W228" s="21">
        <f t="shared" si="30"/>
        <v>0</v>
      </c>
      <c r="X228" s="21">
        <f t="shared" si="31"/>
        <v>0</v>
      </c>
      <c r="Y228" s="21">
        <f t="shared" si="32"/>
        <v>0</v>
      </c>
    </row>
    <row r="229" spans="1:25" x14ac:dyDescent="0.3">
      <c r="A229" s="13" t="s">
        <v>116</v>
      </c>
      <c r="B229" s="13" t="s">
        <v>619</v>
      </c>
      <c r="C229" s="13" t="s">
        <v>623</v>
      </c>
      <c r="D229" s="13" t="s">
        <v>623</v>
      </c>
      <c r="E229" s="17">
        <v>51003</v>
      </c>
      <c r="F229" s="17">
        <v>2139</v>
      </c>
      <c r="G229" s="17">
        <v>2110</v>
      </c>
      <c r="H229" s="17">
        <v>2081</v>
      </c>
      <c r="I229" s="17">
        <v>1994</v>
      </c>
      <c r="J229" s="17">
        <v>1965</v>
      </c>
      <c r="K229" s="17">
        <v>1936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21">
        <f t="shared" si="25"/>
        <v>0</v>
      </c>
      <c r="S229" s="21">
        <f t="shared" si="26"/>
        <v>0</v>
      </c>
      <c r="T229" s="21">
        <f t="shared" si="27"/>
        <v>0</v>
      </c>
      <c r="U229" s="21">
        <f t="shared" si="28"/>
        <v>0</v>
      </c>
      <c r="V229" s="21">
        <f t="shared" si="29"/>
        <v>0</v>
      </c>
      <c r="W229" s="21">
        <f t="shared" si="30"/>
        <v>0</v>
      </c>
      <c r="X229" s="21">
        <f t="shared" si="31"/>
        <v>0</v>
      </c>
      <c r="Y229" s="21">
        <f t="shared" si="32"/>
        <v>0</v>
      </c>
    </row>
    <row r="230" spans="1:25" x14ac:dyDescent="0.3">
      <c r="A230" s="13" t="s">
        <v>116</v>
      </c>
      <c r="B230" s="13" t="s">
        <v>624</v>
      </c>
      <c r="C230" s="13" t="s">
        <v>123</v>
      </c>
      <c r="D230" s="13" t="s">
        <v>625</v>
      </c>
      <c r="E230" s="17">
        <v>51101</v>
      </c>
      <c r="F230" s="17">
        <v>19614</v>
      </c>
      <c r="G230" s="17">
        <v>19153</v>
      </c>
      <c r="H230" s="17">
        <v>18692</v>
      </c>
      <c r="I230" s="17">
        <v>17310</v>
      </c>
      <c r="J230" s="17">
        <v>16850</v>
      </c>
      <c r="K230" s="17">
        <v>16389</v>
      </c>
      <c r="L230" s="13">
        <v>0</v>
      </c>
      <c r="M230" s="13">
        <v>0</v>
      </c>
      <c r="N230" s="13">
        <v>1</v>
      </c>
      <c r="O230" s="13">
        <v>3</v>
      </c>
      <c r="P230" s="13">
        <v>1</v>
      </c>
      <c r="Q230" s="13">
        <v>1</v>
      </c>
      <c r="R230" s="21">
        <f t="shared" si="25"/>
        <v>0</v>
      </c>
      <c r="S230" s="21">
        <f t="shared" si="26"/>
        <v>0</v>
      </c>
      <c r="T230" s="21">
        <f t="shared" si="27"/>
        <v>5.3498823025893429</v>
      </c>
      <c r="U230" s="21">
        <f t="shared" si="28"/>
        <v>17.331022530329289</v>
      </c>
      <c r="V230" s="21">
        <f t="shared" si="29"/>
        <v>5.9347181008902083</v>
      </c>
      <c r="W230" s="21">
        <f t="shared" si="30"/>
        <v>6.1016535481115382</v>
      </c>
      <c r="X230" s="21">
        <f t="shared" si="31"/>
        <v>1.7832941008631142</v>
      </c>
      <c r="Y230" s="21">
        <f t="shared" si="32"/>
        <v>9.7891313931103454</v>
      </c>
    </row>
    <row r="231" spans="1:25" x14ac:dyDescent="0.3">
      <c r="A231" s="13" t="s">
        <v>116</v>
      </c>
      <c r="B231" s="13" t="s">
        <v>624</v>
      </c>
      <c r="C231" s="13" t="s">
        <v>626</v>
      </c>
      <c r="D231" s="13" t="s">
        <v>626</v>
      </c>
      <c r="E231" s="17">
        <v>51102</v>
      </c>
      <c r="F231" s="17">
        <v>12455</v>
      </c>
      <c r="G231" s="17">
        <v>12533</v>
      </c>
      <c r="H231" s="17">
        <v>12611</v>
      </c>
      <c r="I231" s="17">
        <v>12844</v>
      </c>
      <c r="J231" s="17">
        <v>12921</v>
      </c>
      <c r="K231" s="17">
        <v>12999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21">
        <f t="shared" si="25"/>
        <v>0</v>
      </c>
      <c r="S231" s="21">
        <f t="shared" si="26"/>
        <v>0</v>
      </c>
      <c r="T231" s="21">
        <f t="shared" si="27"/>
        <v>0</v>
      </c>
      <c r="U231" s="21">
        <f t="shared" si="28"/>
        <v>0</v>
      </c>
      <c r="V231" s="21">
        <f t="shared" si="29"/>
        <v>0</v>
      </c>
      <c r="W231" s="21">
        <f t="shared" si="30"/>
        <v>0</v>
      </c>
      <c r="X231" s="21">
        <f t="shared" si="31"/>
        <v>0</v>
      </c>
      <c r="Y231" s="21">
        <f t="shared" si="32"/>
        <v>0</v>
      </c>
    </row>
    <row r="232" spans="1:25" x14ac:dyDescent="0.3">
      <c r="A232" s="13" t="s">
        <v>116</v>
      </c>
      <c r="B232" s="13" t="s">
        <v>624</v>
      </c>
      <c r="C232" s="13" t="s">
        <v>627</v>
      </c>
      <c r="D232" s="13" t="s">
        <v>627</v>
      </c>
      <c r="E232" s="17">
        <v>51103</v>
      </c>
      <c r="F232" s="17">
        <v>15198</v>
      </c>
      <c r="G232" s="17">
        <v>15075</v>
      </c>
      <c r="H232" s="17">
        <v>14952</v>
      </c>
      <c r="I232" s="17">
        <v>14584</v>
      </c>
      <c r="J232" s="17">
        <v>14461</v>
      </c>
      <c r="K232" s="17">
        <v>14338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21">
        <f t="shared" si="25"/>
        <v>0</v>
      </c>
      <c r="S232" s="21">
        <f t="shared" si="26"/>
        <v>0</v>
      </c>
      <c r="T232" s="21">
        <f t="shared" si="27"/>
        <v>0</v>
      </c>
      <c r="U232" s="21">
        <f t="shared" si="28"/>
        <v>0</v>
      </c>
      <c r="V232" s="21">
        <f t="shared" si="29"/>
        <v>0</v>
      </c>
      <c r="W232" s="21">
        <f t="shared" si="30"/>
        <v>0</v>
      </c>
      <c r="X232" s="21">
        <f t="shared" si="31"/>
        <v>0</v>
      </c>
      <c r="Y232" s="21">
        <f t="shared" si="32"/>
        <v>0</v>
      </c>
    </row>
    <row r="233" spans="1:25" x14ac:dyDescent="0.3">
      <c r="A233" s="13" t="s">
        <v>116</v>
      </c>
      <c r="B233" s="13" t="s">
        <v>628</v>
      </c>
      <c r="C233" s="13" t="s">
        <v>121</v>
      </c>
      <c r="D233" s="13" t="s">
        <v>121</v>
      </c>
      <c r="E233" s="17">
        <v>51201</v>
      </c>
      <c r="F233" s="17">
        <v>32025</v>
      </c>
      <c r="G233" s="17">
        <v>32495</v>
      </c>
      <c r="H233" s="17">
        <v>32966</v>
      </c>
      <c r="I233" s="17">
        <v>34377</v>
      </c>
      <c r="J233" s="17">
        <v>34848</v>
      </c>
      <c r="K233" s="17">
        <v>35318</v>
      </c>
      <c r="L233" s="13">
        <v>1</v>
      </c>
      <c r="M233" s="13">
        <v>4</v>
      </c>
      <c r="N233" s="13">
        <v>3</v>
      </c>
      <c r="O233" s="13">
        <v>1</v>
      </c>
      <c r="P233" s="13">
        <v>0</v>
      </c>
      <c r="Q233" s="13">
        <v>0</v>
      </c>
      <c r="R233" s="21">
        <f t="shared" si="25"/>
        <v>3.1225604996096799</v>
      </c>
      <c r="S233" s="21">
        <f t="shared" si="26"/>
        <v>12.309586090167718</v>
      </c>
      <c r="T233" s="21">
        <f t="shared" si="27"/>
        <v>9.10028514226779</v>
      </c>
      <c r="U233" s="21">
        <f t="shared" si="28"/>
        <v>2.9089216627396222</v>
      </c>
      <c r="V233" s="21">
        <f t="shared" si="29"/>
        <v>0</v>
      </c>
      <c r="W233" s="21">
        <f t="shared" si="30"/>
        <v>0</v>
      </c>
      <c r="X233" s="21">
        <f t="shared" si="31"/>
        <v>8.1774772440150638</v>
      </c>
      <c r="Y233" s="21">
        <f t="shared" si="32"/>
        <v>0.96964055424654072</v>
      </c>
    </row>
    <row r="234" spans="1:25" x14ac:dyDescent="0.3">
      <c r="A234" s="13" t="s">
        <v>116</v>
      </c>
      <c r="B234" s="13" t="s">
        <v>628</v>
      </c>
      <c r="C234" s="13" t="s">
        <v>629</v>
      </c>
      <c r="D234" s="13" t="s">
        <v>629</v>
      </c>
      <c r="E234" s="17">
        <v>51202</v>
      </c>
      <c r="F234" s="17">
        <v>8434</v>
      </c>
      <c r="G234" s="17">
        <v>8350</v>
      </c>
      <c r="H234" s="17">
        <v>8265</v>
      </c>
      <c r="I234" s="17">
        <v>8013</v>
      </c>
      <c r="J234" s="17">
        <v>7929</v>
      </c>
      <c r="K234" s="17">
        <v>7845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21">
        <f t="shared" si="25"/>
        <v>0</v>
      </c>
      <c r="S234" s="21">
        <f t="shared" si="26"/>
        <v>0</v>
      </c>
      <c r="T234" s="21">
        <f t="shared" si="27"/>
        <v>0</v>
      </c>
      <c r="U234" s="21">
        <f t="shared" si="28"/>
        <v>0</v>
      </c>
      <c r="V234" s="21">
        <f t="shared" si="29"/>
        <v>0</v>
      </c>
      <c r="W234" s="21">
        <f t="shared" si="30"/>
        <v>0</v>
      </c>
      <c r="X234" s="21">
        <f t="shared" si="31"/>
        <v>0</v>
      </c>
      <c r="Y234" s="21">
        <f t="shared" si="32"/>
        <v>0</v>
      </c>
    </row>
    <row r="235" spans="1:25" x14ac:dyDescent="0.3">
      <c r="A235" s="13" t="s">
        <v>116</v>
      </c>
      <c r="B235" s="13" t="s">
        <v>628</v>
      </c>
      <c r="C235" s="13" t="s">
        <v>630</v>
      </c>
      <c r="D235" s="13" t="s">
        <v>630</v>
      </c>
      <c r="E235" s="17">
        <v>51203</v>
      </c>
      <c r="F235" s="17">
        <v>12444</v>
      </c>
      <c r="G235" s="17">
        <v>12760</v>
      </c>
      <c r="H235" s="17">
        <v>13076</v>
      </c>
      <c r="I235" s="17">
        <v>14023</v>
      </c>
      <c r="J235" s="17">
        <v>14338</v>
      </c>
      <c r="K235" s="17">
        <v>14654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21">
        <f t="shared" si="25"/>
        <v>0</v>
      </c>
      <c r="S235" s="21">
        <f t="shared" si="26"/>
        <v>0</v>
      </c>
      <c r="T235" s="21">
        <f t="shared" si="27"/>
        <v>0</v>
      </c>
      <c r="U235" s="21">
        <f t="shared" si="28"/>
        <v>0</v>
      </c>
      <c r="V235" s="21">
        <f t="shared" si="29"/>
        <v>0</v>
      </c>
      <c r="W235" s="21">
        <f t="shared" si="30"/>
        <v>0</v>
      </c>
      <c r="X235" s="21">
        <f t="shared" si="31"/>
        <v>0</v>
      </c>
      <c r="Y235" s="21">
        <f t="shared" si="32"/>
        <v>0</v>
      </c>
    </row>
    <row r="236" spans="1:25" x14ac:dyDescent="0.3">
      <c r="A236" s="13" t="s">
        <v>116</v>
      </c>
      <c r="B236" s="13" t="s">
        <v>629</v>
      </c>
      <c r="C236" s="13" t="s">
        <v>631</v>
      </c>
      <c r="D236" s="13" t="s">
        <v>631</v>
      </c>
      <c r="E236" s="17">
        <v>51204</v>
      </c>
      <c r="F236" s="17">
        <v>5887</v>
      </c>
      <c r="G236" s="17">
        <v>5877</v>
      </c>
      <c r="H236" s="17">
        <v>5867</v>
      </c>
      <c r="I236" s="17">
        <v>5838</v>
      </c>
      <c r="J236" s="17">
        <v>5829</v>
      </c>
      <c r="K236" s="17">
        <v>5819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21">
        <f t="shared" si="25"/>
        <v>0</v>
      </c>
      <c r="S236" s="21">
        <f t="shared" si="26"/>
        <v>0</v>
      </c>
      <c r="T236" s="21">
        <f t="shared" si="27"/>
        <v>0</v>
      </c>
      <c r="U236" s="21">
        <f t="shared" si="28"/>
        <v>0</v>
      </c>
      <c r="V236" s="21">
        <f t="shared" si="29"/>
        <v>0</v>
      </c>
      <c r="W236" s="21">
        <f t="shared" si="30"/>
        <v>0</v>
      </c>
      <c r="X236" s="21">
        <f t="shared" si="31"/>
        <v>0</v>
      </c>
      <c r="Y236" s="21">
        <f t="shared" si="32"/>
        <v>0</v>
      </c>
    </row>
    <row r="237" spans="1:25" x14ac:dyDescent="0.3">
      <c r="A237" s="13" t="s">
        <v>116</v>
      </c>
      <c r="B237" s="13" t="s">
        <v>632</v>
      </c>
      <c r="C237" s="13" t="s">
        <v>633</v>
      </c>
      <c r="D237" s="13" t="s">
        <v>633</v>
      </c>
      <c r="E237" s="17">
        <v>51301</v>
      </c>
      <c r="F237" s="17">
        <v>3960</v>
      </c>
      <c r="G237" s="17">
        <v>3918</v>
      </c>
      <c r="H237" s="17">
        <v>3876</v>
      </c>
      <c r="I237" s="17">
        <v>3750</v>
      </c>
      <c r="J237" s="17">
        <v>3708</v>
      </c>
      <c r="K237" s="17">
        <v>3666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21">
        <f t="shared" si="25"/>
        <v>0</v>
      </c>
      <c r="S237" s="21">
        <f t="shared" si="26"/>
        <v>0</v>
      </c>
      <c r="T237" s="21">
        <f t="shared" si="27"/>
        <v>0</v>
      </c>
      <c r="U237" s="21">
        <f t="shared" si="28"/>
        <v>0</v>
      </c>
      <c r="V237" s="21">
        <f t="shared" si="29"/>
        <v>0</v>
      </c>
      <c r="W237" s="21">
        <f t="shared" si="30"/>
        <v>0</v>
      </c>
      <c r="X237" s="21">
        <f t="shared" si="31"/>
        <v>0</v>
      </c>
      <c r="Y237" s="21">
        <f t="shared" si="32"/>
        <v>0</v>
      </c>
    </row>
    <row r="238" spans="1:25" x14ac:dyDescent="0.3">
      <c r="A238" s="13" t="s">
        <v>116</v>
      </c>
      <c r="B238" s="13" t="s">
        <v>632</v>
      </c>
      <c r="C238" s="13" t="s">
        <v>634</v>
      </c>
      <c r="D238" s="13" t="s">
        <v>634</v>
      </c>
      <c r="E238" s="17">
        <v>51302</v>
      </c>
      <c r="F238" s="17">
        <v>5457</v>
      </c>
      <c r="G238" s="17">
        <v>5316</v>
      </c>
      <c r="H238" s="17">
        <v>5175</v>
      </c>
      <c r="I238" s="17">
        <v>4753</v>
      </c>
      <c r="J238" s="17">
        <v>4612</v>
      </c>
      <c r="K238" s="17">
        <v>4471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21">
        <f t="shared" si="25"/>
        <v>0</v>
      </c>
      <c r="S238" s="21">
        <f t="shared" si="26"/>
        <v>0</v>
      </c>
      <c r="T238" s="21">
        <f t="shared" si="27"/>
        <v>0</v>
      </c>
      <c r="U238" s="21">
        <f t="shared" si="28"/>
        <v>0</v>
      </c>
      <c r="V238" s="21">
        <f t="shared" si="29"/>
        <v>0</v>
      </c>
      <c r="W238" s="21">
        <f t="shared" si="30"/>
        <v>0</v>
      </c>
      <c r="X238" s="21">
        <f t="shared" si="31"/>
        <v>0</v>
      </c>
      <c r="Y238" s="21">
        <f t="shared" si="32"/>
        <v>0</v>
      </c>
    </row>
    <row r="239" spans="1:25" x14ac:dyDescent="0.3">
      <c r="A239" s="13" t="s">
        <v>116</v>
      </c>
      <c r="B239" s="13" t="s">
        <v>635</v>
      </c>
      <c r="C239" s="13" t="s">
        <v>131</v>
      </c>
      <c r="D239" s="13" t="s">
        <v>131</v>
      </c>
      <c r="E239" s="17">
        <v>51401</v>
      </c>
      <c r="F239" s="17">
        <v>4165</v>
      </c>
      <c r="G239" s="17">
        <v>4169</v>
      </c>
      <c r="H239" s="17">
        <v>4172</v>
      </c>
      <c r="I239" s="17">
        <v>4181</v>
      </c>
      <c r="J239" s="17">
        <v>4184</v>
      </c>
      <c r="K239" s="17">
        <v>4187</v>
      </c>
      <c r="L239" s="13">
        <v>1</v>
      </c>
      <c r="M239" s="13">
        <v>0</v>
      </c>
      <c r="N239" s="13">
        <v>1</v>
      </c>
      <c r="O239" s="13">
        <v>0</v>
      </c>
      <c r="P239" s="13">
        <v>0</v>
      </c>
      <c r="Q239" s="13">
        <v>1</v>
      </c>
      <c r="R239" s="21">
        <f t="shared" si="25"/>
        <v>24.009603841536617</v>
      </c>
      <c r="S239" s="21">
        <f t="shared" si="26"/>
        <v>0</v>
      </c>
      <c r="T239" s="21">
        <f t="shared" si="27"/>
        <v>23.969319271332694</v>
      </c>
      <c r="U239" s="21">
        <f t="shared" si="28"/>
        <v>0</v>
      </c>
      <c r="V239" s="21">
        <f t="shared" si="29"/>
        <v>0</v>
      </c>
      <c r="W239" s="21">
        <f t="shared" si="30"/>
        <v>23.883448770002389</v>
      </c>
      <c r="X239" s="21">
        <f t="shared" si="31"/>
        <v>15.992974370956437</v>
      </c>
      <c r="Y239" s="21">
        <f t="shared" si="32"/>
        <v>7.9611495900007965</v>
      </c>
    </row>
    <row r="240" spans="1:25" x14ac:dyDescent="0.3">
      <c r="A240" s="13" t="s">
        <v>116</v>
      </c>
      <c r="B240" s="13" t="s">
        <v>635</v>
      </c>
      <c r="C240" s="13" t="s">
        <v>636</v>
      </c>
      <c r="D240" s="13" t="s">
        <v>636</v>
      </c>
      <c r="E240" s="17">
        <v>51402</v>
      </c>
      <c r="F240" s="17">
        <v>1636</v>
      </c>
      <c r="G240" s="17">
        <v>1623</v>
      </c>
      <c r="H240" s="17">
        <v>1610</v>
      </c>
      <c r="I240" s="17">
        <v>1572</v>
      </c>
      <c r="J240" s="17">
        <v>1559</v>
      </c>
      <c r="K240" s="17">
        <v>1546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21">
        <f t="shared" si="25"/>
        <v>0</v>
      </c>
      <c r="S240" s="21">
        <f t="shared" si="26"/>
        <v>0</v>
      </c>
      <c r="T240" s="21">
        <f t="shared" si="27"/>
        <v>0</v>
      </c>
      <c r="U240" s="21">
        <f t="shared" si="28"/>
        <v>0</v>
      </c>
      <c r="V240" s="21">
        <f t="shared" si="29"/>
        <v>0</v>
      </c>
      <c r="W240" s="21">
        <f t="shared" si="30"/>
        <v>0</v>
      </c>
      <c r="X240" s="21">
        <f t="shared" si="31"/>
        <v>0</v>
      </c>
      <c r="Y240" s="21">
        <f t="shared" si="32"/>
        <v>0</v>
      </c>
    </row>
    <row r="241" spans="1:25" x14ac:dyDescent="0.3">
      <c r="A241" s="13" t="s">
        <v>116</v>
      </c>
      <c r="B241" s="13" t="s">
        <v>637</v>
      </c>
      <c r="C241" s="13" t="s">
        <v>118</v>
      </c>
      <c r="D241" s="13" t="s">
        <v>118</v>
      </c>
      <c r="E241" s="17">
        <v>51501</v>
      </c>
      <c r="F241" s="17">
        <v>46754</v>
      </c>
      <c r="G241" s="17">
        <v>47123</v>
      </c>
      <c r="H241" s="17">
        <v>47493</v>
      </c>
      <c r="I241" s="17">
        <v>48601</v>
      </c>
      <c r="J241" s="17">
        <v>48971</v>
      </c>
      <c r="K241" s="17">
        <v>49340</v>
      </c>
      <c r="L241" s="13">
        <v>2</v>
      </c>
      <c r="M241" s="13">
        <v>4</v>
      </c>
      <c r="N241" s="13">
        <v>5</v>
      </c>
      <c r="O241" s="13">
        <v>4</v>
      </c>
      <c r="P241" s="13">
        <v>4</v>
      </c>
      <c r="Q241" s="13">
        <v>0</v>
      </c>
      <c r="R241" s="21">
        <f t="shared" si="25"/>
        <v>4.2777088591350472</v>
      </c>
      <c r="S241" s="21">
        <f t="shared" si="26"/>
        <v>8.488423911890159</v>
      </c>
      <c r="T241" s="21">
        <f t="shared" si="27"/>
        <v>10.527867264649528</v>
      </c>
      <c r="U241" s="21">
        <f t="shared" si="28"/>
        <v>8.2302833275035496</v>
      </c>
      <c r="V241" s="21">
        <f t="shared" si="29"/>
        <v>8.168099487451757</v>
      </c>
      <c r="W241" s="21">
        <f t="shared" si="30"/>
        <v>0</v>
      </c>
      <c r="X241" s="21">
        <f t="shared" si="31"/>
        <v>7.7646666785582452</v>
      </c>
      <c r="Y241" s="21">
        <f t="shared" si="32"/>
        <v>5.4661276049851013</v>
      </c>
    </row>
    <row r="242" spans="1:25" x14ac:dyDescent="0.3">
      <c r="A242" s="13" t="s">
        <v>116</v>
      </c>
      <c r="B242" s="13" t="s">
        <v>638</v>
      </c>
      <c r="C242" s="13" t="s">
        <v>132</v>
      </c>
      <c r="D242" s="13" t="s">
        <v>132</v>
      </c>
      <c r="E242" s="17">
        <v>51601</v>
      </c>
      <c r="F242" s="17">
        <v>1868</v>
      </c>
      <c r="G242" s="17">
        <v>1905</v>
      </c>
      <c r="H242" s="17">
        <v>1942</v>
      </c>
      <c r="I242" s="17">
        <v>2052</v>
      </c>
      <c r="J242" s="17">
        <v>2089</v>
      </c>
      <c r="K242" s="17">
        <v>2126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21">
        <f t="shared" si="25"/>
        <v>0</v>
      </c>
      <c r="S242" s="21">
        <f t="shared" si="26"/>
        <v>0</v>
      </c>
      <c r="T242" s="21">
        <f t="shared" si="27"/>
        <v>0</v>
      </c>
      <c r="U242" s="21">
        <f t="shared" si="28"/>
        <v>0</v>
      </c>
      <c r="V242" s="21">
        <f t="shared" si="29"/>
        <v>0</v>
      </c>
      <c r="W242" s="21">
        <f t="shared" si="30"/>
        <v>0</v>
      </c>
      <c r="X242" s="21">
        <f t="shared" si="31"/>
        <v>0</v>
      </c>
      <c r="Y242" s="21">
        <f t="shared" si="32"/>
        <v>0</v>
      </c>
    </row>
    <row r="243" spans="1:25" x14ac:dyDescent="0.3">
      <c r="A243" s="13" t="s">
        <v>133</v>
      </c>
      <c r="B243" s="13" t="s">
        <v>522</v>
      </c>
      <c r="C243" s="13" t="s">
        <v>133</v>
      </c>
      <c r="D243" s="13" t="s">
        <v>133</v>
      </c>
      <c r="E243" s="17">
        <v>60101</v>
      </c>
      <c r="F243" s="17">
        <v>219281</v>
      </c>
      <c r="G243" s="17">
        <v>222062</v>
      </c>
      <c r="H243" s="17">
        <v>224843</v>
      </c>
      <c r="I243" s="17">
        <v>233187</v>
      </c>
      <c r="J243" s="17">
        <v>235968</v>
      </c>
      <c r="K243" s="17">
        <v>238749</v>
      </c>
      <c r="L243" s="13">
        <v>12</v>
      </c>
      <c r="M243" s="13">
        <v>13</v>
      </c>
      <c r="N243" s="13">
        <v>12</v>
      </c>
      <c r="O243" s="13">
        <v>7</v>
      </c>
      <c r="P243" s="13">
        <v>10</v>
      </c>
      <c r="Q243" s="13">
        <v>12</v>
      </c>
      <c r="R243" s="21">
        <f t="shared" si="25"/>
        <v>5.472430351922875</v>
      </c>
      <c r="S243" s="21">
        <f t="shared" si="26"/>
        <v>5.8542208932640429</v>
      </c>
      <c r="T243" s="21">
        <f t="shared" si="27"/>
        <v>5.3370574133951241</v>
      </c>
      <c r="U243" s="21">
        <f t="shared" si="28"/>
        <v>3.0018826092363637</v>
      </c>
      <c r="V243" s="21">
        <f t="shared" si="29"/>
        <v>4.2378627610523463</v>
      </c>
      <c r="W243" s="21">
        <f t="shared" si="30"/>
        <v>5.0261990626138751</v>
      </c>
      <c r="X243" s="21">
        <f t="shared" si="31"/>
        <v>5.5545695528606807</v>
      </c>
      <c r="Y243" s="21">
        <f t="shared" si="32"/>
        <v>4.088648144300862</v>
      </c>
    </row>
    <row r="244" spans="1:25" x14ac:dyDescent="0.3">
      <c r="A244" s="13" t="s">
        <v>133</v>
      </c>
      <c r="B244" s="13" t="s">
        <v>639</v>
      </c>
      <c r="C244" s="13" t="s">
        <v>341</v>
      </c>
      <c r="D244" s="13" t="s">
        <v>341</v>
      </c>
      <c r="E244" s="17">
        <v>60201</v>
      </c>
      <c r="F244" s="17">
        <v>18321</v>
      </c>
      <c r="G244" s="17">
        <v>18249</v>
      </c>
      <c r="H244" s="17">
        <v>18177</v>
      </c>
      <c r="I244" s="17">
        <v>17961</v>
      </c>
      <c r="J244" s="17">
        <v>17889</v>
      </c>
      <c r="K244" s="17">
        <v>17817</v>
      </c>
      <c r="L244" s="13">
        <v>0</v>
      </c>
      <c r="M244" s="13">
        <v>2</v>
      </c>
      <c r="N244" s="13">
        <v>0</v>
      </c>
      <c r="O244" s="13">
        <v>0</v>
      </c>
      <c r="P244" s="13">
        <v>0</v>
      </c>
      <c r="Q244" s="13">
        <v>0</v>
      </c>
      <c r="R244" s="21">
        <f t="shared" si="25"/>
        <v>0</v>
      </c>
      <c r="S244" s="21">
        <f t="shared" si="26"/>
        <v>10.959504630390706</v>
      </c>
      <c r="T244" s="21">
        <f t="shared" si="27"/>
        <v>0</v>
      </c>
      <c r="U244" s="21">
        <f t="shared" si="28"/>
        <v>0</v>
      </c>
      <c r="V244" s="21">
        <f t="shared" si="29"/>
        <v>0</v>
      </c>
      <c r="W244" s="21">
        <f t="shared" si="30"/>
        <v>0</v>
      </c>
      <c r="X244" s="21">
        <f t="shared" si="31"/>
        <v>3.6531682101302354</v>
      </c>
      <c r="Y244" s="21">
        <f t="shared" si="32"/>
        <v>0</v>
      </c>
    </row>
    <row r="245" spans="1:25" x14ac:dyDescent="0.3">
      <c r="A245" s="13" t="s">
        <v>133</v>
      </c>
      <c r="B245" s="13" t="s">
        <v>639</v>
      </c>
      <c r="C245" s="13" t="s">
        <v>135</v>
      </c>
      <c r="D245" s="13" t="s">
        <v>135</v>
      </c>
      <c r="E245" s="17">
        <v>60202</v>
      </c>
      <c r="F245" s="17">
        <v>35532</v>
      </c>
      <c r="G245" s="17">
        <v>35738</v>
      </c>
      <c r="H245" s="17">
        <v>35943</v>
      </c>
      <c r="I245" s="17">
        <v>36559</v>
      </c>
      <c r="J245" s="17">
        <v>36765</v>
      </c>
      <c r="K245" s="17">
        <v>36970</v>
      </c>
      <c r="L245" s="13">
        <v>3</v>
      </c>
      <c r="M245" s="13">
        <v>2</v>
      </c>
      <c r="N245" s="13">
        <v>7</v>
      </c>
      <c r="O245" s="13">
        <v>4</v>
      </c>
      <c r="P245" s="13">
        <v>6</v>
      </c>
      <c r="Q245" s="13">
        <v>3</v>
      </c>
      <c r="R245" s="21">
        <f t="shared" si="25"/>
        <v>8.4430935494765293</v>
      </c>
      <c r="S245" s="21">
        <f t="shared" si="26"/>
        <v>5.5962840673792602</v>
      </c>
      <c r="T245" s="21">
        <f t="shared" si="27"/>
        <v>19.475280304927246</v>
      </c>
      <c r="U245" s="21">
        <f t="shared" si="28"/>
        <v>10.941218304658223</v>
      </c>
      <c r="V245" s="21">
        <f t="shared" si="29"/>
        <v>16.319869441044471</v>
      </c>
      <c r="W245" s="21">
        <f t="shared" si="30"/>
        <v>8.1146875845279958</v>
      </c>
      <c r="X245" s="21">
        <f t="shared" si="31"/>
        <v>11.171552640594344</v>
      </c>
      <c r="Y245" s="21">
        <f t="shared" si="32"/>
        <v>11.791925110076898</v>
      </c>
    </row>
    <row r="246" spans="1:25" x14ac:dyDescent="0.3">
      <c r="A246" s="13" t="s">
        <v>133</v>
      </c>
      <c r="B246" s="13" t="s">
        <v>640</v>
      </c>
      <c r="C246" s="13" t="s">
        <v>134</v>
      </c>
      <c r="D246" s="13" t="s">
        <v>134</v>
      </c>
      <c r="E246" s="17">
        <v>60301</v>
      </c>
      <c r="F246" s="17">
        <v>94490</v>
      </c>
      <c r="G246" s="17">
        <v>94940</v>
      </c>
      <c r="H246" s="17">
        <v>95389</v>
      </c>
      <c r="I246" s="17">
        <v>96736</v>
      </c>
      <c r="J246" s="17">
        <v>97185</v>
      </c>
      <c r="K246" s="17">
        <v>97634</v>
      </c>
      <c r="L246" s="13">
        <v>4</v>
      </c>
      <c r="M246" s="13">
        <v>8</v>
      </c>
      <c r="N246" s="13">
        <v>11</v>
      </c>
      <c r="O246" s="13">
        <v>13</v>
      </c>
      <c r="P246" s="13">
        <v>3</v>
      </c>
      <c r="Q246" s="13">
        <v>8</v>
      </c>
      <c r="R246" s="21">
        <f t="shared" si="25"/>
        <v>4.2332521959995768</v>
      </c>
      <c r="S246" s="21">
        <f t="shared" si="26"/>
        <v>8.426374552348852</v>
      </c>
      <c r="T246" s="21">
        <f t="shared" si="27"/>
        <v>11.531727977020411</v>
      </c>
      <c r="U246" s="21">
        <f t="shared" si="28"/>
        <v>13.438637115448229</v>
      </c>
      <c r="V246" s="21">
        <f t="shared" si="29"/>
        <v>3.0868961259453616</v>
      </c>
      <c r="W246" s="21">
        <f t="shared" si="30"/>
        <v>8.1938668906323606</v>
      </c>
      <c r="X246" s="21">
        <f t="shared" si="31"/>
        <v>8.0637849084562792</v>
      </c>
      <c r="Y246" s="21">
        <f t="shared" si="32"/>
        <v>8.2398000440086498</v>
      </c>
    </row>
    <row r="247" spans="1:25" x14ac:dyDescent="0.3">
      <c r="A247" s="13" t="s">
        <v>133</v>
      </c>
      <c r="B247" s="13" t="s">
        <v>640</v>
      </c>
      <c r="C247" s="13" t="s">
        <v>139</v>
      </c>
      <c r="D247" s="13" t="s">
        <v>139</v>
      </c>
      <c r="E247" s="17">
        <v>60302</v>
      </c>
      <c r="F247" s="17">
        <v>15446</v>
      </c>
      <c r="G247" s="17">
        <v>15463</v>
      </c>
      <c r="H247" s="17">
        <v>15479</v>
      </c>
      <c r="I247" s="17">
        <v>15527</v>
      </c>
      <c r="J247" s="17">
        <v>15543</v>
      </c>
      <c r="K247" s="17">
        <v>15559</v>
      </c>
      <c r="L247" s="13">
        <v>0</v>
      </c>
      <c r="M247" s="13">
        <v>1</v>
      </c>
      <c r="N247" s="13">
        <v>2</v>
      </c>
      <c r="O247" s="13">
        <v>1</v>
      </c>
      <c r="P247" s="13">
        <v>0</v>
      </c>
      <c r="Q247" s="13">
        <v>0</v>
      </c>
      <c r="R247" s="21">
        <f t="shared" si="25"/>
        <v>0</v>
      </c>
      <c r="S247" s="21">
        <f t="shared" si="26"/>
        <v>6.4670503783224476</v>
      </c>
      <c r="T247" s="21">
        <f t="shared" si="27"/>
        <v>12.920731313392338</v>
      </c>
      <c r="U247" s="21">
        <f t="shared" si="28"/>
        <v>6.4403941521221091</v>
      </c>
      <c r="V247" s="21">
        <f t="shared" si="29"/>
        <v>0</v>
      </c>
      <c r="W247" s="21">
        <f t="shared" si="30"/>
        <v>0</v>
      </c>
      <c r="X247" s="21">
        <f t="shared" si="31"/>
        <v>6.4625938972382615</v>
      </c>
      <c r="Y247" s="21">
        <f t="shared" si="32"/>
        <v>2.1467980507073698</v>
      </c>
    </row>
    <row r="248" spans="1:25" x14ac:dyDescent="0.3">
      <c r="A248" s="13" t="s">
        <v>133</v>
      </c>
      <c r="B248" s="13" t="s">
        <v>640</v>
      </c>
      <c r="C248" s="13" t="s">
        <v>641</v>
      </c>
      <c r="D248" s="13" t="s">
        <v>641</v>
      </c>
      <c r="E248" s="17">
        <v>60303</v>
      </c>
      <c r="F248" s="17">
        <v>42452</v>
      </c>
      <c r="G248" s="17">
        <v>42969</v>
      </c>
      <c r="H248" s="17">
        <v>43486</v>
      </c>
      <c r="I248" s="17">
        <v>45037</v>
      </c>
      <c r="J248" s="17">
        <v>45554</v>
      </c>
      <c r="K248" s="17">
        <v>46071</v>
      </c>
      <c r="L248" s="13">
        <v>2</v>
      </c>
      <c r="M248" s="13">
        <v>5</v>
      </c>
      <c r="N248" s="13">
        <v>2</v>
      </c>
      <c r="O248" s="13">
        <v>4</v>
      </c>
      <c r="P248" s="13">
        <v>5</v>
      </c>
      <c r="Q248" s="13">
        <v>1</v>
      </c>
      <c r="R248" s="21">
        <f t="shared" si="25"/>
        <v>4.71120324130783</v>
      </c>
      <c r="S248" s="21">
        <f t="shared" si="26"/>
        <v>11.6362959342782</v>
      </c>
      <c r="T248" s="21">
        <f t="shared" si="27"/>
        <v>4.5991813457204618</v>
      </c>
      <c r="U248" s="21">
        <f t="shared" si="28"/>
        <v>8.8815862513044834</v>
      </c>
      <c r="V248" s="21">
        <f t="shared" si="29"/>
        <v>10.975984545813759</v>
      </c>
      <c r="W248" s="21">
        <f t="shared" si="30"/>
        <v>2.1705628269410258</v>
      </c>
      <c r="X248" s="21">
        <f t="shared" si="31"/>
        <v>6.982226840435497</v>
      </c>
      <c r="Y248" s="21">
        <f t="shared" si="32"/>
        <v>7.3427112080197565</v>
      </c>
    </row>
    <row r="249" spans="1:25" x14ac:dyDescent="0.3">
      <c r="A249" s="13" t="s">
        <v>133</v>
      </c>
      <c r="B249" s="13" t="s">
        <v>642</v>
      </c>
      <c r="C249" s="13" t="s">
        <v>138</v>
      </c>
      <c r="D249" s="13" t="s">
        <v>175</v>
      </c>
      <c r="E249" s="17">
        <v>60401</v>
      </c>
      <c r="F249" s="17">
        <v>15257</v>
      </c>
      <c r="G249" s="17">
        <v>15352</v>
      </c>
      <c r="H249" s="17">
        <v>15447</v>
      </c>
      <c r="I249" s="17">
        <v>15733</v>
      </c>
      <c r="J249" s="17">
        <v>15828</v>
      </c>
      <c r="K249" s="17">
        <v>15923</v>
      </c>
      <c r="L249" s="13">
        <v>0</v>
      </c>
      <c r="M249" s="13">
        <v>0</v>
      </c>
      <c r="N249" s="13">
        <v>0</v>
      </c>
      <c r="O249" s="13">
        <v>0</v>
      </c>
      <c r="P249" s="13">
        <v>1</v>
      </c>
      <c r="Q249" s="13">
        <v>3</v>
      </c>
      <c r="R249" s="21">
        <f t="shared" si="25"/>
        <v>0</v>
      </c>
      <c r="S249" s="21">
        <f t="shared" si="26"/>
        <v>0</v>
      </c>
      <c r="T249" s="21">
        <f t="shared" si="27"/>
        <v>0</v>
      </c>
      <c r="U249" s="21">
        <f t="shared" si="28"/>
        <v>0</v>
      </c>
      <c r="V249" s="21">
        <f t="shared" si="29"/>
        <v>6.3179176143543083</v>
      </c>
      <c r="W249" s="21">
        <f t="shared" si="30"/>
        <v>18.840670727877914</v>
      </c>
      <c r="X249" s="21">
        <f t="shared" si="31"/>
        <v>0</v>
      </c>
      <c r="Y249" s="21">
        <f t="shared" si="32"/>
        <v>8.3861961140774071</v>
      </c>
    </row>
    <row r="250" spans="1:25" x14ac:dyDescent="0.3">
      <c r="A250" s="13" t="s">
        <v>133</v>
      </c>
      <c r="B250" s="13" t="s">
        <v>642</v>
      </c>
      <c r="C250" s="13" t="s">
        <v>643</v>
      </c>
      <c r="D250" s="13" t="s">
        <v>643</v>
      </c>
      <c r="E250" s="17">
        <v>60402</v>
      </c>
      <c r="F250" s="17">
        <v>5183</v>
      </c>
      <c r="G250" s="17">
        <v>5122</v>
      </c>
      <c r="H250" s="17">
        <v>5061</v>
      </c>
      <c r="I250" s="17">
        <v>4877</v>
      </c>
      <c r="J250" s="17">
        <v>4815</v>
      </c>
      <c r="K250" s="17">
        <v>4754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21">
        <f t="shared" si="25"/>
        <v>0</v>
      </c>
      <c r="S250" s="21">
        <f t="shared" si="26"/>
        <v>0</v>
      </c>
      <c r="T250" s="21">
        <f t="shared" si="27"/>
        <v>0</v>
      </c>
      <c r="U250" s="21">
        <f t="shared" si="28"/>
        <v>0</v>
      </c>
      <c r="V250" s="21">
        <f t="shared" si="29"/>
        <v>0</v>
      </c>
      <c r="W250" s="21">
        <f t="shared" si="30"/>
        <v>0</v>
      </c>
      <c r="X250" s="21">
        <f t="shared" si="31"/>
        <v>0</v>
      </c>
      <c r="Y250" s="21">
        <f t="shared" si="32"/>
        <v>0</v>
      </c>
    </row>
    <row r="251" spans="1:25" x14ac:dyDescent="0.3">
      <c r="A251" s="13" t="s">
        <v>133</v>
      </c>
      <c r="B251" s="13" t="s">
        <v>644</v>
      </c>
      <c r="C251" s="13" t="s">
        <v>191</v>
      </c>
      <c r="D251" s="13" t="s">
        <v>137</v>
      </c>
      <c r="E251" s="17">
        <v>60501</v>
      </c>
      <c r="F251" s="17">
        <v>26564</v>
      </c>
      <c r="G251" s="17">
        <v>27105</v>
      </c>
      <c r="H251" s="17">
        <v>27645</v>
      </c>
      <c r="I251" s="17">
        <v>29266</v>
      </c>
      <c r="J251" s="17">
        <v>29806</v>
      </c>
      <c r="K251" s="17">
        <v>30346</v>
      </c>
      <c r="L251" s="13">
        <v>6</v>
      </c>
      <c r="M251" s="13">
        <v>0</v>
      </c>
      <c r="N251" s="13">
        <v>1</v>
      </c>
      <c r="O251" s="13">
        <v>0</v>
      </c>
      <c r="P251" s="13">
        <v>0</v>
      </c>
      <c r="Q251" s="13">
        <v>3</v>
      </c>
      <c r="R251" s="21">
        <f t="shared" si="25"/>
        <v>22.586959795211566</v>
      </c>
      <c r="S251" s="21">
        <f t="shared" si="26"/>
        <v>0</v>
      </c>
      <c r="T251" s="21">
        <f t="shared" si="27"/>
        <v>3.6172906493036714</v>
      </c>
      <c r="U251" s="21">
        <f t="shared" si="28"/>
        <v>0</v>
      </c>
      <c r="V251" s="21">
        <f t="shared" si="29"/>
        <v>0</v>
      </c>
      <c r="W251" s="21">
        <f t="shared" si="30"/>
        <v>9.8859816779806238</v>
      </c>
      <c r="X251" s="21">
        <f t="shared" si="31"/>
        <v>8.7347501481717469</v>
      </c>
      <c r="Y251" s="21">
        <f t="shared" si="32"/>
        <v>3.2953272259935411</v>
      </c>
    </row>
    <row r="252" spans="1:25" x14ac:dyDescent="0.3">
      <c r="A252" s="13" t="s">
        <v>133</v>
      </c>
      <c r="B252" s="13" t="s">
        <v>644</v>
      </c>
      <c r="C252" s="13" t="s">
        <v>349</v>
      </c>
      <c r="D252" s="13" t="s">
        <v>349</v>
      </c>
      <c r="E252" s="17">
        <v>60502</v>
      </c>
      <c r="F252" s="17">
        <v>10591</v>
      </c>
      <c r="G252" s="17">
        <v>10439</v>
      </c>
      <c r="H252" s="17">
        <v>10286</v>
      </c>
      <c r="I252" s="17">
        <v>9828</v>
      </c>
      <c r="J252" s="17">
        <v>9676</v>
      </c>
      <c r="K252" s="17">
        <v>9523</v>
      </c>
      <c r="L252" s="13">
        <v>0</v>
      </c>
      <c r="M252" s="13">
        <v>1</v>
      </c>
      <c r="N252" s="13">
        <v>0</v>
      </c>
      <c r="O252" s="13">
        <v>0</v>
      </c>
      <c r="P252" s="13">
        <v>0</v>
      </c>
      <c r="Q252" s="13">
        <v>0</v>
      </c>
      <c r="R252" s="21">
        <f t="shared" si="25"/>
        <v>0</v>
      </c>
      <c r="S252" s="21">
        <f t="shared" si="26"/>
        <v>9.5794616342561554</v>
      </c>
      <c r="T252" s="21">
        <f t="shared" si="27"/>
        <v>0</v>
      </c>
      <c r="U252" s="21">
        <f t="shared" si="28"/>
        <v>0</v>
      </c>
      <c r="V252" s="21">
        <f t="shared" si="29"/>
        <v>0</v>
      </c>
      <c r="W252" s="21">
        <f t="shared" si="30"/>
        <v>0</v>
      </c>
      <c r="X252" s="21">
        <f t="shared" si="31"/>
        <v>3.193153878085385</v>
      </c>
      <c r="Y252" s="21">
        <f t="shared" si="32"/>
        <v>0</v>
      </c>
    </row>
    <row r="253" spans="1:25" x14ac:dyDescent="0.3">
      <c r="A253" s="13" t="s">
        <v>133</v>
      </c>
      <c r="B253" s="13" t="s">
        <v>645</v>
      </c>
      <c r="C253" s="13" t="s">
        <v>71</v>
      </c>
      <c r="D253" s="13" t="s">
        <v>71</v>
      </c>
      <c r="E253" s="17">
        <v>60601</v>
      </c>
      <c r="F253" s="17">
        <v>21521</v>
      </c>
      <c r="G253" s="17">
        <v>21428</v>
      </c>
      <c r="H253" s="17">
        <v>21334</v>
      </c>
      <c r="I253" s="17">
        <v>21052</v>
      </c>
      <c r="J253" s="17">
        <v>20958</v>
      </c>
      <c r="K253" s="17">
        <v>20864</v>
      </c>
      <c r="L253" s="13">
        <v>1</v>
      </c>
      <c r="M253" s="13">
        <v>1</v>
      </c>
      <c r="N253" s="13">
        <v>0</v>
      </c>
      <c r="O253" s="13">
        <v>0</v>
      </c>
      <c r="P253" s="13">
        <v>0</v>
      </c>
      <c r="Q253" s="13">
        <v>0</v>
      </c>
      <c r="R253" s="21">
        <f t="shared" si="25"/>
        <v>4.6466242274987222</v>
      </c>
      <c r="S253" s="21">
        <f t="shared" si="26"/>
        <v>4.6667911144297181</v>
      </c>
      <c r="T253" s="21">
        <f t="shared" si="27"/>
        <v>0</v>
      </c>
      <c r="U253" s="21">
        <f t="shared" si="28"/>
        <v>0</v>
      </c>
      <c r="V253" s="21">
        <f t="shared" si="29"/>
        <v>0</v>
      </c>
      <c r="W253" s="21">
        <f t="shared" si="30"/>
        <v>0</v>
      </c>
      <c r="X253" s="21">
        <f t="shared" si="31"/>
        <v>3.1044717806428133</v>
      </c>
      <c r="Y253" s="21">
        <f t="shared" si="32"/>
        <v>0</v>
      </c>
    </row>
    <row r="254" spans="1:25" x14ac:dyDescent="0.3">
      <c r="A254" s="13" t="s">
        <v>140</v>
      </c>
      <c r="B254" s="13" t="s">
        <v>646</v>
      </c>
      <c r="C254" s="13" t="s">
        <v>141</v>
      </c>
      <c r="D254" s="13" t="s">
        <v>141</v>
      </c>
      <c r="E254" s="17">
        <v>70101</v>
      </c>
      <c r="F254" s="17">
        <v>1513824</v>
      </c>
      <c r="G254" s="17">
        <v>1527704</v>
      </c>
      <c r="H254" s="17">
        <v>1541583</v>
      </c>
      <c r="I254" s="17">
        <v>1583223</v>
      </c>
      <c r="J254" s="17">
        <v>1597102</v>
      </c>
      <c r="K254" s="17">
        <v>1610982</v>
      </c>
      <c r="L254" s="13">
        <v>88</v>
      </c>
      <c r="M254" s="13">
        <v>75</v>
      </c>
      <c r="N254" s="13">
        <v>56</v>
      </c>
      <c r="O254" s="13">
        <v>27</v>
      </c>
      <c r="P254" s="13">
        <v>52</v>
      </c>
      <c r="Q254" s="13">
        <v>34</v>
      </c>
      <c r="R254" s="21">
        <f t="shared" si="25"/>
        <v>5.8130931997378825</v>
      </c>
      <c r="S254" s="21">
        <f t="shared" si="26"/>
        <v>4.9093279850023297</v>
      </c>
      <c r="T254" s="21">
        <f t="shared" si="27"/>
        <v>3.6326295762213254</v>
      </c>
      <c r="U254" s="21">
        <f t="shared" si="28"/>
        <v>1.7053819960927803</v>
      </c>
      <c r="V254" s="21">
        <f t="shared" si="29"/>
        <v>3.2558972438829827</v>
      </c>
      <c r="W254" s="21">
        <f t="shared" si="30"/>
        <v>2.1105139598083653</v>
      </c>
      <c r="X254" s="21">
        <f t="shared" si="31"/>
        <v>4.7850169203205128</v>
      </c>
      <c r="Y254" s="21">
        <f t="shared" si="32"/>
        <v>2.3572643999280429</v>
      </c>
    </row>
    <row r="255" spans="1:25" x14ac:dyDescent="0.3">
      <c r="A255" s="13" t="s">
        <v>140</v>
      </c>
      <c r="B255" s="13" t="s">
        <v>646</v>
      </c>
      <c r="C255" s="13" t="s">
        <v>145</v>
      </c>
      <c r="D255" s="13" t="s">
        <v>145</v>
      </c>
      <c r="E255" s="17">
        <v>70102</v>
      </c>
      <c r="F255" s="17">
        <v>76871</v>
      </c>
      <c r="G255" s="17">
        <v>81118</v>
      </c>
      <c r="H255" s="17">
        <v>85366</v>
      </c>
      <c r="I255" s="17">
        <v>98108</v>
      </c>
      <c r="J255" s="17">
        <v>102356</v>
      </c>
      <c r="K255" s="17">
        <v>106603</v>
      </c>
      <c r="L255" s="13">
        <v>7</v>
      </c>
      <c r="M255" s="13">
        <v>1</v>
      </c>
      <c r="N255" s="13">
        <v>4</v>
      </c>
      <c r="O255" s="13">
        <v>7</v>
      </c>
      <c r="P255" s="13">
        <v>18</v>
      </c>
      <c r="Q255" s="13">
        <v>9</v>
      </c>
      <c r="R255" s="21">
        <f t="shared" si="25"/>
        <v>9.1061648736194396</v>
      </c>
      <c r="S255" s="21">
        <f t="shared" si="26"/>
        <v>1.2327720111442591</v>
      </c>
      <c r="T255" s="21">
        <f t="shared" si="27"/>
        <v>4.6857062530749944</v>
      </c>
      <c r="U255" s="21">
        <f t="shared" si="28"/>
        <v>7.1349940881477556</v>
      </c>
      <c r="V255" s="21">
        <f t="shared" si="29"/>
        <v>17.585681347453985</v>
      </c>
      <c r="W255" s="21">
        <f t="shared" si="30"/>
        <v>8.4425391405495152</v>
      </c>
      <c r="X255" s="21">
        <f t="shared" si="31"/>
        <v>5.0082143792795648</v>
      </c>
      <c r="Y255" s="21">
        <f t="shared" si="32"/>
        <v>11.054404858717085</v>
      </c>
    </row>
    <row r="256" spans="1:25" x14ac:dyDescent="0.3">
      <c r="A256" s="13" t="s">
        <v>140</v>
      </c>
      <c r="B256" s="13" t="s">
        <v>646</v>
      </c>
      <c r="C256" s="13" t="s">
        <v>157</v>
      </c>
      <c r="D256" s="13" t="s">
        <v>647</v>
      </c>
      <c r="E256" s="17">
        <v>70103</v>
      </c>
      <c r="F256" s="17">
        <v>18571</v>
      </c>
      <c r="G256" s="17">
        <v>19222</v>
      </c>
      <c r="H256" s="17">
        <v>19872</v>
      </c>
      <c r="I256" s="17">
        <v>21825</v>
      </c>
      <c r="J256" s="17">
        <v>22475</v>
      </c>
      <c r="K256" s="17">
        <v>23126</v>
      </c>
      <c r="L256" s="13">
        <v>0</v>
      </c>
      <c r="M256" s="13">
        <v>0</v>
      </c>
      <c r="N256" s="13">
        <v>0</v>
      </c>
      <c r="O256" s="13">
        <v>2</v>
      </c>
      <c r="P256" s="13">
        <v>3</v>
      </c>
      <c r="Q256" s="13">
        <v>2</v>
      </c>
      <c r="R256" s="21">
        <f t="shared" si="25"/>
        <v>0</v>
      </c>
      <c r="S256" s="21">
        <f t="shared" si="26"/>
        <v>0</v>
      </c>
      <c r="T256" s="21">
        <f t="shared" si="27"/>
        <v>0</v>
      </c>
      <c r="U256" s="21">
        <f t="shared" si="28"/>
        <v>9.1638029782359673</v>
      </c>
      <c r="V256" s="21">
        <f t="shared" si="29"/>
        <v>13.348164627363738</v>
      </c>
      <c r="W256" s="21">
        <f t="shared" si="30"/>
        <v>8.6482746692034933</v>
      </c>
      <c r="X256" s="21">
        <f t="shared" si="31"/>
        <v>0</v>
      </c>
      <c r="Y256" s="21">
        <f t="shared" si="32"/>
        <v>10.3867474249344</v>
      </c>
    </row>
    <row r="257" spans="1:25" x14ac:dyDescent="0.3">
      <c r="A257" s="13" t="s">
        <v>140</v>
      </c>
      <c r="B257" s="13" t="s">
        <v>646</v>
      </c>
      <c r="C257" s="13" t="s">
        <v>153</v>
      </c>
      <c r="D257" s="13" t="s">
        <v>153</v>
      </c>
      <c r="E257" s="17">
        <v>70104</v>
      </c>
      <c r="F257" s="17">
        <v>113635</v>
      </c>
      <c r="G257" s="17">
        <v>118505</v>
      </c>
      <c r="H257" s="17">
        <v>123375</v>
      </c>
      <c r="I257" s="17">
        <v>137986</v>
      </c>
      <c r="J257" s="17">
        <v>142856</v>
      </c>
      <c r="K257" s="17">
        <v>147726</v>
      </c>
      <c r="L257" s="13">
        <v>7</v>
      </c>
      <c r="M257" s="13">
        <v>10</v>
      </c>
      <c r="N257" s="13">
        <v>8</v>
      </c>
      <c r="O257" s="13">
        <v>5</v>
      </c>
      <c r="P257" s="13">
        <v>5</v>
      </c>
      <c r="Q257" s="13">
        <v>1</v>
      </c>
      <c r="R257" s="21">
        <f t="shared" si="25"/>
        <v>6.1600739208870516</v>
      </c>
      <c r="S257" s="21">
        <f t="shared" si="26"/>
        <v>8.4384625121302896</v>
      </c>
      <c r="T257" s="21">
        <f t="shared" si="27"/>
        <v>6.4842958459979734</v>
      </c>
      <c r="U257" s="21">
        <f t="shared" si="28"/>
        <v>3.623556012928848</v>
      </c>
      <c r="V257" s="21">
        <f t="shared" si="29"/>
        <v>3.5000280002240021</v>
      </c>
      <c r="W257" s="21">
        <f t="shared" si="30"/>
        <v>0.67692890892598467</v>
      </c>
      <c r="X257" s="21">
        <f t="shared" si="31"/>
        <v>7.027610759671771</v>
      </c>
      <c r="Y257" s="21">
        <f t="shared" si="32"/>
        <v>2.6001709740262782</v>
      </c>
    </row>
    <row r="258" spans="1:25" x14ac:dyDescent="0.3">
      <c r="A258" s="13" t="s">
        <v>140</v>
      </c>
      <c r="B258" s="13" t="s">
        <v>646</v>
      </c>
      <c r="C258" s="13" t="s">
        <v>155</v>
      </c>
      <c r="D258" s="13" t="s">
        <v>155</v>
      </c>
      <c r="E258" s="17">
        <v>70105</v>
      </c>
      <c r="F258" s="17">
        <v>52171</v>
      </c>
      <c r="G258" s="17">
        <v>52675</v>
      </c>
      <c r="H258" s="17">
        <v>53178</v>
      </c>
      <c r="I258" s="17">
        <v>54690</v>
      </c>
      <c r="J258" s="17">
        <v>55193</v>
      </c>
      <c r="K258" s="17">
        <v>55697</v>
      </c>
      <c r="L258" s="13">
        <v>7</v>
      </c>
      <c r="M258" s="13">
        <v>5</v>
      </c>
      <c r="N258" s="13">
        <v>5</v>
      </c>
      <c r="O258" s="13">
        <v>2</v>
      </c>
      <c r="P258" s="13">
        <v>2</v>
      </c>
      <c r="Q258" s="13">
        <v>4</v>
      </c>
      <c r="R258" s="21">
        <f t="shared" si="25"/>
        <v>13.417415805715819</v>
      </c>
      <c r="S258" s="21">
        <f t="shared" si="26"/>
        <v>9.4921689606074988</v>
      </c>
      <c r="T258" s="21">
        <f t="shared" si="27"/>
        <v>9.4023844446951745</v>
      </c>
      <c r="U258" s="21">
        <f t="shared" si="28"/>
        <v>3.6569756811117209</v>
      </c>
      <c r="V258" s="21">
        <f t="shared" si="29"/>
        <v>3.6236479263674743</v>
      </c>
      <c r="W258" s="21">
        <f t="shared" si="30"/>
        <v>7.1817153527119952</v>
      </c>
      <c r="X258" s="21">
        <f t="shared" si="31"/>
        <v>10.770656403672831</v>
      </c>
      <c r="Y258" s="21">
        <f t="shared" si="32"/>
        <v>4.8207796533970635</v>
      </c>
    </row>
    <row r="259" spans="1:25" x14ac:dyDescent="0.3">
      <c r="A259" s="13" t="s">
        <v>140</v>
      </c>
      <c r="B259" s="13" t="s">
        <v>142</v>
      </c>
      <c r="C259" s="13" t="s">
        <v>142</v>
      </c>
      <c r="D259" s="13" t="s">
        <v>142</v>
      </c>
      <c r="E259" s="17">
        <v>70201</v>
      </c>
      <c r="F259" s="17">
        <v>119257</v>
      </c>
      <c r="G259" s="17">
        <v>123827</v>
      </c>
      <c r="H259" s="17">
        <v>128397</v>
      </c>
      <c r="I259" s="17">
        <v>142108</v>
      </c>
      <c r="J259" s="17">
        <v>146678</v>
      </c>
      <c r="K259" s="17">
        <v>151248</v>
      </c>
      <c r="L259" s="13">
        <v>6</v>
      </c>
      <c r="M259" s="13">
        <v>7</v>
      </c>
      <c r="N259" s="13">
        <v>12</v>
      </c>
      <c r="O259" s="13">
        <v>20</v>
      </c>
      <c r="P259" s="13">
        <v>39</v>
      </c>
      <c r="Q259" s="13">
        <v>23</v>
      </c>
      <c r="R259" s="21">
        <f t="shared" ref="R259:R322" si="33">(L259/F259)*100000</f>
        <v>5.0311512112496537</v>
      </c>
      <c r="S259" s="21">
        <f t="shared" ref="S259:S322" si="34">(M259/G259)*100000</f>
        <v>5.6530482043496164</v>
      </c>
      <c r="T259" s="21">
        <f t="shared" ref="T259:T322" si="35">(N259/H259)*100000</f>
        <v>9.3460127573074132</v>
      </c>
      <c r="U259" s="21">
        <f t="shared" ref="U259:U322" si="36">(O259/I259)*100000</f>
        <v>14.073803023052889</v>
      </c>
      <c r="V259" s="21">
        <f t="shared" ref="V259:V322" si="37">(P259/J259)*100000</f>
        <v>26.588854497607002</v>
      </c>
      <c r="W259" s="21">
        <f t="shared" ref="W259:W322" si="38">(Q259/K259)*100000</f>
        <v>15.206812652068127</v>
      </c>
      <c r="X259" s="21">
        <f t="shared" ref="X259:X322" si="39">AVERAGE(R259:T259)</f>
        <v>6.6767373909688947</v>
      </c>
      <c r="Y259" s="21">
        <f t="shared" ref="Y259:Y322" si="40">AVERAGE(U259:W259)</f>
        <v>18.623156724242673</v>
      </c>
    </row>
    <row r="260" spans="1:25" x14ac:dyDescent="0.3">
      <c r="A260" s="13" t="s">
        <v>140</v>
      </c>
      <c r="B260" s="13" t="s">
        <v>142</v>
      </c>
      <c r="C260" s="13" t="s">
        <v>169</v>
      </c>
      <c r="D260" s="13" t="s">
        <v>169</v>
      </c>
      <c r="E260" s="17">
        <v>70202</v>
      </c>
      <c r="F260" s="17">
        <v>11725</v>
      </c>
      <c r="G260" s="17">
        <v>11574</v>
      </c>
      <c r="H260" s="17">
        <v>11422</v>
      </c>
      <c r="I260" s="17">
        <v>10968</v>
      </c>
      <c r="J260" s="17">
        <v>10816</v>
      </c>
      <c r="K260" s="17">
        <v>10665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0</v>
      </c>
      <c r="R260" s="21">
        <f t="shared" si="33"/>
        <v>0</v>
      </c>
      <c r="S260" s="21">
        <f t="shared" si="34"/>
        <v>0</v>
      </c>
      <c r="T260" s="21">
        <f t="shared" si="35"/>
        <v>0</v>
      </c>
      <c r="U260" s="21">
        <f t="shared" si="36"/>
        <v>0</v>
      </c>
      <c r="V260" s="21">
        <f t="shared" si="37"/>
        <v>0</v>
      </c>
      <c r="W260" s="21">
        <f t="shared" si="38"/>
        <v>0</v>
      </c>
      <c r="X260" s="21">
        <f t="shared" si="39"/>
        <v>0</v>
      </c>
      <c r="Y260" s="21">
        <f t="shared" si="40"/>
        <v>0</v>
      </c>
    </row>
    <row r="261" spans="1:25" x14ac:dyDescent="0.3">
      <c r="A261" s="13" t="s">
        <v>140</v>
      </c>
      <c r="B261" s="13" t="s">
        <v>648</v>
      </c>
      <c r="C261" s="13" t="s">
        <v>147</v>
      </c>
      <c r="D261" s="13" t="s">
        <v>397</v>
      </c>
      <c r="E261" s="17">
        <v>70301</v>
      </c>
      <c r="F261" s="17">
        <v>58504</v>
      </c>
      <c r="G261" s="17">
        <v>59733</v>
      </c>
      <c r="H261" s="17">
        <v>60961</v>
      </c>
      <c r="I261" s="17">
        <v>64646</v>
      </c>
      <c r="J261" s="17">
        <v>65875</v>
      </c>
      <c r="K261" s="17">
        <v>67103</v>
      </c>
      <c r="L261" s="13">
        <v>0</v>
      </c>
      <c r="M261" s="13">
        <v>3</v>
      </c>
      <c r="N261" s="13">
        <v>8</v>
      </c>
      <c r="O261" s="13">
        <v>7</v>
      </c>
      <c r="P261" s="13">
        <v>6</v>
      </c>
      <c r="Q261" s="13">
        <v>6</v>
      </c>
      <c r="R261" s="21">
        <f t="shared" si="33"/>
        <v>0</v>
      </c>
      <c r="S261" s="21">
        <f t="shared" si="34"/>
        <v>5.0223494550750836</v>
      </c>
      <c r="T261" s="21">
        <f t="shared" si="35"/>
        <v>13.123144305375568</v>
      </c>
      <c r="U261" s="21">
        <f t="shared" si="36"/>
        <v>10.828202827707825</v>
      </c>
      <c r="V261" s="21">
        <f t="shared" si="37"/>
        <v>9.1081593927893749</v>
      </c>
      <c r="W261" s="21">
        <f t="shared" si="38"/>
        <v>8.9414780263177516</v>
      </c>
      <c r="X261" s="21">
        <f t="shared" si="39"/>
        <v>6.0484979201502176</v>
      </c>
      <c r="Y261" s="21">
        <f t="shared" si="40"/>
        <v>9.6259467489383184</v>
      </c>
    </row>
    <row r="262" spans="1:25" x14ac:dyDescent="0.3">
      <c r="A262" s="13" t="s">
        <v>140</v>
      </c>
      <c r="B262" s="13" t="s">
        <v>648</v>
      </c>
      <c r="C262" s="13" t="s">
        <v>176</v>
      </c>
      <c r="D262" s="13" t="s">
        <v>649</v>
      </c>
      <c r="E262" s="17">
        <v>70302</v>
      </c>
      <c r="F262" s="17">
        <v>12957</v>
      </c>
      <c r="G262" s="17">
        <v>13283</v>
      </c>
      <c r="H262" s="17">
        <v>13609</v>
      </c>
      <c r="I262" s="17">
        <v>14587</v>
      </c>
      <c r="J262" s="17">
        <v>14913</v>
      </c>
      <c r="K262" s="17">
        <v>15239</v>
      </c>
      <c r="L262" s="13">
        <v>0</v>
      </c>
      <c r="M262" s="13">
        <v>1</v>
      </c>
      <c r="N262" s="13">
        <v>0</v>
      </c>
      <c r="O262" s="13">
        <v>1</v>
      </c>
      <c r="P262" s="13">
        <v>0</v>
      </c>
      <c r="Q262" s="13">
        <v>0</v>
      </c>
      <c r="R262" s="21">
        <f t="shared" si="33"/>
        <v>0</v>
      </c>
      <c r="S262" s="21">
        <f t="shared" si="34"/>
        <v>7.5284197846871939</v>
      </c>
      <c r="T262" s="21">
        <f t="shared" si="35"/>
        <v>0</v>
      </c>
      <c r="U262" s="21">
        <f t="shared" si="36"/>
        <v>6.8554192088846237</v>
      </c>
      <c r="V262" s="21">
        <f t="shared" si="37"/>
        <v>0</v>
      </c>
      <c r="W262" s="21">
        <f t="shared" si="38"/>
        <v>0</v>
      </c>
      <c r="X262" s="21">
        <f t="shared" si="39"/>
        <v>2.5094732615623978</v>
      </c>
      <c r="Y262" s="21">
        <f t="shared" si="40"/>
        <v>2.2851397362948744</v>
      </c>
    </row>
    <row r="263" spans="1:25" x14ac:dyDescent="0.3">
      <c r="A263" s="13" t="s">
        <v>140</v>
      </c>
      <c r="B263" s="13" t="s">
        <v>648</v>
      </c>
      <c r="C263" s="13" t="s">
        <v>166</v>
      </c>
      <c r="D263" s="13" t="s">
        <v>166</v>
      </c>
      <c r="E263" s="17">
        <v>70303</v>
      </c>
      <c r="F263" s="17">
        <v>7265</v>
      </c>
      <c r="G263" s="17">
        <v>7491</v>
      </c>
      <c r="H263" s="17">
        <v>7716</v>
      </c>
      <c r="I263" s="17">
        <v>8392</v>
      </c>
      <c r="J263" s="17">
        <v>8617</v>
      </c>
      <c r="K263" s="17">
        <v>8842</v>
      </c>
      <c r="L263" s="13">
        <v>0</v>
      </c>
      <c r="M263" s="13">
        <v>0</v>
      </c>
      <c r="N263" s="13">
        <v>0</v>
      </c>
      <c r="O263" s="13">
        <v>2</v>
      </c>
      <c r="P263" s="13">
        <v>0</v>
      </c>
      <c r="Q263" s="13">
        <v>0</v>
      </c>
      <c r="R263" s="21">
        <f t="shared" si="33"/>
        <v>0</v>
      </c>
      <c r="S263" s="21">
        <f t="shared" si="34"/>
        <v>0</v>
      </c>
      <c r="T263" s="21">
        <f t="shared" si="35"/>
        <v>0</v>
      </c>
      <c r="U263" s="21">
        <f t="shared" si="36"/>
        <v>23.832221163012392</v>
      </c>
      <c r="V263" s="21">
        <f t="shared" si="37"/>
        <v>0</v>
      </c>
      <c r="W263" s="21">
        <f t="shared" si="38"/>
        <v>0</v>
      </c>
      <c r="X263" s="21">
        <f t="shared" si="39"/>
        <v>0</v>
      </c>
      <c r="Y263" s="21">
        <f t="shared" si="40"/>
        <v>7.9440737210041306</v>
      </c>
    </row>
    <row r="264" spans="1:25" x14ac:dyDescent="0.3">
      <c r="A264" s="13" t="s">
        <v>140</v>
      </c>
      <c r="B264" s="13" t="s">
        <v>650</v>
      </c>
      <c r="C264" s="13" t="s">
        <v>651</v>
      </c>
      <c r="D264" s="13" t="s">
        <v>651</v>
      </c>
      <c r="E264" s="17">
        <v>70401</v>
      </c>
      <c r="F264" s="17">
        <v>13201</v>
      </c>
      <c r="G264" s="17">
        <v>13265</v>
      </c>
      <c r="H264" s="17">
        <v>13329</v>
      </c>
      <c r="I264" s="17">
        <v>13522</v>
      </c>
      <c r="J264" s="17">
        <v>13587</v>
      </c>
      <c r="K264" s="17">
        <v>13651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21">
        <f t="shared" si="33"/>
        <v>0</v>
      </c>
      <c r="S264" s="21">
        <f t="shared" si="34"/>
        <v>0</v>
      </c>
      <c r="T264" s="21">
        <f t="shared" si="35"/>
        <v>0</v>
      </c>
      <c r="U264" s="21">
        <f t="shared" si="36"/>
        <v>0</v>
      </c>
      <c r="V264" s="21">
        <f t="shared" si="37"/>
        <v>0</v>
      </c>
      <c r="W264" s="21">
        <f t="shared" si="38"/>
        <v>0</v>
      </c>
      <c r="X264" s="21">
        <f t="shared" si="39"/>
        <v>0</v>
      </c>
      <c r="Y264" s="21">
        <f t="shared" si="40"/>
        <v>0</v>
      </c>
    </row>
    <row r="265" spans="1:25" x14ac:dyDescent="0.3">
      <c r="A265" s="13" t="s">
        <v>140</v>
      </c>
      <c r="B265" s="13" t="s">
        <v>650</v>
      </c>
      <c r="C265" s="13" t="s">
        <v>174</v>
      </c>
      <c r="D265" s="13" t="s">
        <v>174</v>
      </c>
      <c r="E265" s="17">
        <v>70402</v>
      </c>
      <c r="F265" s="17">
        <v>19613</v>
      </c>
      <c r="G265" s="17">
        <v>19518</v>
      </c>
      <c r="H265" s="17">
        <v>19422</v>
      </c>
      <c r="I265" s="17">
        <v>19134</v>
      </c>
      <c r="J265" s="17">
        <v>19038</v>
      </c>
      <c r="K265" s="17">
        <v>18942</v>
      </c>
      <c r="L265" s="13">
        <v>0</v>
      </c>
      <c r="M265" s="13">
        <v>0</v>
      </c>
      <c r="N265" s="13">
        <v>0</v>
      </c>
      <c r="O265" s="13">
        <v>1</v>
      </c>
      <c r="P265" s="13">
        <v>0</v>
      </c>
      <c r="Q265" s="13">
        <v>0</v>
      </c>
      <c r="R265" s="21">
        <f t="shared" si="33"/>
        <v>0</v>
      </c>
      <c r="S265" s="21">
        <f t="shared" si="34"/>
        <v>0</v>
      </c>
      <c r="T265" s="21">
        <f t="shared" si="35"/>
        <v>0</v>
      </c>
      <c r="U265" s="21">
        <f t="shared" si="36"/>
        <v>5.226298735235706</v>
      </c>
      <c r="V265" s="21">
        <f t="shared" si="37"/>
        <v>0</v>
      </c>
      <c r="W265" s="21">
        <f t="shared" si="38"/>
        <v>0</v>
      </c>
      <c r="X265" s="21">
        <f t="shared" si="39"/>
        <v>0</v>
      </c>
      <c r="Y265" s="21">
        <f t="shared" si="40"/>
        <v>1.742099578411902</v>
      </c>
    </row>
    <row r="266" spans="1:25" x14ac:dyDescent="0.3">
      <c r="A266" s="13" t="s">
        <v>140</v>
      </c>
      <c r="B266" s="13" t="s">
        <v>650</v>
      </c>
      <c r="C266" s="13" t="s">
        <v>143</v>
      </c>
      <c r="D266" s="13" t="s">
        <v>143</v>
      </c>
      <c r="E266" s="17">
        <v>70403</v>
      </c>
      <c r="F266" s="17">
        <v>53573</v>
      </c>
      <c r="G266" s="17">
        <v>54176</v>
      </c>
      <c r="H266" s="17">
        <v>54779</v>
      </c>
      <c r="I266" s="17">
        <v>56588</v>
      </c>
      <c r="J266" s="17">
        <v>57191</v>
      </c>
      <c r="K266" s="17">
        <v>57794</v>
      </c>
      <c r="L266" s="13">
        <v>5</v>
      </c>
      <c r="M266" s="13">
        <v>1</v>
      </c>
      <c r="N266" s="13">
        <v>10</v>
      </c>
      <c r="O266" s="13">
        <v>11</v>
      </c>
      <c r="P266" s="13">
        <v>11</v>
      </c>
      <c r="Q266" s="13">
        <v>3</v>
      </c>
      <c r="R266" s="21">
        <f t="shared" si="33"/>
        <v>9.3330595635861346</v>
      </c>
      <c r="S266" s="21">
        <f t="shared" si="34"/>
        <v>1.8458357944477259</v>
      </c>
      <c r="T266" s="21">
        <f t="shared" si="35"/>
        <v>18.255170777122622</v>
      </c>
      <c r="U266" s="21">
        <f t="shared" si="36"/>
        <v>19.438750265073867</v>
      </c>
      <c r="V266" s="21">
        <f t="shared" si="37"/>
        <v>19.233795527268278</v>
      </c>
      <c r="W266" s="21">
        <f t="shared" si="38"/>
        <v>5.1908502612727965</v>
      </c>
      <c r="X266" s="21">
        <f t="shared" si="39"/>
        <v>9.8113553783854943</v>
      </c>
      <c r="Y266" s="21">
        <f t="shared" si="40"/>
        <v>14.62113201787165</v>
      </c>
    </row>
    <row r="267" spans="1:25" x14ac:dyDescent="0.3">
      <c r="A267" s="13" t="s">
        <v>140</v>
      </c>
      <c r="B267" s="13" t="s">
        <v>650</v>
      </c>
      <c r="C267" s="13" t="s">
        <v>652</v>
      </c>
      <c r="D267" s="13" t="s">
        <v>652</v>
      </c>
      <c r="E267" s="17">
        <v>70404</v>
      </c>
      <c r="F267" s="17">
        <v>9611</v>
      </c>
      <c r="G267" s="17">
        <v>9696</v>
      </c>
      <c r="H267" s="17">
        <v>9780</v>
      </c>
      <c r="I267" s="17">
        <v>10032</v>
      </c>
      <c r="J267" s="17">
        <v>10116</v>
      </c>
      <c r="K267" s="17">
        <v>10200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21">
        <f t="shared" si="33"/>
        <v>0</v>
      </c>
      <c r="S267" s="21">
        <f t="shared" si="34"/>
        <v>0</v>
      </c>
      <c r="T267" s="21">
        <f t="shared" si="35"/>
        <v>0</v>
      </c>
      <c r="U267" s="21">
        <f t="shared" si="36"/>
        <v>0</v>
      </c>
      <c r="V267" s="21">
        <f t="shared" si="37"/>
        <v>0</v>
      </c>
      <c r="W267" s="21">
        <f t="shared" si="38"/>
        <v>0</v>
      </c>
      <c r="X267" s="21">
        <f t="shared" si="39"/>
        <v>0</v>
      </c>
      <c r="Y267" s="21">
        <f t="shared" si="40"/>
        <v>0</v>
      </c>
    </row>
    <row r="268" spans="1:25" x14ac:dyDescent="0.3">
      <c r="A268" s="13" t="s">
        <v>140</v>
      </c>
      <c r="B268" s="13" t="s">
        <v>653</v>
      </c>
      <c r="C268" s="13" t="s">
        <v>151</v>
      </c>
      <c r="D268" s="13" t="s">
        <v>654</v>
      </c>
      <c r="E268" s="17">
        <v>70501</v>
      </c>
      <c r="F268" s="17">
        <v>33944</v>
      </c>
      <c r="G268" s="17">
        <v>34948</v>
      </c>
      <c r="H268" s="17">
        <v>35952</v>
      </c>
      <c r="I268" s="17">
        <v>38965</v>
      </c>
      <c r="J268" s="17">
        <v>39970</v>
      </c>
      <c r="K268" s="17">
        <v>40974</v>
      </c>
      <c r="L268" s="13">
        <v>0</v>
      </c>
      <c r="M268" s="13">
        <v>0</v>
      </c>
      <c r="N268" s="13">
        <v>0</v>
      </c>
      <c r="O268" s="13">
        <v>7</v>
      </c>
      <c r="P268" s="13">
        <v>4</v>
      </c>
      <c r="Q268" s="13">
        <v>4</v>
      </c>
      <c r="R268" s="21">
        <f t="shared" si="33"/>
        <v>0</v>
      </c>
      <c r="S268" s="21">
        <f t="shared" si="34"/>
        <v>0</v>
      </c>
      <c r="T268" s="21">
        <f t="shared" si="35"/>
        <v>0</v>
      </c>
      <c r="U268" s="21">
        <f t="shared" si="36"/>
        <v>17.96484024124214</v>
      </c>
      <c r="V268" s="21">
        <f t="shared" si="37"/>
        <v>10.007505629221917</v>
      </c>
      <c r="W268" s="21">
        <f t="shared" si="38"/>
        <v>9.7622882803729194</v>
      </c>
      <c r="X268" s="21">
        <f t="shared" si="39"/>
        <v>0</v>
      </c>
      <c r="Y268" s="21">
        <f t="shared" si="40"/>
        <v>12.578211383612325</v>
      </c>
    </row>
    <row r="269" spans="1:25" x14ac:dyDescent="0.3">
      <c r="A269" s="13" t="s">
        <v>140</v>
      </c>
      <c r="B269" s="13" t="s">
        <v>653</v>
      </c>
      <c r="C269" s="13" t="s">
        <v>149</v>
      </c>
      <c r="D269" s="13" t="s">
        <v>149</v>
      </c>
      <c r="E269" s="17">
        <v>70502</v>
      </c>
      <c r="F269" s="17">
        <v>44795</v>
      </c>
      <c r="G269" s="17">
        <v>46181</v>
      </c>
      <c r="H269" s="17">
        <v>47566</v>
      </c>
      <c r="I269" s="17">
        <v>51724</v>
      </c>
      <c r="J269" s="17">
        <v>53109</v>
      </c>
      <c r="K269" s="17">
        <v>54495</v>
      </c>
      <c r="L269" s="13">
        <v>0</v>
      </c>
      <c r="M269" s="13">
        <v>1</v>
      </c>
      <c r="N269" s="13">
        <v>1</v>
      </c>
      <c r="O269" s="13">
        <v>4</v>
      </c>
      <c r="P269" s="13">
        <v>12</v>
      </c>
      <c r="Q269" s="13">
        <v>3</v>
      </c>
      <c r="R269" s="21">
        <f t="shared" si="33"/>
        <v>0</v>
      </c>
      <c r="S269" s="21">
        <f t="shared" si="34"/>
        <v>2.1653926939650505</v>
      </c>
      <c r="T269" s="21">
        <f t="shared" si="35"/>
        <v>2.1023420089980238</v>
      </c>
      <c r="U269" s="21">
        <f t="shared" si="36"/>
        <v>7.7333539556105482</v>
      </c>
      <c r="V269" s="21">
        <f t="shared" si="37"/>
        <v>22.595040388634693</v>
      </c>
      <c r="W269" s="21">
        <f t="shared" si="38"/>
        <v>5.5050922102945226</v>
      </c>
      <c r="X269" s="21">
        <f t="shared" si="39"/>
        <v>1.4225782343210247</v>
      </c>
      <c r="Y269" s="21">
        <f t="shared" si="40"/>
        <v>11.94449551817992</v>
      </c>
    </row>
    <row r="270" spans="1:25" x14ac:dyDescent="0.3">
      <c r="A270" s="13" t="s">
        <v>140</v>
      </c>
      <c r="B270" s="13" t="s">
        <v>653</v>
      </c>
      <c r="C270" s="13" t="s">
        <v>173</v>
      </c>
      <c r="D270" s="13" t="s">
        <v>173</v>
      </c>
      <c r="E270" s="17">
        <v>70503</v>
      </c>
      <c r="F270" s="17">
        <v>16942</v>
      </c>
      <c r="G270" s="17">
        <v>17202</v>
      </c>
      <c r="H270" s="17">
        <v>17462</v>
      </c>
      <c r="I270" s="17">
        <v>18243</v>
      </c>
      <c r="J270" s="17">
        <v>18503</v>
      </c>
      <c r="K270" s="17">
        <v>18763</v>
      </c>
      <c r="L270" s="13">
        <v>0</v>
      </c>
      <c r="M270" s="13">
        <v>0</v>
      </c>
      <c r="N270" s="13">
        <v>0</v>
      </c>
      <c r="O270" s="13">
        <v>1</v>
      </c>
      <c r="P270" s="13">
        <v>0</v>
      </c>
      <c r="Q270" s="13">
        <v>0</v>
      </c>
      <c r="R270" s="21">
        <f t="shared" si="33"/>
        <v>0</v>
      </c>
      <c r="S270" s="21">
        <f t="shared" si="34"/>
        <v>0</v>
      </c>
      <c r="T270" s="21">
        <f t="shared" si="35"/>
        <v>0</v>
      </c>
      <c r="U270" s="21">
        <f t="shared" si="36"/>
        <v>5.4815545688757332</v>
      </c>
      <c r="V270" s="21">
        <f t="shared" si="37"/>
        <v>0</v>
      </c>
      <c r="W270" s="21">
        <f t="shared" si="38"/>
        <v>0</v>
      </c>
      <c r="X270" s="21">
        <f t="shared" si="39"/>
        <v>0</v>
      </c>
      <c r="Y270" s="21">
        <f t="shared" si="40"/>
        <v>1.8271848562919111</v>
      </c>
    </row>
    <row r="271" spans="1:25" x14ac:dyDescent="0.3">
      <c r="A271" s="13" t="s">
        <v>140</v>
      </c>
      <c r="B271" s="13" t="s">
        <v>655</v>
      </c>
      <c r="C271" s="13" t="s">
        <v>154</v>
      </c>
      <c r="D271" s="13" t="s">
        <v>154</v>
      </c>
      <c r="E271" s="17">
        <v>70601</v>
      </c>
      <c r="F271" s="17">
        <v>19076</v>
      </c>
      <c r="G271" s="17">
        <v>19314</v>
      </c>
      <c r="H271" s="17">
        <v>19552</v>
      </c>
      <c r="I271" s="17">
        <v>20267</v>
      </c>
      <c r="J271" s="17">
        <v>20505</v>
      </c>
      <c r="K271" s="17">
        <v>20743</v>
      </c>
      <c r="L271" s="13">
        <v>1</v>
      </c>
      <c r="M271" s="13">
        <v>1</v>
      </c>
      <c r="N271" s="13">
        <v>4</v>
      </c>
      <c r="O271" s="13">
        <v>4</v>
      </c>
      <c r="P271" s="13">
        <v>4</v>
      </c>
      <c r="Q271" s="13">
        <v>1</v>
      </c>
      <c r="R271" s="21">
        <f t="shared" si="33"/>
        <v>5.2421891381841057</v>
      </c>
      <c r="S271" s="21">
        <f t="shared" si="34"/>
        <v>5.1775913844879362</v>
      </c>
      <c r="T271" s="21">
        <f t="shared" si="35"/>
        <v>20.458265139116204</v>
      </c>
      <c r="U271" s="21">
        <f t="shared" si="36"/>
        <v>19.736517491488627</v>
      </c>
      <c r="V271" s="21">
        <f t="shared" si="37"/>
        <v>19.507437210436478</v>
      </c>
      <c r="W271" s="21">
        <f t="shared" si="38"/>
        <v>4.8209034373041506</v>
      </c>
      <c r="X271" s="21">
        <f t="shared" si="39"/>
        <v>10.292681887262749</v>
      </c>
      <c r="Y271" s="21">
        <f t="shared" si="40"/>
        <v>14.688286046409752</v>
      </c>
    </row>
    <row r="272" spans="1:25" x14ac:dyDescent="0.3">
      <c r="A272" s="13" t="s">
        <v>140</v>
      </c>
      <c r="B272" s="13" t="s">
        <v>655</v>
      </c>
      <c r="C272" s="13" t="s">
        <v>171</v>
      </c>
      <c r="D272" s="13" t="s">
        <v>185</v>
      </c>
      <c r="E272" s="17">
        <v>70602</v>
      </c>
      <c r="F272" s="17">
        <v>18710</v>
      </c>
      <c r="G272" s="17">
        <v>18608</v>
      </c>
      <c r="H272" s="17">
        <v>18507</v>
      </c>
      <c r="I272" s="17">
        <v>18202</v>
      </c>
      <c r="J272" s="17">
        <v>18101</v>
      </c>
      <c r="K272" s="17">
        <v>17999</v>
      </c>
      <c r="L272" s="13">
        <v>0</v>
      </c>
      <c r="M272" s="13">
        <v>0</v>
      </c>
      <c r="N272" s="13">
        <v>0</v>
      </c>
      <c r="O272" s="13">
        <v>0</v>
      </c>
      <c r="P272" s="13">
        <v>1</v>
      </c>
      <c r="Q272" s="13">
        <v>0</v>
      </c>
      <c r="R272" s="21">
        <f t="shared" si="33"/>
        <v>0</v>
      </c>
      <c r="S272" s="21">
        <f t="shared" si="34"/>
        <v>0</v>
      </c>
      <c r="T272" s="21">
        <f t="shared" si="35"/>
        <v>0</v>
      </c>
      <c r="U272" s="21">
        <f t="shared" si="36"/>
        <v>0</v>
      </c>
      <c r="V272" s="21">
        <f t="shared" si="37"/>
        <v>5.5245566543284896</v>
      </c>
      <c r="W272" s="21">
        <f t="shared" si="38"/>
        <v>0</v>
      </c>
      <c r="X272" s="21">
        <f t="shared" si="39"/>
        <v>0</v>
      </c>
      <c r="Y272" s="21">
        <f t="shared" si="40"/>
        <v>1.8415188847761632</v>
      </c>
    </row>
    <row r="273" spans="1:25" x14ac:dyDescent="0.3">
      <c r="A273" s="13" t="s">
        <v>140</v>
      </c>
      <c r="B273" s="13" t="s">
        <v>655</v>
      </c>
      <c r="C273" s="13" t="s">
        <v>656</v>
      </c>
      <c r="D273" s="13" t="s">
        <v>656</v>
      </c>
      <c r="E273" s="17">
        <v>70603</v>
      </c>
      <c r="F273" s="17">
        <v>6043</v>
      </c>
      <c r="G273" s="17">
        <v>6038</v>
      </c>
      <c r="H273" s="17">
        <v>6033</v>
      </c>
      <c r="I273" s="17">
        <v>6017</v>
      </c>
      <c r="J273" s="17">
        <v>6012</v>
      </c>
      <c r="K273" s="17">
        <v>6007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21">
        <f t="shared" si="33"/>
        <v>0</v>
      </c>
      <c r="S273" s="21">
        <f t="shared" si="34"/>
        <v>0</v>
      </c>
      <c r="T273" s="21">
        <f t="shared" si="35"/>
        <v>0</v>
      </c>
      <c r="U273" s="21">
        <f t="shared" si="36"/>
        <v>0</v>
      </c>
      <c r="V273" s="21">
        <f t="shared" si="37"/>
        <v>0</v>
      </c>
      <c r="W273" s="21">
        <f t="shared" si="38"/>
        <v>0</v>
      </c>
      <c r="X273" s="21">
        <f t="shared" si="39"/>
        <v>0</v>
      </c>
      <c r="Y273" s="21">
        <f t="shared" si="40"/>
        <v>0</v>
      </c>
    </row>
    <row r="274" spans="1:25" x14ac:dyDescent="0.3">
      <c r="A274" s="13" t="s">
        <v>140</v>
      </c>
      <c r="B274" s="13" t="s">
        <v>657</v>
      </c>
      <c r="C274" s="13" t="s">
        <v>658</v>
      </c>
      <c r="D274" s="13" t="s">
        <v>658</v>
      </c>
      <c r="E274" s="17">
        <v>70701</v>
      </c>
      <c r="F274" s="17">
        <v>5608</v>
      </c>
      <c r="G274" s="17">
        <v>5656</v>
      </c>
      <c r="H274" s="17">
        <v>5704</v>
      </c>
      <c r="I274" s="17">
        <v>5849</v>
      </c>
      <c r="J274" s="17">
        <v>5898</v>
      </c>
      <c r="K274" s="17">
        <v>5946</v>
      </c>
      <c r="L274" s="13">
        <v>0</v>
      </c>
      <c r="M274" s="13">
        <v>0</v>
      </c>
      <c r="N274" s="13">
        <v>0</v>
      </c>
      <c r="O274" s="13">
        <v>0</v>
      </c>
      <c r="P274" s="13">
        <v>0</v>
      </c>
      <c r="Q274" s="13">
        <v>0</v>
      </c>
      <c r="R274" s="21">
        <f t="shared" si="33"/>
        <v>0</v>
      </c>
      <c r="S274" s="21">
        <f t="shared" si="34"/>
        <v>0</v>
      </c>
      <c r="T274" s="21">
        <f t="shared" si="35"/>
        <v>0</v>
      </c>
      <c r="U274" s="21">
        <f t="shared" si="36"/>
        <v>0</v>
      </c>
      <c r="V274" s="21">
        <f t="shared" si="37"/>
        <v>0</v>
      </c>
      <c r="W274" s="21">
        <f t="shared" si="38"/>
        <v>0</v>
      </c>
      <c r="X274" s="21">
        <f t="shared" si="39"/>
        <v>0</v>
      </c>
      <c r="Y274" s="21">
        <f t="shared" si="40"/>
        <v>0</v>
      </c>
    </row>
    <row r="275" spans="1:25" x14ac:dyDescent="0.3">
      <c r="A275" s="13" t="s">
        <v>140</v>
      </c>
      <c r="B275" s="13" t="s">
        <v>657</v>
      </c>
      <c r="C275" s="13" t="s">
        <v>167</v>
      </c>
      <c r="D275" s="13" t="s">
        <v>167</v>
      </c>
      <c r="E275" s="17">
        <v>70702</v>
      </c>
      <c r="F275" s="17">
        <v>34784</v>
      </c>
      <c r="G275" s="17">
        <v>35303</v>
      </c>
      <c r="H275" s="17">
        <v>35823</v>
      </c>
      <c r="I275" s="17">
        <v>37381</v>
      </c>
      <c r="J275" s="17">
        <v>37901</v>
      </c>
      <c r="K275" s="17">
        <v>38420</v>
      </c>
      <c r="L275" s="13">
        <v>1</v>
      </c>
      <c r="M275" s="13">
        <v>0</v>
      </c>
      <c r="N275" s="13">
        <v>0</v>
      </c>
      <c r="O275" s="13">
        <v>1</v>
      </c>
      <c r="P275" s="13">
        <v>0</v>
      </c>
      <c r="Q275" s="13">
        <v>0</v>
      </c>
      <c r="R275" s="21">
        <f t="shared" si="33"/>
        <v>2.874885004599816</v>
      </c>
      <c r="S275" s="21">
        <f t="shared" si="34"/>
        <v>0</v>
      </c>
      <c r="T275" s="21">
        <f t="shared" si="35"/>
        <v>0</v>
      </c>
      <c r="U275" s="21">
        <f t="shared" si="36"/>
        <v>2.6751558278269707</v>
      </c>
      <c r="V275" s="21">
        <f t="shared" si="37"/>
        <v>0</v>
      </c>
      <c r="W275" s="21">
        <f t="shared" si="38"/>
        <v>0</v>
      </c>
      <c r="X275" s="21">
        <f t="shared" si="39"/>
        <v>0.95829500153327196</v>
      </c>
      <c r="Y275" s="21">
        <f t="shared" si="40"/>
        <v>0.89171860927565694</v>
      </c>
    </row>
    <row r="276" spans="1:25" x14ac:dyDescent="0.3">
      <c r="A276" s="13" t="s">
        <v>140</v>
      </c>
      <c r="B276" s="13" t="s">
        <v>657</v>
      </c>
      <c r="C276" s="13" t="s">
        <v>159</v>
      </c>
      <c r="D276" s="13" t="s">
        <v>159</v>
      </c>
      <c r="E276" s="17">
        <v>70703</v>
      </c>
      <c r="F276" s="17">
        <v>29154</v>
      </c>
      <c r="G276" s="17">
        <v>29698</v>
      </c>
      <c r="H276" s="17">
        <v>30241</v>
      </c>
      <c r="I276" s="17">
        <v>31873</v>
      </c>
      <c r="J276" s="17">
        <v>32417</v>
      </c>
      <c r="K276" s="17">
        <v>32961</v>
      </c>
      <c r="L276" s="13">
        <v>0</v>
      </c>
      <c r="M276" s="13">
        <v>3</v>
      </c>
      <c r="N276" s="13">
        <v>1</v>
      </c>
      <c r="O276" s="13">
        <v>0</v>
      </c>
      <c r="P276" s="13">
        <v>5</v>
      </c>
      <c r="Q276" s="13">
        <v>1</v>
      </c>
      <c r="R276" s="21">
        <f t="shared" si="33"/>
        <v>0</v>
      </c>
      <c r="S276" s="21">
        <f t="shared" si="34"/>
        <v>10.101690349518487</v>
      </c>
      <c r="T276" s="21">
        <f t="shared" si="35"/>
        <v>3.3067689560530407</v>
      </c>
      <c r="U276" s="21">
        <f t="shared" si="36"/>
        <v>0</v>
      </c>
      <c r="V276" s="21">
        <f t="shared" si="37"/>
        <v>15.424005922818276</v>
      </c>
      <c r="W276" s="21">
        <f t="shared" si="38"/>
        <v>3.0338885349352265</v>
      </c>
      <c r="X276" s="21">
        <f t="shared" si="39"/>
        <v>4.4694864351905093</v>
      </c>
      <c r="Y276" s="21">
        <f t="shared" si="40"/>
        <v>6.1526314859178344</v>
      </c>
    </row>
    <row r="277" spans="1:25" x14ac:dyDescent="0.3">
      <c r="A277" s="13" t="s">
        <v>140</v>
      </c>
      <c r="B277" s="13" t="s">
        <v>657</v>
      </c>
      <c r="C277" s="13" t="s">
        <v>659</v>
      </c>
      <c r="D277" s="13" t="s">
        <v>659</v>
      </c>
      <c r="E277" s="17">
        <v>70704</v>
      </c>
      <c r="F277" s="17">
        <v>5170</v>
      </c>
      <c r="G277" s="17">
        <v>5194</v>
      </c>
      <c r="H277" s="17">
        <v>5217</v>
      </c>
      <c r="I277" s="17">
        <v>5288</v>
      </c>
      <c r="J277" s="17">
        <v>5311</v>
      </c>
      <c r="K277" s="17">
        <v>5335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21">
        <f t="shared" si="33"/>
        <v>0</v>
      </c>
      <c r="S277" s="21">
        <f t="shared" si="34"/>
        <v>0</v>
      </c>
      <c r="T277" s="21">
        <f t="shared" si="35"/>
        <v>0</v>
      </c>
      <c r="U277" s="21">
        <f t="shared" si="36"/>
        <v>0</v>
      </c>
      <c r="V277" s="21">
        <f t="shared" si="37"/>
        <v>0</v>
      </c>
      <c r="W277" s="21">
        <f t="shared" si="38"/>
        <v>0</v>
      </c>
      <c r="X277" s="21">
        <f t="shared" si="39"/>
        <v>0</v>
      </c>
      <c r="Y277" s="21">
        <f t="shared" si="40"/>
        <v>0</v>
      </c>
    </row>
    <row r="278" spans="1:25" x14ac:dyDescent="0.3">
      <c r="A278" s="13" t="s">
        <v>140</v>
      </c>
      <c r="B278" s="13" t="s">
        <v>657</v>
      </c>
      <c r="C278" s="13" t="s">
        <v>371</v>
      </c>
      <c r="D278" s="13" t="s">
        <v>371</v>
      </c>
      <c r="E278" s="17">
        <v>70705</v>
      </c>
      <c r="F278" s="17">
        <v>13155</v>
      </c>
      <c r="G278" s="17">
        <v>13331</v>
      </c>
      <c r="H278" s="17">
        <v>13507</v>
      </c>
      <c r="I278" s="17">
        <v>14036</v>
      </c>
      <c r="J278" s="17">
        <v>14213</v>
      </c>
      <c r="K278" s="17">
        <v>14389</v>
      </c>
      <c r="L278" s="13">
        <v>0</v>
      </c>
      <c r="M278" s="13">
        <v>0</v>
      </c>
      <c r="N278" s="13">
        <v>1</v>
      </c>
      <c r="O278" s="13">
        <v>0</v>
      </c>
      <c r="P278" s="13">
        <v>0</v>
      </c>
      <c r="Q278" s="13">
        <v>0</v>
      </c>
      <c r="R278" s="21">
        <f t="shared" si="33"/>
        <v>0</v>
      </c>
      <c r="S278" s="21">
        <f t="shared" si="34"/>
        <v>0</v>
      </c>
      <c r="T278" s="21">
        <f t="shared" si="35"/>
        <v>7.4035685200266528</v>
      </c>
      <c r="U278" s="21">
        <f t="shared" si="36"/>
        <v>0</v>
      </c>
      <c r="V278" s="21">
        <f t="shared" si="37"/>
        <v>0</v>
      </c>
      <c r="W278" s="21">
        <f t="shared" si="38"/>
        <v>0</v>
      </c>
      <c r="X278" s="21">
        <f t="shared" si="39"/>
        <v>2.4678561733422177</v>
      </c>
      <c r="Y278" s="21">
        <f t="shared" si="40"/>
        <v>0</v>
      </c>
    </row>
    <row r="279" spans="1:25" x14ac:dyDescent="0.3">
      <c r="A279" s="13" t="s">
        <v>140</v>
      </c>
      <c r="B279" s="13" t="s">
        <v>657</v>
      </c>
      <c r="C279" s="13" t="s">
        <v>156</v>
      </c>
      <c r="D279" s="13" t="s">
        <v>156</v>
      </c>
      <c r="E279" s="17">
        <v>70706</v>
      </c>
      <c r="F279" s="17">
        <v>33191</v>
      </c>
      <c r="G279" s="17">
        <v>33062</v>
      </c>
      <c r="H279" s="17">
        <v>32932</v>
      </c>
      <c r="I279" s="17">
        <v>32544</v>
      </c>
      <c r="J279" s="17">
        <v>32414</v>
      </c>
      <c r="K279" s="17">
        <v>32285</v>
      </c>
      <c r="L279" s="13">
        <v>2</v>
      </c>
      <c r="M279" s="13">
        <v>2</v>
      </c>
      <c r="N279" s="13">
        <v>0</v>
      </c>
      <c r="O279" s="13">
        <v>3</v>
      </c>
      <c r="P279" s="13">
        <v>5</v>
      </c>
      <c r="Q279" s="13">
        <v>2</v>
      </c>
      <c r="R279" s="21">
        <f t="shared" si="33"/>
        <v>6.0257298665300834</v>
      </c>
      <c r="S279" s="21">
        <f t="shared" si="34"/>
        <v>6.0492408202770553</v>
      </c>
      <c r="T279" s="21">
        <f t="shared" si="35"/>
        <v>0</v>
      </c>
      <c r="U279" s="21">
        <f t="shared" si="36"/>
        <v>9.218289085545722</v>
      </c>
      <c r="V279" s="21">
        <f t="shared" si="37"/>
        <v>15.425433454680077</v>
      </c>
      <c r="W279" s="21">
        <f t="shared" si="38"/>
        <v>6.1948273191884775</v>
      </c>
      <c r="X279" s="21">
        <f t="shared" si="39"/>
        <v>4.0249902289357129</v>
      </c>
      <c r="Y279" s="21">
        <f t="shared" si="40"/>
        <v>10.279516619804758</v>
      </c>
    </row>
    <row r="280" spans="1:25" x14ac:dyDescent="0.3">
      <c r="A280" s="13" t="s">
        <v>140</v>
      </c>
      <c r="B280" s="13" t="s">
        <v>657</v>
      </c>
      <c r="C280" s="13" t="s">
        <v>660</v>
      </c>
      <c r="D280" s="13" t="s">
        <v>660</v>
      </c>
      <c r="E280" s="17">
        <v>70707</v>
      </c>
      <c r="F280" s="17">
        <v>5306</v>
      </c>
      <c r="G280" s="17">
        <v>5350</v>
      </c>
      <c r="H280" s="17">
        <v>5393</v>
      </c>
      <c r="I280" s="17">
        <v>5525</v>
      </c>
      <c r="J280" s="17">
        <v>5568</v>
      </c>
      <c r="K280" s="17">
        <v>5612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21">
        <f t="shared" si="33"/>
        <v>0</v>
      </c>
      <c r="S280" s="21">
        <f t="shared" si="34"/>
        <v>0</v>
      </c>
      <c r="T280" s="21">
        <f t="shared" si="35"/>
        <v>0</v>
      </c>
      <c r="U280" s="21">
        <f t="shared" si="36"/>
        <v>0</v>
      </c>
      <c r="V280" s="21">
        <f t="shared" si="37"/>
        <v>0</v>
      </c>
      <c r="W280" s="21">
        <f t="shared" si="38"/>
        <v>0</v>
      </c>
      <c r="X280" s="21">
        <f t="shared" si="39"/>
        <v>0</v>
      </c>
      <c r="Y280" s="21">
        <f t="shared" si="40"/>
        <v>0</v>
      </c>
    </row>
    <row r="281" spans="1:25" x14ac:dyDescent="0.3">
      <c r="A281" s="13" t="s">
        <v>140</v>
      </c>
      <c r="B281" s="13" t="s">
        <v>162</v>
      </c>
      <c r="C281" s="13" t="s">
        <v>162</v>
      </c>
      <c r="D281" s="13" t="s">
        <v>162</v>
      </c>
      <c r="E281" s="17">
        <v>70801</v>
      </c>
      <c r="F281" s="17">
        <v>17225</v>
      </c>
      <c r="G281" s="17">
        <v>17229</v>
      </c>
      <c r="H281" s="17">
        <v>17232</v>
      </c>
      <c r="I281" s="17">
        <v>17242</v>
      </c>
      <c r="J281" s="17">
        <v>17246</v>
      </c>
      <c r="K281" s="17">
        <v>17249</v>
      </c>
      <c r="L281" s="13">
        <v>2</v>
      </c>
      <c r="M281" s="13">
        <v>0</v>
      </c>
      <c r="N281" s="13">
        <v>0</v>
      </c>
      <c r="O281" s="13">
        <v>0</v>
      </c>
      <c r="P281" s="13">
        <v>2</v>
      </c>
      <c r="Q281" s="13">
        <v>0</v>
      </c>
      <c r="R281" s="21">
        <f t="shared" si="33"/>
        <v>11.611030478955007</v>
      </c>
      <c r="S281" s="21">
        <f t="shared" si="34"/>
        <v>0</v>
      </c>
      <c r="T281" s="21">
        <f t="shared" si="35"/>
        <v>0</v>
      </c>
      <c r="U281" s="21">
        <f t="shared" si="36"/>
        <v>0</v>
      </c>
      <c r="V281" s="21">
        <f t="shared" si="37"/>
        <v>11.596892032935173</v>
      </c>
      <c r="W281" s="21">
        <f t="shared" si="38"/>
        <v>0</v>
      </c>
      <c r="X281" s="21">
        <f t="shared" si="39"/>
        <v>3.8703434929850022</v>
      </c>
      <c r="Y281" s="21">
        <f t="shared" si="40"/>
        <v>3.8656306776450577</v>
      </c>
    </row>
    <row r="282" spans="1:25" x14ac:dyDescent="0.3">
      <c r="A282" s="13" t="s">
        <v>140</v>
      </c>
      <c r="B282" s="13" t="s">
        <v>162</v>
      </c>
      <c r="C282" s="13" t="s">
        <v>661</v>
      </c>
      <c r="D282" s="13" t="s">
        <v>661</v>
      </c>
      <c r="E282" s="17">
        <v>70802</v>
      </c>
      <c r="F282" s="17">
        <v>2228</v>
      </c>
      <c r="G282" s="17">
        <v>2247</v>
      </c>
      <c r="H282" s="17">
        <v>2266</v>
      </c>
      <c r="I282" s="17">
        <v>2322</v>
      </c>
      <c r="J282" s="17">
        <v>2340</v>
      </c>
      <c r="K282" s="17">
        <v>2359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21">
        <f t="shared" si="33"/>
        <v>0</v>
      </c>
      <c r="S282" s="21">
        <f t="shared" si="34"/>
        <v>0</v>
      </c>
      <c r="T282" s="21">
        <f t="shared" si="35"/>
        <v>0</v>
      </c>
      <c r="U282" s="21">
        <f t="shared" si="36"/>
        <v>0</v>
      </c>
      <c r="V282" s="21">
        <f t="shared" si="37"/>
        <v>0</v>
      </c>
      <c r="W282" s="21">
        <f t="shared" si="38"/>
        <v>0</v>
      </c>
      <c r="X282" s="21">
        <f t="shared" si="39"/>
        <v>0</v>
      </c>
      <c r="Y282" s="21">
        <f t="shared" si="40"/>
        <v>0</v>
      </c>
    </row>
    <row r="283" spans="1:25" x14ac:dyDescent="0.3">
      <c r="A283" s="13" t="s">
        <v>140</v>
      </c>
      <c r="B283" s="13" t="s">
        <v>162</v>
      </c>
      <c r="C283" s="13" t="s">
        <v>662</v>
      </c>
      <c r="D283" s="13" t="s">
        <v>663</v>
      </c>
      <c r="E283" s="17">
        <v>70803</v>
      </c>
      <c r="F283" s="17">
        <v>2778</v>
      </c>
      <c r="G283" s="17">
        <v>2780</v>
      </c>
      <c r="H283" s="17">
        <v>2782</v>
      </c>
      <c r="I283" s="17">
        <v>2789</v>
      </c>
      <c r="J283" s="17">
        <v>2791</v>
      </c>
      <c r="K283" s="17">
        <v>2793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21">
        <f t="shared" si="33"/>
        <v>0</v>
      </c>
      <c r="S283" s="21">
        <f t="shared" si="34"/>
        <v>0</v>
      </c>
      <c r="T283" s="21">
        <f t="shared" si="35"/>
        <v>0</v>
      </c>
      <c r="U283" s="21">
        <f t="shared" si="36"/>
        <v>0</v>
      </c>
      <c r="V283" s="21">
        <f t="shared" si="37"/>
        <v>0</v>
      </c>
      <c r="W283" s="21">
        <f t="shared" si="38"/>
        <v>0</v>
      </c>
      <c r="X283" s="21">
        <f t="shared" si="39"/>
        <v>0</v>
      </c>
      <c r="Y283" s="21">
        <f t="shared" si="40"/>
        <v>0</v>
      </c>
    </row>
    <row r="284" spans="1:25" x14ac:dyDescent="0.3">
      <c r="A284" s="13" t="s">
        <v>140</v>
      </c>
      <c r="B284" s="13" t="s">
        <v>162</v>
      </c>
      <c r="C284" s="13" t="s">
        <v>664</v>
      </c>
      <c r="D284" s="13" t="s">
        <v>664</v>
      </c>
      <c r="E284" s="17">
        <v>70804</v>
      </c>
      <c r="F284" s="17">
        <v>2147</v>
      </c>
      <c r="G284" s="17">
        <v>2098</v>
      </c>
      <c r="H284" s="17">
        <v>2049</v>
      </c>
      <c r="I284" s="17">
        <v>1903</v>
      </c>
      <c r="J284" s="17">
        <v>1855</v>
      </c>
      <c r="K284" s="17">
        <v>1806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0</v>
      </c>
      <c r="R284" s="21">
        <f t="shared" si="33"/>
        <v>0</v>
      </c>
      <c r="S284" s="21">
        <f t="shared" si="34"/>
        <v>0</v>
      </c>
      <c r="T284" s="21">
        <f t="shared" si="35"/>
        <v>0</v>
      </c>
      <c r="U284" s="21">
        <f t="shared" si="36"/>
        <v>0</v>
      </c>
      <c r="V284" s="21">
        <f t="shared" si="37"/>
        <v>0</v>
      </c>
      <c r="W284" s="21">
        <f t="shared" si="38"/>
        <v>0</v>
      </c>
      <c r="X284" s="21">
        <f t="shared" si="39"/>
        <v>0</v>
      </c>
      <c r="Y284" s="21">
        <f t="shared" si="40"/>
        <v>0</v>
      </c>
    </row>
    <row r="285" spans="1:25" x14ac:dyDescent="0.3">
      <c r="A285" s="13" t="s">
        <v>140</v>
      </c>
      <c r="B285" s="13" t="s">
        <v>162</v>
      </c>
      <c r="C285" s="13" t="s">
        <v>665</v>
      </c>
      <c r="D285" s="13" t="s">
        <v>665</v>
      </c>
      <c r="E285" s="17">
        <v>70805</v>
      </c>
      <c r="F285" s="17">
        <v>2051</v>
      </c>
      <c r="G285" s="17">
        <v>2046</v>
      </c>
      <c r="H285" s="17">
        <v>2040</v>
      </c>
      <c r="I285" s="17">
        <v>2025</v>
      </c>
      <c r="J285" s="17">
        <v>2020</v>
      </c>
      <c r="K285" s="17">
        <v>2015</v>
      </c>
      <c r="L285" s="13">
        <v>0</v>
      </c>
      <c r="M285" s="13">
        <v>0</v>
      </c>
      <c r="N285" s="13">
        <v>1</v>
      </c>
      <c r="O285" s="13">
        <v>0</v>
      </c>
      <c r="P285" s="13">
        <v>0</v>
      </c>
      <c r="Q285" s="13">
        <v>0</v>
      </c>
      <c r="R285" s="21">
        <f t="shared" si="33"/>
        <v>0</v>
      </c>
      <c r="S285" s="21">
        <f t="shared" si="34"/>
        <v>0</v>
      </c>
      <c r="T285" s="21">
        <f t="shared" si="35"/>
        <v>49.019607843137251</v>
      </c>
      <c r="U285" s="21">
        <f t="shared" si="36"/>
        <v>0</v>
      </c>
      <c r="V285" s="21">
        <f t="shared" si="37"/>
        <v>0</v>
      </c>
      <c r="W285" s="21">
        <f t="shared" si="38"/>
        <v>0</v>
      </c>
      <c r="X285" s="21">
        <f t="shared" si="39"/>
        <v>16.33986928104575</v>
      </c>
      <c r="Y285" s="21">
        <f t="shared" si="40"/>
        <v>0</v>
      </c>
    </row>
    <row r="286" spans="1:25" x14ac:dyDescent="0.3">
      <c r="A286" s="13" t="s">
        <v>140</v>
      </c>
      <c r="B286" s="13" t="s">
        <v>666</v>
      </c>
      <c r="C286" s="13" t="s">
        <v>164</v>
      </c>
      <c r="D286" s="13" t="s">
        <v>164</v>
      </c>
      <c r="E286" s="17">
        <v>70901</v>
      </c>
      <c r="F286" s="17">
        <v>11043</v>
      </c>
      <c r="G286" s="17">
        <v>11158</v>
      </c>
      <c r="H286" s="17">
        <v>11272</v>
      </c>
      <c r="I286" s="17">
        <v>11615</v>
      </c>
      <c r="J286" s="17">
        <v>11729</v>
      </c>
      <c r="K286" s="17">
        <v>11843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1</v>
      </c>
      <c r="R286" s="21">
        <f t="shared" si="33"/>
        <v>0</v>
      </c>
      <c r="S286" s="21">
        <f t="shared" si="34"/>
        <v>0</v>
      </c>
      <c r="T286" s="21">
        <f t="shared" si="35"/>
        <v>0</v>
      </c>
      <c r="U286" s="21">
        <f t="shared" si="36"/>
        <v>0</v>
      </c>
      <c r="V286" s="21">
        <f t="shared" si="37"/>
        <v>0</v>
      </c>
      <c r="W286" s="21">
        <f t="shared" si="38"/>
        <v>8.4438064679557545</v>
      </c>
      <c r="X286" s="21">
        <f t="shared" si="39"/>
        <v>0</v>
      </c>
      <c r="Y286" s="21">
        <f t="shared" si="40"/>
        <v>2.8146021559852517</v>
      </c>
    </row>
    <row r="287" spans="1:25" x14ac:dyDescent="0.3">
      <c r="A287" s="13" t="s">
        <v>140</v>
      </c>
      <c r="B287" s="13" t="s">
        <v>666</v>
      </c>
      <c r="C287" s="13" t="s">
        <v>168</v>
      </c>
      <c r="D287" s="13" t="s">
        <v>168</v>
      </c>
      <c r="E287" s="17">
        <v>70902</v>
      </c>
      <c r="F287" s="17">
        <v>9404</v>
      </c>
      <c r="G287" s="17">
        <v>9445</v>
      </c>
      <c r="H287" s="17">
        <v>9486</v>
      </c>
      <c r="I287" s="17">
        <v>9610</v>
      </c>
      <c r="J287" s="17">
        <v>9651</v>
      </c>
      <c r="K287" s="17">
        <v>9692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21">
        <f t="shared" si="33"/>
        <v>0</v>
      </c>
      <c r="S287" s="21">
        <f t="shared" si="34"/>
        <v>0</v>
      </c>
      <c r="T287" s="21">
        <f t="shared" si="35"/>
        <v>0</v>
      </c>
      <c r="U287" s="21">
        <f t="shared" si="36"/>
        <v>0</v>
      </c>
      <c r="V287" s="21">
        <f t="shared" si="37"/>
        <v>0</v>
      </c>
      <c r="W287" s="21">
        <f t="shared" si="38"/>
        <v>0</v>
      </c>
      <c r="X287" s="21">
        <f t="shared" si="39"/>
        <v>0</v>
      </c>
      <c r="Y287" s="21">
        <f t="shared" si="40"/>
        <v>0</v>
      </c>
    </row>
    <row r="288" spans="1:25" x14ac:dyDescent="0.3">
      <c r="A288" s="13" t="s">
        <v>140</v>
      </c>
      <c r="B288" s="13" t="s">
        <v>666</v>
      </c>
      <c r="C288" s="13" t="s">
        <v>163</v>
      </c>
      <c r="D288" s="13" t="s">
        <v>163</v>
      </c>
      <c r="E288" s="17">
        <v>70903</v>
      </c>
      <c r="F288" s="17">
        <v>11243</v>
      </c>
      <c r="G288" s="17">
        <v>11456</v>
      </c>
      <c r="H288" s="17">
        <v>11669</v>
      </c>
      <c r="I288" s="17">
        <v>12309</v>
      </c>
      <c r="J288" s="17">
        <v>12522</v>
      </c>
      <c r="K288" s="17">
        <v>12735</v>
      </c>
      <c r="L288" s="13">
        <v>0</v>
      </c>
      <c r="M288" s="13">
        <v>0</v>
      </c>
      <c r="N288" s="13">
        <v>0</v>
      </c>
      <c r="O288" s="13">
        <v>4</v>
      </c>
      <c r="P288" s="13">
        <v>0</v>
      </c>
      <c r="Q288" s="13">
        <v>0</v>
      </c>
      <c r="R288" s="21">
        <f t="shared" si="33"/>
        <v>0</v>
      </c>
      <c r="S288" s="21">
        <f t="shared" si="34"/>
        <v>0</v>
      </c>
      <c r="T288" s="21">
        <f t="shared" si="35"/>
        <v>0</v>
      </c>
      <c r="U288" s="21">
        <f t="shared" si="36"/>
        <v>32.496547241855552</v>
      </c>
      <c r="V288" s="21">
        <f t="shared" si="37"/>
        <v>0</v>
      </c>
      <c r="W288" s="21">
        <f t="shared" si="38"/>
        <v>0</v>
      </c>
      <c r="X288" s="21">
        <f t="shared" si="39"/>
        <v>0</v>
      </c>
      <c r="Y288" s="21">
        <f t="shared" si="40"/>
        <v>10.83218241395185</v>
      </c>
    </row>
    <row r="289" spans="1:25" x14ac:dyDescent="0.3">
      <c r="A289" s="13" t="s">
        <v>140</v>
      </c>
      <c r="B289" s="13" t="s">
        <v>666</v>
      </c>
      <c r="C289" s="13" t="s">
        <v>667</v>
      </c>
      <c r="D289" s="13" t="s">
        <v>667</v>
      </c>
      <c r="E289" s="17">
        <v>70904</v>
      </c>
      <c r="F289" s="17">
        <v>3033</v>
      </c>
      <c r="G289" s="17">
        <v>3041</v>
      </c>
      <c r="H289" s="17">
        <v>3048</v>
      </c>
      <c r="I289" s="17">
        <v>3071</v>
      </c>
      <c r="J289" s="17">
        <v>3078</v>
      </c>
      <c r="K289" s="17">
        <v>3086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21">
        <f t="shared" si="33"/>
        <v>0</v>
      </c>
      <c r="S289" s="21">
        <f t="shared" si="34"/>
        <v>0</v>
      </c>
      <c r="T289" s="21">
        <f t="shared" si="35"/>
        <v>0</v>
      </c>
      <c r="U289" s="21">
        <f t="shared" si="36"/>
        <v>0</v>
      </c>
      <c r="V289" s="21">
        <f t="shared" si="37"/>
        <v>0</v>
      </c>
      <c r="W289" s="21">
        <f t="shared" si="38"/>
        <v>0</v>
      </c>
      <c r="X289" s="21">
        <f t="shared" si="39"/>
        <v>0</v>
      </c>
      <c r="Y289" s="21">
        <f t="shared" si="40"/>
        <v>0</v>
      </c>
    </row>
    <row r="290" spans="1:25" x14ac:dyDescent="0.3">
      <c r="A290" s="13" t="s">
        <v>140</v>
      </c>
      <c r="B290" s="13" t="s">
        <v>668</v>
      </c>
      <c r="C290" s="13" t="s">
        <v>144</v>
      </c>
      <c r="D290" s="13" t="s">
        <v>144</v>
      </c>
      <c r="E290" s="17">
        <v>71001</v>
      </c>
      <c r="F290" s="17">
        <v>116755</v>
      </c>
      <c r="G290" s="17">
        <v>118202</v>
      </c>
      <c r="H290" s="17">
        <v>119649</v>
      </c>
      <c r="I290" s="17">
        <v>123991</v>
      </c>
      <c r="J290" s="17">
        <v>125439</v>
      </c>
      <c r="K290" s="17">
        <v>126886</v>
      </c>
      <c r="L290" s="13">
        <v>10</v>
      </c>
      <c r="M290" s="13">
        <v>9</v>
      </c>
      <c r="N290" s="13">
        <v>4</v>
      </c>
      <c r="O290" s="13">
        <v>5</v>
      </c>
      <c r="P290" s="13">
        <v>7</v>
      </c>
      <c r="Q290" s="13">
        <v>12</v>
      </c>
      <c r="R290" s="21">
        <f t="shared" si="33"/>
        <v>8.5649436854952672</v>
      </c>
      <c r="S290" s="21">
        <f t="shared" si="34"/>
        <v>7.6140843640547544</v>
      </c>
      <c r="T290" s="21">
        <f t="shared" si="35"/>
        <v>3.3431119357453887</v>
      </c>
      <c r="U290" s="21">
        <f t="shared" si="36"/>
        <v>4.0325507496511843</v>
      </c>
      <c r="V290" s="21">
        <f t="shared" si="37"/>
        <v>5.5804016294772758</v>
      </c>
      <c r="W290" s="21">
        <f t="shared" si="38"/>
        <v>9.4573081348612131</v>
      </c>
      <c r="X290" s="21">
        <f t="shared" si="39"/>
        <v>6.5073799950984688</v>
      </c>
      <c r="Y290" s="21">
        <f t="shared" si="40"/>
        <v>6.3567535046632244</v>
      </c>
    </row>
    <row r="291" spans="1:25" x14ac:dyDescent="0.3">
      <c r="A291" s="13" t="s">
        <v>140</v>
      </c>
      <c r="B291" s="13" t="s">
        <v>668</v>
      </c>
      <c r="C291" s="13" t="s">
        <v>669</v>
      </c>
      <c r="D291" s="13" t="s">
        <v>669</v>
      </c>
      <c r="E291" s="17">
        <v>71002</v>
      </c>
      <c r="F291" s="17">
        <v>15204</v>
      </c>
      <c r="G291" s="17">
        <v>15404</v>
      </c>
      <c r="H291" s="17">
        <v>15603</v>
      </c>
      <c r="I291" s="17">
        <v>16200</v>
      </c>
      <c r="J291" s="17">
        <v>16399</v>
      </c>
      <c r="K291" s="17">
        <v>16598</v>
      </c>
      <c r="L291" s="13">
        <v>0</v>
      </c>
      <c r="M291" s="13">
        <v>0</v>
      </c>
      <c r="N291" s="13">
        <v>0</v>
      </c>
      <c r="O291" s="13">
        <v>0</v>
      </c>
      <c r="P291" s="13">
        <v>1</v>
      </c>
      <c r="Q291" s="13">
        <v>0</v>
      </c>
      <c r="R291" s="21">
        <f t="shared" si="33"/>
        <v>0</v>
      </c>
      <c r="S291" s="21">
        <f t="shared" si="34"/>
        <v>0</v>
      </c>
      <c r="T291" s="21">
        <f t="shared" si="35"/>
        <v>0</v>
      </c>
      <c r="U291" s="21">
        <f t="shared" si="36"/>
        <v>0</v>
      </c>
      <c r="V291" s="21">
        <f t="shared" si="37"/>
        <v>6.0979328007805353</v>
      </c>
      <c r="W291" s="21">
        <f t="shared" si="38"/>
        <v>0</v>
      </c>
      <c r="X291" s="21">
        <f t="shared" si="39"/>
        <v>0</v>
      </c>
      <c r="Y291" s="21">
        <f t="shared" si="40"/>
        <v>2.032644266926845</v>
      </c>
    </row>
    <row r="292" spans="1:25" x14ac:dyDescent="0.3">
      <c r="A292" s="13" t="s">
        <v>140</v>
      </c>
      <c r="B292" s="13" t="s">
        <v>668</v>
      </c>
      <c r="C292" s="13" t="s">
        <v>158</v>
      </c>
      <c r="D292" s="13" t="s">
        <v>158</v>
      </c>
      <c r="E292" s="17">
        <v>71003</v>
      </c>
      <c r="F292" s="17">
        <v>23192</v>
      </c>
      <c r="G292" s="17">
        <v>23181</v>
      </c>
      <c r="H292" s="17">
        <v>23169</v>
      </c>
      <c r="I292" s="17">
        <v>23134</v>
      </c>
      <c r="J292" s="17">
        <v>23122</v>
      </c>
      <c r="K292" s="17">
        <v>23110</v>
      </c>
      <c r="L292" s="13">
        <v>0</v>
      </c>
      <c r="M292" s="13">
        <v>1</v>
      </c>
      <c r="N292" s="13">
        <v>1</v>
      </c>
      <c r="O292" s="13">
        <v>2</v>
      </c>
      <c r="P292" s="13">
        <v>1</v>
      </c>
      <c r="Q292" s="13">
        <v>0</v>
      </c>
      <c r="R292" s="21">
        <f t="shared" si="33"/>
        <v>0</v>
      </c>
      <c r="S292" s="21">
        <f t="shared" si="34"/>
        <v>4.3138777447047145</v>
      </c>
      <c r="T292" s="21">
        <f t="shared" si="35"/>
        <v>4.3161120462687208</v>
      </c>
      <c r="U292" s="21">
        <f t="shared" si="36"/>
        <v>8.6452839975793196</v>
      </c>
      <c r="V292" s="21">
        <f t="shared" si="37"/>
        <v>4.3248853905371503</v>
      </c>
      <c r="W292" s="21">
        <f t="shared" si="38"/>
        <v>0</v>
      </c>
      <c r="X292" s="21">
        <f t="shared" si="39"/>
        <v>2.8766632636578122</v>
      </c>
      <c r="Y292" s="21">
        <f t="shared" si="40"/>
        <v>4.3233897960388239</v>
      </c>
    </row>
    <row r="293" spans="1:25" x14ac:dyDescent="0.3">
      <c r="A293" s="13" t="s">
        <v>140</v>
      </c>
      <c r="B293" s="13" t="s">
        <v>668</v>
      </c>
      <c r="C293" s="13" t="s">
        <v>165</v>
      </c>
      <c r="D293" s="13" t="s">
        <v>165</v>
      </c>
      <c r="E293" s="17">
        <v>71004</v>
      </c>
      <c r="F293" s="17">
        <v>14906</v>
      </c>
      <c r="G293" s="17">
        <v>14864</v>
      </c>
      <c r="H293" s="17">
        <v>14821</v>
      </c>
      <c r="I293" s="17">
        <v>14695</v>
      </c>
      <c r="J293" s="17">
        <v>14652</v>
      </c>
      <c r="K293" s="17">
        <v>14610</v>
      </c>
      <c r="L293" s="13">
        <v>0</v>
      </c>
      <c r="M293" s="13">
        <v>0</v>
      </c>
      <c r="N293" s="13">
        <v>0</v>
      </c>
      <c r="O293" s="13">
        <v>1</v>
      </c>
      <c r="P293" s="13">
        <v>0</v>
      </c>
      <c r="Q293" s="13">
        <v>0</v>
      </c>
      <c r="R293" s="21">
        <f t="shared" si="33"/>
        <v>0</v>
      </c>
      <c r="S293" s="21">
        <f t="shared" si="34"/>
        <v>0</v>
      </c>
      <c r="T293" s="21">
        <f t="shared" si="35"/>
        <v>0</v>
      </c>
      <c r="U293" s="21">
        <f t="shared" si="36"/>
        <v>6.8050357264375636</v>
      </c>
      <c r="V293" s="21">
        <f t="shared" si="37"/>
        <v>0</v>
      </c>
      <c r="W293" s="21">
        <f t="shared" si="38"/>
        <v>0</v>
      </c>
      <c r="X293" s="21">
        <f t="shared" si="39"/>
        <v>0</v>
      </c>
      <c r="Y293" s="21">
        <f t="shared" si="40"/>
        <v>2.2683452421458545</v>
      </c>
    </row>
    <row r="294" spans="1:25" x14ac:dyDescent="0.3">
      <c r="A294" s="13" t="s">
        <v>140</v>
      </c>
      <c r="B294" s="13" t="s">
        <v>668</v>
      </c>
      <c r="C294" s="13" t="s">
        <v>172</v>
      </c>
      <c r="D294" s="13" t="s">
        <v>172</v>
      </c>
      <c r="E294" s="17">
        <v>71005</v>
      </c>
      <c r="F294" s="17">
        <v>17496</v>
      </c>
      <c r="G294" s="17">
        <v>17175</v>
      </c>
      <c r="H294" s="17">
        <v>16853</v>
      </c>
      <c r="I294" s="17">
        <v>15889</v>
      </c>
      <c r="J294" s="17">
        <v>15567</v>
      </c>
      <c r="K294" s="17">
        <v>15246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21">
        <f t="shared" si="33"/>
        <v>0</v>
      </c>
      <c r="S294" s="21">
        <f t="shared" si="34"/>
        <v>0</v>
      </c>
      <c r="T294" s="21">
        <f t="shared" si="35"/>
        <v>0</v>
      </c>
      <c r="U294" s="21">
        <f t="shared" si="36"/>
        <v>0</v>
      </c>
      <c r="V294" s="21">
        <f t="shared" si="37"/>
        <v>0</v>
      </c>
      <c r="W294" s="21">
        <f t="shared" si="38"/>
        <v>0</v>
      </c>
      <c r="X294" s="21">
        <f t="shared" si="39"/>
        <v>0</v>
      </c>
      <c r="Y294" s="21">
        <f t="shared" si="40"/>
        <v>0</v>
      </c>
    </row>
    <row r="295" spans="1:25" x14ac:dyDescent="0.3">
      <c r="A295" s="13" t="s">
        <v>140</v>
      </c>
      <c r="B295" s="13" t="s">
        <v>670</v>
      </c>
      <c r="C295" s="13" t="s">
        <v>175</v>
      </c>
      <c r="D295" s="13" t="s">
        <v>175</v>
      </c>
      <c r="E295" s="17">
        <v>71101</v>
      </c>
      <c r="F295" s="17">
        <v>23516</v>
      </c>
      <c r="G295" s="17">
        <v>24459</v>
      </c>
      <c r="H295" s="17">
        <v>25402</v>
      </c>
      <c r="I295" s="17">
        <v>28232</v>
      </c>
      <c r="J295" s="17">
        <v>29175</v>
      </c>
      <c r="K295" s="17">
        <v>30118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21">
        <f t="shared" si="33"/>
        <v>0</v>
      </c>
      <c r="S295" s="21">
        <f t="shared" si="34"/>
        <v>0</v>
      </c>
      <c r="T295" s="21">
        <f t="shared" si="35"/>
        <v>0</v>
      </c>
      <c r="U295" s="21">
        <f t="shared" si="36"/>
        <v>0</v>
      </c>
      <c r="V295" s="21">
        <f t="shared" si="37"/>
        <v>0</v>
      </c>
      <c r="W295" s="21">
        <f t="shared" si="38"/>
        <v>0</v>
      </c>
      <c r="X295" s="21">
        <f t="shared" si="39"/>
        <v>0</v>
      </c>
      <c r="Y295" s="21">
        <f t="shared" si="40"/>
        <v>0</v>
      </c>
    </row>
    <row r="296" spans="1:25" x14ac:dyDescent="0.3">
      <c r="A296" s="13" t="s">
        <v>140</v>
      </c>
      <c r="B296" s="13" t="s">
        <v>670</v>
      </c>
      <c r="C296" s="13" t="s">
        <v>671</v>
      </c>
      <c r="D296" s="13" t="s">
        <v>671</v>
      </c>
      <c r="E296" s="17">
        <v>71102</v>
      </c>
      <c r="F296" s="17">
        <v>14148</v>
      </c>
      <c r="G296" s="17">
        <v>14254</v>
      </c>
      <c r="H296" s="17">
        <v>14360</v>
      </c>
      <c r="I296" s="17">
        <v>14677</v>
      </c>
      <c r="J296" s="17">
        <v>14782</v>
      </c>
      <c r="K296" s="17">
        <v>14888</v>
      </c>
      <c r="L296" s="13">
        <v>0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  <c r="R296" s="21">
        <f t="shared" si="33"/>
        <v>0</v>
      </c>
      <c r="S296" s="21">
        <f t="shared" si="34"/>
        <v>0</v>
      </c>
      <c r="T296" s="21">
        <f t="shared" si="35"/>
        <v>0</v>
      </c>
      <c r="U296" s="21">
        <f t="shared" si="36"/>
        <v>0</v>
      </c>
      <c r="V296" s="21">
        <f t="shared" si="37"/>
        <v>0</v>
      </c>
      <c r="W296" s="21">
        <f t="shared" si="38"/>
        <v>0</v>
      </c>
      <c r="X296" s="21">
        <f t="shared" si="39"/>
        <v>0</v>
      </c>
      <c r="Y296" s="21">
        <f t="shared" si="40"/>
        <v>0</v>
      </c>
    </row>
    <row r="297" spans="1:25" x14ac:dyDescent="0.3">
      <c r="A297" s="13" t="s">
        <v>140</v>
      </c>
      <c r="B297" s="13" t="s">
        <v>670</v>
      </c>
      <c r="C297" s="13" t="s">
        <v>186</v>
      </c>
      <c r="D297" s="13" t="s">
        <v>186</v>
      </c>
      <c r="E297" s="17">
        <v>71103</v>
      </c>
      <c r="F297" s="17">
        <v>7928</v>
      </c>
      <c r="G297" s="17">
        <v>8016</v>
      </c>
      <c r="H297" s="17">
        <v>8103</v>
      </c>
      <c r="I297" s="17">
        <v>8366</v>
      </c>
      <c r="J297" s="17">
        <v>8453</v>
      </c>
      <c r="K297" s="17">
        <v>8541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  <c r="R297" s="21">
        <f t="shared" si="33"/>
        <v>0</v>
      </c>
      <c r="S297" s="21">
        <f t="shared" si="34"/>
        <v>0</v>
      </c>
      <c r="T297" s="21">
        <f t="shared" si="35"/>
        <v>0</v>
      </c>
      <c r="U297" s="21">
        <f t="shared" si="36"/>
        <v>0</v>
      </c>
      <c r="V297" s="21">
        <f t="shared" si="37"/>
        <v>0</v>
      </c>
      <c r="W297" s="21">
        <f t="shared" si="38"/>
        <v>0</v>
      </c>
      <c r="X297" s="21">
        <f t="shared" si="39"/>
        <v>0</v>
      </c>
      <c r="Y297" s="21">
        <f t="shared" si="40"/>
        <v>0</v>
      </c>
    </row>
    <row r="298" spans="1:25" x14ac:dyDescent="0.3">
      <c r="A298" s="13" t="s">
        <v>140</v>
      </c>
      <c r="B298" s="13" t="s">
        <v>670</v>
      </c>
      <c r="C298" s="13" t="s">
        <v>161</v>
      </c>
      <c r="D298" s="13" t="s">
        <v>161</v>
      </c>
      <c r="E298" s="17">
        <v>71104</v>
      </c>
      <c r="F298" s="17">
        <v>46371</v>
      </c>
      <c r="G298" s="17">
        <v>46163</v>
      </c>
      <c r="H298" s="17">
        <v>45954</v>
      </c>
      <c r="I298" s="17">
        <v>45327</v>
      </c>
      <c r="J298" s="17">
        <v>45118</v>
      </c>
      <c r="K298" s="17">
        <v>44909</v>
      </c>
      <c r="L298" s="13">
        <v>2</v>
      </c>
      <c r="M298" s="13">
        <v>0</v>
      </c>
      <c r="N298" s="13">
        <v>0</v>
      </c>
      <c r="O298" s="13">
        <v>2</v>
      </c>
      <c r="P298" s="13">
        <v>1</v>
      </c>
      <c r="Q298" s="13">
        <v>0</v>
      </c>
      <c r="R298" s="21">
        <f t="shared" si="33"/>
        <v>4.3130404778848845</v>
      </c>
      <c r="S298" s="21">
        <f t="shared" si="34"/>
        <v>0</v>
      </c>
      <c r="T298" s="21">
        <f t="shared" si="35"/>
        <v>0</v>
      </c>
      <c r="U298" s="21">
        <f t="shared" si="36"/>
        <v>4.4123811414830012</v>
      </c>
      <c r="V298" s="21">
        <f t="shared" si="37"/>
        <v>2.2164103018750829</v>
      </c>
      <c r="W298" s="21">
        <f t="shared" si="38"/>
        <v>0</v>
      </c>
      <c r="X298" s="21">
        <f t="shared" si="39"/>
        <v>1.4376801592949615</v>
      </c>
      <c r="Y298" s="21">
        <f t="shared" si="40"/>
        <v>2.2095971477860279</v>
      </c>
    </row>
    <row r="299" spans="1:25" x14ac:dyDescent="0.3">
      <c r="A299" s="13" t="s">
        <v>140</v>
      </c>
      <c r="B299" s="13" t="s">
        <v>670</v>
      </c>
      <c r="C299" s="13" t="s">
        <v>672</v>
      </c>
      <c r="D299" s="13" t="s">
        <v>672</v>
      </c>
      <c r="E299" s="17">
        <v>71105</v>
      </c>
      <c r="F299" s="17">
        <v>6432</v>
      </c>
      <c r="G299" s="17">
        <v>6423</v>
      </c>
      <c r="H299" s="17">
        <v>6413</v>
      </c>
      <c r="I299" s="17">
        <v>6384</v>
      </c>
      <c r="J299" s="17">
        <v>6374</v>
      </c>
      <c r="K299" s="17">
        <v>6364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  <c r="Q299" s="13">
        <v>0</v>
      </c>
      <c r="R299" s="21">
        <f t="shared" si="33"/>
        <v>0</v>
      </c>
      <c r="S299" s="21">
        <f t="shared" si="34"/>
        <v>0</v>
      </c>
      <c r="T299" s="21">
        <f t="shared" si="35"/>
        <v>0</v>
      </c>
      <c r="U299" s="21">
        <f t="shared" si="36"/>
        <v>0</v>
      </c>
      <c r="V299" s="21">
        <f t="shared" si="37"/>
        <v>0</v>
      </c>
      <c r="W299" s="21">
        <f t="shared" si="38"/>
        <v>0</v>
      </c>
      <c r="X299" s="21">
        <f t="shared" si="39"/>
        <v>0</v>
      </c>
      <c r="Y299" s="21">
        <f t="shared" si="40"/>
        <v>0</v>
      </c>
    </row>
    <row r="300" spans="1:25" x14ac:dyDescent="0.3">
      <c r="A300" s="13" t="s">
        <v>140</v>
      </c>
      <c r="B300" s="13" t="s">
        <v>670</v>
      </c>
      <c r="C300" s="13" t="s">
        <v>673</v>
      </c>
      <c r="D300" s="13" t="s">
        <v>673</v>
      </c>
      <c r="E300" s="17">
        <v>71106</v>
      </c>
      <c r="F300" s="17">
        <v>23850</v>
      </c>
      <c r="G300" s="17">
        <v>24052</v>
      </c>
      <c r="H300" s="17">
        <v>24253</v>
      </c>
      <c r="I300" s="17">
        <v>24856</v>
      </c>
      <c r="J300" s="17">
        <v>25057</v>
      </c>
      <c r="K300" s="17">
        <v>25258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21">
        <f t="shared" si="33"/>
        <v>0</v>
      </c>
      <c r="S300" s="21">
        <f t="shared" si="34"/>
        <v>0</v>
      </c>
      <c r="T300" s="21">
        <f t="shared" si="35"/>
        <v>0</v>
      </c>
      <c r="U300" s="21">
        <f t="shared" si="36"/>
        <v>0</v>
      </c>
      <c r="V300" s="21">
        <f t="shared" si="37"/>
        <v>0</v>
      </c>
      <c r="W300" s="21">
        <f t="shared" si="38"/>
        <v>0</v>
      </c>
      <c r="X300" s="21">
        <f t="shared" si="39"/>
        <v>0</v>
      </c>
      <c r="Y300" s="21">
        <f t="shared" si="40"/>
        <v>0</v>
      </c>
    </row>
    <row r="301" spans="1:25" x14ac:dyDescent="0.3">
      <c r="A301" s="13" t="s">
        <v>140</v>
      </c>
      <c r="B301" s="13" t="s">
        <v>674</v>
      </c>
      <c r="C301" s="13" t="s">
        <v>150</v>
      </c>
      <c r="D301" s="13" t="s">
        <v>150</v>
      </c>
      <c r="E301" s="17">
        <v>71201</v>
      </c>
      <c r="F301" s="17">
        <v>14848</v>
      </c>
      <c r="G301" s="17">
        <v>14924</v>
      </c>
      <c r="H301" s="17">
        <v>15000</v>
      </c>
      <c r="I301" s="17">
        <v>15227</v>
      </c>
      <c r="J301" s="17">
        <v>15302</v>
      </c>
      <c r="K301" s="17">
        <v>15378</v>
      </c>
      <c r="L301" s="13">
        <v>1</v>
      </c>
      <c r="M301" s="13">
        <v>3</v>
      </c>
      <c r="N301" s="13">
        <v>8</v>
      </c>
      <c r="O301" s="13">
        <v>7</v>
      </c>
      <c r="P301" s="13">
        <v>9</v>
      </c>
      <c r="Q301" s="13">
        <v>3</v>
      </c>
      <c r="R301" s="21">
        <f t="shared" si="33"/>
        <v>6.7349137931034484</v>
      </c>
      <c r="S301" s="21">
        <f t="shared" si="34"/>
        <v>20.101849370142052</v>
      </c>
      <c r="T301" s="21">
        <f t="shared" si="35"/>
        <v>53.333333333333336</v>
      </c>
      <c r="U301" s="21">
        <f t="shared" si="36"/>
        <v>45.970972614434885</v>
      </c>
      <c r="V301" s="21">
        <f t="shared" si="37"/>
        <v>58.815841066527248</v>
      </c>
      <c r="W301" s="21">
        <f t="shared" si="38"/>
        <v>19.508388607101054</v>
      </c>
      <c r="X301" s="21">
        <f t="shared" si="39"/>
        <v>26.723365498859611</v>
      </c>
      <c r="Y301" s="21">
        <f t="shared" si="40"/>
        <v>41.43173409602106</v>
      </c>
    </row>
    <row r="302" spans="1:25" x14ac:dyDescent="0.3">
      <c r="A302" s="13" t="s">
        <v>140</v>
      </c>
      <c r="B302" s="13" t="s">
        <v>675</v>
      </c>
      <c r="C302" s="13" t="s">
        <v>160</v>
      </c>
      <c r="D302" s="13" t="s">
        <v>160</v>
      </c>
      <c r="E302" s="17">
        <v>71301</v>
      </c>
      <c r="F302" s="17">
        <v>16451</v>
      </c>
      <c r="G302" s="17">
        <v>16557</v>
      </c>
      <c r="H302" s="17">
        <v>16663</v>
      </c>
      <c r="I302" s="17">
        <v>16982</v>
      </c>
      <c r="J302" s="17">
        <v>17089</v>
      </c>
      <c r="K302" s="17">
        <v>17195</v>
      </c>
      <c r="L302" s="13">
        <v>0</v>
      </c>
      <c r="M302" s="13">
        <v>0</v>
      </c>
      <c r="N302" s="13">
        <v>0</v>
      </c>
      <c r="O302" s="13">
        <v>1</v>
      </c>
      <c r="P302" s="13">
        <v>2</v>
      </c>
      <c r="Q302" s="13">
        <v>3</v>
      </c>
      <c r="R302" s="21">
        <f t="shared" si="33"/>
        <v>0</v>
      </c>
      <c r="S302" s="21">
        <f t="shared" si="34"/>
        <v>0</v>
      </c>
      <c r="T302" s="21">
        <f t="shared" si="35"/>
        <v>0</v>
      </c>
      <c r="U302" s="21">
        <f t="shared" si="36"/>
        <v>5.8885879166175954</v>
      </c>
      <c r="V302" s="21">
        <f t="shared" si="37"/>
        <v>11.703434958160219</v>
      </c>
      <c r="W302" s="21">
        <f t="shared" si="38"/>
        <v>17.446932247746435</v>
      </c>
      <c r="X302" s="21">
        <f t="shared" si="39"/>
        <v>0</v>
      </c>
      <c r="Y302" s="21">
        <f t="shared" si="40"/>
        <v>11.679651707508084</v>
      </c>
    </row>
    <row r="303" spans="1:25" x14ac:dyDescent="0.3">
      <c r="A303" s="13" t="s">
        <v>140</v>
      </c>
      <c r="B303" s="13" t="s">
        <v>675</v>
      </c>
      <c r="C303" s="13" t="s">
        <v>676</v>
      </c>
      <c r="D303" s="13" t="s">
        <v>676</v>
      </c>
      <c r="E303" s="17">
        <v>71302</v>
      </c>
      <c r="F303" s="17">
        <v>6831</v>
      </c>
      <c r="G303" s="17">
        <v>6719</v>
      </c>
      <c r="H303" s="17">
        <v>6607</v>
      </c>
      <c r="I303" s="17">
        <v>6272</v>
      </c>
      <c r="J303" s="17">
        <v>6160</v>
      </c>
      <c r="K303" s="17">
        <v>6048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21">
        <f t="shared" si="33"/>
        <v>0</v>
      </c>
      <c r="S303" s="21">
        <f t="shared" si="34"/>
        <v>0</v>
      </c>
      <c r="T303" s="21">
        <f t="shared" si="35"/>
        <v>0</v>
      </c>
      <c r="U303" s="21">
        <f t="shared" si="36"/>
        <v>0</v>
      </c>
      <c r="V303" s="21">
        <f t="shared" si="37"/>
        <v>0</v>
      </c>
      <c r="W303" s="21">
        <f t="shared" si="38"/>
        <v>0</v>
      </c>
      <c r="X303" s="21">
        <f t="shared" si="39"/>
        <v>0</v>
      </c>
      <c r="Y303" s="21">
        <f t="shared" si="40"/>
        <v>0</v>
      </c>
    </row>
    <row r="304" spans="1:25" x14ac:dyDescent="0.3">
      <c r="A304" s="13" t="s">
        <v>140</v>
      </c>
      <c r="B304" s="13" t="s">
        <v>677</v>
      </c>
      <c r="C304" s="13" t="s">
        <v>148</v>
      </c>
      <c r="D304" s="13" t="s">
        <v>148</v>
      </c>
      <c r="E304" s="17">
        <v>71401</v>
      </c>
      <c r="F304" s="17">
        <v>18824</v>
      </c>
      <c r="G304" s="17">
        <v>18623</v>
      </c>
      <c r="H304" s="17">
        <v>18422</v>
      </c>
      <c r="I304" s="17">
        <v>17819</v>
      </c>
      <c r="J304" s="17">
        <v>17618</v>
      </c>
      <c r="K304" s="17">
        <v>17417</v>
      </c>
      <c r="L304" s="13">
        <v>0</v>
      </c>
      <c r="M304" s="13">
        <v>1</v>
      </c>
      <c r="N304" s="13">
        <v>2</v>
      </c>
      <c r="O304" s="13">
        <v>7</v>
      </c>
      <c r="P304" s="13">
        <v>7</v>
      </c>
      <c r="Q304" s="13">
        <v>7</v>
      </c>
      <c r="R304" s="21">
        <f t="shared" si="33"/>
        <v>0</v>
      </c>
      <c r="S304" s="21">
        <f t="shared" si="34"/>
        <v>5.3697041293024759</v>
      </c>
      <c r="T304" s="21">
        <f t="shared" si="35"/>
        <v>10.856584518510477</v>
      </c>
      <c r="U304" s="21">
        <f t="shared" si="36"/>
        <v>39.283910432684209</v>
      </c>
      <c r="V304" s="21">
        <f t="shared" si="37"/>
        <v>39.732092178453854</v>
      </c>
      <c r="W304" s="21">
        <f t="shared" si="38"/>
        <v>40.190618361371079</v>
      </c>
      <c r="X304" s="21">
        <f t="shared" si="39"/>
        <v>5.4087628826043179</v>
      </c>
      <c r="Y304" s="21">
        <f t="shared" si="40"/>
        <v>39.735540324169712</v>
      </c>
    </row>
    <row r="305" spans="1:25" x14ac:dyDescent="0.3">
      <c r="A305" s="13" t="s">
        <v>140</v>
      </c>
      <c r="B305" s="13" t="s">
        <v>677</v>
      </c>
      <c r="C305" s="13" t="s">
        <v>146</v>
      </c>
      <c r="D305" s="13" t="s">
        <v>146</v>
      </c>
      <c r="E305" s="17">
        <v>71402</v>
      </c>
      <c r="F305" s="17">
        <v>17207</v>
      </c>
      <c r="G305" s="17">
        <v>17317</v>
      </c>
      <c r="H305" s="17">
        <v>17426</v>
      </c>
      <c r="I305" s="17">
        <v>17755</v>
      </c>
      <c r="J305" s="17">
        <v>17864</v>
      </c>
      <c r="K305" s="17">
        <v>17974</v>
      </c>
      <c r="L305" s="13">
        <v>0</v>
      </c>
      <c r="M305" s="13">
        <v>1</v>
      </c>
      <c r="N305" s="13">
        <v>2</v>
      </c>
      <c r="O305" s="13">
        <v>6</v>
      </c>
      <c r="P305" s="13">
        <v>15</v>
      </c>
      <c r="Q305" s="13">
        <v>11</v>
      </c>
      <c r="R305" s="21">
        <f t="shared" si="33"/>
        <v>0</v>
      </c>
      <c r="S305" s="21">
        <f t="shared" si="34"/>
        <v>5.774672287347693</v>
      </c>
      <c r="T305" s="21">
        <f t="shared" si="35"/>
        <v>11.477103179157581</v>
      </c>
      <c r="U305" s="21">
        <f t="shared" si="36"/>
        <v>33.793297662630245</v>
      </c>
      <c r="V305" s="21">
        <f t="shared" si="37"/>
        <v>83.967756381549492</v>
      </c>
      <c r="W305" s="21">
        <f t="shared" si="38"/>
        <v>61.199510403916761</v>
      </c>
      <c r="X305" s="21">
        <f t="shared" si="39"/>
        <v>5.750591822168424</v>
      </c>
      <c r="Y305" s="21">
        <f t="shared" si="40"/>
        <v>59.653521482698828</v>
      </c>
    </row>
    <row r="306" spans="1:25" x14ac:dyDescent="0.3">
      <c r="A306" s="13" t="s">
        <v>140</v>
      </c>
      <c r="B306" s="13" t="s">
        <v>677</v>
      </c>
      <c r="C306" s="13" t="s">
        <v>678</v>
      </c>
      <c r="D306" s="13" t="s">
        <v>678</v>
      </c>
      <c r="E306" s="17">
        <v>71403</v>
      </c>
      <c r="F306" s="17">
        <v>7373</v>
      </c>
      <c r="G306" s="17">
        <v>7579</v>
      </c>
      <c r="H306" s="17">
        <v>7785</v>
      </c>
      <c r="I306" s="17">
        <v>8404</v>
      </c>
      <c r="J306" s="17">
        <v>8610</v>
      </c>
      <c r="K306" s="17">
        <v>8816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21">
        <f t="shared" si="33"/>
        <v>0</v>
      </c>
      <c r="S306" s="21">
        <f t="shared" si="34"/>
        <v>0</v>
      </c>
      <c r="T306" s="21">
        <f t="shared" si="35"/>
        <v>0</v>
      </c>
      <c r="U306" s="21">
        <f t="shared" si="36"/>
        <v>0</v>
      </c>
      <c r="V306" s="21">
        <f t="shared" si="37"/>
        <v>0</v>
      </c>
      <c r="W306" s="21">
        <f t="shared" si="38"/>
        <v>0</v>
      </c>
      <c r="X306" s="21">
        <f t="shared" si="39"/>
        <v>0</v>
      </c>
      <c r="Y306" s="21">
        <f t="shared" si="40"/>
        <v>0</v>
      </c>
    </row>
    <row r="307" spans="1:25" x14ac:dyDescent="0.3">
      <c r="A307" s="13" t="s">
        <v>140</v>
      </c>
      <c r="B307" s="13" t="s">
        <v>679</v>
      </c>
      <c r="C307" s="13" t="s">
        <v>680</v>
      </c>
      <c r="D307" s="13" t="s">
        <v>680</v>
      </c>
      <c r="E307" s="17">
        <v>71501</v>
      </c>
      <c r="F307" s="17">
        <v>29990</v>
      </c>
      <c r="G307" s="17">
        <v>30575</v>
      </c>
      <c r="H307" s="17">
        <v>31159</v>
      </c>
      <c r="I307" s="17">
        <v>32911</v>
      </c>
      <c r="J307" s="17">
        <v>33495</v>
      </c>
      <c r="K307" s="17">
        <v>34079</v>
      </c>
      <c r="L307" s="13">
        <v>1</v>
      </c>
      <c r="M307" s="13">
        <v>1</v>
      </c>
      <c r="N307" s="13">
        <v>2</v>
      </c>
      <c r="O307" s="13">
        <v>1</v>
      </c>
      <c r="P307" s="13">
        <v>6</v>
      </c>
      <c r="Q307" s="13">
        <v>6</v>
      </c>
      <c r="R307" s="21">
        <f t="shared" si="33"/>
        <v>3.3344448149383128</v>
      </c>
      <c r="S307" s="21">
        <f t="shared" si="34"/>
        <v>3.2706459525756335</v>
      </c>
      <c r="T307" s="21">
        <f t="shared" si="35"/>
        <v>6.4186912288584352</v>
      </c>
      <c r="U307" s="21">
        <f t="shared" si="36"/>
        <v>3.0384977667041415</v>
      </c>
      <c r="V307" s="21">
        <f t="shared" si="37"/>
        <v>17.913121361397224</v>
      </c>
      <c r="W307" s="21">
        <f t="shared" si="38"/>
        <v>17.606150415211715</v>
      </c>
      <c r="X307" s="21">
        <f t="shared" si="39"/>
        <v>4.3412606654574608</v>
      </c>
      <c r="Y307" s="21">
        <f t="shared" si="40"/>
        <v>12.852589847771027</v>
      </c>
    </row>
    <row r="308" spans="1:25" x14ac:dyDescent="0.3">
      <c r="A308" s="13" t="s">
        <v>140</v>
      </c>
      <c r="B308" s="13" t="s">
        <v>679</v>
      </c>
      <c r="C308" s="13" t="s">
        <v>681</v>
      </c>
      <c r="D308" s="13" t="s">
        <v>682</v>
      </c>
      <c r="E308" s="17">
        <v>71502</v>
      </c>
      <c r="F308" s="17">
        <v>6830</v>
      </c>
      <c r="G308" s="17">
        <v>6791</v>
      </c>
      <c r="H308" s="17">
        <v>6751</v>
      </c>
      <c r="I308" s="17">
        <v>6634</v>
      </c>
      <c r="J308" s="17">
        <v>6594</v>
      </c>
      <c r="K308" s="17">
        <v>6555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  <c r="Q308" s="13">
        <v>0</v>
      </c>
      <c r="R308" s="21">
        <f t="shared" si="33"/>
        <v>0</v>
      </c>
      <c r="S308" s="21">
        <f t="shared" si="34"/>
        <v>0</v>
      </c>
      <c r="T308" s="21">
        <f t="shared" si="35"/>
        <v>0</v>
      </c>
      <c r="U308" s="21">
        <f t="shared" si="36"/>
        <v>0</v>
      </c>
      <c r="V308" s="21">
        <f t="shared" si="37"/>
        <v>0</v>
      </c>
      <c r="W308" s="21">
        <f t="shared" si="38"/>
        <v>0</v>
      </c>
      <c r="X308" s="21">
        <f t="shared" si="39"/>
        <v>0</v>
      </c>
      <c r="Y308" s="21">
        <f t="shared" si="40"/>
        <v>0</v>
      </c>
    </row>
    <row r="309" spans="1:25" x14ac:dyDescent="0.3">
      <c r="A309" s="13" t="s">
        <v>140</v>
      </c>
      <c r="B309" s="13" t="s">
        <v>679</v>
      </c>
      <c r="C309" s="13" t="s">
        <v>349</v>
      </c>
      <c r="D309" s="13" t="s">
        <v>349</v>
      </c>
      <c r="E309" s="17">
        <v>71503</v>
      </c>
      <c r="F309" s="17">
        <v>15490</v>
      </c>
      <c r="G309" s="17">
        <v>15748</v>
      </c>
      <c r="H309" s="17">
        <v>16005</v>
      </c>
      <c r="I309" s="17">
        <v>16776</v>
      </c>
      <c r="J309" s="17">
        <v>17033</v>
      </c>
      <c r="K309" s="17">
        <v>17290</v>
      </c>
      <c r="L309" s="13">
        <v>1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21">
        <f t="shared" si="33"/>
        <v>6.4557779212395099</v>
      </c>
      <c r="S309" s="21">
        <f t="shared" si="34"/>
        <v>0</v>
      </c>
      <c r="T309" s="21">
        <f t="shared" si="35"/>
        <v>0</v>
      </c>
      <c r="U309" s="21">
        <f t="shared" si="36"/>
        <v>0</v>
      </c>
      <c r="V309" s="21">
        <f t="shared" si="37"/>
        <v>0</v>
      </c>
      <c r="W309" s="21">
        <f t="shared" si="38"/>
        <v>0</v>
      </c>
      <c r="X309" s="21">
        <f t="shared" si="39"/>
        <v>2.1519259737465033</v>
      </c>
      <c r="Y309" s="21">
        <f t="shared" si="40"/>
        <v>0</v>
      </c>
    </row>
    <row r="310" spans="1:25" x14ac:dyDescent="0.3">
      <c r="A310" s="13" t="s">
        <v>177</v>
      </c>
      <c r="B310" s="13" t="s">
        <v>522</v>
      </c>
      <c r="C310" s="13" t="s">
        <v>179</v>
      </c>
      <c r="D310" s="13" t="s">
        <v>179</v>
      </c>
      <c r="E310" s="17">
        <v>80101</v>
      </c>
      <c r="F310" s="17">
        <v>115760</v>
      </c>
      <c r="G310" s="17">
        <v>117593</v>
      </c>
      <c r="H310" s="17">
        <v>119425</v>
      </c>
      <c r="I310" s="17">
        <v>124924</v>
      </c>
      <c r="J310" s="17">
        <v>126756</v>
      </c>
      <c r="K310" s="17">
        <v>128589</v>
      </c>
      <c r="L310" s="13">
        <v>24</v>
      </c>
      <c r="M310" s="13">
        <v>16</v>
      </c>
      <c r="N310" s="13">
        <v>13</v>
      </c>
      <c r="O310" s="13">
        <v>7</v>
      </c>
      <c r="P310" s="13">
        <v>5</v>
      </c>
      <c r="Q310" s="13">
        <v>2</v>
      </c>
      <c r="R310" s="21">
        <f t="shared" si="33"/>
        <v>20.732550103662749</v>
      </c>
      <c r="S310" s="21">
        <f t="shared" si="34"/>
        <v>13.606252072827466</v>
      </c>
      <c r="T310" s="21">
        <f t="shared" si="35"/>
        <v>10.88549298723048</v>
      </c>
      <c r="U310" s="21">
        <f t="shared" si="36"/>
        <v>5.603406871377798</v>
      </c>
      <c r="V310" s="21">
        <f t="shared" si="37"/>
        <v>3.9445864495566285</v>
      </c>
      <c r="W310" s="21">
        <f t="shared" si="38"/>
        <v>1.5553429920133135</v>
      </c>
      <c r="X310" s="21">
        <f t="shared" si="39"/>
        <v>15.074765054573566</v>
      </c>
      <c r="Y310" s="21">
        <f t="shared" si="40"/>
        <v>3.7011121043159139</v>
      </c>
    </row>
    <row r="311" spans="1:25" x14ac:dyDescent="0.3">
      <c r="A311" s="13" t="s">
        <v>177</v>
      </c>
      <c r="B311" s="13" t="s">
        <v>522</v>
      </c>
      <c r="C311" s="13" t="s">
        <v>671</v>
      </c>
      <c r="D311" s="13" t="s">
        <v>671</v>
      </c>
      <c r="E311" s="17">
        <v>80102</v>
      </c>
      <c r="F311" s="17">
        <v>6375</v>
      </c>
      <c r="G311" s="17">
        <v>6595</v>
      </c>
      <c r="H311" s="17">
        <v>6815</v>
      </c>
      <c r="I311" s="17">
        <v>7474</v>
      </c>
      <c r="J311" s="17">
        <v>7693</v>
      </c>
      <c r="K311" s="17">
        <v>7913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21">
        <f t="shared" si="33"/>
        <v>0</v>
      </c>
      <c r="S311" s="21">
        <f t="shared" si="34"/>
        <v>0</v>
      </c>
      <c r="T311" s="21">
        <f t="shared" si="35"/>
        <v>0</v>
      </c>
      <c r="U311" s="21">
        <f t="shared" si="36"/>
        <v>0</v>
      </c>
      <c r="V311" s="21">
        <f t="shared" si="37"/>
        <v>0</v>
      </c>
      <c r="W311" s="21">
        <f t="shared" si="38"/>
        <v>0</v>
      </c>
      <c r="X311" s="21">
        <f t="shared" si="39"/>
        <v>0</v>
      </c>
      <c r="Y311" s="21">
        <f t="shared" si="40"/>
        <v>0</v>
      </c>
    </row>
    <row r="312" spans="1:25" x14ac:dyDescent="0.3">
      <c r="A312" s="13" t="s">
        <v>177</v>
      </c>
      <c r="B312" s="13" t="s">
        <v>683</v>
      </c>
      <c r="C312" s="13" t="s">
        <v>178</v>
      </c>
      <c r="D312" s="13" t="s">
        <v>178</v>
      </c>
      <c r="E312" s="17">
        <v>80201</v>
      </c>
      <c r="F312" s="17">
        <v>97889</v>
      </c>
      <c r="G312" s="17">
        <v>99662</v>
      </c>
      <c r="H312" s="17">
        <v>101435</v>
      </c>
      <c r="I312" s="17">
        <v>106755</v>
      </c>
      <c r="J312" s="17">
        <v>108529</v>
      </c>
      <c r="K312" s="17">
        <v>110302</v>
      </c>
      <c r="L312" s="13">
        <v>24</v>
      </c>
      <c r="M312" s="13">
        <v>5</v>
      </c>
      <c r="N312" s="13">
        <v>9</v>
      </c>
      <c r="O312" s="13">
        <v>6</v>
      </c>
      <c r="P312" s="13">
        <v>11</v>
      </c>
      <c r="Q312" s="13">
        <v>12</v>
      </c>
      <c r="R312" s="21">
        <f t="shared" si="33"/>
        <v>24.517565814340731</v>
      </c>
      <c r="S312" s="21">
        <f t="shared" si="34"/>
        <v>5.0169573157271579</v>
      </c>
      <c r="T312" s="21">
        <f t="shared" si="35"/>
        <v>8.8726770838467992</v>
      </c>
      <c r="U312" s="21">
        <f t="shared" si="36"/>
        <v>5.6203456512575523</v>
      </c>
      <c r="V312" s="21">
        <f t="shared" si="37"/>
        <v>10.135539809636134</v>
      </c>
      <c r="W312" s="21">
        <f t="shared" si="38"/>
        <v>10.879222498232126</v>
      </c>
      <c r="X312" s="21">
        <f t="shared" si="39"/>
        <v>12.802400071304897</v>
      </c>
      <c r="Y312" s="21">
        <f t="shared" si="40"/>
        <v>8.8783693197086038</v>
      </c>
    </row>
    <row r="313" spans="1:25" x14ac:dyDescent="0.3">
      <c r="A313" s="13" t="s">
        <v>177</v>
      </c>
      <c r="B313" s="13" t="s">
        <v>683</v>
      </c>
      <c r="C313" s="13" t="s">
        <v>180</v>
      </c>
      <c r="D313" s="13" t="s">
        <v>180</v>
      </c>
      <c r="E313" s="17">
        <v>80202</v>
      </c>
      <c r="F313" s="17">
        <v>41904</v>
      </c>
      <c r="G313" s="17">
        <v>41923</v>
      </c>
      <c r="H313" s="17">
        <v>41941</v>
      </c>
      <c r="I313" s="17">
        <v>41995</v>
      </c>
      <c r="J313" s="17">
        <v>42013</v>
      </c>
      <c r="K313" s="17">
        <v>42031</v>
      </c>
      <c r="L313" s="13">
        <v>7</v>
      </c>
      <c r="M313" s="13">
        <v>1</v>
      </c>
      <c r="N313" s="13">
        <v>5</v>
      </c>
      <c r="O313" s="13">
        <v>7</v>
      </c>
      <c r="P313" s="13">
        <v>5</v>
      </c>
      <c r="Q313" s="13">
        <v>7</v>
      </c>
      <c r="R313" s="21">
        <f t="shared" si="33"/>
        <v>16.704849179075982</v>
      </c>
      <c r="S313" s="21">
        <f t="shared" si="34"/>
        <v>2.3853254776614268</v>
      </c>
      <c r="T313" s="21">
        <f t="shared" si="35"/>
        <v>11.921508786151975</v>
      </c>
      <c r="U313" s="21">
        <f t="shared" si="36"/>
        <v>16.668651029884511</v>
      </c>
      <c r="V313" s="21">
        <f t="shared" si="37"/>
        <v>11.901078237688335</v>
      </c>
      <c r="W313" s="21">
        <f t="shared" si="38"/>
        <v>16.654374152411314</v>
      </c>
      <c r="X313" s="21">
        <f t="shared" si="39"/>
        <v>10.337227814296462</v>
      </c>
      <c r="Y313" s="21">
        <f t="shared" si="40"/>
        <v>15.074701139994721</v>
      </c>
    </row>
    <row r="314" spans="1:25" x14ac:dyDescent="0.3">
      <c r="A314" s="13" t="s">
        <v>177</v>
      </c>
      <c r="B314" s="13" t="s">
        <v>684</v>
      </c>
      <c r="C314" s="13" t="s">
        <v>685</v>
      </c>
      <c r="D314" s="13" t="s">
        <v>685</v>
      </c>
      <c r="E314" s="17">
        <v>80301</v>
      </c>
      <c r="F314" s="17">
        <v>12509</v>
      </c>
      <c r="G314" s="17">
        <v>12362</v>
      </c>
      <c r="H314" s="17">
        <v>12215</v>
      </c>
      <c r="I314" s="17">
        <v>11773</v>
      </c>
      <c r="J314" s="17">
        <v>11625</v>
      </c>
      <c r="K314" s="17">
        <v>11478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21">
        <f t="shared" si="33"/>
        <v>0</v>
      </c>
      <c r="S314" s="21">
        <f t="shared" si="34"/>
        <v>0</v>
      </c>
      <c r="T314" s="21">
        <f t="shared" si="35"/>
        <v>0</v>
      </c>
      <c r="U314" s="21">
        <f t="shared" si="36"/>
        <v>0</v>
      </c>
      <c r="V314" s="21">
        <f t="shared" si="37"/>
        <v>0</v>
      </c>
      <c r="W314" s="21">
        <f t="shared" si="38"/>
        <v>0</v>
      </c>
      <c r="X314" s="21">
        <f t="shared" si="39"/>
        <v>0</v>
      </c>
      <c r="Y314" s="21">
        <f t="shared" si="40"/>
        <v>0</v>
      </c>
    </row>
    <row r="315" spans="1:25" x14ac:dyDescent="0.3">
      <c r="A315" s="13" t="s">
        <v>177</v>
      </c>
      <c r="B315" s="13" t="s">
        <v>684</v>
      </c>
      <c r="C315" s="13" t="s">
        <v>181</v>
      </c>
      <c r="D315" s="13" t="s">
        <v>181</v>
      </c>
      <c r="E315" s="17">
        <v>80302</v>
      </c>
      <c r="F315" s="17">
        <v>42920</v>
      </c>
      <c r="G315" s="17">
        <v>43331</v>
      </c>
      <c r="H315" s="17">
        <v>43742</v>
      </c>
      <c r="I315" s="17">
        <v>44976</v>
      </c>
      <c r="J315" s="17">
        <v>45387</v>
      </c>
      <c r="K315" s="17">
        <v>45798</v>
      </c>
      <c r="L315" s="13">
        <v>2</v>
      </c>
      <c r="M315" s="13">
        <v>3</v>
      </c>
      <c r="N315" s="13">
        <v>2</v>
      </c>
      <c r="O315" s="13">
        <v>4</v>
      </c>
      <c r="P315" s="13">
        <v>2</v>
      </c>
      <c r="Q315" s="13">
        <v>4</v>
      </c>
      <c r="R315" s="21">
        <f t="shared" si="33"/>
        <v>4.6598322460391426</v>
      </c>
      <c r="S315" s="21">
        <f t="shared" si="34"/>
        <v>6.9234497242159199</v>
      </c>
      <c r="T315" s="21">
        <f t="shared" si="35"/>
        <v>4.572264642677518</v>
      </c>
      <c r="U315" s="21">
        <f t="shared" si="36"/>
        <v>8.8936321593738885</v>
      </c>
      <c r="V315" s="21">
        <f t="shared" si="37"/>
        <v>4.4065481305219558</v>
      </c>
      <c r="W315" s="21">
        <f t="shared" si="38"/>
        <v>8.7340058517839196</v>
      </c>
      <c r="X315" s="21">
        <f t="shared" si="39"/>
        <v>5.3851822043108593</v>
      </c>
      <c r="Y315" s="21">
        <f t="shared" si="40"/>
        <v>7.3447287138932547</v>
      </c>
    </row>
    <row r="316" spans="1:25" x14ac:dyDescent="0.3">
      <c r="A316" s="13" t="s">
        <v>177</v>
      </c>
      <c r="B316" s="13" t="s">
        <v>684</v>
      </c>
      <c r="C316" s="13" t="s">
        <v>185</v>
      </c>
      <c r="D316" s="13" t="s">
        <v>185</v>
      </c>
      <c r="E316" s="17">
        <v>80303</v>
      </c>
      <c r="F316" s="17">
        <v>10163</v>
      </c>
      <c r="G316" s="17">
        <v>10300</v>
      </c>
      <c r="H316" s="17">
        <v>10437</v>
      </c>
      <c r="I316" s="17">
        <v>10848</v>
      </c>
      <c r="J316" s="17">
        <v>10985</v>
      </c>
      <c r="K316" s="17">
        <v>11122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1</v>
      </c>
      <c r="R316" s="21">
        <f t="shared" si="33"/>
        <v>0</v>
      </c>
      <c r="S316" s="21">
        <f t="shared" si="34"/>
        <v>0</v>
      </c>
      <c r="T316" s="21">
        <f t="shared" si="35"/>
        <v>0</v>
      </c>
      <c r="U316" s="21">
        <f t="shared" si="36"/>
        <v>0</v>
      </c>
      <c r="V316" s="21">
        <f t="shared" si="37"/>
        <v>0</v>
      </c>
      <c r="W316" s="21">
        <f t="shared" si="38"/>
        <v>8.9911886351375649</v>
      </c>
      <c r="X316" s="21">
        <f t="shared" si="39"/>
        <v>0</v>
      </c>
      <c r="Y316" s="21">
        <f t="shared" si="40"/>
        <v>2.9970628783791882</v>
      </c>
    </row>
    <row r="317" spans="1:25" x14ac:dyDescent="0.3">
      <c r="A317" s="13" t="s">
        <v>177</v>
      </c>
      <c r="B317" s="13" t="s">
        <v>684</v>
      </c>
      <c r="C317" s="13" t="s">
        <v>686</v>
      </c>
      <c r="D317" s="13" t="s">
        <v>183</v>
      </c>
      <c r="E317" s="17">
        <v>80304</v>
      </c>
      <c r="F317" s="17">
        <v>20047</v>
      </c>
      <c r="G317" s="17">
        <v>20218</v>
      </c>
      <c r="H317" s="17">
        <v>20388</v>
      </c>
      <c r="I317" s="17">
        <v>20899</v>
      </c>
      <c r="J317" s="17">
        <v>21070</v>
      </c>
      <c r="K317" s="17">
        <v>21240</v>
      </c>
      <c r="L317" s="13">
        <v>0</v>
      </c>
      <c r="M317" s="13">
        <v>0</v>
      </c>
      <c r="N317" s="13">
        <v>3</v>
      </c>
      <c r="O317" s="13">
        <v>1</v>
      </c>
      <c r="P317" s="13">
        <v>4</v>
      </c>
      <c r="Q317" s="13">
        <v>4</v>
      </c>
      <c r="R317" s="21">
        <f t="shared" si="33"/>
        <v>0</v>
      </c>
      <c r="S317" s="21">
        <f t="shared" si="34"/>
        <v>0</v>
      </c>
      <c r="T317" s="21">
        <f t="shared" si="35"/>
        <v>14.714537963507945</v>
      </c>
      <c r="U317" s="21">
        <f t="shared" si="36"/>
        <v>4.7849179386573519</v>
      </c>
      <c r="V317" s="21">
        <f t="shared" si="37"/>
        <v>18.984337921214998</v>
      </c>
      <c r="W317" s="21">
        <f t="shared" si="38"/>
        <v>18.832391713747647</v>
      </c>
      <c r="X317" s="21">
        <f t="shared" si="39"/>
        <v>4.9048459878359818</v>
      </c>
      <c r="Y317" s="21">
        <f t="shared" si="40"/>
        <v>14.200549191206667</v>
      </c>
    </row>
    <row r="318" spans="1:25" x14ac:dyDescent="0.3">
      <c r="A318" s="13" t="s">
        <v>177</v>
      </c>
      <c r="B318" s="13" t="s">
        <v>687</v>
      </c>
      <c r="C318" s="13" t="s">
        <v>688</v>
      </c>
      <c r="D318" s="13" t="s">
        <v>182</v>
      </c>
      <c r="E318" s="17">
        <v>80401</v>
      </c>
      <c r="F318" s="17">
        <v>17494</v>
      </c>
      <c r="G318" s="17">
        <v>17579</v>
      </c>
      <c r="H318" s="17">
        <v>17663</v>
      </c>
      <c r="I318" s="17">
        <v>17918</v>
      </c>
      <c r="J318" s="17">
        <v>18003</v>
      </c>
      <c r="K318" s="17">
        <v>18088</v>
      </c>
      <c r="L318" s="13">
        <v>1</v>
      </c>
      <c r="M318" s="13">
        <v>0</v>
      </c>
      <c r="N318" s="13">
        <v>0</v>
      </c>
      <c r="O318" s="13">
        <v>1</v>
      </c>
      <c r="P318" s="13">
        <v>4</v>
      </c>
      <c r="Q318" s="13">
        <v>2</v>
      </c>
      <c r="R318" s="21">
        <f t="shared" si="33"/>
        <v>5.7162455699096828</v>
      </c>
      <c r="S318" s="21">
        <f t="shared" si="34"/>
        <v>0</v>
      </c>
      <c r="T318" s="21">
        <f t="shared" si="35"/>
        <v>0</v>
      </c>
      <c r="U318" s="21">
        <f t="shared" si="36"/>
        <v>5.5809800200915278</v>
      </c>
      <c r="V318" s="21">
        <f t="shared" si="37"/>
        <v>22.218519135699605</v>
      </c>
      <c r="W318" s="21">
        <f t="shared" si="38"/>
        <v>11.057054400707653</v>
      </c>
      <c r="X318" s="21">
        <f t="shared" si="39"/>
        <v>1.9054151899698943</v>
      </c>
      <c r="Y318" s="21">
        <f t="shared" si="40"/>
        <v>12.952184518832928</v>
      </c>
    </row>
    <row r="319" spans="1:25" x14ac:dyDescent="0.3">
      <c r="A319" s="13" t="s">
        <v>177</v>
      </c>
      <c r="B319" s="13" t="s">
        <v>687</v>
      </c>
      <c r="C319" s="13" t="s">
        <v>187</v>
      </c>
      <c r="D319" s="13" t="s">
        <v>187</v>
      </c>
      <c r="E319" s="17">
        <v>80402</v>
      </c>
      <c r="F319" s="17">
        <v>7050</v>
      </c>
      <c r="G319" s="17">
        <v>7187</v>
      </c>
      <c r="H319" s="17">
        <v>7325</v>
      </c>
      <c r="I319" s="17">
        <v>7737</v>
      </c>
      <c r="J319" s="17">
        <v>7875</v>
      </c>
      <c r="K319" s="17">
        <v>8012</v>
      </c>
      <c r="L319" s="13">
        <v>0</v>
      </c>
      <c r="M319" s="13">
        <v>0</v>
      </c>
      <c r="N319" s="13">
        <v>0</v>
      </c>
      <c r="O319" s="13">
        <v>1</v>
      </c>
      <c r="P319" s="13">
        <v>0</v>
      </c>
      <c r="Q319" s="13">
        <v>0</v>
      </c>
      <c r="R319" s="21">
        <f t="shared" si="33"/>
        <v>0</v>
      </c>
      <c r="S319" s="21">
        <f t="shared" si="34"/>
        <v>0</v>
      </c>
      <c r="T319" s="21">
        <f t="shared" si="35"/>
        <v>0</v>
      </c>
      <c r="U319" s="21">
        <f t="shared" si="36"/>
        <v>12.924906294429366</v>
      </c>
      <c r="V319" s="21">
        <f t="shared" si="37"/>
        <v>0</v>
      </c>
      <c r="W319" s="21">
        <f t="shared" si="38"/>
        <v>0</v>
      </c>
      <c r="X319" s="21">
        <f t="shared" si="39"/>
        <v>0</v>
      </c>
      <c r="Y319" s="21">
        <f t="shared" si="40"/>
        <v>4.3083020981431224</v>
      </c>
    </row>
    <row r="320" spans="1:25" x14ac:dyDescent="0.3">
      <c r="A320" s="13" t="s">
        <v>177</v>
      </c>
      <c r="B320" s="13" t="s">
        <v>689</v>
      </c>
      <c r="C320" s="13" t="s">
        <v>397</v>
      </c>
      <c r="D320" s="13" t="s">
        <v>397</v>
      </c>
      <c r="E320" s="17">
        <v>80501</v>
      </c>
      <c r="F320" s="17">
        <v>20224</v>
      </c>
      <c r="G320" s="17">
        <v>20418</v>
      </c>
      <c r="H320" s="17">
        <v>20612</v>
      </c>
      <c r="I320" s="17">
        <v>21195</v>
      </c>
      <c r="J320" s="17">
        <v>21390</v>
      </c>
      <c r="K320" s="17">
        <v>21584</v>
      </c>
      <c r="L320" s="13">
        <v>0</v>
      </c>
      <c r="M320" s="13">
        <v>0</v>
      </c>
      <c r="N320" s="13">
        <v>1</v>
      </c>
      <c r="O320" s="13">
        <v>0</v>
      </c>
      <c r="P320" s="13">
        <v>0</v>
      </c>
      <c r="Q320" s="13">
        <v>0</v>
      </c>
      <c r="R320" s="21">
        <f t="shared" si="33"/>
        <v>0</v>
      </c>
      <c r="S320" s="21">
        <f t="shared" si="34"/>
        <v>0</v>
      </c>
      <c r="T320" s="21">
        <f t="shared" si="35"/>
        <v>4.8515427906074136</v>
      </c>
      <c r="U320" s="21">
        <f t="shared" si="36"/>
        <v>0</v>
      </c>
      <c r="V320" s="21">
        <f t="shared" si="37"/>
        <v>0</v>
      </c>
      <c r="W320" s="21">
        <f t="shared" si="38"/>
        <v>0</v>
      </c>
      <c r="X320" s="21">
        <f t="shared" si="39"/>
        <v>1.6171809302024711</v>
      </c>
      <c r="Y320" s="21">
        <f t="shared" si="40"/>
        <v>0</v>
      </c>
    </row>
    <row r="321" spans="1:25" x14ac:dyDescent="0.3">
      <c r="A321" s="13" t="s">
        <v>177</v>
      </c>
      <c r="B321" s="13" t="s">
        <v>690</v>
      </c>
      <c r="C321" s="13" t="s">
        <v>399</v>
      </c>
      <c r="D321" s="13" t="s">
        <v>399</v>
      </c>
      <c r="E321" s="17">
        <v>80601</v>
      </c>
      <c r="F321" s="17">
        <v>4012</v>
      </c>
      <c r="G321" s="17">
        <v>4049</v>
      </c>
      <c r="H321" s="17">
        <v>4085</v>
      </c>
      <c r="I321" s="17">
        <v>4196</v>
      </c>
      <c r="J321" s="17">
        <v>4232</v>
      </c>
      <c r="K321" s="17">
        <v>4269</v>
      </c>
      <c r="L321" s="13">
        <v>1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21">
        <f t="shared" si="33"/>
        <v>24.925224327018942</v>
      </c>
      <c r="S321" s="21">
        <f t="shared" si="34"/>
        <v>0</v>
      </c>
      <c r="T321" s="21">
        <f t="shared" si="35"/>
        <v>0</v>
      </c>
      <c r="U321" s="21">
        <f t="shared" si="36"/>
        <v>0</v>
      </c>
      <c r="V321" s="21">
        <f t="shared" si="37"/>
        <v>0</v>
      </c>
      <c r="W321" s="21">
        <f t="shared" si="38"/>
        <v>0</v>
      </c>
      <c r="X321" s="21">
        <f t="shared" si="39"/>
        <v>8.3084081090063133</v>
      </c>
      <c r="Y321" s="21">
        <f t="shared" si="40"/>
        <v>0</v>
      </c>
    </row>
    <row r="322" spans="1:25" x14ac:dyDescent="0.3">
      <c r="A322" s="13" t="s">
        <v>177</v>
      </c>
      <c r="B322" s="13" t="s">
        <v>690</v>
      </c>
      <c r="C322" s="13" t="s">
        <v>691</v>
      </c>
      <c r="D322" s="13" t="s">
        <v>691</v>
      </c>
      <c r="E322" s="17">
        <v>80602</v>
      </c>
      <c r="F322" s="17">
        <v>13781</v>
      </c>
      <c r="G322" s="17">
        <v>14037</v>
      </c>
      <c r="H322" s="17">
        <v>14292</v>
      </c>
      <c r="I322" s="17">
        <v>15059</v>
      </c>
      <c r="J322" s="17">
        <v>15314</v>
      </c>
      <c r="K322" s="17">
        <v>15570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21">
        <f t="shared" si="33"/>
        <v>0</v>
      </c>
      <c r="S322" s="21">
        <f t="shared" si="34"/>
        <v>0</v>
      </c>
      <c r="T322" s="21">
        <f t="shared" si="35"/>
        <v>0</v>
      </c>
      <c r="U322" s="21">
        <f t="shared" si="36"/>
        <v>0</v>
      </c>
      <c r="V322" s="21">
        <f t="shared" si="37"/>
        <v>0</v>
      </c>
      <c r="W322" s="21">
        <f t="shared" si="38"/>
        <v>0</v>
      </c>
      <c r="X322" s="21">
        <f t="shared" si="39"/>
        <v>0</v>
      </c>
      <c r="Y322" s="21">
        <f t="shared" si="40"/>
        <v>0</v>
      </c>
    </row>
    <row r="323" spans="1:25" x14ac:dyDescent="0.3">
      <c r="A323" s="13" t="s">
        <v>177</v>
      </c>
      <c r="B323" s="13" t="s">
        <v>692</v>
      </c>
      <c r="C323" s="13" t="s">
        <v>401</v>
      </c>
      <c r="D323" s="13" t="s">
        <v>401</v>
      </c>
      <c r="E323" s="17">
        <v>80701</v>
      </c>
      <c r="F323" s="17">
        <v>6872</v>
      </c>
      <c r="G323" s="17">
        <v>6863</v>
      </c>
      <c r="H323" s="17">
        <v>6853</v>
      </c>
      <c r="I323" s="17">
        <v>6826</v>
      </c>
      <c r="J323" s="17">
        <v>6817</v>
      </c>
      <c r="K323" s="17">
        <v>6808</v>
      </c>
      <c r="L323" s="13">
        <v>0</v>
      </c>
      <c r="M323" s="13">
        <v>0</v>
      </c>
      <c r="N323" s="13">
        <v>1</v>
      </c>
      <c r="O323" s="13">
        <v>0</v>
      </c>
      <c r="P323" s="13">
        <v>0</v>
      </c>
      <c r="Q323" s="13">
        <v>0</v>
      </c>
      <c r="R323" s="21">
        <f t="shared" ref="R323:R344" si="41">(L323/F323)*100000</f>
        <v>0</v>
      </c>
      <c r="S323" s="21">
        <f t="shared" ref="S323:S344" si="42">(M323/G323)*100000</f>
        <v>0</v>
      </c>
      <c r="T323" s="21">
        <f t="shared" ref="T323:T344" si="43">(N323/H323)*100000</f>
        <v>14.592149423610097</v>
      </c>
      <c r="U323" s="21">
        <f t="shared" ref="U323:U344" si="44">(O323/I323)*100000</f>
        <v>0</v>
      </c>
      <c r="V323" s="21">
        <f t="shared" ref="V323:V344" si="45">(P323/J323)*100000</f>
        <v>0</v>
      </c>
      <c r="W323" s="21">
        <f t="shared" ref="W323:W344" si="46">(Q323/K323)*100000</f>
        <v>0</v>
      </c>
      <c r="X323" s="21">
        <f t="shared" ref="X323:X344" si="47">AVERAGE(R323:T323)</f>
        <v>4.8640498078700327</v>
      </c>
      <c r="Y323" s="21">
        <f t="shared" ref="Y323:Y344" si="48">AVERAGE(U323:W323)</f>
        <v>0</v>
      </c>
    </row>
    <row r="324" spans="1:25" x14ac:dyDescent="0.3">
      <c r="A324" s="13" t="s">
        <v>177</v>
      </c>
      <c r="B324" s="13" t="s">
        <v>692</v>
      </c>
      <c r="C324" s="13" t="s">
        <v>186</v>
      </c>
      <c r="D324" s="13" t="s">
        <v>186</v>
      </c>
      <c r="E324" s="17">
        <v>80702</v>
      </c>
      <c r="F324" s="17">
        <v>5178</v>
      </c>
      <c r="G324" s="17">
        <v>5222</v>
      </c>
      <c r="H324" s="17">
        <v>5267</v>
      </c>
      <c r="I324" s="17">
        <v>5400</v>
      </c>
      <c r="J324" s="17">
        <v>5445</v>
      </c>
      <c r="K324" s="17">
        <v>5489</v>
      </c>
      <c r="L324" s="13">
        <v>0</v>
      </c>
      <c r="M324" s="13">
        <v>0</v>
      </c>
      <c r="N324" s="13">
        <v>0</v>
      </c>
      <c r="O324" s="13">
        <v>1</v>
      </c>
      <c r="P324" s="13">
        <v>0</v>
      </c>
      <c r="Q324" s="13">
        <v>0</v>
      </c>
      <c r="R324" s="21">
        <f t="shared" si="41"/>
        <v>0</v>
      </c>
      <c r="S324" s="21">
        <f t="shared" si="42"/>
        <v>0</v>
      </c>
      <c r="T324" s="21">
        <f t="shared" si="43"/>
        <v>0</v>
      </c>
      <c r="U324" s="21">
        <f t="shared" si="44"/>
        <v>18.518518518518519</v>
      </c>
      <c r="V324" s="21">
        <f t="shared" si="45"/>
        <v>0</v>
      </c>
      <c r="W324" s="21">
        <f t="shared" si="46"/>
        <v>0</v>
      </c>
      <c r="X324" s="21">
        <f t="shared" si="47"/>
        <v>0</v>
      </c>
      <c r="Y324" s="21">
        <f t="shared" si="48"/>
        <v>6.1728395061728394</v>
      </c>
    </row>
    <row r="325" spans="1:25" x14ac:dyDescent="0.3">
      <c r="A325" s="13" t="s">
        <v>177</v>
      </c>
      <c r="B325" s="13" t="s">
        <v>692</v>
      </c>
      <c r="C325" s="13" t="s">
        <v>693</v>
      </c>
      <c r="D325" s="13" t="s">
        <v>693</v>
      </c>
      <c r="E325" s="17">
        <v>80703</v>
      </c>
      <c r="F325" s="17">
        <v>1006</v>
      </c>
      <c r="G325" s="17">
        <v>1018</v>
      </c>
      <c r="H325" s="17">
        <v>1030</v>
      </c>
      <c r="I325" s="17">
        <v>1067</v>
      </c>
      <c r="J325" s="17">
        <v>1079</v>
      </c>
      <c r="K325" s="17">
        <v>1091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21">
        <f t="shared" si="41"/>
        <v>0</v>
      </c>
      <c r="S325" s="21">
        <f t="shared" si="42"/>
        <v>0</v>
      </c>
      <c r="T325" s="21">
        <f t="shared" si="43"/>
        <v>0</v>
      </c>
      <c r="U325" s="21">
        <f t="shared" si="44"/>
        <v>0</v>
      </c>
      <c r="V325" s="21">
        <f t="shared" si="45"/>
        <v>0</v>
      </c>
      <c r="W325" s="21">
        <f t="shared" si="46"/>
        <v>0</v>
      </c>
      <c r="X325" s="21">
        <f t="shared" si="47"/>
        <v>0</v>
      </c>
      <c r="Y325" s="21">
        <f t="shared" si="48"/>
        <v>0</v>
      </c>
    </row>
    <row r="326" spans="1:25" x14ac:dyDescent="0.3">
      <c r="A326" s="13" t="s">
        <v>177</v>
      </c>
      <c r="B326" s="13" t="s">
        <v>694</v>
      </c>
      <c r="C326" s="13" t="s">
        <v>404</v>
      </c>
      <c r="D326" s="13" t="s">
        <v>404</v>
      </c>
      <c r="E326" s="17">
        <v>80801</v>
      </c>
      <c r="F326" s="17">
        <v>11964</v>
      </c>
      <c r="G326" s="17">
        <v>12081</v>
      </c>
      <c r="H326" s="17">
        <v>12198</v>
      </c>
      <c r="I326" s="17">
        <v>12550</v>
      </c>
      <c r="J326" s="17">
        <v>12668</v>
      </c>
      <c r="K326" s="17">
        <v>12785</v>
      </c>
      <c r="L326" s="13">
        <v>1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21">
        <f t="shared" si="41"/>
        <v>8.3584085590103641</v>
      </c>
      <c r="S326" s="21">
        <f t="shared" si="42"/>
        <v>0</v>
      </c>
      <c r="T326" s="21">
        <f t="shared" si="43"/>
        <v>0</v>
      </c>
      <c r="U326" s="21">
        <f t="shared" si="44"/>
        <v>0</v>
      </c>
      <c r="V326" s="21">
        <f t="shared" si="45"/>
        <v>0</v>
      </c>
      <c r="W326" s="21">
        <f t="shared" si="46"/>
        <v>0</v>
      </c>
      <c r="X326" s="21">
        <f t="shared" si="47"/>
        <v>2.7861361863367882</v>
      </c>
      <c r="Y326" s="21">
        <f t="shared" si="48"/>
        <v>0</v>
      </c>
    </row>
    <row r="327" spans="1:25" x14ac:dyDescent="0.3">
      <c r="A327" s="13" t="s">
        <v>177</v>
      </c>
      <c r="B327" s="13" t="s">
        <v>694</v>
      </c>
      <c r="C327" s="13" t="s">
        <v>695</v>
      </c>
      <c r="D327" s="13" t="s">
        <v>695</v>
      </c>
      <c r="E327" s="17">
        <v>80802</v>
      </c>
      <c r="F327" s="17">
        <v>6600</v>
      </c>
      <c r="G327" s="17">
        <v>6727</v>
      </c>
      <c r="H327" s="17">
        <v>6853</v>
      </c>
      <c r="I327" s="17">
        <v>7234</v>
      </c>
      <c r="J327" s="17">
        <v>7361</v>
      </c>
      <c r="K327" s="17">
        <v>7488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0</v>
      </c>
      <c r="R327" s="21">
        <f t="shared" si="41"/>
        <v>0</v>
      </c>
      <c r="S327" s="21">
        <f t="shared" si="42"/>
        <v>0</v>
      </c>
      <c r="T327" s="21">
        <f t="shared" si="43"/>
        <v>0</v>
      </c>
      <c r="U327" s="21">
        <f t="shared" si="44"/>
        <v>0</v>
      </c>
      <c r="V327" s="21">
        <f t="shared" si="45"/>
        <v>0</v>
      </c>
      <c r="W327" s="21">
        <f t="shared" si="46"/>
        <v>0</v>
      </c>
      <c r="X327" s="21">
        <f t="shared" si="47"/>
        <v>0</v>
      </c>
      <c r="Y327" s="21">
        <f t="shared" si="48"/>
        <v>0</v>
      </c>
    </row>
    <row r="328" spans="1:25" x14ac:dyDescent="0.3">
      <c r="A328" s="13" t="s">
        <v>177</v>
      </c>
      <c r="B328" s="13" t="s">
        <v>694</v>
      </c>
      <c r="C328" s="13" t="s">
        <v>184</v>
      </c>
      <c r="D328" s="13" t="s">
        <v>184</v>
      </c>
      <c r="E328" s="17">
        <v>80803</v>
      </c>
      <c r="F328" s="17">
        <v>4327</v>
      </c>
      <c r="G328" s="17">
        <v>4371</v>
      </c>
      <c r="H328" s="17">
        <v>4414</v>
      </c>
      <c r="I328" s="17">
        <v>4544</v>
      </c>
      <c r="J328" s="17">
        <v>4587</v>
      </c>
      <c r="K328" s="17">
        <v>4630</v>
      </c>
      <c r="L328" s="13">
        <v>0</v>
      </c>
      <c r="M328" s="13">
        <v>0</v>
      </c>
      <c r="N328" s="13">
        <v>0</v>
      </c>
      <c r="O328" s="13">
        <v>0</v>
      </c>
      <c r="P328" s="13">
        <v>0</v>
      </c>
      <c r="Q328" s="13">
        <v>1</v>
      </c>
      <c r="R328" s="21">
        <f t="shared" si="41"/>
        <v>0</v>
      </c>
      <c r="S328" s="21">
        <f t="shared" si="42"/>
        <v>0</v>
      </c>
      <c r="T328" s="21">
        <f t="shared" si="43"/>
        <v>0</v>
      </c>
      <c r="U328" s="21">
        <f t="shared" si="44"/>
        <v>0</v>
      </c>
      <c r="V328" s="21">
        <f t="shared" si="45"/>
        <v>0</v>
      </c>
      <c r="W328" s="21">
        <f t="shared" si="46"/>
        <v>21.598272138228943</v>
      </c>
      <c r="X328" s="21">
        <f t="shared" si="47"/>
        <v>0</v>
      </c>
      <c r="Y328" s="21">
        <f t="shared" si="48"/>
        <v>7.1994240460763139</v>
      </c>
    </row>
    <row r="329" spans="1:25" x14ac:dyDescent="0.3">
      <c r="A329" s="13" t="s">
        <v>177</v>
      </c>
      <c r="B329" s="13" t="s">
        <v>689</v>
      </c>
      <c r="C329" s="13" t="s">
        <v>696</v>
      </c>
      <c r="D329" s="13" t="s">
        <v>696</v>
      </c>
      <c r="E329" s="17">
        <v>80901</v>
      </c>
      <c r="F329" s="17">
        <v>3541</v>
      </c>
      <c r="G329" s="17">
        <v>3603</v>
      </c>
      <c r="H329" s="17">
        <v>3664</v>
      </c>
      <c r="I329" s="17">
        <v>3850</v>
      </c>
      <c r="J329" s="17">
        <v>3911</v>
      </c>
      <c r="K329" s="17">
        <v>3973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21">
        <f t="shared" si="41"/>
        <v>0</v>
      </c>
      <c r="S329" s="21">
        <f t="shared" si="42"/>
        <v>0</v>
      </c>
      <c r="T329" s="21">
        <f t="shared" si="43"/>
        <v>0</v>
      </c>
      <c r="U329" s="21">
        <f t="shared" si="44"/>
        <v>0</v>
      </c>
      <c r="V329" s="21">
        <f t="shared" si="45"/>
        <v>0</v>
      </c>
      <c r="W329" s="21">
        <f t="shared" si="46"/>
        <v>0</v>
      </c>
      <c r="X329" s="21">
        <f t="shared" si="47"/>
        <v>0</v>
      </c>
      <c r="Y329" s="21">
        <f t="shared" si="48"/>
        <v>0</v>
      </c>
    </row>
    <row r="330" spans="1:25" x14ac:dyDescent="0.3">
      <c r="A330" s="13" t="s">
        <v>188</v>
      </c>
      <c r="B330" s="13" t="s">
        <v>697</v>
      </c>
      <c r="C330" s="13" t="s">
        <v>189</v>
      </c>
      <c r="D330" s="13" t="s">
        <v>189</v>
      </c>
      <c r="E330" s="17">
        <v>90101</v>
      </c>
      <c r="F330" s="17">
        <v>49953</v>
      </c>
      <c r="G330" s="17">
        <v>50691</v>
      </c>
      <c r="H330" s="17">
        <v>51428</v>
      </c>
      <c r="I330" s="17">
        <v>53640</v>
      </c>
      <c r="J330" s="17">
        <v>54377</v>
      </c>
      <c r="K330" s="17">
        <v>55114</v>
      </c>
      <c r="L330" s="13">
        <v>7</v>
      </c>
      <c r="M330" s="13">
        <v>7</v>
      </c>
      <c r="N330" s="13">
        <v>13</v>
      </c>
      <c r="O330" s="13">
        <v>20</v>
      </c>
      <c r="P330" s="13">
        <v>10</v>
      </c>
      <c r="Q330" s="13">
        <v>11</v>
      </c>
      <c r="R330" s="21">
        <f t="shared" si="41"/>
        <v>14.013172382039118</v>
      </c>
      <c r="S330" s="21">
        <f t="shared" si="42"/>
        <v>13.809157444122231</v>
      </c>
      <c r="T330" s="21">
        <f t="shared" si="43"/>
        <v>25.278058645096056</v>
      </c>
      <c r="U330" s="21">
        <f t="shared" si="44"/>
        <v>37.28560775540641</v>
      </c>
      <c r="V330" s="21">
        <f t="shared" si="45"/>
        <v>18.390128179193411</v>
      </c>
      <c r="W330" s="21">
        <f t="shared" si="46"/>
        <v>19.958631200783827</v>
      </c>
      <c r="X330" s="21">
        <f t="shared" si="47"/>
        <v>17.700129490419133</v>
      </c>
      <c r="Y330" s="21">
        <f t="shared" si="48"/>
        <v>25.211455711794553</v>
      </c>
    </row>
    <row r="331" spans="1:25" x14ac:dyDescent="0.3">
      <c r="A331" s="13" t="s">
        <v>188</v>
      </c>
      <c r="B331" s="13" t="s">
        <v>697</v>
      </c>
      <c r="C331" s="13" t="s">
        <v>698</v>
      </c>
      <c r="D331" s="13" t="s">
        <v>698</v>
      </c>
      <c r="E331" s="17">
        <v>90102</v>
      </c>
      <c r="F331" s="17">
        <v>8533</v>
      </c>
      <c r="G331" s="17">
        <v>8651</v>
      </c>
      <c r="H331" s="17">
        <v>8768</v>
      </c>
      <c r="I331" s="17">
        <v>9119</v>
      </c>
      <c r="J331" s="17">
        <v>9236</v>
      </c>
      <c r="K331" s="17">
        <v>9353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21">
        <f t="shared" si="41"/>
        <v>0</v>
      </c>
      <c r="S331" s="21">
        <f t="shared" si="42"/>
        <v>0</v>
      </c>
      <c r="T331" s="21">
        <f t="shared" si="43"/>
        <v>0</v>
      </c>
      <c r="U331" s="21">
        <f t="shared" si="44"/>
        <v>0</v>
      </c>
      <c r="V331" s="21">
        <f t="shared" si="45"/>
        <v>0</v>
      </c>
      <c r="W331" s="21">
        <f t="shared" si="46"/>
        <v>0</v>
      </c>
      <c r="X331" s="21">
        <f t="shared" si="47"/>
        <v>0</v>
      </c>
      <c r="Y331" s="21">
        <f t="shared" si="48"/>
        <v>0</v>
      </c>
    </row>
    <row r="332" spans="1:25" x14ac:dyDescent="0.3">
      <c r="A332" s="13" t="s">
        <v>188</v>
      </c>
      <c r="B332" s="13" t="s">
        <v>697</v>
      </c>
      <c r="C332" s="13" t="s">
        <v>194</v>
      </c>
      <c r="D332" s="13" t="s">
        <v>194</v>
      </c>
      <c r="E332" s="17">
        <v>90103</v>
      </c>
      <c r="F332" s="17">
        <v>2283</v>
      </c>
      <c r="G332" s="17">
        <v>2305</v>
      </c>
      <c r="H332" s="17">
        <v>2327</v>
      </c>
      <c r="I332" s="17">
        <v>2393</v>
      </c>
      <c r="J332" s="17">
        <v>2415</v>
      </c>
      <c r="K332" s="17">
        <v>2437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1</v>
      </c>
      <c r="R332" s="21">
        <f t="shared" si="41"/>
        <v>0</v>
      </c>
      <c r="S332" s="21">
        <f t="shared" si="42"/>
        <v>0</v>
      </c>
      <c r="T332" s="21">
        <f t="shared" si="43"/>
        <v>0</v>
      </c>
      <c r="U332" s="21">
        <f t="shared" si="44"/>
        <v>0</v>
      </c>
      <c r="V332" s="21">
        <f t="shared" si="45"/>
        <v>0</v>
      </c>
      <c r="W332" s="21">
        <f t="shared" si="46"/>
        <v>41.034058268362742</v>
      </c>
      <c r="X332" s="21">
        <f t="shared" si="47"/>
        <v>0</v>
      </c>
      <c r="Y332" s="21">
        <f t="shared" si="48"/>
        <v>13.67801942278758</v>
      </c>
    </row>
    <row r="333" spans="1:25" x14ac:dyDescent="0.3">
      <c r="A333" s="13" t="s">
        <v>188</v>
      </c>
      <c r="B333" s="13" t="s">
        <v>697</v>
      </c>
      <c r="C333" s="13" t="s">
        <v>193</v>
      </c>
      <c r="D333" s="13" t="s">
        <v>193</v>
      </c>
      <c r="E333" s="17">
        <v>90104</v>
      </c>
      <c r="F333" s="17">
        <v>3793</v>
      </c>
      <c r="G333" s="17">
        <v>3770</v>
      </c>
      <c r="H333" s="17">
        <v>3746</v>
      </c>
      <c r="I333" s="17">
        <v>3677</v>
      </c>
      <c r="J333" s="17">
        <v>3653</v>
      </c>
      <c r="K333" s="17">
        <v>3630</v>
      </c>
      <c r="L333" s="13">
        <v>0</v>
      </c>
      <c r="M333" s="13">
        <v>0</v>
      </c>
      <c r="N333" s="13">
        <v>0</v>
      </c>
      <c r="O333" s="13">
        <v>1</v>
      </c>
      <c r="P333" s="13">
        <v>0</v>
      </c>
      <c r="Q333" s="13">
        <v>0</v>
      </c>
      <c r="R333" s="21">
        <f t="shared" si="41"/>
        <v>0</v>
      </c>
      <c r="S333" s="21">
        <f t="shared" si="42"/>
        <v>0</v>
      </c>
      <c r="T333" s="21">
        <f t="shared" si="43"/>
        <v>0</v>
      </c>
      <c r="U333" s="21">
        <f t="shared" si="44"/>
        <v>27.196083763937992</v>
      </c>
      <c r="V333" s="21">
        <f t="shared" si="45"/>
        <v>0</v>
      </c>
      <c r="W333" s="21">
        <f t="shared" si="46"/>
        <v>0</v>
      </c>
      <c r="X333" s="21">
        <f t="shared" si="47"/>
        <v>0</v>
      </c>
      <c r="Y333" s="21">
        <f t="shared" si="48"/>
        <v>9.0653612546459978</v>
      </c>
    </row>
    <row r="334" spans="1:25" x14ac:dyDescent="0.3">
      <c r="A334" s="13" t="s">
        <v>188</v>
      </c>
      <c r="B334" s="13" t="s">
        <v>699</v>
      </c>
      <c r="C334" s="13" t="s">
        <v>192</v>
      </c>
      <c r="D334" s="13" t="s">
        <v>192</v>
      </c>
      <c r="E334" s="17">
        <v>90201</v>
      </c>
      <c r="F334" s="17">
        <v>6709</v>
      </c>
      <c r="G334" s="17">
        <v>6803</v>
      </c>
      <c r="H334" s="17">
        <v>6897</v>
      </c>
      <c r="I334" s="17">
        <v>7179</v>
      </c>
      <c r="J334" s="17">
        <v>7273</v>
      </c>
      <c r="K334" s="17">
        <v>7367</v>
      </c>
      <c r="L334" s="13">
        <v>1</v>
      </c>
      <c r="M334" s="13">
        <v>0</v>
      </c>
      <c r="N334" s="13">
        <v>0</v>
      </c>
      <c r="O334" s="13">
        <v>1</v>
      </c>
      <c r="P334" s="13">
        <v>0</v>
      </c>
      <c r="Q334" s="13">
        <v>0</v>
      </c>
      <c r="R334" s="21">
        <f t="shared" si="41"/>
        <v>14.905351021016545</v>
      </c>
      <c r="S334" s="21">
        <f t="shared" si="42"/>
        <v>0</v>
      </c>
      <c r="T334" s="21">
        <f t="shared" si="43"/>
        <v>0</v>
      </c>
      <c r="U334" s="21">
        <f t="shared" si="44"/>
        <v>13.929516645772392</v>
      </c>
      <c r="V334" s="21">
        <f t="shared" si="45"/>
        <v>0</v>
      </c>
      <c r="W334" s="21">
        <f t="shared" si="46"/>
        <v>0</v>
      </c>
      <c r="X334" s="21">
        <f t="shared" si="47"/>
        <v>4.9684503403388485</v>
      </c>
      <c r="Y334" s="21">
        <f t="shared" si="48"/>
        <v>4.6431722152574642</v>
      </c>
    </row>
    <row r="335" spans="1:25" x14ac:dyDescent="0.3">
      <c r="A335" s="13" t="s">
        <v>188</v>
      </c>
      <c r="B335" s="13" t="s">
        <v>699</v>
      </c>
      <c r="C335" s="13" t="s">
        <v>172</v>
      </c>
      <c r="D335" s="13" t="s">
        <v>172</v>
      </c>
      <c r="E335" s="17">
        <v>90202</v>
      </c>
      <c r="F335" s="17">
        <v>3211</v>
      </c>
      <c r="G335" s="17">
        <v>3255</v>
      </c>
      <c r="H335" s="17">
        <v>3298</v>
      </c>
      <c r="I335" s="17">
        <v>3430</v>
      </c>
      <c r="J335" s="17">
        <v>3474</v>
      </c>
      <c r="K335" s="17">
        <v>3518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21">
        <f t="shared" si="41"/>
        <v>0</v>
      </c>
      <c r="S335" s="21">
        <f t="shared" si="42"/>
        <v>0</v>
      </c>
      <c r="T335" s="21">
        <f t="shared" si="43"/>
        <v>0</v>
      </c>
      <c r="U335" s="21">
        <f t="shared" si="44"/>
        <v>0</v>
      </c>
      <c r="V335" s="21">
        <f t="shared" si="45"/>
        <v>0</v>
      </c>
      <c r="W335" s="21">
        <f t="shared" si="46"/>
        <v>0</v>
      </c>
      <c r="X335" s="21">
        <f t="shared" si="47"/>
        <v>0</v>
      </c>
      <c r="Y335" s="21">
        <f t="shared" si="48"/>
        <v>0</v>
      </c>
    </row>
    <row r="336" spans="1:25" x14ac:dyDescent="0.3">
      <c r="A336" s="13" t="s">
        <v>188</v>
      </c>
      <c r="B336" s="13" t="s">
        <v>699</v>
      </c>
      <c r="C336" s="13" t="s">
        <v>700</v>
      </c>
      <c r="D336" s="13" t="s">
        <v>700</v>
      </c>
      <c r="E336" s="17">
        <v>90203</v>
      </c>
      <c r="F336" s="17">
        <v>6710</v>
      </c>
      <c r="G336" s="17">
        <v>6901</v>
      </c>
      <c r="H336" s="17">
        <v>7091</v>
      </c>
      <c r="I336" s="17">
        <v>7664</v>
      </c>
      <c r="J336" s="17">
        <v>7854</v>
      </c>
      <c r="K336" s="17">
        <v>8045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21">
        <f t="shared" si="41"/>
        <v>0</v>
      </c>
      <c r="S336" s="21">
        <f t="shared" si="42"/>
        <v>0</v>
      </c>
      <c r="T336" s="21">
        <f t="shared" si="43"/>
        <v>0</v>
      </c>
      <c r="U336" s="21">
        <f t="shared" si="44"/>
        <v>0</v>
      </c>
      <c r="V336" s="21">
        <f t="shared" si="45"/>
        <v>0</v>
      </c>
      <c r="W336" s="21">
        <f t="shared" si="46"/>
        <v>0</v>
      </c>
      <c r="X336" s="21">
        <f t="shared" si="47"/>
        <v>0</v>
      </c>
      <c r="Y336" s="21">
        <f t="shared" si="48"/>
        <v>0</v>
      </c>
    </row>
    <row r="337" spans="1:26" x14ac:dyDescent="0.3">
      <c r="A337" s="13" t="s">
        <v>188</v>
      </c>
      <c r="B337" s="13" t="s">
        <v>701</v>
      </c>
      <c r="C337" s="13" t="s">
        <v>702</v>
      </c>
      <c r="D337" s="13" t="s">
        <v>702</v>
      </c>
      <c r="E337" s="17">
        <v>90301</v>
      </c>
      <c r="F337" s="17">
        <v>9940</v>
      </c>
      <c r="G337" s="17">
        <v>10296</v>
      </c>
      <c r="H337" s="17">
        <v>10651</v>
      </c>
      <c r="I337" s="17">
        <v>11719</v>
      </c>
      <c r="J337" s="17">
        <v>12075</v>
      </c>
      <c r="K337" s="17">
        <v>12431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21">
        <f t="shared" si="41"/>
        <v>0</v>
      </c>
      <c r="S337" s="21">
        <f t="shared" si="42"/>
        <v>0</v>
      </c>
      <c r="T337" s="21">
        <f t="shared" si="43"/>
        <v>0</v>
      </c>
      <c r="U337" s="21">
        <f t="shared" si="44"/>
        <v>0</v>
      </c>
      <c r="V337" s="21">
        <f t="shared" si="45"/>
        <v>0</v>
      </c>
      <c r="W337" s="21">
        <f t="shared" si="46"/>
        <v>0</v>
      </c>
      <c r="X337" s="21">
        <f t="shared" si="47"/>
        <v>0</v>
      </c>
      <c r="Y337" s="21">
        <f t="shared" si="48"/>
        <v>0</v>
      </c>
    </row>
    <row r="338" spans="1:26" x14ac:dyDescent="0.3">
      <c r="A338" s="13" t="s">
        <v>188</v>
      </c>
      <c r="B338" s="13" t="s">
        <v>701</v>
      </c>
      <c r="C338" s="13" t="s">
        <v>191</v>
      </c>
      <c r="D338" s="13" t="s">
        <v>191</v>
      </c>
      <c r="E338" s="17">
        <v>90302</v>
      </c>
      <c r="F338" s="17">
        <v>8560</v>
      </c>
      <c r="G338" s="17">
        <v>8742</v>
      </c>
      <c r="H338" s="17">
        <v>8924</v>
      </c>
      <c r="I338" s="17">
        <v>9469</v>
      </c>
      <c r="J338" s="17">
        <v>9650</v>
      </c>
      <c r="K338" s="17">
        <v>9832</v>
      </c>
      <c r="L338" s="13">
        <v>0</v>
      </c>
      <c r="M338" s="13">
        <v>0</v>
      </c>
      <c r="N338" s="13">
        <v>0</v>
      </c>
      <c r="O338" s="13">
        <v>1</v>
      </c>
      <c r="P338" s="13">
        <v>0</v>
      </c>
      <c r="Q338" s="13">
        <v>0</v>
      </c>
      <c r="R338" s="21">
        <f t="shared" si="41"/>
        <v>0</v>
      </c>
      <c r="S338" s="21">
        <f t="shared" si="42"/>
        <v>0</v>
      </c>
      <c r="T338" s="21">
        <f t="shared" si="43"/>
        <v>0</v>
      </c>
      <c r="U338" s="21">
        <f t="shared" si="44"/>
        <v>10.560777273207307</v>
      </c>
      <c r="V338" s="21">
        <f t="shared" si="45"/>
        <v>0</v>
      </c>
      <c r="W338" s="21">
        <f t="shared" si="46"/>
        <v>0</v>
      </c>
      <c r="X338" s="21">
        <f t="shared" si="47"/>
        <v>0</v>
      </c>
      <c r="Y338" s="21">
        <f t="shared" si="48"/>
        <v>3.5202590910691023</v>
      </c>
    </row>
    <row r="339" spans="1:26" x14ac:dyDescent="0.3">
      <c r="A339" s="13" t="s">
        <v>188</v>
      </c>
      <c r="B339" s="13" t="s">
        <v>701</v>
      </c>
      <c r="C339" s="13" t="s">
        <v>703</v>
      </c>
      <c r="D339" s="13" t="s">
        <v>703</v>
      </c>
      <c r="E339" s="17">
        <v>90303</v>
      </c>
      <c r="F339" s="17">
        <v>9201</v>
      </c>
      <c r="G339" s="17">
        <v>9390</v>
      </c>
      <c r="H339" s="17">
        <v>9579</v>
      </c>
      <c r="I339" s="17">
        <v>10145</v>
      </c>
      <c r="J339" s="17">
        <v>10333</v>
      </c>
      <c r="K339" s="17">
        <v>10522</v>
      </c>
      <c r="L339" s="13">
        <v>0</v>
      </c>
      <c r="M339" s="13">
        <v>0</v>
      </c>
      <c r="N339" s="13">
        <v>0</v>
      </c>
      <c r="O339" s="13">
        <v>2</v>
      </c>
      <c r="P339" s="13">
        <v>0</v>
      </c>
      <c r="Q339" s="13">
        <v>0</v>
      </c>
      <c r="R339" s="21">
        <f t="shared" si="41"/>
        <v>0</v>
      </c>
      <c r="S339" s="21">
        <f t="shared" si="42"/>
        <v>0</v>
      </c>
      <c r="T339" s="21">
        <f t="shared" si="43"/>
        <v>0</v>
      </c>
      <c r="U339" s="21">
        <f t="shared" si="44"/>
        <v>19.714144898965007</v>
      </c>
      <c r="V339" s="21">
        <f t="shared" si="45"/>
        <v>0</v>
      </c>
      <c r="W339" s="21">
        <f t="shared" si="46"/>
        <v>0</v>
      </c>
      <c r="X339" s="21">
        <f t="shared" si="47"/>
        <v>0</v>
      </c>
      <c r="Y339" s="21">
        <f t="shared" si="48"/>
        <v>6.5713816329883352</v>
      </c>
    </row>
    <row r="340" spans="1:26" x14ac:dyDescent="0.3">
      <c r="A340" s="13" t="s">
        <v>188</v>
      </c>
      <c r="B340" s="13" t="s">
        <v>704</v>
      </c>
      <c r="C340" s="13" t="s">
        <v>185</v>
      </c>
      <c r="D340" s="13" t="s">
        <v>185</v>
      </c>
      <c r="E340" s="17">
        <v>90401</v>
      </c>
      <c r="F340" s="17">
        <v>2601</v>
      </c>
      <c r="G340" s="17">
        <v>2642</v>
      </c>
      <c r="H340" s="17">
        <v>2683</v>
      </c>
      <c r="I340" s="17">
        <v>2807</v>
      </c>
      <c r="J340" s="17">
        <v>2848</v>
      </c>
      <c r="K340" s="17">
        <v>2889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21">
        <f t="shared" si="41"/>
        <v>0</v>
      </c>
      <c r="S340" s="21">
        <f t="shared" si="42"/>
        <v>0</v>
      </c>
      <c r="T340" s="21">
        <f t="shared" si="43"/>
        <v>0</v>
      </c>
      <c r="U340" s="21">
        <f t="shared" si="44"/>
        <v>0</v>
      </c>
      <c r="V340" s="21">
        <f t="shared" si="45"/>
        <v>0</v>
      </c>
      <c r="W340" s="21">
        <f t="shared" si="46"/>
        <v>0</v>
      </c>
      <c r="X340" s="21">
        <f t="shared" si="47"/>
        <v>0</v>
      </c>
      <c r="Y340" s="21">
        <f t="shared" si="48"/>
        <v>0</v>
      </c>
    </row>
    <row r="341" spans="1:26" x14ac:dyDescent="0.3">
      <c r="A341" s="13" t="s">
        <v>188</v>
      </c>
      <c r="B341" s="13" t="s">
        <v>704</v>
      </c>
      <c r="C341" s="13" t="s">
        <v>481</v>
      </c>
      <c r="D341" s="13" t="s">
        <v>481</v>
      </c>
      <c r="E341" s="17">
        <v>90402</v>
      </c>
      <c r="F341" s="17">
        <v>2048</v>
      </c>
      <c r="G341" s="17">
        <v>2127</v>
      </c>
      <c r="H341" s="17">
        <v>2206</v>
      </c>
      <c r="I341" s="17">
        <v>2442</v>
      </c>
      <c r="J341" s="17">
        <v>2521</v>
      </c>
      <c r="K341" s="17">
        <v>2600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21">
        <f t="shared" si="41"/>
        <v>0</v>
      </c>
      <c r="S341" s="21">
        <f t="shared" si="42"/>
        <v>0</v>
      </c>
      <c r="T341" s="21">
        <f t="shared" si="43"/>
        <v>0</v>
      </c>
      <c r="U341" s="21">
        <f t="shared" si="44"/>
        <v>0</v>
      </c>
      <c r="V341" s="21">
        <f t="shared" si="45"/>
        <v>0</v>
      </c>
      <c r="W341" s="21">
        <f t="shared" si="46"/>
        <v>0</v>
      </c>
      <c r="X341" s="21">
        <f t="shared" si="47"/>
        <v>0</v>
      </c>
      <c r="Y341" s="21">
        <f t="shared" si="48"/>
        <v>0</v>
      </c>
    </row>
    <row r="342" spans="1:26" x14ac:dyDescent="0.3">
      <c r="A342" s="13" t="s">
        <v>188</v>
      </c>
      <c r="B342" s="13" t="s">
        <v>705</v>
      </c>
      <c r="C342" s="13" t="s">
        <v>706</v>
      </c>
      <c r="D342" s="13" t="s">
        <v>706</v>
      </c>
      <c r="E342" s="17">
        <v>90501</v>
      </c>
      <c r="F342" s="17">
        <v>1872</v>
      </c>
      <c r="G342" s="17">
        <v>1833</v>
      </c>
      <c r="H342" s="17">
        <v>1794</v>
      </c>
      <c r="I342" s="17">
        <v>1676</v>
      </c>
      <c r="J342" s="17">
        <v>1637</v>
      </c>
      <c r="K342" s="17">
        <v>1598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  <c r="R342" s="21">
        <f t="shared" si="41"/>
        <v>0</v>
      </c>
      <c r="S342" s="21">
        <f t="shared" si="42"/>
        <v>0</v>
      </c>
      <c r="T342" s="21">
        <f t="shared" si="43"/>
        <v>0</v>
      </c>
      <c r="U342" s="21">
        <f t="shared" si="44"/>
        <v>0</v>
      </c>
      <c r="V342" s="21">
        <f t="shared" si="45"/>
        <v>0</v>
      </c>
      <c r="W342" s="21">
        <f t="shared" si="46"/>
        <v>0</v>
      </c>
      <c r="X342" s="21">
        <f t="shared" si="47"/>
        <v>0</v>
      </c>
      <c r="Y342" s="21">
        <f t="shared" si="48"/>
        <v>0</v>
      </c>
    </row>
    <row r="343" spans="1:26" x14ac:dyDescent="0.3">
      <c r="A343" s="13" t="s">
        <v>188</v>
      </c>
      <c r="B343" s="13" t="s">
        <v>705</v>
      </c>
      <c r="C343" s="13" t="s">
        <v>707</v>
      </c>
      <c r="D343" s="13" t="s">
        <v>708</v>
      </c>
      <c r="E343" s="17">
        <v>90502</v>
      </c>
      <c r="F343" s="17">
        <v>2680</v>
      </c>
      <c r="G343" s="17">
        <v>2656</v>
      </c>
      <c r="H343" s="17">
        <v>2632</v>
      </c>
      <c r="I343" s="17">
        <v>2559</v>
      </c>
      <c r="J343" s="17">
        <v>2535</v>
      </c>
      <c r="K343" s="17">
        <v>2511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  <c r="R343" s="21">
        <f t="shared" si="41"/>
        <v>0</v>
      </c>
      <c r="S343" s="21">
        <f t="shared" si="42"/>
        <v>0</v>
      </c>
      <c r="T343" s="21">
        <f t="shared" si="43"/>
        <v>0</v>
      </c>
      <c r="U343" s="21">
        <f t="shared" si="44"/>
        <v>0</v>
      </c>
      <c r="V343" s="21">
        <f t="shared" si="45"/>
        <v>0</v>
      </c>
      <c r="W343" s="21">
        <f t="shared" si="46"/>
        <v>0</v>
      </c>
      <c r="X343" s="21">
        <f t="shared" si="47"/>
        <v>0</v>
      </c>
      <c r="Y343" s="21">
        <f t="shared" si="48"/>
        <v>0</v>
      </c>
    </row>
    <row r="344" spans="1:26" x14ac:dyDescent="0.3">
      <c r="A344" s="13" t="s">
        <v>188</v>
      </c>
      <c r="B344" s="13" t="s">
        <v>705</v>
      </c>
      <c r="C344" s="13" t="s">
        <v>709</v>
      </c>
      <c r="D344" s="13" t="s">
        <v>709</v>
      </c>
      <c r="E344" s="17">
        <v>90503</v>
      </c>
      <c r="F344" s="17">
        <v>2241</v>
      </c>
      <c r="G344" s="17">
        <v>2256</v>
      </c>
      <c r="H344" s="17">
        <v>2271</v>
      </c>
      <c r="I344" s="17">
        <v>2317</v>
      </c>
      <c r="J344" s="17">
        <v>2332</v>
      </c>
      <c r="K344" s="17">
        <v>2347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21">
        <f t="shared" si="41"/>
        <v>0</v>
      </c>
      <c r="S344" s="21">
        <f t="shared" si="42"/>
        <v>0</v>
      </c>
      <c r="T344" s="21">
        <f t="shared" si="43"/>
        <v>0</v>
      </c>
      <c r="U344" s="21">
        <f t="shared" si="44"/>
        <v>0</v>
      </c>
      <c r="V344" s="21">
        <f t="shared" si="45"/>
        <v>0</v>
      </c>
      <c r="W344" s="21">
        <f t="shared" si="46"/>
        <v>0</v>
      </c>
      <c r="X344" s="21">
        <f t="shared" si="47"/>
        <v>0</v>
      </c>
      <c r="Y344" s="21">
        <f t="shared" si="48"/>
        <v>0</v>
      </c>
    </row>
    <row r="346" spans="1:26" x14ac:dyDescent="0.3">
      <c r="W346" t="s">
        <v>746</v>
      </c>
      <c r="X346" s="20">
        <f>AVERAGE(X2:X344)</f>
        <v>2.3475684563282262</v>
      </c>
      <c r="Y346" t="s">
        <v>748</v>
      </c>
      <c r="Z346">
        <f>X347/4</f>
        <v>1.041512465082661</v>
      </c>
    </row>
    <row r="347" spans="1:26" x14ac:dyDescent="0.3">
      <c r="W347" t="s">
        <v>747</v>
      </c>
      <c r="X347" s="20">
        <f>STDEVA(X2:X344)</f>
        <v>4.1660498603306442</v>
      </c>
      <c r="Y347" t="s">
        <v>749</v>
      </c>
      <c r="Z347" s="20">
        <f>X346-Z346</f>
        <v>1.3060559912455652</v>
      </c>
    </row>
    <row r="348" spans="1:26" x14ac:dyDescent="0.3">
      <c r="W348" t="s">
        <v>710</v>
      </c>
      <c r="X348" s="20">
        <f>MAX(X2:X344)</f>
        <v>26.723365498859611</v>
      </c>
      <c r="Y348" t="s">
        <v>750</v>
      </c>
      <c r="Z348" s="20">
        <f>X346+Z346</f>
        <v>3.389080921410887</v>
      </c>
    </row>
    <row r="350" spans="1:26" x14ac:dyDescent="0.3">
      <c r="W350" t="s">
        <v>751</v>
      </c>
      <c r="X350" t="s">
        <v>752</v>
      </c>
      <c r="Y350" t="s">
        <v>753</v>
      </c>
      <c r="Z350" t="s">
        <v>754</v>
      </c>
    </row>
    <row r="351" spans="1:26" x14ac:dyDescent="0.3">
      <c r="W351" t="s">
        <v>755</v>
      </c>
      <c r="X351" t="s">
        <v>756</v>
      </c>
      <c r="Y351" t="s">
        <v>757</v>
      </c>
      <c r="Z351" t="s">
        <v>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36420-E73D-46A3-90EC-B2C0A39DD9C0}">
  <dimension ref="A1:D344"/>
  <sheetViews>
    <sheetView workbookViewId="0">
      <selection activeCell="D344" sqref="C2:D344"/>
    </sheetView>
  </sheetViews>
  <sheetFormatPr baseColWidth="10" defaultRowHeight="14.4" x14ac:dyDescent="0.3"/>
  <cols>
    <col min="2" max="2" width="36.44140625" bestFit="1" customWidth="1"/>
    <col min="3" max="4" width="24.33203125" style="20" customWidth="1"/>
  </cols>
  <sheetData>
    <row r="1" spans="1:4" ht="28.8" x14ac:dyDescent="0.3">
      <c r="A1" s="22" t="s">
        <v>732</v>
      </c>
      <c r="B1" s="22" t="s">
        <v>422</v>
      </c>
      <c r="C1" s="31" t="s">
        <v>730</v>
      </c>
      <c r="D1" s="31" t="s">
        <v>731</v>
      </c>
    </row>
    <row r="2" spans="1:4" x14ac:dyDescent="0.3">
      <c r="A2" s="17">
        <v>10101</v>
      </c>
      <c r="B2" s="13" t="s">
        <v>11</v>
      </c>
      <c r="C2" s="21">
        <v>5.2663441199555852</v>
      </c>
      <c r="D2" s="21">
        <v>2.2747908592617554</v>
      </c>
    </row>
    <row r="3" spans="1:4" x14ac:dyDescent="0.3">
      <c r="A3" s="17">
        <v>10102</v>
      </c>
      <c r="B3" s="13" t="s">
        <v>22</v>
      </c>
      <c r="C3" s="21">
        <v>0</v>
      </c>
      <c r="D3" s="21">
        <v>3.5880875493362043</v>
      </c>
    </row>
    <row r="4" spans="1:4" x14ac:dyDescent="0.3">
      <c r="A4" s="17">
        <v>10103</v>
      </c>
      <c r="B4" s="13" t="s">
        <v>19</v>
      </c>
      <c r="C4" s="21">
        <v>4.3830659418900746</v>
      </c>
      <c r="D4" s="21">
        <v>2.3590469450342062</v>
      </c>
    </row>
    <row r="5" spans="1:4" x14ac:dyDescent="0.3">
      <c r="A5" s="17">
        <v>10201</v>
      </c>
      <c r="B5" s="13" t="s">
        <v>427</v>
      </c>
      <c r="C5" s="21">
        <v>0</v>
      </c>
      <c r="D5" s="21">
        <v>0</v>
      </c>
    </row>
    <row r="6" spans="1:4" x14ac:dyDescent="0.3">
      <c r="A6" s="17">
        <v>10202</v>
      </c>
      <c r="B6" s="13" t="s">
        <v>23</v>
      </c>
      <c r="C6" s="21">
        <v>0</v>
      </c>
      <c r="D6" s="21">
        <v>0</v>
      </c>
    </row>
    <row r="7" spans="1:4" x14ac:dyDescent="0.3">
      <c r="A7" s="17">
        <v>10301</v>
      </c>
      <c r="B7" s="13" t="s">
        <v>430</v>
      </c>
      <c r="C7" s="21">
        <v>0</v>
      </c>
      <c r="D7" s="21">
        <v>0</v>
      </c>
    </row>
    <row r="8" spans="1:4" x14ac:dyDescent="0.3">
      <c r="A8" s="17">
        <v>10302</v>
      </c>
      <c r="B8" s="13" t="s">
        <v>432</v>
      </c>
      <c r="C8" s="21">
        <v>0</v>
      </c>
      <c r="D8" s="21">
        <v>0</v>
      </c>
    </row>
    <row r="9" spans="1:4" x14ac:dyDescent="0.3">
      <c r="A9" s="17">
        <v>10303</v>
      </c>
      <c r="B9" s="13" t="s">
        <v>433</v>
      </c>
      <c r="C9" s="21">
        <v>0</v>
      </c>
      <c r="D9" s="21">
        <v>0</v>
      </c>
    </row>
    <row r="10" spans="1:4" x14ac:dyDescent="0.3">
      <c r="A10" s="17">
        <v>10304</v>
      </c>
      <c r="B10" s="13" t="s">
        <v>435</v>
      </c>
      <c r="C10" s="21">
        <v>0</v>
      </c>
      <c r="D10" s="21">
        <v>0</v>
      </c>
    </row>
    <row r="11" spans="1:4" x14ac:dyDescent="0.3">
      <c r="A11" s="17">
        <v>10401</v>
      </c>
      <c r="B11" s="13" t="s">
        <v>15</v>
      </c>
      <c r="C11" s="21">
        <v>3.4055305816646233</v>
      </c>
      <c r="D11" s="21">
        <v>3.6263417464461849</v>
      </c>
    </row>
    <row r="12" spans="1:4" x14ac:dyDescent="0.3">
      <c r="A12" s="17">
        <v>10402</v>
      </c>
      <c r="B12" s="13" t="s">
        <v>436</v>
      </c>
      <c r="C12" s="21">
        <v>0</v>
      </c>
      <c r="D12" s="21">
        <v>0</v>
      </c>
    </row>
    <row r="13" spans="1:4" x14ac:dyDescent="0.3">
      <c r="A13" s="17">
        <v>10403</v>
      </c>
      <c r="B13" s="13" t="s">
        <v>21</v>
      </c>
      <c r="C13" s="21">
        <v>0</v>
      </c>
      <c r="D13" s="21">
        <v>0</v>
      </c>
    </row>
    <row r="14" spans="1:4" x14ac:dyDescent="0.3">
      <c r="A14" s="17">
        <v>10404</v>
      </c>
      <c r="B14" s="13" t="s">
        <v>439</v>
      </c>
      <c r="C14" s="21">
        <v>0</v>
      </c>
      <c r="D14" s="21">
        <v>0</v>
      </c>
    </row>
    <row r="15" spans="1:4" x14ac:dyDescent="0.3">
      <c r="A15" s="17">
        <v>10405</v>
      </c>
      <c r="B15" s="13" t="s">
        <v>441</v>
      </c>
      <c r="C15" s="21">
        <v>0</v>
      </c>
      <c r="D15" s="21">
        <v>0</v>
      </c>
    </row>
    <row r="16" spans="1:4" x14ac:dyDescent="0.3">
      <c r="A16" s="17">
        <v>10501</v>
      </c>
      <c r="B16" s="13" t="s">
        <v>12</v>
      </c>
      <c r="C16" s="21">
        <v>1.3658963011528165</v>
      </c>
      <c r="D16" s="21">
        <v>2.7193130102243308</v>
      </c>
    </row>
    <row r="17" spans="1:4" x14ac:dyDescent="0.3">
      <c r="A17" s="17">
        <v>10502</v>
      </c>
      <c r="B17" s="13" t="s">
        <v>443</v>
      </c>
      <c r="C17" s="21">
        <v>0</v>
      </c>
      <c r="D17" s="21">
        <v>0</v>
      </c>
    </row>
    <row r="18" spans="1:4" x14ac:dyDescent="0.3">
      <c r="A18" s="17">
        <v>10601</v>
      </c>
      <c r="B18" s="13" t="s">
        <v>444</v>
      </c>
      <c r="C18" s="21">
        <v>0</v>
      </c>
      <c r="D18" s="21">
        <v>0</v>
      </c>
    </row>
    <row r="19" spans="1:4" x14ac:dyDescent="0.3">
      <c r="A19" s="17">
        <v>10602</v>
      </c>
      <c r="B19" s="13" t="s">
        <v>20</v>
      </c>
      <c r="C19" s="21">
        <v>0</v>
      </c>
      <c r="D19" s="21">
        <v>3.9308176100628933</v>
      </c>
    </row>
    <row r="20" spans="1:4" x14ac:dyDescent="0.3">
      <c r="A20" s="17">
        <v>10701</v>
      </c>
      <c r="B20" s="13" t="s">
        <v>14</v>
      </c>
      <c r="C20" s="21">
        <v>4.3698654081454293</v>
      </c>
      <c r="D20" s="21">
        <v>4.5075215252171636</v>
      </c>
    </row>
    <row r="21" spans="1:4" x14ac:dyDescent="0.3">
      <c r="A21" s="17">
        <v>10702</v>
      </c>
      <c r="B21" s="13" t="s">
        <v>13</v>
      </c>
      <c r="C21" s="21">
        <v>1.1073829219405777</v>
      </c>
      <c r="D21" s="21">
        <v>2.4296436704434883</v>
      </c>
    </row>
    <row r="22" spans="1:4" x14ac:dyDescent="0.3">
      <c r="A22" s="17">
        <v>10703</v>
      </c>
      <c r="B22" s="13" t="s">
        <v>17</v>
      </c>
      <c r="C22" s="21">
        <v>0</v>
      </c>
      <c r="D22" s="21">
        <v>4.044325810887325</v>
      </c>
    </row>
    <row r="23" spans="1:4" x14ac:dyDescent="0.3">
      <c r="A23" s="17">
        <v>10704</v>
      </c>
      <c r="B23" s="13" t="s">
        <v>24</v>
      </c>
      <c r="C23" s="21">
        <v>0</v>
      </c>
      <c r="D23" s="21">
        <v>2.3087223530498222</v>
      </c>
    </row>
    <row r="24" spans="1:4" x14ac:dyDescent="0.3">
      <c r="A24" s="17">
        <v>10801</v>
      </c>
      <c r="B24" s="13" t="s">
        <v>447</v>
      </c>
      <c r="C24" s="21">
        <v>0</v>
      </c>
      <c r="D24" s="21">
        <v>0</v>
      </c>
    </row>
    <row r="25" spans="1:4" x14ac:dyDescent="0.3">
      <c r="A25" s="17">
        <v>10901</v>
      </c>
      <c r="B25" s="13" t="s">
        <v>449</v>
      </c>
      <c r="C25" s="21">
        <v>0</v>
      </c>
      <c r="D25" s="21">
        <v>0</v>
      </c>
    </row>
    <row r="26" spans="1:4" x14ac:dyDescent="0.3">
      <c r="A26" s="17">
        <v>10902</v>
      </c>
      <c r="B26" s="13" t="s">
        <v>16</v>
      </c>
      <c r="C26" s="21">
        <v>0</v>
      </c>
      <c r="D26" s="21">
        <v>0</v>
      </c>
    </row>
    <row r="27" spans="1:4" x14ac:dyDescent="0.3">
      <c r="A27" s="17">
        <v>10903</v>
      </c>
      <c r="B27" s="13" t="s">
        <v>450</v>
      </c>
      <c r="C27" s="21">
        <v>0</v>
      </c>
      <c r="D27" s="21">
        <v>0</v>
      </c>
    </row>
    <row r="28" spans="1:4" x14ac:dyDescent="0.3">
      <c r="A28" s="17">
        <v>11001</v>
      </c>
      <c r="B28" s="13" t="s">
        <v>452</v>
      </c>
      <c r="C28" s="21">
        <v>0</v>
      </c>
      <c r="D28" s="21">
        <v>0</v>
      </c>
    </row>
    <row r="29" spans="1:4" x14ac:dyDescent="0.3">
      <c r="A29" s="17">
        <v>11002</v>
      </c>
      <c r="B29" s="13" t="s">
        <v>453</v>
      </c>
      <c r="C29" s="21">
        <v>0</v>
      </c>
      <c r="D29" s="21">
        <v>0</v>
      </c>
    </row>
    <row r="30" spans="1:4" x14ac:dyDescent="0.3">
      <c r="A30" s="17">
        <v>11003</v>
      </c>
      <c r="B30" s="13" t="s">
        <v>18</v>
      </c>
      <c r="C30" s="21">
        <v>0</v>
      </c>
      <c r="D30" s="21">
        <v>9.1751536838242043</v>
      </c>
    </row>
    <row r="31" spans="1:4" x14ac:dyDescent="0.3">
      <c r="A31" s="17">
        <v>20101</v>
      </c>
      <c r="B31" s="13" t="s">
        <v>457</v>
      </c>
      <c r="C31" s="21">
        <v>5.9917581800331883</v>
      </c>
      <c r="D31" s="21">
        <v>2.4615012291360521</v>
      </c>
    </row>
    <row r="32" spans="1:4" x14ac:dyDescent="0.3">
      <c r="A32" s="17">
        <v>20102</v>
      </c>
      <c r="B32" s="13" t="s">
        <v>217</v>
      </c>
      <c r="C32" s="21">
        <v>1.7382839660686971</v>
      </c>
      <c r="D32" s="21">
        <v>0</v>
      </c>
    </row>
    <row r="33" spans="1:4" x14ac:dyDescent="0.3">
      <c r="A33" s="17">
        <v>20103</v>
      </c>
      <c r="B33" s="13" t="s">
        <v>52</v>
      </c>
      <c r="C33" s="21">
        <v>1.8772996921228504</v>
      </c>
      <c r="D33" s="21">
        <v>1.6940251732140741</v>
      </c>
    </row>
    <row r="34" spans="1:4" x14ac:dyDescent="0.3">
      <c r="A34" s="17">
        <v>20104</v>
      </c>
      <c r="B34" s="13" t="s">
        <v>49</v>
      </c>
      <c r="C34" s="21">
        <v>7.8977905853986181</v>
      </c>
      <c r="D34" s="21">
        <v>0</v>
      </c>
    </row>
    <row r="35" spans="1:4" x14ac:dyDescent="0.3">
      <c r="A35" s="17">
        <v>20105</v>
      </c>
      <c r="B35" s="13" t="s">
        <v>26</v>
      </c>
      <c r="C35" s="21">
        <v>11.780467198309353</v>
      </c>
      <c r="D35" s="21">
        <v>2.9102655749087609</v>
      </c>
    </row>
    <row r="36" spans="1:4" x14ac:dyDescent="0.3">
      <c r="A36" s="17">
        <v>20201</v>
      </c>
      <c r="B36" s="13" t="s">
        <v>30</v>
      </c>
      <c r="C36" s="21">
        <v>3.5690666409112395</v>
      </c>
      <c r="D36" s="21">
        <v>3.5342996046717339</v>
      </c>
    </row>
    <row r="37" spans="1:4" x14ac:dyDescent="0.3">
      <c r="A37" s="17">
        <v>20202</v>
      </c>
      <c r="B37" s="13" t="s">
        <v>223</v>
      </c>
      <c r="C37" s="21">
        <v>2.2155754957350173</v>
      </c>
      <c r="D37" s="21">
        <v>0</v>
      </c>
    </row>
    <row r="38" spans="1:4" x14ac:dyDescent="0.3">
      <c r="A38" s="17">
        <v>20203</v>
      </c>
      <c r="B38" s="13" t="s">
        <v>225</v>
      </c>
      <c r="C38" s="21">
        <v>0</v>
      </c>
      <c r="D38" s="21">
        <v>0</v>
      </c>
    </row>
    <row r="39" spans="1:4" x14ac:dyDescent="0.3">
      <c r="A39" s="17">
        <v>20204</v>
      </c>
      <c r="B39" s="13" t="s">
        <v>460</v>
      </c>
      <c r="C39" s="21">
        <v>0</v>
      </c>
      <c r="D39" s="21">
        <v>0</v>
      </c>
    </row>
    <row r="40" spans="1:4" x14ac:dyDescent="0.3">
      <c r="A40" s="17">
        <v>20205</v>
      </c>
      <c r="B40" s="13" t="s">
        <v>461</v>
      </c>
      <c r="C40" s="21">
        <v>0</v>
      </c>
      <c r="D40" s="21">
        <v>10.767739851405191</v>
      </c>
    </row>
    <row r="41" spans="1:4" x14ac:dyDescent="0.3">
      <c r="A41" s="17">
        <v>20206</v>
      </c>
      <c r="B41" s="13" t="s">
        <v>462</v>
      </c>
      <c r="C41" s="21">
        <v>0</v>
      </c>
      <c r="D41" s="21">
        <v>0</v>
      </c>
    </row>
    <row r="42" spans="1:4" x14ac:dyDescent="0.3">
      <c r="A42" s="17">
        <v>20301</v>
      </c>
      <c r="B42" s="13" t="s">
        <v>39</v>
      </c>
      <c r="C42" s="21">
        <v>2.8112788507492059</v>
      </c>
      <c r="D42" s="21">
        <v>2.4598430620126437</v>
      </c>
    </row>
    <row r="43" spans="1:4" x14ac:dyDescent="0.3">
      <c r="A43" s="17">
        <v>20302</v>
      </c>
      <c r="B43" s="13" t="s">
        <v>228</v>
      </c>
      <c r="C43" s="21">
        <v>2.1926939437793274</v>
      </c>
      <c r="D43" s="21">
        <v>0</v>
      </c>
    </row>
    <row r="44" spans="1:4" x14ac:dyDescent="0.3">
      <c r="A44" s="17">
        <v>20303</v>
      </c>
      <c r="B44" s="13" t="s">
        <v>465</v>
      </c>
      <c r="C44" s="21">
        <v>0</v>
      </c>
      <c r="D44" s="21">
        <v>0</v>
      </c>
    </row>
    <row r="45" spans="1:4" x14ac:dyDescent="0.3">
      <c r="A45" s="17">
        <v>20304</v>
      </c>
      <c r="B45" s="13" t="s">
        <v>466</v>
      </c>
      <c r="C45" s="21">
        <v>0</v>
      </c>
      <c r="D45" s="21">
        <v>0</v>
      </c>
    </row>
    <row r="46" spans="1:4" x14ac:dyDescent="0.3">
      <c r="A46" s="17">
        <v>20305</v>
      </c>
      <c r="B46" s="13" t="s">
        <v>230</v>
      </c>
      <c r="C46" s="21">
        <v>8.7374399301004804</v>
      </c>
      <c r="D46" s="21">
        <v>0</v>
      </c>
    </row>
    <row r="47" spans="1:4" x14ac:dyDescent="0.3">
      <c r="A47" s="17">
        <v>20306</v>
      </c>
      <c r="B47" s="13" t="s">
        <v>58</v>
      </c>
      <c r="C47" s="21">
        <v>0</v>
      </c>
      <c r="D47" s="21">
        <v>0</v>
      </c>
    </row>
    <row r="48" spans="1:4" x14ac:dyDescent="0.3">
      <c r="A48" s="17">
        <v>20307</v>
      </c>
      <c r="B48" s="13" t="s">
        <v>61</v>
      </c>
      <c r="C48" s="21">
        <v>0</v>
      </c>
      <c r="D48" s="21">
        <v>0</v>
      </c>
    </row>
    <row r="49" spans="1:4" x14ac:dyDescent="0.3">
      <c r="A49" s="17">
        <v>20308</v>
      </c>
      <c r="B49" s="13" t="s">
        <v>467</v>
      </c>
      <c r="C49" s="21">
        <v>4.3149946062567421</v>
      </c>
      <c r="D49" s="21">
        <v>0</v>
      </c>
    </row>
    <row r="50" spans="1:4" x14ac:dyDescent="0.3">
      <c r="A50" s="17">
        <v>20401</v>
      </c>
      <c r="B50" s="13" t="s">
        <v>66</v>
      </c>
      <c r="C50" s="21">
        <v>0</v>
      </c>
      <c r="D50" s="21">
        <v>2.4180872929512756</v>
      </c>
    </row>
    <row r="51" spans="1:4" x14ac:dyDescent="0.3">
      <c r="A51" s="17">
        <v>20402</v>
      </c>
      <c r="B51" s="13" t="s">
        <v>469</v>
      </c>
      <c r="C51" s="21">
        <v>0</v>
      </c>
      <c r="D51" s="21">
        <v>0</v>
      </c>
    </row>
    <row r="52" spans="1:4" x14ac:dyDescent="0.3">
      <c r="A52" s="17">
        <v>20403</v>
      </c>
      <c r="B52" s="13" t="s">
        <v>470</v>
      </c>
      <c r="C52" s="21">
        <v>0</v>
      </c>
      <c r="D52" s="21">
        <v>0</v>
      </c>
    </row>
    <row r="53" spans="1:4" x14ac:dyDescent="0.3">
      <c r="A53" s="17">
        <v>20404</v>
      </c>
      <c r="B53" s="13" t="s">
        <v>472</v>
      </c>
      <c r="C53" s="21">
        <v>0</v>
      </c>
      <c r="D53" s="21">
        <v>0</v>
      </c>
    </row>
    <row r="54" spans="1:4" x14ac:dyDescent="0.3">
      <c r="A54" s="17">
        <v>20405</v>
      </c>
      <c r="B54" s="13" t="s">
        <v>473</v>
      </c>
      <c r="C54" s="21">
        <v>0</v>
      </c>
      <c r="D54" s="21">
        <v>0</v>
      </c>
    </row>
    <row r="55" spans="1:4" x14ac:dyDescent="0.3">
      <c r="A55" s="17">
        <v>20501</v>
      </c>
      <c r="B55" s="13" t="s">
        <v>475</v>
      </c>
      <c r="C55" s="21">
        <v>0</v>
      </c>
      <c r="D55" s="21">
        <v>0</v>
      </c>
    </row>
    <row r="56" spans="1:4" x14ac:dyDescent="0.3">
      <c r="A56" s="17">
        <v>20502</v>
      </c>
      <c r="B56" s="13" t="s">
        <v>67</v>
      </c>
      <c r="C56" s="21">
        <v>0</v>
      </c>
      <c r="D56" s="21">
        <v>3.7344088430801405</v>
      </c>
    </row>
    <row r="57" spans="1:4" x14ac:dyDescent="0.3">
      <c r="A57" s="17">
        <v>20503</v>
      </c>
      <c r="B57" s="13" t="s">
        <v>476</v>
      </c>
      <c r="C57" s="21">
        <v>0</v>
      </c>
      <c r="D57" s="21">
        <v>0</v>
      </c>
    </row>
    <row r="58" spans="1:4" x14ac:dyDescent="0.3">
      <c r="A58" s="17">
        <v>20601</v>
      </c>
      <c r="B58" s="13" t="s">
        <v>44</v>
      </c>
      <c r="C58" s="21">
        <v>1.2698412698412698</v>
      </c>
      <c r="D58" s="21">
        <v>0</v>
      </c>
    </row>
    <row r="59" spans="1:4" x14ac:dyDescent="0.3">
      <c r="A59" s="17">
        <v>20602</v>
      </c>
      <c r="B59" s="13" t="s">
        <v>237</v>
      </c>
      <c r="C59" s="21">
        <v>2.1204410517387617</v>
      </c>
      <c r="D59" s="21">
        <v>0</v>
      </c>
    </row>
    <row r="60" spans="1:4" x14ac:dyDescent="0.3">
      <c r="A60" s="17">
        <v>20603</v>
      </c>
      <c r="B60" s="13" t="s">
        <v>60</v>
      </c>
      <c r="C60" s="21">
        <v>0</v>
      </c>
      <c r="D60" s="21">
        <v>0</v>
      </c>
    </row>
    <row r="61" spans="1:4" x14ac:dyDescent="0.3">
      <c r="A61" s="17">
        <v>20604</v>
      </c>
      <c r="B61" s="13" t="s">
        <v>240</v>
      </c>
      <c r="C61" s="21">
        <v>9.6506465933217509</v>
      </c>
      <c r="D61" s="21">
        <v>0</v>
      </c>
    </row>
    <row r="62" spans="1:4" x14ac:dyDescent="0.3">
      <c r="A62" s="17">
        <v>20605</v>
      </c>
      <c r="B62" s="13" t="s">
        <v>478</v>
      </c>
      <c r="C62" s="21">
        <v>0</v>
      </c>
      <c r="D62" s="21">
        <v>0</v>
      </c>
    </row>
    <row r="63" spans="1:4" x14ac:dyDescent="0.3">
      <c r="A63" s="17">
        <v>20606</v>
      </c>
      <c r="B63" s="13" t="s">
        <v>479</v>
      </c>
      <c r="C63" s="21">
        <v>0</v>
      </c>
      <c r="D63" s="21">
        <v>0</v>
      </c>
    </row>
    <row r="64" spans="1:4" x14ac:dyDescent="0.3">
      <c r="A64" s="17">
        <v>20607</v>
      </c>
      <c r="B64" s="13" t="s">
        <v>242</v>
      </c>
      <c r="C64" s="21">
        <v>5.7407046488204125</v>
      </c>
      <c r="D64" s="21">
        <v>0</v>
      </c>
    </row>
    <row r="65" spans="1:4" x14ac:dyDescent="0.3">
      <c r="A65" s="17">
        <v>20608</v>
      </c>
      <c r="B65" s="13" t="s">
        <v>244</v>
      </c>
      <c r="C65" s="21">
        <v>2.8490028490028489</v>
      </c>
      <c r="D65" s="21">
        <v>0</v>
      </c>
    </row>
    <row r="66" spans="1:4" x14ac:dyDescent="0.3">
      <c r="A66" s="17">
        <v>20701</v>
      </c>
      <c r="B66" s="13" t="s">
        <v>57</v>
      </c>
      <c r="C66" s="21">
        <v>0</v>
      </c>
      <c r="D66" s="21">
        <v>0</v>
      </c>
    </row>
    <row r="67" spans="1:4" x14ac:dyDescent="0.3">
      <c r="A67" s="17">
        <v>20702</v>
      </c>
      <c r="B67" s="13" t="s">
        <v>56</v>
      </c>
      <c r="C67" s="21">
        <v>0</v>
      </c>
      <c r="D67" s="21">
        <v>3.8402457757296466</v>
      </c>
    </row>
    <row r="68" spans="1:4" x14ac:dyDescent="0.3">
      <c r="A68" s="17">
        <v>20801</v>
      </c>
      <c r="B68" s="13" t="s">
        <v>27</v>
      </c>
      <c r="C68" s="21">
        <v>11.447681039086911</v>
      </c>
      <c r="D68" s="21">
        <v>5.1309195635287299</v>
      </c>
    </row>
    <row r="69" spans="1:4" x14ac:dyDescent="0.3">
      <c r="A69" s="17">
        <v>20802</v>
      </c>
      <c r="B69" s="13" t="s">
        <v>482</v>
      </c>
      <c r="C69" s="21">
        <v>0</v>
      </c>
      <c r="D69" s="21">
        <v>0</v>
      </c>
    </row>
    <row r="70" spans="1:4" x14ac:dyDescent="0.3">
      <c r="A70" s="17">
        <v>20803</v>
      </c>
      <c r="B70" s="13" t="s">
        <v>50</v>
      </c>
      <c r="C70" s="21">
        <v>2.5801790644270715</v>
      </c>
      <c r="D70" s="21">
        <v>4.8847205939820233</v>
      </c>
    </row>
    <row r="71" spans="1:4" x14ac:dyDescent="0.3">
      <c r="A71" s="17">
        <v>20804</v>
      </c>
      <c r="B71" s="13" t="s">
        <v>31</v>
      </c>
      <c r="C71" s="21">
        <v>13.346689316836105</v>
      </c>
      <c r="D71" s="21">
        <v>16.925066174661037</v>
      </c>
    </row>
    <row r="72" spans="1:4" x14ac:dyDescent="0.3">
      <c r="A72" s="17">
        <v>20805</v>
      </c>
      <c r="B72" s="13" t="s">
        <v>484</v>
      </c>
      <c r="C72" s="21">
        <v>0</v>
      </c>
      <c r="D72" s="21">
        <v>0</v>
      </c>
    </row>
    <row r="73" spans="1:4" x14ac:dyDescent="0.3">
      <c r="A73" s="17">
        <v>20806</v>
      </c>
      <c r="B73" s="13" t="s">
        <v>486</v>
      </c>
      <c r="C73" s="21">
        <v>0</v>
      </c>
      <c r="D73" s="21">
        <v>0</v>
      </c>
    </row>
    <row r="74" spans="1:4" x14ac:dyDescent="0.3">
      <c r="A74" s="17">
        <v>20807</v>
      </c>
      <c r="B74" s="13" t="s">
        <v>488</v>
      </c>
      <c r="C74" s="21">
        <v>0</v>
      </c>
      <c r="D74" s="21">
        <v>0</v>
      </c>
    </row>
    <row r="75" spans="1:4" x14ac:dyDescent="0.3">
      <c r="A75" s="17">
        <v>20901</v>
      </c>
      <c r="B75" s="13" t="s">
        <v>490</v>
      </c>
      <c r="C75" s="21">
        <v>0</v>
      </c>
      <c r="D75" s="21">
        <v>0</v>
      </c>
    </row>
    <row r="76" spans="1:4" x14ac:dyDescent="0.3">
      <c r="A76" s="17">
        <v>20902</v>
      </c>
      <c r="B76" s="13" t="s">
        <v>65</v>
      </c>
      <c r="C76" s="21">
        <v>0</v>
      </c>
      <c r="D76" s="21">
        <v>2.062323413557714</v>
      </c>
    </row>
    <row r="77" spans="1:4" x14ac:dyDescent="0.3">
      <c r="A77" s="17">
        <v>20903</v>
      </c>
      <c r="B77" s="13" t="s">
        <v>491</v>
      </c>
      <c r="C77" s="21">
        <v>0</v>
      </c>
      <c r="D77" s="21">
        <v>0</v>
      </c>
    </row>
    <row r="78" spans="1:4" x14ac:dyDescent="0.3">
      <c r="A78" s="17">
        <v>20904</v>
      </c>
      <c r="B78" s="13" t="s">
        <v>492</v>
      </c>
      <c r="C78" s="21">
        <v>0</v>
      </c>
      <c r="D78" s="21">
        <v>0</v>
      </c>
    </row>
    <row r="79" spans="1:4" x14ac:dyDescent="0.3">
      <c r="A79" s="17">
        <v>20905</v>
      </c>
      <c r="B79" s="13" t="s">
        <v>493</v>
      </c>
      <c r="C79" s="21">
        <v>0</v>
      </c>
      <c r="D79" s="21">
        <v>0</v>
      </c>
    </row>
    <row r="80" spans="1:4" x14ac:dyDescent="0.3">
      <c r="A80" s="17">
        <v>21001</v>
      </c>
      <c r="B80" s="13" t="s">
        <v>252</v>
      </c>
      <c r="C80" s="21">
        <v>1.9575600970949809</v>
      </c>
      <c r="D80" s="21">
        <v>0</v>
      </c>
    </row>
    <row r="81" spans="1:4" x14ac:dyDescent="0.3">
      <c r="A81" s="17">
        <v>21002</v>
      </c>
      <c r="B81" s="13" t="s">
        <v>494</v>
      </c>
      <c r="C81" s="21">
        <v>0</v>
      </c>
      <c r="D81" s="21">
        <v>0</v>
      </c>
    </row>
    <row r="82" spans="1:4" x14ac:dyDescent="0.3">
      <c r="A82" s="17">
        <v>21003</v>
      </c>
      <c r="B82" s="13" t="s">
        <v>47</v>
      </c>
      <c r="C82" s="21">
        <v>0</v>
      </c>
      <c r="D82" s="21">
        <v>4.5308323138960631</v>
      </c>
    </row>
    <row r="83" spans="1:4" x14ac:dyDescent="0.3">
      <c r="A83" s="17">
        <v>21004</v>
      </c>
      <c r="B83" s="13" t="s">
        <v>55</v>
      </c>
      <c r="C83" s="21">
        <v>1.5230436504310214</v>
      </c>
      <c r="D83" s="21">
        <v>0</v>
      </c>
    </row>
    <row r="84" spans="1:4" x14ac:dyDescent="0.3">
      <c r="A84" s="17">
        <v>21005</v>
      </c>
      <c r="B84" s="13" t="s">
        <v>495</v>
      </c>
      <c r="C84" s="21">
        <v>0</v>
      </c>
      <c r="D84" s="21">
        <v>0</v>
      </c>
    </row>
    <row r="85" spans="1:4" x14ac:dyDescent="0.3">
      <c r="A85" s="17">
        <v>21006</v>
      </c>
      <c r="B85" s="13" t="s">
        <v>496</v>
      </c>
      <c r="C85" s="21">
        <v>0</v>
      </c>
      <c r="D85" s="21">
        <v>0</v>
      </c>
    </row>
    <row r="86" spans="1:4" x14ac:dyDescent="0.3">
      <c r="A86" s="17">
        <v>21101</v>
      </c>
      <c r="B86" s="13" t="s">
        <v>37</v>
      </c>
      <c r="C86" s="21">
        <v>7.3938588256270288</v>
      </c>
      <c r="D86" s="21">
        <v>1.8291902174907169</v>
      </c>
    </row>
    <row r="87" spans="1:4" x14ac:dyDescent="0.3">
      <c r="A87" s="17">
        <v>21102</v>
      </c>
      <c r="B87" s="13" t="s">
        <v>59</v>
      </c>
      <c r="C87" s="21">
        <v>0</v>
      </c>
      <c r="D87" s="21">
        <v>1.4961772670826041</v>
      </c>
    </row>
    <row r="88" spans="1:4" x14ac:dyDescent="0.3">
      <c r="A88" s="17">
        <v>21103</v>
      </c>
      <c r="B88" s="13" t="s">
        <v>500</v>
      </c>
      <c r="C88" s="21">
        <v>0</v>
      </c>
      <c r="D88" s="21">
        <v>0</v>
      </c>
    </row>
    <row r="89" spans="1:4" x14ac:dyDescent="0.3">
      <c r="A89" s="17">
        <v>21104</v>
      </c>
      <c r="B89" s="13" t="s">
        <v>53</v>
      </c>
      <c r="C89" s="21">
        <v>3.8460568673766491</v>
      </c>
      <c r="D89" s="21">
        <v>2.4749105938547973</v>
      </c>
    </row>
    <row r="90" spans="1:4" x14ac:dyDescent="0.3">
      <c r="A90" s="17">
        <v>21105</v>
      </c>
      <c r="B90" s="13" t="s">
        <v>40</v>
      </c>
      <c r="C90" s="21">
        <v>3.085018860775707</v>
      </c>
      <c r="D90" s="21">
        <v>2.215657196616212</v>
      </c>
    </row>
    <row r="91" spans="1:4" x14ac:dyDescent="0.3">
      <c r="A91" s="17">
        <v>21201</v>
      </c>
      <c r="B91" s="13" t="s">
        <v>35</v>
      </c>
      <c r="C91" s="21">
        <v>2.5393773687129326</v>
      </c>
      <c r="D91" s="21">
        <v>2.8163467537041202</v>
      </c>
    </row>
    <row r="92" spans="1:4" x14ac:dyDescent="0.3">
      <c r="A92" s="17">
        <v>21202</v>
      </c>
      <c r="B92" s="13" t="s">
        <v>33</v>
      </c>
      <c r="C92" s="21">
        <v>3.1304556713724039</v>
      </c>
      <c r="D92" s="21">
        <v>0.91829894303791659</v>
      </c>
    </row>
    <row r="93" spans="1:4" x14ac:dyDescent="0.3">
      <c r="A93" s="17">
        <v>21203</v>
      </c>
      <c r="B93" s="13" t="s">
        <v>63</v>
      </c>
      <c r="C93" s="21">
        <v>3.5064109699556583</v>
      </c>
      <c r="D93" s="21">
        <v>1.6602746094203982</v>
      </c>
    </row>
    <row r="94" spans="1:4" x14ac:dyDescent="0.3">
      <c r="A94" s="17">
        <v>21204</v>
      </c>
      <c r="B94" s="13" t="s">
        <v>502</v>
      </c>
      <c r="C94" s="21">
        <v>0</v>
      </c>
      <c r="D94" s="21">
        <v>0</v>
      </c>
    </row>
    <row r="95" spans="1:4" x14ac:dyDescent="0.3">
      <c r="A95" s="17">
        <v>21301</v>
      </c>
      <c r="B95" s="13" t="s">
        <v>28</v>
      </c>
      <c r="C95" s="21">
        <v>3.081156029382635</v>
      </c>
      <c r="D95" s="21">
        <v>8.935191910063919</v>
      </c>
    </row>
    <row r="96" spans="1:4" x14ac:dyDescent="0.3">
      <c r="A96" s="17">
        <v>21302</v>
      </c>
      <c r="B96" s="13" t="s">
        <v>45</v>
      </c>
      <c r="C96" s="21">
        <v>3.7094739965872843</v>
      </c>
      <c r="D96" s="21">
        <v>7.3243975683000073</v>
      </c>
    </row>
    <row r="97" spans="1:4" x14ac:dyDescent="0.3">
      <c r="A97" s="17">
        <v>21303</v>
      </c>
      <c r="B97" s="13" t="s">
        <v>505</v>
      </c>
      <c r="C97" s="21">
        <v>0</v>
      </c>
      <c r="D97" s="21">
        <v>0</v>
      </c>
    </row>
    <row r="98" spans="1:4" x14ac:dyDescent="0.3">
      <c r="A98" s="17">
        <v>21304</v>
      </c>
      <c r="B98" s="13" t="s">
        <v>41</v>
      </c>
      <c r="C98" s="21">
        <v>2.4032684450853163</v>
      </c>
      <c r="D98" s="21">
        <v>2.2460301417245021</v>
      </c>
    </row>
    <row r="99" spans="1:4" x14ac:dyDescent="0.3">
      <c r="A99" s="17">
        <v>21305</v>
      </c>
      <c r="B99" s="13" t="s">
        <v>34</v>
      </c>
      <c r="C99" s="21">
        <v>8.3105411933117228</v>
      </c>
      <c r="D99" s="21">
        <v>2.6611170715247323</v>
      </c>
    </row>
    <row r="100" spans="1:4" x14ac:dyDescent="0.3">
      <c r="A100" s="17">
        <v>21306</v>
      </c>
      <c r="B100" s="13" t="s">
        <v>267</v>
      </c>
      <c r="C100" s="21">
        <v>3.0394212941855869</v>
      </c>
      <c r="D100" s="21">
        <v>0</v>
      </c>
    </row>
    <row r="101" spans="1:4" x14ac:dyDescent="0.3">
      <c r="A101" s="17">
        <v>21307</v>
      </c>
      <c r="B101" s="13" t="s">
        <v>54</v>
      </c>
      <c r="C101" s="21">
        <v>12.521913348359631</v>
      </c>
      <c r="D101" s="21">
        <v>0</v>
      </c>
    </row>
    <row r="102" spans="1:4" x14ac:dyDescent="0.3">
      <c r="A102" s="17">
        <v>21401</v>
      </c>
      <c r="B102" s="13" t="s">
        <v>48</v>
      </c>
      <c r="C102" s="21">
        <v>5.7061028753570247</v>
      </c>
      <c r="D102" s="21">
        <v>2.4691152402169689</v>
      </c>
    </row>
    <row r="103" spans="1:4" x14ac:dyDescent="0.3">
      <c r="A103" s="17">
        <v>21402</v>
      </c>
      <c r="B103" s="13" t="s">
        <v>36</v>
      </c>
      <c r="C103" s="21">
        <v>1.6041065126724414</v>
      </c>
      <c r="D103" s="21">
        <v>0</v>
      </c>
    </row>
    <row r="104" spans="1:4" x14ac:dyDescent="0.3">
      <c r="A104" s="17">
        <v>21501</v>
      </c>
      <c r="B104" s="13" t="s">
        <v>51</v>
      </c>
      <c r="C104" s="21">
        <v>2.9634898055950689</v>
      </c>
      <c r="D104" s="21">
        <v>5.4114278925422257</v>
      </c>
    </row>
    <row r="105" spans="1:4" x14ac:dyDescent="0.3">
      <c r="A105" s="17">
        <v>21502</v>
      </c>
      <c r="B105" s="13" t="s">
        <v>43</v>
      </c>
      <c r="C105" s="21">
        <v>0</v>
      </c>
      <c r="D105" s="21">
        <v>3.2986970146792012</v>
      </c>
    </row>
    <row r="106" spans="1:4" x14ac:dyDescent="0.3">
      <c r="A106" s="17">
        <v>21601</v>
      </c>
      <c r="B106" s="13" t="s">
        <v>509</v>
      </c>
      <c r="C106" s="21">
        <v>0</v>
      </c>
      <c r="D106" s="21">
        <v>0</v>
      </c>
    </row>
    <row r="107" spans="1:4" x14ac:dyDescent="0.3">
      <c r="A107" s="17">
        <v>21602</v>
      </c>
      <c r="B107" s="13" t="s">
        <v>511</v>
      </c>
      <c r="C107" s="21">
        <v>0</v>
      </c>
      <c r="D107" s="21">
        <v>0</v>
      </c>
    </row>
    <row r="108" spans="1:4" x14ac:dyDescent="0.3">
      <c r="A108" s="17">
        <v>21701</v>
      </c>
      <c r="B108" s="13" t="s">
        <v>32</v>
      </c>
      <c r="C108" s="21">
        <v>16.518979989734152</v>
      </c>
      <c r="D108" s="21">
        <v>3.9121334819944056</v>
      </c>
    </row>
    <row r="109" spans="1:4" x14ac:dyDescent="0.3">
      <c r="A109" s="17">
        <v>21702</v>
      </c>
      <c r="B109" s="13" t="s">
        <v>513</v>
      </c>
      <c r="C109" s="21">
        <v>0</v>
      </c>
      <c r="D109" s="21">
        <v>0</v>
      </c>
    </row>
    <row r="110" spans="1:4" x14ac:dyDescent="0.3">
      <c r="A110" s="17">
        <v>21703</v>
      </c>
      <c r="B110" s="13" t="s">
        <v>62</v>
      </c>
      <c r="C110" s="21">
        <v>0</v>
      </c>
      <c r="D110" s="21">
        <v>0</v>
      </c>
    </row>
    <row r="111" spans="1:4" x14ac:dyDescent="0.3">
      <c r="A111" s="17">
        <v>21801</v>
      </c>
      <c r="B111" s="13" t="s">
        <v>515</v>
      </c>
      <c r="C111" s="21">
        <v>0</v>
      </c>
      <c r="D111" s="21">
        <v>3.6165057321615852</v>
      </c>
    </row>
    <row r="112" spans="1:4" x14ac:dyDescent="0.3">
      <c r="A112" s="17">
        <v>21802</v>
      </c>
      <c r="B112" s="13" t="s">
        <v>275</v>
      </c>
      <c r="C112" s="21">
        <v>4.8832893837288802</v>
      </c>
      <c r="D112" s="21">
        <v>0</v>
      </c>
    </row>
    <row r="113" spans="1:4" x14ac:dyDescent="0.3">
      <c r="A113" s="17">
        <v>21803</v>
      </c>
      <c r="B113" s="13" t="s">
        <v>517</v>
      </c>
      <c r="C113" s="21">
        <v>0</v>
      </c>
      <c r="D113" s="21">
        <v>0</v>
      </c>
    </row>
    <row r="114" spans="1:4" x14ac:dyDescent="0.3">
      <c r="A114" s="17">
        <v>21901</v>
      </c>
      <c r="B114" s="13" t="s">
        <v>519</v>
      </c>
      <c r="C114" s="21">
        <v>0</v>
      </c>
      <c r="D114" s="21">
        <v>0</v>
      </c>
    </row>
    <row r="115" spans="1:4" x14ac:dyDescent="0.3">
      <c r="A115" s="17">
        <v>21902</v>
      </c>
      <c r="B115" s="13" t="s">
        <v>520</v>
      </c>
      <c r="C115" s="21">
        <v>0</v>
      </c>
      <c r="D115" s="21">
        <v>0</v>
      </c>
    </row>
    <row r="116" spans="1:4" x14ac:dyDescent="0.3">
      <c r="A116" s="17">
        <v>22001</v>
      </c>
      <c r="B116" s="13" t="s">
        <v>29</v>
      </c>
      <c r="C116" s="21">
        <v>3.6538212572729498</v>
      </c>
      <c r="D116" s="21">
        <v>3.9547266457037473</v>
      </c>
    </row>
    <row r="117" spans="1:4" x14ac:dyDescent="0.3">
      <c r="A117" s="17">
        <v>22002</v>
      </c>
      <c r="B117" s="13" t="s">
        <v>521</v>
      </c>
      <c r="C117" s="21">
        <v>0</v>
      </c>
      <c r="D117" s="21">
        <v>0</v>
      </c>
    </row>
    <row r="118" spans="1:4" x14ac:dyDescent="0.3">
      <c r="A118" s="17">
        <v>30101</v>
      </c>
      <c r="B118" s="13" t="s">
        <v>68</v>
      </c>
      <c r="C118" s="21">
        <v>3.5448337573798216</v>
      </c>
      <c r="D118" s="21">
        <v>3.619396196097449</v>
      </c>
    </row>
    <row r="119" spans="1:4" x14ac:dyDescent="0.3">
      <c r="A119" s="17">
        <v>30201</v>
      </c>
      <c r="B119" s="13" t="s">
        <v>524</v>
      </c>
      <c r="C119" s="21">
        <v>0</v>
      </c>
      <c r="D119" s="21">
        <v>0</v>
      </c>
    </row>
    <row r="120" spans="1:4" x14ac:dyDescent="0.3">
      <c r="A120" s="17">
        <v>30202</v>
      </c>
      <c r="B120" s="13" t="s">
        <v>525</v>
      </c>
      <c r="C120" s="21">
        <v>0</v>
      </c>
      <c r="D120" s="21">
        <v>0</v>
      </c>
    </row>
    <row r="121" spans="1:4" x14ac:dyDescent="0.3">
      <c r="A121" s="17">
        <v>30203</v>
      </c>
      <c r="B121" s="13" t="s">
        <v>526</v>
      </c>
      <c r="C121" s="21">
        <v>0</v>
      </c>
      <c r="D121" s="21">
        <v>0</v>
      </c>
    </row>
    <row r="122" spans="1:4" x14ac:dyDescent="0.3">
      <c r="A122" s="17">
        <v>30301</v>
      </c>
      <c r="B122" s="13" t="s">
        <v>528</v>
      </c>
      <c r="C122" s="21">
        <v>0</v>
      </c>
      <c r="D122" s="21">
        <v>0</v>
      </c>
    </row>
    <row r="123" spans="1:4" x14ac:dyDescent="0.3">
      <c r="A123" s="17">
        <v>30302</v>
      </c>
      <c r="B123" s="13" t="s">
        <v>97</v>
      </c>
      <c r="C123" s="21">
        <v>0</v>
      </c>
      <c r="D123" s="21">
        <v>2.2893772893772892</v>
      </c>
    </row>
    <row r="124" spans="1:4" x14ac:dyDescent="0.3">
      <c r="A124" s="17">
        <v>30303</v>
      </c>
      <c r="B124" s="13" t="s">
        <v>530</v>
      </c>
      <c r="C124" s="21">
        <v>0</v>
      </c>
      <c r="D124" s="21">
        <v>0</v>
      </c>
    </row>
    <row r="125" spans="1:4" x14ac:dyDescent="0.3">
      <c r="A125" s="17">
        <v>30401</v>
      </c>
      <c r="B125" s="13" t="s">
        <v>86</v>
      </c>
      <c r="C125" s="21">
        <v>7.0138523584078554</v>
      </c>
      <c r="D125" s="21">
        <v>8.938638805740112</v>
      </c>
    </row>
    <row r="126" spans="1:4" x14ac:dyDescent="0.3">
      <c r="A126" s="17">
        <v>30402</v>
      </c>
      <c r="B126" s="13" t="s">
        <v>91</v>
      </c>
      <c r="C126" s="21">
        <v>0</v>
      </c>
      <c r="D126" s="21">
        <v>4.5444217223358327</v>
      </c>
    </row>
    <row r="127" spans="1:4" x14ac:dyDescent="0.3">
      <c r="A127" s="17">
        <v>30403</v>
      </c>
      <c r="B127" s="13" t="s">
        <v>87</v>
      </c>
      <c r="C127" s="21">
        <v>13.135880577350235</v>
      </c>
      <c r="D127" s="21">
        <v>2.3489893473333097</v>
      </c>
    </row>
    <row r="128" spans="1:4" x14ac:dyDescent="0.3">
      <c r="A128" s="17">
        <v>30404</v>
      </c>
      <c r="B128" s="13" t="s">
        <v>533</v>
      </c>
      <c r="C128" s="21">
        <v>0</v>
      </c>
      <c r="D128" s="21">
        <v>0</v>
      </c>
    </row>
    <row r="129" spans="1:4" x14ac:dyDescent="0.3">
      <c r="A129" s="17">
        <v>30501</v>
      </c>
      <c r="B129" s="13" t="s">
        <v>84</v>
      </c>
      <c r="C129" s="21">
        <v>3.2666928002090683</v>
      </c>
      <c r="D129" s="21">
        <v>9.095239829669552</v>
      </c>
    </row>
    <row r="130" spans="1:4" x14ac:dyDescent="0.3">
      <c r="A130" s="17">
        <v>30502</v>
      </c>
      <c r="B130" s="13" t="s">
        <v>88</v>
      </c>
      <c r="C130" s="21">
        <v>3.8230683946935815</v>
      </c>
      <c r="D130" s="21">
        <v>3.9640068180917272</v>
      </c>
    </row>
    <row r="131" spans="1:4" x14ac:dyDescent="0.3">
      <c r="A131" s="17">
        <v>30601</v>
      </c>
      <c r="B131" s="13" t="s">
        <v>285</v>
      </c>
      <c r="C131" s="21">
        <v>3.1410981279055155</v>
      </c>
      <c r="D131" s="21">
        <v>0</v>
      </c>
    </row>
    <row r="132" spans="1:4" x14ac:dyDescent="0.3">
      <c r="A132" s="17">
        <v>30602</v>
      </c>
      <c r="B132" s="13" t="s">
        <v>535</v>
      </c>
      <c r="C132" s="21">
        <v>0</v>
      </c>
      <c r="D132" s="21">
        <v>0</v>
      </c>
    </row>
    <row r="133" spans="1:4" x14ac:dyDescent="0.3">
      <c r="A133" s="17">
        <v>30701</v>
      </c>
      <c r="B133" s="13" t="s">
        <v>92</v>
      </c>
      <c r="C133" s="21">
        <v>0</v>
      </c>
      <c r="D133" s="21">
        <v>3.4309438264524048</v>
      </c>
    </row>
    <row r="134" spans="1:4" x14ac:dyDescent="0.3">
      <c r="A134" s="17">
        <v>30702</v>
      </c>
      <c r="B134" s="13" t="s">
        <v>536</v>
      </c>
      <c r="C134" s="21">
        <v>0</v>
      </c>
      <c r="D134" s="21">
        <v>0</v>
      </c>
    </row>
    <row r="135" spans="1:4" x14ac:dyDescent="0.3">
      <c r="A135" s="17">
        <v>30703</v>
      </c>
      <c r="B135" s="13" t="s">
        <v>538</v>
      </c>
      <c r="C135" s="21">
        <v>0</v>
      </c>
      <c r="D135" s="21">
        <v>0</v>
      </c>
    </row>
    <row r="136" spans="1:4" x14ac:dyDescent="0.3">
      <c r="A136" s="17">
        <v>30801</v>
      </c>
      <c r="B136" s="13" t="s">
        <v>81</v>
      </c>
      <c r="C136" s="21">
        <v>17.015137344979625</v>
      </c>
      <c r="D136" s="21">
        <v>3.1421612833681407</v>
      </c>
    </row>
    <row r="137" spans="1:4" x14ac:dyDescent="0.3">
      <c r="A137" s="17">
        <v>30802</v>
      </c>
      <c r="B137" s="13" t="s">
        <v>540</v>
      </c>
      <c r="C137" s="21">
        <v>0</v>
      </c>
      <c r="D137" s="21">
        <v>0</v>
      </c>
    </row>
    <row r="138" spans="1:4" x14ac:dyDescent="0.3">
      <c r="A138" s="17">
        <v>30803</v>
      </c>
      <c r="B138" s="13" t="s">
        <v>93</v>
      </c>
      <c r="C138" s="21">
        <v>4.5185486421761327</v>
      </c>
      <c r="D138" s="21">
        <v>7.9129574678536114</v>
      </c>
    </row>
    <row r="139" spans="1:4" x14ac:dyDescent="0.3">
      <c r="A139" s="17">
        <v>30901</v>
      </c>
      <c r="B139" s="13" t="s">
        <v>73</v>
      </c>
      <c r="C139" s="21">
        <v>9.6887400097040182</v>
      </c>
      <c r="D139" s="21">
        <v>4.4645251835598971</v>
      </c>
    </row>
    <row r="140" spans="1:4" x14ac:dyDescent="0.3">
      <c r="A140" s="17">
        <v>30902</v>
      </c>
      <c r="B140" s="13" t="s">
        <v>541</v>
      </c>
      <c r="C140" s="21">
        <v>11.682900678373363</v>
      </c>
      <c r="D140" s="21">
        <v>10.321428421114273</v>
      </c>
    </row>
    <row r="141" spans="1:4" x14ac:dyDescent="0.3">
      <c r="A141" s="17">
        <v>30903</v>
      </c>
      <c r="B141" s="13" t="s">
        <v>76</v>
      </c>
      <c r="C141" s="21">
        <v>8.090842854493042</v>
      </c>
      <c r="D141" s="21">
        <v>7.0602904611951054</v>
      </c>
    </row>
    <row r="142" spans="1:4" x14ac:dyDescent="0.3">
      <c r="A142" s="17">
        <v>30904</v>
      </c>
      <c r="B142" s="13" t="s">
        <v>80</v>
      </c>
      <c r="C142" s="21">
        <v>8.030352081093854</v>
      </c>
      <c r="D142" s="21">
        <v>2.3964822443853779</v>
      </c>
    </row>
    <row r="143" spans="1:4" x14ac:dyDescent="0.3">
      <c r="A143" s="17">
        <v>30905</v>
      </c>
      <c r="B143" s="13" t="s">
        <v>78</v>
      </c>
      <c r="C143" s="21">
        <v>6.1676100501086779</v>
      </c>
      <c r="D143" s="21">
        <v>4.5859295950918169</v>
      </c>
    </row>
    <row r="144" spans="1:4" x14ac:dyDescent="0.3">
      <c r="A144" s="17">
        <v>31001</v>
      </c>
      <c r="B144" s="13" t="s">
        <v>70</v>
      </c>
      <c r="C144" s="21">
        <v>7.6704604746073857</v>
      </c>
      <c r="D144" s="21">
        <v>6.4789164728144151</v>
      </c>
    </row>
    <row r="145" spans="1:4" x14ac:dyDescent="0.3">
      <c r="A145" s="17">
        <v>31002</v>
      </c>
      <c r="B145" s="13" t="s">
        <v>85</v>
      </c>
      <c r="C145" s="21">
        <v>3.224981792093669</v>
      </c>
      <c r="D145" s="21">
        <v>3.112501361719346</v>
      </c>
    </row>
    <row r="146" spans="1:4" x14ac:dyDescent="0.3">
      <c r="A146" s="17">
        <v>31003</v>
      </c>
      <c r="B146" s="13" t="s">
        <v>72</v>
      </c>
      <c r="C146" s="21">
        <v>5.6180084889969359</v>
      </c>
      <c r="D146" s="21">
        <v>8.724376345170926</v>
      </c>
    </row>
    <row r="147" spans="1:4" x14ac:dyDescent="0.3">
      <c r="A147" s="17">
        <v>31101</v>
      </c>
      <c r="B147" s="13" t="s">
        <v>543</v>
      </c>
      <c r="C147" s="21">
        <v>0</v>
      </c>
      <c r="D147" s="21">
        <v>0</v>
      </c>
    </row>
    <row r="148" spans="1:4" x14ac:dyDescent="0.3">
      <c r="A148" s="17">
        <v>31201</v>
      </c>
      <c r="B148" s="13" t="s">
        <v>545</v>
      </c>
      <c r="C148" s="21">
        <v>0</v>
      </c>
      <c r="D148" s="21">
        <v>0</v>
      </c>
    </row>
    <row r="149" spans="1:4" x14ac:dyDescent="0.3">
      <c r="A149" s="17">
        <v>31202</v>
      </c>
      <c r="B149" s="13" t="s">
        <v>546</v>
      </c>
      <c r="C149" s="21">
        <v>0</v>
      </c>
      <c r="D149" s="21">
        <v>0</v>
      </c>
    </row>
    <row r="150" spans="1:4" x14ac:dyDescent="0.3">
      <c r="A150" s="17">
        <v>31203</v>
      </c>
      <c r="B150" s="13" t="s">
        <v>94</v>
      </c>
      <c r="C150" s="21">
        <v>0</v>
      </c>
      <c r="D150" s="21">
        <v>2.719312557785392</v>
      </c>
    </row>
    <row r="151" spans="1:4" x14ac:dyDescent="0.3">
      <c r="A151" s="17">
        <v>31204</v>
      </c>
      <c r="B151" s="13" t="s">
        <v>77</v>
      </c>
      <c r="C151" s="21">
        <v>4.0613484618133713</v>
      </c>
      <c r="D151" s="21">
        <v>6.2534346210837635</v>
      </c>
    </row>
    <row r="152" spans="1:4" x14ac:dyDescent="0.3">
      <c r="A152" s="17">
        <v>31205</v>
      </c>
      <c r="B152" s="13" t="s">
        <v>69</v>
      </c>
      <c r="C152" s="21">
        <v>13.793195977264295</v>
      </c>
      <c r="D152" s="21">
        <v>38.007191812698458</v>
      </c>
    </row>
    <row r="153" spans="1:4" x14ac:dyDescent="0.3">
      <c r="A153" s="17">
        <v>31206</v>
      </c>
      <c r="B153" s="13" t="s">
        <v>71</v>
      </c>
      <c r="C153" s="21">
        <v>3.3714534440264097</v>
      </c>
      <c r="D153" s="21">
        <v>36.579238540222356</v>
      </c>
    </row>
    <row r="154" spans="1:4" x14ac:dyDescent="0.3">
      <c r="A154" s="17">
        <v>31301</v>
      </c>
      <c r="B154" s="13" t="s">
        <v>95</v>
      </c>
      <c r="C154" s="21">
        <v>0</v>
      </c>
      <c r="D154" s="21">
        <v>0</v>
      </c>
    </row>
    <row r="155" spans="1:4" x14ac:dyDescent="0.3">
      <c r="A155" s="17">
        <v>31302</v>
      </c>
      <c r="B155" s="13" t="s">
        <v>547</v>
      </c>
      <c r="C155" s="21">
        <v>0</v>
      </c>
      <c r="D155" s="21">
        <v>0</v>
      </c>
    </row>
    <row r="156" spans="1:4" x14ac:dyDescent="0.3">
      <c r="A156" s="17">
        <v>31303</v>
      </c>
      <c r="B156" s="13" t="s">
        <v>548</v>
      </c>
      <c r="C156" s="21">
        <v>0</v>
      </c>
      <c r="D156" s="21">
        <v>0</v>
      </c>
    </row>
    <row r="157" spans="1:4" x14ac:dyDescent="0.3">
      <c r="A157" s="17">
        <v>31304</v>
      </c>
      <c r="B157" s="13" t="s">
        <v>549</v>
      </c>
      <c r="C157" s="21">
        <v>0</v>
      </c>
      <c r="D157" s="21">
        <v>0</v>
      </c>
    </row>
    <row r="158" spans="1:4" x14ac:dyDescent="0.3">
      <c r="A158" s="17">
        <v>31401</v>
      </c>
      <c r="B158" s="13" t="s">
        <v>75</v>
      </c>
      <c r="C158" s="21">
        <v>6.2210497824835942</v>
      </c>
      <c r="D158" s="21">
        <v>9.6471629996579633</v>
      </c>
    </row>
    <row r="159" spans="1:4" x14ac:dyDescent="0.3">
      <c r="A159" s="17">
        <v>31402</v>
      </c>
      <c r="B159" s="13" t="s">
        <v>90</v>
      </c>
      <c r="C159" s="21">
        <v>4.0025616394492474</v>
      </c>
      <c r="D159" s="21">
        <v>0</v>
      </c>
    </row>
    <row r="160" spans="1:4" x14ac:dyDescent="0.3">
      <c r="A160" s="17">
        <v>31403</v>
      </c>
      <c r="B160" s="13" t="s">
        <v>89</v>
      </c>
      <c r="C160" s="21">
        <v>0</v>
      </c>
      <c r="D160" s="21">
        <v>5.0739528629779036</v>
      </c>
    </row>
    <row r="161" spans="1:4" x14ac:dyDescent="0.3">
      <c r="A161" s="17">
        <v>31404</v>
      </c>
      <c r="B161" s="13" t="s">
        <v>96</v>
      </c>
      <c r="C161" s="21">
        <v>0</v>
      </c>
      <c r="D161" s="21">
        <v>25.900025900025899</v>
      </c>
    </row>
    <row r="162" spans="1:4" x14ac:dyDescent="0.3">
      <c r="A162" s="17">
        <v>31405</v>
      </c>
      <c r="B162" s="13" t="s">
        <v>553</v>
      </c>
      <c r="C162" s="21">
        <v>0</v>
      </c>
      <c r="D162" s="21">
        <v>0</v>
      </c>
    </row>
    <row r="163" spans="1:4" x14ac:dyDescent="0.3">
      <c r="A163" s="17">
        <v>31501</v>
      </c>
      <c r="B163" s="13" t="s">
        <v>555</v>
      </c>
      <c r="C163" s="21">
        <v>0</v>
      </c>
      <c r="D163" s="21">
        <v>0</v>
      </c>
    </row>
    <row r="164" spans="1:4" x14ac:dyDescent="0.3">
      <c r="A164" s="17">
        <v>31601</v>
      </c>
      <c r="B164" s="13" t="s">
        <v>79</v>
      </c>
      <c r="C164" s="21">
        <v>4.9793357566100687</v>
      </c>
      <c r="D164" s="21">
        <v>8.9109054819500049</v>
      </c>
    </row>
    <row r="165" spans="1:4" x14ac:dyDescent="0.3">
      <c r="A165" s="17">
        <v>31602</v>
      </c>
      <c r="B165" s="13" t="s">
        <v>82</v>
      </c>
      <c r="C165" s="21">
        <v>8.3024775993372018</v>
      </c>
      <c r="D165" s="21">
        <v>3.7793688231138964</v>
      </c>
    </row>
    <row r="166" spans="1:4" x14ac:dyDescent="0.3">
      <c r="A166" s="17">
        <v>40101</v>
      </c>
      <c r="B166" s="13" t="s">
        <v>98</v>
      </c>
      <c r="C166" s="21">
        <v>18.619435924697807</v>
      </c>
      <c r="D166" s="21">
        <v>5.1785554504022775</v>
      </c>
    </row>
    <row r="167" spans="1:4" x14ac:dyDescent="0.3">
      <c r="A167" s="17">
        <v>40102</v>
      </c>
      <c r="B167" s="13" t="s">
        <v>103</v>
      </c>
      <c r="C167" s="21">
        <v>11.611561996950115</v>
      </c>
      <c r="D167" s="21">
        <v>1.4573860324122654</v>
      </c>
    </row>
    <row r="168" spans="1:4" x14ac:dyDescent="0.3">
      <c r="A168" s="17">
        <v>40103</v>
      </c>
      <c r="B168" s="13" t="s">
        <v>556</v>
      </c>
      <c r="C168" s="21">
        <v>0</v>
      </c>
      <c r="D168" s="21">
        <v>0</v>
      </c>
    </row>
    <row r="169" spans="1:4" x14ac:dyDescent="0.3">
      <c r="A169" s="17">
        <v>40104</v>
      </c>
      <c r="B169" s="13" t="s">
        <v>557</v>
      </c>
      <c r="C169" s="21">
        <v>0</v>
      </c>
      <c r="D169" s="21">
        <v>0</v>
      </c>
    </row>
    <row r="170" spans="1:4" x14ac:dyDescent="0.3">
      <c r="A170" s="17">
        <v>40201</v>
      </c>
      <c r="B170" s="13" t="s">
        <v>100</v>
      </c>
      <c r="C170" s="21">
        <v>5.1637839167107584</v>
      </c>
      <c r="D170" s="21">
        <v>2.8373244170190337</v>
      </c>
    </row>
    <row r="171" spans="1:4" x14ac:dyDescent="0.3">
      <c r="A171" s="17">
        <v>40202</v>
      </c>
      <c r="B171" s="13" t="s">
        <v>560</v>
      </c>
      <c r="C171" s="21">
        <v>0</v>
      </c>
      <c r="D171" s="21">
        <v>0</v>
      </c>
    </row>
    <row r="172" spans="1:4" x14ac:dyDescent="0.3">
      <c r="A172" s="17">
        <v>40301</v>
      </c>
      <c r="B172" s="13" t="s">
        <v>112</v>
      </c>
      <c r="C172" s="21">
        <v>0</v>
      </c>
      <c r="D172" s="21">
        <v>2.1466597973553152</v>
      </c>
    </row>
    <row r="173" spans="1:4" x14ac:dyDescent="0.3">
      <c r="A173" s="17">
        <v>40302</v>
      </c>
      <c r="B173" s="13" t="s">
        <v>561</v>
      </c>
      <c r="C173" s="21">
        <v>0</v>
      </c>
      <c r="D173" s="21">
        <v>0</v>
      </c>
    </row>
    <row r="174" spans="1:4" x14ac:dyDescent="0.3">
      <c r="A174" s="17">
        <v>40401</v>
      </c>
      <c r="B174" s="13" t="s">
        <v>563</v>
      </c>
      <c r="C174" s="21">
        <v>5.9080704241994573</v>
      </c>
      <c r="D174" s="21">
        <v>5.1480051480051481</v>
      </c>
    </row>
    <row r="175" spans="1:4" x14ac:dyDescent="0.3">
      <c r="A175" s="17">
        <v>40402</v>
      </c>
      <c r="B175" s="13" t="s">
        <v>564</v>
      </c>
      <c r="C175" s="21">
        <v>0</v>
      </c>
      <c r="D175" s="21">
        <v>0</v>
      </c>
    </row>
    <row r="176" spans="1:4" x14ac:dyDescent="0.3">
      <c r="A176" s="17">
        <v>40501</v>
      </c>
      <c r="B176" s="13" t="s">
        <v>566</v>
      </c>
      <c r="C176" s="21">
        <v>0</v>
      </c>
      <c r="D176" s="21">
        <v>0</v>
      </c>
    </row>
    <row r="177" spans="1:4" x14ac:dyDescent="0.3">
      <c r="A177" s="17">
        <v>40502</v>
      </c>
      <c r="B177" s="13" t="s">
        <v>567</v>
      </c>
      <c r="C177" s="21">
        <v>0</v>
      </c>
      <c r="D177" s="21">
        <v>0</v>
      </c>
    </row>
    <row r="178" spans="1:4" x14ac:dyDescent="0.3">
      <c r="A178" s="17">
        <v>40503</v>
      </c>
      <c r="B178" s="13" t="s">
        <v>568</v>
      </c>
      <c r="C178" s="21">
        <v>0</v>
      </c>
      <c r="D178" s="21">
        <v>0</v>
      </c>
    </row>
    <row r="179" spans="1:4" x14ac:dyDescent="0.3">
      <c r="A179" s="17">
        <v>40504</v>
      </c>
      <c r="B179" s="13" t="s">
        <v>569</v>
      </c>
      <c r="C179" s="21">
        <v>0</v>
      </c>
      <c r="D179" s="21">
        <v>0</v>
      </c>
    </row>
    <row r="180" spans="1:4" x14ac:dyDescent="0.3">
      <c r="A180" s="17">
        <v>40505</v>
      </c>
      <c r="B180" s="13" t="s">
        <v>570</v>
      </c>
      <c r="C180" s="21">
        <v>0</v>
      </c>
      <c r="D180" s="21">
        <v>0</v>
      </c>
    </row>
    <row r="181" spans="1:4" x14ac:dyDescent="0.3">
      <c r="A181" s="17">
        <v>40601</v>
      </c>
      <c r="B181" s="13" t="s">
        <v>108</v>
      </c>
      <c r="C181" s="21">
        <v>0</v>
      </c>
      <c r="D181" s="21">
        <v>3.6808009422850412</v>
      </c>
    </row>
    <row r="182" spans="1:4" x14ac:dyDescent="0.3">
      <c r="A182" s="17">
        <v>40602</v>
      </c>
      <c r="B182" s="13" t="s">
        <v>115</v>
      </c>
      <c r="C182" s="21">
        <v>0</v>
      </c>
      <c r="D182" s="21">
        <v>7.84129224496197</v>
      </c>
    </row>
    <row r="183" spans="1:4" x14ac:dyDescent="0.3">
      <c r="A183" s="17">
        <v>40603</v>
      </c>
      <c r="B183" s="13" t="s">
        <v>572</v>
      </c>
      <c r="C183" s="21">
        <v>0</v>
      </c>
      <c r="D183" s="21">
        <v>0</v>
      </c>
    </row>
    <row r="184" spans="1:4" x14ac:dyDescent="0.3">
      <c r="A184" s="17">
        <v>40701</v>
      </c>
      <c r="B184" s="13" t="s">
        <v>99</v>
      </c>
      <c r="C184" s="21">
        <v>23.787807574265113</v>
      </c>
      <c r="D184" s="21">
        <v>11.386578757629687</v>
      </c>
    </row>
    <row r="185" spans="1:4" x14ac:dyDescent="0.3">
      <c r="A185" s="17">
        <v>40702</v>
      </c>
      <c r="B185" s="13" t="s">
        <v>110</v>
      </c>
      <c r="C185" s="21">
        <v>0</v>
      </c>
      <c r="D185" s="21">
        <v>5.4466230936819171</v>
      </c>
    </row>
    <row r="186" spans="1:4" x14ac:dyDescent="0.3">
      <c r="A186" s="17">
        <v>40801</v>
      </c>
      <c r="B186" s="13" t="s">
        <v>576</v>
      </c>
      <c r="C186" s="21">
        <v>2.3401666198633344</v>
      </c>
      <c r="D186" s="21">
        <v>0</v>
      </c>
    </row>
    <row r="187" spans="1:4" x14ac:dyDescent="0.3">
      <c r="A187" s="17">
        <v>40802</v>
      </c>
      <c r="B187" s="13" t="s">
        <v>102</v>
      </c>
      <c r="C187" s="21">
        <v>0</v>
      </c>
      <c r="D187" s="21">
        <v>20.977554017201594</v>
      </c>
    </row>
    <row r="188" spans="1:4" x14ac:dyDescent="0.3">
      <c r="A188" s="17">
        <v>40901</v>
      </c>
      <c r="B188" s="13" t="s">
        <v>101</v>
      </c>
      <c r="C188" s="21">
        <v>2.8342261145594194</v>
      </c>
      <c r="D188" s="21">
        <v>4.3901261693132261</v>
      </c>
    </row>
    <row r="189" spans="1:4" x14ac:dyDescent="0.3">
      <c r="A189" s="17">
        <v>40902</v>
      </c>
      <c r="B189" s="13" t="s">
        <v>105</v>
      </c>
      <c r="C189" s="21">
        <v>0</v>
      </c>
      <c r="D189" s="21">
        <v>0</v>
      </c>
    </row>
    <row r="190" spans="1:4" x14ac:dyDescent="0.3">
      <c r="A190" s="17">
        <v>40903</v>
      </c>
      <c r="B190" s="13" t="s">
        <v>577</v>
      </c>
      <c r="C190" s="21">
        <v>0</v>
      </c>
      <c r="D190" s="21">
        <v>0</v>
      </c>
    </row>
    <row r="191" spans="1:4" x14ac:dyDescent="0.3">
      <c r="A191" s="17">
        <v>41001</v>
      </c>
      <c r="B191" s="13" t="s">
        <v>104</v>
      </c>
      <c r="C191" s="21">
        <v>2.9825817227392029</v>
      </c>
      <c r="D191" s="21">
        <v>2.8105677346824058</v>
      </c>
    </row>
    <row r="192" spans="1:4" x14ac:dyDescent="0.3">
      <c r="A192" s="17">
        <v>41101</v>
      </c>
      <c r="B192" s="13" t="s">
        <v>580</v>
      </c>
      <c r="C192" s="21">
        <v>0</v>
      </c>
      <c r="D192" s="21">
        <v>0</v>
      </c>
    </row>
    <row r="193" spans="1:4" x14ac:dyDescent="0.3">
      <c r="A193" s="17">
        <v>41201</v>
      </c>
      <c r="B193" s="13" t="s">
        <v>582</v>
      </c>
      <c r="C193" s="21">
        <v>0</v>
      </c>
      <c r="D193" s="21">
        <v>0</v>
      </c>
    </row>
    <row r="194" spans="1:4" x14ac:dyDescent="0.3">
      <c r="A194" s="17">
        <v>41202</v>
      </c>
      <c r="B194" s="13" t="s">
        <v>113</v>
      </c>
      <c r="C194" s="21">
        <v>0</v>
      </c>
      <c r="D194" s="21">
        <v>11.546010853250202</v>
      </c>
    </row>
    <row r="195" spans="1:4" x14ac:dyDescent="0.3">
      <c r="A195" s="17">
        <v>41301</v>
      </c>
      <c r="B195" s="13" t="s">
        <v>545</v>
      </c>
      <c r="C195" s="21">
        <v>0</v>
      </c>
      <c r="D195" s="21">
        <v>0</v>
      </c>
    </row>
    <row r="196" spans="1:4" x14ac:dyDescent="0.3">
      <c r="A196" s="17">
        <v>41401</v>
      </c>
      <c r="B196" s="13" t="s">
        <v>585</v>
      </c>
      <c r="C196" s="21">
        <v>0</v>
      </c>
      <c r="D196" s="21">
        <v>2.4687700587567272</v>
      </c>
    </row>
    <row r="197" spans="1:4" x14ac:dyDescent="0.3">
      <c r="A197" s="17">
        <v>41501</v>
      </c>
      <c r="B197" s="13" t="s">
        <v>587</v>
      </c>
      <c r="C197" s="21">
        <v>0</v>
      </c>
      <c r="D197" s="21">
        <v>0</v>
      </c>
    </row>
    <row r="198" spans="1:4" x14ac:dyDescent="0.3">
      <c r="A198" s="17">
        <v>41502</v>
      </c>
      <c r="B198" s="13" t="s">
        <v>588</v>
      </c>
      <c r="C198" s="21">
        <v>0</v>
      </c>
      <c r="D198" s="21">
        <v>0</v>
      </c>
    </row>
    <row r="199" spans="1:4" x14ac:dyDescent="0.3">
      <c r="A199" s="17">
        <v>41503</v>
      </c>
      <c r="B199" s="13" t="s">
        <v>111</v>
      </c>
      <c r="C199" s="21">
        <v>0</v>
      </c>
      <c r="D199" s="21">
        <v>0</v>
      </c>
    </row>
    <row r="200" spans="1:4" x14ac:dyDescent="0.3">
      <c r="A200" s="17">
        <v>41601</v>
      </c>
      <c r="B200" s="13" t="s">
        <v>109</v>
      </c>
      <c r="C200" s="21">
        <v>5.7570523891767413</v>
      </c>
      <c r="D200" s="21">
        <v>0</v>
      </c>
    </row>
    <row r="201" spans="1:4" x14ac:dyDescent="0.3">
      <c r="A201" s="17">
        <v>50101</v>
      </c>
      <c r="B201" s="13" t="s">
        <v>116</v>
      </c>
      <c r="C201" s="21">
        <v>6.0056984010987859</v>
      </c>
      <c r="D201" s="21">
        <v>3.7082079534601422</v>
      </c>
    </row>
    <row r="202" spans="1:4" x14ac:dyDescent="0.3">
      <c r="A202" s="17">
        <v>50102</v>
      </c>
      <c r="B202" s="13" t="s">
        <v>129</v>
      </c>
      <c r="C202" s="21">
        <v>0</v>
      </c>
      <c r="D202" s="21">
        <v>1.163385918376844</v>
      </c>
    </row>
    <row r="203" spans="1:4" x14ac:dyDescent="0.3">
      <c r="A203" s="17">
        <v>50103</v>
      </c>
      <c r="B203" s="13" t="s">
        <v>592</v>
      </c>
      <c r="C203" s="21">
        <v>0</v>
      </c>
      <c r="D203" s="21">
        <v>0</v>
      </c>
    </row>
    <row r="204" spans="1:4" x14ac:dyDescent="0.3">
      <c r="A204" s="17">
        <v>50104</v>
      </c>
      <c r="B204" s="13" t="s">
        <v>594</v>
      </c>
      <c r="C204" s="21">
        <v>0</v>
      </c>
      <c r="D204" s="21">
        <v>0</v>
      </c>
    </row>
    <row r="205" spans="1:4" x14ac:dyDescent="0.3">
      <c r="A205" s="17">
        <v>50201</v>
      </c>
      <c r="B205" s="13" t="s">
        <v>120</v>
      </c>
      <c r="C205" s="21">
        <v>0</v>
      </c>
      <c r="D205" s="21">
        <v>7.3484597761586778</v>
      </c>
    </row>
    <row r="206" spans="1:4" x14ac:dyDescent="0.3">
      <c r="A206" s="17">
        <v>50202</v>
      </c>
      <c r="B206" s="13" t="s">
        <v>597</v>
      </c>
      <c r="C206" s="21">
        <v>0</v>
      </c>
      <c r="D206" s="21">
        <v>0</v>
      </c>
    </row>
    <row r="207" spans="1:4" x14ac:dyDescent="0.3">
      <c r="A207" s="17">
        <v>50203</v>
      </c>
      <c r="B207" s="13" t="s">
        <v>117</v>
      </c>
      <c r="C207" s="21">
        <v>7.245313475631332</v>
      </c>
      <c r="D207" s="21">
        <v>8.0064509952108143</v>
      </c>
    </row>
    <row r="208" spans="1:4" x14ac:dyDescent="0.3">
      <c r="A208" s="17">
        <v>50204</v>
      </c>
      <c r="B208" s="13" t="s">
        <v>598</v>
      </c>
      <c r="C208" s="21">
        <v>0</v>
      </c>
      <c r="D208" s="21">
        <v>0</v>
      </c>
    </row>
    <row r="209" spans="1:4" x14ac:dyDescent="0.3">
      <c r="A209" s="17">
        <v>50301</v>
      </c>
      <c r="B209" s="13" t="s">
        <v>122</v>
      </c>
      <c r="C209" s="21">
        <v>0</v>
      </c>
      <c r="D209" s="21">
        <v>2.0787133941112006</v>
      </c>
    </row>
    <row r="210" spans="1:4" x14ac:dyDescent="0.3">
      <c r="A210" s="17">
        <v>50302</v>
      </c>
      <c r="B210" s="13" t="s">
        <v>601</v>
      </c>
      <c r="C210" s="21">
        <v>0</v>
      </c>
      <c r="D210" s="21">
        <v>0</v>
      </c>
    </row>
    <row r="211" spans="1:4" x14ac:dyDescent="0.3">
      <c r="A211" s="17">
        <v>50303</v>
      </c>
      <c r="B211" s="13" t="s">
        <v>602</v>
      </c>
      <c r="C211" s="21">
        <v>0</v>
      </c>
      <c r="D211" s="21">
        <v>0</v>
      </c>
    </row>
    <row r="212" spans="1:4" x14ac:dyDescent="0.3">
      <c r="A212" s="17">
        <v>50401</v>
      </c>
      <c r="B212" s="13" t="s">
        <v>603</v>
      </c>
      <c r="C212" s="21">
        <v>0</v>
      </c>
      <c r="D212" s="21">
        <v>0</v>
      </c>
    </row>
    <row r="213" spans="1:4" x14ac:dyDescent="0.3">
      <c r="A213" s="17">
        <v>50402</v>
      </c>
      <c r="B213" s="13" t="s">
        <v>604</v>
      </c>
      <c r="C213" s="21">
        <v>0</v>
      </c>
      <c r="D213" s="21">
        <v>0</v>
      </c>
    </row>
    <row r="214" spans="1:4" x14ac:dyDescent="0.3">
      <c r="A214" s="17">
        <v>50403</v>
      </c>
      <c r="B214" s="13" t="s">
        <v>127</v>
      </c>
      <c r="C214" s="21">
        <v>0</v>
      </c>
      <c r="D214" s="21">
        <v>0</v>
      </c>
    </row>
    <row r="215" spans="1:4" x14ac:dyDescent="0.3">
      <c r="A215" s="17">
        <v>50404</v>
      </c>
      <c r="B215" s="13" t="s">
        <v>605</v>
      </c>
      <c r="C215" s="21">
        <v>0</v>
      </c>
      <c r="D215" s="21">
        <v>0</v>
      </c>
    </row>
    <row r="216" spans="1:4" x14ac:dyDescent="0.3">
      <c r="A216" s="17">
        <v>50405</v>
      </c>
      <c r="B216" s="13" t="s">
        <v>125</v>
      </c>
      <c r="C216" s="21">
        <v>0</v>
      </c>
      <c r="D216" s="21">
        <v>1.5932192588344007</v>
      </c>
    </row>
    <row r="217" spans="1:4" x14ac:dyDescent="0.3">
      <c r="A217" s="17">
        <v>50501</v>
      </c>
      <c r="B217" s="13" t="s">
        <v>172</v>
      </c>
      <c r="C217" s="21">
        <v>0</v>
      </c>
      <c r="D217" s="21">
        <v>0</v>
      </c>
    </row>
    <row r="218" spans="1:4" x14ac:dyDescent="0.3">
      <c r="A218" s="17">
        <v>50502</v>
      </c>
      <c r="B218" s="13" t="s">
        <v>607</v>
      </c>
      <c r="C218" s="21">
        <v>0</v>
      </c>
      <c r="D218" s="21">
        <v>0</v>
      </c>
    </row>
    <row r="219" spans="1:4" x14ac:dyDescent="0.3">
      <c r="A219" s="17">
        <v>50601</v>
      </c>
      <c r="B219" s="13" t="s">
        <v>124</v>
      </c>
      <c r="C219" s="21">
        <v>0</v>
      </c>
      <c r="D219" s="21">
        <v>3.3973215359700362</v>
      </c>
    </row>
    <row r="220" spans="1:4" x14ac:dyDescent="0.3">
      <c r="A220" s="17">
        <v>50602</v>
      </c>
      <c r="B220" s="13" t="s">
        <v>609</v>
      </c>
      <c r="C220" s="21">
        <v>0</v>
      </c>
      <c r="D220" s="21">
        <v>3.2731081434930611</v>
      </c>
    </row>
    <row r="221" spans="1:4" x14ac:dyDescent="0.3">
      <c r="A221" s="17">
        <v>50701</v>
      </c>
      <c r="B221" s="13" t="s">
        <v>611</v>
      </c>
      <c r="C221" s="21">
        <v>0</v>
      </c>
      <c r="D221" s="21">
        <v>1.8932939528191148</v>
      </c>
    </row>
    <row r="222" spans="1:4" x14ac:dyDescent="0.3">
      <c r="A222" s="17">
        <v>50702</v>
      </c>
      <c r="B222" s="13" t="s">
        <v>612</v>
      </c>
      <c r="C222" s="21">
        <v>0</v>
      </c>
      <c r="D222" s="21">
        <v>0</v>
      </c>
    </row>
    <row r="223" spans="1:4" x14ac:dyDescent="0.3">
      <c r="A223" s="17">
        <v>50801</v>
      </c>
      <c r="B223" s="13" t="s">
        <v>119</v>
      </c>
      <c r="C223" s="21">
        <v>2.2144153802353634</v>
      </c>
      <c r="D223" s="21">
        <v>6.5876848224848343</v>
      </c>
    </row>
    <row r="224" spans="1:4" x14ac:dyDescent="0.3">
      <c r="A224" s="17">
        <v>50802</v>
      </c>
      <c r="B224" s="13" t="s">
        <v>130</v>
      </c>
      <c r="C224" s="21">
        <v>0</v>
      </c>
      <c r="D224" s="21">
        <v>3.46860908775581</v>
      </c>
    </row>
    <row r="225" spans="1:4" x14ac:dyDescent="0.3">
      <c r="A225" s="17">
        <v>50901</v>
      </c>
      <c r="B225" s="13" t="s">
        <v>615</v>
      </c>
      <c r="C225" s="21">
        <v>0</v>
      </c>
      <c r="D225" s="21">
        <v>0</v>
      </c>
    </row>
    <row r="226" spans="1:4" x14ac:dyDescent="0.3">
      <c r="A226" s="17">
        <v>50902</v>
      </c>
      <c r="B226" s="13" t="s">
        <v>617</v>
      </c>
      <c r="C226" s="21">
        <v>0</v>
      </c>
      <c r="D226" s="21">
        <v>0</v>
      </c>
    </row>
    <row r="227" spans="1:4" x14ac:dyDescent="0.3">
      <c r="A227" s="17">
        <v>51001</v>
      </c>
      <c r="B227" s="13" t="s">
        <v>620</v>
      </c>
      <c r="C227" s="21">
        <v>0</v>
      </c>
      <c r="D227" s="21">
        <v>0</v>
      </c>
    </row>
    <row r="228" spans="1:4" x14ac:dyDescent="0.3">
      <c r="A228" s="17">
        <v>51002</v>
      </c>
      <c r="B228" s="13" t="s">
        <v>622</v>
      </c>
      <c r="C228" s="21">
        <v>0</v>
      </c>
      <c r="D228" s="21">
        <v>0</v>
      </c>
    </row>
    <row r="229" spans="1:4" x14ac:dyDescent="0.3">
      <c r="A229" s="17">
        <v>51003</v>
      </c>
      <c r="B229" s="13" t="s">
        <v>623</v>
      </c>
      <c r="C229" s="21">
        <v>0</v>
      </c>
      <c r="D229" s="21">
        <v>0</v>
      </c>
    </row>
    <row r="230" spans="1:4" x14ac:dyDescent="0.3">
      <c r="A230" s="17">
        <v>51101</v>
      </c>
      <c r="B230" s="13" t="s">
        <v>123</v>
      </c>
      <c r="C230" s="21">
        <v>1.7832941008631142</v>
      </c>
      <c r="D230" s="21">
        <v>9.7891313931103454</v>
      </c>
    </row>
    <row r="231" spans="1:4" x14ac:dyDescent="0.3">
      <c r="A231" s="17">
        <v>51102</v>
      </c>
      <c r="B231" s="13" t="s">
        <v>626</v>
      </c>
      <c r="C231" s="21">
        <v>0</v>
      </c>
      <c r="D231" s="21">
        <v>0</v>
      </c>
    </row>
    <row r="232" spans="1:4" x14ac:dyDescent="0.3">
      <c r="A232" s="17">
        <v>51103</v>
      </c>
      <c r="B232" s="13" t="s">
        <v>627</v>
      </c>
      <c r="C232" s="21">
        <v>0</v>
      </c>
      <c r="D232" s="21">
        <v>0</v>
      </c>
    </row>
    <row r="233" spans="1:4" x14ac:dyDescent="0.3">
      <c r="A233" s="17">
        <v>51201</v>
      </c>
      <c r="B233" s="13" t="s">
        <v>121</v>
      </c>
      <c r="C233" s="21">
        <v>8.1774772440150638</v>
      </c>
      <c r="D233" s="21">
        <v>0.96964055424654072</v>
      </c>
    </row>
    <row r="234" spans="1:4" x14ac:dyDescent="0.3">
      <c r="A234" s="17">
        <v>51202</v>
      </c>
      <c r="B234" s="13" t="s">
        <v>629</v>
      </c>
      <c r="C234" s="21">
        <v>0</v>
      </c>
      <c r="D234" s="21">
        <v>0</v>
      </c>
    </row>
    <row r="235" spans="1:4" x14ac:dyDescent="0.3">
      <c r="A235" s="17">
        <v>51203</v>
      </c>
      <c r="B235" s="13" t="s">
        <v>630</v>
      </c>
      <c r="C235" s="21">
        <v>0</v>
      </c>
      <c r="D235" s="21">
        <v>0</v>
      </c>
    </row>
    <row r="236" spans="1:4" x14ac:dyDescent="0.3">
      <c r="A236" s="17">
        <v>51204</v>
      </c>
      <c r="B236" s="13" t="s">
        <v>631</v>
      </c>
      <c r="C236" s="21">
        <v>0</v>
      </c>
      <c r="D236" s="21">
        <v>0</v>
      </c>
    </row>
    <row r="237" spans="1:4" x14ac:dyDescent="0.3">
      <c r="A237" s="17">
        <v>51301</v>
      </c>
      <c r="B237" s="13" t="s">
        <v>633</v>
      </c>
      <c r="C237" s="21">
        <v>0</v>
      </c>
      <c r="D237" s="21">
        <v>0</v>
      </c>
    </row>
    <row r="238" spans="1:4" x14ac:dyDescent="0.3">
      <c r="A238" s="17">
        <v>51302</v>
      </c>
      <c r="B238" s="13" t="s">
        <v>634</v>
      </c>
      <c r="C238" s="21">
        <v>0</v>
      </c>
      <c r="D238" s="21">
        <v>0</v>
      </c>
    </row>
    <row r="239" spans="1:4" x14ac:dyDescent="0.3">
      <c r="A239" s="17">
        <v>51401</v>
      </c>
      <c r="B239" s="13" t="s">
        <v>131</v>
      </c>
      <c r="C239" s="21">
        <v>15.992974370956437</v>
      </c>
      <c r="D239" s="21">
        <v>7.9611495900007965</v>
      </c>
    </row>
    <row r="240" spans="1:4" x14ac:dyDescent="0.3">
      <c r="A240" s="17">
        <v>51402</v>
      </c>
      <c r="B240" s="13" t="s">
        <v>636</v>
      </c>
      <c r="C240" s="21">
        <v>0</v>
      </c>
      <c r="D240" s="21">
        <v>0</v>
      </c>
    </row>
    <row r="241" spans="1:4" x14ac:dyDescent="0.3">
      <c r="A241" s="17">
        <v>51501</v>
      </c>
      <c r="B241" s="13" t="s">
        <v>118</v>
      </c>
      <c r="C241" s="21">
        <v>7.7646666785582452</v>
      </c>
      <c r="D241" s="21">
        <v>5.4661276049851013</v>
      </c>
    </row>
    <row r="242" spans="1:4" x14ac:dyDescent="0.3">
      <c r="A242" s="17">
        <v>51601</v>
      </c>
      <c r="B242" s="13" t="s">
        <v>132</v>
      </c>
      <c r="C242" s="21">
        <v>0</v>
      </c>
      <c r="D242" s="21">
        <v>0</v>
      </c>
    </row>
    <row r="243" spans="1:4" x14ac:dyDescent="0.3">
      <c r="A243" s="17">
        <v>60101</v>
      </c>
      <c r="B243" s="13" t="s">
        <v>133</v>
      </c>
      <c r="C243" s="21">
        <v>5.5545695528606807</v>
      </c>
      <c r="D243" s="21">
        <v>4.088648144300862</v>
      </c>
    </row>
    <row r="244" spans="1:4" x14ac:dyDescent="0.3">
      <c r="A244" s="17">
        <v>60201</v>
      </c>
      <c r="B244" s="13" t="s">
        <v>341</v>
      </c>
      <c r="C244" s="21">
        <v>3.6531682101302354</v>
      </c>
      <c r="D244" s="21">
        <v>0</v>
      </c>
    </row>
    <row r="245" spans="1:4" x14ac:dyDescent="0.3">
      <c r="A245" s="17">
        <v>60202</v>
      </c>
      <c r="B245" s="13" t="s">
        <v>135</v>
      </c>
      <c r="C245" s="21">
        <v>11.171552640594344</v>
      </c>
      <c r="D245" s="21">
        <v>11.791925110076898</v>
      </c>
    </row>
    <row r="246" spans="1:4" x14ac:dyDescent="0.3">
      <c r="A246" s="17">
        <v>60301</v>
      </c>
      <c r="B246" s="13" t="s">
        <v>134</v>
      </c>
      <c r="C246" s="21">
        <v>8.0637849084562792</v>
      </c>
      <c r="D246" s="21">
        <v>8.2398000440086498</v>
      </c>
    </row>
    <row r="247" spans="1:4" x14ac:dyDescent="0.3">
      <c r="A247" s="17">
        <v>60302</v>
      </c>
      <c r="B247" s="13" t="s">
        <v>139</v>
      </c>
      <c r="C247" s="21">
        <v>6.4625938972382615</v>
      </c>
      <c r="D247" s="21">
        <v>2.1467980507073698</v>
      </c>
    </row>
    <row r="248" spans="1:4" x14ac:dyDescent="0.3">
      <c r="A248" s="17">
        <v>60303</v>
      </c>
      <c r="B248" s="13" t="s">
        <v>641</v>
      </c>
      <c r="C248" s="21">
        <v>6.982226840435497</v>
      </c>
      <c r="D248" s="21">
        <v>7.3427112080197565</v>
      </c>
    </row>
    <row r="249" spans="1:4" x14ac:dyDescent="0.3">
      <c r="A249" s="17">
        <v>60401</v>
      </c>
      <c r="B249" s="13" t="s">
        <v>138</v>
      </c>
      <c r="C249" s="21">
        <v>0</v>
      </c>
      <c r="D249" s="21">
        <v>8.3861961140774071</v>
      </c>
    </row>
    <row r="250" spans="1:4" x14ac:dyDescent="0.3">
      <c r="A250" s="17">
        <v>60402</v>
      </c>
      <c r="B250" s="13" t="s">
        <v>643</v>
      </c>
      <c r="C250" s="21">
        <v>0</v>
      </c>
      <c r="D250" s="21">
        <v>0</v>
      </c>
    </row>
    <row r="251" spans="1:4" x14ac:dyDescent="0.3">
      <c r="A251" s="17">
        <v>60501</v>
      </c>
      <c r="B251" s="13" t="s">
        <v>191</v>
      </c>
      <c r="C251" s="21">
        <v>8.7347501481717469</v>
      </c>
      <c r="D251" s="21">
        <v>3.2953272259935411</v>
      </c>
    </row>
    <row r="252" spans="1:4" x14ac:dyDescent="0.3">
      <c r="A252" s="17">
        <v>60502</v>
      </c>
      <c r="B252" s="13" t="s">
        <v>349</v>
      </c>
      <c r="C252" s="21">
        <v>3.193153878085385</v>
      </c>
      <c r="D252" s="21">
        <v>0</v>
      </c>
    </row>
    <row r="253" spans="1:4" x14ac:dyDescent="0.3">
      <c r="A253" s="17">
        <v>60601</v>
      </c>
      <c r="B253" s="13" t="s">
        <v>71</v>
      </c>
      <c r="C253" s="21">
        <v>3.1044717806428133</v>
      </c>
      <c r="D253" s="21">
        <v>0</v>
      </c>
    </row>
    <row r="254" spans="1:4" x14ac:dyDescent="0.3">
      <c r="A254" s="17">
        <v>70101</v>
      </c>
      <c r="B254" s="13" t="s">
        <v>141</v>
      </c>
      <c r="C254" s="21">
        <v>4.7850169203205128</v>
      </c>
      <c r="D254" s="21">
        <v>2.3572643999280429</v>
      </c>
    </row>
    <row r="255" spans="1:4" x14ac:dyDescent="0.3">
      <c r="A255" s="17">
        <v>70102</v>
      </c>
      <c r="B255" s="13" t="s">
        <v>145</v>
      </c>
      <c r="C255" s="21">
        <v>5.0082143792795648</v>
      </c>
      <c r="D255" s="21">
        <v>11.054404858717085</v>
      </c>
    </row>
    <row r="256" spans="1:4" x14ac:dyDescent="0.3">
      <c r="A256" s="17">
        <v>70103</v>
      </c>
      <c r="B256" s="13" t="s">
        <v>157</v>
      </c>
      <c r="C256" s="21">
        <v>0</v>
      </c>
      <c r="D256" s="21">
        <v>10.3867474249344</v>
      </c>
    </row>
    <row r="257" spans="1:4" x14ac:dyDescent="0.3">
      <c r="A257" s="17">
        <v>70104</v>
      </c>
      <c r="B257" s="13" t="s">
        <v>153</v>
      </c>
      <c r="C257" s="21">
        <v>7.027610759671771</v>
      </c>
      <c r="D257" s="21">
        <v>2.6001709740262782</v>
      </c>
    </row>
    <row r="258" spans="1:4" x14ac:dyDescent="0.3">
      <c r="A258" s="17">
        <v>70105</v>
      </c>
      <c r="B258" s="13" t="s">
        <v>155</v>
      </c>
      <c r="C258" s="21">
        <v>10.770656403672831</v>
      </c>
      <c r="D258" s="21">
        <v>4.8207796533970635</v>
      </c>
    </row>
    <row r="259" spans="1:4" x14ac:dyDescent="0.3">
      <c r="A259" s="17">
        <v>70201</v>
      </c>
      <c r="B259" s="13" t="s">
        <v>142</v>
      </c>
      <c r="C259" s="21">
        <v>6.6767373909688947</v>
      </c>
      <c r="D259" s="21">
        <v>18.623156724242673</v>
      </c>
    </row>
    <row r="260" spans="1:4" x14ac:dyDescent="0.3">
      <c r="A260" s="17">
        <v>70202</v>
      </c>
      <c r="B260" s="13" t="s">
        <v>169</v>
      </c>
      <c r="C260" s="21">
        <v>0</v>
      </c>
      <c r="D260" s="21">
        <v>0</v>
      </c>
    </row>
    <row r="261" spans="1:4" x14ac:dyDescent="0.3">
      <c r="A261" s="17">
        <v>70301</v>
      </c>
      <c r="B261" s="13" t="s">
        <v>147</v>
      </c>
      <c r="C261" s="21">
        <v>6.0484979201502176</v>
      </c>
      <c r="D261" s="21">
        <v>9.6259467489383184</v>
      </c>
    </row>
    <row r="262" spans="1:4" x14ac:dyDescent="0.3">
      <c r="A262" s="17">
        <v>70302</v>
      </c>
      <c r="B262" s="13" t="s">
        <v>176</v>
      </c>
      <c r="C262" s="21">
        <v>2.5094732615623978</v>
      </c>
      <c r="D262" s="21">
        <v>2.2851397362948744</v>
      </c>
    </row>
    <row r="263" spans="1:4" x14ac:dyDescent="0.3">
      <c r="A263" s="17">
        <v>70303</v>
      </c>
      <c r="B263" s="13" t="s">
        <v>166</v>
      </c>
      <c r="C263" s="21">
        <v>0</v>
      </c>
      <c r="D263" s="21">
        <v>7.9440737210041306</v>
      </c>
    </row>
    <row r="264" spans="1:4" x14ac:dyDescent="0.3">
      <c r="A264" s="17">
        <v>70401</v>
      </c>
      <c r="B264" s="13" t="s">
        <v>651</v>
      </c>
      <c r="C264" s="21">
        <v>0</v>
      </c>
      <c r="D264" s="21">
        <v>0</v>
      </c>
    </row>
    <row r="265" spans="1:4" x14ac:dyDescent="0.3">
      <c r="A265" s="17">
        <v>70402</v>
      </c>
      <c r="B265" s="13" t="s">
        <v>174</v>
      </c>
      <c r="C265" s="21">
        <v>0</v>
      </c>
      <c r="D265" s="21">
        <v>1.742099578411902</v>
      </c>
    </row>
    <row r="266" spans="1:4" x14ac:dyDescent="0.3">
      <c r="A266" s="17">
        <v>70403</v>
      </c>
      <c r="B266" s="13" t="s">
        <v>143</v>
      </c>
      <c r="C266" s="21">
        <v>9.8113553783854943</v>
      </c>
      <c r="D266" s="21">
        <v>14.62113201787165</v>
      </c>
    </row>
    <row r="267" spans="1:4" x14ac:dyDescent="0.3">
      <c r="A267" s="17">
        <v>70404</v>
      </c>
      <c r="B267" s="13" t="s">
        <v>652</v>
      </c>
      <c r="C267" s="21">
        <v>0</v>
      </c>
      <c r="D267" s="21">
        <v>0</v>
      </c>
    </row>
    <row r="268" spans="1:4" x14ac:dyDescent="0.3">
      <c r="A268" s="17">
        <v>70501</v>
      </c>
      <c r="B268" s="13" t="s">
        <v>151</v>
      </c>
      <c r="C268" s="21">
        <v>0</v>
      </c>
      <c r="D268" s="21">
        <v>12.578211383612325</v>
      </c>
    </row>
    <row r="269" spans="1:4" x14ac:dyDescent="0.3">
      <c r="A269" s="17">
        <v>70502</v>
      </c>
      <c r="B269" s="13" t="s">
        <v>149</v>
      </c>
      <c r="C269" s="21">
        <v>1.4225782343210247</v>
      </c>
      <c r="D269" s="21">
        <v>11.94449551817992</v>
      </c>
    </row>
    <row r="270" spans="1:4" x14ac:dyDescent="0.3">
      <c r="A270" s="17">
        <v>70503</v>
      </c>
      <c r="B270" s="13" t="s">
        <v>173</v>
      </c>
      <c r="C270" s="21">
        <v>0</v>
      </c>
      <c r="D270" s="21">
        <v>1.8271848562919111</v>
      </c>
    </row>
    <row r="271" spans="1:4" x14ac:dyDescent="0.3">
      <c r="A271" s="17">
        <v>70601</v>
      </c>
      <c r="B271" s="13" t="s">
        <v>154</v>
      </c>
      <c r="C271" s="21">
        <v>10.292681887262749</v>
      </c>
      <c r="D271" s="21">
        <v>14.688286046409752</v>
      </c>
    </row>
    <row r="272" spans="1:4" x14ac:dyDescent="0.3">
      <c r="A272" s="17">
        <v>70602</v>
      </c>
      <c r="B272" s="13" t="s">
        <v>171</v>
      </c>
      <c r="C272" s="21">
        <v>0</v>
      </c>
      <c r="D272" s="21">
        <v>1.8415188847761632</v>
      </c>
    </row>
    <row r="273" spans="1:4" x14ac:dyDescent="0.3">
      <c r="A273" s="17">
        <v>70603</v>
      </c>
      <c r="B273" s="13" t="s">
        <v>656</v>
      </c>
      <c r="C273" s="21">
        <v>0</v>
      </c>
      <c r="D273" s="21">
        <v>0</v>
      </c>
    </row>
    <row r="274" spans="1:4" x14ac:dyDescent="0.3">
      <c r="A274" s="17">
        <v>70701</v>
      </c>
      <c r="B274" s="13" t="s">
        <v>658</v>
      </c>
      <c r="C274" s="21">
        <v>0</v>
      </c>
      <c r="D274" s="21">
        <v>0</v>
      </c>
    </row>
    <row r="275" spans="1:4" x14ac:dyDescent="0.3">
      <c r="A275" s="17">
        <v>70702</v>
      </c>
      <c r="B275" s="13" t="s">
        <v>167</v>
      </c>
      <c r="C275" s="21">
        <v>0.95829500153327196</v>
      </c>
      <c r="D275" s="21">
        <v>0.89171860927565694</v>
      </c>
    </row>
    <row r="276" spans="1:4" x14ac:dyDescent="0.3">
      <c r="A276" s="17">
        <v>70703</v>
      </c>
      <c r="B276" s="13" t="s">
        <v>159</v>
      </c>
      <c r="C276" s="21">
        <v>4.4694864351905093</v>
      </c>
      <c r="D276" s="21">
        <v>6.1526314859178344</v>
      </c>
    </row>
    <row r="277" spans="1:4" x14ac:dyDescent="0.3">
      <c r="A277" s="17">
        <v>70704</v>
      </c>
      <c r="B277" s="13" t="s">
        <v>659</v>
      </c>
      <c r="C277" s="21">
        <v>0</v>
      </c>
      <c r="D277" s="21">
        <v>0</v>
      </c>
    </row>
    <row r="278" spans="1:4" x14ac:dyDescent="0.3">
      <c r="A278" s="17">
        <v>70705</v>
      </c>
      <c r="B278" s="13" t="s">
        <v>371</v>
      </c>
      <c r="C278" s="21">
        <v>2.4678561733422177</v>
      </c>
      <c r="D278" s="21">
        <v>0</v>
      </c>
    </row>
    <row r="279" spans="1:4" x14ac:dyDescent="0.3">
      <c r="A279" s="17">
        <v>70706</v>
      </c>
      <c r="B279" s="13" t="s">
        <v>156</v>
      </c>
      <c r="C279" s="21">
        <v>4.0249902289357129</v>
      </c>
      <c r="D279" s="21">
        <v>10.279516619804758</v>
      </c>
    </row>
    <row r="280" spans="1:4" x14ac:dyDescent="0.3">
      <c r="A280" s="17">
        <v>70707</v>
      </c>
      <c r="B280" s="13" t="s">
        <v>660</v>
      </c>
      <c r="C280" s="21">
        <v>0</v>
      </c>
      <c r="D280" s="21">
        <v>0</v>
      </c>
    </row>
    <row r="281" spans="1:4" x14ac:dyDescent="0.3">
      <c r="A281" s="17">
        <v>70801</v>
      </c>
      <c r="B281" s="13" t="s">
        <v>162</v>
      </c>
      <c r="C281" s="21">
        <v>3.8703434929850022</v>
      </c>
      <c r="D281" s="21">
        <v>3.8656306776450577</v>
      </c>
    </row>
    <row r="282" spans="1:4" x14ac:dyDescent="0.3">
      <c r="A282" s="17">
        <v>70802</v>
      </c>
      <c r="B282" s="13" t="s">
        <v>661</v>
      </c>
      <c r="C282" s="21">
        <v>0</v>
      </c>
      <c r="D282" s="21">
        <v>0</v>
      </c>
    </row>
    <row r="283" spans="1:4" x14ac:dyDescent="0.3">
      <c r="A283" s="17">
        <v>70803</v>
      </c>
      <c r="B283" s="13" t="s">
        <v>662</v>
      </c>
      <c r="C283" s="21">
        <v>0</v>
      </c>
      <c r="D283" s="21">
        <v>0</v>
      </c>
    </row>
    <row r="284" spans="1:4" x14ac:dyDescent="0.3">
      <c r="A284" s="17">
        <v>70804</v>
      </c>
      <c r="B284" s="13" t="s">
        <v>664</v>
      </c>
      <c r="C284" s="21">
        <v>0</v>
      </c>
      <c r="D284" s="21">
        <v>0</v>
      </c>
    </row>
    <row r="285" spans="1:4" x14ac:dyDescent="0.3">
      <c r="A285" s="17">
        <v>70805</v>
      </c>
      <c r="B285" s="13" t="s">
        <v>665</v>
      </c>
      <c r="C285" s="21">
        <v>16.33986928104575</v>
      </c>
      <c r="D285" s="21">
        <v>0</v>
      </c>
    </row>
    <row r="286" spans="1:4" x14ac:dyDescent="0.3">
      <c r="A286" s="17">
        <v>70901</v>
      </c>
      <c r="B286" s="13" t="s">
        <v>164</v>
      </c>
      <c r="C286" s="21">
        <v>0</v>
      </c>
      <c r="D286" s="21">
        <v>2.8146021559852517</v>
      </c>
    </row>
    <row r="287" spans="1:4" x14ac:dyDescent="0.3">
      <c r="A287" s="17">
        <v>70902</v>
      </c>
      <c r="B287" s="13" t="s">
        <v>168</v>
      </c>
      <c r="C287" s="21">
        <v>0</v>
      </c>
      <c r="D287" s="21">
        <v>0</v>
      </c>
    </row>
    <row r="288" spans="1:4" x14ac:dyDescent="0.3">
      <c r="A288" s="17">
        <v>70903</v>
      </c>
      <c r="B288" s="13" t="s">
        <v>163</v>
      </c>
      <c r="C288" s="21">
        <v>0</v>
      </c>
      <c r="D288" s="21">
        <v>10.83218241395185</v>
      </c>
    </row>
    <row r="289" spans="1:4" x14ac:dyDescent="0.3">
      <c r="A289" s="17">
        <v>70904</v>
      </c>
      <c r="B289" s="13" t="s">
        <v>667</v>
      </c>
      <c r="C289" s="21">
        <v>0</v>
      </c>
      <c r="D289" s="21">
        <v>0</v>
      </c>
    </row>
    <row r="290" spans="1:4" x14ac:dyDescent="0.3">
      <c r="A290" s="17">
        <v>71001</v>
      </c>
      <c r="B290" s="13" t="s">
        <v>144</v>
      </c>
      <c r="C290" s="21">
        <v>6.5073799950984688</v>
      </c>
      <c r="D290" s="21">
        <v>6.3567535046632244</v>
      </c>
    </row>
    <row r="291" spans="1:4" x14ac:dyDescent="0.3">
      <c r="A291" s="17">
        <v>71002</v>
      </c>
      <c r="B291" s="13" t="s">
        <v>669</v>
      </c>
      <c r="C291" s="21">
        <v>0</v>
      </c>
      <c r="D291" s="21">
        <v>2.032644266926845</v>
      </c>
    </row>
    <row r="292" spans="1:4" x14ac:dyDescent="0.3">
      <c r="A292" s="17">
        <v>71003</v>
      </c>
      <c r="B292" s="13" t="s">
        <v>158</v>
      </c>
      <c r="C292" s="21">
        <v>2.8766632636578122</v>
      </c>
      <c r="D292" s="21">
        <v>4.3233897960388239</v>
      </c>
    </row>
    <row r="293" spans="1:4" x14ac:dyDescent="0.3">
      <c r="A293" s="17">
        <v>71004</v>
      </c>
      <c r="B293" s="13" t="s">
        <v>165</v>
      </c>
      <c r="C293" s="21">
        <v>0</v>
      </c>
      <c r="D293" s="21">
        <v>2.2683452421458545</v>
      </c>
    </row>
    <row r="294" spans="1:4" x14ac:dyDescent="0.3">
      <c r="A294" s="17">
        <v>71005</v>
      </c>
      <c r="B294" s="13" t="s">
        <v>172</v>
      </c>
      <c r="C294" s="21">
        <v>0</v>
      </c>
      <c r="D294" s="21">
        <v>0</v>
      </c>
    </row>
    <row r="295" spans="1:4" x14ac:dyDescent="0.3">
      <c r="A295" s="17">
        <v>71101</v>
      </c>
      <c r="B295" s="13" t="s">
        <v>175</v>
      </c>
      <c r="C295" s="21">
        <v>0</v>
      </c>
      <c r="D295" s="21">
        <v>0</v>
      </c>
    </row>
    <row r="296" spans="1:4" x14ac:dyDescent="0.3">
      <c r="A296" s="17">
        <v>71102</v>
      </c>
      <c r="B296" s="13" t="s">
        <v>671</v>
      </c>
      <c r="C296" s="21">
        <v>0</v>
      </c>
      <c r="D296" s="21">
        <v>0</v>
      </c>
    </row>
    <row r="297" spans="1:4" x14ac:dyDescent="0.3">
      <c r="A297" s="17">
        <v>71103</v>
      </c>
      <c r="B297" s="13" t="s">
        <v>186</v>
      </c>
      <c r="C297" s="21">
        <v>0</v>
      </c>
      <c r="D297" s="21">
        <v>0</v>
      </c>
    </row>
    <row r="298" spans="1:4" x14ac:dyDescent="0.3">
      <c r="A298" s="17">
        <v>71104</v>
      </c>
      <c r="B298" s="13" t="s">
        <v>161</v>
      </c>
      <c r="C298" s="21">
        <v>1.4376801592949615</v>
      </c>
      <c r="D298" s="21">
        <v>2.2095971477860279</v>
      </c>
    </row>
    <row r="299" spans="1:4" x14ac:dyDescent="0.3">
      <c r="A299" s="17">
        <v>71105</v>
      </c>
      <c r="B299" s="13" t="s">
        <v>672</v>
      </c>
      <c r="C299" s="21">
        <v>0</v>
      </c>
      <c r="D299" s="21">
        <v>0</v>
      </c>
    </row>
    <row r="300" spans="1:4" x14ac:dyDescent="0.3">
      <c r="A300" s="17">
        <v>71106</v>
      </c>
      <c r="B300" s="13" t="s">
        <v>673</v>
      </c>
      <c r="C300" s="21">
        <v>0</v>
      </c>
      <c r="D300" s="21">
        <v>0</v>
      </c>
    </row>
    <row r="301" spans="1:4" x14ac:dyDescent="0.3">
      <c r="A301" s="17">
        <v>71201</v>
      </c>
      <c r="B301" s="13" t="s">
        <v>150</v>
      </c>
      <c r="C301" s="21">
        <v>26.723365498859611</v>
      </c>
      <c r="D301" s="21">
        <v>41.43173409602106</v>
      </c>
    </row>
    <row r="302" spans="1:4" x14ac:dyDescent="0.3">
      <c r="A302" s="17">
        <v>71301</v>
      </c>
      <c r="B302" s="13" t="s">
        <v>160</v>
      </c>
      <c r="C302" s="21">
        <v>0</v>
      </c>
      <c r="D302" s="21">
        <v>11.679651707508084</v>
      </c>
    </row>
    <row r="303" spans="1:4" x14ac:dyDescent="0.3">
      <c r="A303" s="17">
        <v>71302</v>
      </c>
      <c r="B303" s="13" t="s">
        <v>676</v>
      </c>
      <c r="C303" s="21">
        <v>0</v>
      </c>
      <c r="D303" s="21">
        <v>0</v>
      </c>
    </row>
    <row r="304" spans="1:4" x14ac:dyDescent="0.3">
      <c r="A304" s="17">
        <v>71401</v>
      </c>
      <c r="B304" s="13" t="s">
        <v>148</v>
      </c>
      <c r="C304" s="21">
        <v>5.4087628826043179</v>
      </c>
      <c r="D304" s="21">
        <v>39.735540324169712</v>
      </c>
    </row>
    <row r="305" spans="1:4" x14ac:dyDescent="0.3">
      <c r="A305" s="17">
        <v>71402</v>
      </c>
      <c r="B305" s="13" t="s">
        <v>146</v>
      </c>
      <c r="C305" s="21">
        <v>5.750591822168424</v>
      </c>
      <c r="D305" s="21">
        <v>59.653521482698828</v>
      </c>
    </row>
    <row r="306" spans="1:4" x14ac:dyDescent="0.3">
      <c r="A306" s="17">
        <v>71403</v>
      </c>
      <c r="B306" s="13" t="s">
        <v>678</v>
      </c>
      <c r="C306" s="21">
        <v>0</v>
      </c>
      <c r="D306" s="21">
        <v>0</v>
      </c>
    </row>
    <row r="307" spans="1:4" x14ac:dyDescent="0.3">
      <c r="A307" s="17">
        <v>71501</v>
      </c>
      <c r="B307" s="13" t="s">
        <v>680</v>
      </c>
      <c r="C307" s="21">
        <v>4.3412606654574608</v>
      </c>
      <c r="D307" s="21">
        <v>12.852589847771027</v>
      </c>
    </row>
    <row r="308" spans="1:4" x14ac:dyDescent="0.3">
      <c r="A308" s="17">
        <v>71502</v>
      </c>
      <c r="B308" s="13" t="s">
        <v>681</v>
      </c>
      <c r="C308" s="21">
        <v>0</v>
      </c>
      <c r="D308" s="21">
        <v>0</v>
      </c>
    </row>
    <row r="309" spans="1:4" x14ac:dyDescent="0.3">
      <c r="A309" s="17">
        <v>71503</v>
      </c>
      <c r="B309" s="13" t="s">
        <v>349</v>
      </c>
      <c r="C309" s="21">
        <v>2.1519259737465033</v>
      </c>
      <c r="D309" s="21">
        <v>0</v>
      </c>
    </row>
    <row r="310" spans="1:4" x14ac:dyDescent="0.3">
      <c r="A310" s="17">
        <v>80101</v>
      </c>
      <c r="B310" s="13" t="s">
        <v>179</v>
      </c>
      <c r="C310" s="21">
        <v>15.074765054573566</v>
      </c>
      <c r="D310" s="21">
        <v>3.7011121043159139</v>
      </c>
    </row>
    <row r="311" spans="1:4" x14ac:dyDescent="0.3">
      <c r="A311" s="17">
        <v>80102</v>
      </c>
      <c r="B311" s="13" t="s">
        <v>671</v>
      </c>
      <c r="C311" s="21">
        <v>0</v>
      </c>
      <c r="D311" s="21">
        <v>0</v>
      </c>
    </row>
    <row r="312" spans="1:4" x14ac:dyDescent="0.3">
      <c r="A312" s="17">
        <v>80201</v>
      </c>
      <c r="B312" s="13" t="s">
        <v>178</v>
      </c>
      <c r="C312" s="21">
        <v>12.802400071304897</v>
      </c>
      <c r="D312" s="21">
        <v>8.8783693197086038</v>
      </c>
    </row>
    <row r="313" spans="1:4" x14ac:dyDescent="0.3">
      <c r="A313" s="17">
        <v>80202</v>
      </c>
      <c r="B313" s="13" t="s">
        <v>180</v>
      </c>
      <c r="C313" s="21">
        <v>10.337227814296462</v>
      </c>
      <c r="D313" s="21">
        <v>15.074701139994721</v>
      </c>
    </row>
    <row r="314" spans="1:4" x14ac:dyDescent="0.3">
      <c r="A314" s="17">
        <v>80301</v>
      </c>
      <c r="B314" s="13" t="s">
        <v>685</v>
      </c>
      <c r="C314" s="21">
        <v>0</v>
      </c>
      <c r="D314" s="21">
        <v>0</v>
      </c>
    </row>
    <row r="315" spans="1:4" x14ac:dyDescent="0.3">
      <c r="A315" s="17">
        <v>80302</v>
      </c>
      <c r="B315" s="13" t="s">
        <v>181</v>
      </c>
      <c r="C315" s="21">
        <v>5.3851822043108593</v>
      </c>
      <c r="D315" s="21">
        <v>7.3447287138932547</v>
      </c>
    </row>
    <row r="316" spans="1:4" x14ac:dyDescent="0.3">
      <c r="A316" s="17">
        <v>80303</v>
      </c>
      <c r="B316" s="13" t="s">
        <v>185</v>
      </c>
      <c r="C316" s="21">
        <v>0</v>
      </c>
      <c r="D316" s="21">
        <v>2.9970628783791882</v>
      </c>
    </row>
    <row r="317" spans="1:4" x14ac:dyDescent="0.3">
      <c r="A317" s="17">
        <v>80304</v>
      </c>
      <c r="B317" s="13" t="s">
        <v>686</v>
      </c>
      <c r="C317" s="21">
        <v>4.9048459878359818</v>
      </c>
      <c r="D317" s="21">
        <v>14.200549191206667</v>
      </c>
    </row>
    <row r="318" spans="1:4" x14ac:dyDescent="0.3">
      <c r="A318" s="17">
        <v>80401</v>
      </c>
      <c r="B318" s="13" t="s">
        <v>688</v>
      </c>
      <c r="C318" s="21">
        <v>1.9054151899698943</v>
      </c>
      <c r="D318" s="21">
        <v>12.952184518832928</v>
      </c>
    </row>
    <row r="319" spans="1:4" x14ac:dyDescent="0.3">
      <c r="A319" s="17">
        <v>80402</v>
      </c>
      <c r="B319" s="13" t="s">
        <v>187</v>
      </c>
      <c r="C319" s="21">
        <v>0</v>
      </c>
      <c r="D319" s="21">
        <v>4.3083020981431224</v>
      </c>
    </row>
    <row r="320" spans="1:4" x14ac:dyDescent="0.3">
      <c r="A320" s="17">
        <v>80501</v>
      </c>
      <c r="B320" s="13" t="s">
        <v>397</v>
      </c>
      <c r="C320" s="21">
        <v>1.6171809302024711</v>
      </c>
      <c r="D320" s="21">
        <v>0</v>
      </c>
    </row>
    <row r="321" spans="1:4" x14ac:dyDescent="0.3">
      <c r="A321" s="17">
        <v>80601</v>
      </c>
      <c r="B321" s="13" t="s">
        <v>399</v>
      </c>
      <c r="C321" s="21">
        <v>8.3084081090063133</v>
      </c>
      <c r="D321" s="21">
        <v>0</v>
      </c>
    </row>
    <row r="322" spans="1:4" x14ac:dyDescent="0.3">
      <c r="A322" s="17">
        <v>80602</v>
      </c>
      <c r="B322" s="13" t="s">
        <v>691</v>
      </c>
      <c r="C322" s="21">
        <v>0</v>
      </c>
      <c r="D322" s="21">
        <v>0</v>
      </c>
    </row>
    <row r="323" spans="1:4" x14ac:dyDescent="0.3">
      <c r="A323" s="17">
        <v>80701</v>
      </c>
      <c r="B323" s="13" t="s">
        <v>401</v>
      </c>
      <c r="C323" s="21">
        <v>4.8640498078700327</v>
      </c>
      <c r="D323" s="21">
        <v>0</v>
      </c>
    </row>
    <row r="324" spans="1:4" x14ac:dyDescent="0.3">
      <c r="A324" s="17">
        <v>80702</v>
      </c>
      <c r="B324" s="13" t="s">
        <v>186</v>
      </c>
      <c r="C324" s="21">
        <v>0</v>
      </c>
      <c r="D324" s="21">
        <v>6.1728395061728394</v>
      </c>
    </row>
    <row r="325" spans="1:4" x14ac:dyDescent="0.3">
      <c r="A325" s="17">
        <v>80703</v>
      </c>
      <c r="B325" s="13" t="s">
        <v>693</v>
      </c>
      <c r="C325" s="21">
        <v>0</v>
      </c>
      <c r="D325" s="21">
        <v>0</v>
      </c>
    </row>
    <row r="326" spans="1:4" x14ac:dyDescent="0.3">
      <c r="A326" s="17">
        <v>80801</v>
      </c>
      <c r="B326" s="13" t="s">
        <v>404</v>
      </c>
      <c r="C326" s="21">
        <v>2.7861361863367882</v>
      </c>
      <c r="D326" s="21">
        <v>0</v>
      </c>
    </row>
    <row r="327" spans="1:4" x14ac:dyDescent="0.3">
      <c r="A327" s="17">
        <v>80802</v>
      </c>
      <c r="B327" s="13" t="s">
        <v>695</v>
      </c>
      <c r="C327" s="21">
        <v>0</v>
      </c>
      <c r="D327" s="21">
        <v>0</v>
      </c>
    </row>
    <row r="328" spans="1:4" x14ac:dyDescent="0.3">
      <c r="A328" s="17">
        <v>80803</v>
      </c>
      <c r="B328" s="13" t="s">
        <v>184</v>
      </c>
      <c r="C328" s="21">
        <v>0</v>
      </c>
      <c r="D328" s="21">
        <v>7.1994240460763139</v>
      </c>
    </row>
    <row r="329" spans="1:4" x14ac:dyDescent="0.3">
      <c r="A329" s="17">
        <v>80901</v>
      </c>
      <c r="B329" s="13" t="s">
        <v>696</v>
      </c>
      <c r="C329" s="21">
        <v>0</v>
      </c>
      <c r="D329" s="21">
        <v>0</v>
      </c>
    </row>
    <row r="330" spans="1:4" x14ac:dyDescent="0.3">
      <c r="A330" s="17">
        <v>90101</v>
      </c>
      <c r="B330" s="13" t="s">
        <v>189</v>
      </c>
      <c r="C330" s="21">
        <v>17.700129490419133</v>
      </c>
      <c r="D330" s="21">
        <v>25.211455711794553</v>
      </c>
    </row>
    <row r="331" spans="1:4" x14ac:dyDescent="0.3">
      <c r="A331" s="17">
        <v>90102</v>
      </c>
      <c r="B331" s="13" t="s">
        <v>698</v>
      </c>
      <c r="C331" s="21">
        <v>0</v>
      </c>
      <c r="D331" s="21">
        <v>0</v>
      </c>
    </row>
    <row r="332" spans="1:4" x14ac:dyDescent="0.3">
      <c r="A332" s="17">
        <v>90103</v>
      </c>
      <c r="B332" s="13" t="s">
        <v>194</v>
      </c>
      <c r="C332" s="21">
        <v>0</v>
      </c>
      <c r="D332" s="21">
        <v>13.67801942278758</v>
      </c>
    </row>
    <row r="333" spans="1:4" x14ac:dyDescent="0.3">
      <c r="A333" s="17">
        <v>90104</v>
      </c>
      <c r="B333" s="13" t="s">
        <v>193</v>
      </c>
      <c r="C333" s="21">
        <v>0</v>
      </c>
      <c r="D333" s="21">
        <v>9.0653612546459978</v>
      </c>
    </row>
    <row r="334" spans="1:4" x14ac:dyDescent="0.3">
      <c r="A334" s="17">
        <v>90201</v>
      </c>
      <c r="B334" s="13" t="s">
        <v>192</v>
      </c>
      <c r="C334" s="21">
        <v>4.9684503403388485</v>
      </c>
      <c r="D334" s="21">
        <v>4.6431722152574642</v>
      </c>
    </row>
    <row r="335" spans="1:4" x14ac:dyDescent="0.3">
      <c r="A335" s="17">
        <v>90202</v>
      </c>
      <c r="B335" s="13" t="s">
        <v>172</v>
      </c>
      <c r="C335" s="21">
        <v>0</v>
      </c>
      <c r="D335" s="21">
        <v>0</v>
      </c>
    </row>
    <row r="336" spans="1:4" x14ac:dyDescent="0.3">
      <c r="A336" s="17">
        <v>90203</v>
      </c>
      <c r="B336" s="13" t="s">
        <v>700</v>
      </c>
      <c r="C336" s="21">
        <v>0</v>
      </c>
      <c r="D336" s="21">
        <v>0</v>
      </c>
    </row>
    <row r="337" spans="1:4" x14ac:dyDescent="0.3">
      <c r="A337" s="17">
        <v>90301</v>
      </c>
      <c r="B337" s="13" t="s">
        <v>702</v>
      </c>
      <c r="C337" s="21">
        <v>0</v>
      </c>
      <c r="D337" s="21">
        <v>0</v>
      </c>
    </row>
    <row r="338" spans="1:4" x14ac:dyDescent="0.3">
      <c r="A338" s="17">
        <v>90302</v>
      </c>
      <c r="B338" s="13" t="s">
        <v>191</v>
      </c>
      <c r="C338" s="21">
        <v>0</v>
      </c>
      <c r="D338" s="21">
        <v>3.5202590910691023</v>
      </c>
    </row>
    <row r="339" spans="1:4" x14ac:dyDescent="0.3">
      <c r="A339" s="17">
        <v>90303</v>
      </c>
      <c r="B339" s="13" t="s">
        <v>703</v>
      </c>
      <c r="C339" s="21">
        <v>0</v>
      </c>
      <c r="D339" s="21">
        <v>6.5713816329883352</v>
      </c>
    </row>
    <row r="340" spans="1:4" x14ac:dyDescent="0.3">
      <c r="A340" s="17">
        <v>90401</v>
      </c>
      <c r="B340" s="13" t="s">
        <v>185</v>
      </c>
      <c r="C340" s="21">
        <v>0</v>
      </c>
      <c r="D340" s="21">
        <v>0</v>
      </c>
    </row>
    <row r="341" spans="1:4" x14ac:dyDescent="0.3">
      <c r="A341" s="17">
        <v>90402</v>
      </c>
      <c r="B341" s="13" t="s">
        <v>481</v>
      </c>
      <c r="C341" s="21">
        <v>0</v>
      </c>
      <c r="D341" s="21">
        <v>0</v>
      </c>
    </row>
    <row r="342" spans="1:4" x14ac:dyDescent="0.3">
      <c r="A342" s="17">
        <v>90501</v>
      </c>
      <c r="B342" s="13" t="s">
        <v>706</v>
      </c>
      <c r="C342" s="21">
        <v>0</v>
      </c>
      <c r="D342" s="21">
        <v>0</v>
      </c>
    </row>
    <row r="343" spans="1:4" x14ac:dyDescent="0.3">
      <c r="A343" s="17">
        <v>90502</v>
      </c>
      <c r="B343" s="13" t="s">
        <v>707</v>
      </c>
      <c r="C343" s="21">
        <v>0</v>
      </c>
      <c r="D343" s="21">
        <v>0</v>
      </c>
    </row>
    <row r="344" spans="1:4" x14ac:dyDescent="0.3">
      <c r="A344" s="17">
        <v>90503</v>
      </c>
      <c r="B344" s="13" t="s">
        <v>709</v>
      </c>
      <c r="C344" s="21">
        <v>0</v>
      </c>
      <c r="D344" s="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EE83-A514-4A95-B76D-D3E9BF71B609}">
  <dimension ref="A1:D344"/>
  <sheetViews>
    <sheetView workbookViewId="0">
      <selection activeCell="G15" sqref="G15"/>
    </sheetView>
  </sheetViews>
  <sheetFormatPr baseColWidth="10" defaultRowHeight="14.4" x14ac:dyDescent="0.3"/>
  <cols>
    <col min="2" max="2" width="36.44140625" bestFit="1" customWidth="1"/>
    <col min="3" max="3" width="28.6640625" customWidth="1"/>
    <col min="4" max="4" width="28.5546875" customWidth="1"/>
  </cols>
  <sheetData>
    <row r="1" spans="1:4" ht="43.2" x14ac:dyDescent="0.3">
      <c r="A1" s="22" t="s">
        <v>732</v>
      </c>
      <c r="B1" s="22" t="s">
        <v>422</v>
      </c>
      <c r="C1" s="18" t="s">
        <v>734</v>
      </c>
      <c r="D1" s="18" t="s">
        <v>735</v>
      </c>
    </row>
    <row r="2" spans="1:4" x14ac:dyDescent="0.3">
      <c r="A2" s="17">
        <v>10101</v>
      </c>
      <c r="B2" s="13" t="s">
        <v>11</v>
      </c>
      <c r="C2" s="13">
        <v>15</v>
      </c>
      <c r="D2" s="13">
        <v>7</v>
      </c>
    </row>
    <row r="3" spans="1:4" x14ac:dyDescent="0.3">
      <c r="A3" s="17">
        <v>10102</v>
      </c>
      <c r="B3" s="13" t="s">
        <v>22</v>
      </c>
      <c r="C3" s="13">
        <v>0</v>
      </c>
      <c r="D3" s="13">
        <v>0</v>
      </c>
    </row>
    <row r="4" spans="1:4" x14ac:dyDescent="0.3">
      <c r="A4" s="17">
        <v>10103</v>
      </c>
      <c r="B4" s="13" t="s">
        <v>19</v>
      </c>
      <c r="C4" s="13">
        <v>1</v>
      </c>
      <c r="D4" s="13">
        <v>0</v>
      </c>
    </row>
    <row r="5" spans="1:4" x14ac:dyDescent="0.3">
      <c r="A5" s="17">
        <v>10201</v>
      </c>
      <c r="B5" s="13" t="s">
        <v>427</v>
      </c>
      <c r="C5" s="13">
        <v>0</v>
      </c>
      <c r="D5" s="13">
        <v>0</v>
      </c>
    </row>
    <row r="6" spans="1:4" x14ac:dyDescent="0.3">
      <c r="A6" s="17">
        <v>10202</v>
      </c>
      <c r="B6" s="13" t="s">
        <v>23</v>
      </c>
      <c r="C6" s="13">
        <v>0</v>
      </c>
      <c r="D6" s="13">
        <v>0</v>
      </c>
    </row>
    <row r="7" spans="1:4" x14ac:dyDescent="0.3">
      <c r="A7" s="17">
        <v>10301</v>
      </c>
      <c r="B7" s="13" t="s">
        <v>430</v>
      </c>
      <c r="C7" s="13">
        <v>0</v>
      </c>
      <c r="D7" s="13">
        <v>0</v>
      </c>
    </row>
    <row r="8" spans="1:4" x14ac:dyDescent="0.3">
      <c r="A8" s="17">
        <v>10302</v>
      </c>
      <c r="B8" s="13" t="s">
        <v>432</v>
      </c>
      <c r="C8" s="13">
        <v>0</v>
      </c>
      <c r="D8" s="13">
        <v>0</v>
      </c>
    </row>
    <row r="9" spans="1:4" x14ac:dyDescent="0.3">
      <c r="A9" s="17">
        <v>10303</v>
      </c>
      <c r="B9" s="13" t="s">
        <v>433</v>
      </c>
      <c r="C9" s="13">
        <v>0</v>
      </c>
      <c r="D9" s="13">
        <v>0</v>
      </c>
    </row>
    <row r="10" spans="1:4" x14ac:dyDescent="0.3">
      <c r="A10" s="17">
        <v>10304</v>
      </c>
      <c r="B10" s="13" t="s">
        <v>435</v>
      </c>
      <c r="C10" s="13">
        <v>0</v>
      </c>
      <c r="D10" s="13">
        <v>0</v>
      </c>
    </row>
    <row r="11" spans="1:4" x14ac:dyDescent="0.3">
      <c r="A11" s="17">
        <v>10401</v>
      </c>
      <c r="B11" s="13" t="s">
        <v>15</v>
      </c>
      <c r="C11" s="13">
        <v>0</v>
      </c>
      <c r="D11" s="13">
        <v>0</v>
      </c>
    </row>
    <row r="12" spans="1:4" x14ac:dyDescent="0.3">
      <c r="A12" s="17">
        <v>10402</v>
      </c>
      <c r="B12" s="13" t="s">
        <v>436</v>
      </c>
      <c r="C12" s="13">
        <v>0</v>
      </c>
      <c r="D12" s="13">
        <v>0</v>
      </c>
    </row>
    <row r="13" spans="1:4" x14ac:dyDescent="0.3">
      <c r="A13" s="17">
        <v>10403</v>
      </c>
      <c r="B13" s="13" t="s">
        <v>21</v>
      </c>
      <c r="C13" s="13">
        <v>0</v>
      </c>
      <c r="D13" s="13">
        <v>0</v>
      </c>
    </row>
    <row r="14" spans="1:4" x14ac:dyDescent="0.3">
      <c r="A14" s="17">
        <v>10404</v>
      </c>
      <c r="B14" s="13" t="s">
        <v>439</v>
      </c>
      <c r="C14" s="13">
        <v>0</v>
      </c>
      <c r="D14" s="13">
        <v>0</v>
      </c>
    </row>
    <row r="15" spans="1:4" x14ac:dyDescent="0.3">
      <c r="A15" s="17">
        <v>10405</v>
      </c>
      <c r="B15" s="13" t="s">
        <v>441</v>
      </c>
      <c r="C15" s="13">
        <v>0</v>
      </c>
      <c r="D15" s="13">
        <v>0</v>
      </c>
    </row>
    <row r="16" spans="1:4" x14ac:dyDescent="0.3">
      <c r="A16" s="17">
        <v>10501</v>
      </c>
      <c r="B16" s="13" t="s">
        <v>12</v>
      </c>
      <c r="C16" s="13">
        <v>0</v>
      </c>
      <c r="D16" s="13">
        <v>1</v>
      </c>
    </row>
    <row r="17" spans="1:4" x14ac:dyDescent="0.3">
      <c r="A17" s="17">
        <v>10502</v>
      </c>
      <c r="B17" s="13" t="s">
        <v>443</v>
      </c>
      <c r="C17" s="13">
        <v>0</v>
      </c>
      <c r="D17" s="13">
        <v>0</v>
      </c>
    </row>
    <row r="18" spans="1:4" x14ac:dyDescent="0.3">
      <c r="A18" s="17">
        <v>10601</v>
      </c>
      <c r="B18" s="13" t="s">
        <v>444</v>
      </c>
      <c r="C18" s="13">
        <v>0</v>
      </c>
      <c r="D18" s="13">
        <v>0</v>
      </c>
    </row>
    <row r="19" spans="1:4" x14ac:dyDescent="0.3">
      <c r="A19" s="17">
        <v>10602</v>
      </c>
      <c r="B19" s="13" t="s">
        <v>20</v>
      </c>
      <c r="C19" s="13">
        <v>0</v>
      </c>
      <c r="D19" s="13">
        <v>0</v>
      </c>
    </row>
    <row r="20" spans="1:4" x14ac:dyDescent="0.3">
      <c r="A20" s="17">
        <v>10701</v>
      </c>
      <c r="B20" s="13" t="s">
        <v>14</v>
      </c>
      <c r="C20" s="13">
        <v>1</v>
      </c>
      <c r="D20" s="13">
        <v>1</v>
      </c>
    </row>
    <row r="21" spans="1:4" x14ac:dyDescent="0.3">
      <c r="A21" s="17">
        <v>10702</v>
      </c>
      <c r="B21" s="13" t="s">
        <v>13</v>
      </c>
      <c r="C21" s="13">
        <v>0</v>
      </c>
      <c r="D21" s="13">
        <v>1</v>
      </c>
    </row>
    <row r="22" spans="1:4" x14ac:dyDescent="0.3">
      <c r="A22" s="17">
        <v>10703</v>
      </c>
      <c r="B22" s="13" t="s">
        <v>17</v>
      </c>
      <c r="C22" s="13">
        <v>0</v>
      </c>
      <c r="D22" s="13">
        <v>1</v>
      </c>
    </row>
    <row r="23" spans="1:4" x14ac:dyDescent="0.3">
      <c r="A23" s="17">
        <v>10704</v>
      </c>
      <c r="B23" s="13" t="s">
        <v>24</v>
      </c>
      <c r="C23" s="13">
        <v>0</v>
      </c>
      <c r="D23" s="13">
        <v>0</v>
      </c>
    </row>
    <row r="24" spans="1:4" x14ac:dyDescent="0.3">
      <c r="A24" s="17">
        <v>10801</v>
      </c>
      <c r="B24" s="13" t="s">
        <v>447</v>
      </c>
      <c r="C24" s="13">
        <v>0</v>
      </c>
      <c r="D24" s="13">
        <v>0</v>
      </c>
    </row>
    <row r="25" spans="1:4" x14ac:dyDescent="0.3">
      <c r="A25" s="17">
        <v>10901</v>
      </c>
      <c r="B25" s="13" t="s">
        <v>449</v>
      </c>
      <c r="C25" s="13">
        <v>0</v>
      </c>
      <c r="D25" s="13">
        <v>0</v>
      </c>
    </row>
    <row r="26" spans="1:4" x14ac:dyDescent="0.3">
      <c r="A26" s="17">
        <v>10902</v>
      </c>
      <c r="B26" s="13" t="s">
        <v>16</v>
      </c>
      <c r="C26" s="13">
        <v>0</v>
      </c>
      <c r="D26" s="13">
        <v>0</v>
      </c>
    </row>
    <row r="27" spans="1:4" x14ac:dyDescent="0.3">
      <c r="A27" s="17">
        <v>10903</v>
      </c>
      <c r="B27" s="13" t="s">
        <v>450</v>
      </c>
      <c r="C27" s="13">
        <v>0</v>
      </c>
      <c r="D27" s="13">
        <v>0</v>
      </c>
    </row>
    <row r="28" spans="1:4" x14ac:dyDescent="0.3">
      <c r="A28" s="17">
        <v>11001</v>
      </c>
      <c r="B28" s="13" t="s">
        <v>452</v>
      </c>
      <c r="C28" s="13">
        <v>0</v>
      </c>
      <c r="D28" s="13">
        <v>0</v>
      </c>
    </row>
    <row r="29" spans="1:4" x14ac:dyDescent="0.3">
      <c r="A29" s="17">
        <v>11002</v>
      </c>
      <c r="B29" s="13" t="s">
        <v>453</v>
      </c>
      <c r="C29" s="13">
        <v>0</v>
      </c>
      <c r="D29" s="13">
        <v>0</v>
      </c>
    </row>
    <row r="30" spans="1:4" x14ac:dyDescent="0.3">
      <c r="A30" s="17">
        <v>11003</v>
      </c>
      <c r="B30" s="13" t="s">
        <v>18</v>
      </c>
      <c r="C30" s="13">
        <v>0</v>
      </c>
      <c r="D30" s="13">
        <v>1</v>
      </c>
    </row>
    <row r="31" spans="1:4" x14ac:dyDescent="0.3">
      <c r="A31" s="17">
        <v>20101</v>
      </c>
      <c r="B31" s="13" t="s">
        <v>457</v>
      </c>
      <c r="C31" s="13">
        <v>46</v>
      </c>
      <c r="D31" s="13">
        <v>19</v>
      </c>
    </row>
    <row r="32" spans="1:4" x14ac:dyDescent="0.3">
      <c r="A32" s="17">
        <v>20102</v>
      </c>
      <c r="B32" s="13" t="s">
        <v>217</v>
      </c>
      <c r="C32" s="13">
        <v>0</v>
      </c>
      <c r="D32" s="13">
        <v>0</v>
      </c>
    </row>
    <row r="33" spans="1:4" x14ac:dyDescent="0.3">
      <c r="A33" s="17">
        <v>20103</v>
      </c>
      <c r="B33" s="13" t="s">
        <v>52</v>
      </c>
      <c r="C33" s="13">
        <v>0</v>
      </c>
      <c r="D33" s="13">
        <v>0</v>
      </c>
    </row>
    <row r="34" spans="1:4" x14ac:dyDescent="0.3">
      <c r="A34" s="17">
        <v>20104</v>
      </c>
      <c r="B34" s="13" t="s">
        <v>49</v>
      </c>
      <c r="C34" s="13">
        <v>3</v>
      </c>
      <c r="D34" s="13">
        <v>0</v>
      </c>
    </row>
    <row r="35" spans="1:4" x14ac:dyDescent="0.3">
      <c r="A35" s="17">
        <v>20105</v>
      </c>
      <c r="B35" s="13" t="s">
        <v>26</v>
      </c>
      <c r="C35" s="13">
        <v>102</v>
      </c>
      <c r="D35" s="13">
        <v>26</v>
      </c>
    </row>
    <row r="36" spans="1:4" x14ac:dyDescent="0.3">
      <c r="A36" s="17">
        <v>20201</v>
      </c>
      <c r="B36" s="13" t="s">
        <v>30</v>
      </c>
      <c r="C36" s="13">
        <v>2</v>
      </c>
      <c r="D36" s="13">
        <v>2</v>
      </c>
    </row>
    <row r="37" spans="1:4" x14ac:dyDescent="0.3">
      <c r="A37" s="17">
        <v>20202</v>
      </c>
      <c r="B37" s="13" t="s">
        <v>223</v>
      </c>
      <c r="C37" s="13">
        <v>0</v>
      </c>
      <c r="D37" s="13">
        <v>0</v>
      </c>
    </row>
    <row r="38" spans="1:4" x14ac:dyDescent="0.3">
      <c r="A38" s="17">
        <v>20203</v>
      </c>
      <c r="B38" s="13" t="s">
        <v>225</v>
      </c>
      <c r="C38" s="13">
        <v>0</v>
      </c>
      <c r="D38" s="13">
        <v>0</v>
      </c>
    </row>
    <row r="39" spans="1:4" x14ac:dyDescent="0.3">
      <c r="A39" s="17">
        <v>20204</v>
      </c>
      <c r="B39" s="13" t="s">
        <v>460</v>
      </c>
      <c r="C39" s="13">
        <v>0</v>
      </c>
      <c r="D39" s="13">
        <v>0</v>
      </c>
    </row>
    <row r="40" spans="1:4" x14ac:dyDescent="0.3">
      <c r="A40" s="17">
        <v>20205</v>
      </c>
      <c r="B40" s="13" t="s">
        <v>461</v>
      </c>
      <c r="C40" s="13">
        <v>0</v>
      </c>
      <c r="D40" s="13">
        <v>1</v>
      </c>
    </row>
    <row r="41" spans="1:4" x14ac:dyDescent="0.3">
      <c r="A41" s="17">
        <v>20206</v>
      </c>
      <c r="B41" s="13" t="s">
        <v>462</v>
      </c>
      <c r="C41" s="13">
        <v>0</v>
      </c>
      <c r="D41" s="13">
        <v>0</v>
      </c>
    </row>
    <row r="42" spans="1:4" x14ac:dyDescent="0.3">
      <c r="A42" s="17">
        <v>20301</v>
      </c>
      <c r="B42" s="13" t="s">
        <v>39</v>
      </c>
      <c r="C42" s="13">
        <v>0</v>
      </c>
      <c r="D42" s="13">
        <v>0</v>
      </c>
    </row>
    <row r="43" spans="1:4" x14ac:dyDescent="0.3">
      <c r="A43" s="17">
        <v>20302</v>
      </c>
      <c r="B43" s="13" t="s">
        <v>228</v>
      </c>
      <c r="C43" s="13">
        <v>0</v>
      </c>
      <c r="D43" s="13">
        <v>0</v>
      </c>
    </row>
    <row r="44" spans="1:4" x14ac:dyDescent="0.3">
      <c r="A44" s="17">
        <v>20303</v>
      </c>
      <c r="B44" s="13" t="s">
        <v>465</v>
      </c>
      <c r="C44" s="13">
        <v>0</v>
      </c>
      <c r="D44" s="13">
        <v>0</v>
      </c>
    </row>
    <row r="45" spans="1:4" x14ac:dyDescent="0.3">
      <c r="A45" s="17">
        <v>20304</v>
      </c>
      <c r="B45" s="13" t="s">
        <v>466</v>
      </c>
      <c r="C45" s="13">
        <v>0</v>
      </c>
      <c r="D45" s="13">
        <v>0</v>
      </c>
    </row>
    <row r="46" spans="1:4" x14ac:dyDescent="0.3">
      <c r="A46" s="17">
        <v>20305</v>
      </c>
      <c r="B46" s="13" t="s">
        <v>230</v>
      </c>
      <c r="C46" s="13">
        <v>0</v>
      </c>
      <c r="D46" s="13">
        <v>0</v>
      </c>
    </row>
    <row r="47" spans="1:4" x14ac:dyDescent="0.3">
      <c r="A47" s="17">
        <v>20306</v>
      </c>
      <c r="B47" s="13" t="s">
        <v>58</v>
      </c>
      <c r="C47" s="13">
        <v>0</v>
      </c>
      <c r="D47" s="13">
        <v>0</v>
      </c>
    </row>
    <row r="48" spans="1:4" x14ac:dyDescent="0.3">
      <c r="A48" s="17">
        <v>20307</v>
      </c>
      <c r="B48" s="13" t="s">
        <v>61</v>
      </c>
      <c r="C48" s="13">
        <v>0</v>
      </c>
      <c r="D48" s="13">
        <v>0</v>
      </c>
    </row>
    <row r="49" spans="1:4" x14ac:dyDescent="0.3">
      <c r="A49" s="17">
        <v>20308</v>
      </c>
      <c r="B49" s="13" t="s">
        <v>467</v>
      </c>
      <c r="C49" s="13">
        <v>0</v>
      </c>
      <c r="D49" s="13">
        <v>0</v>
      </c>
    </row>
    <row r="50" spans="1:4" x14ac:dyDescent="0.3">
      <c r="A50" s="17">
        <v>20401</v>
      </c>
      <c r="B50" s="13" t="s">
        <v>66</v>
      </c>
      <c r="C50" s="13">
        <v>0</v>
      </c>
      <c r="D50" s="13">
        <v>0</v>
      </c>
    </row>
    <row r="51" spans="1:4" x14ac:dyDescent="0.3">
      <c r="A51" s="17">
        <v>20402</v>
      </c>
      <c r="B51" s="13" t="s">
        <v>469</v>
      </c>
      <c r="C51" s="13">
        <v>0</v>
      </c>
      <c r="D51" s="13">
        <v>0</v>
      </c>
    </row>
    <row r="52" spans="1:4" x14ac:dyDescent="0.3">
      <c r="A52" s="17">
        <v>20403</v>
      </c>
      <c r="B52" s="13" t="s">
        <v>470</v>
      </c>
      <c r="C52" s="13">
        <v>0</v>
      </c>
      <c r="D52" s="13">
        <v>0</v>
      </c>
    </row>
    <row r="53" spans="1:4" x14ac:dyDescent="0.3">
      <c r="A53" s="17">
        <v>20404</v>
      </c>
      <c r="B53" s="13" t="s">
        <v>472</v>
      </c>
      <c r="C53" s="13">
        <v>0</v>
      </c>
      <c r="D53" s="13">
        <v>0</v>
      </c>
    </row>
    <row r="54" spans="1:4" x14ac:dyDescent="0.3">
      <c r="A54" s="17">
        <v>20405</v>
      </c>
      <c r="B54" s="13" t="s">
        <v>473</v>
      </c>
      <c r="C54" s="13">
        <v>0</v>
      </c>
      <c r="D54" s="13">
        <v>0</v>
      </c>
    </row>
    <row r="55" spans="1:4" x14ac:dyDescent="0.3">
      <c r="A55" s="17">
        <v>20501</v>
      </c>
      <c r="B55" s="13" t="s">
        <v>475</v>
      </c>
      <c r="C55" s="13">
        <v>0</v>
      </c>
      <c r="D55" s="13">
        <v>0</v>
      </c>
    </row>
    <row r="56" spans="1:4" x14ac:dyDescent="0.3">
      <c r="A56" s="17">
        <v>20502</v>
      </c>
      <c r="B56" s="13" t="s">
        <v>67</v>
      </c>
      <c r="C56" s="13">
        <v>0</v>
      </c>
      <c r="D56" s="13">
        <v>0</v>
      </c>
    </row>
    <row r="57" spans="1:4" x14ac:dyDescent="0.3">
      <c r="A57" s="17">
        <v>20503</v>
      </c>
      <c r="B57" s="13" t="s">
        <v>476</v>
      </c>
      <c r="C57" s="13">
        <v>0</v>
      </c>
      <c r="D57" s="13">
        <v>0</v>
      </c>
    </row>
    <row r="58" spans="1:4" x14ac:dyDescent="0.3">
      <c r="A58" s="17">
        <v>20601</v>
      </c>
      <c r="B58" s="13" t="s">
        <v>44</v>
      </c>
      <c r="C58" s="13">
        <v>0</v>
      </c>
      <c r="D58" s="13">
        <v>0</v>
      </c>
    </row>
    <row r="59" spans="1:4" x14ac:dyDescent="0.3">
      <c r="A59" s="17">
        <v>20602</v>
      </c>
      <c r="B59" s="13" t="s">
        <v>237</v>
      </c>
      <c r="C59" s="13">
        <v>0</v>
      </c>
      <c r="D59" s="13">
        <v>0</v>
      </c>
    </row>
    <row r="60" spans="1:4" x14ac:dyDescent="0.3">
      <c r="A60" s="17">
        <v>20603</v>
      </c>
      <c r="B60" s="13" t="s">
        <v>60</v>
      </c>
      <c r="C60" s="13">
        <v>0</v>
      </c>
      <c r="D60" s="13">
        <v>0</v>
      </c>
    </row>
    <row r="61" spans="1:4" x14ac:dyDescent="0.3">
      <c r="A61" s="17">
        <v>20604</v>
      </c>
      <c r="B61" s="13" t="s">
        <v>240</v>
      </c>
      <c r="C61" s="13">
        <v>0</v>
      </c>
      <c r="D61" s="13">
        <v>0</v>
      </c>
    </row>
    <row r="62" spans="1:4" x14ac:dyDescent="0.3">
      <c r="A62" s="17">
        <v>20605</v>
      </c>
      <c r="B62" s="13" t="s">
        <v>478</v>
      </c>
      <c r="C62" s="13">
        <v>0</v>
      </c>
      <c r="D62" s="13">
        <v>0</v>
      </c>
    </row>
    <row r="63" spans="1:4" x14ac:dyDescent="0.3">
      <c r="A63" s="17">
        <v>20606</v>
      </c>
      <c r="B63" s="13" t="s">
        <v>479</v>
      </c>
      <c r="C63" s="13">
        <v>0</v>
      </c>
      <c r="D63" s="13">
        <v>0</v>
      </c>
    </row>
    <row r="64" spans="1:4" x14ac:dyDescent="0.3">
      <c r="A64" s="17">
        <v>20607</v>
      </c>
      <c r="B64" s="13" t="s">
        <v>242</v>
      </c>
      <c r="C64" s="13">
        <v>1</v>
      </c>
      <c r="D64" s="13">
        <v>0</v>
      </c>
    </row>
    <row r="65" spans="1:4" x14ac:dyDescent="0.3">
      <c r="A65" s="17">
        <v>20608</v>
      </c>
      <c r="B65" s="13" t="s">
        <v>244</v>
      </c>
      <c r="C65" s="13">
        <v>0</v>
      </c>
      <c r="D65" s="13">
        <v>0</v>
      </c>
    </row>
    <row r="66" spans="1:4" x14ac:dyDescent="0.3">
      <c r="A66" s="17">
        <v>20701</v>
      </c>
      <c r="B66" s="13" t="s">
        <v>57</v>
      </c>
      <c r="C66" s="13">
        <v>0</v>
      </c>
      <c r="D66" s="13">
        <v>0</v>
      </c>
    </row>
    <row r="67" spans="1:4" x14ac:dyDescent="0.3">
      <c r="A67" s="17">
        <v>20702</v>
      </c>
      <c r="B67" s="13" t="s">
        <v>56</v>
      </c>
      <c r="C67" s="13">
        <v>0</v>
      </c>
      <c r="D67" s="13">
        <v>0</v>
      </c>
    </row>
    <row r="68" spans="1:4" x14ac:dyDescent="0.3">
      <c r="A68" s="17">
        <v>20801</v>
      </c>
      <c r="B68" s="13" t="s">
        <v>27</v>
      </c>
      <c r="C68" s="13">
        <v>11</v>
      </c>
      <c r="D68" s="13">
        <v>6</v>
      </c>
    </row>
    <row r="69" spans="1:4" x14ac:dyDescent="0.3">
      <c r="A69" s="17">
        <v>20802</v>
      </c>
      <c r="B69" s="13" t="s">
        <v>482</v>
      </c>
      <c r="C69" s="13">
        <v>0</v>
      </c>
      <c r="D69" s="13">
        <v>0</v>
      </c>
    </row>
    <row r="70" spans="1:4" x14ac:dyDescent="0.3">
      <c r="A70" s="17">
        <v>20803</v>
      </c>
      <c r="B70" s="13" t="s">
        <v>50</v>
      </c>
      <c r="C70" s="13">
        <v>0</v>
      </c>
      <c r="D70" s="13">
        <v>1</v>
      </c>
    </row>
    <row r="71" spans="1:4" x14ac:dyDescent="0.3">
      <c r="A71" s="17">
        <v>20804</v>
      </c>
      <c r="B71" s="13" t="s">
        <v>31</v>
      </c>
      <c r="C71" s="13">
        <v>1</v>
      </c>
      <c r="D71" s="13">
        <v>1</v>
      </c>
    </row>
    <row r="72" spans="1:4" x14ac:dyDescent="0.3">
      <c r="A72" s="17">
        <v>20805</v>
      </c>
      <c r="B72" s="13" t="s">
        <v>484</v>
      </c>
      <c r="C72" s="13">
        <v>0</v>
      </c>
      <c r="D72" s="13">
        <v>0</v>
      </c>
    </row>
    <row r="73" spans="1:4" x14ac:dyDescent="0.3">
      <c r="A73" s="17">
        <v>20806</v>
      </c>
      <c r="B73" s="13" t="s">
        <v>486</v>
      </c>
      <c r="C73" s="13">
        <v>0</v>
      </c>
      <c r="D73" s="13">
        <v>0</v>
      </c>
    </row>
    <row r="74" spans="1:4" x14ac:dyDescent="0.3">
      <c r="A74" s="17">
        <v>20807</v>
      </c>
      <c r="B74" s="13" t="s">
        <v>488</v>
      </c>
      <c r="C74" s="13">
        <v>0</v>
      </c>
      <c r="D74" s="13">
        <v>0</v>
      </c>
    </row>
    <row r="75" spans="1:4" x14ac:dyDescent="0.3">
      <c r="A75" s="17">
        <v>20901</v>
      </c>
      <c r="B75" s="13" t="s">
        <v>490</v>
      </c>
      <c r="C75" s="13">
        <v>0</v>
      </c>
      <c r="D75" s="13">
        <v>0</v>
      </c>
    </row>
    <row r="76" spans="1:4" x14ac:dyDescent="0.3">
      <c r="A76" s="17">
        <v>20902</v>
      </c>
      <c r="B76" s="13" t="s">
        <v>65</v>
      </c>
      <c r="C76" s="13">
        <v>0</v>
      </c>
      <c r="D76" s="13">
        <v>0</v>
      </c>
    </row>
    <row r="77" spans="1:4" x14ac:dyDescent="0.3">
      <c r="A77" s="17">
        <v>20903</v>
      </c>
      <c r="B77" s="13" t="s">
        <v>491</v>
      </c>
      <c r="C77" s="13">
        <v>0</v>
      </c>
      <c r="D77" s="13">
        <v>0</v>
      </c>
    </row>
    <row r="78" spans="1:4" x14ac:dyDescent="0.3">
      <c r="A78" s="17">
        <v>20904</v>
      </c>
      <c r="B78" s="13" t="s">
        <v>492</v>
      </c>
      <c r="C78" s="13">
        <v>0</v>
      </c>
      <c r="D78" s="13">
        <v>0</v>
      </c>
    </row>
    <row r="79" spans="1:4" x14ac:dyDescent="0.3">
      <c r="A79" s="17">
        <v>20905</v>
      </c>
      <c r="B79" s="13" t="s">
        <v>493</v>
      </c>
      <c r="C79" s="13">
        <v>0</v>
      </c>
      <c r="D79" s="13">
        <v>0</v>
      </c>
    </row>
    <row r="80" spans="1:4" x14ac:dyDescent="0.3">
      <c r="A80" s="17">
        <v>21001</v>
      </c>
      <c r="B80" s="13" t="s">
        <v>252</v>
      </c>
      <c r="C80" s="13">
        <v>0</v>
      </c>
      <c r="D80" s="13">
        <v>0</v>
      </c>
    </row>
    <row r="81" spans="1:4" x14ac:dyDescent="0.3">
      <c r="A81" s="17">
        <v>21002</v>
      </c>
      <c r="B81" s="13" t="s">
        <v>494</v>
      </c>
      <c r="C81" s="13">
        <v>0</v>
      </c>
      <c r="D81" s="13">
        <v>0</v>
      </c>
    </row>
    <row r="82" spans="1:4" x14ac:dyDescent="0.3">
      <c r="A82" s="17">
        <v>21003</v>
      </c>
      <c r="B82" s="13" t="s">
        <v>47</v>
      </c>
      <c r="C82" s="13">
        <v>0</v>
      </c>
      <c r="D82" s="13">
        <v>1</v>
      </c>
    </row>
    <row r="83" spans="1:4" x14ac:dyDescent="0.3">
      <c r="A83" s="17">
        <v>21004</v>
      </c>
      <c r="B83" s="13" t="s">
        <v>55</v>
      </c>
      <c r="C83" s="13">
        <v>0</v>
      </c>
      <c r="D83" s="13">
        <v>0</v>
      </c>
    </row>
    <row r="84" spans="1:4" x14ac:dyDescent="0.3">
      <c r="A84" s="17">
        <v>21005</v>
      </c>
      <c r="B84" s="13" t="s">
        <v>495</v>
      </c>
      <c r="C84" s="13">
        <v>0</v>
      </c>
      <c r="D84" s="13">
        <v>0</v>
      </c>
    </row>
    <row r="85" spans="1:4" x14ac:dyDescent="0.3">
      <c r="A85" s="17">
        <v>21006</v>
      </c>
      <c r="B85" s="13" t="s">
        <v>496</v>
      </c>
      <c r="C85" s="13">
        <v>0</v>
      </c>
      <c r="D85" s="13">
        <v>0</v>
      </c>
    </row>
    <row r="86" spans="1:4" x14ac:dyDescent="0.3">
      <c r="A86" s="17">
        <v>21101</v>
      </c>
      <c r="B86" s="13" t="s">
        <v>37</v>
      </c>
      <c r="C86" s="13">
        <v>1</v>
      </c>
      <c r="D86" s="13">
        <v>0</v>
      </c>
    </row>
    <row r="87" spans="1:4" x14ac:dyDescent="0.3">
      <c r="A87" s="17">
        <v>21102</v>
      </c>
      <c r="B87" s="13" t="s">
        <v>59</v>
      </c>
      <c r="C87" s="13">
        <v>0</v>
      </c>
      <c r="D87" s="13">
        <v>0</v>
      </c>
    </row>
    <row r="88" spans="1:4" x14ac:dyDescent="0.3">
      <c r="A88" s="17">
        <v>21103</v>
      </c>
      <c r="B88" s="13" t="s">
        <v>500</v>
      </c>
      <c r="C88" s="13">
        <v>0</v>
      </c>
      <c r="D88" s="13">
        <v>0</v>
      </c>
    </row>
    <row r="89" spans="1:4" x14ac:dyDescent="0.3">
      <c r="A89" s="17">
        <v>21104</v>
      </c>
      <c r="B89" s="13" t="s">
        <v>53</v>
      </c>
      <c r="C89" s="13">
        <v>1</v>
      </c>
      <c r="D89" s="13">
        <v>1</v>
      </c>
    </row>
    <row r="90" spans="1:4" x14ac:dyDescent="0.3">
      <c r="A90" s="17">
        <v>21105</v>
      </c>
      <c r="B90" s="13" t="s">
        <v>40</v>
      </c>
      <c r="C90" s="13">
        <v>1</v>
      </c>
      <c r="D90" s="13">
        <v>1</v>
      </c>
    </row>
    <row r="91" spans="1:4" x14ac:dyDescent="0.3">
      <c r="A91" s="17">
        <v>21201</v>
      </c>
      <c r="B91" s="13" t="s">
        <v>35</v>
      </c>
      <c r="C91" s="13">
        <v>1</v>
      </c>
      <c r="D91" s="13">
        <v>1</v>
      </c>
    </row>
    <row r="92" spans="1:4" x14ac:dyDescent="0.3">
      <c r="A92" s="17">
        <v>21202</v>
      </c>
      <c r="B92" s="13" t="s">
        <v>33</v>
      </c>
      <c r="C92" s="13">
        <v>1</v>
      </c>
      <c r="D92" s="13">
        <v>0</v>
      </c>
    </row>
    <row r="93" spans="1:4" x14ac:dyDescent="0.3">
      <c r="A93" s="17">
        <v>21203</v>
      </c>
      <c r="B93" s="13" t="s">
        <v>63</v>
      </c>
      <c r="C93" s="13">
        <v>1</v>
      </c>
      <c r="D93" s="13">
        <v>0</v>
      </c>
    </row>
    <row r="94" spans="1:4" x14ac:dyDescent="0.3">
      <c r="A94" s="17">
        <v>21204</v>
      </c>
      <c r="B94" s="13" t="s">
        <v>502</v>
      </c>
      <c r="C94" s="13">
        <v>0</v>
      </c>
      <c r="D94" s="13">
        <v>0</v>
      </c>
    </row>
    <row r="95" spans="1:4" x14ac:dyDescent="0.3">
      <c r="A95" s="17">
        <v>21301</v>
      </c>
      <c r="B95" s="13" t="s">
        <v>28</v>
      </c>
      <c r="C95" s="13">
        <v>1</v>
      </c>
      <c r="D95" s="13">
        <v>3</v>
      </c>
    </row>
    <row r="96" spans="1:4" x14ac:dyDescent="0.3">
      <c r="A96" s="17">
        <v>21302</v>
      </c>
      <c r="B96" s="13" t="s">
        <v>45</v>
      </c>
      <c r="C96" s="13">
        <v>0</v>
      </c>
      <c r="D96" s="13">
        <v>1</v>
      </c>
    </row>
    <row r="97" spans="1:4" x14ac:dyDescent="0.3">
      <c r="A97" s="17">
        <v>21303</v>
      </c>
      <c r="B97" s="13" t="s">
        <v>505</v>
      </c>
      <c r="C97" s="13">
        <v>0</v>
      </c>
      <c r="D97" s="13">
        <v>0</v>
      </c>
    </row>
    <row r="98" spans="1:4" x14ac:dyDescent="0.3">
      <c r="A98" s="17">
        <v>21304</v>
      </c>
      <c r="B98" s="13" t="s">
        <v>41</v>
      </c>
      <c r="C98" s="13">
        <v>0</v>
      </c>
      <c r="D98" s="13">
        <v>0</v>
      </c>
    </row>
    <row r="99" spans="1:4" x14ac:dyDescent="0.3">
      <c r="A99" s="17">
        <v>21305</v>
      </c>
      <c r="B99" s="13" t="s">
        <v>34</v>
      </c>
      <c r="C99" s="13">
        <v>2</v>
      </c>
      <c r="D99" s="13">
        <v>1</v>
      </c>
    </row>
    <row r="100" spans="1:4" x14ac:dyDescent="0.3">
      <c r="A100" s="17">
        <v>21306</v>
      </c>
      <c r="B100" s="13" t="s">
        <v>267</v>
      </c>
      <c r="C100" s="13">
        <v>0</v>
      </c>
      <c r="D100" s="13">
        <v>0</v>
      </c>
    </row>
    <row r="101" spans="1:4" x14ac:dyDescent="0.3">
      <c r="A101" s="17">
        <v>21307</v>
      </c>
      <c r="B101" s="13" t="s">
        <v>54</v>
      </c>
      <c r="C101" s="13">
        <v>1</v>
      </c>
      <c r="D101" s="13">
        <v>0</v>
      </c>
    </row>
    <row r="102" spans="1:4" x14ac:dyDescent="0.3">
      <c r="A102" s="17">
        <v>21401</v>
      </c>
      <c r="B102" s="13" t="s">
        <v>48</v>
      </c>
      <c r="C102" s="13">
        <v>1</v>
      </c>
      <c r="D102" s="13">
        <v>1</v>
      </c>
    </row>
    <row r="103" spans="1:4" x14ac:dyDescent="0.3">
      <c r="A103" s="17">
        <v>21402</v>
      </c>
      <c r="B103" s="13" t="s">
        <v>36</v>
      </c>
      <c r="C103" s="13">
        <v>0</v>
      </c>
      <c r="D103" s="13">
        <v>0</v>
      </c>
    </row>
    <row r="104" spans="1:4" x14ac:dyDescent="0.3">
      <c r="A104" s="17">
        <v>21501</v>
      </c>
      <c r="B104" s="13" t="s">
        <v>51</v>
      </c>
      <c r="C104" s="13">
        <v>0</v>
      </c>
      <c r="D104" s="13">
        <v>1</v>
      </c>
    </row>
    <row r="105" spans="1:4" x14ac:dyDescent="0.3">
      <c r="A105" s="17">
        <v>21502</v>
      </c>
      <c r="B105" s="13" t="s">
        <v>43</v>
      </c>
      <c r="C105" s="13">
        <v>0</v>
      </c>
      <c r="D105" s="13">
        <v>0</v>
      </c>
    </row>
    <row r="106" spans="1:4" x14ac:dyDescent="0.3">
      <c r="A106" s="17">
        <v>21601</v>
      </c>
      <c r="B106" s="13" t="s">
        <v>509</v>
      </c>
      <c r="C106" s="13">
        <v>0</v>
      </c>
      <c r="D106" s="13">
        <v>0</v>
      </c>
    </row>
    <row r="107" spans="1:4" x14ac:dyDescent="0.3">
      <c r="A107" s="17">
        <v>21602</v>
      </c>
      <c r="B107" s="13" t="s">
        <v>511</v>
      </c>
      <c r="C107" s="13">
        <v>0</v>
      </c>
      <c r="D107" s="13">
        <v>0</v>
      </c>
    </row>
    <row r="108" spans="1:4" x14ac:dyDescent="0.3">
      <c r="A108" s="17">
        <v>21701</v>
      </c>
      <c r="B108" s="13" t="s">
        <v>32</v>
      </c>
      <c r="C108" s="13">
        <v>3</v>
      </c>
      <c r="D108" s="13">
        <v>1</v>
      </c>
    </row>
    <row r="109" spans="1:4" x14ac:dyDescent="0.3">
      <c r="A109" s="17">
        <v>21702</v>
      </c>
      <c r="B109" s="13" t="s">
        <v>513</v>
      </c>
      <c r="C109" s="13">
        <v>0</v>
      </c>
      <c r="D109" s="13">
        <v>0</v>
      </c>
    </row>
    <row r="110" spans="1:4" x14ac:dyDescent="0.3">
      <c r="A110" s="17">
        <v>21703</v>
      </c>
      <c r="B110" s="13" t="s">
        <v>62</v>
      </c>
      <c r="C110" s="13">
        <v>0</v>
      </c>
      <c r="D110" s="13">
        <v>0</v>
      </c>
    </row>
    <row r="111" spans="1:4" x14ac:dyDescent="0.3">
      <c r="A111" s="17">
        <v>21801</v>
      </c>
      <c r="B111" s="13" t="s">
        <v>515</v>
      </c>
      <c r="C111" s="13">
        <v>0</v>
      </c>
      <c r="D111" s="13">
        <v>0</v>
      </c>
    </row>
    <row r="112" spans="1:4" x14ac:dyDescent="0.3">
      <c r="A112" s="17">
        <v>21802</v>
      </c>
      <c r="B112" s="13" t="s">
        <v>275</v>
      </c>
      <c r="C112" s="13">
        <v>0</v>
      </c>
      <c r="D112" s="13">
        <v>0</v>
      </c>
    </row>
    <row r="113" spans="1:4" x14ac:dyDescent="0.3">
      <c r="A113" s="17">
        <v>21803</v>
      </c>
      <c r="B113" s="13" t="s">
        <v>517</v>
      </c>
      <c r="C113" s="13">
        <v>0</v>
      </c>
      <c r="D113" s="13">
        <v>0</v>
      </c>
    </row>
    <row r="114" spans="1:4" x14ac:dyDescent="0.3">
      <c r="A114" s="17">
        <v>21901</v>
      </c>
      <c r="B114" s="13" t="s">
        <v>519</v>
      </c>
      <c r="C114" s="13">
        <v>0</v>
      </c>
      <c r="D114" s="13">
        <v>0</v>
      </c>
    </row>
    <row r="115" spans="1:4" x14ac:dyDescent="0.3">
      <c r="A115" s="17">
        <v>21902</v>
      </c>
      <c r="B115" s="13" t="s">
        <v>520</v>
      </c>
      <c r="C115" s="13">
        <v>0</v>
      </c>
      <c r="D115" s="13">
        <v>0</v>
      </c>
    </row>
    <row r="116" spans="1:4" x14ac:dyDescent="0.3">
      <c r="A116" s="17">
        <v>22001</v>
      </c>
      <c r="B116" s="13" t="s">
        <v>29</v>
      </c>
      <c r="C116" s="13">
        <v>2</v>
      </c>
      <c r="D116" s="13">
        <v>2</v>
      </c>
    </row>
    <row r="117" spans="1:4" x14ac:dyDescent="0.3">
      <c r="A117" s="17">
        <v>22002</v>
      </c>
      <c r="B117" s="13" t="s">
        <v>521</v>
      </c>
      <c r="C117" s="13">
        <v>0</v>
      </c>
      <c r="D117" s="13">
        <v>0</v>
      </c>
    </row>
    <row r="118" spans="1:4" x14ac:dyDescent="0.3">
      <c r="A118" s="17">
        <v>30101</v>
      </c>
      <c r="B118" s="13" t="s">
        <v>68</v>
      </c>
      <c r="C118" s="13">
        <v>23</v>
      </c>
      <c r="D118" s="13">
        <v>24</v>
      </c>
    </row>
    <row r="119" spans="1:4" x14ac:dyDescent="0.3">
      <c r="A119" s="17">
        <v>30201</v>
      </c>
      <c r="B119" s="13" t="s">
        <v>524</v>
      </c>
      <c r="C119" s="13">
        <v>0</v>
      </c>
      <c r="D119" s="13">
        <v>0</v>
      </c>
    </row>
    <row r="120" spans="1:4" x14ac:dyDescent="0.3">
      <c r="A120" s="17">
        <v>30202</v>
      </c>
      <c r="B120" s="13" t="s">
        <v>525</v>
      </c>
      <c r="C120" s="13">
        <v>0</v>
      </c>
      <c r="D120" s="13">
        <v>0</v>
      </c>
    </row>
    <row r="121" spans="1:4" x14ac:dyDescent="0.3">
      <c r="A121" s="17">
        <v>30203</v>
      </c>
      <c r="B121" s="13" t="s">
        <v>526</v>
      </c>
      <c r="C121" s="13">
        <v>0</v>
      </c>
      <c r="D121" s="13">
        <v>0</v>
      </c>
    </row>
    <row r="122" spans="1:4" x14ac:dyDescent="0.3">
      <c r="A122" s="17">
        <v>30301</v>
      </c>
      <c r="B122" s="13" t="s">
        <v>528</v>
      </c>
      <c r="C122" s="13">
        <v>0</v>
      </c>
      <c r="D122" s="13">
        <v>0</v>
      </c>
    </row>
    <row r="123" spans="1:4" x14ac:dyDescent="0.3">
      <c r="A123" s="17">
        <v>30302</v>
      </c>
      <c r="B123" s="13" t="s">
        <v>97</v>
      </c>
      <c r="C123" s="13">
        <v>0</v>
      </c>
      <c r="D123" s="13">
        <v>0</v>
      </c>
    </row>
    <row r="124" spans="1:4" x14ac:dyDescent="0.3">
      <c r="A124" s="17">
        <v>30303</v>
      </c>
      <c r="B124" s="13" t="s">
        <v>530</v>
      </c>
      <c r="C124" s="13">
        <v>0</v>
      </c>
      <c r="D124" s="13">
        <v>0</v>
      </c>
    </row>
    <row r="125" spans="1:4" x14ac:dyDescent="0.3">
      <c r="A125" s="17">
        <v>30401</v>
      </c>
      <c r="B125" s="13" t="s">
        <v>86</v>
      </c>
      <c r="C125" s="13">
        <v>1</v>
      </c>
      <c r="D125" s="13">
        <v>1</v>
      </c>
    </row>
    <row r="126" spans="1:4" x14ac:dyDescent="0.3">
      <c r="A126" s="17">
        <v>30402</v>
      </c>
      <c r="B126" s="13" t="s">
        <v>91</v>
      </c>
      <c r="C126" s="13">
        <v>0</v>
      </c>
      <c r="D126" s="13">
        <v>0</v>
      </c>
    </row>
    <row r="127" spans="1:4" x14ac:dyDescent="0.3">
      <c r="A127" s="17">
        <v>30403</v>
      </c>
      <c r="B127" s="13" t="s">
        <v>87</v>
      </c>
      <c r="C127" s="13">
        <v>3</v>
      </c>
      <c r="D127" s="13">
        <v>1</v>
      </c>
    </row>
    <row r="128" spans="1:4" x14ac:dyDescent="0.3">
      <c r="A128" s="17">
        <v>30404</v>
      </c>
      <c r="B128" s="13" t="s">
        <v>533</v>
      </c>
      <c r="C128" s="13">
        <v>0</v>
      </c>
      <c r="D128" s="13">
        <v>0</v>
      </c>
    </row>
    <row r="129" spans="1:4" x14ac:dyDescent="0.3">
      <c r="A129" s="17">
        <v>30501</v>
      </c>
      <c r="B129" s="13" t="s">
        <v>84</v>
      </c>
      <c r="C129" s="13">
        <v>0</v>
      </c>
      <c r="D129" s="13">
        <v>1</v>
      </c>
    </row>
    <row r="130" spans="1:4" x14ac:dyDescent="0.3">
      <c r="A130" s="17">
        <v>30502</v>
      </c>
      <c r="B130" s="13" t="s">
        <v>88</v>
      </c>
      <c r="C130" s="13">
        <v>0</v>
      </c>
      <c r="D130" s="13">
        <v>0</v>
      </c>
    </row>
    <row r="131" spans="1:4" x14ac:dyDescent="0.3">
      <c r="A131" s="17">
        <v>30601</v>
      </c>
      <c r="B131" s="13" t="s">
        <v>285</v>
      </c>
      <c r="C131" s="13">
        <v>0</v>
      </c>
      <c r="D131" s="13">
        <v>0</v>
      </c>
    </row>
    <row r="132" spans="1:4" x14ac:dyDescent="0.3">
      <c r="A132" s="17">
        <v>30602</v>
      </c>
      <c r="B132" s="13" t="s">
        <v>535</v>
      </c>
      <c r="C132" s="13">
        <v>0</v>
      </c>
      <c r="D132" s="13">
        <v>0</v>
      </c>
    </row>
    <row r="133" spans="1:4" x14ac:dyDescent="0.3">
      <c r="A133" s="17">
        <v>30701</v>
      </c>
      <c r="B133" s="13" t="s">
        <v>92</v>
      </c>
      <c r="C133" s="13">
        <v>0</v>
      </c>
      <c r="D133" s="13">
        <v>1</v>
      </c>
    </row>
    <row r="134" spans="1:4" x14ac:dyDescent="0.3">
      <c r="A134" s="17">
        <v>30702</v>
      </c>
      <c r="B134" s="13" t="s">
        <v>536</v>
      </c>
      <c r="C134" s="13">
        <v>0</v>
      </c>
      <c r="D134" s="13">
        <v>0</v>
      </c>
    </row>
    <row r="135" spans="1:4" x14ac:dyDescent="0.3">
      <c r="A135" s="17">
        <v>30703</v>
      </c>
      <c r="B135" s="13" t="s">
        <v>538</v>
      </c>
      <c r="C135" s="13">
        <v>0</v>
      </c>
      <c r="D135" s="13">
        <v>0</v>
      </c>
    </row>
    <row r="136" spans="1:4" x14ac:dyDescent="0.3">
      <c r="A136" s="17">
        <v>30801</v>
      </c>
      <c r="B136" s="13" t="s">
        <v>81</v>
      </c>
      <c r="C136" s="13">
        <v>4</v>
      </c>
      <c r="D136" s="13">
        <v>1</v>
      </c>
    </row>
    <row r="137" spans="1:4" x14ac:dyDescent="0.3">
      <c r="A137" s="17">
        <v>30802</v>
      </c>
      <c r="B137" s="13" t="s">
        <v>540</v>
      </c>
      <c r="C137" s="13">
        <v>0</v>
      </c>
      <c r="D137" s="13">
        <v>0</v>
      </c>
    </row>
    <row r="138" spans="1:4" x14ac:dyDescent="0.3">
      <c r="A138" s="17">
        <v>30803</v>
      </c>
      <c r="B138" s="13" t="s">
        <v>93</v>
      </c>
      <c r="C138" s="13">
        <v>0</v>
      </c>
      <c r="D138" s="13">
        <v>1</v>
      </c>
    </row>
    <row r="139" spans="1:4" x14ac:dyDescent="0.3">
      <c r="A139" s="17">
        <v>30901</v>
      </c>
      <c r="B139" s="13" t="s">
        <v>73</v>
      </c>
      <c r="C139" s="13">
        <v>15</v>
      </c>
      <c r="D139" s="13">
        <v>7</v>
      </c>
    </row>
    <row r="140" spans="1:4" x14ac:dyDescent="0.3">
      <c r="A140" s="17">
        <v>30902</v>
      </c>
      <c r="B140" s="13" t="s">
        <v>541</v>
      </c>
      <c r="C140" s="13">
        <v>6</v>
      </c>
      <c r="D140" s="13">
        <v>6</v>
      </c>
    </row>
    <row r="141" spans="1:4" x14ac:dyDescent="0.3">
      <c r="A141" s="17">
        <v>30903</v>
      </c>
      <c r="B141" s="13" t="s">
        <v>76</v>
      </c>
      <c r="C141" s="13">
        <v>5</v>
      </c>
      <c r="D141" s="13">
        <v>4</v>
      </c>
    </row>
    <row r="142" spans="1:4" x14ac:dyDescent="0.3">
      <c r="A142" s="17">
        <v>30904</v>
      </c>
      <c r="B142" s="13" t="s">
        <v>80</v>
      </c>
      <c r="C142" s="13">
        <v>4</v>
      </c>
      <c r="D142" s="13">
        <v>1</v>
      </c>
    </row>
    <row r="143" spans="1:4" x14ac:dyDescent="0.3">
      <c r="A143" s="17">
        <v>30905</v>
      </c>
      <c r="B143" s="13" t="s">
        <v>78</v>
      </c>
      <c r="C143" s="13">
        <v>4</v>
      </c>
      <c r="D143" s="13">
        <v>3</v>
      </c>
    </row>
    <row r="144" spans="1:4" x14ac:dyDescent="0.3">
      <c r="A144" s="17">
        <v>31001</v>
      </c>
      <c r="B144" s="13" t="s">
        <v>70</v>
      </c>
      <c r="C144" s="13">
        <v>15</v>
      </c>
      <c r="D144" s="13">
        <v>14</v>
      </c>
    </row>
    <row r="145" spans="1:4" x14ac:dyDescent="0.3">
      <c r="A145" s="17">
        <v>31002</v>
      </c>
      <c r="B145" s="13" t="s">
        <v>85</v>
      </c>
      <c r="C145" s="13">
        <v>1</v>
      </c>
      <c r="D145" s="13">
        <v>1</v>
      </c>
    </row>
    <row r="146" spans="1:4" x14ac:dyDescent="0.3">
      <c r="A146" s="17">
        <v>31003</v>
      </c>
      <c r="B146" s="13" t="s">
        <v>72</v>
      </c>
      <c r="C146" s="13">
        <v>5</v>
      </c>
      <c r="D146" s="13">
        <v>8</v>
      </c>
    </row>
    <row r="147" spans="1:4" x14ac:dyDescent="0.3">
      <c r="A147" s="17">
        <v>31101</v>
      </c>
      <c r="B147" s="13" t="s">
        <v>543</v>
      </c>
      <c r="C147" s="13">
        <v>0</v>
      </c>
      <c r="D147" s="13">
        <v>0</v>
      </c>
    </row>
    <row r="148" spans="1:4" x14ac:dyDescent="0.3">
      <c r="A148" s="17">
        <v>31201</v>
      </c>
      <c r="B148" s="13" t="s">
        <v>545</v>
      </c>
      <c r="C148" s="13">
        <v>0</v>
      </c>
      <c r="D148" s="13">
        <v>0</v>
      </c>
    </row>
    <row r="149" spans="1:4" x14ac:dyDescent="0.3">
      <c r="A149" s="17">
        <v>31202</v>
      </c>
      <c r="B149" s="13" t="s">
        <v>546</v>
      </c>
      <c r="C149" s="13">
        <v>0</v>
      </c>
      <c r="D149" s="13">
        <v>0</v>
      </c>
    </row>
    <row r="150" spans="1:4" x14ac:dyDescent="0.3">
      <c r="A150" s="17">
        <v>31203</v>
      </c>
      <c r="B150" s="13" t="s">
        <v>94</v>
      </c>
      <c r="C150" s="13">
        <v>0</v>
      </c>
      <c r="D150" s="13">
        <v>0</v>
      </c>
    </row>
    <row r="151" spans="1:4" x14ac:dyDescent="0.3">
      <c r="A151" s="17">
        <v>31204</v>
      </c>
      <c r="B151" s="13" t="s">
        <v>77</v>
      </c>
      <c r="C151" s="13">
        <v>1</v>
      </c>
      <c r="D151" s="13">
        <v>2</v>
      </c>
    </row>
    <row r="152" spans="1:4" x14ac:dyDescent="0.3">
      <c r="A152" s="17">
        <v>31205</v>
      </c>
      <c r="B152" s="13" t="s">
        <v>69</v>
      </c>
      <c r="C152" s="13">
        <v>8</v>
      </c>
      <c r="D152" s="13">
        <v>24</v>
      </c>
    </row>
    <row r="153" spans="1:4" x14ac:dyDescent="0.3">
      <c r="A153" s="17">
        <v>31206</v>
      </c>
      <c r="B153" s="13" t="s">
        <v>71</v>
      </c>
      <c r="C153" s="13">
        <v>1</v>
      </c>
      <c r="D153" s="13">
        <v>16</v>
      </c>
    </row>
    <row r="154" spans="1:4" x14ac:dyDescent="0.3">
      <c r="A154" s="17">
        <v>31301</v>
      </c>
      <c r="B154" s="13" t="s">
        <v>95</v>
      </c>
      <c r="C154" s="13">
        <v>0</v>
      </c>
      <c r="D154" s="13">
        <v>0</v>
      </c>
    </row>
    <row r="155" spans="1:4" x14ac:dyDescent="0.3">
      <c r="A155" s="17">
        <v>31302</v>
      </c>
      <c r="B155" s="13" t="s">
        <v>547</v>
      </c>
      <c r="C155" s="13">
        <v>0</v>
      </c>
      <c r="D155" s="13">
        <v>0</v>
      </c>
    </row>
    <row r="156" spans="1:4" x14ac:dyDescent="0.3">
      <c r="A156" s="17">
        <v>31303</v>
      </c>
      <c r="B156" s="13" t="s">
        <v>548</v>
      </c>
      <c r="C156" s="13">
        <v>0</v>
      </c>
      <c r="D156" s="13">
        <v>0</v>
      </c>
    </row>
    <row r="157" spans="1:4" x14ac:dyDescent="0.3">
      <c r="A157" s="17">
        <v>31304</v>
      </c>
      <c r="B157" s="13" t="s">
        <v>549</v>
      </c>
      <c r="C157" s="13">
        <v>0</v>
      </c>
      <c r="D157" s="13">
        <v>0</v>
      </c>
    </row>
    <row r="158" spans="1:4" x14ac:dyDescent="0.3">
      <c r="A158" s="17">
        <v>31401</v>
      </c>
      <c r="B158" s="13" t="s">
        <v>75</v>
      </c>
      <c r="C158" s="13">
        <v>2</v>
      </c>
      <c r="D158" s="13">
        <v>3</v>
      </c>
    </row>
    <row r="159" spans="1:4" x14ac:dyDescent="0.3">
      <c r="A159" s="17">
        <v>31402</v>
      </c>
      <c r="B159" s="13" t="s">
        <v>90</v>
      </c>
      <c r="C159" s="13">
        <v>0</v>
      </c>
      <c r="D159" s="13">
        <v>0</v>
      </c>
    </row>
    <row r="160" spans="1:4" x14ac:dyDescent="0.3">
      <c r="A160" s="17">
        <v>31403</v>
      </c>
      <c r="B160" s="13" t="s">
        <v>89</v>
      </c>
      <c r="C160" s="13">
        <v>0</v>
      </c>
      <c r="D160" s="13">
        <v>1</v>
      </c>
    </row>
    <row r="161" spans="1:4" x14ac:dyDescent="0.3">
      <c r="A161" s="17">
        <v>31404</v>
      </c>
      <c r="B161" s="13" t="s">
        <v>96</v>
      </c>
      <c r="C161" s="13">
        <v>0</v>
      </c>
      <c r="D161" s="13">
        <v>0</v>
      </c>
    </row>
    <row r="162" spans="1:4" x14ac:dyDescent="0.3">
      <c r="A162" s="17">
        <v>31405</v>
      </c>
      <c r="B162" s="13" t="s">
        <v>553</v>
      </c>
      <c r="C162" s="13">
        <v>0</v>
      </c>
      <c r="D162" s="13">
        <v>0</v>
      </c>
    </row>
    <row r="163" spans="1:4" x14ac:dyDescent="0.3">
      <c r="A163" s="17">
        <v>31501</v>
      </c>
      <c r="B163" s="13" t="s">
        <v>555</v>
      </c>
      <c r="C163" s="13">
        <v>0</v>
      </c>
      <c r="D163" s="13">
        <v>0</v>
      </c>
    </row>
    <row r="164" spans="1:4" x14ac:dyDescent="0.3">
      <c r="A164" s="17">
        <v>31601</v>
      </c>
      <c r="B164" s="13" t="s">
        <v>79</v>
      </c>
      <c r="C164" s="13">
        <v>1</v>
      </c>
      <c r="D164" s="13">
        <v>2</v>
      </c>
    </row>
    <row r="165" spans="1:4" x14ac:dyDescent="0.3">
      <c r="A165" s="17">
        <v>31602</v>
      </c>
      <c r="B165" s="13" t="s">
        <v>82</v>
      </c>
      <c r="C165" s="13">
        <v>2</v>
      </c>
      <c r="D165" s="13">
        <v>1</v>
      </c>
    </row>
    <row r="166" spans="1:4" x14ac:dyDescent="0.3">
      <c r="A166" s="17">
        <v>40101</v>
      </c>
      <c r="B166" s="13" t="s">
        <v>98</v>
      </c>
      <c r="C166" s="13">
        <v>52</v>
      </c>
      <c r="D166" s="13">
        <v>15</v>
      </c>
    </row>
    <row r="167" spans="1:4" x14ac:dyDescent="0.3">
      <c r="A167" s="17">
        <v>40102</v>
      </c>
      <c r="B167" s="13" t="s">
        <v>103</v>
      </c>
      <c r="C167" s="13">
        <v>3</v>
      </c>
      <c r="D167" s="13">
        <v>0</v>
      </c>
    </row>
    <row r="168" spans="1:4" x14ac:dyDescent="0.3">
      <c r="A168" s="17">
        <v>40103</v>
      </c>
      <c r="B168" s="13" t="s">
        <v>556</v>
      </c>
      <c r="C168" s="13">
        <v>0</v>
      </c>
      <c r="D168" s="13">
        <v>0</v>
      </c>
    </row>
    <row r="169" spans="1:4" x14ac:dyDescent="0.3">
      <c r="A169" s="17">
        <v>40104</v>
      </c>
      <c r="B169" s="13" t="s">
        <v>557</v>
      </c>
      <c r="C169" s="13">
        <v>0</v>
      </c>
      <c r="D169" s="13">
        <v>0</v>
      </c>
    </row>
    <row r="170" spans="1:4" x14ac:dyDescent="0.3">
      <c r="A170" s="17">
        <v>40201</v>
      </c>
      <c r="B170" s="13" t="s">
        <v>100</v>
      </c>
      <c r="C170" s="13">
        <v>2</v>
      </c>
      <c r="D170" s="13">
        <v>1</v>
      </c>
    </row>
    <row r="171" spans="1:4" x14ac:dyDescent="0.3">
      <c r="A171" s="17">
        <v>40202</v>
      </c>
      <c r="B171" s="13" t="s">
        <v>560</v>
      </c>
      <c r="C171" s="13">
        <v>0</v>
      </c>
      <c r="D171" s="13">
        <v>0</v>
      </c>
    </row>
    <row r="172" spans="1:4" x14ac:dyDescent="0.3">
      <c r="A172" s="17">
        <v>40301</v>
      </c>
      <c r="B172" s="13" t="s">
        <v>112</v>
      </c>
      <c r="C172" s="13">
        <v>0</v>
      </c>
      <c r="D172" s="13">
        <v>0</v>
      </c>
    </row>
    <row r="173" spans="1:4" x14ac:dyDescent="0.3">
      <c r="A173" s="17">
        <v>40302</v>
      </c>
      <c r="B173" s="13" t="s">
        <v>561</v>
      </c>
      <c r="C173" s="13">
        <v>0</v>
      </c>
      <c r="D173" s="13">
        <v>0</v>
      </c>
    </row>
    <row r="174" spans="1:4" x14ac:dyDescent="0.3">
      <c r="A174" s="17">
        <v>40401</v>
      </c>
      <c r="B174" s="13" t="s">
        <v>563</v>
      </c>
      <c r="C174" s="13">
        <v>0</v>
      </c>
      <c r="D174" s="13">
        <v>0</v>
      </c>
    </row>
    <row r="175" spans="1:4" x14ac:dyDescent="0.3">
      <c r="A175" s="17">
        <v>40402</v>
      </c>
      <c r="B175" s="13" t="s">
        <v>564</v>
      </c>
      <c r="C175" s="13">
        <v>0</v>
      </c>
      <c r="D175" s="13">
        <v>0</v>
      </c>
    </row>
    <row r="176" spans="1:4" x14ac:dyDescent="0.3">
      <c r="A176" s="17">
        <v>40501</v>
      </c>
      <c r="B176" s="13" t="s">
        <v>566</v>
      </c>
      <c r="C176" s="13">
        <v>0</v>
      </c>
      <c r="D176" s="13">
        <v>0</v>
      </c>
    </row>
    <row r="177" spans="1:4" x14ac:dyDescent="0.3">
      <c r="A177" s="17">
        <v>40502</v>
      </c>
      <c r="B177" s="13" t="s">
        <v>567</v>
      </c>
      <c r="C177" s="13">
        <v>0</v>
      </c>
      <c r="D177" s="13">
        <v>0</v>
      </c>
    </row>
    <row r="178" spans="1:4" x14ac:dyDescent="0.3">
      <c r="A178" s="17">
        <v>40503</v>
      </c>
      <c r="B178" s="13" t="s">
        <v>568</v>
      </c>
      <c r="C178" s="13">
        <v>0</v>
      </c>
      <c r="D178" s="13">
        <v>0</v>
      </c>
    </row>
    <row r="179" spans="1:4" x14ac:dyDescent="0.3">
      <c r="A179" s="17">
        <v>40504</v>
      </c>
      <c r="B179" s="13" t="s">
        <v>569</v>
      </c>
      <c r="C179" s="13">
        <v>0</v>
      </c>
      <c r="D179" s="13">
        <v>0</v>
      </c>
    </row>
    <row r="180" spans="1:4" x14ac:dyDescent="0.3">
      <c r="A180" s="17">
        <v>40505</v>
      </c>
      <c r="B180" s="13" t="s">
        <v>570</v>
      </c>
      <c r="C180" s="13">
        <v>0</v>
      </c>
      <c r="D180" s="13">
        <v>0</v>
      </c>
    </row>
    <row r="181" spans="1:4" x14ac:dyDescent="0.3">
      <c r="A181" s="17">
        <v>40601</v>
      </c>
      <c r="B181" s="13" t="s">
        <v>108</v>
      </c>
      <c r="C181" s="13">
        <v>0</v>
      </c>
      <c r="D181" s="13">
        <v>0</v>
      </c>
    </row>
    <row r="182" spans="1:4" x14ac:dyDescent="0.3">
      <c r="A182" s="17">
        <v>40602</v>
      </c>
      <c r="B182" s="13" t="s">
        <v>115</v>
      </c>
      <c r="C182" s="13">
        <v>0</v>
      </c>
      <c r="D182" s="13">
        <v>0</v>
      </c>
    </row>
    <row r="183" spans="1:4" x14ac:dyDescent="0.3">
      <c r="A183" s="17">
        <v>40603</v>
      </c>
      <c r="B183" s="13" t="s">
        <v>572</v>
      </c>
      <c r="C183" s="13">
        <v>0</v>
      </c>
      <c r="D183" s="13">
        <v>0</v>
      </c>
    </row>
    <row r="184" spans="1:4" x14ac:dyDescent="0.3">
      <c r="A184" s="17">
        <v>40701</v>
      </c>
      <c r="B184" s="13" t="s">
        <v>99</v>
      </c>
      <c r="C184" s="13">
        <v>5</v>
      </c>
      <c r="D184" s="13">
        <v>2</v>
      </c>
    </row>
    <row r="185" spans="1:4" x14ac:dyDescent="0.3">
      <c r="A185" s="17">
        <v>40702</v>
      </c>
      <c r="B185" s="13" t="s">
        <v>110</v>
      </c>
      <c r="C185" s="13">
        <v>0</v>
      </c>
      <c r="D185" s="13">
        <v>0</v>
      </c>
    </row>
    <row r="186" spans="1:4" x14ac:dyDescent="0.3">
      <c r="A186" s="17">
        <v>40801</v>
      </c>
      <c r="B186" s="13" t="s">
        <v>576</v>
      </c>
      <c r="C186" s="13">
        <v>0</v>
      </c>
      <c r="D186" s="13">
        <v>0</v>
      </c>
    </row>
    <row r="187" spans="1:4" x14ac:dyDescent="0.3">
      <c r="A187" s="17">
        <v>40802</v>
      </c>
      <c r="B187" s="13" t="s">
        <v>102</v>
      </c>
      <c r="C187" s="13">
        <v>0</v>
      </c>
      <c r="D187" s="13">
        <v>1</v>
      </c>
    </row>
    <row r="188" spans="1:4" x14ac:dyDescent="0.3">
      <c r="A188" s="17">
        <v>40901</v>
      </c>
      <c r="B188" s="13" t="s">
        <v>101</v>
      </c>
      <c r="C188" s="13">
        <v>0</v>
      </c>
      <c r="D188" s="13">
        <v>1</v>
      </c>
    </row>
    <row r="189" spans="1:4" x14ac:dyDescent="0.3">
      <c r="A189" s="17">
        <v>40902</v>
      </c>
      <c r="B189" s="13" t="s">
        <v>105</v>
      </c>
      <c r="C189" s="13">
        <v>0</v>
      </c>
      <c r="D189" s="13">
        <v>0</v>
      </c>
    </row>
    <row r="190" spans="1:4" x14ac:dyDescent="0.3">
      <c r="A190" s="17">
        <v>40903</v>
      </c>
      <c r="B190" s="13" t="s">
        <v>577</v>
      </c>
      <c r="C190" s="13">
        <v>0</v>
      </c>
      <c r="D190" s="13">
        <v>0</v>
      </c>
    </row>
    <row r="191" spans="1:4" x14ac:dyDescent="0.3">
      <c r="A191" s="17">
        <v>41001</v>
      </c>
      <c r="B191" s="13" t="s">
        <v>104</v>
      </c>
      <c r="C191" s="13">
        <v>0</v>
      </c>
      <c r="D191" s="13">
        <v>0</v>
      </c>
    </row>
    <row r="192" spans="1:4" x14ac:dyDescent="0.3">
      <c r="A192" s="17">
        <v>41101</v>
      </c>
      <c r="B192" s="13" t="s">
        <v>580</v>
      </c>
      <c r="C192" s="13">
        <v>0</v>
      </c>
      <c r="D192" s="13">
        <v>0</v>
      </c>
    </row>
    <row r="193" spans="1:4" x14ac:dyDescent="0.3">
      <c r="A193" s="17">
        <v>41201</v>
      </c>
      <c r="B193" s="13" t="s">
        <v>582</v>
      </c>
      <c r="C193" s="13">
        <v>0</v>
      </c>
      <c r="D193" s="13">
        <v>0</v>
      </c>
    </row>
    <row r="194" spans="1:4" x14ac:dyDescent="0.3">
      <c r="A194" s="17">
        <v>41202</v>
      </c>
      <c r="B194" s="13" t="s">
        <v>113</v>
      </c>
      <c r="C194" s="13">
        <v>0</v>
      </c>
      <c r="D194" s="13">
        <v>0</v>
      </c>
    </row>
    <row r="195" spans="1:4" x14ac:dyDescent="0.3">
      <c r="A195" s="17">
        <v>41301</v>
      </c>
      <c r="B195" s="13" t="s">
        <v>545</v>
      </c>
      <c r="C195" s="13">
        <v>0</v>
      </c>
      <c r="D195" s="13">
        <v>0</v>
      </c>
    </row>
    <row r="196" spans="1:4" x14ac:dyDescent="0.3">
      <c r="A196" s="17">
        <v>41401</v>
      </c>
      <c r="B196" s="13" t="s">
        <v>585</v>
      </c>
      <c r="C196" s="13">
        <v>0</v>
      </c>
      <c r="D196" s="13">
        <v>0</v>
      </c>
    </row>
    <row r="197" spans="1:4" x14ac:dyDescent="0.3">
      <c r="A197" s="17">
        <v>41501</v>
      </c>
      <c r="B197" s="13" t="s">
        <v>587</v>
      </c>
      <c r="C197" s="13">
        <v>0</v>
      </c>
      <c r="D197" s="13">
        <v>0</v>
      </c>
    </row>
    <row r="198" spans="1:4" x14ac:dyDescent="0.3">
      <c r="A198" s="17">
        <v>41502</v>
      </c>
      <c r="B198" s="13" t="s">
        <v>588</v>
      </c>
      <c r="C198" s="13">
        <v>0</v>
      </c>
      <c r="D198" s="13">
        <v>0</v>
      </c>
    </row>
    <row r="199" spans="1:4" x14ac:dyDescent="0.3">
      <c r="A199" s="17">
        <v>41503</v>
      </c>
      <c r="B199" s="13" t="s">
        <v>111</v>
      </c>
      <c r="C199" s="13">
        <v>0</v>
      </c>
      <c r="D199" s="13">
        <v>0</v>
      </c>
    </row>
    <row r="200" spans="1:4" x14ac:dyDescent="0.3">
      <c r="A200" s="17">
        <v>41601</v>
      </c>
      <c r="B200" s="13" t="s">
        <v>109</v>
      </c>
      <c r="C200" s="13">
        <v>0</v>
      </c>
      <c r="D200" s="13">
        <v>0</v>
      </c>
    </row>
    <row r="201" spans="1:4" x14ac:dyDescent="0.3">
      <c r="A201" s="17">
        <v>50101</v>
      </c>
      <c r="B201" s="13" t="s">
        <v>116</v>
      </c>
      <c r="C201" s="13">
        <v>12</v>
      </c>
      <c r="D201" s="13">
        <v>8</v>
      </c>
    </row>
    <row r="202" spans="1:4" x14ac:dyDescent="0.3">
      <c r="A202" s="17">
        <v>50102</v>
      </c>
      <c r="B202" s="13" t="s">
        <v>129</v>
      </c>
      <c r="C202" s="13">
        <v>0</v>
      </c>
      <c r="D202" s="13">
        <v>0</v>
      </c>
    </row>
    <row r="203" spans="1:4" x14ac:dyDescent="0.3">
      <c r="A203" s="17">
        <v>50103</v>
      </c>
      <c r="B203" s="13" t="s">
        <v>592</v>
      </c>
      <c r="C203" s="13">
        <v>0</v>
      </c>
      <c r="D203" s="13">
        <v>0</v>
      </c>
    </row>
    <row r="204" spans="1:4" x14ac:dyDescent="0.3">
      <c r="A204" s="17">
        <v>50104</v>
      </c>
      <c r="B204" s="13" t="s">
        <v>594</v>
      </c>
      <c r="C204" s="13">
        <v>0</v>
      </c>
      <c r="D204" s="13">
        <v>0</v>
      </c>
    </row>
    <row r="205" spans="1:4" x14ac:dyDescent="0.3">
      <c r="A205" s="17">
        <v>50201</v>
      </c>
      <c r="B205" s="13" t="s">
        <v>120</v>
      </c>
      <c r="C205" s="13">
        <v>0</v>
      </c>
      <c r="D205" s="13">
        <v>2</v>
      </c>
    </row>
    <row r="206" spans="1:4" x14ac:dyDescent="0.3">
      <c r="A206" s="17">
        <v>50202</v>
      </c>
      <c r="B206" s="13" t="s">
        <v>597</v>
      </c>
      <c r="C206" s="13">
        <v>0</v>
      </c>
      <c r="D206" s="13">
        <v>0</v>
      </c>
    </row>
    <row r="207" spans="1:4" x14ac:dyDescent="0.3">
      <c r="A207" s="17">
        <v>50203</v>
      </c>
      <c r="B207" s="13" t="s">
        <v>117</v>
      </c>
      <c r="C207" s="13">
        <v>3</v>
      </c>
      <c r="D207" s="13">
        <v>3</v>
      </c>
    </row>
    <row r="208" spans="1:4" x14ac:dyDescent="0.3">
      <c r="A208" s="17">
        <v>50204</v>
      </c>
      <c r="B208" s="13" t="s">
        <v>598</v>
      </c>
      <c r="C208" s="13">
        <v>0</v>
      </c>
      <c r="D208" s="13">
        <v>0</v>
      </c>
    </row>
    <row r="209" spans="1:4" x14ac:dyDescent="0.3">
      <c r="A209" s="17">
        <v>50301</v>
      </c>
      <c r="B209" s="13" t="s">
        <v>122</v>
      </c>
      <c r="C209" s="13">
        <v>0</v>
      </c>
      <c r="D209" s="13">
        <v>1</v>
      </c>
    </row>
    <row r="210" spans="1:4" x14ac:dyDescent="0.3">
      <c r="A210" s="17">
        <v>50302</v>
      </c>
      <c r="B210" s="13" t="s">
        <v>601</v>
      </c>
      <c r="C210" s="13">
        <v>0</v>
      </c>
      <c r="D210" s="13">
        <v>0</v>
      </c>
    </row>
    <row r="211" spans="1:4" x14ac:dyDescent="0.3">
      <c r="A211" s="17">
        <v>50303</v>
      </c>
      <c r="B211" s="13" t="s">
        <v>602</v>
      </c>
      <c r="C211" s="13">
        <v>0</v>
      </c>
      <c r="D211" s="13">
        <v>0</v>
      </c>
    </row>
    <row r="212" spans="1:4" x14ac:dyDescent="0.3">
      <c r="A212" s="17">
        <v>50401</v>
      </c>
      <c r="B212" s="13" t="s">
        <v>603</v>
      </c>
      <c r="C212" s="13">
        <v>0</v>
      </c>
      <c r="D212" s="13">
        <v>0</v>
      </c>
    </row>
    <row r="213" spans="1:4" x14ac:dyDescent="0.3">
      <c r="A213" s="17">
        <v>50402</v>
      </c>
      <c r="B213" s="13" t="s">
        <v>604</v>
      </c>
      <c r="C213" s="13">
        <v>0</v>
      </c>
      <c r="D213" s="13">
        <v>0</v>
      </c>
    </row>
    <row r="214" spans="1:4" x14ac:dyDescent="0.3">
      <c r="A214" s="17">
        <v>50403</v>
      </c>
      <c r="B214" s="13" t="s">
        <v>127</v>
      </c>
      <c r="C214" s="13">
        <v>0</v>
      </c>
      <c r="D214" s="13">
        <v>0</v>
      </c>
    </row>
    <row r="215" spans="1:4" x14ac:dyDescent="0.3">
      <c r="A215" s="17">
        <v>50404</v>
      </c>
      <c r="B215" s="13" t="s">
        <v>605</v>
      </c>
      <c r="C215" s="13">
        <v>0</v>
      </c>
      <c r="D215" s="13">
        <v>0</v>
      </c>
    </row>
    <row r="216" spans="1:4" x14ac:dyDescent="0.3">
      <c r="A216" s="17">
        <v>50405</v>
      </c>
      <c r="B216" s="13" t="s">
        <v>125</v>
      </c>
      <c r="C216" s="13">
        <v>0</v>
      </c>
      <c r="D216" s="13">
        <v>0</v>
      </c>
    </row>
    <row r="217" spans="1:4" x14ac:dyDescent="0.3">
      <c r="A217" s="17">
        <v>50501</v>
      </c>
      <c r="B217" s="13" t="s">
        <v>172</v>
      </c>
      <c r="C217" s="13">
        <v>0</v>
      </c>
      <c r="D217" s="13">
        <v>0</v>
      </c>
    </row>
    <row r="218" spans="1:4" x14ac:dyDescent="0.3">
      <c r="A218" s="17">
        <v>50502</v>
      </c>
      <c r="B218" s="13" t="s">
        <v>607</v>
      </c>
      <c r="C218" s="13">
        <v>0</v>
      </c>
      <c r="D218" s="13">
        <v>0</v>
      </c>
    </row>
    <row r="219" spans="1:4" x14ac:dyDescent="0.3">
      <c r="A219" s="17">
        <v>50601</v>
      </c>
      <c r="B219" s="13" t="s">
        <v>124</v>
      </c>
      <c r="C219" s="13">
        <v>0</v>
      </c>
      <c r="D219" s="13">
        <v>1</v>
      </c>
    </row>
    <row r="220" spans="1:4" x14ac:dyDescent="0.3">
      <c r="A220" s="17">
        <v>50602</v>
      </c>
      <c r="B220" s="13" t="s">
        <v>609</v>
      </c>
      <c r="C220" s="13">
        <v>0</v>
      </c>
      <c r="D220" s="13">
        <v>0</v>
      </c>
    </row>
    <row r="221" spans="1:4" x14ac:dyDescent="0.3">
      <c r="A221" s="17">
        <v>50701</v>
      </c>
      <c r="B221" s="13" t="s">
        <v>611</v>
      </c>
      <c r="C221" s="13">
        <v>0</v>
      </c>
      <c r="D221" s="13">
        <v>0</v>
      </c>
    </row>
    <row r="222" spans="1:4" x14ac:dyDescent="0.3">
      <c r="A222" s="17">
        <v>50702</v>
      </c>
      <c r="B222" s="13" t="s">
        <v>612</v>
      </c>
      <c r="C222" s="13">
        <v>0</v>
      </c>
      <c r="D222" s="13">
        <v>0</v>
      </c>
    </row>
    <row r="223" spans="1:4" x14ac:dyDescent="0.3">
      <c r="A223" s="17">
        <v>50801</v>
      </c>
      <c r="B223" s="13" t="s">
        <v>119</v>
      </c>
      <c r="C223" s="13">
        <v>1</v>
      </c>
      <c r="D223" s="13">
        <v>3</v>
      </c>
    </row>
    <row r="224" spans="1:4" x14ac:dyDescent="0.3">
      <c r="A224" s="17">
        <v>50802</v>
      </c>
      <c r="B224" s="13" t="s">
        <v>130</v>
      </c>
      <c r="C224" s="13">
        <v>0</v>
      </c>
      <c r="D224" s="13">
        <v>0</v>
      </c>
    </row>
    <row r="225" spans="1:4" x14ac:dyDescent="0.3">
      <c r="A225" s="17">
        <v>50901</v>
      </c>
      <c r="B225" s="13" t="s">
        <v>615</v>
      </c>
      <c r="C225" s="13">
        <v>0</v>
      </c>
      <c r="D225" s="13">
        <v>0</v>
      </c>
    </row>
    <row r="226" spans="1:4" x14ac:dyDescent="0.3">
      <c r="A226" s="17">
        <v>50902</v>
      </c>
      <c r="B226" s="13" t="s">
        <v>617</v>
      </c>
      <c r="C226" s="13">
        <v>0</v>
      </c>
      <c r="D226" s="13">
        <v>0</v>
      </c>
    </row>
    <row r="227" spans="1:4" x14ac:dyDescent="0.3">
      <c r="A227" s="17">
        <v>51001</v>
      </c>
      <c r="B227" s="13" t="s">
        <v>620</v>
      </c>
      <c r="C227" s="13">
        <v>0</v>
      </c>
      <c r="D227" s="13">
        <v>0</v>
      </c>
    </row>
    <row r="228" spans="1:4" x14ac:dyDescent="0.3">
      <c r="A228" s="17">
        <v>51002</v>
      </c>
      <c r="B228" s="13" t="s">
        <v>622</v>
      </c>
      <c r="C228" s="13">
        <v>0</v>
      </c>
      <c r="D228" s="13">
        <v>0</v>
      </c>
    </row>
    <row r="229" spans="1:4" x14ac:dyDescent="0.3">
      <c r="A229" s="17">
        <v>51003</v>
      </c>
      <c r="B229" s="13" t="s">
        <v>623</v>
      </c>
      <c r="C229" s="13">
        <v>0</v>
      </c>
      <c r="D229" s="13">
        <v>0</v>
      </c>
    </row>
    <row r="230" spans="1:4" x14ac:dyDescent="0.3">
      <c r="A230" s="17">
        <v>51101</v>
      </c>
      <c r="B230" s="13" t="s">
        <v>123</v>
      </c>
      <c r="C230" s="13">
        <v>0</v>
      </c>
      <c r="D230" s="13">
        <v>2</v>
      </c>
    </row>
    <row r="231" spans="1:4" x14ac:dyDescent="0.3">
      <c r="A231" s="17">
        <v>51102</v>
      </c>
      <c r="B231" s="13" t="s">
        <v>626</v>
      </c>
      <c r="C231" s="13">
        <v>0</v>
      </c>
      <c r="D231" s="13">
        <v>0</v>
      </c>
    </row>
    <row r="232" spans="1:4" x14ac:dyDescent="0.3">
      <c r="A232" s="17">
        <v>51103</v>
      </c>
      <c r="B232" s="13" t="s">
        <v>627</v>
      </c>
      <c r="C232" s="13">
        <v>0</v>
      </c>
      <c r="D232" s="13">
        <v>0</v>
      </c>
    </row>
    <row r="233" spans="1:4" x14ac:dyDescent="0.3">
      <c r="A233" s="17">
        <v>51201</v>
      </c>
      <c r="B233" s="13" t="s">
        <v>121</v>
      </c>
      <c r="C233" s="13">
        <v>3</v>
      </c>
      <c r="D233" s="13">
        <v>0</v>
      </c>
    </row>
    <row r="234" spans="1:4" x14ac:dyDescent="0.3">
      <c r="A234" s="17">
        <v>51202</v>
      </c>
      <c r="B234" s="13" t="s">
        <v>629</v>
      </c>
      <c r="C234" s="13">
        <v>0</v>
      </c>
      <c r="D234" s="13">
        <v>0</v>
      </c>
    </row>
    <row r="235" spans="1:4" x14ac:dyDescent="0.3">
      <c r="A235" s="17">
        <v>51203</v>
      </c>
      <c r="B235" s="13" t="s">
        <v>630</v>
      </c>
      <c r="C235" s="13">
        <v>0</v>
      </c>
      <c r="D235" s="13">
        <v>0</v>
      </c>
    </row>
    <row r="236" spans="1:4" x14ac:dyDescent="0.3">
      <c r="A236" s="17">
        <v>51204</v>
      </c>
      <c r="B236" s="13" t="s">
        <v>631</v>
      </c>
      <c r="C236" s="13">
        <v>0</v>
      </c>
      <c r="D236" s="13">
        <v>0</v>
      </c>
    </row>
    <row r="237" spans="1:4" x14ac:dyDescent="0.3">
      <c r="A237" s="17">
        <v>51301</v>
      </c>
      <c r="B237" s="13" t="s">
        <v>633</v>
      </c>
      <c r="C237" s="13">
        <v>0</v>
      </c>
      <c r="D237" s="13">
        <v>0</v>
      </c>
    </row>
    <row r="238" spans="1:4" x14ac:dyDescent="0.3">
      <c r="A238" s="17">
        <v>51302</v>
      </c>
      <c r="B238" s="13" t="s">
        <v>634</v>
      </c>
      <c r="C238" s="13">
        <v>0</v>
      </c>
      <c r="D238" s="13">
        <v>0</v>
      </c>
    </row>
    <row r="239" spans="1:4" x14ac:dyDescent="0.3">
      <c r="A239" s="17">
        <v>51401</v>
      </c>
      <c r="B239" s="13" t="s">
        <v>131</v>
      </c>
      <c r="C239" s="13">
        <v>1</v>
      </c>
      <c r="D239" s="13">
        <v>0</v>
      </c>
    </row>
    <row r="240" spans="1:4" x14ac:dyDescent="0.3">
      <c r="A240" s="17">
        <v>51402</v>
      </c>
      <c r="B240" s="13" t="s">
        <v>636</v>
      </c>
      <c r="C240" s="13">
        <v>0</v>
      </c>
      <c r="D240" s="13">
        <v>0</v>
      </c>
    </row>
    <row r="241" spans="1:4" x14ac:dyDescent="0.3">
      <c r="A241" s="17">
        <v>51501</v>
      </c>
      <c r="B241" s="13" t="s">
        <v>118</v>
      </c>
      <c r="C241" s="13">
        <v>4</v>
      </c>
      <c r="D241" s="13">
        <v>3</v>
      </c>
    </row>
    <row r="242" spans="1:4" x14ac:dyDescent="0.3">
      <c r="A242" s="17">
        <v>51601</v>
      </c>
      <c r="B242" s="13" t="s">
        <v>132</v>
      </c>
      <c r="C242" s="13">
        <v>0</v>
      </c>
      <c r="D242" s="13">
        <v>0</v>
      </c>
    </row>
    <row r="243" spans="1:4" x14ac:dyDescent="0.3">
      <c r="A243" s="17">
        <v>60101</v>
      </c>
      <c r="B243" s="13" t="s">
        <v>133</v>
      </c>
      <c r="C243" s="13">
        <v>12</v>
      </c>
      <c r="D243" s="13">
        <v>10</v>
      </c>
    </row>
    <row r="244" spans="1:4" x14ac:dyDescent="0.3">
      <c r="A244" s="17">
        <v>60201</v>
      </c>
      <c r="B244" s="13" t="s">
        <v>341</v>
      </c>
      <c r="C244" s="13">
        <v>1</v>
      </c>
      <c r="D244" s="13">
        <v>0</v>
      </c>
    </row>
    <row r="245" spans="1:4" x14ac:dyDescent="0.3">
      <c r="A245" s="17">
        <v>60202</v>
      </c>
      <c r="B245" s="13" t="s">
        <v>135</v>
      </c>
      <c r="C245" s="13">
        <v>4</v>
      </c>
      <c r="D245" s="13">
        <v>4</v>
      </c>
    </row>
    <row r="246" spans="1:4" x14ac:dyDescent="0.3">
      <c r="A246" s="17">
        <v>60301</v>
      </c>
      <c r="B246" s="13" t="s">
        <v>134</v>
      </c>
      <c r="C246" s="13">
        <v>8</v>
      </c>
      <c r="D246" s="13">
        <v>8</v>
      </c>
    </row>
    <row r="247" spans="1:4" x14ac:dyDescent="0.3">
      <c r="A247" s="17">
        <v>60302</v>
      </c>
      <c r="B247" s="13" t="s">
        <v>139</v>
      </c>
      <c r="C247" s="13">
        <v>1</v>
      </c>
      <c r="D247" s="13">
        <v>0</v>
      </c>
    </row>
    <row r="248" spans="1:4" x14ac:dyDescent="0.3">
      <c r="A248" s="17">
        <v>60303</v>
      </c>
      <c r="B248" s="13" t="s">
        <v>641</v>
      </c>
      <c r="C248" s="13">
        <v>3</v>
      </c>
      <c r="D248" s="13">
        <v>3</v>
      </c>
    </row>
    <row r="249" spans="1:4" x14ac:dyDescent="0.3">
      <c r="A249" s="17">
        <v>60401</v>
      </c>
      <c r="B249" s="13" t="s">
        <v>138</v>
      </c>
      <c r="C249" s="13">
        <v>0</v>
      </c>
      <c r="D249" s="13">
        <v>1</v>
      </c>
    </row>
    <row r="250" spans="1:4" x14ac:dyDescent="0.3">
      <c r="A250" s="17">
        <v>60402</v>
      </c>
      <c r="B250" s="13" t="s">
        <v>643</v>
      </c>
      <c r="C250" s="13">
        <v>0</v>
      </c>
      <c r="D250" s="13">
        <v>0</v>
      </c>
    </row>
    <row r="251" spans="1:4" x14ac:dyDescent="0.3">
      <c r="A251" s="17">
        <v>60501</v>
      </c>
      <c r="B251" s="13" t="s">
        <v>191</v>
      </c>
      <c r="C251" s="13">
        <v>2</v>
      </c>
      <c r="D251" s="13">
        <v>1</v>
      </c>
    </row>
    <row r="252" spans="1:4" x14ac:dyDescent="0.3">
      <c r="A252" s="17">
        <v>60502</v>
      </c>
      <c r="B252" s="13" t="s">
        <v>349</v>
      </c>
      <c r="C252" s="13">
        <v>0</v>
      </c>
      <c r="D252" s="13">
        <v>0</v>
      </c>
    </row>
    <row r="253" spans="1:4" x14ac:dyDescent="0.3">
      <c r="A253" s="17">
        <v>60601</v>
      </c>
      <c r="B253" s="13" t="s">
        <v>71</v>
      </c>
      <c r="C253" s="13">
        <v>1</v>
      </c>
      <c r="D253" s="13">
        <v>0</v>
      </c>
    </row>
    <row r="254" spans="1:4" x14ac:dyDescent="0.3">
      <c r="A254" s="17">
        <v>70101</v>
      </c>
      <c r="B254" s="13" t="s">
        <v>141</v>
      </c>
      <c r="C254" s="13">
        <v>73</v>
      </c>
      <c r="D254" s="13">
        <v>38</v>
      </c>
    </row>
    <row r="255" spans="1:4" x14ac:dyDescent="0.3">
      <c r="A255" s="17">
        <v>70102</v>
      </c>
      <c r="B255" s="13" t="s">
        <v>145</v>
      </c>
      <c r="C255" s="13">
        <v>4</v>
      </c>
      <c r="D255" s="13">
        <v>11</v>
      </c>
    </row>
    <row r="256" spans="1:4" x14ac:dyDescent="0.3">
      <c r="A256" s="17">
        <v>70103</v>
      </c>
      <c r="B256" s="13" t="s">
        <v>157</v>
      </c>
      <c r="C256" s="13">
        <v>0</v>
      </c>
      <c r="D256" s="13">
        <v>2</v>
      </c>
    </row>
    <row r="257" spans="1:4" x14ac:dyDescent="0.3">
      <c r="A257" s="17">
        <v>70104</v>
      </c>
      <c r="B257" s="13" t="s">
        <v>153</v>
      </c>
      <c r="C257" s="13">
        <v>8</v>
      </c>
      <c r="D257" s="13">
        <v>4</v>
      </c>
    </row>
    <row r="258" spans="1:4" x14ac:dyDescent="0.3">
      <c r="A258" s="17">
        <v>70105</v>
      </c>
      <c r="B258" s="13" t="s">
        <v>155</v>
      </c>
      <c r="C258" s="13">
        <v>6</v>
      </c>
      <c r="D258" s="13">
        <v>3</v>
      </c>
    </row>
    <row r="259" spans="1:4" x14ac:dyDescent="0.3">
      <c r="A259" s="17">
        <v>70201</v>
      </c>
      <c r="B259" s="13" t="s">
        <v>142</v>
      </c>
      <c r="C259" s="13">
        <v>8</v>
      </c>
      <c r="D259" s="13">
        <v>27</v>
      </c>
    </row>
    <row r="260" spans="1:4" x14ac:dyDescent="0.3">
      <c r="A260" s="17">
        <v>70202</v>
      </c>
      <c r="B260" s="13" t="s">
        <v>169</v>
      </c>
      <c r="C260" s="13">
        <v>0</v>
      </c>
      <c r="D260" s="13">
        <v>0</v>
      </c>
    </row>
    <row r="261" spans="1:4" x14ac:dyDescent="0.3">
      <c r="A261" s="17">
        <v>70301</v>
      </c>
      <c r="B261" s="13" t="s">
        <v>147</v>
      </c>
      <c r="C261" s="13">
        <v>4</v>
      </c>
      <c r="D261" s="13">
        <v>6</v>
      </c>
    </row>
    <row r="262" spans="1:4" x14ac:dyDescent="0.3">
      <c r="A262" s="17">
        <v>70302</v>
      </c>
      <c r="B262" s="13" t="s">
        <v>176</v>
      </c>
      <c r="C262" s="13">
        <v>0</v>
      </c>
      <c r="D262" s="13">
        <v>0</v>
      </c>
    </row>
    <row r="263" spans="1:4" x14ac:dyDescent="0.3">
      <c r="A263" s="17">
        <v>70303</v>
      </c>
      <c r="B263" s="13" t="s">
        <v>166</v>
      </c>
      <c r="C263" s="13">
        <v>0</v>
      </c>
      <c r="D263" s="13">
        <v>1</v>
      </c>
    </row>
    <row r="264" spans="1:4" x14ac:dyDescent="0.3">
      <c r="A264" s="17">
        <v>70401</v>
      </c>
      <c r="B264" s="13" t="s">
        <v>651</v>
      </c>
      <c r="C264" s="13">
        <v>0</v>
      </c>
      <c r="D264" s="13">
        <v>0</v>
      </c>
    </row>
    <row r="265" spans="1:4" x14ac:dyDescent="0.3">
      <c r="A265" s="17">
        <v>70402</v>
      </c>
      <c r="B265" s="13" t="s">
        <v>174</v>
      </c>
      <c r="C265" s="13">
        <v>0</v>
      </c>
      <c r="D265" s="13">
        <v>0</v>
      </c>
    </row>
    <row r="266" spans="1:4" x14ac:dyDescent="0.3">
      <c r="A266" s="17">
        <v>70403</v>
      </c>
      <c r="B266" s="13" t="s">
        <v>143</v>
      </c>
      <c r="C266" s="13">
        <v>5</v>
      </c>
      <c r="D266" s="13">
        <v>8</v>
      </c>
    </row>
    <row r="267" spans="1:4" x14ac:dyDescent="0.3">
      <c r="A267" s="17">
        <v>70404</v>
      </c>
      <c r="B267" s="13" t="s">
        <v>652</v>
      </c>
      <c r="C267" s="13">
        <v>0</v>
      </c>
      <c r="D267" s="13">
        <v>0</v>
      </c>
    </row>
    <row r="268" spans="1:4" x14ac:dyDescent="0.3">
      <c r="A268" s="17">
        <v>70501</v>
      </c>
      <c r="B268" s="13" t="s">
        <v>151</v>
      </c>
      <c r="C268" s="13">
        <v>0</v>
      </c>
      <c r="D268" s="13">
        <v>5</v>
      </c>
    </row>
    <row r="269" spans="1:4" x14ac:dyDescent="0.3">
      <c r="A269" s="17">
        <v>70502</v>
      </c>
      <c r="B269" s="13" t="s">
        <v>149</v>
      </c>
      <c r="C269" s="13">
        <v>1</v>
      </c>
      <c r="D269" s="13">
        <v>6</v>
      </c>
    </row>
    <row r="270" spans="1:4" x14ac:dyDescent="0.3">
      <c r="A270" s="17">
        <v>70503</v>
      </c>
      <c r="B270" s="13" t="s">
        <v>173</v>
      </c>
      <c r="C270" s="13">
        <v>0</v>
      </c>
      <c r="D270" s="13">
        <v>0</v>
      </c>
    </row>
    <row r="271" spans="1:4" x14ac:dyDescent="0.3">
      <c r="A271" s="17">
        <v>70601</v>
      </c>
      <c r="B271" s="13" t="s">
        <v>154</v>
      </c>
      <c r="C271" s="13">
        <v>2</v>
      </c>
      <c r="D271" s="13">
        <v>3</v>
      </c>
    </row>
    <row r="272" spans="1:4" x14ac:dyDescent="0.3">
      <c r="A272" s="17">
        <v>70602</v>
      </c>
      <c r="B272" s="13" t="s">
        <v>171</v>
      </c>
      <c r="C272" s="13">
        <v>0</v>
      </c>
      <c r="D272" s="13">
        <v>0</v>
      </c>
    </row>
    <row r="273" spans="1:4" x14ac:dyDescent="0.3">
      <c r="A273" s="17">
        <v>70603</v>
      </c>
      <c r="B273" s="13" t="s">
        <v>656</v>
      </c>
      <c r="C273" s="13">
        <v>0</v>
      </c>
      <c r="D273" s="13">
        <v>0</v>
      </c>
    </row>
    <row r="274" spans="1:4" x14ac:dyDescent="0.3">
      <c r="A274" s="17">
        <v>70701</v>
      </c>
      <c r="B274" s="13" t="s">
        <v>658</v>
      </c>
      <c r="C274" s="13">
        <v>0</v>
      </c>
      <c r="D274" s="13">
        <v>0</v>
      </c>
    </row>
    <row r="275" spans="1:4" x14ac:dyDescent="0.3">
      <c r="A275" s="17">
        <v>70702</v>
      </c>
      <c r="B275" s="13" t="s">
        <v>167</v>
      </c>
      <c r="C275" s="13">
        <v>0</v>
      </c>
      <c r="D275" s="13">
        <v>0</v>
      </c>
    </row>
    <row r="276" spans="1:4" x14ac:dyDescent="0.3">
      <c r="A276" s="17">
        <v>70703</v>
      </c>
      <c r="B276" s="13" t="s">
        <v>159</v>
      </c>
      <c r="C276" s="13">
        <v>1</v>
      </c>
      <c r="D276" s="13">
        <v>2</v>
      </c>
    </row>
    <row r="277" spans="1:4" x14ac:dyDescent="0.3">
      <c r="A277" s="17">
        <v>70704</v>
      </c>
      <c r="B277" s="13" t="s">
        <v>659</v>
      </c>
      <c r="C277" s="13">
        <v>0</v>
      </c>
      <c r="D277" s="13">
        <v>0</v>
      </c>
    </row>
    <row r="278" spans="1:4" x14ac:dyDescent="0.3">
      <c r="A278" s="17">
        <v>70705</v>
      </c>
      <c r="B278" s="13" t="s">
        <v>371</v>
      </c>
      <c r="C278" s="13">
        <v>0</v>
      </c>
      <c r="D278" s="13">
        <v>0</v>
      </c>
    </row>
    <row r="279" spans="1:4" x14ac:dyDescent="0.3">
      <c r="A279" s="17">
        <v>70706</v>
      </c>
      <c r="B279" s="13" t="s">
        <v>156</v>
      </c>
      <c r="C279" s="13">
        <v>1</v>
      </c>
      <c r="D279" s="13">
        <v>3</v>
      </c>
    </row>
    <row r="280" spans="1:4" x14ac:dyDescent="0.3">
      <c r="A280" s="17">
        <v>70707</v>
      </c>
      <c r="B280" s="13" t="s">
        <v>660</v>
      </c>
      <c r="C280" s="13">
        <v>0</v>
      </c>
      <c r="D280" s="13">
        <v>0</v>
      </c>
    </row>
    <row r="281" spans="1:4" x14ac:dyDescent="0.3">
      <c r="A281" s="17">
        <v>70801</v>
      </c>
      <c r="B281" s="13" t="s">
        <v>162</v>
      </c>
      <c r="C281" s="13">
        <v>1</v>
      </c>
      <c r="D281" s="13">
        <v>1</v>
      </c>
    </row>
    <row r="282" spans="1:4" x14ac:dyDescent="0.3">
      <c r="A282" s="17">
        <v>70802</v>
      </c>
      <c r="B282" s="13" t="s">
        <v>661</v>
      </c>
      <c r="C282" s="13">
        <v>0</v>
      </c>
      <c r="D282" s="13">
        <v>0</v>
      </c>
    </row>
    <row r="283" spans="1:4" x14ac:dyDescent="0.3">
      <c r="A283" s="17">
        <v>70803</v>
      </c>
      <c r="B283" s="13" t="s">
        <v>662</v>
      </c>
      <c r="C283" s="13">
        <v>0</v>
      </c>
      <c r="D283" s="13">
        <v>0</v>
      </c>
    </row>
    <row r="284" spans="1:4" x14ac:dyDescent="0.3">
      <c r="A284" s="17">
        <v>70804</v>
      </c>
      <c r="B284" s="13" t="s">
        <v>664</v>
      </c>
      <c r="C284" s="13">
        <v>0</v>
      </c>
      <c r="D284" s="13">
        <v>0</v>
      </c>
    </row>
    <row r="285" spans="1:4" x14ac:dyDescent="0.3">
      <c r="A285" s="17">
        <v>70805</v>
      </c>
      <c r="B285" s="13" t="s">
        <v>665</v>
      </c>
      <c r="C285" s="13">
        <v>0</v>
      </c>
      <c r="D285" s="13">
        <v>0</v>
      </c>
    </row>
    <row r="286" spans="1:4" x14ac:dyDescent="0.3">
      <c r="A286" s="17">
        <v>70901</v>
      </c>
      <c r="B286" s="13" t="s">
        <v>164</v>
      </c>
      <c r="C286" s="13">
        <v>0</v>
      </c>
      <c r="D286" s="13">
        <v>0</v>
      </c>
    </row>
    <row r="287" spans="1:4" x14ac:dyDescent="0.3">
      <c r="A287" s="17">
        <v>70902</v>
      </c>
      <c r="B287" s="13" t="s">
        <v>168</v>
      </c>
      <c r="C287" s="13">
        <v>0</v>
      </c>
      <c r="D287" s="13">
        <v>0</v>
      </c>
    </row>
    <row r="288" spans="1:4" x14ac:dyDescent="0.3">
      <c r="A288" s="17">
        <v>70903</v>
      </c>
      <c r="B288" s="13" t="s">
        <v>163</v>
      </c>
      <c r="C288" s="13">
        <v>0</v>
      </c>
      <c r="D288" s="13">
        <v>1</v>
      </c>
    </row>
    <row r="289" spans="1:4" x14ac:dyDescent="0.3">
      <c r="A289" s="17">
        <v>70904</v>
      </c>
      <c r="B289" s="13" t="s">
        <v>667</v>
      </c>
      <c r="C289" s="13">
        <v>0</v>
      </c>
      <c r="D289" s="13">
        <v>0</v>
      </c>
    </row>
    <row r="290" spans="1:4" x14ac:dyDescent="0.3">
      <c r="A290" s="17">
        <v>71001</v>
      </c>
      <c r="B290" s="13" t="s">
        <v>144</v>
      </c>
      <c r="C290" s="13">
        <v>8</v>
      </c>
      <c r="D290" s="13">
        <v>8</v>
      </c>
    </row>
    <row r="291" spans="1:4" x14ac:dyDescent="0.3">
      <c r="A291" s="17">
        <v>71002</v>
      </c>
      <c r="B291" s="13" t="s">
        <v>669</v>
      </c>
      <c r="C291" s="13">
        <v>0</v>
      </c>
      <c r="D291" s="13">
        <v>0</v>
      </c>
    </row>
    <row r="292" spans="1:4" x14ac:dyDescent="0.3">
      <c r="A292" s="17">
        <v>71003</v>
      </c>
      <c r="B292" s="13" t="s">
        <v>158</v>
      </c>
      <c r="C292" s="13">
        <v>1</v>
      </c>
      <c r="D292" s="13">
        <v>1</v>
      </c>
    </row>
    <row r="293" spans="1:4" x14ac:dyDescent="0.3">
      <c r="A293" s="17">
        <v>71004</v>
      </c>
      <c r="B293" s="13" t="s">
        <v>165</v>
      </c>
      <c r="C293" s="13">
        <v>0</v>
      </c>
      <c r="D293" s="13">
        <v>0</v>
      </c>
    </row>
    <row r="294" spans="1:4" x14ac:dyDescent="0.3">
      <c r="A294" s="17">
        <v>71005</v>
      </c>
      <c r="B294" s="13" t="s">
        <v>172</v>
      </c>
      <c r="C294" s="13">
        <v>0</v>
      </c>
      <c r="D294" s="13">
        <v>0</v>
      </c>
    </row>
    <row r="295" spans="1:4" x14ac:dyDescent="0.3">
      <c r="A295" s="17">
        <v>71101</v>
      </c>
      <c r="B295" s="13" t="s">
        <v>175</v>
      </c>
      <c r="C295" s="13">
        <v>0</v>
      </c>
      <c r="D295" s="13">
        <v>0</v>
      </c>
    </row>
    <row r="296" spans="1:4" x14ac:dyDescent="0.3">
      <c r="A296" s="17">
        <v>71102</v>
      </c>
      <c r="B296" s="13" t="s">
        <v>671</v>
      </c>
      <c r="C296" s="13">
        <v>0</v>
      </c>
      <c r="D296" s="13">
        <v>0</v>
      </c>
    </row>
    <row r="297" spans="1:4" x14ac:dyDescent="0.3">
      <c r="A297" s="17">
        <v>71103</v>
      </c>
      <c r="B297" s="13" t="s">
        <v>186</v>
      </c>
      <c r="C297" s="13">
        <v>0</v>
      </c>
      <c r="D297" s="13">
        <v>0</v>
      </c>
    </row>
    <row r="298" spans="1:4" x14ac:dyDescent="0.3">
      <c r="A298" s="17">
        <v>71104</v>
      </c>
      <c r="B298" s="13" t="s">
        <v>161</v>
      </c>
      <c r="C298" s="13">
        <v>1</v>
      </c>
      <c r="D298" s="13">
        <v>1</v>
      </c>
    </row>
    <row r="299" spans="1:4" x14ac:dyDescent="0.3">
      <c r="A299" s="17">
        <v>71105</v>
      </c>
      <c r="B299" s="13" t="s">
        <v>672</v>
      </c>
      <c r="C299" s="13">
        <v>0</v>
      </c>
      <c r="D299" s="13">
        <v>0</v>
      </c>
    </row>
    <row r="300" spans="1:4" x14ac:dyDescent="0.3">
      <c r="A300" s="17">
        <v>71106</v>
      </c>
      <c r="B300" s="13" t="s">
        <v>673</v>
      </c>
      <c r="C300" s="13">
        <v>0</v>
      </c>
      <c r="D300" s="13">
        <v>0</v>
      </c>
    </row>
    <row r="301" spans="1:4" x14ac:dyDescent="0.3">
      <c r="A301" s="17">
        <v>71201</v>
      </c>
      <c r="B301" s="13" t="s">
        <v>150</v>
      </c>
      <c r="C301" s="13">
        <v>4</v>
      </c>
      <c r="D301" s="13">
        <v>6</v>
      </c>
    </row>
    <row r="302" spans="1:4" x14ac:dyDescent="0.3">
      <c r="A302" s="17">
        <v>71301</v>
      </c>
      <c r="B302" s="13" t="s">
        <v>160</v>
      </c>
      <c r="C302" s="13">
        <v>0</v>
      </c>
      <c r="D302" s="13">
        <v>2</v>
      </c>
    </row>
    <row r="303" spans="1:4" x14ac:dyDescent="0.3">
      <c r="A303" s="17">
        <v>71302</v>
      </c>
      <c r="B303" s="13" t="s">
        <v>676</v>
      </c>
      <c r="C303" s="13">
        <v>0</v>
      </c>
      <c r="D303" s="13">
        <v>0</v>
      </c>
    </row>
    <row r="304" spans="1:4" x14ac:dyDescent="0.3">
      <c r="A304" s="17">
        <v>71401</v>
      </c>
      <c r="B304" s="13" t="s">
        <v>148</v>
      </c>
      <c r="C304" s="13">
        <v>1</v>
      </c>
      <c r="D304" s="13">
        <v>7</v>
      </c>
    </row>
    <row r="305" spans="1:4" x14ac:dyDescent="0.3">
      <c r="A305" s="17">
        <v>71402</v>
      </c>
      <c r="B305" s="13" t="s">
        <v>146</v>
      </c>
      <c r="C305" s="13">
        <v>1</v>
      </c>
      <c r="D305" s="13">
        <v>11</v>
      </c>
    </row>
    <row r="306" spans="1:4" x14ac:dyDescent="0.3">
      <c r="A306" s="17">
        <v>71403</v>
      </c>
      <c r="B306" s="13" t="s">
        <v>678</v>
      </c>
      <c r="C306" s="13">
        <v>0</v>
      </c>
      <c r="D306" s="13">
        <v>0</v>
      </c>
    </row>
    <row r="307" spans="1:4" x14ac:dyDescent="0.3">
      <c r="A307" s="17">
        <v>71501</v>
      </c>
      <c r="B307" s="13" t="s">
        <v>680</v>
      </c>
      <c r="C307" s="13">
        <v>1</v>
      </c>
      <c r="D307" s="13">
        <v>4</v>
      </c>
    </row>
    <row r="308" spans="1:4" x14ac:dyDescent="0.3">
      <c r="A308" s="17">
        <v>71502</v>
      </c>
      <c r="B308" s="13" t="s">
        <v>681</v>
      </c>
      <c r="C308" s="13">
        <v>0</v>
      </c>
      <c r="D308" s="13">
        <v>0</v>
      </c>
    </row>
    <row r="309" spans="1:4" x14ac:dyDescent="0.3">
      <c r="A309" s="17">
        <v>71503</v>
      </c>
      <c r="B309" s="13" t="s">
        <v>349</v>
      </c>
      <c r="C309" s="13">
        <v>0</v>
      </c>
      <c r="D309" s="13">
        <v>0</v>
      </c>
    </row>
    <row r="310" spans="1:4" x14ac:dyDescent="0.3">
      <c r="A310" s="17">
        <v>80101</v>
      </c>
      <c r="B310" s="13" t="s">
        <v>179</v>
      </c>
      <c r="C310" s="13">
        <v>18</v>
      </c>
      <c r="D310" s="13">
        <v>5</v>
      </c>
    </row>
    <row r="311" spans="1:4" x14ac:dyDescent="0.3">
      <c r="A311" s="17">
        <v>80102</v>
      </c>
      <c r="B311" s="13" t="s">
        <v>671</v>
      </c>
      <c r="C311" s="13">
        <v>0</v>
      </c>
      <c r="D311" s="13">
        <v>0</v>
      </c>
    </row>
    <row r="312" spans="1:4" x14ac:dyDescent="0.3">
      <c r="A312" s="17">
        <v>80201</v>
      </c>
      <c r="B312" s="13" t="s">
        <v>178</v>
      </c>
      <c r="C312" s="13">
        <v>13</v>
      </c>
      <c r="D312" s="13">
        <v>10</v>
      </c>
    </row>
    <row r="313" spans="1:4" x14ac:dyDescent="0.3">
      <c r="A313" s="17">
        <v>80202</v>
      </c>
      <c r="B313" s="13" t="s">
        <v>180</v>
      </c>
      <c r="C313" s="13">
        <v>4</v>
      </c>
      <c r="D313" s="13">
        <v>6</v>
      </c>
    </row>
    <row r="314" spans="1:4" x14ac:dyDescent="0.3">
      <c r="A314" s="17">
        <v>80301</v>
      </c>
      <c r="B314" s="13" t="s">
        <v>685</v>
      </c>
      <c r="C314" s="13">
        <v>0</v>
      </c>
      <c r="D314" s="13">
        <v>0</v>
      </c>
    </row>
    <row r="315" spans="1:4" x14ac:dyDescent="0.3">
      <c r="A315" s="17">
        <v>80302</v>
      </c>
      <c r="B315" s="13" t="s">
        <v>181</v>
      </c>
      <c r="C315" s="13">
        <v>2</v>
      </c>
      <c r="D315" s="13">
        <v>3</v>
      </c>
    </row>
    <row r="316" spans="1:4" x14ac:dyDescent="0.3">
      <c r="A316" s="17">
        <v>80303</v>
      </c>
      <c r="B316" s="13" t="s">
        <v>185</v>
      </c>
      <c r="C316" s="13">
        <v>0</v>
      </c>
      <c r="D316" s="13">
        <v>0</v>
      </c>
    </row>
    <row r="317" spans="1:4" x14ac:dyDescent="0.3">
      <c r="A317" s="17">
        <v>80304</v>
      </c>
      <c r="B317" s="13" t="s">
        <v>686</v>
      </c>
      <c r="C317" s="13">
        <v>1</v>
      </c>
      <c r="D317" s="13">
        <v>3</v>
      </c>
    </row>
    <row r="318" spans="1:4" x14ac:dyDescent="0.3">
      <c r="A318" s="17">
        <v>80401</v>
      </c>
      <c r="B318" s="13" t="s">
        <v>688</v>
      </c>
      <c r="C318" s="13">
        <v>0</v>
      </c>
      <c r="D318" s="13">
        <v>2</v>
      </c>
    </row>
    <row r="319" spans="1:4" x14ac:dyDescent="0.3">
      <c r="A319" s="17">
        <v>80402</v>
      </c>
      <c r="B319" s="13" t="s">
        <v>187</v>
      </c>
      <c r="C319" s="13">
        <v>0</v>
      </c>
      <c r="D319" s="13">
        <v>0</v>
      </c>
    </row>
    <row r="320" spans="1:4" x14ac:dyDescent="0.3">
      <c r="A320" s="17">
        <v>80501</v>
      </c>
      <c r="B320" s="13" t="s">
        <v>397</v>
      </c>
      <c r="C320" s="13">
        <v>0</v>
      </c>
      <c r="D320" s="13">
        <v>0</v>
      </c>
    </row>
    <row r="321" spans="1:4" x14ac:dyDescent="0.3">
      <c r="A321" s="17">
        <v>80601</v>
      </c>
      <c r="B321" s="13" t="s">
        <v>399</v>
      </c>
      <c r="C321" s="13">
        <v>0</v>
      </c>
      <c r="D321" s="13">
        <v>0</v>
      </c>
    </row>
    <row r="322" spans="1:4" x14ac:dyDescent="0.3">
      <c r="A322" s="17">
        <v>80602</v>
      </c>
      <c r="B322" s="13" t="s">
        <v>691</v>
      </c>
      <c r="C322" s="13">
        <v>0</v>
      </c>
      <c r="D322" s="13">
        <v>0</v>
      </c>
    </row>
    <row r="323" spans="1:4" x14ac:dyDescent="0.3">
      <c r="A323" s="17">
        <v>80701</v>
      </c>
      <c r="B323" s="13" t="s">
        <v>401</v>
      </c>
      <c r="C323" s="13">
        <v>0</v>
      </c>
      <c r="D323" s="13">
        <v>0</v>
      </c>
    </row>
    <row r="324" spans="1:4" x14ac:dyDescent="0.3">
      <c r="A324" s="17">
        <v>80702</v>
      </c>
      <c r="B324" s="13" t="s">
        <v>186</v>
      </c>
      <c r="C324" s="13">
        <v>0</v>
      </c>
      <c r="D324" s="13">
        <v>0</v>
      </c>
    </row>
    <row r="325" spans="1:4" x14ac:dyDescent="0.3">
      <c r="A325" s="17">
        <v>80703</v>
      </c>
      <c r="B325" s="13" t="s">
        <v>693</v>
      </c>
      <c r="C325" s="13">
        <v>0</v>
      </c>
      <c r="D325" s="13">
        <v>0</v>
      </c>
    </row>
    <row r="326" spans="1:4" x14ac:dyDescent="0.3">
      <c r="A326" s="17">
        <v>80801</v>
      </c>
      <c r="B326" s="13" t="s">
        <v>404</v>
      </c>
      <c r="C326" s="13">
        <v>0</v>
      </c>
      <c r="D326" s="13">
        <v>0</v>
      </c>
    </row>
    <row r="327" spans="1:4" x14ac:dyDescent="0.3">
      <c r="A327" s="17">
        <v>80802</v>
      </c>
      <c r="B327" s="13" t="s">
        <v>695</v>
      </c>
      <c r="C327" s="13">
        <v>0</v>
      </c>
      <c r="D327" s="13">
        <v>0</v>
      </c>
    </row>
    <row r="328" spans="1:4" x14ac:dyDescent="0.3">
      <c r="A328" s="17">
        <v>80803</v>
      </c>
      <c r="B328" s="13" t="s">
        <v>184</v>
      </c>
      <c r="C328" s="13">
        <v>0</v>
      </c>
      <c r="D328" s="13">
        <v>0</v>
      </c>
    </row>
    <row r="329" spans="1:4" x14ac:dyDescent="0.3">
      <c r="A329" s="17">
        <v>80901</v>
      </c>
      <c r="B329" s="13" t="s">
        <v>696</v>
      </c>
      <c r="C329" s="13">
        <v>0</v>
      </c>
      <c r="D329" s="13">
        <v>0</v>
      </c>
    </row>
    <row r="330" spans="1:4" x14ac:dyDescent="0.3">
      <c r="A330" s="17">
        <v>90101</v>
      </c>
      <c r="B330" s="13" t="s">
        <v>189</v>
      </c>
      <c r="C330" s="13">
        <v>9</v>
      </c>
      <c r="D330" s="13">
        <v>14</v>
      </c>
    </row>
    <row r="331" spans="1:4" x14ac:dyDescent="0.3">
      <c r="A331" s="17">
        <v>90102</v>
      </c>
      <c r="B331" s="13" t="s">
        <v>698</v>
      </c>
      <c r="C331" s="13">
        <v>0</v>
      </c>
      <c r="D331" s="13">
        <v>0</v>
      </c>
    </row>
    <row r="332" spans="1:4" x14ac:dyDescent="0.3">
      <c r="A332" s="17">
        <v>90103</v>
      </c>
      <c r="B332" s="13" t="s">
        <v>194</v>
      </c>
      <c r="C332" s="13">
        <v>0</v>
      </c>
      <c r="D332" s="13">
        <v>0</v>
      </c>
    </row>
    <row r="333" spans="1:4" x14ac:dyDescent="0.3">
      <c r="A333" s="17">
        <v>90104</v>
      </c>
      <c r="B333" s="13" t="s">
        <v>193</v>
      </c>
      <c r="C333" s="13">
        <v>0</v>
      </c>
      <c r="D333" s="13">
        <v>0</v>
      </c>
    </row>
    <row r="334" spans="1:4" x14ac:dyDescent="0.3">
      <c r="A334" s="17">
        <v>90201</v>
      </c>
      <c r="B334" s="13" t="s">
        <v>192</v>
      </c>
      <c r="C334" s="13">
        <v>0</v>
      </c>
      <c r="D334" s="13">
        <v>0</v>
      </c>
    </row>
    <row r="335" spans="1:4" x14ac:dyDescent="0.3">
      <c r="A335" s="17">
        <v>90202</v>
      </c>
      <c r="B335" s="13" t="s">
        <v>172</v>
      </c>
      <c r="C335" s="13">
        <v>0</v>
      </c>
      <c r="D335" s="13">
        <v>0</v>
      </c>
    </row>
    <row r="336" spans="1:4" x14ac:dyDescent="0.3">
      <c r="A336" s="17">
        <v>90203</v>
      </c>
      <c r="B336" s="13" t="s">
        <v>700</v>
      </c>
      <c r="C336" s="13">
        <v>0</v>
      </c>
      <c r="D336" s="13">
        <v>0</v>
      </c>
    </row>
    <row r="337" spans="1:4" x14ac:dyDescent="0.3">
      <c r="A337" s="17">
        <v>90301</v>
      </c>
      <c r="B337" s="13" t="s">
        <v>702</v>
      </c>
      <c r="C337" s="13">
        <v>0</v>
      </c>
      <c r="D337" s="13">
        <v>0</v>
      </c>
    </row>
    <row r="338" spans="1:4" x14ac:dyDescent="0.3">
      <c r="A338" s="17">
        <v>90302</v>
      </c>
      <c r="B338" s="13" t="s">
        <v>191</v>
      </c>
      <c r="C338" s="13">
        <v>0</v>
      </c>
      <c r="D338" s="13">
        <v>0</v>
      </c>
    </row>
    <row r="339" spans="1:4" x14ac:dyDescent="0.3">
      <c r="A339" s="17">
        <v>90303</v>
      </c>
      <c r="B339" s="13" t="s">
        <v>703</v>
      </c>
      <c r="C339" s="13">
        <v>0</v>
      </c>
      <c r="D339" s="13">
        <v>1</v>
      </c>
    </row>
    <row r="340" spans="1:4" x14ac:dyDescent="0.3">
      <c r="A340" s="17">
        <v>90401</v>
      </c>
      <c r="B340" s="13" t="s">
        <v>185</v>
      </c>
      <c r="C340" s="13">
        <v>0</v>
      </c>
      <c r="D340" s="13">
        <v>0</v>
      </c>
    </row>
    <row r="341" spans="1:4" x14ac:dyDescent="0.3">
      <c r="A341" s="17">
        <v>90402</v>
      </c>
      <c r="B341" s="13" t="s">
        <v>481</v>
      </c>
      <c r="C341" s="13">
        <v>0</v>
      </c>
      <c r="D341" s="13">
        <v>0</v>
      </c>
    </row>
    <row r="342" spans="1:4" x14ac:dyDescent="0.3">
      <c r="A342" s="17">
        <v>90501</v>
      </c>
      <c r="B342" s="13" t="s">
        <v>706</v>
      </c>
      <c r="C342" s="13">
        <v>0</v>
      </c>
      <c r="D342" s="13">
        <v>0</v>
      </c>
    </row>
    <row r="343" spans="1:4" x14ac:dyDescent="0.3">
      <c r="A343" s="17">
        <v>90502</v>
      </c>
      <c r="B343" s="13" t="s">
        <v>707</v>
      </c>
      <c r="C343" s="13">
        <v>0</v>
      </c>
      <c r="D343" s="13">
        <v>0</v>
      </c>
    </row>
    <row r="344" spans="1:4" x14ac:dyDescent="0.3">
      <c r="A344" s="17">
        <v>90503</v>
      </c>
      <c r="B344" s="13" t="s">
        <v>709</v>
      </c>
      <c r="C344" s="13">
        <v>0</v>
      </c>
      <c r="D344" s="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58CC-1E70-4A95-8CBC-7676C8593C2A}">
  <dimension ref="A1:G12"/>
  <sheetViews>
    <sheetView topLeftCell="A2" workbookViewId="0">
      <selection activeCell="C22" sqref="C21:C22"/>
    </sheetView>
  </sheetViews>
  <sheetFormatPr baseColWidth="10" defaultRowHeight="14.4" x14ac:dyDescent="0.3"/>
  <cols>
    <col min="1" max="1" width="16.5546875" bestFit="1" customWidth="1"/>
    <col min="2" max="2" width="13.88671875" bestFit="1" customWidth="1"/>
    <col min="3" max="3" width="25.6640625" customWidth="1"/>
    <col min="4" max="4" width="25" customWidth="1"/>
    <col min="5" max="5" width="7.5546875" customWidth="1"/>
    <col min="6" max="6" width="12.44140625" customWidth="1"/>
    <col min="7" max="7" width="7.5546875" customWidth="1"/>
  </cols>
  <sheetData>
    <row r="1" spans="1:7" ht="28.8" x14ac:dyDescent="0.3">
      <c r="A1" s="23" t="s">
        <v>733</v>
      </c>
      <c r="B1" s="23" t="s">
        <v>717</v>
      </c>
      <c r="C1" s="18" t="s">
        <v>730</v>
      </c>
      <c r="D1" s="18" t="s">
        <v>731</v>
      </c>
      <c r="E1" s="25"/>
      <c r="F1" s="25"/>
      <c r="G1" s="25"/>
    </row>
    <row r="2" spans="1:7" x14ac:dyDescent="0.3">
      <c r="A2" s="13">
        <v>1</v>
      </c>
      <c r="B2" s="24" t="s">
        <v>10</v>
      </c>
      <c r="C2" s="21">
        <v>2.8674662685355075</v>
      </c>
      <c r="D2" s="21">
        <v>1.9331237102077197</v>
      </c>
      <c r="G2" s="20"/>
    </row>
    <row r="3" spans="1:7" x14ac:dyDescent="0.3">
      <c r="A3" s="13">
        <v>2</v>
      </c>
      <c r="B3" s="24" t="s">
        <v>25</v>
      </c>
      <c r="C3" s="21">
        <v>6.5459377003010308</v>
      </c>
      <c r="D3" s="21">
        <v>2.3774377386170347</v>
      </c>
      <c r="G3" s="20"/>
    </row>
    <row r="4" spans="1:7" x14ac:dyDescent="0.3">
      <c r="A4" s="13">
        <v>3</v>
      </c>
      <c r="B4" s="24" t="s">
        <v>68</v>
      </c>
      <c r="C4" s="21">
        <v>5.3150815325382856</v>
      </c>
      <c r="D4" s="21">
        <v>6.1776078903990879</v>
      </c>
      <c r="G4" s="20"/>
    </row>
    <row r="5" spans="1:7" x14ac:dyDescent="0.3">
      <c r="A5" s="13">
        <v>4</v>
      </c>
      <c r="B5" s="24" t="s">
        <v>98</v>
      </c>
      <c r="C5" s="21">
        <v>11.9622863058727</v>
      </c>
      <c r="D5" s="21">
        <v>4.061980895800624</v>
      </c>
      <c r="G5" s="20"/>
    </row>
    <row r="6" spans="1:7" x14ac:dyDescent="0.3">
      <c r="A6" s="13">
        <v>5</v>
      </c>
      <c r="B6" s="24" t="s">
        <v>116</v>
      </c>
      <c r="C6" s="21">
        <v>2.7995795536120789</v>
      </c>
      <c r="D6" s="21">
        <v>2.8359433498993152</v>
      </c>
      <c r="G6" s="20"/>
    </row>
    <row r="7" spans="1:7" x14ac:dyDescent="0.3">
      <c r="A7" s="13">
        <v>6</v>
      </c>
      <c r="B7" s="24" t="s">
        <v>133</v>
      </c>
      <c r="C7" s="21">
        <v>6.2849807540115314</v>
      </c>
      <c r="D7" s="21">
        <v>5.2828863838878641</v>
      </c>
      <c r="G7" s="20"/>
    </row>
    <row r="8" spans="1:7" x14ac:dyDescent="0.3">
      <c r="A8" s="13">
        <v>7</v>
      </c>
      <c r="B8" s="24" t="s">
        <v>140</v>
      </c>
      <c r="C8" s="21">
        <v>4.5809705428779006</v>
      </c>
      <c r="D8" s="21">
        <v>5.3515689298147757</v>
      </c>
      <c r="G8" s="20"/>
    </row>
    <row r="9" spans="1:7" x14ac:dyDescent="0.3">
      <c r="A9" s="13">
        <v>8</v>
      </c>
      <c r="B9" s="24" t="s">
        <v>177</v>
      </c>
      <c r="C9" s="21">
        <v>8.7394530182296872</v>
      </c>
      <c r="D9" s="21">
        <v>6.3492284227620432</v>
      </c>
      <c r="G9" s="20"/>
    </row>
    <row r="10" spans="1:7" x14ac:dyDescent="0.3">
      <c r="A10" s="13">
        <v>9</v>
      </c>
      <c r="B10" s="24" t="s">
        <v>188</v>
      </c>
      <c r="C10" s="21">
        <v>7.6099614018545934</v>
      </c>
      <c r="D10" s="21">
        <v>11.900583866918524</v>
      </c>
      <c r="G10" s="20"/>
    </row>
    <row r="11" spans="1:7" x14ac:dyDescent="0.3">
      <c r="A11" s="13">
        <v>10</v>
      </c>
      <c r="B11" s="24" t="s">
        <v>640</v>
      </c>
      <c r="C11" s="21">
        <v>7.5944573156571709</v>
      </c>
      <c r="D11" s="21">
        <v>7.3827890512653767</v>
      </c>
    </row>
    <row r="12" spans="1:7" x14ac:dyDescent="0.3">
      <c r="A12" s="13">
        <v>11</v>
      </c>
      <c r="B12" s="24" t="s">
        <v>761</v>
      </c>
      <c r="C12" s="21">
        <v>5.6620629953506416</v>
      </c>
      <c r="D12" s="21">
        <v>4.3808448795630719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620A-61C4-4CC9-B752-523B41D4B268}">
  <dimension ref="A1:D12"/>
  <sheetViews>
    <sheetView workbookViewId="0">
      <selection activeCell="E17" sqref="E17"/>
    </sheetView>
  </sheetViews>
  <sheetFormatPr baseColWidth="10" defaultRowHeight="14.4" x14ac:dyDescent="0.3"/>
  <cols>
    <col min="1" max="1" width="16.5546875" bestFit="1" customWidth="1"/>
    <col min="2" max="2" width="13.88671875" bestFit="1" customWidth="1"/>
    <col min="3" max="4" width="31.44140625" customWidth="1"/>
  </cols>
  <sheetData>
    <row r="1" spans="1:4" ht="43.2" x14ac:dyDescent="0.3">
      <c r="A1" s="23" t="s">
        <v>733</v>
      </c>
      <c r="B1" s="23" t="s">
        <v>717</v>
      </c>
      <c r="C1" s="18" t="s">
        <v>734</v>
      </c>
      <c r="D1" s="18" t="s">
        <v>735</v>
      </c>
    </row>
    <row r="2" spans="1:4" x14ac:dyDescent="0.3">
      <c r="A2" s="13">
        <v>1</v>
      </c>
      <c r="B2" s="24" t="s">
        <v>10</v>
      </c>
      <c r="C2" s="13">
        <v>17</v>
      </c>
      <c r="D2" s="13">
        <v>12</v>
      </c>
    </row>
    <row r="3" spans="1:4" x14ac:dyDescent="0.3">
      <c r="A3" s="13">
        <v>2</v>
      </c>
      <c r="B3" s="24" t="s">
        <v>25</v>
      </c>
      <c r="C3" s="13">
        <v>188</v>
      </c>
      <c r="D3" s="13">
        <v>71</v>
      </c>
    </row>
    <row r="4" spans="1:4" x14ac:dyDescent="0.3">
      <c r="A4" s="13">
        <v>3</v>
      </c>
      <c r="B4" s="24" t="s">
        <v>68</v>
      </c>
      <c r="C4" s="13">
        <v>100</v>
      </c>
      <c r="D4" s="13">
        <v>123</v>
      </c>
    </row>
    <row r="5" spans="1:4" x14ac:dyDescent="0.3">
      <c r="A5" s="13">
        <v>4</v>
      </c>
      <c r="B5" s="24" t="s">
        <v>98</v>
      </c>
      <c r="C5" s="13">
        <v>64</v>
      </c>
      <c r="D5" s="13">
        <v>23</v>
      </c>
    </row>
    <row r="6" spans="1:4" x14ac:dyDescent="0.3">
      <c r="A6" s="13">
        <v>5</v>
      </c>
      <c r="B6" s="24" t="s">
        <v>116</v>
      </c>
      <c r="C6" s="13">
        <v>24</v>
      </c>
      <c r="D6" s="13">
        <v>24</v>
      </c>
    </row>
    <row r="7" spans="1:4" x14ac:dyDescent="0.3">
      <c r="A7" s="13">
        <v>6</v>
      </c>
      <c r="B7" s="24" t="s">
        <v>133</v>
      </c>
      <c r="C7" s="13">
        <v>32</v>
      </c>
      <c r="D7" s="13">
        <v>28</v>
      </c>
    </row>
    <row r="8" spans="1:4" x14ac:dyDescent="0.3">
      <c r="A8" s="13">
        <v>7</v>
      </c>
      <c r="B8" s="24" t="s">
        <v>140</v>
      </c>
      <c r="C8" s="13">
        <v>132</v>
      </c>
      <c r="D8" s="13">
        <v>165</v>
      </c>
    </row>
    <row r="9" spans="1:4" x14ac:dyDescent="0.3">
      <c r="A9" s="13">
        <v>8</v>
      </c>
      <c r="B9" s="24" t="s">
        <v>177</v>
      </c>
      <c r="C9" s="13">
        <v>40</v>
      </c>
      <c r="D9" s="13">
        <v>31</v>
      </c>
    </row>
    <row r="10" spans="1:4" x14ac:dyDescent="0.3">
      <c r="A10" s="13">
        <v>9</v>
      </c>
      <c r="B10" s="24" t="s">
        <v>188</v>
      </c>
      <c r="C10" s="13">
        <v>9</v>
      </c>
      <c r="D10" s="13">
        <v>16</v>
      </c>
    </row>
    <row r="11" spans="1:4" x14ac:dyDescent="0.3">
      <c r="A11" s="13">
        <v>10</v>
      </c>
      <c r="B11" s="24" t="s">
        <v>640</v>
      </c>
      <c r="C11" s="13">
        <v>12</v>
      </c>
      <c r="D11" s="13">
        <v>12</v>
      </c>
    </row>
    <row r="12" spans="1:4" x14ac:dyDescent="0.3">
      <c r="A12" s="13">
        <v>11</v>
      </c>
      <c r="B12" s="24" t="s">
        <v>761</v>
      </c>
      <c r="C12" s="13">
        <v>606</v>
      </c>
      <c r="D12" s="13">
        <v>493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8CCC-FD2C-4D67-9242-6DA3E83DC3D6}">
  <dimension ref="A1:J2"/>
  <sheetViews>
    <sheetView tabSelected="1" workbookViewId="0">
      <selection activeCell="J5" sqref="J5"/>
    </sheetView>
  </sheetViews>
  <sheetFormatPr baseColWidth="10" defaultRowHeight="14.4" x14ac:dyDescent="0.3"/>
  <sheetData>
    <row r="1" spans="1:10" ht="36" x14ac:dyDescent="0.3">
      <c r="A1" s="26" t="s">
        <v>736</v>
      </c>
      <c r="B1" s="26" t="s">
        <v>737</v>
      </c>
      <c r="C1" s="27" t="s">
        <v>738</v>
      </c>
      <c r="D1" s="27" t="s">
        <v>739</v>
      </c>
      <c r="E1" s="28" t="s">
        <v>740</v>
      </c>
      <c r="F1" s="28" t="s">
        <v>741</v>
      </c>
      <c r="G1" s="29" t="s">
        <v>742</v>
      </c>
      <c r="H1" s="29" t="s">
        <v>743</v>
      </c>
      <c r="I1" s="30" t="s">
        <v>744</v>
      </c>
      <c r="J1" s="30" t="s">
        <v>745</v>
      </c>
    </row>
    <row r="2" spans="1:10" x14ac:dyDescent="0.3">
      <c r="A2" s="13">
        <v>16</v>
      </c>
      <c r="B2" s="13" t="s">
        <v>759</v>
      </c>
      <c r="C2" s="13">
        <v>0</v>
      </c>
      <c r="D2" s="13">
        <v>1.31</v>
      </c>
      <c r="E2" s="13">
        <v>1.31</v>
      </c>
      <c r="F2" s="13">
        <v>2.35</v>
      </c>
      <c r="G2" s="13">
        <v>2.35</v>
      </c>
      <c r="H2" s="13">
        <v>3.39</v>
      </c>
      <c r="I2" s="13">
        <v>3.39</v>
      </c>
      <c r="J2" s="13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5CE0-A6B9-42A9-A768-54097219E093}">
  <dimension ref="A1"/>
  <sheetViews>
    <sheetView zoomScale="90" zoomScaleNormal="90" workbookViewId="0">
      <selection activeCell="L16" sqref="L1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MUÑOS</dc:creator>
  <cp:lastModifiedBy>Karina</cp:lastModifiedBy>
  <dcterms:created xsi:type="dcterms:W3CDTF">2026-04-15T18:25:25Z</dcterms:created>
  <dcterms:modified xsi:type="dcterms:W3CDTF">2026-06-15T17:30:54Z</dcterms:modified>
</cp:coreProperties>
</file>