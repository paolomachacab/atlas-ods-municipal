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 Originales" sheetId="1" r:id="rId4"/>
    <sheet state="visible" name="Datos procesados" sheetId="2" r:id="rId5"/>
    <sheet state="visible" name="Indicador_MUN" sheetId="3" r:id="rId6"/>
    <sheet state="visible" name="Absoluto_MUN" sheetId="4" r:id="rId7"/>
    <sheet state="visible" name="Indicador_DEP" sheetId="5" r:id="rId8"/>
    <sheet state="visible" name="Absoluto_DEP" sheetId="6" r:id="rId9"/>
    <sheet state="visible" name="Umbral" sheetId="7" r:id="rId10"/>
    <sheet state="visible" name="Mapa" sheetId="8" r:id="rId11"/>
  </sheets>
  <definedNames/>
  <calcPr/>
  <extLst>
    <ext uri="GoogleSheetsCustomDataVersion2">
      <go:sheetsCustomData xmlns:go="http://customooxmlschemas.google.com/" r:id="rId12" roundtripDataChecksum="J7Ea0xAzFZjF5xyyzsfHQroQb+8LHyvBkUXRso6RAuE="/>
    </ext>
  </extLst>
</workbook>
</file>

<file path=xl/sharedStrings.xml><?xml version="1.0" encoding="utf-8"?>
<sst xmlns="http://schemas.openxmlformats.org/spreadsheetml/2006/main" count="2724" uniqueCount="764">
  <si>
    <r>
      <rPr>
        <rFont val="Century Gothic"/>
        <b/>
        <color theme="1"/>
        <sz val="11.0"/>
      </rPr>
      <t>BOLIVIA: DENUNCIAS DE DELITOS CONTRA LA VIDA</t>
    </r>
    <r>
      <rPr>
        <rFont val="Century Gothic"/>
        <b/>
        <color theme="1"/>
        <sz val="11.0"/>
        <vertAlign val="superscript"/>
      </rPr>
      <t>(1)</t>
    </r>
    <r>
      <rPr>
        <rFont val="Century Gothic"/>
        <b/>
        <color theme="1"/>
        <sz val="11.0"/>
      </rPr>
      <t>, POR AÑO, SEGÚN DEPARTAMENTO Y MUNICIPIO, 2021 -2024
(En número)</t>
    </r>
  </si>
  <si>
    <r>
      <rPr>
        <rFont val="Century Gothic"/>
        <b/>
        <color theme="1"/>
        <sz val="12.0"/>
      </rPr>
      <t>BOLIVIA: DENUNCIAS DE DELITOS CONTRA LA VIDA</t>
    </r>
    <r>
      <rPr>
        <rFont val="Century Gothic"/>
        <b/>
        <color theme="1"/>
        <sz val="12.0"/>
        <vertAlign val="superscript"/>
      </rPr>
      <t>(1)</t>
    </r>
    <r>
      <rPr>
        <rFont val="Century Gothic"/>
        <b/>
        <color theme="1"/>
        <sz val="12.0"/>
      </rPr>
      <t>, POR AÑO, SEGÚN DEPARTAMENTO Y MUNICIPIO, 2021 -2025
(En número)</t>
    </r>
  </si>
  <si>
    <t>COD_MUNCIPIO</t>
  </si>
  <si>
    <t>MUNICIPIO</t>
  </si>
  <si>
    <t>CANTIDAD DE DENUNCIAS DE DELITOS CONTRA LA VIDA 
(DENOMIDANA A NIVEL INTERNACIONAL HOMICIDIOS)</t>
  </si>
  <si>
    <t>DEPARTAMENTO/MUNICIPIO</t>
  </si>
  <si>
    <t>2017</t>
  </si>
  <si>
    <t>2018</t>
  </si>
  <si>
    <t>2019</t>
  </si>
  <si>
    <t>2020</t>
  </si>
  <si>
    <t>2021</t>
  </si>
  <si>
    <t>2022</t>
  </si>
  <si>
    <t>2023</t>
  </si>
  <si>
    <t>CQS</t>
  </si>
  <si>
    <t>010101</t>
  </si>
  <si>
    <t>Sucre</t>
  </si>
  <si>
    <t>010102</t>
  </si>
  <si>
    <t>Yotala</t>
  </si>
  <si>
    <t>Monteagudo</t>
  </si>
  <si>
    <t>010103</t>
  </si>
  <si>
    <t>Poroma</t>
  </si>
  <si>
    <t>San Lucas</t>
  </si>
  <si>
    <t>010401</t>
  </si>
  <si>
    <t>Padilla</t>
  </si>
  <si>
    <t>Camargo</t>
  </si>
  <si>
    <t>010403</t>
  </si>
  <si>
    <t>Sopachuy</t>
  </si>
  <si>
    <t>010501</t>
  </si>
  <si>
    <t>Culpina</t>
  </si>
  <si>
    <t>010502</t>
  </si>
  <si>
    <t>Huacareta</t>
  </si>
  <si>
    <t>Incahuasi</t>
  </si>
  <si>
    <t>010701</t>
  </si>
  <si>
    <t>Macharetí</t>
  </si>
  <si>
    <t>010702</t>
  </si>
  <si>
    <t>010704</t>
  </si>
  <si>
    <t>Villa Charcas</t>
  </si>
  <si>
    <t>Yamparáez</t>
  </si>
  <si>
    <t>010902</t>
  </si>
  <si>
    <t>011003</t>
  </si>
  <si>
    <t>020101</t>
  </si>
  <si>
    <t>La Paz</t>
  </si>
  <si>
    <t>Tarvita</t>
  </si>
  <si>
    <t>020102</t>
  </si>
  <si>
    <t>Palca</t>
  </si>
  <si>
    <t>020103</t>
  </si>
  <si>
    <t>Mecapaca</t>
  </si>
  <si>
    <t>LPZ</t>
  </si>
  <si>
    <t>020104</t>
  </si>
  <si>
    <t>Achocalla</t>
  </si>
  <si>
    <t>El Alto</t>
  </si>
  <si>
    <t>020105</t>
  </si>
  <si>
    <t>020201</t>
  </si>
  <si>
    <t>Achacachi</t>
  </si>
  <si>
    <t>Viacha</t>
  </si>
  <si>
    <t>020202</t>
  </si>
  <si>
    <t>Ancoraimes</t>
  </si>
  <si>
    <t>Sica Sica</t>
  </si>
  <si>
    <t>020203</t>
  </si>
  <si>
    <t>Chua Cocani</t>
  </si>
  <si>
    <t>Caranavi</t>
  </si>
  <si>
    <t>020301</t>
  </si>
  <si>
    <t>Coro Coro</t>
  </si>
  <si>
    <t>020302</t>
  </si>
  <si>
    <t>Caquiaviri</t>
  </si>
  <si>
    <t>Desaguadero</t>
  </si>
  <si>
    <t>020305</t>
  </si>
  <si>
    <t>Charaña</t>
  </si>
  <si>
    <t>Copacabana</t>
  </si>
  <si>
    <t>020308</t>
  </si>
  <si>
    <t>Callapa</t>
  </si>
  <si>
    <t>Laja</t>
  </si>
  <si>
    <t>020401</t>
  </si>
  <si>
    <t>Puerto Acosta</t>
  </si>
  <si>
    <t>Patacamaya</t>
  </si>
  <si>
    <t>020502</t>
  </si>
  <si>
    <t>Ayata</t>
  </si>
  <si>
    <t>Pucarani</t>
  </si>
  <si>
    <t>020601</t>
  </si>
  <si>
    <t>Sorata</t>
  </si>
  <si>
    <t>Coripata</t>
  </si>
  <si>
    <t>020602</t>
  </si>
  <si>
    <t>Guanay</t>
  </si>
  <si>
    <t>Chulumani</t>
  </si>
  <si>
    <t>020603</t>
  </si>
  <si>
    <t>Tacacoma</t>
  </si>
  <si>
    <t>Santiago De Huata</t>
  </si>
  <si>
    <t>020604</t>
  </si>
  <si>
    <t>Quiabaya</t>
  </si>
  <si>
    <t>020607</t>
  </si>
  <si>
    <t>Mapiri</t>
  </si>
  <si>
    <t>La Asunta</t>
  </si>
  <si>
    <t>020608</t>
  </si>
  <si>
    <t>Teoponte</t>
  </si>
  <si>
    <t>Calamarca</t>
  </si>
  <si>
    <t>020701</t>
  </si>
  <si>
    <t>Apolo</t>
  </si>
  <si>
    <t>San Pedro De Tiquina</t>
  </si>
  <si>
    <t>020702</t>
  </si>
  <si>
    <t>Pelechuco</t>
  </si>
  <si>
    <t>San Buenaventura</t>
  </si>
  <si>
    <t>020801</t>
  </si>
  <si>
    <t>020803</t>
  </si>
  <si>
    <t>Tiahuanacu</t>
  </si>
  <si>
    <t>Umala</t>
  </si>
  <si>
    <t>020804</t>
  </si>
  <si>
    <t>San Pedro Curahuara</t>
  </si>
  <si>
    <t>020902</t>
  </si>
  <si>
    <t>Sapahaqui</t>
  </si>
  <si>
    <t>Cajuata</t>
  </si>
  <si>
    <t>021001</t>
  </si>
  <si>
    <t>Inquisivi</t>
  </si>
  <si>
    <t>Coroico</t>
  </si>
  <si>
    <t>021003</t>
  </si>
  <si>
    <t>021004</t>
  </si>
  <si>
    <t>Colquiri</t>
  </si>
  <si>
    <t>021101</t>
  </si>
  <si>
    <t>Ixiamas</t>
  </si>
  <si>
    <t>021102</t>
  </si>
  <si>
    <t>Irupana</t>
  </si>
  <si>
    <t>021104</t>
  </si>
  <si>
    <t>Palos Blancos</t>
  </si>
  <si>
    <t>021105</t>
  </si>
  <si>
    <t>Collana</t>
  </si>
  <si>
    <t>021201</t>
  </si>
  <si>
    <t>021202</t>
  </si>
  <si>
    <t>021203</t>
  </si>
  <si>
    <t>Batallas</t>
  </si>
  <si>
    <t>021301</t>
  </si>
  <si>
    <t>Waldo Ballivian</t>
  </si>
  <si>
    <t>021302</t>
  </si>
  <si>
    <t>021304</t>
  </si>
  <si>
    <t>021305</t>
  </si>
  <si>
    <t>Nazacara de Pacajes</t>
  </si>
  <si>
    <t>021306</t>
  </si>
  <si>
    <t>Colquencha</t>
  </si>
  <si>
    <t>Tito Yupanqui</t>
  </si>
  <si>
    <t>021307</t>
  </si>
  <si>
    <t>021401</t>
  </si>
  <si>
    <t>Charazani</t>
  </si>
  <si>
    <t>021402</t>
  </si>
  <si>
    <t>021501</t>
  </si>
  <si>
    <t>021701</t>
  </si>
  <si>
    <t>021702</t>
  </si>
  <si>
    <t>CBBA</t>
  </si>
  <si>
    <t>021802</t>
  </si>
  <si>
    <t>Papel Pampa</t>
  </si>
  <si>
    <t>Cochabamba</t>
  </si>
  <si>
    <t>022001</t>
  </si>
  <si>
    <t>Puerto Villarroel</t>
  </si>
  <si>
    <t>030101</t>
  </si>
  <si>
    <t>Sacaba</t>
  </si>
  <si>
    <t>030302</t>
  </si>
  <si>
    <t>Morochata</t>
  </si>
  <si>
    <t>Entre Ríos</t>
  </si>
  <si>
    <t>030401</t>
  </si>
  <si>
    <t>Tarata</t>
  </si>
  <si>
    <t>Villa Tunari</t>
  </si>
  <si>
    <t>030402</t>
  </si>
  <si>
    <t>Anzaldo</t>
  </si>
  <si>
    <t>Quillacollo</t>
  </si>
  <si>
    <t>030403</t>
  </si>
  <si>
    <t>Arbieto</t>
  </si>
  <si>
    <t>Sipe Sipe</t>
  </si>
  <si>
    <t>030501</t>
  </si>
  <si>
    <t>Arani</t>
  </si>
  <si>
    <t>Punata</t>
  </si>
  <si>
    <t>030502</t>
  </si>
  <si>
    <t>Vacas</t>
  </si>
  <si>
    <t>Tiquipaya</t>
  </si>
  <si>
    <t>030601</t>
  </si>
  <si>
    <t>Arque</t>
  </si>
  <si>
    <t>Chimoré</t>
  </si>
  <si>
    <t>030701</t>
  </si>
  <si>
    <t>Capinota</t>
  </si>
  <si>
    <t>Colcapirhua</t>
  </si>
  <si>
    <t>030801</t>
  </si>
  <si>
    <t>Cliza</t>
  </si>
  <si>
    <t>Tiraque</t>
  </si>
  <si>
    <t>030802</t>
  </si>
  <si>
    <t>Toko</t>
  </si>
  <si>
    <t>Vinto</t>
  </si>
  <si>
    <t>030803</t>
  </si>
  <si>
    <t>Tolata</t>
  </si>
  <si>
    <t>030901</t>
  </si>
  <si>
    <t>Shinahota</t>
  </si>
  <si>
    <t>030902</t>
  </si>
  <si>
    <t>030903</t>
  </si>
  <si>
    <t>030904</t>
  </si>
  <si>
    <t>Colomi</t>
  </si>
  <si>
    <t>030905</t>
  </si>
  <si>
    <t>031001</t>
  </si>
  <si>
    <t>031002</t>
  </si>
  <si>
    <t>031003</t>
  </si>
  <si>
    <t>San Benito</t>
  </si>
  <si>
    <t>031203</t>
  </si>
  <si>
    <t>Pocona</t>
  </si>
  <si>
    <t>Villa Rivero</t>
  </si>
  <si>
    <t>031204</t>
  </si>
  <si>
    <t>031205</t>
  </si>
  <si>
    <t>031206</t>
  </si>
  <si>
    <t>031401</t>
  </si>
  <si>
    <t>031402</t>
  </si>
  <si>
    <t>Mizque</t>
  </si>
  <si>
    <t>031403</t>
  </si>
  <si>
    <t>Tacachi</t>
  </si>
  <si>
    <t>031601</t>
  </si>
  <si>
    <t>031602</t>
  </si>
  <si>
    <t>OR</t>
  </si>
  <si>
    <t>040101</t>
  </si>
  <si>
    <t>Oruro</t>
  </si>
  <si>
    <t>040102</t>
  </si>
  <si>
    <t>Caracollo</t>
  </si>
  <si>
    <t>Huanuni</t>
  </si>
  <si>
    <t>040201</t>
  </si>
  <si>
    <t>Challapata</t>
  </si>
  <si>
    <t>040301</t>
  </si>
  <si>
    <t>Corque</t>
  </si>
  <si>
    <t>Sabaya</t>
  </si>
  <si>
    <t>040401</t>
  </si>
  <si>
    <t>Curahuara De Carangas</t>
  </si>
  <si>
    <t>Pampa Aullagas</t>
  </si>
  <si>
    <t>040601</t>
  </si>
  <si>
    <t>Poopó</t>
  </si>
  <si>
    <t>040701</t>
  </si>
  <si>
    <t>Toledo</t>
  </si>
  <si>
    <t>040801</t>
  </si>
  <si>
    <t>Salinas De García Mendoza</t>
  </si>
  <si>
    <t>Coipasa</t>
  </si>
  <si>
    <t>040802</t>
  </si>
  <si>
    <t>Huari</t>
  </si>
  <si>
    <t>040901</t>
  </si>
  <si>
    <t>041001</t>
  </si>
  <si>
    <t>041202</t>
  </si>
  <si>
    <t>Belén de Andamarca</t>
  </si>
  <si>
    <t>Huayllamarca</t>
  </si>
  <si>
    <t>041301</t>
  </si>
  <si>
    <t>San Pedro de Totora</t>
  </si>
  <si>
    <t>Machacamarca</t>
  </si>
  <si>
    <t>041401</t>
  </si>
  <si>
    <t>Carangas</t>
  </si>
  <si>
    <t>041503</t>
  </si>
  <si>
    <t>041601</t>
  </si>
  <si>
    <t>050101</t>
  </si>
  <si>
    <t>Potosí</t>
  </si>
  <si>
    <t>050102</t>
  </si>
  <si>
    <t>Tinguipaya</t>
  </si>
  <si>
    <t>Pazña</t>
  </si>
  <si>
    <t>050201</t>
  </si>
  <si>
    <t>Uncía</t>
  </si>
  <si>
    <t>PTS</t>
  </si>
  <si>
    <t>050203</t>
  </si>
  <si>
    <t>Llallagua</t>
  </si>
  <si>
    <t>050301</t>
  </si>
  <si>
    <t>Betanzos</t>
  </si>
  <si>
    <t>050501</t>
  </si>
  <si>
    <t>S.P. De Buena Vista</t>
  </si>
  <si>
    <t>Villazón</t>
  </si>
  <si>
    <t>050601</t>
  </si>
  <si>
    <t>Cotagaita</t>
  </si>
  <si>
    <t>Tupiza</t>
  </si>
  <si>
    <t>050701</t>
  </si>
  <si>
    <t>Villa de Sacaca</t>
  </si>
  <si>
    <t>050801</t>
  </si>
  <si>
    <t>Uyuni</t>
  </si>
  <si>
    <t>051101</t>
  </si>
  <si>
    <t>Puna</t>
  </si>
  <si>
    <t>051201</t>
  </si>
  <si>
    <t>051401</t>
  </si>
  <si>
    <t>Llica</t>
  </si>
  <si>
    <t>051501</t>
  </si>
  <si>
    <t>San Pedro de Macha</t>
  </si>
  <si>
    <t>051601</t>
  </si>
  <si>
    <t>San Agustín</t>
  </si>
  <si>
    <t>Vitichi</t>
  </si>
  <si>
    <t>060101</t>
  </si>
  <si>
    <t>Tarija</t>
  </si>
  <si>
    <t>Pocoata</t>
  </si>
  <si>
    <t>060201</t>
  </si>
  <si>
    <t>Padcaya</t>
  </si>
  <si>
    <t>060202</t>
  </si>
  <si>
    <t>Bermejo</t>
  </si>
  <si>
    <t>060301</t>
  </si>
  <si>
    <t>Yacuiba</t>
  </si>
  <si>
    <t>Atocha</t>
  </si>
  <si>
    <t>060302</t>
  </si>
  <si>
    <t>Caraparí</t>
  </si>
  <si>
    <t>060303</t>
  </si>
  <si>
    <t>Villamontes</t>
  </si>
  <si>
    <t>060401</t>
  </si>
  <si>
    <t>Uriondo</t>
  </si>
  <si>
    <t>TRJ</t>
  </si>
  <si>
    <t>060501</t>
  </si>
  <si>
    <t>Villa San Lorenzo</t>
  </si>
  <si>
    <t>060502</t>
  </si>
  <si>
    <t>El Puente</t>
  </si>
  <si>
    <t>060601</t>
  </si>
  <si>
    <t>070101</t>
  </si>
  <si>
    <t>Santa Cruz de la Sierra</t>
  </si>
  <si>
    <t>070102</t>
  </si>
  <si>
    <t>Cotoca</t>
  </si>
  <si>
    <t>070103</t>
  </si>
  <si>
    <t>Porongo</t>
  </si>
  <si>
    <t>070104</t>
  </si>
  <si>
    <t>La Guardia</t>
  </si>
  <si>
    <t>070105</t>
  </si>
  <si>
    <t>El Torno</t>
  </si>
  <si>
    <t>070201</t>
  </si>
  <si>
    <t>Warnes</t>
  </si>
  <si>
    <t>SCZ</t>
  </si>
  <si>
    <t>070202</t>
  </si>
  <si>
    <t>Okinawa Uno</t>
  </si>
  <si>
    <t>070301</t>
  </si>
  <si>
    <t>San Ignacio de Velasco</t>
  </si>
  <si>
    <t>070302</t>
  </si>
  <si>
    <t>San Miguel de Velasco</t>
  </si>
  <si>
    <t>Yapacaní</t>
  </si>
  <si>
    <t>070303</t>
  </si>
  <si>
    <t>San Rafael</t>
  </si>
  <si>
    <t>Montero</t>
  </si>
  <si>
    <t>070402</t>
  </si>
  <si>
    <t>San Carlos</t>
  </si>
  <si>
    <t>070403</t>
  </si>
  <si>
    <t>Puerto Quijarro</t>
  </si>
  <si>
    <t>070501</t>
  </si>
  <si>
    <t>San José de Chiquitos</t>
  </si>
  <si>
    <t>070502</t>
  </si>
  <si>
    <t>Pailón</t>
  </si>
  <si>
    <t>Puerto Suarez</t>
  </si>
  <si>
    <t>070503</t>
  </si>
  <si>
    <t>Roboré</t>
  </si>
  <si>
    <t>070601</t>
  </si>
  <si>
    <t>Portachuelo</t>
  </si>
  <si>
    <t>San Matías</t>
  </si>
  <si>
    <t>070602</t>
  </si>
  <si>
    <t>Santa Rosa del Sara</t>
  </si>
  <si>
    <t>070702</t>
  </si>
  <si>
    <t>Charagua</t>
  </si>
  <si>
    <t>Ascensión de Guarayos</t>
  </si>
  <si>
    <t>070703</t>
  </si>
  <si>
    <t>Cabezas</t>
  </si>
  <si>
    <t>070705</t>
  </si>
  <si>
    <t>Gutiérrez</t>
  </si>
  <si>
    <t>070706</t>
  </si>
  <si>
    <t>Camiri</t>
  </si>
  <si>
    <t>070801</t>
  </si>
  <si>
    <t>Vallegrande</t>
  </si>
  <si>
    <t>070805</t>
  </si>
  <si>
    <t>Pucara</t>
  </si>
  <si>
    <t>070902</t>
  </si>
  <si>
    <t>Pampa Grande</t>
  </si>
  <si>
    <t>Mineros</t>
  </si>
  <si>
    <t>070903</t>
  </si>
  <si>
    <t>Mairana</t>
  </si>
  <si>
    <t>071001</t>
  </si>
  <si>
    <t>Comarapa</t>
  </si>
  <si>
    <t>071002</t>
  </si>
  <si>
    <t>Gral. Saavedra</t>
  </si>
  <si>
    <t>San Julián</t>
  </si>
  <si>
    <t>071003</t>
  </si>
  <si>
    <t>071004</t>
  </si>
  <si>
    <t>Fernández Alonso</t>
  </si>
  <si>
    <t>071104</t>
  </si>
  <si>
    <t>Samaipata</t>
  </si>
  <si>
    <t>071201</t>
  </si>
  <si>
    <t>071301</t>
  </si>
  <si>
    <t>071401</t>
  </si>
  <si>
    <t>071402</t>
  </si>
  <si>
    <t>071501</t>
  </si>
  <si>
    <t>071503</t>
  </si>
  <si>
    <t>080101</t>
  </si>
  <si>
    <t>Trinidad</t>
  </si>
  <si>
    <t>080201</t>
  </si>
  <si>
    <t>Riberalta</t>
  </si>
  <si>
    <t>San Pedro</t>
  </si>
  <si>
    <t>080202</t>
  </si>
  <si>
    <t>Guayaramerín</t>
  </si>
  <si>
    <t>080302</t>
  </si>
  <si>
    <t>San Borja</t>
  </si>
  <si>
    <t>080304</t>
  </si>
  <si>
    <t>Rurrenabaque</t>
  </si>
  <si>
    <t>Concepción</t>
  </si>
  <si>
    <t>080401</t>
  </si>
  <si>
    <t>Santa Ana de Yacuma</t>
  </si>
  <si>
    <t>080402</t>
  </si>
  <si>
    <t>Exaltación</t>
  </si>
  <si>
    <t>BNI</t>
  </si>
  <si>
    <t>080501</t>
  </si>
  <si>
    <t>San Ignacio</t>
  </si>
  <si>
    <t>080601</t>
  </si>
  <si>
    <t>Loreto</t>
  </si>
  <si>
    <t>080701</t>
  </si>
  <si>
    <t>San Joaquín</t>
  </si>
  <si>
    <t>080702</t>
  </si>
  <si>
    <t>San Ramón</t>
  </si>
  <si>
    <t>080801</t>
  </si>
  <si>
    <t>Magdalena</t>
  </si>
  <si>
    <t>090101</t>
  </si>
  <si>
    <t>Cobija</t>
  </si>
  <si>
    <t>090104</t>
  </si>
  <si>
    <t>Bella Flor</t>
  </si>
  <si>
    <t>Huacaraje</t>
  </si>
  <si>
    <t>090201</t>
  </si>
  <si>
    <t>Puerto Rico</t>
  </si>
  <si>
    <t>Santa Rosa</t>
  </si>
  <si>
    <t>090302</t>
  </si>
  <si>
    <t>San Lorenzo</t>
  </si>
  <si>
    <t>090303</t>
  </si>
  <si>
    <t>EL Sena</t>
  </si>
  <si>
    <t>NACIONAL</t>
  </si>
  <si>
    <t>PND</t>
  </si>
  <si>
    <t>Bolpebra</t>
  </si>
  <si>
    <t>TOTAL</t>
  </si>
  <si>
    <t>Elaborado: Observatorio Boliviano de Seguridad Ciudadana y Lucha Contra las Drogas.</t>
  </si>
  <si>
    <t>Fuente: Policía Boliviana.</t>
  </si>
  <si>
    <t>(1): Comprende los delitos de asesinato, homicidio, feminicidio, parricidio e infanticidio.</t>
  </si>
  <si>
    <t>Nota 1: En la gestión 2025 las denuncias de homicidios registrados por la Policía Boliviana fueron cotejados con los casos ingresados en la Fiscalía General del Estado.</t>
  </si>
  <si>
    <t>Depart</t>
  </si>
  <si>
    <t>Provincia</t>
  </si>
  <si>
    <t>Municipio</t>
  </si>
  <si>
    <t>Capital</t>
  </si>
  <si>
    <t>CodigoINE</t>
  </si>
  <si>
    <t>Población 2017</t>
  </si>
  <si>
    <t>Población 2018</t>
  </si>
  <si>
    <t>Población 2019</t>
  </si>
  <si>
    <t>Población 2022</t>
  </si>
  <si>
    <t>Población 2023</t>
  </si>
  <si>
    <t>Población 2024</t>
  </si>
  <si>
    <t>Homicidios 2017</t>
  </si>
  <si>
    <t>Homicidios 2018</t>
  </si>
  <si>
    <t>Homicidios 2019</t>
  </si>
  <si>
    <t>Homicidios 2022</t>
  </si>
  <si>
    <t>Homicidios 2023</t>
  </si>
  <si>
    <t>Homicidios 2024</t>
  </si>
  <si>
    <t>Homicidios cada 100 mil hab 2017</t>
  </si>
  <si>
    <t>Homicidios cada 100 mil hab 2018</t>
  </si>
  <si>
    <t>Homicidios cada 100 mil hab 2019</t>
  </si>
  <si>
    <t>Homicidios cada 100 mil hab 2022</t>
  </si>
  <si>
    <t>Homicidios cada 100 mil hab 2023</t>
  </si>
  <si>
    <t>Homicidios cada 100 mil hab 2024</t>
  </si>
  <si>
    <t>Promedio Homicidios cada 100 mil Hab 2017-2019</t>
  </si>
  <si>
    <t>Promedio Homicidios cada 100 mil Hab 2022-2024</t>
  </si>
  <si>
    <t>Chuquisaca</t>
  </si>
  <si>
    <t>Oropeza</t>
  </si>
  <si>
    <t>Azurduy</t>
  </si>
  <si>
    <t>Villa Azurduy</t>
  </si>
  <si>
    <t>Villa Orías</t>
  </si>
  <si>
    <t>Zudáñez</t>
  </si>
  <si>
    <t>Zudañez</t>
  </si>
  <si>
    <t>Villa Zudáñez</t>
  </si>
  <si>
    <t>Presto</t>
  </si>
  <si>
    <t>Villa Mojocoya</t>
  </si>
  <si>
    <t>Villa de Mojocoya</t>
  </si>
  <si>
    <t>Icla</t>
  </si>
  <si>
    <t>Tomina</t>
  </si>
  <si>
    <t>Villa de Tomina</t>
  </si>
  <si>
    <t>Villa de Sopachui</t>
  </si>
  <si>
    <t>Villa Alcalá</t>
  </si>
  <si>
    <t>Alcalá</t>
  </si>
  <si>
    <t>El Villar</t>
  </si>
  <si>
    <t>Hernando Siles</t>
  </si>
  <si>
    <t>San Pablo de Huacareta</t>
  </si>
  <si>
    <t>Tarabuco</t>
  </si>
  <si>
    <t>Nor Cinti</t>
  </si>
  <si>
    <t>Belisario Boeto</t>
  </si>
  <si>
    <t>Villa Serrano</t>
  </si>
  <si>
    <t>Sur Cinti</t>
  </si>
  <si>
    <t>Villa Abecia</t>
  </si>
  <si>
    <t>Las Carreras</t>
  </si>
  <si>
    <t>Luis Calvo</t>
  </si>
  <si>
    <t>Villa Vaca Guzmán</t>
  </si>
  <si>
    <t>Huacaya</t>
  </si>
  <si>
    <t>Villa de Huacaya</t>
  </si>
  <si>
    <t>Villa de Macharetí</t>
  </si>
  <si>
    <t>Murillo</t>
  </si>
  <si>
    <t>Nuestra Señora de La Paz</t>
  </si>
  <si>
    <t>Omasuyos</t>
  </si>
  <si>
    <t>Villa Ancoraimes</t>
  </si>
  <si>
    <t>Huarina</t>
  </si>
  <si>
    <t>Santiago de Huata</t>
  </si>
  <si>
    <t>Huatajata</t>
  </si>
  <si>
    <t>Pacajes</t>
  </si>
  <si>
    <t>Corocoro</t>
  </si>
  <si>
    <t>Calacoto</t>
  </si>
  <si>
    <t>Comanche</t>
  </si>
  <si>
    <t>Santiago de Callapa</t>
  </si>
  <si>
    <t>Camacho</t>
  </si>
  <si>
    <t>Mocomoco</t>
  </si>
  <si>
    <t>Puerto Mayor de Carabuco</t>
  </si>
  <si>
    <t>Carabuco</t>
  </si>
  <si>
    <t>Humanata</t>
  </si>
  <si>
    <t>Escoma</t>
  </si>
  <si>
    <t>Muñecas</t>
  </si>
  <si>
    <t>Chuma</t>
  </si>
  <si>
    <t>Aucapata</t>
  </si>
  <si>
    <t>Larecaja</t>
  </si>
  <si>
    <t>Combaya</t>
  </si>
  <si>
    <t>Tipuani</t>
  </si>
  <si>
    <t>Franz Tamayo</t>
  </si>
  <si>
    <t>Ingavi</t>
  </si>
  <si>
    <t>Puerto Mayor de Guaqui</t>
  </si>
  <si>
    <t>Guaqui</t>
  </si>
  <si>
    <t>San Andrés de Machaca</t>
  </si>
  <si>
    <t>La (Marka) San Andrés de Machaca</t>
  </si>
  <si>
    <t>Jesús de Machaca</t>
  </si>
  <si>
    <t>Jesús de Machaka</t>
  </si>
  <si>
    <t>Taraco</t>
  </si>
  <si>
    <t>Loayza</t>
  </si>
  <si>
    <t>Luribay</t>
  </si>
  <si>
    <t>Yaco</t>
  </si>
  <si>
    <t>Malla</t>
  </si>
  <si>
    <t>Cairoma</t>
  </si>
  <si>
    <t>Quime</t>
  </si>
  <si>
    <t>Ichoca</t>
  </si>
  <si>
    <t>Villa Libertad Licoma</t>
  </si>
  <si>
    <t>Sud Yungas</t>
  </si>
  <si>
    <t>Villa de la Libertad</t>
  </si>
  <si>
    <t>Villa de Lanza</t>
  </si>
  <si>
    <t>Yanacachi</t>
  </si>
  <si>
    <t>Los Andes</t>
  </si>
  <si>
    <t>Puerto Pérez</t>
  </si>
  <si>
    <t>Aroma</t>
  </si>
  <si>
    <t>Villa Aroma</t>
  </si>
  <si>
    <t>Ayo Ayo</t>
  </si>
  <si>
    <t>Nor Yungas</t>
  </si>
  <si>
    <t>Abel Iturralde</t>
  </si>
  <si>
    <t>Bautista Saavedra</t>
  </si>
  <si>
    <t>General Juan José Pérez (Charazani)</t>
  </si>
  <si>
    <t>Villa General Juan José Pérez</t>
  </si>
  <si>
    <t>Curva</t>
  </si>
  <si>
    <t>Manco Kapac</t>
  </si>
  <si>
    <t>San Pedro de Tiquina</t>
  </si>
  <si>
    <t>Gualberto Villarroel</t>
  </si>
  <si>
    <t>San Pedro de Curahuara</t>
  </si>
  <si>
    <t>Gualberto Villarroe</t>
  </si>
  <si>
    <t>Chacarilla</t>
  </si>
  <si>
    <t>General José Manuel Pando</t>
  </si>
  <si>
    <t>Santiago de Machaca</t>
  </si>
  <si>
    <t>Catacora</t>
  </si>
  <si>
    <t>Alto Beni</t>
  </si>
  <si>
    <t>Cercado</t>
  </si>
  <si>
    <t>Campero</t>
  </si>
  <si>
    <t>Aiquile</t>
  </si>
  <si>
    <t>Pasorapa</t>
  </si>
  <si>
    <t>Omereque</t>
  </si>
  <si>
    <t>Ayopaya</t>
  </si>
  <si>
    <t>Ayopaya (Independencia)</t>
  </si>
  <si>
    <t>Villa de Independencia</t>
  </si>
  <si>
    <t>Cocapata</t>
  </si>
  <si>
    <t>Esteban Arze</t>
  </si>
  <si>
    <t>Villa de Anzaldo</t>
  </si>
  <si>
    <t>Sacabamba</t>
  </si>
  <si>
    <t>Villa de Arque</t>
  </si>
  <si>
    <t>Tacopaya</t>
  </si>
  <si>
    <t>Santivañez</t>
  </si>
  <si>
    <t>Villa Santivañez</t>
  </si>
  <si>
    <t>Sicaya</t>
  </si>
  <si>
    <t>Germán Jordán</t>
  </si>
  <si>
    <t>Toco</t>
  </si>
  <si>
    <t>Sipesipe</t>
  </si>
  <si>
    <t>Chapare</t>
  </si>
  <si>
    <t>Tapacarí</t>
  </si>
  <si>
    <t>Carrasco</t>
  </si>
  <si>
    <t>Totora</t>
  </si>
  <si>
    <t>Pojo</t>
  </si>
  <si>
    <t>Vila Vila</t>
  </si>
  <si>
    <t>Alalay</t>
  </si>
  <si>
    <t>TIOC-Raqaypampa</t>
  </si>
  <si>
    <t>Raqaypampa</t>
  </si>
  <si>
    <t>Villa Punata</t>
  </si>
  <si>
    <t>Villa José Quintín Mendoza</t>
  </si>
  <si>
    <t>Cuchumuela (Villa Gualberto Villarroel)</t>
  </si>
  <si>
    <t>Villa Gualberto Villarroel</t>
  </si>
  <si>
    <t>Bolivar</t>
  </si>
  <si>
    <t>El Choro</t>
  </si>
  <si>
    <t>Paria</t>
  </si>
  <si>
    <t>Soracachi</t>
  </si>
  <si>
    <t>Abaroa</t>
  </si>
  <si>
    <t>Santuario de Quillacas</t>
  </si>
  <si>
    <t>Choquecota</t>
  </si>
  <si>
    <t>Sajama</t>
  </si>
  <si>
    <t>Curahuara de Carangas</t>
  </si>
  <si>
    <t>Turco</t>
  </si>
  <si>
    <t>Litoral</t>
  </si>
  <si>
    <t>Huachacalla</t>
  </si>
  <si>
    <t>Escara</t>
  </si>
  <si>
    <t>Cruz de Machacamarca</t>
  </si>
  <si>
    <t>Yunguyo del Litoral</t>
  </si>
  <si>
    <t>Esmeralda</t>
  </si>
  <si>
    <t>Villa de Poopó</t>
  </si>
  <si>
    <t>Antequera</t>
  </si>
  <si>
    <t>Pantaleón Dalence</t>
  </si>
  <si>
    <t>Villa de Huanuni</t>
  </si>
  <si>
    <t>Ladislao Cabrera</t>
  </si>
  <si>
    <t>Salinas de Garcí Mendoza</t>
  </si>
  <si>
    <t>Chipaya</t>
  </si>
  <si>
    <t>Saucarí</t>
  </si>
  <si>
    <t>Tomás Barrón</t>
  </si>
  <si>
    <t>Eucaliptus</t>
  </si>
  <si>
    <t>Sur Carangas</t>
  </si>
  <si>
    <t>Andamarca</t>
  </si>
  <si>
    <t>Santiago de Andamarca</t>
  </si>
  <si>
    <t>Sebastián Pagador</t>
  </si>
  <si>
    <t>Santiago de Huari</t>
  </si>
  <si>
    <t>Mejillones</t>
  </si>
  <si>
    <t>La Rivera</t>
  </si>
  <si>
    <t>Todos Santos</t>
  </si>
  <si>
    <t>Nor Carangas</t>
  </si>
  <si>
    <t>Santiago de Huayllamarca</t>
  </si>
  <si>
    <t>Tomás Frías</t>
  </si>
  <si>
    <t>Yocalla</t>
  </si>
  <si>
    <t>Villa de Yocalla</t>
  </si>
  <si>
    <t>Urmiri</t>
  </si>
  <si>
    <t>Belén de Urmiri</t>
  </si>
  <si>
    <t>Rafael Bustillo</t>
  </si>
  <si>
    <t>Chayanta</t>
  </si>
  <si>
    <t>Chuquihuta Ayllu Jucumani</t>
  </si>
  <si>
    <t>Cornelio Saavedra</t>
  </si>
  <si>
    <t>Villa de Betanzos</t>
  </si>
  <si>
    <t>Chaquí</t>
  </si>
  <si>
    <t>Tacobamba</t>
  </si>
  <si>
    <t>Colquechaca</t>
  </si>
  <si>
    <t>Ravelo</t>
  </si>
  <si>
    <t>Ocurí</t>
  </si>
  <si>
    <t>Chárcas</t>
  </si>
  <si>
    <t>Toro Toro</t>
  </si>
  <si>
    <t>Nor Chichas</t>
  </si>
  <si>
    <t>Vitiche</t>
  </si>
  <si>
    <t>Alonso de Ibáñez</t>
  </si>
  <si>
    <t>Sacaca</t>
  </si>
  <si>
    <t>Caripuyo</t>
  </si>
  <si>
    <t>Sur Chichas</t>
  </si>
  <si>
    <t>Nor Lipez</t>
  </si>
  <si>
    <t>Colcha "K"</t>
  </si>
  <si>
    <t>Villa Martín</t>
  </si>
  <si>
    <t>San Pedro de Quemes</t>
  </si>
  <si>
    <t>Villa San Pedro de Quemes</t>
  </si>
  <si>
    <t>Sur Lipez</t>
  </si>
  <si>
    <t>San Pablo</t>
  </si>
  <si>
    <t>San Pablo de Lípez</t>
  </si>
  <si>
    <t>Mojinete</t>
  </si>
  <si>
    <t>San Antonio de Esmoruco</t>
  </si>
  <si>
    <t>José María Linares</t>
  </si>
  <si>
    <t>Villa Talavera</t>
  </si>
  <si>
    <t>Caiza "D"</t>
  </si>
  <si>
    <t>Ckochas</t>
  </si>
  <si>
    <t>Antonio Quijarro</t>
  </si>
  <si>
    <t>Tomave</t>
  </si>
  <si>
    <t>Porco</t>
  </si>
  <si>
    <t>Jatun Ayllu Yura</t>
  </si>
  <si>
    <t>General Bilbao</t>
  </si>
  <si>
    <t>Arampampa</t>
  </si>
  <si>
    <t>Acasio</t>
  </si>
  <si>
    <t>Daniel Campos</t>
  </si>
  <si>
    <t>Tahua</t>
  </si>
  <si>
    <t>Modesto Omiste</t>
  </si>
  <si>
    <t>Enrique Baldivieso</t>
  </si>
  <si>
    <t>Arce</t>
  </si>
  <si>
    <t>Gran Chaco</t>
  </si>
  <si>
    <t>Villa Montes</t>
  </si>
  <si>
    <t>Avilés</t>
  </si>
  <si>
    <t>Yunchará</t>
  </si>
  <si>
    <t>Méndez</t>
  </si>
  <si>
    <t>O'Connor</t>
  </si>
  <si>
    <t>Santa Cruz</t>
  </si>
  <si>
    <t>Andrés Ibáñez</t>
  </si>
  <si>
    <t>Porongo (Ayacucho)</t>
  </si>
  <si>
    <t>Velasco</t>
  </si>
  <si>
    <t>San Miguel</t>
  </si>
  <si>
    <t>Ichilo</t>
  </si>
  <si>
    <t>Buena Vista</t>
  </si>
  <si>
    <t>San Juan</t>
  </si>
  <si>
    <t>Chiquitos</t>
  </si>
  <si>
    <t>San José</t>
  </si>
  <si>
    <t>Sara</t>
  </si>
  <si>
    <t>Colpa Bélgica</t>
  </si>
  <si>
    <t>Cordillera</t>
  </si>
  <si>
    <t>Lagunillas</t>
  </si>
  <si>
    <t>Cuevo</t>
  </si>
  <si>
    <t>Boyuibe</t>
  </si>
  <si>
    <t>Trigal</t>
  </si>
  <si>
    <t>Moro Moro</t>
  </si>
  <si>
    <t>Moromoro</t>
  </si>
  <si>
    <t>Postrervalle</t>
  </si>
  <si>
    <t>Pucará</t>
  </si>
  <si>
    <t>Florida</t>
  </si>
  <si>
    <t>Quirusillas</t>
  </si>
  <si>
    <t>Obispo Santistéban</t>
  </si>
  <si>
    <t>General Saavedra</t>
  </si>
  <si>
    <t>Ñuflo De Chávez</t>
  </si>
  <si>
    <t>San Javier</t>
  </si>
  <si>
    <t>San Antonio de Lomerio</t>
  </si>
  <si>
    <t>Cuatro Cañadas</t>
  </si>
  <si>
    <t>Angel Sandoval</t>
  </si>
  <si>
    <t>Manuel María Caballero</t>
  </si>
  <si>
    <t>Saipina</t>
  </si>
  <si>
    <t>Germán Busch</t>
  </si>
  <si>
    <t>El Carmen Rivero Tórrez</t>
  </si>
  <si>
    <t>Guarayos</t>
  </si>
  <si>
    <t>Ascención de Guarayos</t>
  </si>
  <si>
    <t>Urubichá</t>
  </si>
  <si>
    <t>Urubicha</t>
  </si>
  <si>
    <t>Beni</t>
  </si>
  <si>
    <t>Vaca Diez</t>
  </si>
  <si>
    <t>General José Ballivián</t>
  </si>
  <si>
    <t>Reyes</t>
  </si>
  <si>
    <t>Puerto Menor de Rurrenabaque</t>
  </si>
  <si>
    <t>Yacuma</t>
  </si>
  <si>
    <t>Santa Ana</t>
  </si>
  <si>
    <t>Moxos</t>
  </si>
  <si>
    <t>Marbán</t>
  </si>
  <si>
    <t>San Andrés</t>
  </si>
  <si>
    <t>Mamoré</t>
  </si>
  <si>
    <t>Puerto Siles</t>
  </si>
  <si>
    <t>Iténez</t>
  </si>
  <si>
    <t>Baures</t>
  </si>
  <si>
    <t>Territorio Indigena Multiétnico</t>
  </si>
  <si>
    <t>Pando</t>
  </si>
  <si>
    <t>Nicolás Suárez</t>
  </si>
  <si>
    <t>Porvenir</t>
  </si>
  <si>
    <t>Manuripi</t>
  </si>
  <si>
    <t>Filadelfia</t>
  </si>
  <si>
    <t>Madre de Dios</t>
  </si>
  <si>
    <t>Puerto Gonzalo Moreno</t>
  </si>
  <si>
    <t>Sena</t>
  </si>
  <si>
    <t>Abuná</t>
  </si>
  <si>
    <t>Federico Román</t>
  </si>
  <si>
    <t>Nueva Esperanza</t>
  </si>
  <si>
    <t>Villa Nueva</t>
  </si>
  <si>
    <t>Loma Alta</t>
  </si>
  <si>
    <t>Santos Mercado</t>
  </si>
  <si>
    <t>Promedio</t>
  </si>
  <si>
    <t>1/4 Desviacion estandar</t>
  </si>
  <si>
    <t>Desviación estandar</t>
  </si>
  <si>
    <t>Prom - 1/4 DE</t>
  </si>
  <si>
    <t>Max</t>
  </si>
  <si>
    <t>Prom + 1/4 DE</t>
  </si>
  <si>
    <t>Umbral 1</t>
  </si>
  <si>
    <t>Umbral 2</t>
  </si>
  <si>
    <t>Umbral 3</t>
  </si>
  <si>
    <t>Umbral 4</t>
  </si>
  <si>
    <t>&lt; 1.31</t>
  </si>
  <si>
    <t>1.31 - 2.35</t>
  </si>
  <si>
    <t>2.35 - 3.39</t>
  </si>
  <si>
    <t>&gt;3.39</t>
  </si>
  <si>
    <t>Id</t>
  </si>
  <si>
    <t>Promedio Anual Cantidad de Homicidios cada 100 mil Hab 2017-2019</t>
  </si>
  <si>
    <t>Promedio Anual Cantidad de Homicidios cada 100 mil Hab 2022-2024</t>
  </si>
  <si>
    <t>id_departamento</t>
  </si>
  <si>
    <t>Departamento</t>
  </si>
  <si>
    <t>Bolivia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</si>
  <si>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</si>
  <si>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</si>
  <si>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</si>
  <si>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</si>
  <si>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</si>
  <si>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</si>
  <si>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</si>
  <si>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</si>
  <si>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</si>
  <si>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</si>
  <si>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Criterio Umbral Verde</t>
  </si>
  <si>
    <t>Tasa de Homicidios por 100.000 habitantes en el periodo 2017-2019 y 2022-2024</t>
  </si>
  <si>
    <t>SDG Index Global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</si>
</sst>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sz val="12.0"/>
      <color theme="1"/>
      <name val="Arial"/>
    </font>
    <font>
      <b/>
      <sz val="11.0"/>
      <color theme="1"/>
      <name val="Century Gothic"/>
    </font>
    <font>
      <b/>
      <sz val="12.0"/>
      <color theme="1"/>
      <name val="Century Gothic"/>
    </font>
    <font>
      <b/>
      <sz val="11.0"/>
      <color theme="1"/>
      <name val="Calibri"/>
    </font>
    <font/>
    <font>
      <b/>
      <sz val="12.0"/>
      <color theme="0"/>
      <name val="Century Gothic"/>
    </font>
    <font>
      <b/>
      <sz val="12.0"/>
      <color theme="1"/>
      <name val="Arial"/>
    </font>
    <font>
      <sz val="11.0"/>
      <color theme="1"/>
      <name val="Calibri"/>
    </font>
    <font>
      <sz val="8.0"/>
      <color theme="1"/>
      <name val="Century Gothic"/>
    </font>
    <font>
      <color theme="1"/>
      <name val="Calibri"/>
      <scheme val="minor"/>
    </font>
    <font>
      <b/>
      <sz val="9.0"/>
      <color theme="1"/>
      <name val="Play"/>
    </font>
  </fonts>
  <fills count="12">
    <fill>
      <patternFill patternType="none"/>
    </fill>
    <fill>
      <patternFill patternType="lightGray"/>
    </fill>
    <fill>
      <patternFill patternType="solid">
        <fgColor rgb="FFF4B083"/>
        <bgColor rgb="FFF4B083"/>
      </patternFill>
    </fill>
    <fill>
      <patternFill patternType="solid">
        <fgColor rgb="FF1F3864"/>
        <bgColor rgb="FF1F3864"/>
      </patternFill>
    </fill>
    <fill>
      <patternFill patternType="solid">
        <fgColor rgb="FFD0CECE"/>
        <bgColor rgb="FFD0CECE"/>
      </patternFill>
    </fill>
    <fill>
      <patternFill patternType="solid">
        <fgColor rgb="FFBFBFBF"/>
        <bgColor rgb="FFBFBFBF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  <fill>
      <patternFill patternType="solid">
        <fgColor rgb="FFB6D7A8"/>
        <bgColor rgb="FFB6D7A8"/>
      </patternFill>
    </fill>
  </fills>
  <borders count="10">
    <border/>
    <border>
      <bottom style="thin">
        <color theme="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2" numFmtId="0" xfId="0" applyAlignment="1" applyFont="1">
      <alignment horizontal="center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2" fillId="0" fontId="4" numFmtId="0" xfId="0" applyAlignment="1" applyBorder="1" applyFont="1">
      <alignment horizontal="center" vertical="center"/>
    </xf>
    <xf borderId="3" fillId="2" fontId="4" numFmtId="0" xfId="0" applyAlignment="1" applyBorder="1" applyFill="1" applyFont="1">
      <alignment horizontal="center" shrinkToFit="0" vertical="center" wrapText="1"/>
    </xf>
    <xf borderId="4" fillId="0" fontId="5" numFmtId="0" xfId="0" applyBorder="1" applyFont="1"/>
    <xf borderId="5" fillId="0" fontId="5" numFmtId="0" xfId="0" applyBorder="1" applyFont="1"/>
    <xf borderId="6" fillId="3" fontId="6" numFmtId="0" xfId="0" applyAlignment="1" applyBorder="1" applyFill="1" applyFont="1">
      <alignment horizontal="center" shrinkToFit="0" vertical="center" wrapText="1"/>
    </xf>
    <xf borderId="7" fillId="0" fontId="5" numFmtId="0" xfId="0" applyBorder="1" applyFont="1"/>
    <xf borderId="8" fillId="2" fontId="4" numFmtId="0" xfId="0" applyAlignment="1" applyBorder="1" applyFont="1">
      <alignment vertical="center"/>
    </xf>
    <xf borderId="0" fillId="0" fontId="4" numFmtId="0" xfId="0" applyAlignment="1" applyFont="1">
      <alignment vertical="center"/>
    </xf>
    <xf borderId="8" fillId="0" fontId="7" numFmtId="0" xfId="0" applyAlignment="1" applyBorder="1" applyFont="1">
      <alignment vertical="center"/>
    </xf>
    <xf borderId="8" fillId="0" fontId="8" numFmtId="0" xfId="0" applyBorder="1" applyFont="1"/>
    <xf borderId="8" fillId="0" fontId="8" numFmtId="3" xfId="0" applyBorder="1" applyFont="1" applyNumberFormat="1"/>
    <xf borderId="8" fillId="0" fontId="1" numFmtId="0" xfId="0" applyAlignment="1" applyBorder="1" applyFont="1">
      <alignment horizontal="left" vertical="center"/>
    </xf>
    <xf borderId="8" fillId="0" fontId="1" numFmtId="0" xfId="0" applyAlignment="1" applyBorder="1" applyFont="1">
      <alignment vertical="center"/>
    </xf>
    <xf borderId="8" fillId="4" fontId="4" numFmtId="0" xfId="0" applyBorder="1" applyFill="1" applyFont="1"/>
    <xf borderId="8" fillId="4" fontId="4" numFmtId="3" xfId="0" applyBorder="1" applyFont="1" applyNumberFormat="1"/>
    <xf borderId="8" fillId="5" fontId="2" numFmtId="0" xfId="0" applyAlignment="1" applyBorder="1" applyFill="1" applyFont="1">
      <alignment vertical="center"/>
    </xf>
    <xf borderId="8" fillId="5" fontId="2" numFmtId="3" xfId="0" applyAlignment="1" applyBorder="1" applyFont="1" applyNumberFormat="1">
      <alignment vertical="center"/>
    </xf>
    <xf borderId="9" fillId="0" fontId="9" numFmtId="0" xfId="0" applyAlignment="1" applyBorder="1" applyFont="1">
      <alignment vertical="center"/>
    </xf>
    <xf borderId="0" fillId="0" fontId="9" numFmtId="0" xfId="0" applyAlignment="1" applyFont="1">
      <alignment horizontal="left" vertical="center"/>
    </xf>
    <xf borderId="0" fillId="0" fontId="9" numFmtId="0" xfId="0" applyAlignment="1" applyFont="1">
      <alignment horizontal="left" shrinkToFit="0" vertical="center" wrapText="1"/>
    </xf>
    <xf borderId="8" fillId="0" fontId="4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horizontal="center" shrinkToFit="0" vertical="center" wrapText="1"/>
    </xf>
    <xf borderId="8" fillId="0" fontId="8" numFmtId="1" xfId="0" applyBorder="1" applyFont="1" applyNumberFormat="1"/>
    <xf borderId="8" fillId="0" fontId="8" numFmtId="2" xfId="0" applyBorder="1" applyFont="1" applyNumberFormat="1"/>
    <xf borderId="0" fillId="0" fontId="10" numFmtId="0" xfId="0" applyFont="1"/>
    <xf borderId="0" fillId="0" fontId="8" numFmtId="2" xfId="0" applyFont="1" applyNumberFormat="1"/>
    <xf borderId="8" fillId="0" fontId="4" numFmtId="0" xfId="0" applyAlignment="1" applyBorder="1" applyFont="1">
      <alignment horizontal="center" vertical="center"/>
    </xf>
    <xf borderId="8" fillId="0" fontId="4" numFmtId="2" xfId="0" applyAlignment="1" applyBorder="1" applyFont="1" applyNumberFormat="1">
      <alignment horizontal="center" shrinkToFit="0" vertical="center" wrapText="1"/>
    </xf>
    <xf borderId="8" fillId="0" fontId="4" numFmtId="0" xfId="0" applyBorder="1" applyFont="1"/>
    <xf borderId="0" fillId="0" fontId="4" numFmtId="0" xfId="0" applyAlignment="1" applyFont="1">
      <alignment horizontal="center" shrinkToFit="0" vertical="center" wrapText="1"/>
    </xf>
    <xf borderId="8" fillId="6" fontId="4" numFmtId="0" xfId="0" applyBorder="1" applyFill="1" applyFont="1"/>
    <xf borderId="8" fillId="7" fontId="11" numFmtId="0" xfId="0" applyAlignment="1" applyBorder="1" applyFill="1" applyFont="1">
      <alignment horizontal="center" shrinkToFit="0" vertical="center" wrapText="1"/>
    </xf>
    <xf borderId="8" fillId="8" fontId="11" numFmtId="0" xfId="0" applyAlignment="1" applyBorder="1" applyFill="1" applyFont="1">
      <alignment horizontal="center" shrinkToFit="0" vertical="center" wrapText="1"/>
    </xf>
    <xf borderId="8" fillId="9" fontId="11" numFmtId="0" xfId="0" applyAlignment="1" applyBorder="1" applyFill="1" applyFont="1">
      <alignment horizontal="center" shrinkToFit="0" vertical="center" wrapText="1"/>
    </xf>
    <xf borderId="8" fillId="10" fontId="11" numFmtId="0" xfId="0" applyAlignment="1" applyBorder="1" applyFill="1" applyFont="1">
      <alignment horizontal="center" shrinkToFit="0" vertical="center" wrapText="1"/>
    </xf>
    <xf borderId="8" fillId="11" fontId="4" numFmtId="0" xfId="0" applyAlignment="1" applyBorder="1" applyFill="1" applyFont="1">
      <alignment horizontal="center" vertical="bottom"/>
    </xf>
    <xf borderId="8" fillId="0" fontId="10" numFmtId="0" xfId="0" applyAlignment="1" applyBorder="1" applyFont="1">
      <alignment readingOrder="0"/>
    </xf>
    <xf borderId="8" fillId="0" fontId="8" numFmtId="0" xfId="0" applyAlignment="1" applyBorder="1" applyFont="1">
      <alignment readingOrder="0"/>
    </xf>
    <xf borderId="8" fillId="0" fontId="8" numFmtId="0" xfId="0" applyAlignment="1" applyBorder="1" applyFont="1">
      <alignment horizontal="center"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7591425" cy="12192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6496050" cy="444817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57"/>
    <col customWidth="1" min="2" max="2" width="19.71"/>
    <col customWidth="1" min="3" max="9" width="10.71"/>
    <col customWidth="1" min="10" max="10" width="11.43"/>
    <col customWidth="1" min="11" max="11" width="37.86"/>
    <col customWidth="1" min="12" max="12" width="13.71"/>
    <col customWidth="1" min="13" max="26" width="10.71"/>
  </cols>
  <sheetData>
    <row r="1">
      <c r="K1" s="1"/>
      <c r="L1" s="1"/>
    </row>
    <row r="2">
      <c r="K2" s="1"/>
      <c r="L2" s="1"/>
    </row>
    <row r="3">
      <c r="K3" s="1"/>
      <c r="L3" s="1"/>
    </row>
    <row r="4">
      <c r="K4" s="1"/>
      <c r="L4" s="1"/>
    </row>
    <row r="5">
      <c r="K5" s="1"/>
      <c r="L5" s="1"/>
    </row>
    <row r="6">
      <c r="K6" s="1"/>
      <c r="L6" s="1"/>
    </row>
    <row r="7" ht="15.0" customHeight="1">
      <c r="A7" s="2" t="s">
        <v>0</v>
      </c>
      <c r="K7" s="3" t="s">
        <v>1</v>
      </c>
      <c r="L7" s="3"/>
    </row>
    <row r="8">
      <c r="A8" s="4" t="s">
        <v>2</v>
      </c>
      <c r="B8" s="4" t="s">
        <v>3</v>
      </c>
      <c r="C8" s="5" t="s">
        <v>4</v>
      </c>
      <c r="D8" s="6"/>
      <c r="E8" s="6"/>
      <c r="F8" s="6"/>
      <c r="G8" s="6"/>
      <c r="H8" s="6"/>
      <c r="I8" s="7"/>
      <c r="K8" s="8" t="s">
        <v>5</v>
      </c>
      <c r="L8" s="8">
        <v>2024.0</v>
      </c>
    </row>
    <row r="9">
      <c r="A9" s="9"/>
      <c r="B9" s="9"/>
      <c r="C9" s="10" t="s">
        <v>6</v>
      </c>
      <c r="D9" s="10" t="s">
        <v>7</v>
      </c>
      <c r="E9" s="10" t="s">
        <v>8</v>
      </c>
      <c r="F9" s="10" t="s">
        <v>9</v>
      </c>
      <c r="G9" s="10" t="s">
        <v>10</v>
      </c>
      <c r="H9" s="10" t="s">
        <v>11</v>
      </c>
      <c r="I9" s="10" t="s">
        <v>12</v>
      </c>
      <c r="J9" s="11"/>
      <c r="K9" s="12" t="s">
        <v>13</v>
      </c>
      <c r="L9" s="12">
        <v>10.0</v>
      </c>
    </row>
    <row r="10">
      <c r="A10" s="13" t="s">
        <v>14</v>
      </c>
      <c r="B10" s="13" t="s">
        <v>15</v>
      </c>
      <c r="C10" s="14">
        <v>21.0</v>
      </c>
      <c r="D10" s="14">
        <v>12.0</v>
      </c>
      <c r="E10" s="14">
        <v>11.0</v>
      </c>
      <c r="F10" s="14">
        <v>14.0</v>
      </c>
      <c r="G10" s="14">
        <v>13.0</v>
      </c>
      <c r="H10" s="14">
        <v>10.0</v>
      </c>
      <c r="I10" s="14">
        <v>5.0</v>
      </c>
      <c r="K10" s="15" t="s">
        <v>15</v>
      </c>
      <c r="L10" s="16">
        <v>5.0</v>
      </c>
    </row>
    <row r="11" ht="15.0" customHeight="1">
      <c r="A11" s="13" t="s">
        <v>16</v>
      </c>
      <c r="B11" s="13" t="s">
        <v>17</v>
      </c>
      <c r="C11" s="14"/>
      <c r="D11" s="14"/>
      <c r="E11" s="14"/>
      <c r="F11" s="14"/>
      <c r="G11" s="14"/>
      <c r="H11" s="14">
        <v>1.0</v>
      </c>
      <c r="I11" s="14"/>
      <c r="K11" s="15" t="s">
        <v>18</v>
      </c>
      <c r="L11" s="16">
        <v>0.0</v>
      </c>
    </row>
    <row r="12">
      <c r="A12" s="13" t="s">
        <v>19</v>
      </c>
      <c r="B12" s="13" t="s">
        <v>20</v>
      </c>
      <c r="C12" s="14">
        <v>1.0</v>
      </c>
      <c r="D12" s="14">
        <v>1.0</v>
      </c>
      <c r="E12" s="14"/>
      <c r="F12" s="14"/>
      <c r="G12" s="14">
        <v>1.0</v>
      </c>
      <c r="H12" s="14">
        <v>1.0</v>
      </c>
      <c r="I12" s="14"/>
      <c r="K12" s="15" t="s">
        <v>21</v>
      </c>
      <c r="L12" s="16">
        <v>0.0</v>
      </c>
    </row>
    <row r="13">
      <c r="A13" s="13" t="s">
        <v>22</v>
      </c>
      <c r="B13" s="13" t="s">
        <v>23</v>
      </c>
      <c r="C13" s="14"/>
      <c r="D13" s="14">
        <v>1.0</v>
      </c>
      <c r="E13" s="14"/>
      <c r="F13" s="14"/>
      <c r="G13" s="14">
        <v>1.0</v>
      </c>
      <c r="H13" s="14"/>
      <c r="I13" s="14"/>
      <c r="K13" s="15" t="s">
        <v>24</v>
      </c>
      <c r="L13" s="16">
        <v>1.0</v>
      </c>
    </row>
    <row r="14">
      <c r="A14" s="13" t="s">
        <v>25</v>
      </c>
      <c r="B14" s="13" t="s">
        <v>26</v>
      </c>
      <c r="C14" s="14"/>
      <c r="D14" s="14"/>
      <c r="E14" s="14"/>
      <c r="F14" s="14"/>
      <c r="G14" s="14">
        <v>1.0</v>
      </c>
      <c r="H14" s="14"/>
      <c r="I14" s="14"/>
      <c r="K14" s="15" t="s">
        <v>23</v>
      </c>
      <c r="L14" s="16">
        <v>1.0</v>
      </c>
    </row>
    <row r="15">
      <c r="A15" s="13" t="s">
        <v>27</v>
      </c>
      <c r="B15" s="13" t="s">
        <v>18</v>
      </c>
      <c r="C15" s="14">
        <v>1.0</v>
      </c>
      <c r="D15" s="14"/>
      <c r="E15" s="14"/>
      <c r="F15" s="14"/>
      <c r="G15" s="14">
        <v>1.0</v>
      </c>
      <c r="H15" s="14">
        <v>1.0</v>
      </c>
      <c r="I15" s="14">
        <v>1.0</v>
      </c>
      <c r="K15" s="15" t="s">
        <v>28</v>
      </c>
      <c r="L15" s="16">
        <v>0.0</v>
      </c>
    </row>
    <row r="16">
      <c r="A16" s="13" t="s">
        <v>29</v>
      </c>
      <c r="B16" s="13" t="s">
        <v>30</v>
      </c>
      <c r="C16" s="14"/>
      <c r="D16" s="14">
        <v>1.0</v>
      </c>
      <c r="E16" s="14"/>
      <c r="F16" s="14"/>
      <c r="G16" s="14"/>
      <c r="H16" s="14"/>
      <c r="I16" s="14"/>
      <c r="K16" s="15" t="s">
        <v>31</v>
      </c>
      <c r="L16" s="16">
        <v>2.0</v>
      </c>
    </row>
    <row r="17">
      <c r="A17" s="13" t="s">
        <v>32</v>
      </c>
      <c r="B17" s="13" t="s">
        <v>24</v>
      </c>
      <c r="C17" s="14">
        <v>2.0</v>
      </c>
      <c r="D17" s="14"/>
      <c r="E17" s="14"/>
      <c r="F17" s="14"/>
      <c r="G17" s="14"/>
      <c r="H17" s="14">
        <v>1.0</v>
      </c>
      <c r="I17" s="14"/>
      <c r="K17" s="15" t="s">
        <v>33</v>
      </c>
      <c r="L17" s="16">
        <v>0.0</v>
      </c>
    </row>
    <row r="18">
      <c r="A18" s="13" t="s">
        <v>34</v>
      </c>
      <c r="B18" s="13" t="s">
        <v>21</v>
      </c>
      <c r="C18" s="14">
        <v>1.0</v>
      </c>
      <c r="D18" s="14"/>
      <c r="E18" s="14"/>
      <c r="F18" s="14"/>
      <c r="G18" s="14">
        <v>2.0</v>
      </c>
      <c r="H18" s="14">
        <v>1.0</v>
      </c>
      <c r="I18" s="14">
        <v>1.0</v>
      </c>
      <c r="K18" s="15" t="s">
        <v>20</v>
      </c>
      <c r="L18" s="16">
        <v>0.0</v>
      </c>
    </row>
    <row r="19">
      <c r="A19" s="13" t="s">
        <v>35</v>
      </c>
      <c r="B19" s="13" t="s">
        <v>36</v>
      </c>
      <c r="C19" s="14"/>
      <c r="D19" s="14"/>
      <c r="E19" s="14"/>
      <c r="F19" s="14"/>
      <c r="G19" s="14"/>
      <c r="H19" s="14"/>
      <c r="I19" s="14">
        <v>1.0</v>
      </c>
      <c r="K19" s="15" t="s">
        <v>37</v>
      </c>
      <c r="L19" s="16">
        <v>1.0</v>
      </c>
    </row>
    <row r="20">
      <c r="A20" s="13" t="s">
        <v>38</v>
      </c>
      <c r="B20" s="13" t="s">
        <v>28</v>
      </c>
      <c r="C20" s="14"/>
      <c r="D20" s="14"/>
      <c r="E20" s="14"/>
      <c r="F20" s="14"/>
      <c r="G20" s="14">
        <v>1.0</v>
      </c>
      <c r="H20" s="14"/>
      <c r="I20" s="14"/>
      <c r="K20" s="15" t="s">
        <v>26</v>
      </c>
      <c r="L20" s="16">
        <v>0.0</v>
      </c>
    </row>
    <row r="21" ht="15.75" customHeight="1">
      <c r="A21" s="13" t="s">
        <v>39</v>
      </c>
      <c r="B21" s="13" t="s">
        <v>33</v>
      </c>
      <c r="C21" s="14"/>
      <c r="D21" s="14"/>
      <c r="E21" s="14"/>
      <c r="F21" s="14"/>
      <c r="G21" s="14"/>
      <c r="H21" s="14">
        <v>2.0</v>
      </c>
      <c r="I21" s="14"/>
      <c r="K21" s="15" t="s">
        <v>17</v>
      </c>
      <c r="L21" s="16">
        <v>0.0</v>
      </c>
    </row>
    <row r="22" ht="15.75" customHeight="1">
      <c r="A22" s="13" t="s">
        <v>40</v>
      </c>
      <c r="B22" s="13" t="s">
        <v>41</v>
      </c>
      <c r="C22" s="14">
        <v>75.0</v>
      </c>
      <c r="D22" s="14">
        <v>25.0</v>
      </c>
      <c r="E22" s="14">
        <v>37.0</v>
      </c>
      <c r="F22" s="14">
        <v>16.0</v>
      </c>
      <c r="G22" s="14">
        <v>20.0</v>
      </c>
      <c r="H22" s="14">
        <v>28.0</v>
      </c>
      <c r="I22" s="14">
        <v>12.0</v>
      </c>
      <c r="K22" s="15" t="s">
        <v>42</v>
      </c>
      <c r="L22" s="16">
        <v>0.0</v>
      </c>
    </row>
    <row r="23" ht="15.75" customHeight="1">
      <c r="A23" s="13" t="s">
        <v>43</v>
      </c>
      <c r="B23" s="13" t="s">
        <v>44</v>
      </c>
      <c r="C23" s="14"/>
      <c r="D23" s="14">
        <v>1.0</v>
      </c>
      <c r="E23" s="14"/>
      <c r="F23" s="14"/>
      <c r="G23" s="14"/>
      <c r="H23" s="14"/>
      <c r="I23" s="14"/>
      <c r="K23" s="15" t="s">
        <v>36</v>
      </c>
      <c r="L23" s="16">
        <v>0.0</v>
      </c>
    </row>
    <row r="24" ht="15.75" customHeight="1">
      <c r="A24" s="13" t="s">
        <v>45</v>
      </c>
      <c r="B24" s="13" t="s">
        <v>46</v>
      </c>
      <c r="C24" s="14">
        <v>1.0</v>
      </c>
      <c r="D24" s="14"/>
      <c r="E24" s="14"/>
      <c r="F24" s="14"/>
      <c r="G24" s="14">
        <v>1.0</v>
      </c>
      <c r="H24" s="14">
        <v>1.0</v>
      </c>
      <c r="I24" s="14"/>
      <c r="K24" s="12" t="s">
        <v>47</v>
      </c>
      <c r="L24" s="12">
        <v>60.0</v>
      </c>
    </row>
    <row r="25" ht="15.75" customHeight="1">
      <c r="A25" s="13" t="s">
        <v>48</v>
      </c>
      <c r="B25" s="13" t="s">
        <v>49</v>
      </c>
      <c r="C25" s="14">
        <v>3.0</v>
      </c>
      <c r="D25" s="14">
        <v>4.0</v>
      </c>
      <c r="E25" s="14">
        <v>1.0</v>
      </c>
      <c r="F25" s="14">
        <v>1.0</v>
      </c>
      <c r="G25" s="14">
        <v>1.0</v>
      </c>
      <c r="H25" s="14"/>
      <c r="I25" s="14"/>
      <c r="K25" s="15" t="s">
        <v>50</v>
      </c>
      <c r="L25" s="16">
        <v>16.0</v>
      </c>
    </row>
    <row r="26" ht="15.75" customHeight="1">
      <c r="A26" s="13" t="s">
        <v>51</v>
      </c>
      <c r="B26" s="13" t="s">
        <v>50</v>
      </c>
      <c r="C26" s="14">
        <v>172.0</v>
      </c>
      <c r="D26" s="14">
        <v>89.0</v>
      </c>
      <c r="E26" s="14">
        <v>45.0</v>
      </c>
      <c r="F26" s="14">
        <v>53.0</v>
      </c>
      <c r="G26" s="14">
        <v>43.0</v>
      </c>
      <c r="H26" s="14">
        <v>35.0</v>
      </c>
      <c r="I26" s="14">
        <v>26.0</v>
      </c>
      <c r="K26" s="15" t="s">
        <v>41</v>
      </c>
      <c r="L26" s="16">
        <v>16.0</v>
      </c>
    </row>
    <row r="27" ht="15.75" customHeight="1">
      <c r="A27" s="13" t="s">
        <v>52</v>
      </c>
      <c r="B27" s="13" t="s">
        <v>53</v>
      </c>
      <c r="C27" s="14"/>
      <c r="D27" s="14">
        <v>3.0</v>
      </c>
      <c r="E27" s="14">
        <v>2.0</v>
      </c>
      <c r="F27" s="14">
        <v>1.0</v>
      </c>
      <c r="G27" s="14">
        <v>1.0</v>
      </c>
      <c r="H27" s="14">
        <v>1.0</v>
      </c>
      <c r="I27" s="14">
        <v>3.0</v>
      </c>
      <c r="K27" s="15" t="s">
        <v>54</v>
      </c>
      <c r="L27" s="16">
        <v>6.0</v>
      </c>
    </row>
    <row r="28" ht="15.75" customHeight="1">
      <c r="A28" s="13" t="s">
        <v>55</v>
      </c>
      <c r="B28" s="13" t="s">
        <v>56</v>
      </c>
      <c r="C28" s="14"/>
      <c r="D28" s="14">
        <v>1.0</v>
      </c>
      <c r="E28" s="14"/>
      <c r="F28" s="14"/>
      <c r="G28" s="14"/>
      <c r="H28" s="14"/>
      <c r="I28" s="14"/>
      <c r="K28" s="15" t="s">
        <v>57</v>
      </c>
      <c r="L28" s="16">
        <v>0.0</v>
      </c>
    </row>
    <row r="29" ht="15.75" customHeight="1">
      <c r="A29" s="13" t="s">
        <v>58</v>
      </c>
      <c r="B29" s="13" t="s">
        <v>59</v>
      </c>
      <c r="C29" s="14"/>
      <c r="D29" s="14"/>
      <c r="E29" s="14"/>
      <c r="F29" s="14">
        <v>1.0</v>
      </c>
      <c r="G29" s="14"/>
      <c r="H29" s="14"/>
      <c r="I29" s="14"/>
      <c r="K29" s="15" t="s">
        <v>60</v>
      </c>
      <c r="L29" s="16">
        <v>3.0</v>
      </c>
    </row>
    <row r="30" ht="15.75" customHeight="1">
      <c r="A30" s="13" t="s">
        <v>61</v>
      </c>
      <c r="B30" s="13" t="s">
        <v>62</v>
      </c>
      <c r="C30" s="14">
        <v>1.0</v>
      </c>
      <c r="D30" s="14"/>
      <c r="E30" s="14"/>
      <c r="F30" s="14"/>
      <c r="G30" s="14">
        <v>1.0</v>
      </c>
      <c r="H30" s="14"/>
      <c r="I30" s="14"/>
      <c r="K30" s="15" t="s">
        <v>53</v>
      </c>
      <c r="L30" s="16">
        <v>1.0</v>
      </c>
    </row>
    <row r="31" ht="15.75" customHeight="1">
      <c r="A31" s="13" t="s">
        <v>63</v>
      </c>
      <c r="B31" s="13" t="s">
        <v>64</v>
      </c>
      <c r="C31" s="14"/>
      <c r="D31" s="14"/>
      <c r="E31" s="14">
        <v>1.0</v>
      </c>
      <c r="F31" s="14"/>
      <c r="G31" s="14"/>
      <c r="H31" s="14"/>
      <c r="I31" s="14"/>
      <c r="K31" s="15" t="s">
        <v>65</v>
      </c>
      <c r="L31" s="16">
        <v>3.0</v>
      </c>
    </row>
    <row r="32" ht="15.75" customHeight="1">
      <c r="A32" s="13" t="s">
        <v>66</v>
      </c>
      <c r="B32" s="13" t="s">
        <v>67</v>
      </c>
      <c r="C32" s="14"/>
      <c r="D32" s="14"/>
      <c r="E32" s="14">
        <v>1.0</v>
      </c>
      <c r="F32" s="14"/>
      <c r="G32" s="14"/>
      <c r="H32" s="14"/>
      <c r="I32" s="14"/>
      <c r="K32" s="15" t="s">
        <v>68</v>
      </c>
      <c r="L32" s="16">
        <v>0.0</v>
      </c>
    </row>
    <row r="33" ht="15.75" customHeight="1">
      <c r="A33" s="13" t="s">
        <v>69</v>
      </c>
      <c r="B33" s="13" t="s">
        <v>70</v>
      </c>
      <c r="C33" s="14"/>
      <c r="D33" s="14"/>
      <c r="E33" s="14">
        <v>1.0</v>
      </c>
      <c r="F33" s="14"/>
      <c r="G33" s="14"/>
      <c r="H33" s="14"/>
      <c r="I33" s="14"/>
      <c r="K33" s="15" t="s">
        <v>71</v>
      </c>
      <c r="L33" s="16">
        <v>0.0</v>
      </c>
    </row>
    <row r="34" ht="15.75" customHeight="1">
      <c r="A34" s="13" t="s">
        <v>72</v>
      </c>
      <c r="B34" s="13" t="s">
        <v>73</v>
      </c>
      <c r="C34" s="14"/>
      <c r="D34" s="14"/>
      <c r="E34" s="14"/>
      <c r="F34" s="14"/>
      <c r="G34" s="14"/>
      <c r="H34" s="14"/>
      <c r="I34" s="14">
        <v>1.0</v>
      </c>
      <c r="K34" s="15" t="s">
        <v>74</v>
      </c>
      <c r="L34" s="16">
        <v>1.0</v>
      </c>
    </row>
    <row r="35" ht="15.75" customHeight="1">
      <c r="A35" s="13" t="s">
        <v>75</v>
      </c>
      <c r="B35" s="13" t="s">
        <v>76</v>
      </c>
      <c r="C35" s="14"/>
      <c r="D35" s="14"/>
      <c r="E35" s="14"/>
      <c r="F35" s="14"/>
      <c r="G35" s="14"/>
      <c r="H35" s="14">
        <v>1.0</v>
      </c>
      <c r="I35" s="14"/>
      <c r="K35" s="15" t="s">
        <v>77</v>
      </c>
      <c r="L35" s="16">
        <v>1.0</v>
      </c>
    </row>
    <row r="36" ht="15.75" customHeight="1">
      <c r="A36" s="13" t="s">
        <v>78</v>
      </c>
      <c r="B36" s="13" t="s">
        <v>79</v>
      </c>
      <c r="C36" s="14">
        <v>1.0</v>
      </c>
      <c r="D36" s="14"/>
      <c r="E36" s="14"/>
      <c r="F36" s="14">
        <v>1.0</v>
      </c>
      <c r="G36" s="14"/>
      <c r="H36" s="14"/>
      <c r="I36" s="14"/>
      <c r="K36" s="15" t="s">
        <v>80</v>
      </c>
      <c r="L36" s="16">
        <v>0.0</v>
      </c>
    </row>
    <row r="37" ht="15.75" customHeight="1">
      <c r="A37" s="13" t="s">
        <v>81</v>
      </c>
      <c r="B37" s="13" t="s">
        <v>82</v>
      </c>
      <c r="C37" s="14"/>
      <c r="D37" s="14"/>
      <c r="E37" s="14">
        <v>1.0</v>
      </c>
      <c r="F37" s="14"/>
      <c r="G37" s="14"/>
      <c r="H37" s="14"/>
      <c r="I37" s="14"/>
      <c r="K37" s="15" t="s">
        <v>83</v>
      </c>
      <c r="L37" s="16">
        <v>0.0</v>
      </c>
    </row>
    <row r="38" ht="15.75" customHeight="1">
      <c r="A38" s="13" t="s">
        <v>84</v>
      </c>
      <c r="B38" s="13" t="s">
        <v>85</v>
      </c>
      <c r="C38" s="14"/>
      <c r="D38" s="14"/>
      <c r="E38" s="14"/>
      <c r="F38" s="14"/>
      <c r="G38" s="14">
        <v>1.0</v>
      </c>
      <c r="H38" s="14"/>
      <c r="I38" s="14"/>
      <c r="K38" s="15" t="s">
        <v>86</v>
      </c>
      <c r="L38" s="16">
        <v>3.0</v>
      </c>
    </row>
    <row r="39" ht="15.75" customHeight="1">
      <c r="A39" s="13" t="s">
        <v>87</v>
      </c>
      <c r="B39" s="13" t="s">
        <v>88</v>
      </c>
      <c r="C39" s="14"/>
      <c r="D39" s="14">
        <v>1.0</v>
      </c>
      <c r="E39" s="14"/>
      <c r="F39" s="14"/>
      <c r="G39" s="14"/>
      <c r="H39" s="14"/>
      <c r="I39" s="14"/>
      <c r="K39" s="15" t="s">
        <v>62</v>
      </c>
      <c r="L39" s="16">
        <v>1.0</v>
      </c>
    </row>
    <row r="40" ht="15.75" customHeight="1">
      <c r="A40" s="13" t="s">
        <v>89</v>
      </c>
      <c r="B40" s="13" t="s">
        <v>90</v>
      </c>
      <c r="C40" s="14">
        <v>2.0</v>
      </c>
      <c r="D40" s="14">
        <v>1.0</v>
      </c>
      <c r="E40" s="14"/>
      <c r="F40" s="14"/>
      <c r="G40" s="14"/>
      <c r="H40" s="14"/>
      <c r="I40" s="14"/>
      <c r="K40" s="15" t="s">
        <v>91</v>
      </c>
      <c r="L40" s="16">
        <v>1.0</v>
      </c>
    </row>
    <row r="41" ht="15.75" customHeight="1">
      <c r="A41" s="13" t="s">
        <v>92</v>
      </c>
      <c r="B41" s="13" t="s">
        <v>93</v>
      </c>
      <c r="C41" s="14"/>
      <c r="D41" s="14"/>
      <c r="E41" s="14">
        <v>1.0</v>
      </c>
      <c r="F41" s="14"/>
      <c r="G41" s="14"/>
      <c r="H41" s="14"/>
      <c r="I41" s="14"/>
      <c r="K41" s="15" t="s">
        <v>94</v>
      </c>
      <c r="L41" s="16">
        <v>0.0</v>
      </c>
    </row>
    <row r="42" ht="15.75" customHeight="1">
      <c r="A42" s="13" t="s">
        <v>95</v>
      </c>
      <c r="B42" s="13" t="s">
        <v>96</v>
      </c>
      <c r="C42" s="14"/>
      <c r="D42" s="14"/>
      <c r="E42" s="14"/>
      <c r="F42" s="14"/>
      <c r="G42" s="14">
        <v>1.0</v>
      </c>
      <c r="H42" s="14"/>
      <c r="I42" s="14"/>
      <c r="K42" s="15" t="s">
        <v>97</v>
      </c>
      <c r="L42" s="16">
        <v>0.0</v>
      </c>
    </row>
    <row r="43" ht="15.75" customHeight="1">
      <c r="A43" s="13" t="s">
        <v>98</v>
      </c>
      <c r="B43" s="13" t="s">
        <v>99</v>
      </c>
      <c r="C43" s="14"/>
      <c r="D43" s="14"/>
      <c r="E43" s="14"/>
      <c r="F43" s="14"/>
      <c r="G43" s="14"/>
      <c r="H43" s="14">
        <v>1.0</v>
      </c>
      <c r="I43" s="14"/>
      <c r="K43" s="15" t="s">
        <v>100</v>
      </c>
      <c r="L43" s="16">
        <v>1.0</v>
      </c>
    </row>
    <row r="44" ht="15.75" customHeight="1">
      <c r="A44" s="13" t="s">
        <v>101</v>
      </c>
      <c r="B44" s="13" t="s">
        <v>54</v>
      </c>
      <c r="C44" s="14">
        <v>20.0</v>
      </c>
      <c r="D44" s="14">
        <v>5.0</v>
      </c>
      <c r="E44" s="14">
        <v>8.0</v>
      </c>
      <c r="F44" s="14">
        <v>6.0</v>
      </c>
      <c r="G44" s="14">
        <v>5.0</v>
      </c>
      <c r="H44" s="14">
        <v>8.0</v>
      </c>
      <c r="I44" s="14">
        <v>3.0</v>
      </c>
      <c r="K44" s="15" t="s">
        <v>79</v>
      </c>
      <c r="L44" s="16">
        <v>0.0</v>
      </c>
    </row>
    <row r="45" ht="15.75" customHeight="1">
      <c r="A45" s="13" t="s">
        <v>102</v>
      </c>
      <c r="B45" s="13" t="s">
        <v>103</v>
      </c>
      <c r="C45" s="14"/>
      <c r="D45" s="14">
        <v>1.0</v>
      </c>
      <c r="E45" s="14"/>
      <c r="F45" s="14"/>
      <c r="G45" s="14"/>
      <c r="H45" s="14"/>
      <c r="I45" s="14"/>
      <c r="K45" s="15" t="s">
        <v>104</v>
      </c>
      <c r="L45" s="16">
        <v>2.0</v>
      </c>
    </row>
    <row r="46" ht="15.75" customHeight="1">
      <c r="A46" s="13" t="s">
        <v>105</v>
      </c>
      <c r="B46" s="13" t="s">
        <v>65</v>
      </c>
      <c r="C46" s="14"/>
      <c r="D46" s="14">
        <v>1.0</v>
      </c>
      <c r="E46" s="14">
        <v>2.0</v>
      </c>
      <c r="F46" s="14"/>
      <c r="G46" s="14">
        <v>1.0</v>
      </c>
      <c r="H46" s="14"/>
      <c r="I46" s="14">
        <v>1.0</v>
      </c>
      <c r="K46" s="15" t="s">
        <v>106</v>
      </c>
      <c r="L46" s="16">
        <v>1.0</v>
      </c>
    </row>
    <row r="47" ht="15.75" customHeight="1">
      <c r="A47" s="13" t="s">
        <v>107</v>
      </c>
      <c r="B47" s="13" t="s">
        <v>108</v>
      </c>
      <c r="C47" s="14"/>
      <c r="D47" s="14"/>
      <c r="E47" s="14"/>
      <c r="F47" s="14">
        <v>1.0</v>
      </c>
      <c r="G47" s="14"/>
      <c r="H47" s="14"/>
      <c r="I47" s="14">
        <v>1.0</v>
      </c>
      <c r="K47" s="15" t="s">
        <v>109</v>
      </c>
      <c r="L47" s="16">
        <v>0.0</v>
      </c>
    </row>
    <row r="48" ht="15.75" customHeight="1">
      <c r="A48" s="13" t="s">
        <v>110</v>
      </c>
      <c r="B48" s="13" t="s">
        <v>111</v>
      </c>
      <c r="C48" s="14"/>
      <c r="D48" s="14"/>
      <c r="E48" s="14">
        <v>1.0</v>
      </c>
      <c r="F48" s="14"/>
      <c r="G48" s="14"/>
      <c r="H48" s="14"/>
      <c r="I48" s="14"/>
      <c r="K48" s="15" t="s">
        <v>112</v>
      </c>
      <c r="L48" s="16">
        <v>1.0</v>
      </c>
    </row>
    <row r="49" ht="15.75" customHeight="1">
      <c r="A49" s="13" t="s">
        <v>113</v>
      </c>
      <c r="B49" s="13" t="s">
        <v>109</v>
      </c>
      <c r="C49" s="14"/>
      <c r="D49" s="14"/>
      <c r="E49" s="14"/>
      <c r="F49" s="14"/>
      <c r="G49" s="14"/>
      <c r="H49" s="14">
        <v>2.0</v>
      </c>
      <c r="I49" s="14"/>
      <c r="K49" s="15" t="s">
        <v>49</v>
      </c>
      <c r="L49" s="16">
        <v>0.0</v>
      </c>
    </row>
    <row r="50" ht="15.75" customHeight="1">
      <c r="A50" s="13" t="s">
        <v>114</v>
      </c>
      <c r="B50" s="13" t="s">
        <v>115</v>
      </c>
      <c r="C50" s="14"/>
      <c r="D50" s="14"/>
      <c r="E50" s="14">
        <v>1.0</v>
      </c>
      <c r="F50" s="14">
        <v>1.0</v>
      </c>
      <c r="G50" s="14">
        <v>1.0</v>
      </c>
      <c r="H50" s="14"/>
      <c r="I50" s="14"/>
      <c r="K50" s="15" t="s">
        <v>103</v>
      </c>
      <c r="L50" s="16">
        <v>2.0</v>
      </c>
    </row>
    <row r="51" ht="15.75" customHeight="1">
      <c r="A51" s="13" t="s">
        <v>116</v>
      </c>
      <c r="B51" s="13" t="s">
        <v>83</v>
      </c>
      <c r="C51" s="14">
        <v>3.0</v>
      </c>
      <c r="D51" s="14">
        <v>1.0</v>
      </c>
      <c r="E51" s="14"/>
      <c r="F51" s="14"/>
      <c r="G51" s="14">
        <v>1.0</v>
      </c>
      <c r="H51" s="14">
        <v>1.0</v>
      </c>
      <c r="I51" s="14"/>
      <c r="K51" s="15" t="s">
        <v>117</v>
      </c>
      <c r="L51" s="16">
        <v>1.0</v>
      </c>
    </row>
    <row r="52" ht="15.75" customHeight="1">
      <c r="A52" s="13" t="s">
        <v>118</v>
      </c>
      <c r="B52" s="13" t="s">
        <v>119</v>
      </c>
      <c r="C52" s="14"/>
      <c r="D52" s="14"/>
      <c r="E52" s="14"/>
      <c r="F52" s="14"/>
      <c r="G52" s="14"/>
      <c r="H52" s="14">
        <v>1.0</v>
      </c>
      <c r="I52" s="14"/>
      <c r="K52" s="15" t="s">
        <v>46</v>
      </c>
      <c r="L52" s="16">
        <v>0.0</v>
      </c>
    </row>
    <row r="53" ht="15.75" customHeight="1">
      <c r="A53" s="13" t="s">
        <v>120</v>
      </c>
      <c r="B53" s="13" t="s">
        <v>121</v>
      </c>
      <c r="C53" s="14"/>
      <c r="D53" s="14">
        <v>2.0</v>
      </c>
      <c r="E53" s="14">
        <v>1.0</v>
      </c>
      <c r="F53" s="14"/>
      <c r="G53" s="14"/>
      <c r="H53" s="14"/>
      <c r="I53" s="14">
        <v>2.0</v>
      </c>
      <c r="K53" s="15" t="s">
        <v>121</v>
      </c>
      <c r="L53" s="16">
        <v>0.0</v>
      </c>
    </row>
    <row r="54" ht="15.75" customHeight="1">
      <c r="A54" s="13" t="s">
        <v>122</v>
      </c>
      <c r="B54" s="13" t="s">
        <v>91</v>
      </c>
      <c r="C54" s="14"/>
      <c r="D54" s="14">
        <v>1.0</v>
      </c>
      <c r="E54" s="14">
        <v>3.0</v>
      </c>
      <c r="F54" s="14"/>
      <c r="G54" s="14"/>
      <c r="H54" s="14">
        <v>1.0</v>
      </c>
      <c r="I54" s="14">
        <v>1.0</v>
      </c>
      <c r="K54" s="15" t="s">
        <v>123</v>
      </c>
      <c r="L54" s="16">
        <v>0.0</v>
      </c>
    </row>
    <row r="55" ht="15.75" customHeight="1">
      <c r="A55" s="13" t="s">
        <v>124</v>
      </c>
      <c r="B55" s="13" t="s">
        <v>77</v>
      </c>
      <c r="C55" s="14">
        <v>2.0</v>
      </c>
      <c r="D55" s="14"/>
      <c r="E55" s="14">
        <v>1.0</v>
      </c>
      <c r="F55" s="14"/>
      <c r="G55" s="14"/>
      <c r="H55" s="14">
        <v>3.0</v>
      </c>
      <c r="I55" s="14"/>
      <c r="K55" s="15" t="s">
        <v>115</v>
      </c>
      <c r="L55" s="16">
        <v>0.0</v>
      </c>
    </row>
    <row r="56" ht="15.75" customHeight="1">
      <c r="A56" s="13" t="s">
        <v>125</v>
      </c>
      <c r="B56" s="13" t="s">
        <v>71</v>
      </c>
      <c r="C56" s="14">
        <v>1.0</v>
      </c>
      <c r="D56" s="14"/>
      <c r="E56" s="14">
        <v>2.0</v>
      </c>
      <c r="F56" s="14">
        <v>1.0</v>
      </c>
      <c r="G56" s="14">
        <v>3.0</v>
      </c>
      <c r="H56" s="14">
        <v>1.0</v>
      </c>
      <c r="I56" s="14"/>
      <c r="K56" s="15" t="s">
        <v>99</v>
      </c>
      <c r="L56" s="16">
        <v>0.0</v>
      </c>
    </row>
    <row r="57" ht="15.75" customHeight="1">
      <c r="A57" s="13" t="s">
        <v>126</v>
      </c>
      <c r="B57" s="13" t="s">
        <v>127</v>
      </c>
      <c r="C57" s="14">
        <v>1.0</v>
      </c>
      <c r="D57" s="14"/>
      <c r="E57" s="14">
        <v>1.0</v>
      </c>
      <c r="F57" s="14"/>
      <c r="G57" s="14"/>
      <c r="H57" s="14">
        <v>1.0</v>
      </c>
      <c r="I57" s="14"/>
      <c r="K57" s="15" t="s">
        <v>96</v>
      </c>
      <c r="L57" s="16">
        <v>0.0</v>
      </c>
    </row>
    <row r="58" ht="15.75" customHeight="1">
      <c r="A58" s="13" t="s">
        <v>128</v>
      </c>
      <c r="B58" s="13" t="s">
        <v>57</v>
      </c>
      <c r="C58" s="14">
        <v>2.0</v>
      </c>
      <c r="D58" s="14">
        <v>1.0</v>
      </c>
      <c r="E58" s="14"/>
      <c r="F58" s="14">
        <v>2.0</v>
      </c>
      <c r="G58" s="14"/>
      <c r="H58" s="14">
        <v>4.0</v>
      </c>
      <c r="I58" s="14">
        <v>5.0</v>
      </c>
      <c r="K58" s="15" t="s">
        <v>129</v>
      </c>
      <c r="L58" s="16">
        <v>0.0</v>
      </c>
    </row>
    <row r="59" ht="15.75" customHeight="1">
      <c r="A59" s="13" t="s">
        <v>130</v>
      </c>
      <c r="B59" s="13" t="s">
        <v>104</v>
      </c>
      <c r="C59" s="14">
        <v>1.0</v>
      </c>
      <c r="D59" s="14"/>
      <c r="E59" s="14"/>
      <c r="F59" s="14"/>
      <c r="G59" s="14"/>
      <c r="H59" s="14"/>
      <c r="I59" s="14"/>
      <c r="K59" s="15" t="s">
        <v>119</v>
      </c>
      <c r="L59" s="16">
        <v>0.0</v>
      </c>
    </row>
    <row r="60" ht="15.75" customHeight="1">
      <c r="A60" s="13" t="s">
        <v>131</v>
      </c>
      <c r="B60" s="13" t="s">
        <v>94</v>
      </c>
      <c r="C60" s="14"/>
      <c r="D60" s="14">
        <v>1.0</v>
      </c>
      <c r="E60" s="14"/>
      <c r="F60" s="14">
        <v>1.0</v>
      </c>
      <c r="G60" s="14"/>
      <c r="H60" s="14">
        <v>1.0</v>
      </c>
      <c r="I60" s="14"/>
      <c r="K60" s="15" t="s">
        <v>85</v>
      </c>
      <c r="L60" s="16">
        <v>0.0</v>
      </c>
    </row>
    <row r="61" ht="15.75" customHeight="1">
      <c r="A61" s="13" t="s">
        <v>132</v>
      </c>
      <c r="B61" s="13" t="s">
        <v>74</v>
      </c>
      <c r="C61" s="14">
        <v>1.0</v>
      </c>
      <c r="D61" s="14">
        <v>2.0</v>
      </c>
      <c r="E61" s="14">
        <v>3.0</v>
      </c>
      <c r="F61" s="14">
        <v>4.0</v>
      </c>
      <c r="G61" s="14">
        <v>1.0</v>
      </c>
      <c r="H61" s="14"/>
      <c r="I61" s="14">
        <v>1.0</v>
      </c>
      <c r="K61" s="15" t="s">
        <v>133</v>
      </c>
      <c r="L61" s="16">
        <v>0.0</v>
      </c>
    </row>
    <row r="62" ht="15.75" customHeight="1">
      <c r="A62" s="13" t="s">
        <v>134</v>
      </c>
      <c r="B62" s="13" t="s">
        <v>135</v>
      </c>
      <c r="C62" s="14">
        <v>1.0</v>
      </c>
      <c r="D62" s="14"/>
      <c r="E62" s="14"/>
      <c r="F62" s="14"/>
      <c r="G62" s="14"/>
      <c r="H62" s="14"/>
      <c r="I62" s="14"/>
      <c r="K62" s="15" t="s">
        <v>136</v>
      </c>
      <c r="L62" s="16">
        <v>0.0</v>
      </c>
    </row>
    <row r="63" ht="15.75" customHeight="1">
      <c r="A63" s="13" t="s">
        <v>137</v>
      </c>
      <c r="B63" s="13" t="s">
        <v>123</v>
      </c>
      <c r="C63" s="14"/>
      <c r="D63" s="14"/>
      <c r="E63" s="14">
        <v>2.0</v>
      </c>
      <c r="F63" s="14"/>
      <c r="G63" s="14"/>
      <c r="H63" s="14"/>
      <c r="I63" s="14"/>
      <c r="K63" s="15" t="s">
        <v>127</v>
      </c>
      <c r="L63" s="16">
        <v>0.0</v>
      </c>
    </row>
    <row r="64" ht="15.75" customHeight="1">
      <c r="A64" s="13" t="s">
        <v>138</v>
      </c>
      <c r="B64" s="13" t="s">
        <v>112</v>
      </c>
      <c r="C64" s="14">
        <v>2.0</v>
      </c>
      <c r="D64" s="14">
        <v>1.0</v>
      </c>
      <c r="E64" s="14">
        <v>1.0</v>
      </c>
      <c r="F64" s="14"/>
      <c r="G64" s="14"/>
      <c r="H64" s="14">
        <v>1.0</v>
      </c>
      <c r="I64" s="14"/>
      <c r="K64" s="15" t="s">
        <v>139</v>
      </c>
      <c r="L64" s="16">
        <v>0.0</v>
      </c>
    </row>
    <row r="65" ht="15.75" customHeight="1">
      <c r="A65" s="13" t="s">
        <v>140</v>
      </c>
      <c r="B65" s="13" t="s">
        <v>80</v>
      </c>
      <c r="C65" s="14"/>
      <c r="D65" s="14"/>
      <c r="E65" s="14">
        <v>1.0</v>
      </c>
      <c r="F65" s="14"/>
      <c r="G65" s="14">
        <v>1.0</v>
      </c>
      <c r="H65" s="14"/>
      <c r="I65" s="14"/>
      <c r="K65" s="15" t="s">
        <v>108</v>
      </c>
      <c r="L65" s="16">
        <v>0.0</v>
      </c>
    </row>
    <row r="66" ht="15.75" customHeight="1">
      <c r="A66" s="13" t="s">
        <v>141</v>
      </c>
      <c r="B66" s="13" t="s">
        <v>117</v>
      </c>
      <c r="C66" s="14"/>
      <c r="D66" s="14"/>
      <c r="E66" s="14">
        <v>1.0</v>
      </c>
      <c r="F66" s="14">
        <v>1.0</v>
      </c>
      <c r="G66" s="14"/>
      <c r="H66" s="14">
        <v>1.0</v>
      </c>
      <c r="I66" s="14"/>
      <c r="K66" s="15" t="s">
        <v>73</v>
      </c>
      <c r="L66" s="16">
        <v>0.0</v>
      </c>
    </row>
    <row r="67" ht="15.75" customHeight="1">
      <c r="A67" s="13" t="s">
        <v>142</v>
      </c>
      <c r="B67" s="13" t="s">
        <v>68</v>
      </c>
      <c r="C67" s="14">
        <v>3.0</v>
      </c>
      <c r="D67" s="14">
        <v>4.0</v>
      </c>
      <c r="E67" s="14">
        <v>1.0</v>
      </c>
      <c r="F67" s="14"/>
      <c r="G67" s="14">
        <v>4.0</v>
      </c>
      <c r="H67" s="14">
        <v>2.0</v>
      </c>
      <c r="I67" s="14"/>
      <c r="K67" s="15" t="s">
        <v>76</v>
      </c>
      <c r="L67" s="16">
        <v>0.0</v>
      </c>
    </row>
    <row r="68" ht="15.75" customHeight="1">
      <c r="A68" s="13" t="s">
        <v>143</v>
      </c>
      <c r="B68" s="13" t="s">
        <v>97</v>
      </c>
      <c r="C68" s="14"/>
      <c r="D68" s="14"/>
      <c r="E68" s="14"/>
      <c r="F68" s="14"/>
      <c r="G68" s="14">
        <v>2.0</v>
      </c>
      <c r="H68" s="14"/>
      <c r="I68" s="14"/>
      <c r="K68" s="12" t="s">
        <v>144</v>
      </c>
      <c r="L68" s="12">
        <v>127.0</v>
      </c>
    </row>
    <row r="69" ht="15.75" customHeight="1">
      <c r="A69" s="13" t="s">
        <v>145</v>
      </c>
      <c r="B69" s="13" t="s">
        <v>146</v>
      </c>
      <c r="C69" s="14"/>
      <c r="D69" s="14">
        <v>1.0</v>
      </c>
      <c r="E69" s="14"/>
      <c r="F69" s="14"/>
      <c r="G69" s="14"/>
      <c r="H69" s="14"/>
      <c r="I69" s="14"/>
      <c r="K69" s="15" t="s">
        <v>147</v>
      </c>
      <c r="L69" s="16">
        <v>29.0</v>
      </c>
    </row>
    <row r="70" ht="15.75" customHeight="1">
      <c r="A70" s="13" t="s">
        <v>148</v>
      </c>
      <c r="B70" s="13" t="s">
        <v>60</v>
      </c>
      <c r="C70" s="14">
        <v>3.0</v>
      </c>
      <c r="D70" s="14">
        <v>2.0</v>
      </c>
      <c r="E70" s="14">
        <v>1.0</v>
      </c>
      <c r="F70" s="14"/>
      <c r="G70" s="14">
        <v>2.0</v>
      </c>
      <c r="H70" s="14">
        <v>2.0</v>
      </c>
      <c r="I70" s="14">
        <v>2.0</v>
      </c>
      <c r="K70" s="15" t="s">
        <v>149</v>
      </c>
      <c r="L70" s="16">
        <v>16.0</v>
      </c>
    </row>
    <row r="71" ht="15.75" customHeight="1">
      <c r="A71" s="13" t="s">
        <v>150</v>
      </c>
      <c r="B71" s="13" t="s">
        <v>147</v>
      </c>
      <c r="C71" s="14">
        <v>23.0</v>
      </c>
      <c r="D71" s="14">
        <v>21.0</v>
      </c>
      <c r="E71" s="14">
        <v>25.0</v>
      </c>
      <c r="F71" s="14">
        <v>17.0</v>
      </c>
      <c r="G71" s="14">
        <v>16.0</v>
      </c>
      <c r="H71" s="14">
        <v>19.0</v>
      </c>
      <c r="I71" s="14">
        <v>24.0</v>
      </c>
      <c r="K71" s="15" t="s">
        <v>151</v>
      </c>
      <c r="L71" s="16">
        <v>20.0</v>
      </c>
    </row>
    <row r="72" ht="15.75" customHeight="1">
      <c r="A72" s="13" t="s">
        <v>152</v>
      </c>
      <c r="B72" s="13" t="s">
        <v>153</v>
      </c>
      <c r="C72" s="14"/>
      <c r="D72" s="14"/>
      <c r="E72" s="14"/>
      <c r="F72" s="14"/>
      <c r="G72" s="14"/>
      <c r="H72" s="14"/>
      <c r="I72" s="14">
        <v>1.0</v>
      </c>
      <c r="K72" s="15" t="s">
        <v>154</v>
      </c>
      <c r="L72" s="16">
        <v>13.0</v>
      </c>
    </row>
    <row r="73" ht="15.75" customHeight="1">
      <c r="A73" s="13" t="s">
        <v>155</v>
      </c>
      <c r="B73" s="13" t="s">
        <v>156</v>
      </c>
      <c r="C73" s="14">
        <v>2.0</v>
      </c>
      <c r="D73" s="14"/>
      <c r="E73" s="14"/>
      <c r="F73" s="14"/>
      <c r="G73" s="14">
        <v>1.0</v>
      </c>
      <c r="H73" s="14"/>
      <c r="I73" s="14">
        <v>1.0</v>
      </c>
      <c r="K73" s="15" t="s">
        <v>157</v>
      </c>
      <c r="L73" s="16">
        <v>9.0</v>
      </c>
    </row>
    <row r="74" ht="15.75" customHeight="1">
      <c r="A74" s="13" t="s">
        <v>158</v>
      </c>
      <c r="B74" s="13" t="s">
        <v>159</v>
      </c>
      <c r="C74" s="14"/>
      <c r="D74" s="14"/>
      <c r="E74" s="14"/>
      <c r="F74" s="14"/>
      <c r="G74" s="14">
        <v>1.0</v>
      </c>
      <c r="H74" s="14"/>
      <c r="I74" s="14"/>
      <c r="K74" s="15" t="s">
        <v>160</v>
      </c>
      <c r="L74" s="16">
        <v>6.0</v>
      </c>
    </row>
    <row r="75" ht="15.75" customHeight="1">
      <c r="A75" s="13" t="s">
        <v>161</v>
      </c>
      <c r="B75" s="13" t="s">
        <v>162</v>
      </c>
      <c r="C75" s="14">
        <v>6.0</v>
      </c>
      <c r="D75" s="14">
        <v>2.0</v>
      </c>
      <c r="E75" s="14">
        <v>1.0</v>
      </c>
      <c r="F75" s="14">
        <v>2.0</v>
      </c>
      <c r="G75" s="14">
        <v>1.0</v>
      </c>
      <c r="H75" s="14"/>
      <c r="I75" s="14">
        <v>2.0</v>
      </c>
      <c r="K75" s="15" t="s">
        <v>163</v>
      </c>
      <c r="L75" s="16">
        <v>9.0</v>
      </c>
    </row>
    <row r="76" ht="15.75" customHeight="1">
      <c r="A76" s="13" t="s">
        <v>164</v>
      </c>
      <c r="B76" s="13" t="s">
        <v>165</v>
      </c>
      <c r="C76" s="14">
        <v>1.0</v>
      </c>
      <c r="D76" s="14"/>
      <c r="E76" s="14"/>
      <c r="F76" s="14"/>
      <c r="G76" s="14">
        <v>1.0</v>
      </c>
      <c r="H76" s="14">
        <v>2.0</v>
      </c>
      <c r="I76" s="14"/>
      <c r="K76" s="15" t="s">
        <v>166</v>
      </c>
      <c r="L76" s="16">
        <v>3.0</v>
      </c>
    </row>
    <row r="77" ht="15.75" customHeight="1">
      <c r="A77" s="13" t="s">
        <v>167</v>
      </c>
      <c r="B77" s="13" t="s">
        <v>168</v>
      </c>
      <c r="C77" s="14">
        <v>1.0</v>
      </c>
      <c r="D77" s="14"/>
      <c r="E77" s="14"/>
      <c r="F77" s="14"/>
      <c r="G77" s="14">
        <v>2.0</v>
      </c>
      <c r="H77" s="14"/>
      <c r="I77" s="14"/>
      <c r="K77" s="15" t="s">
        <v>169</v>
      </c>
      <c r="L77" s="16">
        <v>8.0</v>
      </c>
    </row>
    <row r="78" ht="15.75" customHeight="1">
      <c r="A78" s="13" t="s">
        <v>170</v>
      </c>
      <c r="B78" s="13" t="s">
        <v>171</v>
      </c>
      <c r="C78" s="14">
        <v>1.0</v>
      </c>
      <c r="D78" s="14"/>
      <c r="E78" s="14"/>
      <c r="F78" s="14"/>
      <c r="G78" s="14"/>
      <c r="H78" s="14"/>
      <c r="I78" s="14"/>
      <c r="K78" s="15" t="s">
        <v>172</v>
      </c>
      <c r="L78" s="16">
        <v>0.0</v>
      </c>
    </row>
    <row r="79" ht="15.75" customHeight="1">
      <c r="A79" s="13" t="s">
        <v>173</v>
      </c>
      <c r="B79" s="13" t="s">
        <v>174</v>
      </c>
      <c r="C79" s="14"/>
      <c r="D79" s="14"/>
      <c r="E79" s="14"/>
      <c r="F79" s="14"/>
      <c r="G79" s="14"/>
      <c r="H79" s="14">
        <v>1.0</v>
      </c>
      <c r="I79" s="14"/>
      <c r="K79" s="15" t="s">
        <v>175</v>
      </c>
      <c r="L79" s="16">
        <v>3.0</v>
      </c>
    </row>
    <row r="80" ht="15.75" customHeight="1">
      <c r="A80" s="13" t="s">
        <v>176</v>
      </c>
      <c r="B80" s="13" t="s">
        <v>177</v>
      </c>
      <c r="C80" s="14">
        <v>6.0</v>
      </c>
      <c r="D80" s="14">
        <v>3.0</v>
      </c>
      <c r="E80" s="14">
        <v>2.0</v>
      </c>
      <c r="F80" s="14">
        <v>2.0</v>
      </c>
      <c r="G80" s="14">
        <v>3.0</v>
      </c>
      <c r="H80" s="14">
        <v>1.0</v>
      </c>
      <c r="I80" s="14"/>
      <c r="K80" s="15" t="s">
        <v>178</v>
      </c>
      <c r="L80" s="16">
        <v>1.0</v>
      </c>
    </row>
    <row r="81" ht="15.75" customHeight="1">
      <c r="A81" s="13" t="s">
        <v>179</v>
      </c>
      <c r="B81" s="13" t="s">
        <v>180</v>
      </c>
      <c r="C81" s="14"/>
      <c r="D81" s="14"/>
      <c r="E81" s="14"/>
      <c r="F81" s="14">
        <v>1.0</v>
      </c>
      <c r="G81" s="14">
        <v>3.0</v>
      </c>
      <c r="H81" s="14"/>
      <c r="I81" s="14"/>
      <c r="K81" s="15" t="s">
        <v>181</v>
      </c>
      <c r="L81" s="16">
        <v>0.0</v>
      </c>
    </row>
    <row r="82" ht="15.75" customHeight="1">
      <c r="A82" s="13" t="s">
        <v>182</v>
      </c>
      <c r="B82" s="13" t="s">
        <v>183</v>
      </c>
      <c r="C82" s="14"/>
      <c r="D82" s="14"/>
      <c r="E82" s="14">
        <v>1.0</v>
      </c>
      <c r="F82" s="14">
        <v>1.0</v>
      </c>
      <c r="G82" s="14"/>
      <c r="H82" s="14"/>
      <c r="I82" s="14">
        <v>2.0</v>
      </c>
      <c r="K82" s="15" t="s">
        <v>177</v>
      </c>
      <c r="L82" s="16">
        <v>1.0</v>
      </c>
    </row>
    <row r="83" ht="15.75" customHeight="1">
      <c r="A83" s="13" t="s">
        <v>184</v>
      </c>
      <c r="B83" s="13" t="s">
        <v>160</v>
      </c>
      <c r="C83" s="14">
        <v>19.0</v>
      </c>
      <c r="D83" s="14">
        <v>16.0</v>
      </c>
      <c r="E83" s="14">
        <v>9.0</v>
      </c>
      <c r="F83" s="14">
        <v>13.0</v>
      </c>
      <c r="G83" s="14">
        <v>8.0</v>
      </c>
      <c r="H83" s="14">
        <v>6.0</v>
      </c>
      <c r="I83" s="14">
        <v>10.0</v>
      </c>
      <c r="K83" s="15" t="s">
        <v>185</v>
      </c>
      <c r="L83" s="16">
        <v>1.0</v>
      </c>
    </row>
    <row r="84" ht="15.75" customHeight="1">
      <c r="A84" s="13" t="s">
        <v>186</v>
      </c>
      <c r="B84" s="13" t="s">
        <v>163</v>
      </c>
      <c r="C84" s="14">
        <v>9.0</v>
      </c>
      <c r="D84" s="14">
        <v>2.0</v>
      </c>
      <c r="E84" s="14">
        <v>6.0</v>
      </c>
      <c r="F84" s="14">
        <v>6.0</v>
      </c>
      <c r="G84" s="14">
        <v>4.0</v>
      </c>
      <c r="H84" s="14">
        <v>6.0</v>
      </c>
      <c r="I84" s="14">
        <v>2.0</v>
      </c>
      <c r="K84" s="15" t="s">
        <v>180</v>
      </c>
      <c r="L84" s="16">
        <v>0.0</v>
      </c>
    </row>
    <row r="85" ht="15.75" customHeight="1">
      <c r="A85" s="13" t="s">
        <v>187</v>
      </c>
      <c r="B85" s="13" t="s">
        <v>169</v>
      </c>
      <c r="C85" s="14">
        <v>7.0</v>
      </c>
      <c r="D85" s="14">
        <v>4.0</v>
      </c>
      <c r="E85" s="14">
        <v>3.0</v>
      </c>
      <c r="F85" s="14">
        <v>5.0</v>
      </c>
      <c r="G85" s="14"/>
      <c r="H85" s="14">
        <v>4.0</v>
      </c>
      <c r="I85" s="14">
        <v>1.0</v>
      </c>
      <c r="K85" s="15" t="s">
        <v>165</v>
      </c>
      <c r="L85" s="16">
        <v>1.0</v>
      </c>
    </row>
    <row r="86" ht="15.75" customHeight="1">
      <c r="A86" s="13" t="s">
        <v>188</v>
      </c>
      <c r="B86" s="13" t="s">
        <v>181</v>
      </c>
      <c r="C86" s="14">
        <v>6.0</v>
      </c>
      <c r="D86" s="14">
        <v>3.0</v>
      </c>
      <c r="E86" s="14">
        <v>4.0</v>
      </c>
      <c r="F86" s="14">
        <v>5.0</v>
      </c>
      <c r="G86" s="14">
        <v>2.0</v>
      </c>
      <c r="H86" s="14">
        <v>1.0</v>
      </c>
      <c r="I86" s="14">
        <v>3.0</v>
      </c>
      <c r="K86" s="15" t="s">
        <v>189</v>
      </c>
      <c r="L86" s="16">
        <v>0.0</v>
      </c>
    </row>
    <row r="87" ht="15.75" customHeight="1">
      <c r="A87" s="13" t="s">
        <v>190</v>
      </c>
      <c r="B87" s="13" t="s">
        <v>175</v>
      </c>
      <c r="C87" s="14">
        <v>3.0</v>
      </c>
      <c r="D87" s="14">
        <v>3.0</v>
      </c>
      <c r="E87" s="14">
        <v>5.0</v>
      </c>
      <c r="F87" s="14"/>
      <c r="G87" s="14">
        <v>2.0</v>
      </c>
      <c r="H87" s="14">
        <v>2.0</v>
      </c>
      <c r="I87" s="14">
        <v>4.0</v>
      </c>
      <c r="K87" s="15" t="s">
        <v>156</v>
      </c>
      <c r="L87" s="16">
        <v>2.0</v>
      </c>
    </row>
    <row r="88" ht="15.75" customHeight="1">
      <c r="A88" s="13" t="s">
        <v>191</v>
      </c>
      <c r="B88" s="13" t="s">
        <v>151</v>
      </c>
      <c r="C88" s="14">
        <v>16.0</v>
      </c>
      <c r="D88" s="14">
        <v>15.0</v>
      </c>
      <c r="E88" s="14">
        <v>14.0</v>
      </c>
      <c r="F88" s="14">
        <v>4.0</v>
      </c>
      <c r="G88" s="14">
        <v>7.0</v>
      </c>
      <c r="H88" s="14">
        <v>10.0</v>
      </c>
      <c r="I88" s="14">
        <v>12.0</v>
      </c>
      <c r="K88" s="15" t="s">
        <v>162</v>
      </c>
      <c r="L88" s="16">
        <v>0.0</v>
      </c>
    </row>
    <row r="89" ht="15.75" customHeight="1">
      <c r="A89" s="13" t="s">
        <v>192</v>
      </c>
      <c r="B89" s="13" t="s">
        <v>189</v>
      </c>
      <c r="C89" s="14"/>
      <c r="D89" s="14">
        <v>1.0</v>
      </c>
      <c r="E89" s="14">
        <v>1.0</v>
      </c>
      <c r="F89" s="14">
        <v>2.0</v>
      </c>
      <c r="G89" s="14">
        <v>2.0</v>
      </c>
      <c r="H89" s="14">
        <v>2.0</v>
      </c>
      <c r="I89" s="14"/>
      <c r="K89" s="15" t="s">
        <v>168</v>
      </c>
      <c r="L89" s="16">
        <v>1.0</v>
      </c>
    </row>
    <row r="90" ht="15.75" customHeight="1">
      <c r="A90" s="13" t="s">
        <v>193</v>
      </c>
      <c r="B90" s="13" t="s">
        <v>157</v>
      </c>
      <c r="C90" s="14">
        <v>4.0</v>
      </c>
      <c r="D90" s="14">
        <v>2.0</v>
      </c>
      <c r="E90" s="14">
        <v>8.0</v>
      </c>
      <c r="F90" s="14">
        <v>5.0</v>
      </c>
      <c r="G90" s="14">
        <v>8.0</v>
      </c>
      <c r="H90" s="14">
        <v>11.0</v>
      </c>
      <c r="I90" s="14">
        <v>4.0</v>
      </c>
      <c r="K90" s="15" t="s">
        <v>194</v>
      </c>
      <c r="L90" s="16">
        <v>0.0</v>
      </c>
    </row>
    <row r="91" ht="15.75" customHeight="1">
      <c r="A91" s="13" t="s">
        <v>195</v>
      </c>
      <c r="B91" s="13" t="s">
        <v>196</v>
      </c>
      <c r="C91" s="14"/>
      <c r="D91" s="14"/>
      <c r="E91" s="14"/>
      <c r="F91" s="14"/>
      <c r="G91" s="14">
        <v>1.0</v>
      </c>
      <c r="H91" s="14"/>
      <c r="I91" s="14"/>
      <c r="K91" s="15" t="s">
        <v>197</v>
      </c>
      <c r="L91" s="16">
        <v>0.0</v>
      </c>
    </row>
    <row r="92" ht="15.75" customHeight="1">
      <c r="A92" s="13" t="s">
        <v>198</v>
      </c>
      <c r="B92" s="13" t="s">
        <v>172</v>
      </c>
      <c r="C92" s="14">
        <v>1.0</v>
      </c>
      <c r="D92" s="14">
        <v>1.0</v>
      </c>
      <c r="E92" s="14">
        <v>1.0</v>
      </c>
      <c r="F92" s="14"/>
      <c r="G92" s="14">
        <v>1.0</v>
      </c>
      <c r="H92" s="14">
        <v>4.0</v>
      </c>
      <c r="I92" s="14">
        <v>1.0</v>
      </c>
      <c r="K92" s="15" t="s">
        <v>159</v>
      </c>
      <c r="L92" s="16">
        <v>1.0</v>
      </c>
    </row>
    <row r="93" ht="15.75" customHeight="1">
      <c r="A93" s="13" t="s">
        <v>199</v>
      </c>
      <c r="B93" s="13" t="s">
        <v>149</v>
      </c>
      <c r="C93" s="14">
        <v>8.0</v>
      </c>
      <c r="D93" s="14">
        <v>7.0</v>
      </c>
      <c r="E93" s="14">
        <v>8.0</v>
      </c>
      <c r="F93" s="14">
        <v>10.0</v>
      </c>
      <c r="G93" s="14">
        <v>4.0</v>
      </c>
      <c r="H93" s="14">
        <v>13.0</v>
      </c>
      <c r="I93" s="14">
        <v>43.0</v>
      </c>
      <c r="K93" s="15" t="s">
        <v>174</v>
      </c>
      <c r="L93" s="16">
        <v>1.0</v>
      </c>
    </row>
    <row r="94" ht="15.75" customHeight="1">
      <c r="A94" s="13" t="s">
        <v>200</v>
      </c>
      <c r="B94" s="13" t="s">
        <v>154</v>
      </c>
      <c r="C94" s="14"/>
      <c r="D94" s="14">
        <v>1.0</v>
      </c>
      <c r="E94" s="14">
        <v>3.0</v>
      </c>
      <c r="F94" s="14">
        <v>9.0</v>
      </c>
      <c r="G94" s="14"/>
      <c r="H94" s="14">
        <v>10.0</v>
      </c>
      <c r="I94" s="14">
        <v>26.0</v>
      </c>
      <c r="K94" s="15" t="s">
        <v>183</v>
      </c>
      <c r="L94" s="16">
        <v>0.0</v>
      </c>
    </row>
    <row r="95" ht="15.75" customHeight="1">
      <c r="A95" s="13" t="s">
        <v>201</v>
      </c>
      <c r="B95" s="13" t="s">
        <v>166</v>
      </c>
      <c r="C95" s="14">
        <v>2.0</v>
      </c>
      <c r="D95" s="14">
        <v>1.0</v>
      </c>
      <c r="E95" s="14">
        <v>3.0</v>
      </c>
      <c r="F95" s="14">
        <v>1.0</v>
      </c>
      <c r="G95" s="14">
        <v>2.0</v>
      </c>
      <c r="H95" s="14">
        <v>6.0</v>
      </c>
      <c r="I95" s="14">
        <v>1.0</v>
      </c>
      <c r="K95" s="15" t="s">
        <v>196</v>
      </c>
      <c r="L95" s="16">
        <v>1.0</v>
      </c>
    </row>
    <row r="96" ht="15.75" customHeight="1">
      <c r="A96" s="13" t="s">
        <v>202</v>
      </c>
      <c r="B96" s="13" t="s">
        <v>197</v>
      </c>
      <c r="C96" s="14">
        <v>1.0</v>
      </c>
      <c r="D96" s="14"/>
      <c r="E96" s="14"/>
      <c r="F96" s="14">
        <v>1.0</v>
      </c>
      <c r="G96" s="14">
        <v>1.0</v>
      </c>
      <c r="H96" s="14"/>
      <c r="I96" s="14"/>
      <c r="K96" s="15" t="s">
        <v>203</v>
      </c>
      <c r="L96" s="16">
        <v>0.0</v>
      </c>
    </row>
    <row r="97" ht="15.75" customHeight="1">
      <c r="A97" s="13" t="s">
        <v>204</v>
      </c>
      <c r="B97" s="13" t="s">
        <v>194</v>
      </c>
      <c r="C97" s="14"/>
      <c r="D97" s="14"/>
      <c r="E97" s="14"/>
      <c r="F97" s="14"/>
      <c r="G97" s="14"/>
      <c r="H97" s="14">
        <v>2.0</v>
      </c>
      <c r="I97" s="14"/>
      <c r="K97" s="15" t="s">
        <v>205</v>
      </c>
      <c r="L97" s="16">
        <v>1.0</v>
      </c>
    </row>
    <row r="98" ht="15.75" customHeight="1">
      <c r="A98" s="13" t="s">
        <v>206</v>
      </c>
      <c r="B98" s="13" t="s">
        <v>178</v>
      </c>
      <c r="C98" s="14">
        <v>3.0</v>
      </c>
      <c r="D98" s="14"/>
      <c r="E98" s="14"/>
      <c r="F98" s="14"/>
      <c r="G98" s="14">
        <v>2.0</v>
      </c>
      <c r="H98" s="14">
        <v>1.0</v>
      </c>
      <c r="I98" s="14">
        <v>3.0</v>
      </c>
      <c r="K98" s="15" t="s">
        <v>153</v>
      </c>
      <c r="L98" s="16">
        <v>0.0</v>
      </c>
    </row>
    <row r="99" ht="15.75" customHeight="1">
      <c r="A99" s="13" t="s">
        <v>207</v>
      </c>
      <c r="B99" s="13" t="s">
        <v>185</v>
      </c>
      <c r="C99" s="14">
        <v>1.0</v>
      </c>
      <c r="D99" s="14">
        <v>3.0</v>
      </c>
      <c r="E99" s="14">
        <v>2.0</v>
      </c>
      <c r="F99" s="14">
        <v>1.0</v>
      </c>
      <c r="G99" s="14"/>
      <c r="H99" s="14">
        <v>2.0</v>
      </c>
      <c r="I99" s="14"/>
      <c r="K99" s="12" t="s">
        <v>208</v>
      </c>
      <c r="L99" s="12">
        <v>30.0</v>
      </c>
    </row>
    <row r="100" ht="15.75" customHeight="1">
      <c r="A100" s="13" t="s">
        <v>209</v>
      </c>
      <c r="B100" s="13" t="s">
        <v>210</v>
      </c>
      <c r="C100" s="14">
        <v>51.0</v>
      </c>
      <c r="D100" s="14">
        <v>87.0</v>
      </c>
      <c r="E100" s="14">
        <v>19.0</v>
      </c>
      <c r="F100" s="14">
        <v>21.0</v>
      </c>
      <c r="G100" s="14">
        <v>15.0</v>
      </c>
      <c r="H100" s="14">
        <v>12.0</v>
      </c>
      <c r="I100" s="14">
        <v>13.0</v>
      </c>
      <c r="K100" s="15" t="s">
        <v>210</v>
      </c>
      <c r="L100" s="16">
        <v>21.0</v>
      </c>
    </row>
    <row r="101" ht="15.75" customHeight="1">
      <c r="A101" s="13" t="s">
        <v>211</v>
      </c>
      <c r="B101" s="13" t="s">
        <v>212</v>
      </c>
      <c r="C101" s="14">
        <v>1.0</v>
      </c>
      <c r="D101" s="14"/>
      <c r="E101" s="14">
        <v>7.0</v>
      </c>
      <c r="F101" s="14">
        <v>2.0</v>
      </c>
      <c r="G101" s="14"/>
      <c r="H101" s="14"/>
      <c r="I101" s="14">
        <v>1.0</v>
      </c>
      <c r="K101" s="15" t="s">
        <v>213</v>
      </c>
      <c r="L101" s="16">
        <v>3.0</v>
      </c>
    </row>
    <row r="102" ht="15.75" customHeight="1">
      <c r="A102" s="13" t="s">
        <v>214</v>
      </c>
      <c r="B102" s="13" t="s">
        <v>215</v>
      </c>
      <c r="C102" s="14">
        <v>1.0</v>
      </c>
      <c r="D102" s="14">
        <v>2.0</v>
      </c>
      <c r="E102" s="14">
        <v>2.0</v>
      </c>
      <c r="F102" s="14"/>
      <c r="G102" s="14">
        <v>1.0</v>
      </c>
      <c r="H102" s="14"/>
      <c r="I102" s="14">
        <v>1.0</v>
      </c>
      <c r="K102" s="15" t="s">
        <v>215</v>
      </c>
      <c r="L102" s="16">
        <v>2.0</v>
      </c>
    </row>
    <row r="103" ht="15.75" customHeight="1">
      <c r="A103" s="13" t="s">
        <v>216</v>
      </c>
      <c r="B103" s="13" t="s">
        <v>217</v>
      </c>
      <c r="C103" s="14"/>
      <c r="D103" s="14"/>
      <c r="E103" s="14"/>
      <c r="F103" s="14"/>
      <c r="G103" s="14"/>
      <c r="H103" s="14"/>
      <c r="I103" s="14">
        <v>1.0</v>
      </c>
      <c r="K103" s="15" t="s">
        <v>218</v>
      </c>
      <c r="L103" s="16">
        <v>1.0</v>
      </c>
    </row>
    <row r="104" ht="15.75" customHeight="1">
      <c r="A104" s="13" t="s">
        <v>219</v>
      </c>
      <c r="B104" s="13" t="s">
        <v>220</v>
      </c>
      <c r="C104" s="14"/>
      <c r="D104" s="14"/>
      <c r="E104" s="14">
        <v>1.0</v>
      </c>
      <c r="F104" s="14"/>
      <c r="G104" s="14"/>
      <c r="H104" s="14"/>
      <c r="I104" s="14">
        <v>1.0</v>
      </c>
      <c r="K104" s="15" t="s">
        <v>221</v>
      </c>
      <c r="L104" s="16">
        <v>0.0</v>
      </c>
    </row>
    <row r="105" ht="15.75" customHeight="1">
      <c r="A105" s="13" t="s">
        <v>222</v>
      </c>
      <c r="B105" s="13" t="s">
        <v>223</v>
      </c>
      <c r="C105" s="14"/>
      <c r="D105" s="14"/>
      <c r="E105" s="14"/>
      <c r="F105" s="14"/>
      <c r="G105" s="14"/>
      <c r="H105" s="14"/>
      <c r="I105" s="14">
        <v>1.0</v>
      </c>
      <c r="K105" s="15" t="s">
        <v>212</v>
      </c>
      <c r="L105" s="16">
        <v>0.0</v>
      </c>
    </row>
    <row r="106" ht="15.75" customHeight="1">
      <c r="A106" s="13" t="s">
        <v>224</v>
      </c>
      <c r="B106" s="13" t="s">
        <v>213</v>
      </c>
      <c r="C106" s="14">
        <v>2.0</v>
      </c>
      <c r="D106" s="14">
        <v>13.0</v>
      </c>
      <c r="E106" s="14">
        <v>1.0</v>
      </c>
      <c r="F106" s="14">
        <v>2.0</v>
      </c>
      <c r="G106" s="14">
        <v>1.0</v>
      </c>
      <c r="H106" s="14">
        <v>3.0</v>
      </c>
      <c r="I106" s="14">
        <v>1.0</v>
      </c>
      <c r="K106" s="15" t="s">
        <v>225</v>
      </c>
      <c r="L106" s="16">
        <v>0.0</v>
      </c>
    </row>
    <row r="107" ht="15.75" customHeight="1">
      <c r="A107" s="13" t="s">
        <v>226</v>
      </c>
      <c r="B107" s="13" t="s">
        <v>227</v>
      </c>
      <c r="C107" s="14"/>
      <c r="D107" s="14"/>
      <c r="E107" s="14">
        <v>1.0</v>
      </c>
      <c r="F107" s="14"/>
      <c r="G107" s="14">
        <v>1.0</v>
      </c>
      <c r="H107" s="14"/>
      <c r="I107" s="14"/>
      <c r="K107" s="15" t="s">
        <v>228</v>
      </c>
      <c r="L107" s="16">
        <v>0.0</v>
      </c>
    </row>
    <row r="108" ht="15.75" customHeight="1">
      <c r="A108" s="13" t="s">
        <v>229</v>
      </c>
      <c r="B108" s="13" t="s">
        <v>221</v>
      </c>
      <c r="C108" s="14"/>
      <c r="D108" s="14"/>
      <c r="E108" s="14"/>
      <c r="F108" s="14"/>
      <c r="G108" s="14"/>
      <c r="H108" s="14"/>
      <c r="I108" s="14">
        <v>2.0</v>
      </c>
      <c r="K108" s="15" t="s">
        <v>230</v>
      </c>
      <c r="L108" s="16">
        <v>1.0</v>
      </c>
    </row>
    <row r="109" ht="15.75" customHeight="1">
      <c r="A109" s="13" t="s">
        <v>231</v>
      </c>
      <c r="B109" s="13" t="s">
        <v>218</v>
      </c>
      <c r="C109" s="14"/>
      <c r="D109" s="14">
        <v>1.0</v>
      </c>
      <c r="E109" s="14"/>
      <c r="F109" s="14">
        <v>1.0</v>
      </c>
      <c r="G109" s="14">
        <v>3.0</v>
      </c>
      <c r="H109" s="14"/>
      <c r="I109" s="14">
        <v>1.0</v>
      </c>
      <c r="K109" s="15" t="s">
        <v>227</v>
      </c>
      <c r="L109" s="16">
        <v>0.0</v>
      </c>
    </row>
    <row r="110" ht="15.75" customHeight="1">
      <c r="A110" s="13" t="s">
        <v>232</v>
      </c>
      <c r="B110" s="13" t="s">
        <v>225</v>
      </c>
      <c r="C110" s="14"/>
      <c r="D110" s="14">
        <v>1.0</v>
      </c>
      <c r="E110" s="14"/>
      <c r="F110" s="14"/>
      <c r="G110" s="14"/>
      <c r="H110" s="14">
        <v>1.0</v>
      </c>
      <c r="I110" s="14"/>
      <c r="K110" s="15" t="s">
        <v>223</v>
      </c>
      <c r="L110" s="16">
        <v>0.0</v>
      </c>
    </row>
    <row r="111" ht="15.75" customHeight="1">
      <c r="A111" s="13" t="s">
        <v>233</v>
      </c>
      <c r="B111" s="13" t="s">
        <v>234</v>
      </c>
      <c r="C111" s="14"/>
      <c r="D111" s="14"/>
      <c r="E111" s="14"/>
      <c r="F111" s="14"/>
      <c r="G111" s="14"/>
      <c r="H111" s="14">
        <v>1.0</v>
      </c>
      <c r="I111" s="14"/>
      <c r="K111" s="15" t="s">
        <v>235</v>
      </c>
      <c r="L111" s="16">
        <v>0.0</v>
      </c>
    </row>
    <row r="112" ht="15.75" customHeight="1">
      <c r="A112" s="13" t="s">
        <v>236</v>
      </c>
      <c r="B112" s="13" t="s">
        <v>237</v>
      </c>
      <c r="C112" s="14"/>
      <c r="D112" s="14"/>
      <c r="E112" s="14"/>
      <c r="F112" s="14">
        <v>1.0</v>
      </c>
      <c r="G112" s="14"/>
      <c r="H112" s="14"/>
      <c r="I112" s="14"/>
      <c r="K112" s="15" t="s">
        <v>238</v>
      </c>
      <c r="L112" s="16">
        <v>1.0</v>
      </c>
    </row>
    <row r="113" ht="15.75" customHeight="1">
      <c r="A113" s="13" t="s">
        <v>239</v>
      </c>
      <c r="B113" s="13" t="s">
        <v>230</v>
      </c>
      <c r="C113" s="14"/>
      <c r="D113" s="14"/>
      <c r="E113" s="14"/>
      <c r="F113" s="14"/>
      <c r="G113" s="14">
        <v>1.0</v>
      </c>
      <c r="H113" s="14"/>
      <c r="I113" s="14"/>
      <c r="K113" s="15" t="s">
        <v>240</v>
      </c>
      <c r="L113" s="16">
        <v>0.0</v>
      </c>
    </row>
    <row r="114" ht="15.75" customHeight="1">
      <c r="A114" s="13" t="s">
        <v>241</v>
      </c>
      <c r="B114" s="13" t="s">
        <v>240</v>
      </c>
      <c r="C114" s="14"/>
      <c r="D114" s="14"/>
      <c r="E114" s="14"/>
      <c r="F114" s="14"/>
      <c r="G114" s="14">
        <v>1.0</v>
      </c>
      <c r="H114" s="14"/>
      <c r="I114" s="14"/>
      <c r="K114" s="15" t="s">
        <v>217</v>
      </c>
      <c r="L114" s="16">
        <v>0.0</v>
      </c>
    </row>
    <row r="115" ht="15.75" customHeight="1">
      <c r="A115" s="13" t="s">
        <v>242</v>
      </c>
      <c r="B115" s="13" t="s">
        <v>235</v>
      </c>
      <c r="C115" s="14"/>
      <c r="D115" s="14"/>
      <c r="E115" s="14">
        <v>1.0</v>
      </c>
      <c r="F115" s="14"/>
      <c r="G115" s="14"/>
      <c r="H115" s="14"/>
      <c r="I115" s="14"/>
      <c r="K115" s="15" t="s">
        <v>234</v>
      </c>
      <c r="L115" s="16">
        <v>0.0</v>
      </c>
    </row>
    <row r="116" ht="15.75" customHeight="1">
      <c r="A116" s="13" t="s">
        <v>243</v>
      </c>
      <c r="B116" s="13" t="s">
        <v>244</v>
      </c>
      <c r="C116" s="14">
        <v>6.0</v>
      </c>
      <c r="D116" s="14">
        <v>19.0</v>
      </c>
      <c r="E116" s="14">
        <v>12.0</v>
      </c>
      <c r="F116" s="14">
        <v>13.0</v>
      </c>
      <c r="G116" s="14">
        <v>10.0</v>
      </c>
      <c r="H116" s="14">
        <v>12.0</v>
      </c>
      <c r="I116" s="14">
        <v>7.0</v>
      </c>
      <c r="K116" s="15" t="s">
        <v>220</v>
      </c>
      <c r="L116" s="16">
        <v>0.0</v>
      </c>
    </row>
    <row r="117" ht="15.75" customHeight="1">
      <c r="A117" s="13" t="s">
        <v>245</v>
      </c>
      <c r="B117" s="13" t="s">
        <v>246</v>
      </c>
      <c r="C117" s="14"/>
      <c r="D117" s="14"/>
      <c r="E117" s="14"/>
      <c r="F117" s="14"/>
      <c r="G117" s="14"/>
      <c r="H117" s="14">
        <v>1.0</v>
      </c>
      <c r="I117" s="14"/>
      <c r="K117" s="15" t="s">
        <v>247</v>
      </c>
      <c r="L117" s="16">
        <v>1.0</v>
      </c>
    </row>
    <row r="118" ht="15.75" customHeight="1">
      <c r="A118" s="13" t="s">
        <v>248</v>
      </c>
      <c r="B118" s="13" t="s">
        <v>249</v>
      </c>
      <c r="C118" s="14"/>
      <c r="D118" s="14"/>
      <c r="E118" s="14"/>
      <c r="F118" s="14">
        <v>3.0</v>
      </c>
      <c r="G118" s="14">
        <v>4.0</v>
      </c>
      <c r="H118" s="14">
        <v>3.0</v>
      </c>
      <c r="I118" s="14">
        <v>1.0</v>
      </c>
      <c r="K118" s="12" t="s">
        <v>250</v>
      </c>
      <c r="L118" s="12">
        <v>15.0</v>
      </c>
    </row>
    <row r="119" ht="15.75" customHeight="1">
      <c r="A119" s="13" t="s">
        <v>251</v>
      </c>
      <c r="B119" s="13" t="s">
        <v>252</v>
      </c>
      <c r="C119" s="14">
        <v>2.0</v>
      </c>
      <c r="D119" s="14">
        <v>3.0</v>
      </c>
      <c r="E119" s="14">
        <v>4.0</v>
      </c>
      <c r="F119" s="14"/>
      <c r="G119" s="14">
        <v>2.0</v>
      </c>
      <c r="H119" s="14">
        <v>1.0</v>
      </c>
      <c r="I119" s="14">
        <v>9.0</v>
      </c>
      <c r="K119" s="15" t="s">
        <v>244</v>
      </c>
      <c r="L119" s="16">
        <v>5.0</v>
      </c>
    </row>
    <row r="120" ht="15.75" customHeight="1">
      <c r="A120" s="13" t="s">
        <v>253</v>
      </c>
      <c r="B120" s="13" t="s">
        <v>254</v>
      </c>
      <c r="C120" s="14"/>
      <c r="D120" s="14"/>
      <c r="E120" s="14"/>
      <c r="F120" s="14">
        <v>1.0</v>
      </c>
      <c r="G120" s="14"/>
      <c r="H120" s="14">
        <v>1.0</v>
      </c>
      <c r="I120" s="14"/>
      <c r="K120" s="15" t="s">
        <v>252</v>
      </c>
      <c r="L120" s="16">
        <v>0.0</v>
      </c>
    </row>
    <row r="121" ht="15.75" customHeight="1">
      <c r="A121" s="13" t="s">
        <v>255</v>
      </c>
      <c r="B121" s="13" t="s">
        <v>256</v>
      </c>
      <c r="C121" s="14"/>
      <c r="D121" s="14"/>
      <c r="E121" s="14"/>
      <c r="F121" s="14">
        <v>1.0</v>
      </c>
      <c r="G121" s="14"/>
      <c r="H121" s="14"/>
      <c r="I121" s="14"/>
      <c r="K121" s="15" t="s">
        <v>257</v>
      </c>
      <c r="L121" s="16">
        <v>0.0</v>
      </c>
    </row>
    <row r="122" ht="15.75" customHeight="1">
      <c r="A122" s="13" t="s">
        <v>258</v>
      </c>
      <c r="B122" s="13" t="s">
        <v>259</v>
      </c>
      <c r="C122" s="14"/>
      <c r="D122" s="14"/>
      <c r="E122" s="14"/>
      <c r="F122" s="14"/>
      <c r="G122" s="14">
        <v>1.0</v>
      </c>
      <c r="H122" s="14">
        <v>1.0</v>
      </c>
      <c r="I122" s="14">
        <v>1.0</v>
      </c>
      <c r="K122" s="15" t="s">
        <v>260</v>
      </c>
      <c r="L122" s="16">
        <v>3.0</v>
      </c>
    </row>
    <row r="123" ht="15.75" customHeight="1">
      <c r="A123" s="13" t="s">
        <v>261</v>
      </c>
      <c r="B123" s="13" t="s">
        <v>262</v>
      </c>
      <c r="C123" s="14"/>
      <c r="D123" s="14"/>
      <c r="E123" s="14"/>
      <c r="F123" s="14"/>
      <c r="G123" s="14"/>
      <c r="H123" s="14">
        <v>1.0</v>
      </c>
      <c r="I123" s="14"/>
      <c r="K123" s="15" t="s">
        <v>249</v>
      </c>
      <c r="L123" s="16">
        <v>1.0</v>
      </c>
    </row>
    <row r="124" ht="15.75" customHeight="1">
      <c r="A124" s="13" t="s">
        <v>263</v>
      </c>
      <c r="B124" s="13" t="s">
        <v>260</v>
      </c>
      <c r="C124" s="14">
        <v>2.0</v>
      </c>
      <c r="D124" s="14">
        <v>1.0</v>
      </c>
      <c r="E124" s="14"/>
      <c r="F124" s="14">
        <v>3.0</v>
      </c>
      <c r="G124" s="14">
        <v>1.0</v>
      </c>
      <c r="H124" s="14">
        <v>1.0</v>
      </c>
      <c r="I124" s="14">
        <v>5.0</v>
      </c>
      <c r="K124" s="15" t="s">
        <v>264</v>
      </c>
      <c r="L124" s="16">
        <v>0.0</v>
      </c>
    </row>
    <row r="125" ht="15.75" customHeight="1">
      <c r="A125" s="13" t="s">
        <v>265</v>
      </c>
      <c r="B125" s="13" t="s">
        <v>266</v>
      </c>
      <c r="C125" s="14"/>
      <c r="D125" s="14"/>
      <c r="E125" s="14">
        <v>1.0</v>
      </c>
      <c r="F125" s="14"/>
      <c r="G125" s="14"/>
      <c r="H125" s="14">
        <v>3.0</v>
      </c>
      <c r="I125" s="14">
        <v>1.0</v>
      </c>
      <c r="K125" s="15" t="s">
        <v>254</v>
      </c>
      <c r="L125" s="16">
        <v>1.0</v>
      </c>
    </row>
    <row r="126" ht="15.75" customHeight="1">
      <c r="A126" s="13" t="s">
        <v>267</v>
      </c>
      <c r="B126" s="13" t="s">
        <v>264</v>
      </c>
      <c r="C126" s="14">
        <v>1.0</v>
      </c>
      <c r="D126" s="14">
        <v>4.0</v>
      </c>
      <c r="E126" s="14">
        <v>3.0</v>
      </c>
      <c r="F126" s="14"/>
      <c r="G126" s="14">
        <v>3.0</v>
      </c>
      <c r="H126" s="14">
        <v>1.0</v>
      </c>
      <c r="I126" s="14"/>
      <c r="K126" s="15" t="s">
        <v>266</v>
      </c>
      <c r="L126" s="16">
        <v>1.0</v>
      </c>
    </row>
    <row r="127" ht="15.75" customHeight="1">
      <c r="A127" s="13" t="s">
        <v>268</v>
      </c>
      <c r="B127" s="13" t="s">
        <v>269</v>
      </c>
      <c r="C127" s="14">
        <v>1.0</v>
      </c>
      <c r="D127" s="14"/>
      <c r="E127" s="14">
        <v>1.0</v>
      </c>
      <c r="F127" s="14"/>
      <c r="G127" s="14"/>
      <c r="H127" s="14"/>
      <c r="I127" s="14"/>
      <c r="K127" s="15" t="s">
        <v>259</v>
      </c>
      <c r="L127" s="16">
        <v>1.0</v>
      </c>
    </row>
    <row r="128" ht="15.75" customHeight="1">
      <c r="A128" s="13" t="s">
        <v>270</v>
      </c>
      <c r="B128" s="13" t="s">
        <v>257</v>
      </c>
      <c r="C128" s="14">
        <v>2.0</v>
      </c>
      <c r="D128" s="14">
        <v>4.0</v>
      </c>
      <c r="E128" s="14">
        <v>5.0</v>
      </c>
      <c r="F128" s="14">
        <v>1.0</v>
      </c>
      <c r="G128" s="14">
        <v>6.0</v>
      </c>
      <c r="H128" s="14">
        <v>4.0</v>
      </c>
      <c r="I128" s="14">
        <v>4.0</v>
      </c>
      <c r="K128" s="15" t="s">
        <v>271</v>
      </c>
      <c r="L128" s="16">
        <v>0.0</v>
      </c>
    </row>
    <row r="129" ht="15.75" customHeight="1">
      <c r="A129" s="13" t="s">
        <v>272</v>
      </c>
      <c r="B129" s="13" t="s">
        <v>273</v>
      </c>
      <c r="C129" s="14"/>
      <c r="D129" s="14"/>
      <c r="E129" s="14"/>
      <c r="F129" s="14"/>
      <c r="G129" s="14">
        <v>1.0</v>
      </c>
      <c r="H129" s="14"/>
      <c r="I129" s="14"/>
      <c r="K129" s="15" t="s">
        <v>274</v>
      </c>
      <c r="L129" s="16">
        <v>1.0</v>
      </c>
    </row>
    <row r="130" ht="15.75" customHeight="1">
      <c r="A130" s="13" t="s">
        <v>275</v>
      </c>
      <c r="B130" s="13" t="s">
        <v>276</v>
      </c>
      <c r="C130" s="14">
        <v>12.0</v>
      </c>
      <c r="D130" s="14">
        <v>13.0</v>
      </c>
      <c r="E130" s="14">
        <v>12.0</v>
      </c>
      <c r="F130" s="14">
        <v>7.0</v>
      </c>
      <c r="G130" s="14">
        <v>7.0</v>
      </c>
      <c r="H130" s="14">
        <v>7.0</v>
      </c>
      <c r="I130" s="14">
        <v>10.0</v>
      </c>
      <c r="K130" s="15" t="s">
        <v>277</v>
      </c>
      <c r="L130" s="16">
        <v>0.0</v>
      </c>
    </row>
    <row r="131" ht="15.75" customHeight="1">
      <c r="A131" s="13" t="s">
        <v>278</v>
      </c>
      <c r="B131" s="13" t="s">
        <v>279</v>
      </c>
      <c r="C131" s="14"/>
      <c r="D131" s="14">
        <v>2.0</v>
      </c>
      <c r="E131" s="14"/>
      <c r="F131" s="14">
        <v>1.0</v>
      </c>
      <c r="G131" s="14"/>
      <c r="H131" s="14"/>
      <c r="I131" s="14"/>
      <c r="K131" s="15" t="s">
        <v>262</v>
      </c>
      <c r="L131" s="16">
        <v>0.0</v>
      </c>
    </row>
    <row r="132" ht="15.75" customHeight="1">
      <c r="A132" s="13" t="s">
        <v>280</v>
      </c>
      <c r="B132" s="13" t="s">
        <v>281</v>
      </c>
      <c r="C132" s="14">
        <v>3.0</v>
      </c>
      <c r="D132" s="14">
        <v>2.0</v>
      </c>
      <c r="E132" s="14">
        <v>7.0</v>
      </c>
      <c r="F132" s="14">
        <v>4.0</v>
      </c>
      <c r="G132" s="14">
        <v>2.0</v>
      </c>
      <c r="H132" s="14">
        <v>4.0</v>
      </c>
      <c r="I132" s="14">
        <v>6.0</v>
      </c>
      <c r="K132" s="15" t="s">
        <v>246</v>
      </c>
      <c r="L132" s="16">
        <v>0.0</v>
      </c>
    </row>
    <row r="133" ht="15.75" customHeight="1">
      <c r="A133" s="13" t="s">
        <v>282</v>
      </c>
      <c r="B133" s="13" t="s">
        <v>283</v>
      </c>
      <c r="C133" s="14">
        <v>4.0</v>
      </c>
      <c r="D133" s="14">
        <v>8.0</v>
      </c>
      <c r="E133" s="14">
        <v>11.0</v>
      </c>
      <c r="F133" s="14">
        <v>4.0</v>
      </c>
      <c r="G133" s="14">
        <v>3.0</v>
      </c>
      <c r="H133" s="14">
        <v>13.0</v>
      </c>
      <c r="I133" s="14">
        <v>3.0</v>
      </c>
      <c r="K133" s="15" t="s">
        <v>284</v>
      </c>
      <c r="L133" s="16">
        <v>1.0</v>
      </c>
    </row>
    <row r="134" ht="15.75" customHeight="1">
      <c r="A134" s="13" t="s">
        <v>285</v>
      </c>
      <c r="B134" s="13" t="s">
        <v>286</v>
      </c>
      <c r="C134" s="14"/>
      <c r="D134" s="14">
        <v>1.0</v>
      </c>
      <c r="E134" s="14">
        <v>2.0</v>
      </c>
      <c r="F134" s="14"/>
      <c r="G134" s="14">
        <v>2.0</v>
      </c>
      <c r="H134" s="14">
        <v>1.0</v>
      </c>
      <c r="I134" s="14"/>
      <c r="K134" s="15" t="s">
        <v>269</v>
      </c>
      <c r="L134" s="16">
        <v>1.0</v>
      </c>
    </row>
    <row r="135" ht="15.75" customHeight="1">
      <c r="A135" s="13" t="s">
        <v>287</v>
      </c>
      <c r="B135" s="13" t="s">
        <v>288</v>
      </c>
      <c r="C135" s="14">
        <v>2.0</v>
      </c>
      <c r="D135" s="14">
        <v>5.0</v>
      </c>
      <c r="E135" s="14">
        <v>2.0</v>
      </c>
      <c r="F135" s="14"/>
      <c r="G135" s="14"/>
      <c r="H135" s="14">
        <v>4.0</v>
      </c>
      <c r="I135" s="14">
        <v>5.0</v>
      </c>
      <c r="K135" s="15" t="s">
        <v>273</v>
      </c>
      <c r="L135" s="16">
        <v>0.0</v>
      </c>
    </row>
    <row r="136" ht="15.75" customHeight="1">
      <c r="A136" s="13" t="s">
        <v>289</v>
      </c>
      <c r="B136" s="13" t="s">
        <v>290</v>
      </c>
      <c r="C136" s="14"/>
      <c r="D136" s="14"/>
      <c r="E136" s="14"/>
      <c r="F136" s="14"/>
      <c r="G136" s="14"/>
      <c r="H136" s="14"/>
      <c r="I136" s="14">
        <v>1.0</v>
      </c>
      <c r="K136" s="12" t="s">
        <v>291</v>
      </c>
      <c r="L136" s="12">
        <v>30.0</v>
      </c>
    </row>
    <row r="137" ht="15.75" customHeight="1">
      <c r="A137" s="13" t="s">
        <v>292</v>
      </c>
      <c r="B137" s="13" t="s">
        <v>293</v>
      </c>
      <c r="C137" s="14">
        <v>6.0</v>
      </c>
      <c r="D137" s="14"/>
      <c r="E137" s="14">
        <v>1.0</v>
      </c>
      <c r="F137" s="14"/>
      <c r="G137" s="14">
        <v>1.0</v>
      </c>
      <c r="H137" s="14"/>
      <c r="I137" s="14"/>
      <c r="K137" s="15" t="s">
        <v>276</v>
      </c>
      <c r="L137" s="16">
        <v>12.0</v>
      </c>
    </row>
    <row r="138" ht="15.75" customHeight="1">
      <c r="A138" s="13" t="s">
        <v>294</v>
      </c>
      <c r="B138" s="13" t="s">
        <v>295</v>
      </c>
      <c r="C138" s="14"/>
      <c r="D138" s="14">
        <v>1.0</v>
      </c>
      <c r="E138" s="14"/>
      <c r="F138" s="14"/>
      <c r="G138" s="14"/>
      <c r="H138" s="14"/>
      <c r="I138" s="14"/>
      <c r="K138" s="15" t="s">
        <v>283</v>
      </c>
      <c r="L138" s="16">
        <v>8.0</v>
      </c>
    </row>
    <row r="139" ht="15.75" customHeight="1">
      <c r="A139" s="13" t="s">
        <v>296</v>
      </c>
      <c r="B139" s="13" t="s">
        <v>154</v>
      </c>
      <c r="C139" s="14">
        <v>1.0</v>
      </c>
      <c r="D139" s="14">
        <v>1.0</v>
      </c>
      <c r="E139" s="14"/>
      <c r="F139" s="14">
        <v>1.0</v>
      </c>
      <c r="G139" s="14"/>
      <c r="H139" s="14"/>
      <c r="I139" s="14"/>
      <c r="K139" s="15" t="s">
        <v>281</v>
      </c>
      <c r="L139" s="16">
        <v>3.0</v>
      </c>
    </row>
    <row r="140" ht="15.75" customHeight="1">
      <c r="A140" s="13" t="s">
        <v>297</v>
      </c>
      <c r="B140" s="13" t="s">
        <v>298</v>
      </c>
      <c r="C140" s="14">
        <v>88.0</v>
      </c>
      <c r="D140" s="14">
        <v>75.0</v>
      </c>
      <c r="E140" s="14">
        <v>56.0</v>
      </c>
      <c r="F140" s="14">
        <v>55.0</v>
      </c>
      <c r="G140" s="14">
        <v>43.0</v>
      </c>
      <c r="H140" s="14">
        <v>27.0</v>
      </c>
      <c r="I140" s="14">
        <v>52.0</v>
      </c>
      <c r="K140" s="15" t="s">
        <v>288</v>
      </c>
      <c r="L140" s="16">
        <v>1.0</v>
      </c>
    </row>
    <row r="141" ht="15.75" customHeight="1">
      <c r="A141" s="13" t="s">
        <v>299</v>
      </c>
      <c r="B141" s="13" t="s">
        <v>300</v>
      </c>
      <c r="C141" s="14">
        <v>7.0</v>
      </c>
      <c r="D141" s="14">
        <v>1.0</v>
      </c>
      <c r="E141" s="14">
        <v>4.0</v>
      </c>
      <c r="F141" s="14">
        <v>2.0</v>
      </c>
      <c r="G141" s="14">
        <v>3.0</v>
      </c>
      <c r="H141" s="14">
        <v>7.0</v>
      </c>
      <c r="I141" s="14">
        <v>18.0</v>
      </c>
      <c r="K141" s="15" t="s">
        <v>293</v>
      </c>
      <c r="L141" s="16">
        <v>3.0</v>
      </c>
    </row>
    <row r="142" ht="15.75" customHeight="1">
      <c r="A142" s="13" t="s">
        <v>301</v>
      </c>
      <c r="B142" s="13" t="s">
        <v>302</v>
      </c>
      <c r="C142" s="14"/>
      <c r="D142" s="14"/>
      <c r="E142" s="14"/>
      <c r="F142" s="14"/>
      <c r="G142" s="14">
        <v>1.0</v>
      </c>
      <c r="H142" s="14">
        <v>2.0</v>
      </c>
      <c r="I142" s="14">
        <v>3.0</v>
      </c>
      <c r="K142" s="15" t="s">
        <v>290</v>
      </c>
      <c r="L142" s="16">
        <v>3.0</v>
      </c>
    </row>
    <row r="143" ht="15.75" customHeight="1">
      <c r="A143" s="13" t="s">
        <v>303</v>
      </c>
      <c r="B143" s="13" t="s">
        <v>304</v>
      </c>
      <c r="C143" s="14">
        <v>7.0</v>
      </c>
      <c r="D143" s="14">
        <v>10.0</v>
      </c>
      <c r="E143" s="14">
        <v>8.0</v>
      </c>
      <c r="F143" s="14">
        <v>6.0</v>
      </c>
      <c r="G143" s="14">
        <v>6.0</v>
      </c>
      <c r="H143" s="14">
        <v>5.0</v>
      </c>
      <c r="I143" s="14">
        <v>5.0</v>
      </c>
      <c r="K143" s="15" t="s">
        <v>286</v>
      </c>
      <c r="L143" s="16">
        <v>0.0</v>
      </c>
    </row>
    <row r="144" ht="15.75" customHeight="1">
      <c r="A144" s="13" t="s">
        <v>305</v>
      </c>
      <c r="B144" s="13" t="s">
        <v>306</v>
      </c>
      <c r="C144" s="14">
        <v>7.0</v>
      </c>
      <c r="D144" s="14">
        <v>5.0</v>
      </c>
      <c r="E144" s="14">
        <v>5.0</v>
      </c>
      <c r="F144" s="14">
        <v>2.0</v>
      </c>
      <c r="G144" s="14">
        <v>2.0</v>
      </c>
      <c r="H144" s="14">
        <v>2.0</v>
      </c>
      <c r="I144" s="14">
        <v>2.0</v>
      </c>
      <c r="K144" s="15" t="s">
        <v>154</v>
      </c>
      <c r="L144" s="16">
        <v>0.0</v>
      </c>
    </row>
    <row r="145" ht="15.75" customHeight="1">
      <c r="A145" s="13" t="s">
        <v>307</v>
      </c>
      <c r="B145" s="13" t="s">
        <v>308</v>
      </c>
      <c r="C145" s="14">
        <v>6.0</v>
      </c>
      <c r="D145" s="14">
        <v>7.0</v>
      </c>
      <c r="E145" s="14">
        <v>12.0</v>
      </c>
      <c r="F145" s="14">
        <v>12.0</v>
      </c>
      <c r="G145" s="14">
        <v>11.0</v>
      </c>
      <c r="H145" s="14">
        <v>20.0</v>
      </c>
      <c r="I145" s="14">
        <v>39.0</v>
      </c>
      <c r="K145" s="12" t="s">
        <v>309</v>
      </c>
      <c r="L145" s="12">
        <v>136.0</v>
      </c>
    </row>
    <row r="146" ht="15.75" customHeight="1">
      <c r="A146" s="13" t="s">
        <v>310</v>
      </c>
      <c r="B146" s="13" t="s">
        <v>311</v>
      </c>
      <c r="C146" s="14"/>
      <c r="D146" s="14"/>
      <c r="E146" s="14"/>
      <c r="F146" s="14">
        <v>3.0</v>
      </c>
      <c r="G146" s="14"/>
      <c r="H146" s="14"/>
      <c r="I146" s="14"/>
      <c r="K146" s="15" t="s">
        <v>298</v>
      </c>
      <c r="L146" s="16">
        <v>34.0</v>
      </c>
    </row>
    <row r="147" ht="15.75" customHeight="1">
      <c r="A147" s="13" t="s">
        <v>312</v>
      </c>
      <c r="B147" s="13" t="s">
        <v>313</v>
      </c>
      <c r="C147" s="14"/>
      <c r="D147" s="14">
        <v>3.0</v>
      </c>
      <c r="E147" s="14">
        <v>8.0</v>
      </c>
      <c r="F147" s="14">
        <v>4.0</v>
      </c>
      <c r="G147" s="14">
        <v>7.0</v>
      </c>
      <c r="H147" s="14">
        <v>7.0</v>
      </c>
      <c r="I147" s="14">
        <v>6.0</v>
      </c>
      <c r="K147" s="15" t="s">
        <v>308</v>
      </c>
      <c r="L147" s="16">
        <v>23.0</v>
      </c>
    </row>
    <row r="148" ht="15.75" customHeight="1">
      <c r="A148" s="13" t="s">
        <v>314</v>
      </c>
      <c r="B148" s="13" t="s">
        <v>315</v>
      </c>
      <c r="C148" s="14"/>
      <c r="D148" s="14">
        <v>1.0</v>
      </c>
      <c r="E148" s="14"/>
      <c r="F148" s="14">
        <v>2.0</v>
      </c>
      <c r="G148" s="14"/>
      <c r="H148" s="14">
        <v>1.0</v>
      </c>
      <c r="I148" s="14"/>
      <c r="K148" s="15" t="s">
        <v>316</v>
      </c>
      <c r="L148" s="16">
        <v>3.0</v>
      </c>
    </row>
    <row r="149" ht="15.75" customHeight="1">
      <c r="A149" s="13" t="s">
        <v>317</v>
      </c>
      <c r="B149" s="13" t="s">
        <v>318</v>
      </c>
      <c r="C149" s="14"/>
      <c r="D149" s="14"/>
      <c r="E149" s="14"/>
      <c r="F149" s="14"/>
      <c r="G149" s="14"/>
      <c r="H149" s="14">
        <v>2.0</v>
      </c>
      <c r="I149" s="14"/>
      <c r="K149" s="15" t="s">
        <v>319</v>
      </c>
      <c r="L149" s="16">
        <v>12.0</v>
      </c>
    </row>
    <row r="150" ht="15.75" customHeight="1">
      <c r="A150" s="13" t="s">
        <v>320</v>
      </c>
      <c r="B150" s="13" t="s">
        <v>321</v>
      </c>
      <c r="C150" s="14"/>
      <c r="D150" s="14"/>
      <c r="E150" s="14"/>
      <c r="F150" s="14">
        <v>1.0</v>
      </c>
      <c r="G150" s="14"/>
      <c r="H150" s="14">
        <v>1.0</v>
      </c>
      <c r="I150" s="14"/>
      <c r="K150" s="15" t="s">
        <v>300</v>
      </c>
      <c r="L150" s="16">
        <v>9.0</v>
      </c>
    </row>
    <row r="151" ht="15.75" customHeight="1">
      <c r="A151" s="13" t="s">
        <v>322</v>
      </c>
      <c r="B151" s="13" t="s">
        <v>316</v>
      </c>
      <c r="C151" s="14">
        <v>5.0</v>
      </c>
      <c r="D151" s="14">
        <v>1.0</v>
      </c>
      <c r="E151" s="14">
        <v>10.0</v>
      </c>
      <c r="F151" s="14">
        <v>17.0</v>
      </c>
      <c r="G151" s="14">
        <v>16.0</v>
      </c>
      <c r="H151" s="14">
        <v>11.0</v>
      </c>
      <c r="I151" s="14">
        <v>11.0</v>
      </c>
      <c r="K151" s="15" t="s">
        <v>323</v>
      </c>
      <c r="L151" s="16">
        <v>11.0</v>
      </c>
    </row>
    <row r="152" ht="15.75" customHeight="1">
      <c r="A152" s="13" t="s">
        <v>324</v>
      </c>
      <c r="B152" s="13" t="s">
        <v>325</v>
      </c>
      <c r="C152" s="14"/>
      <c r="D152" s="14"/>
      <c r="E152" s="14"/>
      <c r="F152" s="14"/>
      <c r="G152" s="14">
        <v>1.0</v>
      </c>
      <c r="H152" s="14">
        <v>7.0</v>
      </c>
      <c r="I152" s="14">
        <v>4.0</v>
      </c>
      <c r="K152" s="15" t="s">
        <v>313</v>
      </c>
      <c r="L152" s="16">
        <v>6.0</v>
      </c>
    </row>
    <row r="153" ht="15.75" customHeight="1">
      <c r="A153" s="13" t="s">
        <v>326</v>
      </c>
      <c r="B153" s="13" t="s">
        <v>327</v>
      </c>
      <c r="C153" s="14"/>
      <c r="D153" s="14">
        <v>1.0</v>
      </c>
      <c r="E153" s="14">
        <v>1.0</v>
      </c>
      <c r="F153" s="14">
        <v>4.0</v>
      </c>
      <c r="G153" s="14">
        <v>3.0</v>
      </c>
      <c r="H153" s="14">
        <v>4.0</v>
      </c>
      <c r="I153" s="14">
        <v>12.0</v>
      </c>
      <c r="K153" s="15" t="s">
        <v>328</v>
      </c>
      <c r="L153" s="16">
        <v>7.0</v>
      </c>
    </row>
    <row r="154" ht="15.75" customHeight="1">
      <c r="A154" s="13" t="s">
        <v>329</v>
      </c>
      <c r="B154" s="13" t="s">
        <v>330</v>
      </c>
      <c r="C154" s="14"/>
      <c r="D154" s="14"/>
      <c r="E154" s="14"/>
      <c r="F154" s="14"/>
      <c r="G154" s="14"/>
      <c r="H154" s="14">
        <v>1.0</v>
      </c>
      <c r="I154" s="14"/>
      <c r="K154" s="15" t="s">
        <v>327</v>
      </c>
      <c r="L154" s="16">
        <v>3.0</v>
      </c>
    </row>
    <row r="155" ht="15.75" customHeight="1">
      <c r="A155" s="13" t="s">
        <v>331</v>
      </c>
      <c r="B155" s="13" t="s">
        <v>332</v>
      </c>
      <c r="C155" s="14">
        <v>1.0</v>
      </c>
      <c r="D155" s="14">
        <v>1.0</v>
      </c>
      <c r="E155" s="14">
        <v>4.0</v>
      </c>
      <c r="F155" s="14">
        <v>5.0</v>
      </c>
      <c r="G155" s="14">
        <v>1.0</v>
      </c>
      <c r="H155" s="14">
        <v>4.0</v>
      </c>
      <c r="I155" s="14">
        <v>4.0</v>
      </c>
      <c r="K155" s="15" t="s">
        <v>333</v>
      </c>
      <c r="L155" s="16">
        <v>3.0</v>
      </c>
    </row>
    <row r="156" ht="15.75" customHeight="1">
      <c r="A156" s="13" t="s">
        <v>334</v>
      </c>
      <c r="B156" s="13" t="s">
        <v>335</v>
      </c>
      <c r="C156" s="14"/>
      <c r="D156" s="14"/>
      <c r="E156" s="14"/>
      <c r="F156" s="14"/>
      <c r="G156" s="14"/>
      <c r="H156" s="14"/>
      <c r="I156" s="14">
        <v>1.0</v>
      </c>
      <c r="K156" s="15" t="s">
        <v>325</v>
      </c>
      <c r="L156" s="16">
        <v>4.0</v>
      </c>
    </row>
    <row r="157" ht="15.75" customHeight="1">
      <c r="A157" s="13" t="s">
        <v>336</v>
      </c>
      <c r="B157" s="13" t="s">
        <v>337</v>
      </c>
      <c r="C157" s="14">
        <v>1.0</v>
      </c>
      <c r="D157" s="14"/>
      <c r="E157" s="14"/>
      <c r="F157" s="14"/>
      <c r="G157" s="14">
        <v>1.0</v>
      </c>
      <c r="H157" s="14">
        <v>1.0</v>
      </c>
      <c r="I157" s="14"/>
      <c r="K157" s="15" t="s">
        <v>338</v>
      </c>
      <c r="L157" s="16">
        <v>6.0</v>
      </c>
    </row>
    <row r="158" ht="15.75" customHeight="1">
      <c r="A158" s="13" t="s">
        <v>339</v>
      </c>
      <c r="B158" s="13" t="s">
        <v>340</v>
      </c>
      <c r="C158" s="14"/>
      <c r="D158" s="14">
        <v>3.0</v>
      </c>
      <c r="E158" s="14">
        <v>1.0</v>
      </c>
      <c r="F158" s="14"/>
      <c r="G158" s="14">
        <v>1.0</v>
      </c>
      <c r="H158" s="14"/>
      <c r="I158" s="14">
        <v>5.0</v>
      </c>
      <c r="K158" s="15" t="s">
        <v>304</v>
      </c>
      <c r="L158" s="16">
        <v>1.0</v>
      </c>
    </row>
    <row r="159" ht="15.75" customHeight="1">
      <c r="A159" s="13" t="s">
        <v>341</v>
      </c>
      <c r="B159" s="13" t="s">
        <v>342</v>
      </c>
      <c r="C159" s="14"/>
      <c r="D159" s="14"/>
      <c r="E159" s="14">
        <v>1.0</v>
      </c>
      <c r="F159" s="14"/>
      <c r="G159" s="14"/>
      <c r="H159" s="14"/>
      <c r="I159" s="14"/>
      <c r="K159" s="15" t="s">
        <v>332</v>
      </c>
      <c r="L159" s="16">
        <v>1.0</v>
      </c>
    </row>
    <row r="160" ht="15.75" customHeight="1">
      <c r="A160" s="13" t="s">
        <v>343</v>
      </c>
      <c r="B160" s="13" t="s">
        <v>344</v>
      </c>
      <c r="C160" s="14">
        <v>2.0</v>
      </c>
      <c r="D160" s="14">
        <v>2.0</v>
      </c>
      <c r="E160" s="14"/>
      <c r="F160" s="14">
        <v>2.0</v>
      </c>
      <c r="G160" s="14">
        <v>1.0</v>
      </c>
      <c r="H160" s="14">
        <v>3.0</v>
      </c>
      <c r="I160" s="14">
        <v>5.0</v>
      </c>
      <c r="K160" s="15" t="s">
        <v>306</v>
      </c>
      <c r="L160" s="16">
        <v>4.0</v>
      </c>
    </row>
    <row r="161" ht="15.75" customHeight="1">
      <c r="A161" s="13" t="s">
        <v>345</v>
      </c>
      <c r="B161" s="13" t="s">
        <v>346</v>
      </c>
      <c r="C161" s="14">
        <v>2.0</v>
      </c>
      <c r="D161" s="14"/>
      <c r="E161" s="14"/>
      <c r="F161" s="14">
        <v>1.0</v>
      </c>
      <c r="G161" s="14">
        <v>2.0</v>
      </c>
      <c r="H161" s="14"/>
      <c r="I161" s="14">
        <v>2.0</v>
      </c>
      <c r="K161" s="15" t="s">
        <v>344</v>
      </c>
      <c r="L161" s="16">
        <v>2.0</v>
      </c>
    </row>
    <row r="162" ht="15.75" customHeight="1">
      <c r="A162" s="13" t="s">
        <v>347</v>
      </c>
      <c r="B162" s="13" t="s">
        <v>348</v>
      </c>
      <c r="C162" s="14"/>
      <c r="D162" s="14"/>
      <c r="E162" s="14">
        <v>1.0</v>
      </c>
      <c r="F162" s="14"/>
      <c r="G162" s="14"/>
      <c r="H162" s="14"/>
      <c r="I162" s="14"/>
      <c r="K162" s="15" t="s">
        <v>302</v>
      </c>
      <c r="L162" s="16">
        <v>2.0</v>
      </c>
    </row>
    <row r="163" ht="15.75" customHeight="1">
      <c r="A163" s="13" t="s">
        <v>349</v>
      </c>
      <c r="B163" s="13" t="s">
        <v>350</v>
      </c>
      <c r="C163" s="14"/>
      <c r="D163" s="14"/>
      <c r="E163" s="14"/>
      <c r="F163" s="14"/>
      <c r="G163" s="14">
        <v>1.0</v>
      </c>
      <c r="H163" s="14"/>
      <c r="I163" s="14"/>
      <c r="K163" s="15" t="s">
        <v>351</v>
      </c>
      <c r="L163" s="16">
        <v>0.0</v>
      </c>
    </row>
    <row r="164" ht="15.75" customHeight="1">
      <c r="A164" s="13" t="s">
        <v>352</v>
      </c>
      <c r="B164" s="13" t="s">
        <v>353</v>
      </c>
      <c r="C164" s="14"/>
      <c r="D164" s="14"/>
      <c r="E164" s="14"/>
      <c r="F164" s="14">
        <v>1.0</v>
      </c>
      <c r="G164" s="14"/>
      <c r="H164" s="14">
        <v>4.0</v>
      </c>
      <c r="I164" s="14"/>
      <c r="K164" s="15" t="s">
        <v>340</v>
      </c>
      <c r="L164" s="16">
        <v>1.0</v>
      </c>
    </row>
    <row r="165" ht="15.75" customHeight="1">
      <c r="A165" s="13" t="s">
        <v>354</v>
      </c>
      <c r="B165" s="13" t="s">
        <v>319</v>
      </c>
      <c r="C165" s="14">
        <v>10.0</v>
      </c>
      <c r="D165" s="14">
        <v>9.0</v>
      </c>
      <c r="E165" s="14">
        <v>4.0</v>
      </c>
      <c r="F165" s="14">
        <v>6.0</v>
      </c>
      <c r="G165" s="14">
        <v>6.0</v>
      </c>
      <c r="H165" s="14">
        <v>5.0</v>
      </c>
      <c r="I165" s="14">
        <v>7.0</v>
      </c>
      <c r="K165" s="15" t="s">
        <v>355</v>
      </c>
      <c r="L165" s="16">
        <v>3.0</v>
      </c>
    </row>
    <row r="166" ht="15.75" customHeight="1">
      <c r="A166" s="13" t="s">
        <v>356</v>
      </c>
      <c r="B166" s="13" t="s">
        <v>357</v>
      </c>
      <c r="C166" s="14"/>
      <c r="D166" s="14"/>
      <c r="E166" s="14"/>
      <c r="F166" s="14"/>
      <c r="G166" s="14"/>
      <c r="H166" s="14"/>
      <c r="I166" s="14">
        <v>1.0</v>
      </c>
      <c r="K166" s="15" t="s">
        <v>358</v>
      </c>
      <c r="L166" s="16">
        <v>0.0</v>
      </c>
    </row>
    <row r="167" ht="15.75" customHeight="1">
      <c r="A167" s="13" t="s">
        <v>359</v>
      </c>
      <c r="B167" s="13" t="s">
        <v>351</v>
      </c>
      <c r="C167" s="14"/>
      <c r="D167" s="14">
        <v>1.0</v>
      </c>
      <c r="E167" s="14">
        <v>1.0</v>
      </c>
      <c r="F167" s="14">
        <v>1.0</v>
      </c>
      <c r="G167" s="14">
        <v>1.0</v>
      </c>
      <c r="H167" s="14">
        <v>2.0</v>
      </c>
      <c r="I167" s="14">
        <v>1.0</v>
      </c>
      <c r="K167" s="15" t="s">
        <v>346</v>
      </c>
      <c r="L167" s="16">
        <v>0.0</v>
      </c>
    </row>
    <row r="168" ht="15.75" customHeight="1">
      <c r="A168" s="13" t="s">
        <v>360</v>
      </c>
      <c r="B168" s="13" t="s">
        <v>361</v>
      </c>
      <c r="C168" s="14"/>
      <c r="D168" s="14"/>
      <c r="E168" s="14"/>
      <c r="F168" s="14"/>
      <c r="G168" s="14"/>
      <c r="H168" s="14">
        <v>1.0</v>
      </c>
      <c r="I168" s="14"/>
      <c r="K168" s="15" t="s">
        <v>353</v>
      </c>
      <c r="L168" s="16">
        <v>0.0</v>
      </c>
    </row>
    <row r="169" ht="15.75" customHeight="1">
      <c r="A169" s="13" t="s">
        <v>362</v>
      </c>
      <c r="B169" s="13" t="s">
        <v>358</v>
      </c>
      <c r="C169" s="14">
        <v>2.0</v>
      </c>
      <c r="D169" s="14"/>
      <c r="E169" s="14"/>
      <c r="F169" s="14">
        <v>1.0</v>
      </c>
      <c r="G169" s="14">
        <v>3.0</v>
      </c>
      <c r="H169" s="14">
        <v>2.0</v>
      </c>
      <c r="I169" s="14">
        <v>1.0</v>
      </c>
      <c r="K169" s="15" t="s">
        <v>363</v>
      </c>
      <c r="L169" s="16">
        <v>1.0</v>
      </c>
    </row>
    <row r="170" ht="15.75" customHeight="1">
      <c r="A170" s="13" t="s">
        <v>364</v>
      </c>
      <c r="B170" s="13" t="s">
        <v>333</v>
      </c>
      <c r="C170" s="14">
        <v>1.0</v>
      </c>
      <c r="D170" s="14">
        <v>3.0</v>
      </c>
      <c r="E170" s="14">
        <v>8.0</v>
      </c>
      <c r="F170" s="14">
        <v>4.0</v>
      </c>
      <c r="G170" s="14">
        <v>4.0</v>
      </c>
      <c r="H170" s="14">
        <v>7.0</v>
      </c>
      <c r="I170" s="14">
        <v>9.0</v>
      </c>
      <c r="K170" s="15" t="s">
        <v>361</v>
      </c>
      <c r="L170" s="16">
        <v>0.0</v>
      </c>
    </row>
    <row r="171" ht="15.75" customHeight="1">
      <c r="A171" s="13" t="s">
        <v>365</v>
      </c>
      <c r="B171" s="13" t="s">
        <v>355</v>
      </c>
      <c r="C171" s="14"/>
      <c r="D171" s="14"/>
      <c r="E171" s="14"/>
      <c r="F171" s="14"/>
      <c r="G171" s="14">
        <v>2.0</v>
      </c>
      <c r="H171" s="14">
        <v>1.0</v>
      </c>
      <c r="I171" s="14">
        <v>2.0</v>
      </c>
      <c r="K171" s="15" t="s">
        <v>318</v>
      </c>
      <c r="L171" s="16">
        <v>0.0</v>
      </c>
    </row>
    <row r="172" ht="15.75" customHeight="1">
      <c r="A172" s="13" t="s">
        <v>366</v>
      </c>
      <c r="B172" s="13" t="s">
        <v>328</v>
      </c>
      <c r="C172" s="14"/>
      <c r="D172" s="14">
        <v>1.0</v>
      </c>
      <c r="E172" s="14">
        <v>2.0</v>
      </c>
      <c r="F172" s="14">
        <v>1.0</v>
      </c>
      <c r="G172" s="14">
        <v>2.0</v>
      </c>
      <c r="H172" s="14">
        <v>7.0</v>
      </c>
      <c r="I172" s="14">
        <v>7.0</v>
      </c>
      <c r="K172" s="15" t="s">
        <v>337</v>
      </c>
      <c r="L172" s="16">
        <v>0.0</v>
      </c>
    </row>
    <row r="173" ht="15.75" customHeight="1">
      <c r="A173" s="13" t="s">
        <v>367</v>
      </c>
      <c r="B173" s="13" t="s">
        <v>323</v>
      </c>
      <c r="C173" s="14"/>
      <c r="D173" s="14">
        <v>1.0</v>
      </c>
      <c r="E173" s="14">
        <v>2.0</v>
      </c>
      <c r="F173" s="14">
        <v>1.0</v>
      </c>
      <c r="G173" s="14">
        <v>2.0</v>
      </c>
      <c r="H173" s="14">
        <v>6.0</v>
      </c>
      <c r="I173" s="14">
        <v>15.0</v>
      </c>
      <c r="K173" s="15" t="s">
        <v>350</v>
      </c>
      <c r="L173" s="16">
        <v>0.0</v>
      </c>
    </row>
    <row r="174" ht="15.75" customHeight="1">
      <c r="A174" s="13" t="s">
        <v>368</v>
      </c>
      <c r="B174" s="13" t="s">
        <v>338</v>
      </c>
      <c r="C174" s="14">
        <v>1.0</v>
      </c>
      <c r="D174" s="14">
        <v>1.0</v>
      </c>
      <c r="E174" s="14">
        <v>2.0</v>
      </c>
      <c r="F174" s="14">
        <v>2.0</v>
      </c>
      <c r="G174" s="14">
        <v>2.0</v>
      </c>
      <c r="H174" s="14">
        <v>1.0</v>
      </c>
      <c r="I174" s="14">
        <v>6.0</v>
      </c>
      <c r="K174" s="15" t="s">
        <v>311</v>
      </c>
      <c r="L174" s="16">
        <v>0.0</v>
      </c>
    </row>
    <row r="175" ht="15.75" customHeight="1">
      <c r="A175" s="13" t="s">
        <v>369</v>
      </c>
      <c r="B175" s="13" t="s">
        <v>295</v>
      </c>
      <c r="C175" s="14">
        <v>1.0</v>
      </c>
      <c r="D175" s="14"/>
      <c r="E175" s="14"/>
      <c r="F175" s="14">
        <v>1.0</v>
      </c>
      <c r="G175" s="14"/>
      <c r="H175" s="14"/>
      <c r="I175" s="14"/>
      <c r="K175" s="15" t="s">
        <v>357</v>
      </c>
      <c r="L175" s="16">
        <v>0.0</v>
      </c>
    </row>
    <row r="176" ht="15.75" customHeight="1">
      <c r="A176" s="13" t="s">
        <v>370</v>
      </c>
      <c r="B176" s="13" t="s">
        <v>371</v>
      </c>
      <c r="C176" s="14">
        <v>24.0</v>
      </c>
      <c r="D176" s="14">
        <v>16.0</v>
      </c>
      <c r="E176" s="14">
        <v>13.0</v>
      </c>
      <c r="F176" s="14">
        <v>7.0</v>
      </c>
      <c r="G176" s="14">
        <v>17.0</v>
      </c>
      <c r="H176" s="14">
        <v>7.0</v>
      </c>
      <c r="I176" s="14">
        <v>5.0</v>
      </c>
      <c r="K176" s="15" t="s">
        <v>335</v>
      </c>
      <c r="L176" s="16">
        <v>0.0</v>
      </c>
    </row>
    <row r="177" ht="15.75" customHeight="1">
      <c r="A177" s="13" t="s">
        <v>372</v>
      </c>
      <c r="B177" s="13" t="s">
        <v>373</v>
      </c>
      <c r="C177" s="14">
        <v>24.0</v>
      </c>
      <c r="D177" s="14">
        <v>5.0</v>
      </c>
      <c r="E177" s="14">
        <v>9.0</v>
      </c>
      <c r="F177" s="14">
        <v>12.0</v>
      </c>
      <c r="G177" s="14">
        <v>5.0</v>
      </c>
      <c r="H177" s="14">
        <v>6.0</v>
      </c>
      <c r="I177" s="14">
        <v>11.0</v>
      </c>
      <c r="K177" s="15" t="s">
        <v>374</v>
      </c>
      <c r="L177" s="16">
        <v>0.0</v>
      </c>
    </row>
    <row r="178" ht="15.75" customHeight="1">
      <c r="A178" s="13" t="s">
        <v>375</v>
      </c>
      <c r="B178" s="13" t="s">
        <v>376</v>
      </c>
      <c r="C178" s="14">
        <v>7.0</v>
      </c>
      <c r="D178" s="14">
        <v>1.0</v>
      </c>
      <c r="E178" s="14">
        <v>5.0</v>
      </c>
      <c r="F178" s="14">
        <v>6.0</v>
      </c>
      <c r="G178" s="14">
        <v>6.0</v>
      </c>
      <c r="H178" s="14">
        <v>7.0</v>
      </c>
      <c r="I178" s="14">
        <v>5.0</v>
      </c>
      <c r="K178" s="15" t="s">
        <v>330</v>
      </c>
      <c r="L178" s="16">
        <v>0.0</v>
      </c>
    </row>
    <row r="179" ht="15.75" customHeight="1">
      <c r="A179" s="13" t="s">
        <v>377</v>
      </c>
      <c r="B179" s="13" t="s">
        <v>378</v>
      </c>
      <c r="C179" s="14">
        <v>2.0</v>
      </c>
      <c r="D179" s="14">
        <v>3.0</v>
      </c>
      <c r="E179" s="14">
        <v>2.0</v>
      </c>
      <c r="F179" s="14"/>
      <c r="G179" s="14">
        <v>3.0</v>
      </c>
      <c r="H179" s="14">
        <v>4.0</v>
      </c>
      <c r="I179" s="14">
        <v>2.0</v>
      </c>
      <c r="K179" s="15" t="s">
        <v>321</v>
      </c>
      <c r="L179" s="16">
        <v>0.0</v>
      </c>
    </row>
    <row r="180" ht="15.75" customHeight="1">
      <c r="A180" s="13" t="s">
        <v>379</v>
      </c>
      <c r="B180" s="13" t="s">
        <v>380</v>
      </c>
      <c r="C180" s="14"/>
      <c r="D180" s="14"/>
      <c r="E180" s="14">
        <v>3.0</v>
      </c>
      <c r="F180" s="14">
        <v>2.0</v>
      </c>
      <c r="G180" s="14">
        <v>1.0</v>
      </c>
      <c r="H180" s="14">
        <v>1.0</v>
      </c>
      <c r="I180" s="14">
        <v>4.0</v>
      </c>
      <c r="K180" s="15" t="s">
        <v>381</v>
      </c>
      <c r="L180" s="16">
        <v>0.0</v>
      </c>
    </row>
    <row r="181" ht="15.75" customHeight="1">
      <c r="A181" s="13" t="s">
        <v>382</v>
      </c>
      <c r="B181" s="13" t="s">
        <v>383</v>
      </c>
      <c r="C181" s="14">
        <v>1.0</v>
      </c>
      <c r="D181" s="14"/>
      <c r="E181" s="14"/>
      <c r="F181" s="14">
        <v>2.0</v>
      </c>
      <c r="G181" s="14">
        <v>4.0</v>
      </c>
      <c r="H181" s="14">
        <v>1.0</v>
      </c>
      <c r="I181" s="14">
        <v>4.0</v>
      </c>
      <c r="K181" s="15" t="s">
        <v>315</v>
      </c>
      <c r="L181" s="16">
        <v>0.0</v>
      </c>
    </row>
    <row r="182" ht="15.75" customHeight="1">
      <c r="A182" s="13" t="s">
        <v>384</v>
      </c>
      <c r="B182" s="13" t="s">
        <v>385</v>
      </c>
      <c r="C182" s="14"/>
      <c r="D182" s="14"/>
      <c r="E182" s="14"/>
      <c r="F182" s="14"/>
      <c r="G182" s="14"/>
      <c r="H182" s="14">
        <v>1.0</v>
      </c>
      <c r="I182" s="14"/>
      <c r="K182" s="12" t="s">
        <v>386</v>
      </c>
      <c r="L182" s="12">
        <v>33.0</v>
      </c>
    </row>
    <row r="183" ht="15.75" customHeight="1">
      <c r="A183" s="13" t="s">
        <v>387</v>
      </c>
      <c r="B183" s="13" t="s">
        <v>388</v>
      </c>
      <c r="C183" s="14"/>
      <c r="D183" s="14"/>
      <c r="E183" s="14">
        <v>1.0</v>
      </c>
      <c r="F183" s="14">
        <v>3.0</v>
      </c>
      <c r="G183" s="14"/>
      <c r="H183" s="14"/>
      <c r="I183" s="14"/>
      <c r="K183" s="15" t="s">
        <v>373</v>
      </c>
      <c r="L183" s="16">
        <v>12.0</v>
      </c>
    </row>
    <row r="184" ht="15.75" customHeight="1">
      <c r="A184" s="13" t="s">
        <v>389</v>
      </c>
      <c r="B184" s="13" t="s">
        <v>390</v>
      </c>
      <c r="C184" s="14">
        <v>1.0</v>
      </c>
      <c r="D184" s="14"/>
      <c r="E184" s="14"/>
      <c r="F184" s="14"/>
      <c r="G184" s="14"/>
      <c r="H184" s="14"/>
      <c r="I184" s="14"/>
      <c r="K184" s="15" t="s">
        <v>371</v>
      </c>
      <c r="L184" s="16">
        <v>2.0</v>
      </c>
    </row>
    <row r="185" ht="15.75" customHeight="1">
      <c r="A185" s="13" t="s">
        <v>391</v>
      </c>
      <c r="B185" s="13" t="s">
        <v>392</v>
      </c>
      <c r="C185" s="14"/>
      <c r="D185" s="14"/>
      <c r="E185" s="14">
        <v>1.0</v>
      </c>
      <c r="F185" s="14">
        <v>1.0</v>
      </c>
      <c r="G185" s="14"/>
      <c r="H185" s="14"/>
      <c r="I185" s="14"/>
      <c r="K185" s="15" t="s">
        <v>376</v>
      </c>
      <c r="L185" s="16">
        <v>7.0</v>
      </c>
    </row>
    <row r="186" ht="15.75" customHeight="1">
      <c r="A186" s="13" t="s">
        <v>393</v>
      </c>
      <c r="B186" s="13" t="s">
        <v>394</v>
      </c>
      <c r="C186" s="14"/>
      <c r="D186" s="14"/>
      <c r="E186" s="14"/>
      <c r="F186" s="14"/>
      <c r="G186" s="14"/>
      <c r="H186" s="14">
        <v>1.0</v>
      </c>
      <c r="I186" s="14"/>
      <c r="K186" s="15" t="s">
        <v>378</v>
      </c>
      <c r="L186" s="16">
        <v>4.0</v>
      </c>
    </row>
    <row r="187" ht="15.75" customHeight="1">
      <c r="A187" s="13" t="s">
        <v>395</v>
      </c>
      <c r="B187" s="13" t="s">
        <v>396</v>
      </c>
      <c r="C187" s="14">
        <v>1.0</v>
      </c>
      <c r="D187" s="14"/>
      <c r="E187" s="14"/>
      <c r="F187" s="14"/>
      <c r="G187" s="14"/>
      <c r="H187" s="14"/>
      <c r="I187" s="14"/>
      <c r="K187" s="15" t="s">
        <v>383</v>
      </c>
      <c r="L187" s="16">
        <v>2.0</v>
      </c>
    </row>
    <row r="188" ht="15.75" customHeight="1">
      <c r="A188" s="13" t="s">
        <v>397</v>
      </c>
      <c r="B188" s="13" t="s">
        <v>398</v>
      </c>
      <c r="C188" s="14">
        <v>7.0</v>
      </c>
      <c r="D188" s="14">
        <v>7.0</v>
      </c>
      <c r="E188" s="14">
        <v>13.0</v>
      </c>
      <c r="F188" s="14">
        <v>6.0</v>
      </c>
      <c r="G188" s="14">
        <v>11.0</v>
      </c>
      <c r="H188" s="14">
        <v>20.0</v>
      </c>
      <c r="I188" s="14">
        <v>10.0</v>
      </c>
      <c r="K188" s="15" t="s">
        <v>380</v>
      </c>
      <c r="L188" s="16">
        <v>4.0</v>
      </c>
    </row>
    <row r="189" ht="15.75" customHeight="1">
      <c r="A189" s="13" t="s">
        <v>399</v>
      </c>
      <c r="B189" s="13" t="s">
        <v>400</v>
      </c>
      <c r="C189" s="14"/>
      <c r="D189" s="14"/>
      <c r="E189" s="14"/>
      <c r="F189" s="14"/>
      <c r="G189" s="14"/>
      <c r="H189" s="14">
        <v>1.0</v>
      </c>
      <c r="I189" s="14"/>
      <c r="K189" s="15" t="s">
        <v>401</v>
      </c>
      <c r="L189" s="16">
        <v>1.0</v>
      </c>
    </row>
    <row r="190" ht="15.75" customHeight="1">
      <c r="A190" s="13" t="s">
        <v>402</v>
      </c>
      <c r="B190" s="13" t="s">
        <v>403</v>
      </c>
      <c r="C190" s="14">
        <v>1.0</v>
      </c>
      <c r="D190" s="14"/>
      <c r="E190" s="14"/>
      <c r="F190" s="14"/>
      <c r="G190" s="14"/>
      <c r="H190" s="14">
        <v>1.0</v>
      </c>
      <c r="I190" s="14"/>
      <c r="K190" s="15" t="s">
        <v>404</v>
      </c>
      <c r="L190" s="16">
        <v>1.0</v>
      </c>
    </row>
    <row r="191" ht="15.75" customHeight="1">
      <c r="A191" s="13" t="s">
        <v>405</v>
      </c>
      <c r="B191" s="13" t="s">
        <v>406</v>
      </c>
      <c r="C191" s="14"/>
      <c r="D191" s="14"/>
      <c r="E191" s="14"/>
      <c r="F191" s="14"/>
      <c r="G191" s="14"/>
      <c r="H191" s="14">
        <v>1.0</v>
      </c>
      <c r="I191" s="14"/>
      <c r="K191" s="15" t="s">
        <v>394</v>
      </c>
      <c r="L191" s="16">
        <v>0.0</v>
      </c>
    </row>
    <row r="192" ht="15.75" customHeight="1">
      <c r="A192" s="13" t="s">
        <v>407</v>
      </c>
      <c r="B192" s="13" t="s">
        <v>408</v>
      </c>
      <c r="C192" s="14"/>
      <c r="D192" s="14"/>
      <c r="E192" s="14"/>
      <c r="F192" s="14"/>
      <c r="G192" s="14"/>
      <c r="H192" s="14">
        <v>2.0</v>
      </c>
      <c r="I192" s="14"/>
      <c r="K192" s="15" t="s">
        <v>385</v>
      </c>
      <c r="L192" s="16">
        <v>0.0</v>
      </c>
    </row>
    <row r="193" ht="15.75" customHeight="1">
      <c r="B193" s="17" t="s">
        <v>409</v>
      </c>
      <c r="C193" s="18">
        <f t="shared" ref="C193:I193" si="1">SUM(C10:C192)</f>
        <v>747</v>
      </c>
      <c r="D193" s="18">
        <f t="shared" si="1"/>
        <v>574</v>
      </c>
      <c r="E193" s="18">
        <f t="shared" si="1"/>
        <v>497</v>
      </c>
      <c r="F193" s="18">
        <f t="shared" si="1"/>
        <v>428</v>
      </c>
      <c r="G193" s="18">
        <f t="shared" si="1"/>
        <v>417</v>
      </c>
      <c r="H193" s="18">
        <f t="shared" si="1"/>
        <v>485</v>
      </c>
      <c r="I193" s="18">
        <f t="shared" si="1"/>
        <v>540</v>
      </c>
      <c r="K193" s="12" t="s">
        <v>410</v>
      </c>
      <c r="L193" s="12">
        <v>12.0</v>
      </c>
    </row>
    <row r="194" ht="15.75" customHeight="1">
      <c r="K194" s="15" t="s">
        <v>398</v>
      </c>
      <c r="L194" s="16">
        <v>11.0</v>
      </c>
    </row>
    <row r="195" ht="15.75" customHeight="1">
      <c r="K195" s="15" t="s">
        <v>408</v>
      </c>
      <c r="L195" s="16">
        <v>0.0</v>
      </c>
    </row>
    <row r="196" ht="15.75" customHeight="1">
      <c r="K196" s="15" t="s">
        <v>406</v>
      </c>
      <c r="L196" s="16">
        <v>0.0</v>
      </c>
    </row>
    <row r="197" ht="15.75" customHeight="1">
      <c r="K197" s="15" t="s">
        <v>403</v>
      </c>
      <c r="L197" s="16">
        <v>0.0</v>
      </c>
    </row>
    <row r="198" ht="15.75" customHeight="1">
      <c r="K198" s="15" t="s">
        <v>400</v>
      </c>
      <c r="L198" s="16">
        <v>0.0</v>
      </c>
    </row>
    <row r="199" ht="15.75" customHeight="1">
      <c r="K199" s="15" t="s">
        <v>411</v>
      </c>
      <c r="L199" s="16">
        <v>1.0</v>
      </c>
    </row>
    <row r="200" ht="15.75" customHeight="1">
      <c r="K200" s="19" t="s">
        <v>412</v>
      </c>
      <c r="L200" s="20">
        <v>453.0</v>
      </c>
    </row>
    <row r="201" ht="15.75" customHeight="1">
      <c r="K201" s="1"/>
      <c r="L201" s="1"/>
    </row>
    <row r="202" ht="15.75" customHeight="1">
      <c r="A202" s="21" t="s">
        <v>413</v>
      </c>
      <c r="B202" s="1"/>
      <c r="K202" s="1"/>
      <c r="L202" s="1"/>
    </row>
    <row r="203" ht="15.75" customHeight="1">
      <c r="A203" s="22" t="s">
        <v>414</v>
      </c>
      <c r="B203" s="1"/>
      <c r="K203" s="1"/>
      <c r="L203" s="1"/>
    </row>
    <row r="204" ht="15.75" customHeight="1">
      <c r="A204" s="22" t="s">
        <v>415</v>
      </c>
      <c r="B204" s="1"/>
      <c r="K204" s="1"/>
      <c r="L204" s="1"/>
    </row>
    <row r="205" ht="15.75" customHeight="1">
      <c r="A205" s="23" t="s">
        <v>416</v>
      </c>
      <c r="K205" s="1"/>
      <c r="L205" s="1"/>
    </row>
    <row r="206" ht="15.75" customHeight="1">
      <c r="K206" s="1"/>
      <c r="L206" s="1"/>
    </row>
    <row r="207" ht="15.75" customHeight="1">
      <c r="K207" s="1"/>
      <c r="L207" s="1"/>
    </row>
    <row r="208" ht="15.75" customHeight="1">
      <c r="K208" s="1"/>
      <c r="L208" s="1"/>
    </row>
    <row r="209" ht="15.75" customHeight="1">
      <c r="K209" s="1"/>
      <c r="L209" s="1"/>
    </row>
    <row r="210" ht="15.75" customHeight="1">
      <c r="K210" s="1"/>
      <c r="L210" s="1"/>
    </row>
    <row r="211" ht="15.75" customHeight="1">
      <c r="K211" s="1"/>
      <c r="L211" s="1"/>
    </row>
    <row r="212" ht="15.75" customHeight="1">
      <c r="K212" s="1"/>
      <c r="L212" s="1"/>
    </row>
    <row r="213" ht="15.75" customHeight="1">
      <c r="K213" s="1"/>
      <c r="L213" s="1"/>
    </row>
    <row r="214" ht="15.75" customHeight="1">
      <c r="K214" s="1"/>
      <c r="L214" s="1"/>
    </row>
    <row r="215" ht="15.75" customHeight="1">
      <c r="K215" s="1"/>
      <c r="L215" s="1"/>
    </row>
    <row r="216" ht="15.75" customHeight="1">
      <c r="K216" s="1"/>
      <c r="L216" s="1"/>
    </row>
    <row r="217" ht="15.75" customHeight="1">
      <c r="K217" s="1"/>
      <c r="L217" s="1"/>
    </row>
    <row r="218" ht="15.75" customHeight="1">
      <c r="K218" s="1"/>
      <c r="L218" s="1"/>
    </row>
    <row r="219" ht="15.75" customHeight="1">
      <c r="K219" s="1"/>
      <c r="L219" s="1"/>
    </row>
    <row r="220" ht="15.75" customHeight="1">
      <c r="K220" s="1"/>
      <c r="L220" s="1"/>
    </row>
    <row r="221" ht="15.75" customHeight="1">
      <c r="K221" s="1"/>
      <c r="L221" s="1"/>
    </row>
    <row r="222" ht="15.75" customHeight="1">
      <c r="K222" s="1"/>
      <c r="L222" s="1"/>
    </row>
    <row r="223" ht="15.75" customHeight="1">
      <c r="K223" s="1"/>
      <c r="L223" s="1"/>
    </row>
    <row r="224" ht="15.75" customHeight="1">
      <c r="K224" s="1"/>
      <c r="L224" s="1"/>
    </row>
    <row r="225" ht="15.75" customHeight="1">
      <c r="K225" s="1"/>
      <c r="L225" s="1"/>
    </row>
    <row r="226" ht="15.75" customHeight="1">
      <c r="K226" s="1"/>
      <c r="L226" s="1"/>
    </row>
    <row r="227" ht="15.75" customHeight="1">
      <c r="K227" s="1"/>
      <c r="L227" s="1"/>
    </row>
    <row r="228" ht="15.75" customHeight="1">
      <c r="K228" s="1"/>
      <c r="L228" s="1"/>
    </row>
    <row r="229" ht="15.75" customHeight="1">
      <c r="K229" s="1"/>
      <c r="L229" s="1"/>
    </row>
    <row r="230" ht="15.75" customHeight="1">
      <c r="K230" s="1"/>
      <c r="L230" s="1"/>
    </row>
    <row r="231" ht="15.75" customHeight="1">
      <c r="K231" s="1"/>
      <c r="L231" s="1"/>
    </row>
    <row r="232" ht="15.75" customHeight="1">
      <c r="K232" s="1"/>
      <c r="L232" s="1"/>
    </row>
    <row r="233" ht="15.75" customHeight="1">
      <c r="K233" s="1"/>
      <c r="L233" s="1"/>
    </row>
    <row r="234" ht="15.75" customHeight="1">
      <c r="K234" s="1"/>
      <c r="L234" s="1"/>
    </row>
    <row r="235" ht="15.75" customHeight="1">
      <c r="K235" s="1"/>
      <c r="L235" s="1"/>
    </row>
    <row r="236" ht="15.75" customHeight="1">
      <c r="K236" s="1"/>
      <c r="L236" s="1"/>
    </row>
    <row r="237" ht="15.75" customHeight="1">
      <c r="K237" s="1"/>
      <c r="L237" s="1"/>
    </row>
    <row r="238" ht="15.75" customHeight="1">
      <c r="K238" s="1"/>
      <c r="L238" s="1"/>
    </row>
    <row r="239" ht="15.75" customHeight="1">
      <c r="K239" s="1"/>
      <c r="L239" s="1"/>
    </row>
    <row r="240" ht="15.75" customHeight="1">
      <c r="K240" s="1"/>
      <c r="L240" s="1"/>
    </row>
    <row r="241" ht="15.75" customHeight="1">
      <c r="K241" s="1"/>
      <c r="L241" s="1"/>
    </row>
    <row r="242" ht="15.75" customHeight="1">
      <c r="K242" s="1"/>
      <c r="L242" s="1"/>
    </row>
    <row r="243" ht="15.75" customHeight="1">
      <c r="K243" s="1"/>
      <c r="L243" s="1"/>
    </row>
    <row r="244" ht="15.75" customHeight="1">
      <c r="K244" s="1"/>
      <c r="L244" s="1"/>
    </row>
    <row r="245" ht="15.75" customHeight="1">
      <c r="K245" s="1"/>
      <c r="L245" s="1"/>
    </row>
    <row r="246" ht="15.75" customHeight="1">
      <c r="K246" s="1"/>
      <c r="L246" s="1"/>
    </row>
    <row r="247" ht="15.75" customHeight="1">
      <c r="K247" s="1"/>
      <c r="L247" s="1"/>
    </row>
    <row r="248" ht="15.75" customHeight="1">
      <c r="K248" s="1"/>
      <c r="L248" s="1"/>
    </row>
    <row r="249" ht="15.75" customHeight="1">
      <c r="K249" s="1"/>
      <c r="L249" s="1"/>
    </row>
    <row r="250" ht="15.75" customHeight="1">
      <c r="K250" s="1"/>
      <c r="L250" s="1"/>
    </row>
    <row r="251" ht="15.75" customHeight="1">
      <c r="K251" s="1"/>
      <c r="L251" s="1"/>
    </row>
    <row r="252" ht="15.75" customHeight="1">
      <c r="K252" s="1"/>
      <c r="L252" s="1"/>
    </row>
    <row r="253" ht="15.75" customHeight="1">
      <c r="K253" s="1"/>
      <c r="L253" s="1"/>
    </row>
    <row r="254" ht="15.75" customHeight="1">
      <c r="K254" s="1"/>
      <c r="L254" s="1"/>
    </row>
    <row r="255" ht="15.75" customHeight="1">
      <c r="K255" s="1"/>
      <c r="L255" s="1"/>
    </row>
    <row r="256" ht="15.75" customHeight="1">
      <c r="K256" s="1"/>
      <c r="L256" s="1"/>
    </row>
    <row r="257" ht="15.75" customHeight="1">
      <c r="K257" s="1"/>
      <c r="L257" s="1"/>
    </row>
    <row r="258" ht="15.75" customHeight="1">
      <c r="K258" s="1"/>
      <c r="L258" s="1"/>
    </row>
    <row r="259" ht="15.75" customHeight="1">
      <c r="K259" s="1"/>
      <c r="L259" s="1"/>
    </row>
    <row r="260" ht="15.75" customHeight="1">
      <c r="K260" s="1"/>
      <c r="L260" s="1"/>
    </row>
    <row r="261" ht="15.75" customHeight="1">
      <c r="K261" s="1"/>
      <c r="L261" s="1"/>
    </row>
    <row r="262" ht="15.75" customHeight="1">
      <c r="K262" s="1"/>
      <c r="L262" s="1"/>
    </row>
    <row r="263" ht="15.75" customHeight="1">
      <c r="K263" s="1"/>
      <c r="L263" s="1"/>
    </row>
    <row r="264" ht="15.75" customHeight="1">
      <c r="K264" s="1"/>
      <c r="L264" s="1"/>
    </row>
    <row r="265" ht="15.75" customHeight="1">
      <c r="K265" s="1"/>
      <c r="L265" s="1"/>
    </row>
    <row r="266" ht="15.75" customHeight="1">
      <c r="K266" s="1"/>
      <c r="L266" s="1"/>
    </row>
    <row r="267" ht="15.75" customHeight="1">
      <c r="K267" s="1"/>
      <c r="L267" s="1"/>
    </row>
    <row r="268" ht="15.75" customHeight="1">
      <c r="K268" s="1"/>
      <c r="L268" s="1"/>
    </row>
    <row r="269" ht="15.75" customHeight="1">
      <c r="K269" s="1"/>
      <c r="L269" s="1"/>
    </row>
    <row r="270" ht="15.75" customHeight="1">
      <c r="K270" s="1"/>
      <c r="L270" s="1"/>
    </row>
    <row r="271" ht="15.75" customHeight="1">
      <c r="K271" s="1"/>
      <c r="L271" s="1"/>
    </row>
    <row r="272" ht="15.75" customHeight="1">
      <c r="K272" s="1"/>
      <c r="L272" s="1"/>
    </row>
    <row r="273" ht="15.75" customHeight="1">
      <c r="K273" s="1"/>
      <c r="L273" s="1"/>
    </row>
    <row r="274" ht="15.75" customHeight="1">
      <c r="K274" s="1"/>
      <c r="L274" s="1"/>
    </row>
    <row r="275" ht="15.75" customHeight="1">
      <c r="K275" s="1"/>
      <c r="L275" s="1"/>
    </row>
    <row r="276" ht="15.75" customHeight="1">
      <c r="K276" s="1"/>
      <c r="L276" s="1"/>
    </row>
    <row r="277" ht="15.75" customHeight="1">
      <c r="K277" s="1"/>
      <c r="L277" s="1"/>
    </row>
    <row r="278" ht="15.75" customHeight="1">
      <c r="K278" s="1"/>
      <c r="L278" s="1"/>
    </row>
    <row r="279" ht="15.75" customHeight="1">
      <c r="K279" s="1"/>
      <c r="L279" s="1"/>
    </row>
    <row r="280" ht="15.75" customHeight="1">
      <c r="K280" s="1"/>
      <c r="L280" s="1"/>
    </row>
    <row r="281" ht="15.75" customHeight="1">
      <c r="K281" s="1"/>
      <c r="L281" s="1"/>
    </row>
    <row r="282" ht="15.75" customHeight="1">
      <c r="K282" s="1"/>
      <c r="L282" s="1"/>
    </row>
    <row r="283" ht="15.75" customHeight="1">
      <c r="K283" s="1"/>
      <c r="L283" s="1"/>
    </row>
    <row r="284" ht="15.75" customHeight="1">
      <c r="K284" s="1"/>
      <c r="L284" s="1"/>
    </row>
    <row r="285" ht="15.75" customHeight="1">
      <c r="K285" s="1"/>
      <c r="L285" s="1"/>
    </row>
    <row r="286" ht="15.75" customHeight="1">
      <c r="K286" s="1"/>
      <c r="L286" s="1"/>
    </row>
    <row r="287" ht="15.75" customHeight="1">
      <c r="K287" s="1"/>
      <c r="L287" s="1"/>
    </row>
    <row r="288" ht="15.75" customHeight="1">
      <c r="K288" s="1"/>
      <c r="L288" s="1"/>
    </row>
    <row r="289" ht="15.75" customHeight="1">
      <c r="K289" s="1"/>
      <c r="L289" s="1"/>
    </row>
    <row r="290" ht="15.75" customHeight="1">
      <c r="K290" s="1"/>
      <c r="L290" s="1"/>
    </row>
    <row r="291" ht="15.75" customHeight="1">
      <c r="K291" s="1"/>
      <c r="L291" s="1"/>
    </row>
    <row r="292" ht="15.75" customHeight="1">
      <c r="K292" s="1"/>
      <c r="L292" s="1"/>
    </row>
    <row r="293" ht="15.75" customHeight="1">
      <c r="K293" s="1"/>
      <c r="L293" s="1"/>
    </row>
    <row r="294" ht="15.75" customHeight="1">
      <c r="K294" s="1"/>
      <c r="L294" s="1"/>
    </row>
    <row r="295" ht="15.75" customHeight="1">
      <c r="K295" s="1"/>
      <c r="L295" s="1"/>
    </row>
    <row r="296" ht="15.75" customHeight="1">
      <c r="K296" s="1"/>
      <c r="L296" s="1"/>
    </row>
    <row r="297" ht="15.75" customHeight="1">
      <c r="K297" s="1"/>
      <c r="L297" s="1"/>
    </row>
    <row r="298" ht="15.75" customHeight="1">
      <c r="K298" s="1"/>
      <c r="L298" s="1"/>
    </row>
    <row r="299" ht="15.75" customHeight="1">
      <c r="K299" s="1"/>
      <c r="L299" s="1"/>
    </row>
    <row r="300" ht="15.75" customHeight="1">
      <c r="K300" s="1"/>
      <c r="L300" s="1"/>
    </row>
    <row r="301" ht="15.75" customHeight="1">
      <c r="K301" s="1"/>
      <c r="L301" s="1"/>
    </row>
    <row r="302" ht="15.75" customHeight="1">
      <c r="K302" s="1"/>
      <c r="L302" s="1"/>
    </row>
    <row r="303" ht="15.75" customHeight="1">
      <c r="K303" s="1"/>
      <c r="L303" s="1"/>
    </row>
    <row r="304" ht="15.75" customHeight="1">
      <c r="K304" s="1"/>
      <c r="L304" s="1"/>
    </row>
    <row r="305" ht="15.75" customHeight="1">
      <c r="K305" s="1"/>
      <c r="L305" s="1"/>
    </row>
    <row r="306" ht="15.75" customHeight="1">
      <c r="K306" s="1"/>
      <c r="L306" s="1"/>
    </row>
    <row r="307" ht="15.75" customHeight="1">
      <c r="K307" s="1"/>
      <c r="L307" s="1"/>
    </row>
    <row r="308" ht="15.75" customHeight="1">
      <c r="K308" s="1"/>
      <c r="L308" s="1"/>
    </row>
    <row r="309" ht="15.75" customHeight="1">
      <c r="K309" s="1"/>
      <c r="L309" s="1"/>
    </row>
    <row r="310" ht="15.75" customHeight="1">
      <c r="K310" s="1"/>
      <c r="L310" s="1"/>
    </row>
    <row r="311" ht="15.75" customHeight="1">
      <c r="K311" s="1"/>
      <c r="L311" s="1"/>
    </row>
    <row r="312" ht="15.75" customHeight="1">
      <c r="K312" s="1"/>
      <c r="L312" s="1"/>
    </row>
    <row r="313" ht="15.75" customHeight="1">
      <c r="K313" s="1"/>
      <c r="L313" s="1"/>
    </row>
    <row r="314" ht="15.75" customHeight="1">
      <c r="K314" s="1"/>
      <c r="L314" s="1"/>
    </row>
    <row r="315" ht="15.75" customHeight="1">
      <c r="K315" s="1"/>
      <c r="L315" s="1"/>
    </row>
    <row r="316" ht="15.75" customHeight="1">
      <c r="K316" s="1"/>
      <c r="L316" s="1"/>
    </row>
    <row r="317" ht="15.75" customHeight="1">
      <c r="K317" s="1"/>
      <c r="L317" s="1"/>
    </row>
    <row r="318" ht="15.75" customHeight="1">
      <c r="K318" s="1"/>
      <c r="L318" s="1"/>
    </row>
    <row r="319" ht="15.75" customHeight="1">
      <c r="K319" s="1"/>
      <c r="L319" s="1"/>
    </row>
    <row r="320" ht="15.75" customHeight="1">
      <c r="K320" s="1"/>
      <c r="L320" s="1"/>
    </row>
    <row r="321" ht="15.75" customHeight="1">
      <c r="K321" s="1"/>
      <c r="L321" s="1"/>
    </row>
    <row r="322" ht="15.75" customHeight="1">
      <c r="K322" s="1"/>
      <c r="L322" s="1"/>
    </row>
    <row r="323" ht="15.75" customHeight="1">
      <c r="K323" s="1"/>
      <c r="L323" s="1"/>
    </row>
    <row r="324" ht="15.75" customHeight="1">
      <c r="K324" s="1"/>
      <c r="L324" s="1"/>
    </row>
    <row r="325" ht="15.75" customHeight="1">
      <c r="K325" s="1"/>
      <c r="L325" s="1"/>
    </row>
    <row r="326" ht="15.75" customHeight="1">
      <c r="K326" s="1"/>
      <c r="L326" s="1"/>
    </row>
    <row r="327" ht="15.75" customHeight="1">
      <c r="K327" s="1"/>
      <c r="L327" s="1"/>
    </row>
    <row r="328" ht="15.75" customHeight="1">
      <c r="K328" s="1"/>
      <c r="L328" s="1"/>
    </row>
    <row r="329" ht="15.75" customHeight="1">
      <c r="K329" s="1"/>
      <c r="L329" s="1"/>
    </row>
    <row r="330" ht="15.75" customHeight="1">
      <c r="K330" s="1"/>
      <c r="L330" s="1"/>
    </row>
    <row r="331" ht="15.75" customHeight="1">
      <c r="K331" s="1"/>
      <c r="L331" s="1"/>
    </row>
    <row r="332" ht="15.75" customHeight="1">
      <c r="K332" s="1"/>
      <c r="L332" s="1"/>
    </row>
    <row r="333" ht="15.75" customHeight="1">
      <c r="K333" s="1"/>
      <c r="L333" s="1"/>
    </row>
    <row r="334" ht="15.75" customHeight="1">
      <c r="K334" s="1"/>
      <c r="L334" s="1"/>
    </row>
    <row r="335" ht="15.75" customHeight="1">
      <c r="K335" s="1"/>
      <c r="L335" s="1"/>
    </row>
    <row r="336" ht="15.75" customHeight="1">
      <c r="K336" s="1"/>
      <c r="L336" s="1"/>
    </row>
    <row r="337" ht="15.75" customHeight="1">
      <c r="K337" s="1"/>
      <c r="L337" s="1"/>
    </row>
    <row r="338" ht="15.75" customHeight="1">
      <c r="K338" s="1"/>
      <c r="L338" s="1"/>
    </row>
    <row r="339" ht="15.75" customHeight="1">
      <c r="K339" s="1"/>
      <c r="L339" s="1"/>
    </row>
    <row r="340" ht="15.75" customHeight="1">
      <c r="K340" s="1"/>
      <c r="L340" s="1"/>
    </row>
    <row r="341" ht="15.75" customHeight="1">
      <c r="K341" s="1"/>
      <c r="L341" s="1"/>
    </row>
    <row r="342" ht="15.75" customHeight="1">
      <c r="K342" s="1"/>
      <c r="L342" s="1"/>
    </row>
    <row r="343" ht="15.75" customHeight="1">
      <c r="K343" s="1"/>
      <c r="L343" s="1"/>
    </row>
    <row r="344" ht="15.75" customHeight="1">
      <c r="K344" s="1"/>
      <c r="L344" s="1"/>
    </row>
    <row r="345" ht="15.75" customHeight="1">
      <c r="K345" s="1"/>
      <c r="L345" s="1"/>
    </row>
    <row r="346" ht="15.75" customHeight="1">
      <c r="K346" s="1"/>
      <c r="L346" s="1"/>
    </row>
    <row r="347" ht="15.75" customHeight="1">
      <c r="K347" s="1"/>
      <c r="L347" s="1"/>
    </row>
    <row r="348" ht="15.75" customHeight="1">
      <c r="K348" s="1"/>
      <c r="L348" s="1"/>
    </row>
    <row r="349" ht="15.75" customHeight="1">
      <c r="K349" s="1"/>
      <c r="L349" s="1"/>
    </row>
    <row r="350" ht="15.75" customHeight="1">
      <c r="K350" s="1"/>
      <c r="L350" s="1"/>
    </row>
    <row r="351" ht="15.75" customHeight="1">
      <c r="K351" s="1"/>
      <c r="L351" s="1"/>
    </row>
    <row r="352" ht="15.75" customHeight="1">
      <c r="K352" s="1"/>
      <c r="L352" s="1"/>
    </row>
    <row r="353" ht="15.75" customHeight="1">
      <c r="K353" s="1"/>
      <c r="L353" s="1"/>
    </row>
    <row r="354" ht="15.75" customHeight="1">
      <c r="K354" s="1"/>
      <c r="L354" s="1"/>
    </row>
    <row r="355" ht="15.75" customHeight="1">
      <c r="K355" s="1"/>
      <c r="L355" s="1"/>
    </row>
    <row r="356" ht="15.75" customHeight="1">
      <c r="K356" s="1"/>
      <c r="L356" s="1"/>
    </row>
    <row r="357" ht="15.75" customHeight="1">
      <c r="K357" s="1"/>
      <c r="L357" s="1"/>
    </row>
    <row r="358" ht="15.75" customHeight="1">
      <c r="K358" s="1"/>
      <c r="L358" s="1"/>
    </row>
    <row r="359" ht="15.75" customHeight="1">
      <c r="K359" s="1"/>
      <c r="L359" s="1"/>
    </row>
    <row r="360" ht="15.75" customHeight="1">
      <c r="K360" s="1"/>
      <c r="L360" s="1"/>
    </row>
    <row r="361" ht="15.75" customHeight="1">
      <c r="K361" s="1"/>
      <c r="L361" s="1"/>
    </row>
    <row r="362" ht="15.75" customHeight="1">
      <c r="K362" s="1"/>
      <c r="L362" s="1"/>
    </row>
    <row r="363" ht="15.75" customHeight="1">
      <c r="K363" s="1"/>
      <c r="L363" s="1"/>
    </row>
    <row r="364" ht="15.75" customHeight="1">
      <c r="K364" s="1"/>
      <c r="L364" s="1"/>
    </row>
    <row r="365" ht="15.75" customHeight="1">
      <c r="K365" s="1"/>
      <c r="L365" s="1"/>
    </row>
    <row r="366" ht="15.75" customHeight="1">
      <c r="K366" s="1"/>
      <c r="L366" s="1"/>
    </row>
    <row r="367" ht="15.75" customHeight="1">
      <c r="K367" s="1"/>
      <c r="L367" s="1"/>
    </row>
    <row r="368" ht="15.75" customHeight="1">
      <c r="K368" s="1"/>
      <c r="L368" s="1"/>
    </row>
    <row r="369" ht="15.75" customHeight="1">
      <c r="K369" s="1"/>
      <c r="L369" s="1"/>
    </row>
    <row r="370" ht="15.75" customHeight="1">
      <c r="K370" s="1"/>
      <c r="L370" s="1"/>
    </row>
    <row r="371" ht="15.75" customHeight="1">
      <c r="K371" s="1"/>
      <c r="L371" s="1"/>
    </row>
    <row r="372" ht="15.75" customHeight="1">
      <c r="K372" s="1"/>
      <c r="L372" s="1"/>
    </row>
    <row r="373" ht="15.75" customHeight="1">
      <c r="K373" s="1"/>
      <c r="L373" s="1"/>
    </row>
    <row r="374" ht="15.75" customHeight="1">
      <c r="K374" s="1"/>
      <c r="L374" s="1"/>
    </row>
    <row r="375" ht="15.75" customHeight="1">
      <c r="K375" s="1"/>
      <c r="L375" s="1"/>
    </row>
    <row r="376" ht="15.75" customHeight="1">
      <c r="K376" s="1"/>
      <c r="L376" s="1"/>
    </row>
    <row r="377" ht="15.75" customHeight="1">
      <c r="K377" s="1"/>
      <c r="L377" s="1"/>
    </row>
    <row r="378" ht="15.75" customHeight="1">
      <c r="K378" s="1"/>
      <c r="L378" s="1"/>
    </row>
    <row r="379" ht="15.75" customHeight="1">
      <c r="K379" s="1"/>
      <c r="L379" s="1"/>
    </row>
    <row r="380" ht="15.75" customHeight="1">
      <c r="K380" s="1"/>
      <c r="L380" s="1"/>
    </row>
    <row r="381" ht="15.75" customHeight="1">
      <c r="K381" s="1"/>
      <c r="L381" s="1"/>
    </row>
    <row r="382" ht="15.75" customHeight="1">
      <c r="K382" s="1"/>
      <c r="L382" s="1"/>
    </row>
    <row r="383" ht="15.75" customHeight="1">
      <c r="K383" s="1"/>
      <c r="L383" s="1"/>
    </row>
    <row r="384" ht="15.75" customHeight="1">
      <c r="K384" s="1"/>
      <c r="L384" s="1"/>
    </row>
    <row r="385" ht="15.75" customHeight="1">
      <c r="K385" s="1"/>
      <c r="L385" s="1"/>
    </row>
    <row r="386" ht="15.75" customHeight="1">
      <c r="K386" s="1"/>
      <c r="L386" s="1"/>
    </row>
    <row r="387" ht="15.75" customHeight="1">
      <c r="K387" s="1"/>
      <c r="L387" s="1"/>
    </row>
    <row r="388" ht="15.75" customHeight="1">
      <c r="K388" s="1"/>
      <c r="L388" s="1"/>
    </row>
    <row r="389" ht="15.75" customHeight="1">
      <c r="K389" s="1"/>
      <c r="L389" s="1"/>
    </row>
    <row r="390" ht="15.75" customHeight="1">
      <c r="K390" s="1"/>
      <c r="L390" s="1"/>
    </row>
    <row r="391" ht="15.75" customHeight="1">
      <c r="K391" s="1"/>
      <c r="L391" s="1"/>
    </row>
    <row r="392" ht="15.75" customHeight="1">
      <c r="K392" s="1"/>
      <c r="L392" s="1"/>
    </row>
    <row r="393" ht="15.75" customHeight="1">
      <c r="K393" s="1"/>
      <c r="L393" s="1"/>
    </row>
    <row r="394" ht="15.75" customHeight="1">
      <c r="K394" s="1"/>
      <c r="L394" s="1"/>
    </row>
    <row r="395" ht="15.75" customHeight="1">
      <c r="K395" s="1"/>
      <c r="L395" s="1"/>
    </row>
    <row r="396" ht="15.75" customHeight="1">
      <c r="K396" s="1"/>
      <c r="L396" s="1"/>
    </row>
    <row r="397" ht="15.75" customHeight="1">
      <c r="K397" s="1"/>
      <c r="L397" s="1"/>
    </row>
    <row r="398" ht="15.75" customHeight="1">
      <c r="K398" s="1"/>
      <c r="L398" s="1"/>
    </row>
    <row r="399" ht="15.75" customHeight="1">
      <c r="K399" s="1"/>
      <c r="L399" s="1"/>
    </row>
    <row r="400" ht="15.75" customHeight="1">
      <c r="K400" s="1"/>
      <c r="L400" s="1"/>
    </row>
    <row r="401" ht="15.75" customHeight="1">
      <c r="K401" s="1"/>
      <c r="L401" s="1"/>
    </row>
    <row r="402" ht="15.75" customHeight="1">
      <c r="K402" s="1"/>
      <c r="L402" s="1"/>
    </row>
    <row r="403" ht="15.75" customHeight="1">
      <c r="K403" s="1"/>
      <c r="L403" s="1"/>
    </row>
    <row r="404" ht="15.75" customHeight="1">
      <c r="K404" s="1"/>
      <c r="L404" s="1"/>
    </row>
    <row r="405" ht="15.75" customHeight="1">
      <c r="K405" s="1"/>
      <c r="L405" s="1"/>
    </row>
    <row r="406" ht="15.75" customHeight="1">
      <c r="K406" s="1"/>
      <c r="L406" s="1"/>
    </row>
    <row r="407" ht="15.75" customHeight="1">
      <c r="K407" s="1"/>
      <c r="L407" s="1"/>
    </row>
    <row r="408" ht="15.75" customHeight="1">
      <c r="K408" s="1"/>
      <c r="L408" s="1"/>
    </row>
    <row r="409" ht="15.75" customHeight="1">
      <c r="K409" s="1"/>
      <c r="L409" s="1"/>
    </row>
    <row r="410" ht="15.75" customHeight="1">
      <c r="K410" s="1"/>
      <c r="L410" s="1"/>
    </row>
    <row r="411" ht="15.75" customHeight="1">
      <c r="K411" s="1"/>
      <c r="L411" s="1"/>
    </row>
    <row r="412" ht="15.75" customHeight="1">
      <c r="K412" s="1"/>
      <c r="L412" s="1"/>
    </row>
    <row r="413" ht="15.75" customHeight="1">
      <c r="K413" s="1"/>
      <c r="L413" s="1"/>
    </row>
    <row r="414" ht="15.75" customHeight="1">
      <c r="K414" s="1"/>
      <c r="L414" s="1"/>
    </row>
    <row r="415" ht="15.75" customHeight="1">
      <c r="K415" s="1"/>
      <c r="L415" s="1"/>
    </row>
    <row r="416" ht="15.75" customHeight="1">
      <c r="K416" s="1"/>
      <c r="L416" s="1"/>
    </row>
    <row r="417" ht="15.75" customHeight="1">
      <c r="K417" s="1"/>
      <c r="L417" s="1"/>
    </row>
    <row r="418" ht="15.75" customHeight="1">
      <c r="K418" s="1"/>
      <c r="L418" s="1"/>
    </row>
    <row r="419" ht="15.75" customHeight="1">
      <c r="K419" s="1"/>
      <c r="L419" s="1"/>
    </row>
    <row r="420" ht="15.75" customHeight="1">
      <c r="K420" s="1"/>
      <c r="L420" s="1"/>
    </row>
    <row r="421" ht="15.75" customHeight="1">
      <c r="K421" s="1"/>
      <c r="L421" s="1"/>
    </row>
    <row r="422" ht="15.75" customHeight="1">
      <c r="K422" s="1"/>
      <c r="L422" s="1"/>
    </row>
    <row r="423" ht="15.75" customHeight="1">
      <c r="K423" s="1"/>
      <c r="L423" s="1"/>
    </row>
    <row r="424" ht="15.75" customHeight="1">
      <c r="K424" s="1"/>
      <c r="L424" s="1"/>
    </row>
    <row r="425" ht="15.75" customHeight="1">
      <c r="K425" s="1"/>
      <c r="L425" s="1"/>
    </row>
    <row r="426" ht="15.75" customHeight="1">
      <c r="K426" s="1"/>
      <c r="L426" s="1"/>
    </row>
    <row r="427" ht="15.75" customHeight="1">
      <c r="K427" s="1"/>
      <c r="L427" s="1"/>
    </row>
    <row r="428" ht="15.75" customHeight="1">
      <c r="K428" s="1"/>
      <c r="L428" s="1"/>
    </row>
    <row r="429" ht="15.75" customHeight="1">
      <c r="K429" s="1"/>
      <c r="L429" s="1"/>
    </row>
    <row r="430" ht="15.75" customHeight="1">
      <c r="K430" s="1"/>
      <c r="L430" s="1"/>
    </row>
    <row r="431" ht="15.75" customHeight="1">
      <c r="K431" s="1"/>
      <c r="L431" s="1"/>
    </row>
    <row r="432" ht="15.75" customHeight="1">
      <c r="K432" s="1"/>
      <c r="L432" s="1"/>
    </row>
    <row r="433" ht="15.75" customHeight="1">
      <c r="K433" s="1"/>
      <c r="L433" s="1"/>
    </row>
    <row r="434" ht="15.75" customHeight="1">
      <c r="K434" s="1"/>
      <c r="L434" s="1"/>
    </row>
    <row r="435" ht="15.75" customHeight="1">
      <c r="K435" s="1"/>
      <c r="L435" s="1"/>
    </row>
    <row r="436" ht="15.75" customHeight="1">
      <c r="K436" s="1"/>
      <c r="L436" s="1"/>
    </row>
    <row r="437" ht="15.75" customHeight="1">
      <c r="K437" s="1"/>
      <c r="L437" s="1"/>
    </row>
    <row r="438" ht="15.75" customHeight="1">
      <c r="K438" s="1"/>
      <c r="L438" s="1"/>
    </row>
    <row r="439" ht="15.75" customHeight="1">
      <c r="K439" s="1"/>
      <c r="L439" s="1"/>
    </row>
    <row r="440" ht="15.75" customHeight="1">
      <c r="K440" s="1"/>
      <c r="L440" s="1"/>
    </row>
    <row r="441" ht="15.75" customHeight="1">
      <c r="K441" s="1"/>
      <c r="L441" s="1"/>
    </row>
    <row r="442" ht="15.75" customHeight="1">
      <c r="K442" s="1"/>
      <c r="L442" s="1"/>
    </row>
    <row r="443" ht="15.75" customHeight="1">
      <c r="K443" s="1"/>
      <c r="L443" s="1"/>
    </row>
    <row r="444" ht="15.75" customHeight="1">
      <c r="K444" s="1"/>
      <c r="L444" s="1"/>
    </row>
    <row r="445" ht="15.75" customHeight="1">
      <c r="K445" s="1"/>
      <c r="L445" s="1"/>
    </row>
    <row r="446" ht="15.75" customHeight="1">
      <c r="K446" s="1"/>
      <c r="L446" s="1"/>
    </row>
    <row r="447" ht="15.75" customHeight="1">
      <c r="K447" s="1"/>
      <c r="L447" s="1"/>
    </row>
    <row r="448" ht="15.75" customHeight="1">
      <c r="K448" s="1"/>
      <c r="L448" s="1"/>
    </row>
    <row r="449" ht="15.75" customHeight="1">
      <c r="K449" s="1"/>
      <c r="L449" s="1"/>
    </row>
    <row r="450" ht="15.75" customHeight="1">
      <c r="K450" s="1"/>
      <c r="L450" s="1"/>
    </row>
    <row r="451" ht="15.75" customHeight="1">
      <c r="K451" s="1"/>
      <c r="L451" s="1"/>
    </row>
    <row r="452" ht="15.75" customHeight="1">
      <c r="K452" s="1"/>
      <c r="L452" s="1"/>
    </row>
    <row r="453" ht="15.75" customHeight="1">
      <c r="K453" s="1"/>
      <c r="L453" s="1"/>
    </row>
    <row r="454" ht="15.75" customHeight="1">
      <c r="K454" s="1"/>
      <c r="L454" s="1"/>
    </row>
    <row r="455" ht="15.75" customHeight="1">
      <c r="K455" s="1"/>
      <c r="L455" s="1"/>
    </row>
    <row r="456" ht="15.75" customHeight="1">
      <c r="K456" s="1"/>
      <c r="L456" s="1"/>
    </row>
    <row r="457" ht="15.75" customHeight="1">
      <c r="K457" s="1"/>
      <c r="L457" s="1"/>
    </row>
    <row r="458" ht="15.75" customHeight="1">
      <c r="K458" s="1"/>
      <c r="L458" s="1"/>
    </row>
    <row r="459" ht="15.75" customHeight="1">
      <c r="K459" s="1"/>
      <c r="L459" s="1"/>
    </row>
    <row r="460" ht="15.75" customHeight="1">
      <c r="K460" s="1"/>
      <c r="L460" s="1"/>
    </row>
    <row r="461" ht="15.75" customHeight="1">
      <c r="K461" s="1"/>
      <c r="L461" s="1"/>
    </row>
    <row r="462" ht="15.75" customHeight="1">
      <c r="K462" s="1"/>
      <c r="L462" s="1"/>
    </row>
    <row r="463" ht="15.75" customHeight="1">
      <c r="K463" s="1"/>
      <c r="L463" s="1"/>
    </row>
    <row r="464" ht="15.75" customHeight="1">
      <c r="K464" s="1"/>
      <c r="L464" s="1"/>
    </row>
    <row r="465" ht="15.75" customHeight="1">
      <c r="K465" s="1"/>
      <c r="L465" s="1"/>
    </row>
    <row r="466" ht="15.75" customHeight="1">
      <c r="K466" s="1"/>
      <c r="L466" s="1"/>
    </row>
    <row r="467" ht="15.75" customHeight="1">
      <c r="K467" s="1"/>
      <c r="L467" s="1"/>
    </row>
    <row r="468" ht="15.75" customHeight="1">
      <c r="K468" s="1"/>
      <c r="L468" s="1"/>
    </row>
    <row r="469" ht="15.75" customHeight="1">
      <c r="K469" s="1"/>
      <c r="L469" s="1"/>
    </row>
    <row r="470" ht="15.75" customHeight="1">
      <c r="K470" s="1"/>
      <c r="L470" s="1"/>
    </row>
    <row r="471" ht="15.75" customHeight="1">
      <c r="K471" s="1"/>
      <c r="L471" s="1"/>
    </row>
    <row r="472" ht="15.75" customHeight="1">
      <c r="K472" s="1"/>
      <c r="L472" s="1"/>
    </row>
    <row r="473" ht="15.75" customHeight="1">
      <c r="K473" s="1"/>
      <c r="L473" s="1"/>
    </row>
    <row r="474" ht="15.75" customHeight="1">
      <c r="K474" s="1"/>
      <c r="L474" s="1"/>
    </row>
    <row r="475" ht="15.75" customHeight="1">
      <c r="K475" s="1"/>
      <c r="L475" s="1"/>
    </row>
    <row r="476" ht="15.75" customHeight="1">
      <c r="K476" s="1"/>
      <c r="L476" s="1"/>
    </row>
    <row r="477" ht="15.75" customHeight="1">
      <c r="K477" s="1"/>
      <c r="L477" s="1"/>
    </row>
    <row r="478" ht="15.75" customHeight="1">
      <c r="K478" s="1"/>
      <c r="L478" s="1"/>
    </row>
    <row r="479" ht="15.75" customHeight="1">
      <c r="K479" s="1"/>
      <c r="L479" s="1"/>
    </row>
    <row r="480" ht="15.75" customHeight="1">
      <c r="K480" s="1"/>
      <c r="L480" s="1"/>
    </row>
    <row r="481" ht="15.75" customHeight="1">
      <c r="K481" s="1"/>
      <c r="L481" s="1"/>
    </row>
    <row r="482" ht="15.75" customHeight="1">
      <c r="K482" s="1"/>
      <c r="L482" s="1"/>
    </row>
    <row r="483" ht="15.75" customHeight="1">
      <c r="K483" s="1"/>
      <c r="L483" s="1"/>
    </row>
    <row r="484" ht="15.75" customHeight="1">
      <c r="K484" s="1"/>
      <c r="L484" s="1"/>
    </row>
    <row r="485" ht="15.75" customHeight="1">
      <c r="K485" s="1"/>
      <c r="L485" s="1"/>
    </row>
    <row r="486" ht="15.75" customHeight="1">
      <c r="K486" s="1"/>
      <c r="L486" s="1"/>
    </row>
    <row r="487" ht="15.75" customHeight="1">
      <c r="K487" s="1"/>
      <c r="L487" s="1"/>
    </row>
    <row r="488" ht="15.75" customHeight="1">
      <c r="K488" s="1"/>
      <c r="L488" s="1"/>
    </row>
    <row r="489" ht="15.75" customHeight="1">
      <c r="K489" s="1"/>
      <c r="L489" s="1"/>
    </row>
    <row r="490" ht="15.75" customHeight="1">
      <c r="K490" s="1"/>
      <c r="L490" s="1"/>
    </row>
    <row r="491" ht="15.75" customHeight="1">
      <c r="K491" s="1"/>
      <c r="L491" s="1"/>
    </row>
    <row r="492" ht="15.75" customHeight="1">
      <c r="K492" s="1"/>
      <c r="L492" s="1"/>
    </row>
    <row r="493" ht="15.75" customHeight="1">
      <c r="K493" s="1"/>
      <c r="L493" s="1"/>
    </row>
    <row r="494" ht="15.75" customHeight="1">
      <c r="K494" s="1"/>
      <c r="L494" s="1"/>
    </row>
    <row r="495" ht="15.75" customHeight="1">
      <c r="K495" s="1"/>
      <c r="L495" s="1"/>
    </row>
    <row r="496" ht="15.75" customHeight="1">
      <c r="K496" s="1"/>
      <c r="L496" s="1"/>
    </row>
    <row r="497" ht="15.75" customHeight="1">
      <c r="K497" s="1"/>
      <c r="L497" s="1"/>
    </row>
    <row r="498" ht="15.75" customHeight="1">
      <c r="K498" s="1"/>
      <c r="L498" s="1"/>
    </row>
    <row r="499" ht="15.75" customHeight="1">
      <c r="K499" s="1"/>
      <c r="L499" s="1"/>
    </row>
    <row r="500" ht="15.75" customHeight="1">
      <c r="K500" s="1"/>
      <c r="L500" s="1"/>
    </row>
    <row r="501" ht="15.75" customHeight="1">
      <c r="K501" s="1"/>
      <c r="L501" s="1"/>
    </row>
    <row r="502" ht="15.75" customHeight="1">
      <c r="K502" s="1"/>
      <c r="L502" s="1"/>
    </row>
    <row r="503" ht="15.75" customHeight="1">
      <c r="K503" s="1"/>
      <c r="L503" s="1"/>
    </row>
    <row r="504" ht="15.75" customHeight="1">
      <c r="K504" s="1"/>
      <c r="L504" s="1"/>
    </row>
    <row r="505" ht="15.75" customHeight="1">
      <c r="K505" s="1"/>
      <c r="L505" s="1"/>
    </row>
    <row r="506" ht="15.75" customHeight="1">
      <c r="K506" s="1"/>
      <c r="L506" s="1"/>
    </row>
    <row r="507" ht="15.75" customHeight="1">
      <c r="K507" s="1"/>
      <c r="L507" s="1"/>
    </row>
    <row r="508" ht="15.75" customHeight="1">
      <c r="K508" s="1"/>
      <c r="L508" s="1"/>
    </row>
    <row r="509" ht="15.75" customHeight="1">
      <c r="K509" s="1"/>
      <c r="L509" s="1"/>
    </row>
    <row r="510" ht="15.75" customHeight="1">
      <c r="K510" s="1"/>
      <c r="L510" s="1"/>
    </row>
    <row r="511" ht="15.75" customHeight="1">
      <c r="K511" s="1"/>
      <c r="L511" s="1"/>
    </row>
    <row r="512" ht="15.75" customHeight="1">
      <c r="K512" s="1"/>
      <c r="L512" s="1"/>
    </row>
    <row r="513" ht="15.75" customHeight="1">
      <c r="K513" s="1"/>
      <c r="L513" s="1"/>
    </row>
    <row r="514" ht="15.75" customHeight="1">
      <c r="K514" s="1"/>
      <c r="L514" s="1"/>
    </row>
    <row r="515" ht="15.75" customHeight="1">
      <c r="K515" s="1"/>
      <c r="L515" s="1"/>
    </row>
    <row r="516" ht="15.75" customHeight="1">
      <c r="K516" s="1"/>
      <c r="L516" s="1"/>
    </row>
    <row r="517" ht="15.75" customHeight="1">
      <c r="K517" s="1"/>
      <c r="L517" s="1"/>
    </row>
    <row r="518" ht="15.75" customHeight="1">
      <c r="K518" s="1"/>
      <c r="L518" s="1"/>
    </row>
    <row r="519" ht="15.75" customHeight="1">
      <c r="K519" s="1"/>
      <c r="L519" s="1"/>
    </row>
    <row r="520" ht="15.75" customHeight="1">
      <c r="K520" s="1"/>
      <c r="L520" s="1"/>
    </row>
    <row r="521" ht="15.75" customHeight="1">
      <c r="K521" s="1"/>
      <c r="L521" s="1"/>
    </row>
    <row r="522" ht="15.75" customHeight="1">
      <c r="K522" s="1"/>
      <c r="L522" s="1"/>
    </row>
    <row r="523" ht="15.75" customHeight="1">
      <c r="K523" s="1"/>
      <c r="L523" s="1"/>
    </row>
    <row r="524" ht="15.75" customHeight="1">
      <c r="K524" s="1"/>
      <c r="L524" s="1"/>
    </row>
    <row r="525" ht="15.75" customHeight="1">
      <c r="K525" s="1"/>
      <c r="L525" s="1"/>
    </row>
    <row r="526" ht="15.75" customHeight="1">
      <c r="K526" s="1"/>
      <c r="L526" s="1"/>
    </row>
    <row r="527" ht="15.75" customHeight="1">
      <c r="K527" s="1"/>
      <c r="L527" s="1"/>
    </row>
    <row r="528" ht="15.75" customHeight="1">
      <c r="K528" s="1"/>
      <c r="L528" s="1"/>
    </row>
    <row r="529" ht="15.75" customHeight="1">
      <c r="K529" s="1"/>
      <c r="L529" s="1"/>
    </row>
    <row r="530" ht="15.75" customHeight="1">
      <c r="K530" s="1"/>
      <c r="L530" s="1"/>
    </row>
    <row r="531" ht="15.75" customHeight="1">
      <c r="K531" s="1"/>
      <c r="L531" s="1"/>
    </row>
    <row r="532" ht="15.75" customHeight="1">
      <c r="K532" s="1"/>
      <c r="L532" s="1"/>
    </row>
    <row r="533" ht="15.75" customHeight="1">
      <c r="K533" s="1"/>
      <c r="L533" s="1"/>
    </row>
    <row r="534" ht="15.75" customHeight="1">
      <c r="K534" s="1"/>
      <c r="L534" s="1"/>
    </row>
    <row r="535" ht="15.75" customHeight="1">
      <c r="K535" s="1"/>
      <c r="L535" s="1"/>
    </row>
    <row r="536" ht="15.75" customHeight="1">
      <c r="K536" s="1"/>
      <c r="L536" s="1"/>
    </row>
    <row r="537" ht="15.75" customHeight="1">
      <c r="K537" s="1"/>
      <c r="L537" s="1"/>
    </row>
    <row r="538" ht="15.75" customHeight="1">
      <c r="K538" s="1"/>
      <c r="L538" s="1"/>
    </row>
    <row r="539" ht="15.75" customHeight="1">
      <c r="K539" s="1"/>
      <c r="L539" s="1"/>
    </row>
    <row r="540" ht="15.75" customHeight="1">
      <c r="K540" s="1"/>
      <c r="L540" s="1"/>
    </row>
    <row r="541" ht="15.75" customHeight="1">
      <c r="K541" s="1"/>
      <c r="L541" s="1"/>
    </row>
    <row r="542" ht="15.75" customHeight="1">
      <c r="K542" s="1"/>
      <c r="L542" s="1"/>
    </row>
    <row r="543" ht="15.75" customHeight="1">
      <c r="K543" s="1"/>
      <c r="L543" s="1"/>
    </row>
    <row r="544" ht="15.75" customHeight="1">
      <c r="K544" s="1"/>
      <c r="L544" s="1"/>
    </row>
    <row r="545" ht="15.75" customHeight="1">
      <c r="K545" s="1"/>
      <c r="L545" s="1"/>
    </row>
    <row r="546" ht="15.75" customHeight="1">
      <c r="K546" s="1"/>
      <c r="L546" s="1"/>
    </row>
    <row r="547" ht="15.75" customHeight="1">
      <c r="K547" s="1"/>
      <c r="L547" s="1"/>
    </row>
    <row r="548" ht="15.75" customHeight="1">
      <c r="K548" s="1"/>
      <c r="L548" s="1"/>
    </row>
    <row r="549" ht="15.75" customHeight="1">
      <c r="K549" s="1"/>
      <c r="L549" s="1"/>
    </row>
    <row r="550" ht="15.75" customHeight="1">
      <c r="K550" s="1"/>
      <c r="L550" s="1"/>
    </row>
    <row r="551" ht="15.75" customHeight="1">
      <c r="K551" s="1"/>
      <c r="L551" s="1"/>
    </row>
    <row r="552" ht="15.75" customHeight="1">
      <c r="K552" s="1"/>
      <c r="L552" s="1"/>
    </row>
    <row r="553" ht="15.75" customHeight="1">
      <c r="K553" s="1"/>
      <c r="L553" s="1"/>
    </row>
    <row r="554" ht="15.75" customHeight="1">
      <c r="K554" s="1"/>
      <c r="L554" s="1"/>
    </row>
    <row r="555" ht="15.75" customHeight="1">
      <c r="K555" s="1"/>
      <c r="L555" s="1"/>
    </row>
    <row r="556" ht="15.75" customHeight="1">
      <c r="K556" s="1"/>
      <c r="L556" s="1"/>
    </row>
    <row r="557" ht="15.75" customHeight="1">
      <c r="K557" s="1"/>
      <c r="L557" s="1"/>
    </row>
    <row r="558" ht="15.75" customHeight="1">
      <c r="K558" s="1"/>
      <c r="L558" s="1"/>
    </row>
    <row r="559" ht="15.75" customHeight="1">
      <c r="K559" s="1"/>
      <c r="L559" s="1"/>
    </row>
    <row r="560" ht="15.75" customHeight="1">
      <c r="K560" s="1"/>
      <c r="L560" s="1"/>
    </row>
    <row r="561" ht="15.75" customHeight="1">
      <c r="K561" s="1"/>
      <c r="L561" s="1"/>
    </row>
    <row r="562" ht="15.75" customHeight="1">
      <c r="K562" s="1"/>
      <c r="L562" s="1"/>
    </row>
    <row r="563" ht="15.75" customHeight="1">
      <c r="K563" s="1"/>
      <c r="L563" s="1"/>
    </row>
    <row r="564" ht="15.75" customHeight="1">
      <c r="K564" s="1"/>
      <c r="L564" s="1"/>
    </row>
    <row r="565" ht="15.75" customHeight="1">
      <c r="K565" s="1"/>
      <c r="L565" s="1"/>
    </row>
    <row r="566" ht="15.75" customHeight="1">
      <c r="K566" s="1"/>
      <c r="L566" s="1"/>
    </row>
    <row r="567" ht="15.75" customHeight="1">
      <c r="K567" s="1"/>
      <c r="L567" s="1"/>
    </row>
    <row r="568" ht="15.75" customHeight="1">
      <c r="K568" s="1"/>
      <c r="L568" s="1"/>
    </row>
    <row r="569" ht="15.75" customHeight="1">
      <c r="K569" s="1"/>
      <c r="L569" s="1"/>
    </row>
    <row r="570" ht="15.75" customHeight="1">
      <c r="K570" s="1"/>
      <c r="L570" s="1"/>
    </row>
    <row r="571" ht="15.75" customHeight="1">
      <c r="K571" s="1"/>
      <c r="L571" s="1"/>
    </row>
    <row r="572" ht="15.75" customHeight="1">
      <c r="K572" s="1"/>
      <c r="L572" s="1"/>
    </row>
    <row r="573" ht="15.75" customHeight="1">
      <c r="K573" s="1"/>
      <c r="L573" s="1"/>
    </row>
    <row r="574" ht="15.75" customHeight="1">
      <c r="K574" s="1"/>
      <c r="L574" s="1"/>
    </row>
    <row r="575" ht="15.75" customHeight="1">
      <c r="K575" s="1"/>
      <c r="L575" s="1"/>
    </row>
    <row r="576" ht="15.75" customHeight="1">
      <c r="K576" s="1"/>
      <c r="L576" s="1"/>
    </row>
    <row r="577" ht="15.75" customHeight="1">
      <c r="K577" s="1"/>
      <c r="L577" s="1"/>
    </row>
    <row r="578" ht="15.75" customHeight="1">
      <c r="K578" s="1"/>
      <c r="L578" s="1"/>
    </row>
    <row r="579" ht="15.75" customHeight="1">
      <c r="K579" s="1"/>
      <c r="L579" s="1"/>
    </row>
    <row r="580" ht="15.75" customHeight="1">
      <c r="K580" s="1"/>
      <c r="L580" s="1"/>
    </row>
    <row r="581" ht="15.75" customHeight="1">
      <c r="K581" s="1"/>
      <c r="L581" s="1"/>
    </row>
    <row r="582" ht="15.75" customHeight="1">
      <c r="K582" s="1"/>
      <c r="L582" s="1"/>
    </row>
    <row r="583" ht="15.75" customHeight="1">
      <c r="K583" s="1"/>
      <c r="L583" s="1"/>
    </row>
    <row r="584" ht="15.75" customHeight="1">
      <c r="K584" s="1"/>
      <c r="L584" s="1"/>
    </row>
    <row r="585" ht="15.75" customHeight="1">
      <c r="K585" s="1"/>
      <c r="L585" s="1"/>
    </row>
    <row r="586" ht="15.75" customHeight="1">
      <c r="K586" s="1"/>
      <c r="L586" s="1"/>
    </row>
    <row r="587" ht="15.75" customHeight="1">
      <c r="K587" s="1"/>
      <c r="L587" s="1"/>
    </row>
    <row r="588" ht="15.75" customHeight="1">
      <c r="K588" s="1"/>
      <c r="L588" s="1"/>
    </row>
    <row r="589" ht="15.75" customHeight="1">
      <c r="K589" s="1"/>
      <c r="L589" s="1"/>
    </row>
    <row r="590" ht="15.75" customHeight="1">
      <c r="K590" s="1"/>
      <c r="L590" s="1"/>
    </row>
    <row r="591" ht="15.75" customHeight="1">
      <c r="K591" s="1"/>
      <c r="L591" s="1"/>
    </row>
    <row r="592" ht="15.75" customHeight="1">
      <c r="K592" s="1"/>
      <c r="L592" s="1"/>
    </row>
    <row r="593" ht="15.75" customHeight="1">
      <c r="K593" s="1"/>
      <c r="L593" s="1"/>
    </row>
    <row r="594" ht="15.75" customHeight="1">
      <c r="K594" s="1"/>
      <c r="L594" s="1"/>
    </row>
    <row r="595" ht="15.75" customHeight="1">
      <c r="K595" s="1"/>
      <c r="L595" s="1"/>
    </row>
    <row r="596" ht="15.75" customHeight="1">
      <c r="K596" s="1"/>
      <c r="L596" s="1"/>
    </row>
    <row r="597" ht="15.75" customHeight="1">
      <c r="K597" s="1"/>
      <c r="L597" s="1"/>
    </row>
    <row r="598" ht="15.75" customHeight="1">
      <c r="K598" s="1"/>
      <c r="L598" s="1"/>
    </row>
    <row r="599" ht="15.75" customHeight="1">
      <c r="K599" s="1"/>
      <c r="L599" s="1"/>
    </row>
    <row r="600" ht="15.75" customHeight="1">
      <c r="K600" s="1"/>
      <c r="L600" s="1"/>
    </row>
    <row r="601" ht="15.75" customHeight="1">
      <c r="K601" s="1"/>
      <c r="L601" s="1"/>
    </row>
    <row r="602" ht="15.75" customHeight="1">
      <c r="K602" s="1"/>
      <c r="L602" s="1"/>
    </row>
    <row r="603" ht="15.75" customHeight="1">
      <c r="K603" s="1"/>
      <c r="L603" s="1"/>
    </row>
    <row r="604" ht="15.75" customHeight="1">
      <c r="K604" s="1"/>
      <c r="L604" s="1"/>
    </row>
    <row r="605" ht="15.75" customHeight="1">
      <c r="K605" s="1"/>
      <c r="L605" s="1"/>
    </row>
    <row r="606" ht="15.75" customHeight="1">
      <c r="K606" s="1"/>
      <c r="L606" s="1"/>
    </row>
    <row r="607" ht="15.75" customHeight="1">
      <c r="K607" s="1"/>
      <c r="L607" s="1"/>
    </row>
    <row r="608" ht="15.75" customHeight="1">
      <c r="K608" s="1"/>
      <c r="L608" s="1"/>
    </row>
    <row r="609" ht="15.75" customHeight="1">
      <c r="K609" s="1"/>
      <c r="L609" s="1"/>
    </row>
    <row r="610" ht="15.75" customHeight="1">
      <c r="K610" s="1"/>
      <c r="L610" s="1"/>
    </row>
    <row r="611" ht="15.75" customHeight="1">
      <c r="K611" s="1"/>
      <c r="L611" s="1"/>
    </row>
    <row r="612" ht="15.75" customHeight="1">
      <c r="K612" s="1"/>
      <c r="L612" s="1"/>
    </row>
    <row r="613" ht="15.75" customHeight="1">
      <c r="K613" s="1"/>
      <c r="L613" s="1"/>
    </row>
    <row r="614" ht="15.75" customHeight="1">
      <c r="K614" s="1"/>
      <c r="L614" s="1"/>
    </row>
    <row r="615" ht="15.75" customHeight="1">
      <c r="K615" s="1"/>
      <c r="L615" s="1"/>
    </row>
    <row r="616" ht="15.75" customHeight="1">
      <c r="K616" s="1"/>
      <c r="L616" s="1"/>
    </row>
    <row r="617" ht="15.75" customHeight="1">
      <c r="K617" s="1"/>
      <c r="L617" s="1"/>
    </row>
    <row r="618" ht="15.75" customHeight="1">
      <c r="K618" s="1"/>
      <c r="L618" s="1"/>
    </row>
    <row r="619" ht="15.75" customHeight="1">
      <c r="K619" s="1"/>
      <c r="L619" s="1"/>
    </row>
    <row r="620" ht="15.75" customHeight="1">
      <c r="K620" s="1"/>
      <c r="L620" s="1"/>
    </row>
    <row r="621" ht="15.75" customHeight="1">
      <c r="K621" s="1"/>
      <c r="L621" s="1"/>
    </row>
    <row r="622" ht="15.75" customHeight="1">
      <c r="K622" s="1"/>
      <c r="L622" s="1"/>
    </row>
    <row r="623" ht="15.75" customHeight="1">
      <c r="K623" s="1"/>
      <c r="L623" s="1"/>
    </row>
    <row r="624" ht="15.75" customHeight="1">
      <c r="K624" s="1"/>
      <c r="L624" s="1"/>
    </row>
    <row r="625" ht="15.75" customHeight="1">
      <c r="K625" s="1"/>
      <c r="L625" s="1"/>
    </row>
    <row r="626" ht="15.75" customHeight="1">
      <c r="K626" s="1"/>
      <c r="L626" s="1"/>
    </row>
    <row r="627" ht="15.75" customHeight="1">
      <c r="K627" s="1"/>
      <c r="L627" s="1"/>
    </row>
    <row r="628" ht="15.75" customHeight="1">
      <c r="K628" s="1"/>
      <c r="L628" s="1"/>
    </row>
    <row r="629" ht="15.75" customHeight="1">
      <c r="K629" s="1"/>
      <c r="L629" s="1"/>
    </row>
    <row r="630" ht="15.75" customHeight="1">
      <c r="K630" s="1"/>
      <c r="L630" s="1"/>
    </row>
    <row r="631" ht="15.75" customHeight="1">
      <c r="K631" s="1"/>
      <c r="L631" s="1"/>
    </row>
    <row r="632" ht="15.75" customHeight="1">
      <c r="K632" s="1"/>
      <c r="L632" s="1"/>
    </row>
    <row r="633" ht="15.75" customHeight="1">
      <c r="K633" s="1"/>
      <c r="L633" s="1"/>
    </row>
    <row r="634" ht="15.75" customHeight="1">
      <c r="K634" s="1"/>
      <c r="L634" s="1"/>
    </row>
    <row r="635" ht="15.75" customHeight="1">
      <c r="K635" s="1"/>
      <c r="L635" s="1"/>
    </row>
    <row r="636" ht="15.75" customHeight="1">
      <c r="K636" s="1"/>
      <c r="L636" s="1"/>
    </row>
    <row r="637" ht="15.75" customHeight="1">
      <c r="K637" s="1"/>
      <c r="L637" s="1"/>
    </row>
    <row r="638" ht="15.75" customHeight="1">
      <c r="K638" s="1"/>
      <c r="L638" s="1"/>
    </row>
    <row r="639" ht="15.75" customHeight="1">
      <c r="K639" s="1"/>
      <c r="L639" s="1"/>
    </row>
    <row r="640" ht="15.75" customHeight="1">
      <c r="K640" s="1"/>
      <c r="L640" s="1"/>
    </row>
    <row r="641" ht="15.75" customHeight="1">
      <c r="K641" s="1"/>
      <c r="L641" s="1"/>
    </row>
    <row r="642" ht="15.75" customHeight="1">
      <c r="K642" s="1"/>
      <c r="L642" s="1"/>
    </row>
    <row r="643" ht="15.75" customHeight="1">
      <c r="K643" s="1"/>
      <c r="L643" s="1"/>
    </row>
    <row r="644" ht="15.75" customHeight="1">
      <c r="K644" s="1"/>
      <c r="L644" s="1"/>
    </row>
    <row r="645" ht="15.75" customHeight="1">
      <c r="K645" s="1"/>
      <c r="L645" s="1"/>
    </row>
    <row r="646" ht="15.75" customHeight="1">
      <c r="K646" s="1"/>
      <c r="L646" s="1"/>
    </row>
    <row r="647" ht="15.75" customHeight="1">
      <c r="K647" s="1"/>
      <c r="L647" s="1"/>
    </row>
    <row r="648" ht="15.75" customHeight="1">
      <c r="K648" s="1"/>
      <c r="L648" s="1"/>
    </row>
    <row r="649" ht="15.75" customHeight="1">
      <c r="K649" s="1"/>
      <c r="L649" s="1"/>
    </row>
    <row r="650" ht="15.75" customHeight="1">
      <c r="K650" s="1"/>
      <c r="L650" s="1"/>
    </row>
    <row r="651" ht="15.75" customHeight="1">
      <c r="K651" s="1"/>
      <c r="L651" s="1"/>
    </row>
    <row r="652" ht="15.75" customHeight="1">
      <c r="K652" s="1"/>
      <c r="L652" s="1"/>
    </row>
    <row r="653" ht="15.75" customHeight="1">
      <c r="K653" s="1"/>
      <c r="L653" s="1"/>
    </row>
    <row r="654" ht="15.75" customHeight="1">
      <c r="K654" s="1"/>
      <c r="L654" s="1"/>
    </row>
    <row r="655" ht="15.75" customHeight="1">
      <c r="K655" s="1"/>
      <c r="L655" s="1"/>
    </row>
    <row r="656" ht="15.75" customHeight="1">
      <c r="K656" s="1"/>
      <c r="L656" s="1"/>
    </row>
    <row r="657" ht="15.75" customHeight="1">
      <c r="K657" s="1"/>
      <c r="L657" s="1"/>
    </row>
    <row r="658" ht="15.75" customHeight="1">
      <c r="K658" s="1"/>
      <c r="L658" s="1"/>
    </row>
    <row r="659" ht="15.75" customHeight="1">
      <c r="K659" s="1"/>
      <c r="L659" s="1"/>
    </row>
    <row r="660" ht="15.75" customHeight="1">
      <c r="K660" s="1"/>
      <c r="L660" s="1"/>
    </row>
    <row r="661" ht="15.75" customHeight="1">
      <c r="K661" s="1"/>
      <c r="L661" s="1"/>
    </row>
    <row r="662" ht="15.75" customHeight="1">
      <c r="K662" s="1"/>
      <c r="L662" s="1"/>
    </row>
    <row r="663" ht="15.75" customHeight="1">
      <c r="K663" s="1"/>
      <c r="L663" s="1"/>
    </row>
    <row r="664" ht="15.75" customHeight="1">
      <c r="K664" s="1"/>
      <c r="L664" s="1"/>
    </row>
    <row r="665" ht="15.75" customHeight="1">
      <c r="K665" s="1"/>
      <c r="L665" s="1"/>
    </row>
    <row r="666" ht="15.75" customHeight="1">
      <c r="K666" s="1"/>
      <c r="L666" s="1"/>
    </row>
    <row r="667" ht="15.75" customHeight="1">
      <c r="K667" s="1"/>
      <c r="L667" s="1"/>
    </row>
    <row r="668" ht="15.75" customHeight="1">
      <c r="K668" s="1"/>
      <c r="L668" s="1"/>
    </row>
    <row r="669" ht="15.75" customHeight="1">
      <c r="K669" s="1"/>
      <c r="L669" s="1"/>
    </row>
    <row r="670" ht="15.75" customHeight="1">
      <c r="K670" s="1"/>
      <c r="L670" s="1"/>
    </row>
    <row r="671" ht="15.75" customHeight="1">
      <c r="K671" s="1"/>
      <c r="L671" s="1"/>
    </row>
    <row r="672" ht="15.75" customHeight="1">
      <c r="K672" s="1"/>
      <c r="L672" s="1"/>
    </row>
    <row r="673" ht="15.75" customHeight="1">
      <c r="K673" s="1"/>
      <c r="L673" s="1"/>
    </row>
    <row r="674" ht="15.75" customHeight="1">
      <c r="K674" s="1"/>
      <c r="L674" s="1"/>
    </row>
    <row r="675" ht="15.75" customHeight="1">
      <c r="K675" s="1"/>
      <c r="L675" s="1"/>
    </row>
    <row r="676" ht="15.75" customHeight="1">
      <c r="K676" s="1"/>
      <c r="L676" s="1"/>
    </row>
    <row r="677" ht="15.75" customHeight="1">
      <c r="K677" s="1"/>
      <c r="L677" s="1"/>
    </row>
    <row r="678" ht="15.75" customHeight="1">
      <c r="K678" s="1"/>
      <c r="L678" s="1"/>
    </row>
    <row r="679" ht="15.75" customHeight="1">
      <c r="K679" s="1"/>
      <c r="L679" s="1"/>
    </row>
    <row r="680" ht="15.75" customHeight="1">
      <c r="K680" s="1"/>
      <c r="L680" s="1"/>
    </row>
    <row r="681" ht="15.75" customHeight="1">
      <c r="K681" s="1"/>
      <c r="L681" s="1"/>
    </row>
    <row r="682" ht="15.75" customHeight="1">
      <c r="K682" s="1"/>
      <c r="L682" s="1"/>
    </row>
    <row r="683" ht="15.75" customHeight="1">
      <c r="K683" s="1"/>
      <c r="L683" s="1"/>
    </row>
    <row r="684" ht="15.75" customHeight="1">
      <c r="K684" s="1"/>
      <c r="L684" s="1"/>
    </row>
    <row r="685" ht="15.75" customHeight="1">
      <c r="K685" s="1"/>
      <c r="L685" s="1"/>
    </row>
    <row r="686" ht="15.75" customHeight="1">
      <c r="K686" s="1"/>
      <c r="L686" s="1"/>
    </row>
    <row r="687" ht="15.75" customHeight="1">
      <c r="K687" s="1"/>
      <c r="L687" s="1"/>
    </row>
    <row r="688" ht="15.75" customHeight="1">
      <c r="K688" s="1"/>
      <c r="L688" s="1"/>
    </row>
    <row r="689" ht="15.75" customHeight="1">
      <c r="K689" s="1"/>
      <c r="L689" s="1"/>
    </row>
    <row r="690" ht="15.75" customHeight="1">
      <c r="K690" s="1"/>
      <c r="L690" s="1"/>
    </row>
    <row r="691" ht="15.75" customHeight="1">
      <c r="K691" s="1"/>
      <c r="L691" s="1"/>
    </row>
    <row r="692" ht="15.75" customHeight="1">
      <c r="K692" s="1"/>
      <c r="L692" s="1"/>
    </row>
    <row r="693" ht="15.75" customHeight="1">
      <c r="K693" s="1"/>
      <c r="L693" s="1"/>
    </row>
    <row r="694" ht="15.75" customHeight="1">
      <c r="K694" s="1"/>
      <c r="L694" s="1"/>
    </row>
    <row r="695" ht="15.75" customHeight="1">
      <c r="K695" s="1"/>
      <c r="L695" s="1"/>
    </row>
    <row r="696" ht="15.75" customHeight="1">
      <c r="K696" s="1"/>
      <c r="L696" s="1"/>
    </row>
    <row r="697" ht="15.75" customHeight="1">
      <c r="K697" s="1"/>
      <c r="L697" s="1"/>
    </row>
    <row r="698" ht="15.75" customHeight="1">
      <c r="K698" s="1"/>
      <c r="L698" s="1"/>
    </row>
    <row r="699" ht="15.75" customHeight="1">
      <c r="K699" s="1"/>
      <c r="L699" s="1"/>
    </row>
    <row r="700" ht="15.75" customHeight="1">
      <c r="K700" s="1"/>
      <c r="L700" s="1"/>
    </row>
    <row r="701" ht="15.75" customHeight="1">
      <c r="K701" s="1"/>
      <c r="L701" s="1"/>
    </row>
    <row r="702" ht="15.75" customHeight="1">
      <c r="K702" s="1"/>
      <c r="L702" s="1"/>
    </row>
    <row r="703" ht="15.75" customHeight="1">
      <c r="K703" s="1"/>
      <c r="L703" s="1"/>
    </row>
    <row r="704" ht="15.75" customHeight="1">
      <c r="K704" s="1"/>
      <c r="L704" s="1"/>
    </row>
    <row r="705" ht="15.75" customHeight="1">
      <c r="K705" s="1"/>
      <c r="L705" s="1"/>
    </row>
    <row r="706" ht="15.75" customHeight="1">
      <c r="K706" s="1"/>
      <c r="L706" s="1"/>
    </row>
    <row r="707" ht="15.75" customHeight="1">
      <c r="K707" s="1"/>
      <c r="L707" s="1"/>
    </row>
    <row r="708" ht="15.75" customHeight="1">
      <c r="K708" s="1"/>
      <c r="L708" s="1"/>
    </row>
    <row r="709" ht="15.75" customHeight="1">
      <c r="K709" s="1"/>
      <c r="L709" s="1"/>
    </row>
    <row r="710" ht="15.75" customHeight="1">
      <c r="K710" s="1"/>
      <c r="L710" s="1"/>
    </row>
    <row r="711" ht="15.75" customHeight="1">
      <c r="K711" s="1"/>
      <c r="L711" s="1"/>
    </row>
    <row r="712" ht="15.75" customHeight="1">
      <c r="K712" s="1"/>
      <c r="L712" s="1"/>
    </row>
    <row r="713" ht="15.75" customHeight="1">
      <c r="K713" s="1"/>
      <c r="L713" s="1"/>
    </row>
    <row r="714" ht="15.75" customHeight="1">
      <c r="K714" s="1"/>
      <c r="L714" s="1"/>
    </row>
    <row r="715" ht="15.75" customHeight="1">
      <c r="K715" s="1"/>
      <c r="L715" s="1"/>
    </row>
    <row r="716" ht="15.75" customHeight="1">
      <c r="K716" s="1"/>
      <c r="L716" s="1"/>
    </row>
    <row r="717" ht="15.75" customHeight="1">
      <c r="K717" s="1"/>
      <c r="L717" s="1"/>
    </row>
    <row r="718" ht="15.75" customHeight="1">
      <c r="K718" s="1"/>
      <c r="L718" s="1"/>
    </row>
    <row r="719" ht="15.75" customHeight="1">
      <c r="K719" s="1"/>
      <c r="L719" s="1"/>
    </row>
    <row r="720" ht="15.75" customHeight="1">
      <c r="K720" s="1"/>
      <c r="L720" s="1"/>
    </row>
    <row r="721" ht="15.75" customHeight="1">
      <c r="K721" s="1"/>
      <c r="L721" s="1"/>
    </row>
    <row r="722" ht="15.75" customHeight="1">
      <c r="K722" s="1"/>
      <c r="L722" s="1"/>
    </row>
    <row r="723" ht="15.75" customHeight="1">
      <c r="K723" s="1"/>
      <c r="L723" s="1"/>
    </row>
    <row r="724" ht="15.75" customHeight="1">
      <c r="K724" s="1"/>
      <c r="L724" s="1"/>
    </row>
    <row r="725" ht="15.75" customHeight="1">
      <c r="K725" s="1"/>
      <c r="L725" s="1"/>
    </row>
    <row r="726" ht="15.75" customHeight="1">
      <c r="K726" s="1"/>
      <c r="L726" s="1"/>
    </row>
    <row r="727" ht="15.75" customHeight="1">
      <c r="K727" s="1"/>
      <c r="L727" s="1"/>
    </row>
    <row r="728" ht="15.75" customHeight="1">
      <c r="K728" s="1"/>
      <c r="L728" s="1"/>
    </row>
    <row r="729" ht="15.75" customHeight="1">
      <c r="K729" s="1"/>
      <c r="L729" s="1"/>
    </row>
    <row r="730" ht="15.75" customHeight="1">
      <c r="K730" s="1"/>
      <c r="L730" s="1"/>
    </row>
    <row r="731" ht="15.75" customHeight="1">
      <c r="K731" s="1"/>
      <c r="L731" s="1"/>
    </row>
    <row r="732" ht="15.75" customHeight="1">
      <c r="K732" s="1"/>
      <c r="L732" s="1"/>
    </row>
    <row r="733" ht="15.75" customHeight="1">
      <c r="K733" s="1"/>
      <c r="L733" s="1"/>
    </row>
    <row r="734" ht="15.75" customHeight="1">
      <c r="K734" s="1"/>
      <c r="L734" s="1"/>
    </row>
    <row r="735" ht="15.75" customHeight="1">
      <c r="K735" s="1"/>
      <c r="L735" s="1"/>
    </row>
    <row r="736" ht="15.75" customHeight="1">
      <c r="K736" s="1"/>
      <c r="L736" s="1"/>
    </row>
    <row r="737" ht="15.75" customHeight="1">
      <c r="K737" s="1"/>
      <c r="L737" s="1"/>
    </row>
    <row r="738" ht="15.75" customHeight="1">
      <c r="K738" s="1"/>
      <c r="L738" s="1"/>
    </row>
    <row r="739" ht="15.75" customHeight="1">
      <c r="K739" s="1"/>
      <c r="L739" s="1"/>
    </row>
    <row r="740" ht="15.75" customHeight="1">
      <c r="K740" s="1"/>
      <c r="L740" s="1"/>
    </row>
    <row r="741" ht="15.75" customHeight="1">
      <c r="K741" s="1"/>
      <c r="L741" s="1"/>
    </row>
    <row r="742" ht="15.75" customHeight="1">
      <c r="K742" s="1"/>
      <c r="L742" s="1"/>
    </row>
    <row r="743" ht="15.75" customHeight="1">
      <c r="K743" s="1"/>
      <c r="L743" s="1"/>
    </row>
    <row r="744" ht="15.75" customHeight="1">
      <c r="K744" s="1"/>
      <c r="L744" s="1"/>
    </row>
    <row r="745" ht="15.75" customHeight="1">
      <c r="K745" s="1"/>
      <c r="L745" s="1"/>
    </row>
    <row r="746" ht="15.75" customHeight="1">
      <c r="K746" s="1"/>
      <c r="L746" s="1"/>
    </row>
    <row r="747" ht="15.75" customHeight="1">
      <c r="K747" s="1"/>
      <c r="L747" s="1"/>
    </row>
    <row r="748" ht="15.75" customHeight="1">
      <c r="K748" s="1"/>
      <c r="L748" s="1"/>
    </row>
    <row r="749" ht="15.75" customHeight="1">
      <c r="K749" s="1"/>
      <c r="L749" s="1"/>
    </row>
    <row r="750" ht="15.75" customHeight="1">
      <c r="K750" s="1"/>
      <c r="L750" s="1"/>
    </row>
    <row r="751" ht="15.75" customHeight="1">
      <c r="K751" s="1"/>
      <c r="L751" s="1"/>
    </row>
    <row r="752" ht="15.75" customHeight="1">
      <c r="K752" s="1"/>
      <c r="L752" s="1"/>
    </row>
    <row r="753" ht="15.75" customHeight="1">
      <c r="K753" s="1"/>
      <c r="L753" s="1"/>
    </row>
    <row r="754" ht="15.75" customHeight="1">
      <c r="K754" s="1"/>
      <c r="L754" s="1"/>
    </row>
    <row r="755" ht="15.75" customHeight="1">
      <c r="K755" s="1"/>
      <c r="L755" s="1"/>
    </row>
    <row r="756" ht="15.75" customHeight="1">
      <c r="K756" s="1"/>
      <c r="L756" s="1"/>
    </row>
    <row r="757" ht="15.75" customHeight="1">
      <c r="K757" s="1"/>
      <c r="L757" s="1"/>
    </row>
    <row r="758" ht="15.75" customHeight="1">
      <c r="K758" s="1"/>
      <c r="L758" s="1"/>
    </row>
    <row r="759" ht="15.75" customHeight="1">
      <c r="K759" s="1"/>
      <c r="L759" s="1"/>
    </row>
    <row r="760" ht="15.75" customHeight="1">
      <c r="K760" s="1"/>
      <c r="L760" s="1"/>
    </row>
    <row r="761" ht="15.75" customHeight="1">
      <c r="K761" s="1"/>
      <c r="L761" s="1"/>
    </row>
    <row r="762" ht="15.75" customHeight="1">
      <c r="K762" s="1"/>
      <c r="L762" s="1"/>
    </row>
    <row r="763" ht="15.75" customHeight="1">
      <c r="K763" s="1"/>
      <c r="L763" s="1"/>
    </row>
    <row r="764" ht="15.75" customHeight="1">
      <c r="K764" s="1"/>
      <c r="L764" s="1"/>
    </row>
    <row r="765" ht="15.75" customHeight="1">
      <c r="K765" s="1"/>
      <c r="L765" s="1"/>
    </row>
    <row r="766" ht="15.75" customHeight="1">
      <c r="K766" s="1"/>
      <c r="L766" s="1"/>
    </row>
    <row r="767" ht="15.75" customHeight="1">
      <c r="K767" s="1"/>
      <c r="L767" s="1"/>
    </row>
    <row r="768" ht="15.75" customHeight="1">
      <c r="K768" s="1"/>
      <c r="L768" s="1"/>
    </row>
    <row r="769" ht="15.75" customHeight="1">
      <c r="K769" s="1"/>
      <c r="L769" s="1"/>
    </row>
    <row r="770" ht="15.75" customHeight="1">
      <c r="K770" s="1"/>
      <c r="L770" s="1"/>
    </row>
    <row r="771" ht="15.75" customHeight="1">
      <c r="K771" s="1"/>
      <c r="L771" s="1"/>
    </row>
    <row r="772" ht="15.75" customHeight="1">
      <c r="K772" s="1"/>
      <c r="L772" s="1"/>
    </row>
    <row r="773" ht="15.75" customHeight="1">
      <c r="K773" s="1"/>
      <c r="L773" s="1"/>
    </row>
    <row r="774" ht="15.75" customHeight="1">
      <c r="K774" s="1"/>
      <c r="L774" s="1"/>
    </row>
    <row r="775" ht="15.75" customHeight="1">
      <c r="K775" s="1"/>
      <c r="L775" s="1"/>
    </row>
    <row r="776" ht="15.75" customHeight="1">
      <c r="K776" s="1"/>
      <c r="L776" s="1"/>
    </row>
    <row r="777" ht="15.75" customHeight="1">
      <c r="K777" s="1"/>
      <c r="L777" s="1"/>
    </row>
    <row r="778" ht="15.75" customHeight="1">
      <c r="K778" s="1"/>
      <c r="L778" s="1"/>
    </row>
    <row r="779" ht="15.75" customHeight="1">
      <c r="K779" s="1"/>
      <c r="L779" s="1"/>
    </row>
    <row r="780" ht="15.75" customHeight="1">
      <c r="K780" s="1"/>
      <c r="L780" s="1"/>
    </row>
    <row r="781" ht="15.75" customHeight="1">
      <c r="K781" s="1"/>
      <c r="L781" s="1"/>
    </row>
    <row r="782" ht="15.75" customHeight="1">
      <c r="K782" s="1"/>
      <c r="L782" s="1"/>
    </row>
    <row r="783" ht="15.75" customHeight="1">
      <c r="K783" s="1"/>
      <c r="L783" s="1"/>
    </row>
    <row r="784" ht="15.75" customHeight="1">
      <c r="K784" s="1"/>
      <c r="L784" s="1"/>
    </row>
    <row r="785" ht="15.75" customHeight="1">
      <c r="K785" s="1"/>
      <c r="L785" s="1"/>
    </row>
    <row r="786" ht="15.75" customHeight="1">
      <c r="K786" s="1"/>
      <c r="L786" s="1"/>
    </row>
    <row r="787" ht="15.75" customHeight="1">
      <c r="K787" s="1"/>
      <c r="L787" s="1"/>
    </row>
    <row r="788" ht="15.75" customHeight="1">
      <c r="K788" s="1"/>
      <c r="L788" s="1"/>
    </row>
    <row r="789" ht="15.75" customHeight="1">
      <c r="K789" s="1"/>
      <c r="L789" s="1"/>
    </row>
    <row r="790" ht="15.75" customHeight="1">
      <c r="K790" s="1"/>
      <c r="L790" s="1"/>
    </row>
    <row r="791" ht="15.75" customHeight="1">
      <c r="K791" s="1"/>
      <c r="L791" s="1"/>
    </row>
    <row r="792" ht="15.75" customHeight="1">
      <c r="K792" s="1"/>
      <c r="L792" s="1"/>
    </row>
    <row r="793" ht="15.75" customHeight="1">
      <c r="K793" s="1"/>
      <c r="L793" s="1"/>
    </row>
    <row r="794" ht="15.75" customHeight="1">
      <c r="K794" s="1"/>
      <c r="L794" s="1"/>
    </row>
    <row r="795" ht="15.75" customHeight="1">
      <c r="K795" s="1"/>
      <c r="L795" s="1"/>
    </row>
    <row r="796" ht="15.75" customHeight="1">
      <c r="K796" s="1"/>
      <c r="L796" s="1"/>
    </row>
    <row r="797" ht="15.75" customHeight="1">
      <c r="K797" s="1"/>
      <c r="L797" s="1"/>
    </row>
    <row r="798" ht="15.75" customHeight="1">
      <c r="K798" s="1"/>
      <c r="L798" s="1"/>
    </row>
    <row r="799" ht="15.75" customHeight="1">
      <c r="K799" s="1"/>
      <c r="L799" s="1"/>
    </row>
    <row r="800" ht="15.75" customHeight="1">
      <c r="K800" s="1"/>
      <c r="L800" s="1"/>
    </row>
    <row r="801" ht="15.75" customHeight="1">
      <c r="K801" s="1"/>
      <c r="L801" s="1"/>
    </row>
    <row r="802" ht="15.75" customHeight="1">
      <c r="K802" s="1"/>
      <c r="L802" s="1"/>
    </row>
    <row r="803" ht="15.75" customHeight="1">
      <c r="K803" s="1"/>
      <c r="L803" s="1"/>
    </row>
    <row r="804" ht="15.75" customHeight="1">
      <c r="K804" s="1"/>
      <c r="L804" s="1"/>
    </row>
    <row r="805" ht="15.75" customHeight="1">
      <c r="K805" s="1"/>
      <c r="L805" s="1"/>
    </row>
    <row r="806" ht="15.75" customHeight="1">
      <c r="K806" s="1"/>
      <c r="L806" s="1"/>
    </row>
    <row r="807" ht="15.75" customHeight="1">
      <c r="K807" s="1"/>
      <c r="L807" s="1"/>
    </row>
    <row r="808" ht="15.75" customHeight="1">
      <c r="K808" s="1"/>
      <c r="L808" s="1"/>
    </row>
    <row r="809" ht="15.75" customHeight="1">
      <c r="K809" s="1"/>
      <c r="L809" s="1"/>
    </row>
    <row r="810" ht="15.75" customHeight="1">
      <c r="K810" s="1"/>
      <c r="L810" s="1"/>
    </row>
    <row r="811" ht="15.75" customHeight="1">
      <c r="K811" s="1"/>
      <c r="L811" s="1"/>
    </row>
    <row r="812" ht="15.75" customHeight="1">
      <c r="K812" s="1"/>
      <c r="L812" s="1"/>
    </row>
    <row r="813" ht="15.75" customHeight="1">
      <c r="K813" s="1"/>
      <c r="L813" s="1"/>
    </row>
    <row r="814" ht="15.75" customHeight="1">
      <c r="K814" s="1"/>
      <c r="L814" s="1"/>
    </row>
    <row r="815" ht="15.75" customHeight="1">
      <c r="K815" s="1"/>
      <c r="L815" s="1"/>
    </row>
    <row r="816" ht="15.75" customHeight="1">
      <c r="K816" s="1"/>
      <c r="L816" s="1"/>
    </row>
    <row r="817" ht="15.75" customHeight="1">
      <c r="K817" s="1"/>
      <c r="L817" s="1"/>
    </row>
    <row r="818" ht="15.75" customHeight="1">
      <c r="K818" s="1"/>
      <c r="L818" s="1"/>
    </row>
    <row r="819" ht="15.75" customHeight="1">
      <c r="K819" s="1"/>
      <c r="L819" s="1"/>
    </row>
    <row r="820" ht="15.75" customHeight="1">
      <c r="K820" s="1"/>
      <c r="L820" s="1"/>
    </row>
    <row r="821" ht="15.75" customHeight="1">
      <c r="K821" s="1"/>
      <c r="L821" s="1"/>
    </row>
    <row r="822" ht="15.75" customHeight="1">
      <c r="K822" s="1"/>
      <c r="L822" s="1"/>
    </row>
    <row r="823" ht="15.75" customHeight="1">
      <c r="K823" s="1"/>
      <c r="L823" s="1"/>
    </row>
    <row r="824" ht="15.75" customHeight="1">
      <c r="K824" s="1"/>
      <c r="L824" s="1"/>
    </row>
    <row r="825" ht="15.75" customHeight="1">
      <c r="K825" s="1"/>
      <c r="L825" s="1"/>
    </row>
    <row r="826" ht="15.75" customHeight="1">
      <c r="K826" s="1"/>
      <c r="L826" s="1"/>
    </row>
    <row r="827" ht="15.75" customHeight="1">
      <c r="K827" s="1"/>
      <c r="L827" s="1"/>
    </row>
    <row r="828" ht="15.75" customHeight="1">
      <c r="K828" s="1"/>
      <c r="L828" s="1"/>
    </row>
    <row r="829" ht="15.75" customHeight="1">
      <c r="K829" s="1"/>
      <c r="L829" s="1"/>
    </row>
    <row r="830" ht="15.75" customHeight="1">
      <c r="K830" s="1"/>
      <c r="L830" s="1"/>
    </row>
    <row r="831" ht="15.75" customHeight="1">
      <c r="K831" s="1"/>
      <c r="L831" s="1"/>
    </row>
    <row r="832" ht="15.75" customHeight="1">
      <c r="K832" s="1"/>
      <c r="L832" s="1"/>
    </row>
    <row r="833" ht="15.75" customHeight="1">
      <c r="K833" s="1"/>
      <c r="L833" s="1"/>
    </row>
    <row r="834" ht="15.75" customHeight="1">
      <c r="K834" s="1"/>
      <c r="L834" s="1"/>
    </row>
    <row r="835" ht="15.75" customHeight="1">
      <c r="K835" s="1"/>
      <c r="L835" s="1"/>
    </row>
    <row r="836" ht="15.75" customHeight="1">
      <c r="K836" s="1"/>
      <c r="L836" s="1"/>
    </row>
    <row r="837" ht="15.75" customHeight="1">
      <c r="K837" s="1"/>
      <c r="L837" s="1"/>
    </row>
    <row r="838" ht="15.75" customHeight="1">
      <c r="K838" s="1"/>
      <c r="L838" s="1"/>
    </row>
    <row r="839" ht="15.75" customHeight="1">
      <c r="K839" s="1"/>
      <c r="L839" s="1"/>
    </row>
    <row r="840" ht="15.75" customHeight="1">
      <c r="K840" s="1"/>
      <c r="L840" s="1"/>
    </row>
    <row r="841" ht="15.75" customHeight="1">
      <c r="K841" s="1"/>
      <c r="L841" s="1"/>
    </row>
    <row r="842" ht="15.75" customHeight="1">
      <c r="K842" s="1"/>
      <c r="L842" s="1"/>
    </row>
    <row r="843" ht="15.75" customHeight="1">
      <c r="K843" s="1"/>
      <c r="L843" s="1"/>
    </row>
    <row r="844" ht="15.75" customHeight="1">
      <c r="K844" s="1"/>
      <c r="L844" s="1"/>
    </row>
    <row r="845" ht="15.75" customHeight="1">
      <c r="K845" s="1"/>
      <c r="L845" s="1"/>
    </row>
    <row r="846" ht="15.75" customHeight="1">
      <c r="K846" s="1"/>
      <c r="L846" s="1"/>
    </row>
    <row r="847" ht="15.75" customHeight="1">
      <c r="K847" s="1"/>
      <c r="L847" s="1"/>
    </row>
    <row r="848" ht="15.75" customHeight="1">
      <c r="K848" s="1"/>
      <c r="L848" s="1"/>
    </row>
    <row r="849" ht="15.75" customHeight="1">
      <c r="K849" s="1"/>
      <c r="L849" s="1"/>
    </row>
    <row r="850" ht="15.75" customHeight="1">
      <c r="K850" s="1"/>
      <c r="L850" s="1"/>
    </row>
    <row r="851" ht="15.75" customHeight="1">
      <c r="K851" s="1"/>
      <c r="L851" s="1"/>
    </row>
    <row r="852" ht="15.75" customHeight="1">
      <c r="K852" s="1"/>
      <c r="L852" s="1"/>
    </row>
    <row r="853" ht="15.75" customHeight="1">
      <c r="K853" s="1"/>
      <c r="L853" s="1"/>
    </row>
    <row r="854" ht="15.75" customHeight="1">
      <c r="K854" s="1"/>
      <c r="L854" s="1"/>
    </row>
    <row r="855" ht="15.75" customHeight="1">
      <c r="K855" s="1"/>
      <c r="L855" s="1"/>
    </row>
    <row r="856" ht="15.75" customHeight="1">
      <c r="K856" s="1"/>
      <c r="L856" s="1"/>
    </row>
    <row r="857" ht="15.75" customHeight="1">
      <c r="K857" s="1"/>
      <c r="L857" s="1"/>
    </row>
    <row r="858" ht="15.75" customHeight="1">
      <c r="K858" s="1"/>
      <c r="L858" s="1"/>
    </row>
    <row r="859" ht="15.75" customHeight="1">
      <c r="K859" s="1"/>
      <c r="L859" s="1"/>
    </row>
    <row r="860" ht="15.75" customHeight="1">
      <c r="K860" s="1"/>
      <c r="L860" s="1"/>
    </row>
    <row r="861" ht="15.75" customHeight="1">
      <c r="K861" s="1"/>
      <c r="L861" s="1"/>
    </row>
    <row r="862" ht="15.75" customHeight="1">
      <c r="K862" s="1"/>
      <c r="L862" s="1"/>
    </row>
    <row r="863" ht="15.75" customHeight="1">
      <c r="K863" s="1"/>
      <c r="L863" s="1"/>
    </row>
    <row r="864" ht="15.75" customHeight="1">
      <c r="K864" s="1"/>
      <c r="L864" s="1"/>
    </row>
    <row r="865" ht="15.75" customHeight="1">
      <c r="K865" s="1"/>
      <c r="L865" s="1"/>
    </row>
    <row r="866" ht="15.75" customHeight="1">
      <c r="K866" s="1"/>
      <c r="L866" s="1"/>
    </row>
    <row r="867" ht="15.75" customHeight="1">
      <c r="K867" s="1"/>
      <c r="L867" s="1"/>
    </row>
    <row r="868" ht="15.75" customHeight="1">
      <c r="K868" s="1"/>
      <c r="L868" s="1"/>
    </row>
    <row r="869" ht="15.75" customHeight="1">
      <c r="K869" s="1"/>
      <c r="L869" s="1"/>
    </row>
    <row r="870" ht="15.75" customHeight="1">
      <c r="K870" s="1"/>
      <c r="L870" s="1"/>
    </row>
    <row r="871" ht="15.75" customHeight="1">
      <c r="K871" s="1"/>
      <c r="L871" s="1"/>
    </row>
    <row r="872" ht="15.75" customHeight="1">
      <c r="K872" s="1"/>
      <c r="L872" s="1"/>
    </row>
    <row r="873" ht="15.75" customHeight="1">
      <c r="K873" s="1"/>
      <c r="L873" s="1"/>
    </row>
    <row r="874" ht="15.75" customHeight="1">
      <c r="K874" s="1"/>
      <c r="L874" s="1"/>
    </row>
    <row r="875" ht="15.75" customHeight="1">
      <c r="K875" s="1"/>
      <c r="L875" s="1"/>
    </row>
    <row r="876" ht="15.75" customHeight="1">
      <c r="K876" s="1"/>
      <c r="L876" s="1"/>
    </row>
    <row r="877" ht="15.75" customHeight="1">
      <c r="K877" s="1"/>
      <c r="L877" s="1"/>
    </row>
    <row r="878" ht="15.75" customHeight="1">
      <c r="K878" s="1"/>
      <c r="L878" s="1"/>
    </row>
    <row r="879" ht="15.75" customHeight="1">
      <c r="K879" s="1"/>
      <c r="L879" s="1"/>
    </row>
    <row r="880" ht="15.75" customHeight="1">
      <c r="K880" s="1"/>
      <c r="L880" s="1"/>
    </row>
    <row r="881" ht="15.75" customHeight="1">
      <c r="K881" s="1"/>
      <c r="L881" s="1"/>
    </row>
    <row r="882" ht="15.75" customHeight="1">
      <c r="K882" s="1"/>
      <c r="L882" s="1"/>
    </row>
    <row r="883" ht="15.75" customHeight="1">
      <c r="K883" s="1"/>
      <c r="L883" s="1"/>
    </row>
    <row r="884" ht="15.75" customHeight="1">
      <c r="K884" s="1"/>
      <c r="L884" s="1"/>
    </row>
    <row r="885" ht="15.75" customHeight="1">
      <c r="K885" s="1"/>
      <c r="L885" s="1"/>
    </row>
    <row r="886" ht="15.75" customHeight="1">
      <c r="K886" s="1"/>
      <c r="L886" s="1"/>
    </row>
    <row r="887" ht="15.75" customHeight="1">
      <c r="K887" s="1"/>
      <c r="L887" s="1"/>
    </row>
    <row r="888" ht="15.75" customHeight="1">
      <c r="K888" s="1"/>
      <c r="L888" s="1"/>
    </row>
    <row r="889" ht="15.75" customHeight="1">
      <c r="K889" s="1"/>
      <c r="L889" s="1"/>
    </row>
    <row r="890" ht="15.75" customHeight="1">
      <c r="K890" s="1"/>
      <c r="L890" s="1"/>
    </row>
    <row r="891" ht="15.75" customHeight="1">
      <c r="K891" s="1"/>
      <c r="L891" s="1"/>
    </row>
    <row r="892" ht="15.75" customHeight="1">
      <c r="K892" s="1"/>
      <c r="L892" s="1"/>
    </row>
    <row r="893" ht="15.75" customHeight="1">
      <c r="K893" s="1"/>
      <c r="L893" s="1"/>
    </row>
    <row r="894" ht="15.75" customHeight="1">
      <c r="K894" s="1"/>
      <c r="L894" s="1"/>
    </row>
    <row r="895" ht="15.75" customHeight="1">
      <c r="K895" s="1"/>
      <c r="L895" s="1"/>
    </row>
    <row r="896" ht="15.75" customHeight="1">
      <c r="K896" s="1"/>
      <c r="L896" s="1"/>
    </row>
    <row r="897" ht="15.75" customHeight="1">
      <c r="K897" s="1"/>
      <c r="L897" s="1"/>
    </row>
    <row r="898" ht="15.75" customHeight="1">
      <c r="K898" s="1"/>
      <c r="L898" s="1"/>
    </row>
    <row r="899" ht="15.75" customHeight="1">
      <c r="K899" s="1"/>
      <c r="L899" s="1"/>
    </row>
    <row r="900" ht="15.75" customHeight="1">
      <c r="K900" s="1"/>
      <c r="L900" s="1"/>
    </row>
    <row r="901" ht="15.75" customHeight="1">
      <c r="K901" s="1"/>
      <c r="L901" s="1"/>
    </row>
    <row r="902" ht="15.75" customHeight="1">
      <c r="K902" s="1"/>
      <c r="L902" s="1"/>
    </row>
    <row r="903" ht="15.75" customHeight="1">
      <c r="K903" s="1"/>
      <c r="L903" s="1"/>
    </row>
    <row r="904" ht="15.75" customHeight="1">
      <c r="K904" s="1"/>
      <c r="L904" s="1"/>
    </row>
    <row r="905" ht="15.75" customHeight="1">
      <c r="K905" s="1"/>
      <c r="L905" s="1"/>
    </row>
    <row r="906" ht="15.75" customHeight="1">
      <c r="K906" s="1"/>
      <c r="L906" s="1"/>
    </row>
    <row r="907" ht="15.75" customHeight="1">
      <c r="K907" s="1"/>
      <c r="L907" s="1"/>
    </row>
    <row r="908" ht="15.75" customHeight="1">
      <c r="K908" s="1"/>
      <c r="L908" s="1"/>
    </row>
    <row r="909" ht="15.75" customHeight="1">
      <c r="K909" s="1"/>
      <c r="L909" s="1"/>
    </row>
    <row r="910" ht="15.75" customHeight="1">
      <c r="K910" s="1"/>
      <c r="L910" s="1"/>
    </row>
    <row r="911" ht="15.75" customHeight="1">
      <c r="K911" s="1"/>
      <c r="L911" s="1"/>
    </row>
    <row r="912" ht="15.75" customHeight="1">
      <c r="K912" s="1"/>
      <c r="L912" s="1"/>
    </row>
    <row r="913" ht="15.75" customHeight="1">
      <c r="K913" s="1"/>
      <c r="L913" s="1"/>
    </row>
    <row r="914" ht="15.75" customHeight="1">
      <c r="K914" s="1"/>
      <c r="L914" s="1"/>
    </row>
    <row r="915" ht="15.75" customHeight="1">
      <c r="K915" s="1"/>
      <c r="L915" s="1"/>
    </row>
    <row r="916" ht="15.75" customHeight="1">
      <c r="K916" s="1"/>
      <c r="L916" s="1"/>
    </row>
    <row r="917" ht="15.75" customHeight="1">
      <c r="K917" s="1"/>
      <c r="L917" s="1"/>
    </row>
    <row r="918" ht="15.75" customHeight="1">
      <c r="K918" s="1"/>
      <c r="L918" s="1"/>
    </row>
    <row r="919" ht="15.75" customHeight="1">
      <c r="K919" s="1"/>
      <c r="L919" s="1"/>
    </row>
    <row r="920" ht="15.75" customHeight="1">
      <c r="K920" s="1"/>
      <c r="L920" s="1"/>
    </row>
    <row r="921" ht="15.75" customHeight="1">
      <c r="K921" s="1"/>
      <c r="L921" s="1"/>
    </row>
    <row r="922" ht="15.75" customHeight="1">
      <c r="K922" s="1"/>
      <c r="L922" s="1"/>
    </row>
    <row r="923" ht="15.75" customHeight="1">
      <c r="K923" s="1"/>
      <c r="L923" s="1"/>
    </row>
    <row r="924" ht="15.75" customHeight="1">
      <c r="K924" s="1"/>
      <c r="L924" s="1"/>
    </row>
    <row r="925" ht="15.75" customHeight="1">
      <c r="K925" s="1"/>
      <c r="L925" s="1"/>
    </row>
    <row r="926" ht="15.75" customHeight="1">
      <c r="K926" s="1"/>
      <c r="L926" s="1"/>
    </row>
    <row r="927" ht="15.75" customHeight="1">
      <c r="K927" s="1"/>
      <c r="L927" s="1"/>
    </row>
    <row r="928" ht="15.75" customHeight="1">
      <c r="K928" s="1"/>
      <c r="L928" s="1"/>
    </row>
    <row r="929" ht="15.75" customHeight="1">
      <c r="K929" s="1"/>
      <c r="L929" s="1"/>
    </row>
    <row r="930" ht="15.75" customHeight="1">
      <c r="K930" s="1"/>
      <c r="L930" s="1"/>
    </row>
    <row r="931" ht="15.75" customHeight="1">
      <c r="K931" s="1"/>
      <c r="L931" s="1"/>
    </row>
    <row r="932" ht="15.75" customHeight="1">
      <c r="K932" s="1"/>
      <c r="L932" s="1"/>
    </row>
    <row r="933" ht="15.75" customHeight="1">
      <c r="K933" s="1"/>
      <c r="L933" s="1"/>
    </row>
    <row r="934" ht="15.75" customHeight="1">
      <c r="K934" s="1"/>
      <c r="L934" s="1"/>
    </row>
    <row r="935" ht="15.75" customHeight="1">
      <c r="K935" s="1"/>
      <c r="L935" s="1"/>
    </row>
    <row r="936" ht="15.75" customHeight="1">
      <c r="K936" s="1"/>
      <c r="L936" s="1"/>
    </row>
    <row r="937" ht="15.75" customHeight="1">
      <c r="K937" s="1"/>
      <c r="L937" s="1"/>
    </row>
    <row r="938" ht="15.75" customHeight="1">
      <c r="K938" s="1"/>
      <c r="L938" s="1"/>
    </row>
    <row r="939" ht="15.75" customHeight="1">
      <c r="K939" s="1"/>
      <c r="L939" s="1"/>
    </row>
    <row r="940" ht="15.75" customHeight="1">
      <c r="K940" s="1"/>
      <c r="L940" s="1"/>
    </row>
    <row r="941" ht="15.75" customHeight="1">
      <c r="K941" s="1"/>
      <c r="L941" s="1"/>
    </row>
    <row r="942" ht="15.75" customHeight="1">
      <c r="K942" s="1"/>
      <c r="L942" s="1"/>
    </row>
    <row r="943" ht="15.75" customHeight="1">
      <c r="K943" s="1"/>
      <c r="L943" s="1"/>
    </row>
    <row r="944" ht="15.75" customHeight="1">
      <c r="K944" s="1"/>
      <c r="L944" s="1"/>
    </row>
    <row r="945" ht="15.75" customHeight="1">
      <c r="K945" s="1"/>
      <c r="L945" s="1"/>
    </row>
    <row r="946" ht="15.75" customHeight="1">
      <c r="K946" s="1"/>
      <c r="L946" s="1"/>
    </row>
    <row r="947" ht="15.75" customHeight="1">
      <c r="K947" s="1"/>
      <c r="L947" s="1"/>
    </row>
    <row r="948" ht="15.75" customHeight="1">
      <c r="K948" s="1"/>
      <c r="L948" s="1"/>
    </row>
    <row r="949" ht="15.75" customHeight="1">
      <c r="K949" s="1"/>
      <c r="L949" s="1"/>
    </row>
    <row r="950" ht="15.75" customHeight="1">
      <c r="K950" s="1"/>
      <c r="L950" s="1"/>
    </row>
    <row r="951" ht="15.75" customHeight="1">
      <c r="K951" s="1"/>
      <c r="L951" s="1"/>
    </row>
    <row r="952" ht="15.75" customHeight="1">
      <c r="K952" s="1"/>
      <c r="L952" s="1"/>
    </row>
    <row r="953" ht="15.75" customHeight="1">
      <c r="K953" s="1"/>
      <c r="L953" s="1"/>
    </row>
    <row r="954" ht="15.75" customHeight="1">
      <c r="K954" s="1"/>
      <c r="L954" s="1"/>
    </row>
    <row r="955" ht="15.75" customHeight="1">
      <c r="K955" s="1"/>
      <c r="L955" s="1"/>
    </row>
    <row r="956" ht="15.75" customHeight="1">
      <c r="K956" s="1"/>
      <c r="L956" s="1"/>
    </row>
    <row r="957" ht="15.75" customHeight="1">
      <c r="K957" s="1"/>
      <c r="L957" s="1"/>
    </row>
    <row r="958" ht="15.75" customHeight="1">
      <c r="K958" s="1"/>
      <c r="L958" s="1"/>
    </row>
    <row r="959" ht="15.75" customHeight="1">
      <c r="K959" s="1"/>
      <c r="L959" s="1"/>
    </row>
    <row r="960" ht="15.75" customHeight="1">
      <c r="K960" s="1"/>
      <c r="L960" s="1"/>
    </row>
    <row r="961" ht="15.75" customHeight="1">
      <c r="K961" s="1"/>
      <c r="L961" s="1"/>
    </row>
    <row r="962" ht="15.75" customHeight="1">
      <c r="K962" s="1"/>
      <c r="L962" s="1"/>
    </row>
    <row r="963" ht="15.75" customHeight="1">
      <c r="K963" s="1"/>
      <c r="L963" s="1"/>
    </row>
    <row r="964" ht="15.75" customHeight="1">
      <c r="K964" s="1"/>
      <c r="L964" s="1"/>
    </row>
    <row r="965" ht="15.75" customHeight="1">
      <c r="K965" s="1"/>
      <c r="L965" s="1"/>
    </row>
    <row r="966" ht="15.75" customHeight="1">
      <c r="K966" s="1"/>
      <c r="L966" s="1"/>
    </row>
    <row r="967" ht="15.75" customHeight="1">
      <c r="K967" s="1"/>
      <c r="L967" s="1"/>
    </row>
    <row r="968" ht="15.75" customHeight="1">
      <c r="K968" s="1"/>
      <c r="L968" s="1"/>
    </row>
    <row r="969" ht="15.75" customHeight="1">
      <c r="K969" s="1"/>
      <c r="L969" s="1"/>
    </row>
    <row r="970" ht="15.75" customHeight="1">
      <c r="K970" s="1"/>
      <c r="L970" s="1"/>
    </row>
    <row r="971" ht="15.75" customHeight="1">
      <c r="K971" s="1"/>
      <c r="L971" s="1"/>
    </row>
    <row r="972" ht="15.75" customHeight="1">
      <c r="K972" s="1"/>
      <c r="L972" s="1"/>
    </row>
    <row r="973" ht="15.75" customHeight="1">
      <c r="K973" s="1"/>
      <c r="L973" s="1"/>
    </row>
    <row r="974" ht="15.75" customHeight="1">
      <c r="K974" s="1"/>
      <c r="L974" s="1"/>
    </row>
    <row r="975" ht="15.75" customHeight="1">
      <c r="K975" s="1"/>
      <c r="L975" s="1"/>
    </row>
    <row r="976" ht="15.75" customHeight="1">
      <c r="K976" s="1"/>
      <c r="L976" s="1"/>
    </row>
    <row r="977" ht="15.75" customHeight="1">
      <c r="K977" s="1"/>
      <c r="L977" s="1"/>
    </row>
    <row r="978" ht="15.75" customHeight="1">
      <c r="K978" s="1"/>
      <c r="L978" s="1"/>
    </row>
    <row r="979" ht="15.75" customHeight="1">
      <c r="K979" s="1"/>
      <c r="L979" s="1"/>
    </row>
    <row r="980" ht="15.75" customHeight="1">
      <c r="K980" s="1"/>
      <c r="L980" s="1"/>
    </row>
    <row r="981" ht="15.75" customHeight="1">
      <c r="K981" s="1"/>
      <c r="L981" s="1"/>
    </row>
    <row r="982" ht="15.75" customHeight="1">
      <c r="K982" s="1"/>
      <c r="L982" s="1"/>
    </row>
    <row r="983" ht="15.75" customHeight="1">
      <c r="K983" s="1"/>
      <c r="L983" s="1"/>
    </row>
    <row r="984" ht="15.75" customHeight="1">
      <c r="K984" s="1"/>
      <c r="L984" s="1"/>
    </row>
    <row r="985" ht="15.75" customHeight="1">
      <c r="K985" s="1"/>
      <c r="L985" s="1"/>
    </row>
    <row r="986" ht="15.75" customHeight="1">
      <c r="K986" s="1"/>
      <c r="L986" s="1"/>
    </row>
    <row r="987" ht="15.75" customHeight="1">
      <c r="K987" s="1"/>
      <c r="L987" s="1"/>
    </row>
    <row r="988" ht="15.75" customHeight="1">
      <c r="K988" s="1"/>
      <c r="L988" s="1"/>
    </row>
    <row r="989" ht="15.75" customHeight="1">
      <c r="K989" s="1"/>
      <c r="L989" s="1"/>
    </row>
    <row r="990" ht="15.75" customHeight="1">
      <c r="K990" s="1"/>
      <c r="L990" s="1"/>
    </row>
    <row r="991" ht="15.75" customHeight="1">
      <c r="K991" s="1"/>
      <c r="L991" s="1"/>
    </row>
    <row r="992" ht="15.75" customHeight="1">
      <c r="K992" s="1"/>
      <c r="L992" s="1"/>
    </row>
    <row r="993" ht="15.75" customHeight="1">
      <c r="K993" s="1"/>
      <c r="L993" s="1"/>
    </row>
    <row r="994" ht="15.75" customHeight="1">
      <c r="K994" s="1"/>
      <c r="L994" s="1"/>
    </row>
    <row r="995" ht="15.75" customHeight="1">
      <c r="K995" s="1"/>
      <c r="L995" s="1"/>
    </row>
    <row r="996" ht="15.75" customHeight="1">
      <c r="K996" s="1"/>
      <c r="L996" s="1"/>
    </row>
    <row r="997" ht="15.75" customHeight="1">
      <c r="K997" s="1"/>
      <c r="L997" s="1"/>
    </row>
    <row r="998" ht="15.75" customHeight="1">
      <c r="K998" s="1"/>
      <c r="L998" s="1"/>
    </row>
    <row r="999" ht="15.75" customHeight="1">
      <c r="K999" s="1"/>
      <c r="L999" s="1"/>
    </row>
    <row r="1000" ht="15.75" customHeight="1">
      <c r="K1000" s="1"/>
      <c r="L1000" s="1"/>
    </row>
  </sheetData>
  <mergeCells count="5">
    <mergeCell ref="A7:I7"/>
    <mergeCell ref="A8:A9"/>
    <mergeCell ref="B8:B9"/>
    <mergeCell ref="C8:I8"/>
    <mergeCell ref="A205:B205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4.43" defaultRowHeight="15.0"/>
  <cols>
    <col customWidth="1" min="1" max="1" width="12.29"/>
    <col customWidth="1" min="2" max="2" width="25.71"/>
    <col customWidth="1" min="3" max="3" width="21.71"/>
    <col customWidth="1" min="4" max="4" width="31.71"/>
    <col customWidth="1" min="5" max="5" width="10.71"/>
    <col customWidth="1" min="6" max="11" width="14.14"/>
    <col customWidth="1" min="12" max="17" width="15.29"/>
    <col customWidth="1" min="18" max="23" width="22.86"/>
    <col customWidth="1" min="24" max="25" width="32.57"/>
    <col customWidth="1" min="26" max="26" width="10.71"/>
  </cols>
  <sheetData>
    <row r="1" ht="30.0" customHeight="1">
      <c r="A1" s="24" t="s">
        <v>417</v>
      </c>
      <c r="B1" s="24" t="s">
        <v>418</v>
      </c>
      <c r="C1" s="24" t="s">
        <v>419</v>
      </c>
      <c r="D1" s="24" t="s">
        <v>420</v>
      </c>
      <c r="E1" s="24" t="s">
        <v>421</v>
      </c>
      <c r="F1" s="24" t="s">
        <v>422</v>
      </c>
      <c r="G1" s="24" t="s">
        <v>423</v>
      </c>
      <c r="H1" s="24" t="s">
        <v>424</v>
      </c>
      <c r="I1" s="24" t="s">
        <v>425</v>
      </c>
      <c r="J1" s="24" t="s">
        <v>426</v>
      </c>
      <c r="K1" s="24" t="s">
        <v>427</v>
      </c>
      <c r="L1" s="24" t="s">
        <v>428</v>
      </c>
      <c r="M1" s="24" t="s">
        <v>429</v>
      </c>
      <c r="N1" s="24" t="s">
        <v>430</v>
      </c>
      <c r="O1" s="24" t="s">
        <v>431</v>
      </c>
      <c r="P1" s="24" t="s">
        <v>432</v>
      </c>
      <c r="Q1" s="24" t="s">
        <v>433</v>
      </c>
      <c r="R1" s="24" t="s">
        <v>434</v>
      </c>
      <c r="S1" s="24" t="s">
        <v>435</v>
      </c>
      <c r="T1" s="24" t="s">
        <v>436</v>
      </c>
      <c r="U1" s="24" t="s">
        <v>437</v>
      </c>
      <c r="V1" s="24" t="s">
        <v>438</v>
      </c>
      <c r="W1" s="24" t="s">
        <v>439</v>
      </c>
      <c r="X1" s="24" t="s">
        <v>440</v>
      </c>
      <c r="Y1" s="24" t="s">
        <v>441</v>
      </c>
      <c r="Z1" s="25"/>
    </row>
    <row r="2" ht="14.25" customHeight="1">
      <c r="A2" s="13" t="s">
        <v>442</v>
      </c>
      <c r="B2" s="13" t="s">
        <v>443</v>
      </c>
      <c r="C2" s="13" t="s">
        <v>15</v>
      </c>
      <c r="D2" s="13" t="s">
        <v>15</v>
      </c>
      <c r="E2" s="26">
        <v>10101.0</v>
      </c>
      <c r="F2" s="26">
        <v>276257.0</v>
      </c>
      <c r="G2" s="26">
        <v>279184.0</v>
      </c>
      <c r="H2" s="26">
        <v>282111.0</v>
      </c>
      <c r="I2" s="26">
        <v>290892.0</v>
      </c>
      <c r="J2" s="26">
        <v>293819.0</v>
      </c>
      <c r="K2" s="26">
        <v>296746.0</v>
      </c>
      <c r="L2" s="13">
        <v>21.0</v>
      </c>
      <c r="M2" s="13">
        <v>12.0</v>
      </c>
      <c r="N2" s="13">
        <v>11.0</v>
      </c>
      <c r="O2" s="13">
        <v>10.0</v>
      </c>
      <c r="P2" s="13">
        <v>5.0</v>
      </c>
      <c r="Q2" s="13">
        <v>5.0</v>
      </c>
      <c r="R2" s="27">
        <f t="shared" ref="R2:W2" si="1">(L2/F2)*100000</f>
        <v>7.601617335</v>
      </c>
      <c r="S2" s="27">
        <f t="shared" si="1"/>
        <v>4.298240587</v>
      </c>
      <c r="T2" s="27">
        <f t="shared" si="1"/>
        <v>3.899174438</v>
      </c>
      <c r="U2" s="27">
        <f t="shared" si="1"/>
        <v>3.437701965</v>
      </c>
      <c r="V2" s="27">
        <f t="shared" si="1"/>
        <v>1.701727935</v>
      </c>
      <c r="W2" s="27">
        <f t="shared" si="1"/>
        <v>1.684942678</v>
      </c>
      <c r="X2" s="27">
        <f t="shared" ref="X2:X344" si="3">AVERAGE(R2:T2)</f>
        <v>5.26634412</v>
      </c>
      <c r="Y2" s="27">
        <f t="shared" ref="Y2:Y344" si="4">AVERAGE(U2:W2)</f>
        <v>2.274790859</v>
      </c>
    </row>
    <row r="3" ht="14.25" customHeight="1">
      <c r="A3" s="13" t="s">
        <v>442</v>
      </c>
      <c r="B3" s="13" t="s">
        <v>443</v>
      </c>
      <c r="C3" s="13" t="s">
        <v>17</v>
      </c>
      <c r="D3" s="13" t="s">
        <v>17</v>
      </c>
      <c r="E3" s="26">
        <v>10102.0</v>
      </c>
      <c r="F3" s="26">
        <v>9376.0</v>
      </c>
      <c r="G3" s="26">
        <v>9359.0</v>
      </c>
      <c r="H3" s="26">
        <v>9341.0</v>
      </c>
      <c r="I3" s="26">
        <v>9290.0</v>
      </c>
      <c r="J3" s="26">
        <v>9273.0</v>
      </c>
      <c r="K3" s="26">
        <v>9256.0</v>
      </c>
      <c r="L3" s="13">
        <v>0.0</v>
      </c>
      <c r="M3" s="13">
        <v>0.0</v>
      </c>
      <c r="N3" s="13">
        <v>0.0</v>
      </c>
      <c r="O3" s="13">
        <v>1.0</v>
      </c>
      <c r="P3" s="13">
        <v>0.0</v>
      </c>
      <c r="Q3" s="13">
        <v>0.0</v>
      </c>
      <c r="R3" s="27">
        <f t="shared" ref="R3:W3" si="2">(L3/F3)*100000</f>
        <v>0</v>
      </c>
      <c r="S3" s="27">
        <f t="shared" si="2"/>
        <v>0</v>
      </c>
      <c r="T3" s="27">
        <f t="shared" si="2"/>
        <v>0</v>
      </c>
      <c r="U3" s="27">
        <f t="shared" si="2"/>
        <v>10.76426265</v>
      </c>
      <c r="V3" s="27">
        <f t="shared" si="2"/>
        <v>0</v>
      </c>
      <c r="W3" s="27">
        <f t="shared" si="2"/>
        <v>0</v>
      </c>
      <c r="X3" s="27">
        <f t="shared" si="3"/>
        <v>0</v>
      </c>
      <c r="Y3" s="27">
        <f t="shared" si="4"/>
        <v>3.588087549</v>
      </c>
    </row>
    <row r="4" ht="14.25" customHeight="1">
      <c r="A4" s="13" t="s">
        <v>442</v>
      </c>
      <c r="B4" s="13" t="s">
        <v>443</v>
      </c>
      <c r="C4" s="13" t="s">
        <v>20</v>
      </c>
      <c r="D4" s="13" t="s">
        <v>20</v>
      </c>
      <c r="E4" s="26">
        <v>10103.0</v>
      </c>
      <c r="F4" s="26">
        <v>15331.0</v>
      </c>
      <c r="G4" s="26">
        <v>15091.0</v>
      </c>
      <c r="H4" s="26">
        <v>14850.0</v>
      </c>
      <c r="I4" s="26">
        <v>14130.0</v>
      </c>
      <c r="J4" s="26">
        <v>13889.0</v>
      </c>
      <c r="K4" s="26">
        <v>13649.0</v>
      </c>
      <c r="L4" s="13">
        <v>1.0</v>
      </c>
      <c r="M4" s="13">
        <v>1.0</v>
      </c>
      <c r="N4" s="13">
        <v>0.0</v>
      </c>
      <c r="O4" s="13">
        <v>1.0</v>
      </c>
      <c r="P4" s="13">
        <v>0.0</v>
      </c>
      <c r="Q4" s="13">
        <v>0.0</v>
      </c>
      <c r="R4" s="27">
        <f t="shared" ref="R4:W4" si="5">(L4/F4)*100000</f>
        <v>6.52273172</v>
      </c>
      <c r="S4" s="27">
        <f t="shared" si="5"/>
        <v>6.626466106</v>
      </c>
      <c r="T4" s="27">
        <f t="shared" si="5"/>
        <v>0</v>
      </c>
      <c r="U4" s="27">
        <f t="shared" si="5"/>
        <v>7.077140835</v>
      </c>
      <c r="V4" s="27">
        <f t="shared" si="5"/>
        <v>0</v>
      </c>
      <c r="W4" s="27">
        <f t="shared" si="5"/>
        <v>0</v>
      </c>
      <c r="X4" s="27">
        <f t="shared" si="3"/>
        <v>4.383065942</v>
      </c>
      <c r="Y4" s="27">
        <f t="shared" si="4"/>
        <v>2.359046945</v>
      </c>
    </row>
    <row r="5" ht="14.25" customHeight="1">
      <c r="A5" s="13" t="s">
        <v>442</v>
      </c>
      <c r="B5" s="13" t="s">
        <v>444</v>
      </c>
      <c r="C5" s="13" t="s">
        <v>445</v>
      </c>
      <c r="D5" s="13" t="s">
        <v>445</v>
      </c>
      <c r="E5" s="26">
        <v>10201.0</v>
      </c>
      <c r="F5" s="26">
        <v>9507.0</v>
      </c>
      <c r="G5" s="26">
        <v>9278.0</v>
      </c>
      <c r="H5" s="26">
        <v>9048.0</v>
      </c>
      <c r="I5" s="26">
        <v>8361.0</v>
      </c>
      <c r="J5" s="26">
        <v>8132.0</v>
      </c>
      <c r="K5" s="26">
        <v>7903.0</v>
      </c>
      <c r="L5" s="13">
        <v>0.0</v>
      </c>
      <c r="M5" s="13">
        <v>0.0</v>
      </c>
      <c r="N5" s="13">
        <v>0.0</v>
      </c>
      <c r="O5" s="13">
        <v>0.0</v>
      </c>
      <c r="P5" s="13">
        <v>0.0</v>
      </c>
      <c r="Q5" s="13">
        <v>0.0</v>
      </c>
      <c r="R5" s="27">
        <f t="shared" ref="R5:W5" si="6">(L5/F5)*100000</f>
        <v>0</v>
      </c>
      <c r="S5" s="27">
        <f t="shared" si="6"/>
        <v>0</v>
      </c>
      <c r="T5" s="27">
        <f t="shared" si="6"/>
        <v>0</v>
      </c>
      <c r="U5" s="27">
        <f t="shared" si="6"/>
        <v>0</v>
      </c>
      <c r="V5" s="27">
        <f t="shared" si="6"/>
        <v>0</v>
      </c>
      <c r="W5" s="27">
        <f t="shared" si="6"/>
        <v>0</v>
      </c>
      <c r="X5" s="27">
        <f t="shared" si="3"/>
        <v>0</v>
      </c>
      <c r="Y5" s="27">
        <f t="shared" si="4"/>
        <v>0</v>
      </c>
    </row>
    <row r="6" ht="14.25" customHeight="1">
      <c r="A6" s="13" t="s">
        <v>442</v>
      </c>
      <c r="B6" s="13" t="s">
        <v>444</v>
      </c>
      <c r="C6" s="13" t="s">
        <v>42</v>
      </c>
      <c r="D6" s="13" t="s">
        <v>446</v>
      </c>
      <c r="E6" s="26">
        <v>10202.0</v>
      </c>
      <c r="F6" s="26">
        <v>15324.0</v>
      </c>
      <c r="G6" s="26">
        <v>15537.0</v>
      </c>
      <c r="H6" s="26">
        <v>15749.0</v>
      </c>
      <c r="I6" s="26">
        <v>16387.0</v>
      </c>
      <c r="J6" s="26">
        <v>16599.0</v>
      </c>
      <c r="K6" s="26">
        <v>16812.0</v>
      </c>
      <c r="L6" s="13">
        <v>0.0</v>
      </c>
      <c r="M6" s="13">
        <v>0.0</v>
      </c>
      <c r="N6" s="13">
        <v>0.0</v>
      </c>
      <c r="O6" s="13">
        <v>0.0</v>
      </c>
      <c r="P6" s="13">
        <v>0.0</v>
      </c>
      <c r="Q6" s="13">
        <v>0.0</v>
      </c>
      <c r="R6" s="27">
        <f t="shared" ref="R6:W6" si="7">(L6/F6)*100000</f>
        <v>0</v>
      </c>
      <c r="S6" s="27">
        <f t="shared" si="7"/>
        <v>0</v>
      </c>
      <c r="T6" s="27">
        <f t="shared" si="7"/>
        <v>0</v>
      </c>
      <c r="U6" s="27">
        <f t="shared" si="7"/>
        <v>0</v>
      </c>
      <c r="V6" s="27">
        <f t="shared" si="7"/>
        <v>0</v>
      </c>
      <c r="W6" s="27">
        <f t="shared" si="7"/>
        <v>0</v>
      </c>
      <c r="X6" s="27">
        <f t="shared" si="3"/>
        <v>0</v>
      </c>
      <c r="Y6" s="27">
        <f t="shared" si="4"/>
        <v>0</v>
      </c>
    </row>
    <row r="7" ht="14.25" customHeight="1">
      <c r="A7" s="13" t="s">
        <v>442</v>
      </c>
      <c r="B7" s="13" t="s">
        <v>447</v>
      </c>
      <c r="C7" s="13" t="s">
        <v>448</v>
      </c>
      <c r="D7" s="13" t="s">
        <v>449</v>
      </c>
      <c r="E7" s="26">
        <v>10301.0</v>
      </c>
      <c r="F7" s="26">
        <v>12334.0</v>
      </c>
      <c r="G7" s="26">
        <v>12528.0</v>
      </c>
      <c r="H7" s="26">
        <v>12722.0</v>
      </c>
      <c r="I7" s="26">
        <v>13305.0</v>
      </c>
      <c r="J7" s="26">
        <v>13500.0</v>
      </c>
      <c r="K7" s="26">
        <v>13694.0</v>
      </c>
      <c r="L7" s="13">
        <v>0.0</v>
      </c>
      <c r="M7" s="13">
        <v>0.0</v>
      </c>
      <c r="N7" s="13">
        <v>0.0</v>
      </c>
      <c r="O7" s="13">
        <v>0.0</v>
      </c>
      <c r="P7" s="13">
        <v>0.0</v>
      </c>
      <c r="Q7" s="13">
        <v>0.0</v>
      </c>
      <c r="R7" s="27">
        <f t="shared" ref="R7:W7" si="8">(L7/F7)*100000</f>
        <v>0</v>
      </c>
      <c r="S7" s="27">
        <f t="shared" si="8"/>
        <v>0</v>
      </c>
      <c r="T7" s="27">
        <f t="shared" si="8"/>
        <v>0</v>
      </c>
      <c r="U7" s="27">
        <f t="shared" si="8"/>
        <v>0</v>
      </c>
      <c r="V7" s="27">
        <f t="shared" si="8"/>
        <v>0</v>
      </c>
      <c r="W7" s="27">
        <f t="shared" si="8"/>
        <v>0</v>
      </c>
      <c r="X7" s="27">
        <f t="shared" si="3"/>
        <v>0</v>
      </c>
      <c r="Y7" s="27">
        <f t="shared" si="4"/>
        <v>0</v>
      </c>
    </row>
    <row r="8" ht="14.25" customHeight="1">
      <c r="A8" s="13" t="s">
        <v>442</v>
      </c>
      <c r="B8" s="13" t="s">
        <v>447</v>
      </c>
      <c r="C8" s="13" t="s">
        <v>450</v>
      </c>
      <c r="D8" s="13" t="s">
        <v>450</v>
      </c>
      <c r="E8" s="26">
        <v>10302.0</v>
      </c>
      <c r="F8" s="26">
        <v>12449.0</v>
      </c>
      <c r="G8" s="26">
        <v>12462.0</v>
      </c>
      <c r="H8" s="26">
        <v>12475.0</v>
      </c>
      <c r="I8" s="26">
        <v>12513.0</v>
      </c>
      <c r="J8" s="26">
        <v>12526.0</v>
      </c>
      <c r="K8" s="26">
        <v>12539.0</v>
      </c>
      <c r="L8" s="13">
        <v>0.0</v>
      </c>
      <c r="M8" s="13">
        <v>0.0</v>
      </c>
      <c r="N8" s="13">
        <v>0.0</v>
      </c>
      <c r="O8" s="13">
        <v>0.0</v>
      </c>
      <c r="P8" s="13">
        <v>0.0</v>
      </c>
      <c r="Q8" s="13">
        <v>0.0</v>
      </c>
      <c r="R8" s="27">
        <f t="shared" ref="R8:W8" si="9">(L8/F8)*100000</f>
        <v>0</v>
      </c>
      <c r="S8" s="27">
        <f t="shared" si="9"/>
        <v>0</v>
      </c>
      <c r="T8" s="27">
        <f t="shared" si="9"/>
        <v>0</v>
      </c>
      <c r="U8" s="27">
        <f t="shared" si="9"/>
        <v>0</v>
      </c>
      <c r="V8" s="27">
        <f t="shared" si="9"/>
        <v>0</v>
      </c>
      <c r="W8" s="27">
        <f t="shared" si="9"/>
        <v>0</v>
      </c>
      <c r="X8" s="27">
        <f t="shared" si="3"/>
        <v>0</v>
      </c>
      <c r="Y8" s="27">
        <f t="shared" si="4"/>
        <v>0</v>
      </c>
    </row>
    <row r="9" ht="14.25" customHeight="1">
      <c r="A9" s="13" t="s">
        <v>442</v>
      </c>
      <c r="B9" s="13" t="s">
        <v>447</v>
      </c>
      <c r="C9" s="13" t="s">
        <v>451</v>
      </c>
      <c r="D9" s="13" t="s">
        <v>452</v>
      </c>
      <c r="E9" s="26">
        <v>10303.0</v>
      </c>
      <c r="F9" s="26">
        <v>8479.0</v>
      </c>
      <c r="G9" s="26">
        <v>8562.0</v>
      </c>
      <c r="H9" s="26">
        <v>8644.0</v>
      </c>
      <c r="I9" s="26">
        <v>8891.0</v>
      </c>
      <c r="J9" s="26">
        <v>8973.0</v>
      </c>
      <c r="K9" s="26">
        <v>9055.0</v>
      </c>
      <c r="L9" s="13">
        <v>0.0</v>
      </c>
      <c r="M9" s="13">
        <v>0.0</v>
      </c>
      <c r="N9" s="13">
        <v>0.0</v>
      </c>
      <c r="O9" s="13">
        <v>0.0</v>
      </c>
      <c r="P9" s="13">
        <v>0.0</v>
      </c>
      <c r="Q9" s="13">
        <v>0.0</v>
      </c>
      <c r="R9" s="27">
        <f t="shared" ref="R9:W9" si="10">(L9/F9)*100000</f>
        <v>0</v>
      </c>
      <c r="S9" s="27">
        <f t="shared" si="10"/>
        <v>0</v>
      </c>
      <c r="T9" s="27">
        <f t="shared" si="10"/>
        <v>0</v>
      </c>
      <c r="U9" s="27">
        <f t="shared" si="10"/>
        <v>0</v>
      </c>
      <c r="V9" s="27">
        <f t="shared" si="10"/>
        <v>0</v>
      </c>
      <c r="W9" s="27">
        <f t="shared" si="10"/>
        <v>0</v>
      </c>
      <c r="X9" s="27">
        <f t="shared" si="3"/>
        <v>0</v>
      </c>
      <c r="Y9" s="27">
        <f t="shared" si="4"/>
        <v>0</v>
      </c>
    </row>
    <row r="10" ht="14.25" customHeight="1">
      <c r="A10" s="13" t="s">
        <v>442</v>
      </c>
      <c r="B10" s="13" t="s">
        <v>447</v>
      </c>
      <c r="C10" s="13" t="s">
        <v>453</v>
      </c>
      <c r="D10" s="13" t="s">
        <v>453</v>
      </c>
      <c r="E10" s="26">
        <v>10304.0</v>
      </c>
      <c r="F10" s="26">
        <v>8349.0</v>
      </c>
      <c r="G10" s="26">
        <v>8465.0</v>
      </c>
      <c r="H10" s="26">
        <v>8580.0</v>
      </c>
      <c r="I10" s="26">
        <v>8925.0</v>
      </c>
      <c r="J10" s="26">
        <v>9040.0</v>
      </c>
      <c r="K10" s="26">
        <v>9155.0</v>
      </c>
      <c r="L10" s="13">
        <v>0.0</v>
      </c>
      <c r="M10" s="13">
        <v>0.0</v>
      </c>
      <c r="N10" s="13">
        <v>0.0</v>
      </c>
      <c r="O10" s="13">
        <v>0.0</v>
      </c>
      <c r="P10" s="13">
        <v>0.0</v>
      </c>
      <c r="Q10" s="13">
        <v>0.0</v>
      </c>
      <c r="R10" s="27">
        <f t="shared" ref="R10:W10" si="11">(L10/F10)*100000</f>
        <v>0</v>
      </c>
      <c r="S10" s="27">
        <f t="shared" si="11"/>
        <v>0</v>
      </c>
      <c r="T10" s="27">
        <f t="shared" si="11"/>
        <v>0</v>
      </c>
      <c r="U10" s="27">
        <f t="shared" si="11"/>
        <v>0</v>
      </c>
      <c r="V10" s="27">
        <f t="shared" si="11"/>
        <v>0</v>
      </c>
      <c r="W10" s="27">
        <f t="shared" si="11"/>
        <v>0</v>
      </c>
      <c r="X10" s="27">
        <f t="shared" si="3"/>
        <v>0</v>
      </c>
      <c r="Y10" s="27">
        <f t="shared" si="4"/>
        <v>0</v>
      </c>
    </row>
    <row r="11" ht="14.25" customHeight="1">
      <c r="A11" s="13" t="s">
        <v>442</v>
      </c>
      <c r="B11" s="13" t="s">
        <v>454</v>
      </c>
      <c r="C11" s="13" t="s">
        <v>23</v>
      </c>
      <c r="D11" s="13" t="s">
        <v>23</v>
      </c>
      <c r="E11" s="26">
        <v>10401.0</v>
      </c>
      <c r="F11" s="26">
        <v>9887.0</v>
      </c>
      <c r="G11" s="26">
        <v>9788.0</v>
      </c>
      <c r="H11" s="26">
        <v>9688.0</v>
      </c>
      <c r="I11" s="26">
        <v>9391.0</v>
      </c>
      <c r="J11" s="26">
        <v>9291.0</v>
      </c>
      <c r="K11" s="26">
        <v>9192.0</v>
      </c>
      <c r="L11" s="13">
        <v>0.0</v>
      </c>
      <c r="M11" s="13">
        <v>1.0</v>
      </c>
      <c r="N11" s="13">
        <v>0.0</v>
      </c>
      <c r="O11" s="13">
        <v>0.0</v>
      </c>
      <c r="P11" s="13">
        <v>0.0</v>
      </c>
      <c r="Q11" s="13">
        <v>1.0</v>
      </c>
      <c r="R11" s="27">
        <f t="shared" ref="R11:W11" si="12">(L11/F11)*100000</f>
        <v>0</v>
      </c>
      <c r="S11" s="27">
        <f t="shared" si="12"/>
        <v>10.21659174</v>
      </c>
      <c r="T11" s="27">
        <f t="shared" si="12"/>
        <v>0</v>
      </c>
      <c r="U11" s="27">
        <f t="shared" si="12"/>
        <v>0</v>
      </c>
      <c r="V11" s="27">
        <f t="shared" si="12"/>
        <v>0</v>
      </c>
      <c r="W11" s="27">
        <f t="shared" si="12"/>
        <v>10.87902524</v>
      </c>
      <c r="X11" s="27">
        <f t="shared" si="3"/>
        <v>3.405530582</v>
      </c>
      <c r="Y11" s="27">
        <f t="shared" si="4"/>
        <v>3.626341746</v>
      </c>
    </row>
    <row r="12" ht="14.25" customHeight="1">
      <c r="A12" s="13" t="s">
        <v>442</v>
      </c>
      <c r="B12" s="13" t="s">
        <v>454</v>
      </c>
      <c r="C12" s="13" t="s">
        <v>454</v>
      </c>
      <c r="D12" s="13" t="s">
        <v>455</v>
      </c>
      <c r="E12" s="26">
        <v>10402.0</v>
      </c>
      <c r="F12" s="26">
        <v>8500.0</v>
      </c>
      <c r="G12" s="26">
        <v>8502.0</v>
      </c>
      <c r="H12" s="26">
        <v>8503.0</v>
      </c>
      <c r="I12" s="26">
        <v>8507.0</v>
      </c>
      <c r="J12" s="26">
        <v>8508.0</v>
      </c>
      <c r="K12" s="26">
        <v>8509.0</v>
      </c>
      <c r="L12" s="13">
        <v>0.0</v>
      </c>
      <c r="M12" s="13">
        <v>0.0</v>
      </c>
      <c r="N12" s="13">
        <v>0.0</v>
      </c>
      <c r="O12" s="13">
        <v>0.0</v>
      </c>
      <c r="P12" s="13">
        <v>0.0</v>
      </c>
      <c r="Q12" s="13">
        <v>0.0</v>
      </c>
      <c r="R12" s="27">
        <f t="shared" ref="R12:W12" si="13">(L12/F12)*100000</f>
        <v>0</v>
      </c>
      <c r="S12" s="27">
        <f t="shared" si="13"/>
        <v>0</v>
      </c>
      <c r="T12" s="27">
        <f t="shared" si="13"/>
        <v>0</v>
      </c>
      <c r="U12" s="27">
        <f t="shared" si="13"/>
        <v>0</v>
      </c>
      <c r="V12" s="27">
        <f t="shared" si="13"/>
        <v>0</v>
      </c>
      <c r="W12" s="27">
        <f t="shared" si="13"/>
        <v>0</v>
      </c>
      <c r="X12" s="27">
        <f t="shared" si="3"/>
        <v>0</v>
      </c>
      <c r="Y12" s="27">
        <f t="shared" si="4"/>
        <v>0</v>
      </c>
    </row>
    <row r="13" ht="14.25" customHeight="1">
      <c r="A13" s="13" t="s">
        <v>442</v>
      </c>
      <c r="B13" s="13" t="s">
        <v>454</v>
      </c>
      <c r="C13" s="13" t="s">
        <v>26</v>
      </c>
      <c r="D13" s="13" t="s">
        <v>456</v>
      </c>
      <c r="E13" s="26">
        <v>10403.0</v>
      </c>
      <c r="F13" s="26">
        <v>7158.0</v>
      </c>
      <c r="G13" s="26">
        <v>7127.0</v>
      </c>
      <c r="H13" s="26">
        <v>7096.0</v>
      </c>
      <c r="I13" s="26">
        <v>7004.0</v>
      </c>
      <c r="J13" s="26">
        <v>6973.0</v>
      </c>
      <c r="K13" s="26">
        <v>6942.0</v>
      </c>
      <c r="L13" s="13">
        <v>0.0</v>
      </c>
      <c r="M13" s="13">
        <v>0.0</v>
      </c>
      <c r="N13" s="13">
        <v>0.0</v>
      </c>
      <c r="O13" s="13">
        <v>0.0</v>
      </c>
      <c r="P13" s="13">
        <v>0.0</v>
      </c>
      <c r="Q13" s="13">
        <v>0.0</v>
      </c>
      <c r="R13" s="27">
        <f t="shared" ref="R13:W13" si="14">(L13/F13)*100000</f>
        <v>0</v>
      </c>
      <c r="S13" s="27">
        <f t="shared" si="14"/>
        <v>0</v>
      </c>
      <c r="T13" s="27">
        <f t="shared" si="14"/>
        <v>0</v>
      </c>
      <c r="U13" s="27">
        <f t="shared" si="14"/>
        <v>0</v>
      </c>
      <c r="V13" s="27">
        <f t="shared" si="14"/>
        <v>0</v>
      </c>
      <c r="W13" s="27">
        <f t="shared" si="14"/>
        <v>0</v>
      </c>
      <c r="X13" s="27">
        <f t="shared" si="3"/>
        <v>0</v>
      </c>
      <c r="Y13" s="27">
        <f t="shared" si="4"/>
        <v>0</v>
      </c>
    </row>
    <row r="14" ht="14.25" customHeight="1">
      <c r="A14" s="13" t="s">
        <v>442</v>
      </c>
      <c r="B14" s="13" t="s">
        <v>454</v>
      </c>
      <c r="C14" s="13" t="s">
        <v>457</v>
      </c>
      <c r="D14" s="13" t="s">
        <v>458</v>
      </c>
      <c r="E14" s="26">
        <v>10404.0</v>
      </c>
      <c r="F14" s="26">
        <v>4430.0</v>
      </c>
      <c r="G14" s="26">
        <v>4335.0</v>
      </c>
      <c r="H14" s="26">
        <v>4241.0</v>
      </c>
      <c r="I14" s="26">
        <v>3957.0</v>
      </c>
      <c r="J14" s="26">
        <v>3863.0</v>
      </c>
      <c r="K14" s="26">
        <v>3768.0</v>
      </c>
      <c r="L14" s="13">
        <v>0.0</v>
      </c>
      <c r="M14" s="13">
        <v>0.0</v>
      </c>
      <c r="N14" s="13">
        <v>0.0</v>
      </c>
      <c r="O14" s="13">
        <v>0.0</v>
      </c>
      <c r="P14" s="13">
        <v>0.0</v>
      </c>
      <c r="Q14" s="13">
        <v>0.0</v>
      </c>
      <c r="R14" s="27">
        <f t="shared" ref="R14:W14" si="15">(L14/F14)*100000</f>
        <v>0</v>
      </c>
      <c r="S14" s="27">
        <f t="shared" si="15"/>
        <v>0</v>
      </c>
      <c r="T14" s="27">
        <f t="shared" si="15"/>
        <v>0</v>
      </c>
      <c r="U14" s="27">
        <f t="shared" si="15"/>
        <v>0</v>
      </c>
      <c r="V14" s="27">
        <f t="shared" si="15"/>
        <v>0</v>
      </c>
      <c r="W14" s="27">
        <f t="shared" si="15"/>
        <v>0</v>
      </c>
      <c r="X14" s="27">
        <f t="shared" si="3"/>
        <v>0</v>
      </c>
      <c r="Y14" s="27">
        <f t="shared" si="4"/>
        <v>0</v>
      </c>
    </row>
    <row r="15" ht="14.25" customHeight="1">
      <c r="A15" s="13" t="s">
        <v>442</v>
      </c>
      <c r="B15" s="13" t="s">
        <v>454</v>
      </c>
      <c r="C15" s="13" t="s">
        <v>459</v>
      </c>
      <c r="D15" s="13" t="s">
        <v>459</v>
      </c>
      <c r="E15" s="26">
        <v>10405.0</v>
      </c>
      <c r="F15" s="26">
        <v>4960.0</v>
      </c>
      <c r="G15" s="26">
        <v>5060.0</v>
      </c>
      <c r="H15" s="26">
        <v>5159.0</v>
      </c>
      <c r="I15" s="26">
        <v>5456.0</v>
      </c>
      <c r="J15" s="26">
        <v>5555.0</v>
      </c>
      <c r="K15" s="26">
        <v>5654.0</v>
      </c>
      <c r="L15" s="13">
        <v>0.0</v>
      </c>
      <c r="M15" s="13">
        <v>0.0</v>
      </c>
      <c r="N15" s="13">
        <v>0.0</v>
      </c>
      <c r="O15" s="13">
        <v>0.0</v>
      </c>
      <c r="P15" s="13">
        <v>0.0</v>
      </c>
      <c r="Q15" s="13">
        <v>0.0</v>
      </c>
      <c r="R15" s="27">
        <f t="shared" ref="R15:W15" si="16">(L15/F15)*100000</f>
        <v>0</v>
      </c>
      <c r="S15" s="27">
        <f t="shared" si="16"/>
        <v>0</v>
      </c>
      <c r="T15" s="27">
        <f t="shared" si="16"/>
        <v>0</v>
      </c>
      <c r="U15" s="27">
        <f t="shared" si="16"/>
        <v>0</v>
      </c>
      <c r="V15" s="27">
        <f t="shared" si="16"/>
        <v>0</v>
      </c>
      <c r="W15" s="27">
        <f t="shared" si="16"/>
        <v>0</v>
      </c>
      <c r="X15" s="27">
        <f t="shared" si="3"/>
        <v>0</v>
      </c>
      <c r="Y15" s="27">
        <f t="shared" si="4"/>
        <v>0</v>
      </c>
    </row>
    <row r="16" ht="14.25" customHeight="1">
      <c r="A16" s="13" t="s">
        <v>442</v>
      </c>
      <c r="B16" s="13" t="s">
        <v>460</v>
      </c>
      <c r="C16" s="13" t="s">
        <v>18</v>
      </c>
      <c r="D16" s="13" t="s">
        <v>18</v>
      </c>
      <c r="E16" s="26">
        <v>10501.0</v>
      </c>
      <c r="F16" s="26">
        <v>24404.0</v>
      </c>
      <c r="G16" s="26">
        <v>24425.0</v>
      </c>
      <c r="H16" s="26">
        <v>24445.0</v>
      </c>
      <c r="I16" s="26">
        <v>24506.0</v>
      </c>
      <c r="J16" s="26">
        <v>24526.0</v>
      </c>
      <c r="K16" s="26">
        <v>24546.0</v>
      </c>
      <c r="L16" s="13">
        <v>1.0</v>
      </c>
      <c r="M16" s="13">
        <v>0.0</v>
      </c>
      <c r="N16" s="13">
        <v>0.0</v>
      </c>
      <c r="O16" s="13">
        <v>1.0</v>
      </c>
      <c r="P16" s="13">
        <v>1.0</v>
      </c>
      <c r="Q16" s="13">
        <v>0.0</v>
      </c>
      <c r="R16" s="27">
        <f t="shared" ref="R16:W16" si="17">(L16/F16)*100000</f>
        <v>4.097688903</v>
      </c>
      <c r="S16" s="27">
        <f t="shared" si="17"/>
        <v>0</v>
      </c>
      <c r="T16" s="27">
        <f t="shared" si="17"/>
        <v>0</v>
      </c>
      <c r="U16" s="27">
        <f t="shared" si="17"/>
        <v>4.080633314</v>
      </c>
      <c r="V16" s="27">
        <f t="shared" si="17"/>
        <v>4.077305716</v>
      </c>
      <c r="W16" s="27">
        <f t="shared" si="17"/>
        <v>0</v>
      </c>
      <c r="X16" s="27">
        <f t="shared" si="3"/>
        <v>1.365896301</v>
      </c>
      <c r="Y16" s="27">
        <f t="shared" si="4"/>
        <v>2.71931301</v>
      </c>
    </row>
    <row r="17" ht="14.25" customHeight="1">
      <c r="A17" s="13" t="s">
        <v>442</v>
      </c>
      <c r="B17" s="13" t="s">
        <v>460</v>
      </c>
      <c r="C17" s="13" t="s">
        <v>461</v>
      </c>
      <c r="D17" s="13" t="s">
        <v>461</v>
      </c>
      <c r="E17" s="26">
        <v>10502.0</v>
      </c>
      <c r="F17" s="26">
        <v>7870.0</v>
      </c>
      <c r="G17" s="26">
        <v>7775.0</v>
      </c>
      <c r="H17" s="26">
        <v>7679.0</v>
      </c>
      <c r="I17" s="26">
        <v>7392.0</v>
      </c>
      <c r="J17" s="26">
        <v>7296.0</v>
      </c>
      <c r="K17" s="26">
        <v>7200.0</v>
      </c>
      <c r="L17" s="13">
        <v>0.0</v>
      </c>
      <c r="M17" s="13">
        <v>0.0</v>
      </c>
      <c r="N17" s="13">
        <v>0.0</v>
      </c>
      <c r="O17" s="13">
        <v>0.0</v>
      </c>
      <c r="P17" s="13">
        <v>0.0</v>
      </c>
      <c r="Q17" s="13">
        <v>0.0</v>
      </c>
      <c r="R17" s="27">
        <f t="shared" ref="R17:W17" si="18">(L17/F17)*100000</f>
        <v>0</v>
      </c>
      <c r="S17" s="27">
        <f t="shared" si="18"/>
        <v>0</v>
      </c>
      <c r="T17" s="27">
        <f t="shared" si="18"/>
        <v>0</v>
      </c>
      <c r="U17" s="27">
        <f t="shared" si="18"/>
        <v>0</v>
      </c>
      <c r="V17" s="27">
        <f t="shared" si="18"/>
        <v>0</v>
      </c>
      <c r="W17" s="27">
        <f t="shared" si="18"/>
        <v>0</v>
      </c>
      <c r="X17" s="27">
        <f t="shared" si="3"/>
        <v>0</v>
      </c>
      <c r="Y17" s="27">
        <f t="shared" si="4"/>
        <v>0</v>
      </c>
    </row>
    <row r="18" ht="14.25" customHeight="1">
      <c r="A18" s="13" t="s">
        <v>442</v>
      </c>
      <c r="B18" s="13" t="s">
        <v>37</v>
      </c>
      <c r="C18" s="13" t="s">
        <v>462</v>
      </c>
      <c r="D18" s="13" t="s">
        <v>462</v>
      </c>
      <c r="E18" s="26">
        <v>10601.0</v>
      </c>
      <c r="F18" s="26">
        <v>15435.0</v>
      </c>
      <c r="G18" s="26">
        <v>15134.0</v>
      </c>
      <c r="H18" s="26">
        <v>14832.0</v>
      </c>
      <c r="I18" s="26">
        <v>13927.0</v>
      </c>
      <c r="J18" s="26">
        <v>13625.0</v>
      </c>
      <c r="K18" s="26">
        <v>13323.0</v>
      </c>
      <c r="L18" s="13">
        <v>0.0</v>
      </c>
      <c r="M18" s="13">
        <v>0.0</v>
      </c>
      <c r="N18" s="13">
        <v>0.0</v>
      </c>
      <c r="O18" s="13">
        <v>0.0</v>
      </c>
      <c r="P18" s="13">
        <v>0.0</v>
      </c>
      <c r="Q18" s="13">
        <v>0.0</v>
      </c>
      <c r="R18" s="27">
        <f t="shared" ref="R18:W18" si="19">(L18/F18)*100000</f>
        <v>0</v>
      </c>
      <c r="S18" s="27">
        <f t="shared" si="19"/>
        <v>0</v>
      </c>
      <c r="T18" s="27">
        <f t="shared" si="19"/>
        <v>0</v>
      </c>
      <c r="U18" s="27">
        <f t="shared" si="19"/>
        <v>0</v>
      </c>
      <c r="V18" s="27">
        <f t="shared" si="19"/>
        <v>0</v>
      </c>
      <c r="W18" s="27">
        <f t="shared" si="19"/>
        <v>0</v>
      </c>
      <c r="X18" s="27">
        <f t="shared" si="3"/>
        <v>0</v>
      </c>
      <c r="Y18" s="27">
        <f t="shared" si="4"/>
        <v>0</v>
      </c>
    </row>
    <row r="19" ht="14.25" customHeight="1">
      <c r="A19" s="13" t="s">
        <v>442</v>
      </c>
      <c r="B19" s="13" t="s">
        <v>37</v>
      </c>
      <c r="C19" s="13" t="s">
        <v>37</v>
      </c>
      <c r="D19" s="13" t="s">
        <v>37</v>
      </c>
      <c r="E19" s="26">
        <v>10602.0</v>
      </c>
      <c r="F19" s="26">
        <v>9431.0</v>
      </c>
      <c r="G19" s="26">
        <v>9296.0</v>
      </c>
      <c r="H19" s="26">
        <v>9160.0</v>
      </c>
      <c r="I19" s="26">
        <v>8752.0</v>
      </c>
      <c r="J19" s="26">
        <v>8616.0</v>
      </c>
      <c r="K19" s="26">
        <v>8480.0</v>
      </c>
      <c r="L19" s="13">
        <v>0.0</v>
      </c>
      <c r="M19" s="13">
        <v>0.0</v>
      </c>
      <c r="N19" s="13">
        <v>0.0</v>
      </c>
      <c r="O19" s="13">
        <v>0.0</v>
      </c>
      <c r="P19" s="13">
        <v>0.0</v>
      </c>
      <c r="Q19" s="13">
        <v>1.0</v>
      </c>
      <c r="R19" s="27">
        <f t="shared" ref="R19:W19" si="20">(L19/F19)*100000</f>
        <v>0</v>
      </c>
      <c r="S19" s="27">
        <f t="shared" si="20"/>
        <v>0</v>
      </c>
      <c r="T19" s="27">
        <f t="shared" si="20"/>
        <v>0</v>
      </c>
      <c r="U19" s="27">
        <f t="shared" si="20"/>
        <v>0</v>
      </c>
      <c r="V19" s="27">
        <f t="shared" si="20"/>
        <v>0</v>
      </c>
      <c r="W19" s="27">
        <f t="shared" si="20"/>
        <v>11.79245283</v>
      </c>
      <c r="X19" s="27">
        <f t="shared" si="3"/>
        <v>0</v>
      </c>
      <c r="Y19" s="27">
        <f t="shared" si="4"/>
        <v>3.93081761</v>
      </c>
    </row>
    <row r="20" ht="14.25" customHeight="1">
      <c r="A20" s="13" t="s">
        <v>442</v>
      </c>
      <c r="B20" s="13" t="s">
        <v>463</v>
      </c>
      <c r="C20" s="13" t="s">
        <v>24</v>
      </c>
      <c r="D20" s="13" t="s">
        <v>24</v>
      </c>
      <c r="E20" s="26">
        <v>10701.0</v>
      </c>
      <c r="F20" s="26">
        <v>15256.0</v>
      </c>
      <c r="G20" s="26">
        <v>15179.0</v>
      </c>
      <c r="H20" s="26">
        <v>15101.0</v>
      </c>
      <c r="I20" s="26">
        <v>14868.0</v>
      </c>
      <c r="J20" s="26">
        <v>14791.0</v>
      </c>
      <c r="K20" s="26">
        <v>14713.0</v>
      </c>
      <c r="L20" s="13">
        <v>2.0</v>
      </c>
      <c r="M20" s="13">
        <v>0.0</v>
      </c>
      <c r="N20" s="13">
        <v>0.0</v>
      </c>
      <c r="O20" s="13">
        <v>1.0</v>
      </c>
      <c r="P20" s="13">
        <v>0.0</v>
      </c>
      <c r="Q20" s="13">
        <v>1.0</v>
      </c>
      <c r="R20" s="27">
        <f t="shared" ref="R20:W20" si="21">(L20/F20)*100000</f>
        <v>13.10959622</v>
      </c>
      <c r="S20" s="27">
        <f t="shared" si="21"/>
        <v>0</v>
      </c>
      <c r="T20" s="27">
        <f t="shared" si="21"/>
        <v>0</v>
      </c>
      <c r="U20" s="27">
        <f t="shared" si="21"/>
        <v>6.725854183</v>
      </c>
      <c r="V20" s="27">
        <f t="shared" si="21"/>
        <v>0</v>
      </c>
      <c r="W20" s="27">
        <f t="shared" si="21"/>
        <v>6.796710392</v>
      </c>
      <c r="X20" s="27">
        <f t="shared" si="3"/>
        <v>4.369865408</v>
      </c>
      <c r="Y20" s="27">
        <f t="shared" si="4"/>
        <v>4.507521525</v>
      </c>
    </row>
    <row r="21" ht="14.25" customHeight="1">
      <c r="A21" s="13" t="s">
        <v>442</v>
      </c>
      <c r="B21" s="13" t="s">
        <v>463</v>
      </c>
      <c r="C21" s="13" t="s">
        <v>21</v>
      </c>
      <c r="D21" s="13" t="s">
        <v>21</v>
      </c>
      <c r="E21" s="26">
        <v>10702.0</v>
      </c>
      <c r="F21" s="26">
        <v>30101.0</v>
      </c>
      <c r="G21" s="26">
        <v>29618.0</v>
      </c>
      <c r="H21" s="26">
        <v>29134.0</v>
      </c>
      <c r="I21" s="26">
        <v>27683.0</v>
      </c>
      <c r="J21" s="26">
        <v>27199.0</v>
      </c>
      <c r="K21" s="26">
        <v>26715.0</v>
      </c>
      <c r="L21" s="13">
        <v>1.0</v>
      </c>
      <c r="M21" s="13">
        <v>0.0</v>
      </c>
      <c r="N21" s="13">
        <v>0.0</v>
      </c>
      <c r="O21" s="13">
        <v>1.0</v>
      </c>
      <c r="P21" s="13">
        <v>1.0</v>
      </c>
      <c r="Q21" s="13">
        <v>0.0</v>
      </c>
      <c r="R21" s="27">
        <f t="shared" ref="R21:W21" si="22">(L21/F21)*100000</f>
        <v>3.322148766</v>
      </c>
      <c r="S21" s="27">
        <f t="shared" si="22"/>
        <v>0</v>
      </c>
      <c r="T21" s="27">
        <f t="shared" si="22"/>
        <v>0</v>
      </c>
      <c r="U21" s="27">
        <f t="shared" si="22"/>
        <v>3.612325254</v>
      </c>
      <c r="V21" s="27">
        <f t="shared" si="22"/>
        <v>3.676605758</v>
      </c>
      <c r="W21" s="27">
        <f t="shared" si="22"/>
        <v>0</v>
      </c>
      <c r="X21" s="27">
        <f t="shared" si="3"/>
        <v>1.107382922</v>
      </c>
      <c r="Y21" s="27">
        <f t="shared" si="4"/>
        <v>2.42964367</v>
      </c>
    </row>
    <row r="22" ht="14.25" customHeight="1">
      <c r="A22" s="13" t="s">
        <v>442</v>
      </c>
      <c r="B22" s="13" t="s">
        <v>463</v>
      </c>
      <c r="C22" s="13" t="s">
        <v>31</v>
      </c>
      <c r="D22" s="13" t="s">
        <v>31</v>
      </c>
      <c r="E22" s="26">
        <v>10703.0</v>
      </c>
      <c r="F22" s="26">
        <v>14484.0</v>
      </c>
      <c r="G22" s="26">
        <v>14770.0</v>
      </c>
      <c r="H22" s="26">
        <v>15056.0</v>
      </c>
      <c r="I22" s="26">
        <v>15913.0</v>
      </c>
      <c r="J22" s="26">
        <v>16198.0</v>
      </c>
      <c r="K22" s="26">
        <v>16484.0</v>
      </c>
      <c r="L22" s="13">
        <v>0.0</v>
      </c>
      <c r="M22" s="13">
        <v>0.0</v>
      </c>
      <c r="N22" s="13">
        <v>0.0</v>
      </c>
      <c r="O22" s="13">
        <v>0.0</v>
      </c>
      <c r="P22" s="13">
        <v>0.0</v>
      </c>
      <c r="Q22" s="13">
        <v>2.0</v>
      </c>
      <c r="R22" s="27">
        <f t="shared" ref="R22:W22" si="23">(L22/F22)*100000</f>
        <v>0</v>
      </c>
      <c r="S22" s="27">
        <f t="shared" si="23"/>
        <v>0</v>
      </c>
      <c r="T22" s="27">
        <f t="shared" si="23"/>
        <v>0</v>
      </c>
      <c r="U22" s="27">
        <f t="shared" si="23"/>
        <v>0</v>
      </c>
      <c r="V22" s="27">
        <f t="shared" si="23"/>
        <v>0</v>
      </c>
      <c r="W22" s="27">
        <f t="shared" si="23"/>
        <v>12.13297743</v>
      </c>
      <c r="X22" s="27">
        <f t="shared" si="3"/>
        <v>0</v>
      </c>
      <c r="Y22" s="27">
        <f t="shared" si="4"/>
        <v>4.044325811</v>
      </c>
    </row>
    <row r="23" ht="14.25" customHeight="1">
      <c r="A23" s="13" t="s">
        <v>442</v>
      </c>
      <c r="B23" s="13" t="s">
        <v>463</v>
      </c>
      <c r="C23" s="13" t="s">
        <v>36</v>
      </c>
      <c r="D23" s="13" t="s">
        <v>36</v>
      </c>
      <c r="E23" s="26">
        <v>10704.0</v>
      </c>
      <c r="F23" s="26">
        <v>15372.0</v>
      </c>
      <c r="G23" s="26">
        <v>15216.0</v>
      </c>
      <c r="H23" s="26">
        <v>15060.0</v>
      </c>
      <c r="I23" s="26">
        <v>14593.0</v>
      </c>
      <c r="J23" s="26">
        <v>14438.0</v>
      </c>
      <c r="K23" s="26">
        <v>14282.0</v>
      </c>
      <c r="L23" s="13">
        <v>0.0</v>
      </c>
      <c r="M23" s="13">
        <v>0.0</v>
      </c>
      <c r="N23" s="13">
        <v>0.0</v>
      </c>
      <c r="O23" s="13">
        <v>0.0</v>
      </c>
      <c r="P23" s="13">
        <v>1.0</v>
      </c>
      <c r="Q23" s="13">
        <v>0.0</v>
      </c>
      <c r="R23" s="27">
        <f t="shared" ref="R23:W23" si="24">(L23/F23)*100000</f>
        <v>0</v>
      </c>
      <c r="S23" s="27">
        <f t="shared" si="24"/>
        <v>0</v>
      </c>
      <c r="T23" s="27">
        <f t="shared" si="24"/>
        <v>0</v>
      </c>
      <c r="U23" s="27">
        <f t="shared" si="24"/>
        <v>0</v>
      </c>
      <c r="V23" s="27">
        <f t="shared" si="24"/>
        <v>6.926167059</v>
      </c>
      <c r="W23" s="27">
        <f t="shared" si="24"/>
        <v>0</v>
      </c>
      <c r="X23" s="27">
        <f t="shared" si="3"/>
        <v>0</v>
      </c>
      <c r="Y23" s="27">
        <f t="shared" si="4"/>
        <v>2.308722353</v>
      </c>
    </row>
    <row r="24" ht="14.25" customHeight="1">
      <c r="A24" s="13" t="s">
        <v>442</v>
      </c>
      <c r="B24" s="13" t="s">
        <v>464</v>
      </c>
      <c r="C24" s="13" t="s">
        <v>465</v>
      </c>
      <c r="D24" s="13" t="s">
        <v>465</v>
      </c>
      <c r="E24" s="26">
        <v>10801.0</v>
      </c>
      <c r="F24" s="26">
        <v>10305.0</v>
      </c>
      <c r="G24" s="26">
        <v>10134.0</v>
      </c>
      <c r="H24" s="26">
        <v>9963.0</v>
      </c>
      <c r="I24" s="26">
        <v>9449.0</v>
      </c>
      <c r="J24" s="26">
        <v>9278.0</v>
      </c>
      <c r="K24" s="26">
        <v>9107.0</v>
      </c>
      <c r="L24" s="13">
        <v>0.0</v>
      </c>
      <c r="M24" s="13">
        <v>0.0</v>
      </c>
      <c r="N24" s="13">
        <v>0.0</v>
      </c>
      <c r="O24" s="13">
        <v>0.0</v>
      </c>
      <c r="P24" s="13">
        <v>0.0</v>
      </c>
      <c r="Q24" s="13">
        <v>0.0</v>
      </c>
      <c r="R24" s="27">
        <f t="shared" ref="R24:W24" si="25">(L24/F24)*100000</f>
        <v>0</v>
      </c>
      <c r="S24" s="27">
        <f t="shared" si="25"/>
        <v>0</v>
      </c>
      <c r="T24" s="27">
        <f t="shared" si="25"/>
        <v>0</v>
      </c>
      <c r="U24" s="27">
        <f t="shared" si="25"/>
        <v>0</v>
      </c>
      <c r="V24" s="27">
        <f t="shared" si="25"/>
        <v>0</v>
      </c>
      <c r="W24" s="27">
        <f t="shared" si="25"/>
        <v>0</v>
      </c>
      <c r="X24" s="27">
        <f t="shared" si="3"/>
        <v>0</v>
      </c>
      <c r="Y24" s="27">
        <f t="shared" si="4"/>
        <v>0</v>
      </c>
    </row>
    <row r="25" ht="14.25" customHeight="1">
      <c r="A25" s="13" t="s">
        <v>442</v>
      </c>
      <c r="B25" s="13" t="s">
        <v>466</v>
      </c>
      <c r="C25" s="13" t="s">
        <v>467</v>
      </c>
      <c r="D25" s="13" t="s">
        <v>467</v>
      </c>
      <c r="E25" s="26">
        <v>10901.0</v>
      </c>
      <c r="F25" s="26">
        <v>4289.0</v>
      </c>
      <c r="G25" s="26">
        <v>4445.0</v>
      </c>
      <c r="H25" s="26">
        <v>4600.0</v>
      </c>
      <c r="I25" s="26">
        <v>5065.0</v>
      </c>
      <c r="J25" s="26">
        <v>5220.0</v>
      </c>
      <c r="K25" s="26">
        <v>5375.0</v>
      </c>
      <c r="L25" s="13">
        <v>0.0</v>
      </c>
      <c r="M25" s="13">
        <v>0.0</v>
      </c>
      <c r="N25" s="13">
        <v>0.0</v>
      </c>
      <c r="O25" s="13">
        <v>0.0</v>
      </c>
      <c r="P25" s="13">
        <v>0.0</v>
      </c>
      <c r="Q25" s="13">
        <v>0.0</v>
      </c>
      <c r="R25" s="27">
        <f t="shared" ref="R25:W25" si="26">(L25/F25)*100000</f>
        <v>0</v>
      </c>
      <c r="S25" s="27">
        <f t="shared" si="26"/>
        <v>0</v>
      </c>
      <c r="T25" s="27">
        <f t="shared" si="26"/>
        <v>0</v>
      </c>
      <c r="U25" s="27">
        <f t="shared" si="26"/>
        <v>0</v>
      </c>
      <c r="V25" s="27">
        <f t="shared" si="26"/>
        <v>0</v>
      </c>
      <c r="W25" s="27">
        <f t="shared" si="26"/>
        <v>0</v>
      </c>
      <c r="X25" s="27">
        <f t="shared" si="3"/>
        <v>0</v>
      </c>
      <c r="Y25" s="27">
        <f t="shared" si="4"/>
        <v>0</v>
      </c>
    </row>
    <row r="26" ht="14.25" customHeight="1">
      <c r="A26" s="13" t="s">
        <v>442</v>
      </c>
      <c r="B26" s="13" t="s">
        <v>466</v>
      </c>
      <c r="C26" s="13" t="s">
        <v>28</v>
      </c>
      <c r="D26" s="13" t="s">
        <v>28</v>
      </c>
      <c r="E26" s="26">
        <v>10902.0</v>
      </c>
      <c r="F26" s="26">
        <v>16530.0</v>
      </c>
      <c r="G26" s="26">
        <v>16290.0</v>
      </c>
      <c r="H26" s="26">
        <v>16049.0</v>
      </c>
      <c r="I26" s="26">
        <v>15329.0</v>
      </c>
      <c r="J26" s="26">
        <v>15088.0</v>
      </c>
      <c r="K26" s="26">
        <v>14848.0</v>
      </c>
      <c r="L26" s="13">
        <v>0.0</v>
      </c>
      <c r="M26" s="13">
        <v>0.0</v>
      </c>
      <c r="N26" s="13">
        <v>0.0</v>
      </c>
      <c r="O26" s="13">
        <v>0.0</v>
      </c>
      <c r="P26" s="13">
        <v>0.0</v>
      </c>
      <c r="Q26" s="13">
        <v>0.0</v>
      </c>
      <c r="R26" s="27">
        <f t="shared" ref="R26:W26" si="27">(L26/F26)*100000</f>
        <v>0</v>
      </c>
      <c r="S26" s="27">
        <f t="shared" si="27"/>
        <v>0</v>
      </c>
      <c r="T26" s="27">
        <f t="shared" si="27"/>
        <v>0</v>
      </c>
      <c r="U26" s="27">
        <f t="shared" si="27"/>
        <v>0</v>
      </c>
      <c r="V26" s="27">
        <f t="shared" si="27"/>
        <v>0</v>
      </c>
      <c r="W26" s="27">
        <f t="shared" si="27"/>
        <v>0</v>
      </c>
      <c r="X26" s="27">
        <f t="shared" si="3"/>
        <v>0</v>
      </c>
      <c r="Y26" s="27">
        <f t="shared" si="4"/>
        <v>0</v>
      </c>
    </row>
    <row r="27" ht="14.25" customHeight="1">
      <c r="A27" s="13" t="s">
        <v>442</v>
      </c>
      <c r="B27" s="13" t="s">
        <v>466</v>
      </c>
      <c r="C27" s="13" t="s">
        <v>468</v>
      </c>
      <c r="D27" s="13" t="s">
        <v>468</v>
      </c>
      <c r="E27" s="26">
        <v>10903.0</v>
      </c>
      <c r="F27" s="26">
        <v>4475.0</v>
      </c>
      <c r="G27" s="26">
        <v>4552.0</v>
      </c>
      <c r="H27" s="26">
        <v>4629.0</v>
      </c>
      <c r="I27" s="26">
        <v>4861.0</v>
      </c>
      <c r="J27" s="26">
        <v>4939.0</v>
      </c>
      <c r="K27" s="26">
        <v>5016.0</v>
      </c>
      <c r="L27" s="13">
        <v>0.0</v>
      </c>
      <c r="M27" s="13">
        <v>0.0</v>
      </c>
      <c r="N27" s="13">
        <v>0.0</v>
      </c>
      <c r="O27" s="13">
        <v>0.0</v>
      </c>
      <c r="P27" s="13">
        <v>0.0</v>
      </c>
      <c r="Q27" s="13">
        <v>0.0</v>
      </c>
      <c r="R27" s="27">
        <f t="shared" ref="R27:W27" si="28">(L27/F27)*100000</f>
        <v>0</v>
      </c>
      <c r="S27" s="27">
        <f t="shared" si="28"/>
        <v>0</v>
      </c>
      <c r="T27" s="27">
        <f t="shared" si="28"/>
        <v>0</v>
      </c>
      <c r="U27" s="27">
        <f t="shared" si="28"/>
        <v>0</v>
      </c>
      <c r="V27" s="27">
        <f t="shared" si="28"/>
        <v>0</v>
      </c>
      <c r="W27" s="27">
        <f t="shared" si="28"/>
        <v>0</v>
      </c>
      <c r="X27" s="27">
        <f t="shared" si="3"/>
        <v>0</v>
      </c>
      <c r="Y27" s="27">
        <f t="shared" si="4"/>
        <v>0</v>
      </c>
    </row>
    <row r="28" ht="14.25" customHeight="1">
      <c r="A28" s="13" t="s">
        <v>442</v>
      </c>
      <c r="B28" s="13" t="s">
        <v>469</v>
      </c>
      <c r="C28" s="13" t="s">
        <v>470</v>
      </c>
      <c r="D28" s="13" t="s">
        <v>470</v>
      </c>
      <c r="E28" s="26">
        <v>11001.0</v>
      </c>
      <c r="F28" s="26">
        <v>11204.0</v>
      </c>
      <c r="G28" s="26">
        <v>11501.0</v>
      </c>
      <c r="H28" s="26">
        <v>11798.0</v>
      </c>
      <c r="I28" s="26">
        <v>12688.0</v>
      </c>
      <c r="J28" s="26">
        <v>12985.0</v>
      </c>
      <c r="K28" s="26">
        <v>13282.0</v>
      </c>
      <c r="L28" s="13">
        <v>0.0</v>
      </c>
      <c r="M28" s="13">
        <v>0.0</v>
      </c>
      <c r="N28" s="13">
        <v>0.0</v>
      </c>
      <c r="O28" s="13">
        <v>0.0</v>
      </c>
      <c r="P28" s="13">
        <v>0.0</v>
      </c>
      <c r="Q28" s="13">
        <v>0.0</v>
      </c>
      <c r="R28" s="27">
        <f t="shared" ref="R28:W28" si="29">(L28/F28)*100000</f>
        <v>0</v>
      </c>
      <c r="S28" s="27">
        <f t="shared" si="29"/>
        <v>0</v>
      </c>
      <c r="T28" s="27">
        <f t="shared" si="29"/>
        <v>0</v>
      </c>
      <c r="U28" s="27">
        <f t="shared" si="29"/>
        <v>0</v>
      </c>
      <c r="V28" s="27">
        <f t="shared" si="29"/>
        <v>0</v>
      </c>
      <c r="W28" s="27">
        <f t="shared" si="29"/>
        <v>0</v>
      </c>
      <c r="X28" s="27">
        <f t="shared" si="3"/>
        <v>0</v>
      </c>
      <c r="Y28" s="27">
        <f t="shared" si="4"/>
        <v>0</v>
      </c>
    </row>
    <row r="29" ht="14.25" customHeight="1">
      <c r="A29" s="13" t="s">
        <v>442</v>
      </c>
      <c r="B29" s="13" t="s">
        <v>469</v>
      </c>
      <c r="C29" s="13" t="s">
        <v>471</v>
      </c>
      <c r="D29" s="13" t="s">
        <v>472</v>
      </c>
      <c r="E29" s="26">
        <v>11002.0</v>
      </c>
      <c r="F29" s="26">
        <v>2544.0</v>
      </c>
      <c r="G29" s="26">
        <v>2544.0</v>
      </c>
      <c r="H29" s="26">
        <v>2545.0</v>
      </c>
      <c r="I29" s="26">
        <v>2546.0</v>
      </c>
      <c r="J29" s="26">
        <v>2547.0</v>
      </c>
      <c r="K29" s="26">
        <v>2547.0</v>
      </c>
      <c r="L29" s="13">
        <v>0.0</v>
      </c>
      <c r="M29" s="13">
        <v>0.0</v>
      </c>
      <c r="N29" s="13">
        <v>0.0</v>
      </c>
      <c r="O29" s="13">
        <v>0.0</v>
      </c>
      <c r="P29" s="13">
        <v>0.0</v>
      </c>
      <c r="Q29" s="13">
        <v>0.0</v>
      </c>
      <c r="R29" s="27">
        <f t="shared" ref="R29:W29" si="30">(L29/F29)*100000</f>
        <v>0</v>
      </c>
      <c r="S29" s="27">
        <f t="shared" si="30"/>
        <v>0</v>
      </c>
      <c r="T29" s="27">
        <f t="shared" si="30"/>
        <v>0</v>
      </c>
      <c r="U29" s="27">
        <f t="shared" si="30"/>
        <v>0</v>
      </c>
      <c r="V29" s="27">
        <f t="shared" si="30"/>
        <v>0</v>
      </c>
      <c r="W29" s="27">
        <f t="shared" si="30"/>
        <v>0</v>
      </c>
      <c r="X29" s="27">
        <f t="shared" si="3"/>
        <v>0</v>
      </c>
      <c r="Y29" s="27">
        <f t="shared" si="4"/>
        <v>0</v>
      </c>
    </row>
    <row r="30" ht="14.25" customHeight="1">
      <c r="A30" s="13" t="s">
        <v>442</v>
      </c>
      <c r="B30" s="13" t="s">
        <v>469</v>
      </c>
      <c r="C30" s="13" t="s">
        <v>33</v>
      </c>
      <c r="D30" s="13" t="s">
        <v>473</v>
      </c>
      <c r="E30" s="26">
        <v>11003.0</v>
      </c>
      <c r="F30" s="26">
        <v>7342.0</v>
      </c>
      <c r="G30" s="26">
        <v>7327.0</v>
      </c>
      <c r="H30" s="26">
        <v>7311.0</v>
      </c>
      <c r="I30" s="26">
        <v>7266.0</v>
      </c>
      <c r="J30" s="26">
        <v>7250.0</v>
      </c>
      <c r="K30" s="26">
        <v>7235.0</v>
      </c>
      <c r="L30" s="13">
        <v>0.0</v>
      </c>
      <c r="M30" s="13">
        <v>0.0</v>
      </c>
      <c r="N30" s="13">
        <v>0.0</v>
      </c>
      <c r="O30" s="13">
        <v>2.0</v>
      </c>
      <c r="P30" s="13">
        <v>0.0</v>
      </c>
      <c r="Q30" s="13">
        <v>0.0</v>
      </c>
      <c r="R30" s="27">
        <f t="shared" ref="R30:W30" si="31">(L30/F30)*100000</f>
        <v>0</v>
      </c>
      <c r="S30" s="27">
        <f t="shared" si="31"/>
        <v>0</v>
      </c>
      <c r="T30" s="27">
        <f t="shared" si="31"/>
        <v>0</v>
      </c>
      <c r="U30" s="27">
        <f t="shared" si="31"/>
        <v>27.52546105</v>
      </c>
      <c r="V30" s="27">
        <f t="shared" si="31"/>
        <v>0</v>
      </c>
      <c r="W30" s="27">
        <f t="shared" si="31"/>
        <v>0</v>
      </c>
      <c r="X30" s="27">
        <f t="shared" si="3"/>
        <v>0</v>
      </c>
      <c r="Y30" s="27">
        <f t="shared" si="4"/>
        <v>9.175153684</v>
      </c>
    </row>
    <row r="31" ht="14.25" customHeight="1">
      <c r="A31" s="13" t="s">
        <v>41</v>
      </c>
      <c r="B31" s="13" t="s">
        <v>474</v>
      </c>
      <c r="C31" s="13" t="s">
        <v>475</v>
      </c>
      <c r="D31" s="13" t="s">
        <v>475</v>
      </c>
      <c r="E31" s="26">
        <v>20101.0</v>
      </c>
      <c r="F31" s="26">
        <v>762703.0</v>
      </c>
      <c r="G31" s="26">
        <v>761950.0</v>
      </c>
      <c r="H31" s="26">
        <v>761196.0</v>
      </c>
      <c r="I31" s="26">
        <v>758937.0</v>
      </c>
      <c r="J31" s="26">
        <v>758184.0</v>
      </c>
      <c r="K31" s="26">
        <v>757431.0</v>
      </c>
      <c r="L31" s="13">
        <v>75.0</v>
      </c>
      <c r="M31" s="13">
        <v>25.0</v>
      </c>
      <c r="N31" s="13">
        <v>37.0</v>
      </c>
      <c r="O31" s="13">
        <v>28.0</v>
      </c>
      <c r="P31" s="13">
        <v>12.0</v>
      </c>
      <c r="Q31" s="13">
        <v>16.0</v>
      </c>
      <c r="R31" s="27">
        <f t="shared" ref="R31:W31" si="32">(L31/F31)*100000</f>
        <v>9.83344762</v>
      </c>
      <c r="S31" s="27">
        <f t="shared" si="32"/>
        <v>3.281055187</v>
      </c>
      <c r="T31" s="27">
        <f t="shared" si="32"/>
        <v>4.860771733</v>
      </c>
      <c r="U31" s="27">
        <f t="shared" si="32"/>
        <v>3.689370791</v>
      </c>
      <c r="V31" s="27">
        <f t="shared" si="32"/>
        <v>1.582729258</v>
      </c>
      <c r="W31" s="27">
        <f t="shared" si="32"/>
        <v>2.112403638</v>
      </c>
      <c r="X31" s="27">
        <f t="shared" si="3"/>
        <v>5.99175818</v>
      </c>
      <c r="Y31" s="27">
        <f t="shared" si="4"/>
        <v>2.461501229</v>
      </c>
    </row>
    <row r="32" ht="14.25" customHeight="1">
      <c r="A32" s="13" t="s">
        <v>41</v>
      </c>
      <c r="B32" s="13" t="s">
        <v>474</v>
      </c>
      <c r="C32" s="13" t="s">
        <v>44</v>
      </c>
      <c r="D32" s="13" t="s">
        <v>44</v>
      </c>
      <c r="E32" s="26">
        <v>20102.0</v>
      </c>
      <c r="F32" s="26">
        <v>18750.0</v>
      </c>
      <c r="G32" s="26">
        <v>19176.0</v>
      </c>
      <c r="H32" s="26">
        <v>19601.0</v>
      </c>
      <c r="I32" s="26">
        <v>20878.0</v>
      </c>
      <c r="J32" s="26">
        <v>21303.0</v>
      </c>
      <c r="K32" s="26">
        <v>21729.0</v>
      </c>
      <c r="L32" s="13">
        <v>0.0</v>
      </c>
      <c r="M32" s="13">
        <v>1.0</v>
      </c>
      <c r="N32" s="13">
        <v>0.0</v>
      </c>
      <c r="O32" s="13">
        <v>0.0</v>
      </c>
      <c r="P32" s="13">
        <v>0.0</v>
      </c>
      <c r="Q32" s="13">
        <v>0.0</v>
      </c>
      <c r="R32" s="27">
        <f t="shared" ref="R32:W32" si="33">(L32/F32)*100000</f>
        <v>0</v>
      </c>
      <c r="S32" s="27">
        <f t="shared" si="33"/>
        <v>5.214851898</v>
      </c>
      <c r="T32" s="27">
        <f t="shared" si="33"/>
        <v>0</v>
      </c>
      <c r="U32" s="27">
        <f t="shared" si="33"/>
        <v>0</v>
      </c>
      <c r="V32" s="27">
        <f t="shared" si="33"/>
        <v>0</v>
      </c>
      <c r="W32" s="27">
        <f t="shared" si="33"/>
        <v>0</v>
      </c>
      <c r="X32" s="27">
        <f t="shared" si="3"/>
        <v>1.738283966</v>
      </c>
      <c r="Y32" s="27">
        <f t="shared" si="4"/>
        <v>0</v>
      </c>
    </row>
    <row r="33" ht="14.25" customHeight="1">
      <c r="A33" s="13" t="s">
        <v>41</v>
      </c>
      <c r="B33" s="13" t="s">
        <v>474</v>
      </c>
      <c r="C33" s="13" t="s">
        <v>46</v>
      </c>
      <c r="D33" s="13" t="s">
        <v>46</v>
      </c>
      <c r="E33" s="26">
        <v>20103.0</v>
      </c>
      <c r="F33" s="26">
        <v>17756.0</v>
      </c>
      <c r="G33" s="26">
        <v>18140.0</v>
      </c>
      <c r="H33" s="26">
        <v>18524.0</v>
      </c>
      <c r="I33" s="26">
        <v>19677.0</v>
      </c>
      <c r="J33" s="26">
        <v>20062.0</v>
      </c>
      <c r="K33" s="26">
        <v>20446.0</v>
      </c>
      <c r="L33" s="13">
        <v>1.0</v>
      </c>
      <c r="M33" s="13">
        <v>0.0</v>
      </c>
      <c r="N33" s="13">
        <v>0.0</v>
      </c>
      <c r="O33" s="13">
        <v>1.0</v>
      </c>
      <c r="P33" s="13">
        <v>0.0</v>
      </c>
      <c r="Q33" s="13">
        <v>0.0</v>
      </c>
      <c r="R33" s="27">
        <f t="shared" ref="R33:W33" si="34">(L33/F33)*100000</f>
        <v>5.631899076</v>
      </c>
      <c r="S33" s="27">
        <f t="shared" si="34"/>
        <v>0</v>
      </c>
      <c r="T33" s="27">
        <f t="shared" si="34"/>
        <v>0</v>
      </c>
      <c r="U33" s="27">
        <f t="shared" si="34"/>
        <v>5.08207552</v>
      </c>
      <c r="V33" s="27">
        <f t="shared" si="34"/>
        <v>0</v>
      </c>
      <c r="W33" s="27">
        <f t="shared" si="34"/>
        <v>0</v>
      </c>
      <c r="X33" s="27">
        <f t="shared" si="3"/>
        <v>1.877299692</v>
      </c>
      <c r="Y33" s="27">
        <f t="shared" si="4"/>
        <v>1.694025173</v>
      </c>
    </row>
    <row r="34" ht="14.25" customHeight="1">
      <c r="A34" s="13" t="s">
        <v>41</v>
      </c>
      <c r="B34" s="13" t="s">
        <v>474</v>
      </c>
      <c r="C34" s="13" t="s">
        <v>49</v>
      </c>
      <c r="D34" s="13" t="s">
        <v>49</v>
      </c>
      <c r="E34" s="26">
        <v>20104.0</v>
      </c>
      <c r="F34" s="26">
        <v>32330.0</v>
      </c>
      <c r="G34" s="26">
        <v>34310.0</v>
      </c>
      <c r="H34" s="26">
        <v>36289.0</v>
      </c>
      <c r="I34" s="26">
        <v>42229.0</v>
      </c>
      <c r="J34" s="26">
        <v>44208.0</v>
      </c>
      <c r="K34" s="26">
        <v>46188.0</v>
      </c>
      <c r="L34" s="13">
        <v>3.0</v>
      </c>
      <c r="M34" s="13">
        <v>4.0</v>
      </c>
      <c r="N34" s="13">
        <v>1.0</v>
      </c>
      <c r="O34" s="13">
        <v>0.0</v>
      </c>
      <c r="P34" s="13">
        <v>0.0</v>
      </c>
      <c r="Q34" s="13">
        <v>0.0</v>
      </c>
      <c r="R34" s="27">
        <f t="shared" ref="R34:W34" si="35">(L34/F34)*100000</f>
        <v>9.279307145</v>
      </c>
      <c r="S34" s="27">
        <f t="shared" si="35"/>
        <v>11.65840863</v>
      </c>
      <c r="T34" s="27">
        <f t="shared" si="35"/>
        <v>2.755655984</v>
      </c>
      <c r="U34" s="27">
        <f t="shared" si="35"/>
        <v>0</v>
      </c>
      <c r="V34" s="27">
        <f t="shared" si="35"/>
        <v>0</v>
      </c>
      <c r="W34" s="27">
        <f t="shared" si="35"/>
        <v>0</v>
      </c>
      <c r="X34" s="27">
        <f t="shared" si="3"/>
        <v>7.897790585</v>
      </c>
      <c r="Y34" s="27">
        <f t="shared" si="4"/>
        <v>0</v>
      </c>
    </row>
    <row r="35" ht="14.25" customHeight="1">
      <c r="A35" s="13" t="s">
        <v>41</v>
      </c>
      <c r="B35" s="13" t="s">
        <v>474</v>
      </c>
      <c r="C35" s="13" t="s">
        <v>50</v>
      </c>
      <c r="D35" s="13" t="s">
        <v>50</v>
      </c>
      <c r="E35" s="26">
        <v>20105.0</v>
      </c>
      <c r="F35" s="26">
        <v>864024.0</v>
      </c>
      <c r="G35" s="26">
        <v>867139.0</v>
      </c>
      <c r="H35" s="26">
        <v>870253.0</v>
      </c>
      <c r="I35" s="26">
        <v>879596.0</v>
      </c>
      <c r="J35" s="26">
        <v>882711.0</v>
      </c>
      <c r="K35" s="26">
        <v>885825.0</v>
      </c>
      <c r="L35" s="13">
        <v>172.0</v>
      </c>
      <c r="M35" s="13">
        <v>89.0</v>
      </c>
      <c r="N35" s="13">
        <v>45.0</v>
      </c>
      <c r="O35" s="13">
        <v>35.0</v>
      </c>
      <c r="P35" s="13">
        <v>26.0</v>
      </c>
      <c r="Q35" s="13">
        <v>16.0</v>
      </c>
      <c r="R35" s="27">
        <f t="shared" ref="R35:W35" si="36">(L35/F35)*100000</f>
        <v>19.90685444</v>
      </c>
      <c r="S35" s="27">
        <f t="shared" si="36"/>
        <v>10.26363709</v>
      </c>
      <c r="T35" s="27">
        <f t="shared" si="36"/>
        <v>5.170910069</v>
      </c>
      <c r="U35" s="27">
        <f t="shared" si="36"/>
        <v>3.979099496</v>
      </c>
      <c r="V35" s="27">
        <f t="shared" si="36"/>
        <v>2.945471394</v>
      </c>
      <c r="W35" s="27">
        <f t="shared" si="36"/>
        <v>1.806225835</v>
      </c>
      <c r="X35" s="27">
        <f t="shared" si="3"/>
        <v>11.7804672</v>
      </c>
      <c r="Y35" s="27">
        <f t="shared" si="4"/>
        <v>2.910265575</v>
      </c>
    </row>
    <row r="36" ht="14.25" customHeight="1">
      <c r="A36" s="13" t="s">
        <v>41</v>
      </c>
      <c r="B36" s="13" t="s">
        <v>476</v>
      </c>
      <c r="C36" s="13" t="s">
        <v>53</v>
      </c>
      <c r="D36" s="13" t="s">
        <v>53</v>
      </c>
      <c r="E36" s="26">
        <v>20201.0</v>
      </c>
      <c r="F36" s="26">
        <v>46558.0</v>
      </c>
      <c r="G36" s="26">
        <v>46658.0</v>
      </c>
      <c r="H36" s="26">
        <v>46757.0</v>
      </c>
      <c r="I36" s="26">
        <v>47057.0</v>
      </c>
      <c r="J36" s="26">
        <v>47157.0</v>
      </c>
      <c r="K36" s="26">
        <v>47257.0</v>
      </c>
      <c r="L36" s="13">
        <v>0.0</v>
      </c>
      <c r="M36" s="13">
        <v>3.0</v>
      </c>
      <c r="N36" s="13">
        <v>2.0</v>
      </c>
      <c r="O36" s="13">
        <v>1.0</v>
      </c>
      <c r="P36" s="13">
        <v>3.0</v>
      </c>
      <c r="Q36" s="13">
        <v>1.0</v>
      </c>
      <c r="R36" s="27">
        <f t="shared" ref="R36:W36" si="37">(L36/F36)*100000</f>
        <v>0</v>
      </c>
      <c r="S36" s="27">
        <f t="shared" si="37"/>
        <v>6.429765528</v>
      </c>
      <c r="T36" s="27">
        <f t="shared" si="37"/>
        <v>4.277434395</v>
      </c>
      <c r="U36" s="27">
        <f t="shared" si="37"/>
        <v>2.125082347</v>
      </c>
      <c r="V36" s="27">
        <f t="shared" si="37"/>
        <v>6.361727845</v>
      </c>
      <c r="W36" s="27">
        <f t="shared" si="37"/>
        <v>2.116088622</v>
      </c>
      <c r="X36" s="27">
        <f t="shared" si="3"/>
        <v>3.569066641</v>
      </c>
      <c r="Y36" s="27">
        <f t="shared" si="4"/>
        <v>3.534299605</v>
      </c>
    </row>
    <row r="37" ht="14.25" customHeight="1">
      <c r="A37" s="13" t="s">
        <v>41</v>
      </c>
      <c r="B37" s="13" t="s">
        <v>476</v>
      </c>
      <c r="C37" s="13" t="s">
        <v>56</v>
      </c>
      <c r="D37" s="13" t="s">
        <v>477</v>
      </c>
      <c r="E37" s="26">
        <v>20202.0</v>
      </c>
      <c r="F37" s="26">
        <v>14726.0</v>
      </c>
      <c r="G37" s="26">
        <v>15045.0</v>
      </c>
      <c r="H37" s="26">
        <v>15363.0</v>
      </c>
      <c r="I37" s="26">
        <v>16317.0</v>
      </c>
      <c r="J37" s="26">
        <v>16635.0</v>
      </c>
      <c r="K37" s="26">
        <v>16953.0</v>
      </c>
      <c r="L37" s="13">
        <v>0.0</v>
      </c>
      <c r="M37" s="13">
        <v>1.0</v>
      </c>
      <c r="N37" s="13">
        <v>0.0</v>
      </c>
      <c r="O37" s="13">
        <v>0.0</v>
      </c>
      <c r="P37" s="13">
        <v>0.0</v>
      </c>
      <c r="Q37" s="13">
        <v>0.0</v>
      </c>
      <c r="R37" s="27">
        <f t="shared" ref="R37:W37" si="38">(L37/F37)*100000</f>
        <v>0</v>
      </c>
      <c r="S37" s="27">
        <f t="shared" si="38"/>
        <v>6.646726487</v>
      </c>
      <c r="T37" s="27">
        <f t="shared" si="38"/>
        <v>0</v>
      </c>
      <c r="U37" s="27">
        <f t="shared" si="38"/>
        <v>0</v>
      </c>
      <c r="V37" s="27">
        <f t="shared" si="38"/>
        <v>0</v>
      </c>
      <c r="W37" s="27">
        <f t="shared" si="38"/>
        <v>0</v>
      </c>
      <c r="X37" s="27">
        <f t="shared" si="3"/>
        <v>2.215575496</v>
      </c>
      <c r="Y37" s="27">
        <f t="shared" si="4"/>
        <v>0</v>
      </c>
    </row>
    <row r="38" ht="14.25" customHeight="1">
      <c r="A38" s="13" t="s">
        <v>41</v>
      </c>
      <c r="B38" s="13" t="s">
        <v>476</v>
      </c>
      <c r="C38" s="13" t="s">
        <v>59</v>
      </c>
      <c r="D38" s="13" t="s">
        <v>59</v>
      </c>
      <c r="E38" s="26">
        <v>20203.0</v>
      </c>
      <c r="F38" s="26">
        <v>5929.0</v>
      </c>
      <c r="G38" s="26">
        <v>6115.0</v>
      </c>
      <c r="H38" s="26">
        <v>6300.0</v>
      </c>
      <c r="I38" s="26">
        <v>6856.0</v>
      </c>
      <c r="J38" s="26">
        <v>7041.0</v>
      </c>
      <c r="K38" s="26">
        <v>7226.0</v>
      </c>
      <c r="L38" s="13">
        <v>0.0</v>
      </c>
      <c r="M38" s="13">
        <v>0.0</v>
      </c>
      <c r="N38" s="13">
        <v>0.0</v>
      </c>
      <c r="O38" s="13">
        <v>0.0</v>
      </c>
      <c r="P38" s="13">
        <v>0.0</v>
      </c>
      <c r="Q38" s="13">
        <v>0.0</v>
      </c>
      <c r="R38" s="27">
        <f t="shared" ref="R38:W38" si="39">(L38/F38)*100000</f>
        <v>0</v>
      </c>
      <c r="S38" s="27">
        <f t="shared" si="39"/>
        <v>0</v>
      </c>
      <c r="T38" s="27">
        <f t="shared" si="39"/>
        <v>0</v>
      </c>
      <c r="U38" s="27">
        <f t="shared" si="39"/>
        <v>0</v>
      </c>
      <c r="V38" s="27">
        <f t="shared" si="39"/>
        <v>0</v>
      </c>
      <c r="W38" s="27">
        <f t="shared" si="39"/>
        <v>0</v>
      </c>
      <c r="X38" s="27">
        <f t="shared" si="3"/>
        <v>0</v>
      </c>
      <c r="Y38" s="27">
        <f t="shared" si="4"/>
        <v>0</v>
      </c>
    </row>
    <row r="39" ht="14.25" customHeight="1">
      <c r="A39" s="13" t="s">
        <v>41</v>
      </c>
      <c r="B39" s="13" t="s">
        <v>476</v>
      </c>
      <c r="C39" s="13" t="s">
        <v>478</v>
      </c>
      <c r="D39" s="13" t="s">
        <v>478</v>
      </c>
      <c r="E39" s="26">
        <v>20204.0</v>
      </c>
      <c r="F39" s="26">
        <v>8253.0</v>
      </c>
      <c r="G39" s="26">
        <v>8314.0</v>
      </c>
      <c r="H39" s="26">
        <v>8374.0</v>
      </c>
      <c r="I39" s="26">
        <v>8557.0</v>
      </c>
      <c r="J39" s="26">
        <v>8618.0</v>
      </c>
      <c r="K39" s="26">
        <v>8679.0</v>
      </c>
      <c r="L39" s="13">
        <v>0.0</v>
      </c>
      <c r="M39" s="13">
        <v>0.0</v>
      </c>
      <c r="N39" s="13">
        <v>0.0</v>
      </c>
      <c r="O39" s="13">
        <v>0.0</v>
      </c>
      <c r="P39" s="13">
        <v>0.0</v>
      </c>
      <c r="Q39" s="13">
        <v>0.0</v>
      </c>
      <c r="R39" s="27">
        <f t="shared" ref="R39:W39" si="40">(L39/F39)*100000</f>
        <v>0</v>
      </c>
      <c r="S39" s="27">
        <f t="shared" si="40"/>
        <v>0</v>
      </c>
      <c r="T39" s="27">
        <f t="shared" si="40"/>
        <v>0</v>
      </c>
      <c r="U39" s="27">
        <f t="shared" si="40"/>
        <v>0</v>
      </c>
      <c r="V39" s="27">
        <f t="shared" si="40"/>
        <v>0</v>
      </c>
      <c r="W39" s="27">
        <f t="shared" si="40"/>
        <v>0</v>
      </c>
      <c r="X39" s="27">
        <f t="shared" si="3"/>
        <v>0</v>
      </c>
      <c r="Y39" s="27">
        <f t="shared" si="4"/>
        <v>0</v>
      </c>
    </row>
    <row r="40" ht="14.25" customHeight="1">
      <c r="A40" s="13" t="s">
        <v>41</v>
      </c>
      <c r="B40" s="13" t="s">
        <v>476</v>
      </c>
      <c r="C40" s="13" t="s">
        <v>479</v>
      </c>
      <c r="D40" s="13" t="s">
        <v>479</v>
      </c>
      <c r="E40" s="26">
        <v>20205.0</v>
      </c>
      <c r="F40" s="26">
        <v>8864.0</v>
      </c>
      <c r="G40" s="26">
        <v>8925.0</v>
      </c>
      <c r="H40" s="26">
        <v>8985.0</v>
      </c>
      <c r="I40" s="26">
        <v>9166.0</v>
      </c>
      <c r="J40" s="26">
        <v>9227.0</v>
      </c>
      <c r="K40" s="26">
        <v>9287.0</v>
      </c>
      <c r="L40" s="13">
        <v>0.0</v>
      </c>
      <c r="M40" s="13">
        <v>0.0</v>
      </c>
      <c r="N40" s="13">
        <v>0.0</v>
      </c>
      <c r="O40" s="13">
        <v>0.0</v>
      </c>
      <c r="P40" s="13">
        <v>0.0</v>
      </c>
      <c r="Q40" s="13">
        <v>3.0</v>
      </c>
      <c r="R40" s="27">
        <f t="shared" ref="R40:W40" si="41">(L40/F40)*100000</f>
        <v>0</v>
      </c>
      <c r="S40" s="27">
        <f t="shared" si="41"/>
        <v>0</v>
      </c>
      <c r="T40" s="27">
        <f t="shared" si="41"/>
        <v>0</v>
      </c>
      <c r="U40" s="27">
        <f t="shared" si="41"/>
        <v>0</v>
      </c>
      <c r="V40" s="27">
        <f t="shared" si="41"/>
        <v>0</v>
      </c>
      <c r="W40" s="27">
        <f t="shared" si="41"/>
        <v>32.30321955</v>
      </c>
      <c r="X40" s="27">
        <f t="shared" si="3"/>
        <v>0</v>
      </c>
      <c r="Y40" s="27">
        <f t="shared" si="4"/>
        <v>10.76773985</v>
      </c>
    </row>
    <row r="41" ht="14.25" customHeight="1">
      <c r="A41" s="13" t="s">
        <v>41</v>
      </c>
      <c r="B41" s="13" t="s">
        <v>476</v>
      </c>
      <c r="C41" s="13" t="s">
        <v>480</v>
      </c>
      <c r="D41" s="13" t="s">
        <v>480</v>
      </c>
      <c r="E41" s="26">
        <v>20206.0</v>
      </c>
      <c r="F41" s="26">
        <v>4423.0</v>
      </c>
      <c r="G41" s="26">
        <v>4523.0</v>
      </c>
      <c r="H41" s="26">
        <v>4622.0</v>
      </c>
      <c r="I41" s="26">
        <v>4920.0</v>
      </c>
      <c r="J41" s="26">
        <v>5019.0</v>
      </c>
      <c r="K41" s="26">
        <v>5118.0</v>
      </c>
      <c r="L41" s="13">
        <v>0.0</v>
      </c>
      <c r="M41" s="13">
        <v>0.0</v>
      </c>
      <c r="N41" s="13">
        <v>0.0</v>
      </c>
      <c r="O41" s="13">
        <v>0.0</v>
      </c>
      <c r="P41" s="13">
        <v>0.0</v>
      </c>
      <c r="Q41" s="13">
        <v>0.0</v>
      </c>
      <c r="R41" s="27">
        <f t="shared" ref="R41:W41" si="42">(L41/F41)*100000</f>
        <v>0</v>
      </c>
      <c r="S41" s="27">
        <f t="shared" si="42"/>
        <v>0</v>
      </c>
      <c r="T41" s="27">
        <f t="shared" si="42"/>
        <v>0</v>
      </c>
      <c r="U41" s="27">
        <f t="shared" si="42"/>
        <v>0</v>
      </c>
      <c r="V41" s="27">
        <f t="shared" si="42"/>
        <v>0</v>
      </c>
      <c r="W41" s="27">
        <f t="shared" si="42"/>
        <v>0</v>
      </c>
      <c r="X41" s="27">
        <f t="shared" si="3"/>
        <v>0</v>
      </c>
      <c r="Y41" s="27">
        <f t="shared" si="4"/>
        <v>0</v>
      </c>
    </row>
    <row r="42" ht="14.25" customHeight="1">
      <c r="A42" s="13" t="s">
        <v>41</v>
      </c>
      <c r="B42" s="13" t="s">
        <v>481</v>
      </c>
      <c r="C42" s="13" t="s">
        <v>62</v>
      </c>
      <c r="D42" s="13" t="s">
        <v>482</v>
      </c>
      <c r="E42" s="26">
        <v>20301.0</v>
      </c>
      <c r="F42" s="26">
        <v>11857.0</v>
      </c>
      <c r="G42" s="26">
        <v>12099.0</v>
      </c>
      <c r="H42" s="26">
        <v>12341.0</v>
      </c>
      <c r="I42" s="26">
        <v>13067.0</v>
      </c>
      <c r="J42" s="26">
        <v>13309.0</v>
      </c>
      <c r="K42" s="26">
        <v>13551.0</v>
      </c>
      <c r="L42" s="13">
        <v>1.0</v>
      </c>
      <c r="M42" s="13">
        <v>0.0</v>
      </c>
      <c r="N42" s="13">
        <v>0.0</v>
      </c>
      <c r="O42" s="13">
        <v>0.0</v>
      </c>
      <c r="P42" s="13">
        <v>0.0</v>
      </c>
      <c r="Q42" s="13">
        <v>1.0</v>
      </c>
      <c r="R42" s="27">
        <f t="shared" ref="R42:W42" si="43">(L42/F42)*100000</f>
        <v>8.433836552</v>
      </c>
      <c r="S42" s="27">
        <f t="shared" si="43"/>
        <v>0</v>
      </c>
      <c r="T42" s="27">
        <f t="shared" si="43"/>
        <v>0</v>
      </c>
      <c r="U42" s="27">
        <f t="shared" si="43"/>
        <v>0</v>
      </c>
      <c r="V42" s="27">
        <f t="shared" si="43"/>
        <v>0</v>
      </c>
      <c r="W42" s="27">
        <f t="shared" si="43"/>
        <v>7.379529186</v>
      </c>
      <c r="X42" s="27">
        <f t="shared" si="3"/>
        <v>2.811278851</v>
      </c>
      <c r="Y42" s="27">
        <f t="shared" si="4"/>
        <v>2.459843062</v>
      </c>
    </row>
    <row r="43" ht="14.25" customHeight="1">
      <c r="A43" s="13" t="s">
        <v>41</v>
      </c>
      <c r="B43" s="13" t="s">
        <v>481</v>
      </c>
      <c r="C43" s="13" t="s">
        <v>64</v>
      </c>
      <c r="D43" s="13" t="s">
        <v>64</v>
      </c>
      <c r="E43" s="26">
        <v>20302.0</v>
      </c>
      <c r="F43" s="26">
        <v>15055.0</v>
      </c>
      <c r="G43" s="26">
        <v>15129.0</v>
      </c>
      <c r="H43" s="26">
        <v>15202.0</v>
      </c>
      <c r="I43" s="26">
        <v>15423.0</v>
      </c>
      <c r="J43" s="26">
        <v>15496.0</v>
      </c>
      <c r="K43" s="26">
        <v>15570.0</v>
      </c>
      <c r="L43" s="13">
        <v>0.0</v>
      </c>
      <c r="M43" s="13">
        <v>0.0</v>
      </c>
      <c r="N43" s="13">
        <v>1.0</v>
      </c>
      <c r="O43" s="13">
        <v>0.0</v>
      </c>
      <c r="P43" s="13">
        <v>0.0</v>
      </c>
      <c r="Q43" s="13">
        <v>0.0</v>
      </c>
      <c r="R43" s="27">
        <f t="shared" ref="R43:W43" si="44">(L43/F43)*100000</f>
        <v>0</v>
      </c>
      <c r="S43" s="27">
        <f t="shared" si="44"/>
        <v>0</v>
      </c>
      <c r="T43" s="27">
        <f t="shared" si="44"/>
        <v>6.578081831</v>
      </c>
      <c r="U43" s="27">
        <f t="shared" si="44"/>
        <v>0</v>
      </c>
      <c r="V43" s="27">
        <f t="shared" si="44"/>
        <v>0</v>
      </c>
      <c r="W43" s="27">
        <f t="shared" si="44"/>
        <v>0</v>
      </c>
      <c r="X43" s="27">
        <f t="shared" si="3"/>
        <v>2.192693944</v>
      </c>
      <c r="Y43" s="27">
        <f t="shared" si="4"/>
        <v>0</v>
      </c>
    </row>
    <row r="44" ht="14.25" customHeight="1">
      <c r="A44" s="13" t="s">
        <v>41</v>
      </c>
      <c r="B44" s="13" t="s">
        <v>481</v>
      </c>
      <c r="C44" s="13" t="s">
        <v>483</v>
      </c>
      <c r="D44" s="13" t="s">
        <v>483</v>
      </c>
      <c r="E44" s="26">
        <v>20303.0</v>
      </c>
      <c r="F44" s="26">
        <v>10854.0</v>
      </c>
      <c r="G44" s="26">
        <v>11049.0</v>
      </c>
      <c r="H44" s="26">
        <v>11244.0</v>
      </c>
      <c r="I44" s="26">
        <v>11829.0</v>
      </c>
      <c r="J44" s="26">
        <v>12024.0</v>
      </c>
      <c r="K44" s="26">
        <v>12219.0</v>
      </c>
      <c r="L44" s="13">
        <v>0.0</v>
      </c>
      <c r="M44" s="13">
        <v>0.0</v>
      </c>
      <c r="N44" s="13">
        <v>0.0</v>
      </c>
      <c r="O44" s="13">
        <v>0.0</v>
      </c>
      <c r="P44" s="13">
        <v>0.0</v>
      </c>
      <c r="Q44" s="13">
        <v>0.0</v>
      </c>
      <c r="R44" s="27">
        <f t="shared" ref="R44:W44" si="45">(L44/F44)*100000</f>
        <v>0</v>
      </c>
      <c r="S44" s="27">
        <f t="shared" si="45"/>
        <v>0</v>
      </c>
      <c r="T44" s="27">
        <f t="shared" si="45"/>
        <v>0</v>
      </c>
      <c r="U44" s="27">
        <f t="shared" si="45"/>
        <v>0</v>
      </c>
      <c r="V44" s="27">
        <f t="shared" si="45"/>
        <v>0</v>
      </c>
      <c r="W44" s="27">
        <f t="shared" si="45"/>
        <v>0</v>
      </c>
      <c r="X44" s="27">
        <f t="shared" si="3"/>
        <v>0</v>
      </c>
      <c r="Y44" s="27">
        <f t="shared" si="4"/>
        <v>0</v>
      </c>
    </row>
    <row r="45" ht="14.25" customHeight="1">
      <c r="A45" s="13" t="s">
        <v>41</v>
      </c>
      <c r="B45" s="13" t="s">
        <v>481</v>
      </c>
      <c r="C45" s="13" t="s">
        <v>484</v>
      </c>
      <c r="D45" s="13" t="s">
        <v>484</v>
      </c>
      <c r="E45" s="26">
        <v>20304.0</v>
      </c>
      <c r="F45" s="26">
        <v>4446.0</v>
      </c>
      <c r="G45" s="26">
        <v>4559.0</v>
      </c>
      <c r="H45" s="26">
        <v>4672.0</v>
      </c>
      <c r="I45" s="26">
        <v>5012.0</v>
      </c>
      <c r="J45" s="26">
        <v>5125.0</v>
      </c>
      <c r="K45" s="26">
        <v>5238.0</v>
      </c>
      <c r="L45" s="13">
        <v>0.0</v>
      </c>
      <c r="M45" s="13">
        <v>0.0</v>
      </c>
      <c r="N45" s="13">
        <v>0.0</v>
      </c>
      <c r="O45" s="13">
        <v>0.0</v>
      </c>
      <c r="P45" s="13">
        <v>0.0</v>
      </c>
      <c r="Q45" s="13">
        <v>0.0</v>
      </c>
      <c r="R45" s="27">
        <f t="shared" ref="R45:W45" si="46">(L45/F45)*100000</f>
        <v>0</v>
      </c>
      <c r="S45" s="27">
        <f t="shared" si="46"/>
        <v>0</v>
      </c>
      <c r="T45" s="27">
        <f t="shared" si="46"/>
        <v>0</v>
      </c>
      <c r="U45" s="27">
        <f t="shared" si="46"/>
        <v>0</v>
      </c>
      <c r="V45" s="27">
        <f t="shared" si="46"/>
        <v>0</v>
      </c>
      <c r="W45" s="27">
        <f t="shared" si="46"/>
        <v>0</v>
      </c>
      <c r="X45" s="27">
        <f t="shared" si="3"/>
        <v>0</v>
      </c>
      <c r="Y45" s="27">
        <f t="shared" si="4"/>
        <v>0</v>
      </c>
    </row>
    <row r="46" ht="14.25" customHeight="1">
      <c r="A46" s="13" t="s">
        <v>41</v>
      </c>
      <c r="B46" s="13" t="s">
        <v>481</v>
      </c>
      <c r="C46" s="13" t="s">
        <v>67</v>
      </c>
      <c r="D46" s="13" t="s">
        <v>67</v>
      </c>
      <c r="E46" s="26">
        <v>20305.0</v>
      </c>
      <c r="F46" s="26">
        <v>3652.0</v>
      </c>
      <c r="G46" s="26">
        <v>3734.0</v>
      </c>
      <c r="H46" s="26">
        <v>3815.0</v>
      </c>
      <c r="I46" s="26">
        <v>4059.0</v>
      </c>
      <c r="J46" s="26">
        <v>4140.0</v>
      </c>
      <c r="K46" s="26">
        <v>4221.0</v>
      </c>
      <c r="L46" s="13">
        <v>0.0</v>
      </c>
      <c r="M46" s="13">
        <v>0.0</v>
      </c>
      <c r="N46" s="13">
        <v>1.0</v>
      </c>
      <c r="O46" s="13">
        <v>0.0</v>
      </c>
      <c r="P46" s="13">
        <v>0.0</v>
      </c>
      <c r="Q46" s="13">
        <v>0.0</v>
      </c>
      <c r="R46" s="27">
        <f t="shared" ref="R46:W46" si="47">(L46/F46)*100000</f>
        <v>0</v>
      </c>
      <c r="S46" s="27">
        <f t="shared" si="47"/>
        <v>0</v>
      </c>
      <c r="T46" s="27">
        <f t="shared" si="47"/>
        <v>26.21231979</v>
      </c>
      <c r="U46" s="27">
        <f t="shared" si="47"/>
        <v>0</v>
      </c>
      <c r="V46" s="27">
        <f t="shared" si="47"/>
        <v>0</v>
      </c>
      <c r="W46" s="27">
        <f t="shared" si="47"/>
        <v>0</v>
      </c>
      <c r="X46" s="27">
        <f t="shared" si="3"/>
        <v>8.73743993</v>
      </c>
      <c r="Y46" s="27">
        <f t="shared" si="4"/>
        <v>0</v>
      </c>
    </row>
    <row r="47" ht="14.25" customHeight="1">
      <c r="A47" s="13" t="s">
        <v>41</v>
      </c>
      <c r="B47" s="13" t="s">
        <v>481</v>
      </c>
      <c r="C47" s="13" t="s">
        <v>129</v>
      </c>
      <c r="D47" s="13" t="s">
        <v>129</v>
      </c>
      <c r="E47" s="26">
        <v>20306.0</v>
      </c>
      <c r="F47" s="26">
        <v>5641.0</v>
      </c>
      <c r="G47" s="26">
        <v>5756.0</v>
      </c>
      <c r="H47" s="26">
        <v>5870.0</v>
      </c>
      <c r="I47" s="26">
        <v>6213.0</v>
      </c>
      <c r="J47" s="26">
        <v>6328.0</v>
      </c>
      <c r="K47" s="26">
        <v>6442.0</v>
      </c>
      <c r="L47" s="13">
        <v>0.0</v>
      </c>
      <c r="M47" s="13">
        <v>0.0</v>
      </c>
      <c r="N47" s="13">
        <v>0.0</v>
      </c>
      <c r="O47" s="13">
        <v>0.0</v>
      </c>
      <c r="P47" s="13">
        <v>0.0</v>
      </c>
      <c r="Q47" s="13">
        <v>0.0</v>
      </c>
      <c r="R47" s="27">
        <f t="shared" ref="R47:W47" si="48">(L47/F47)*100000</f>
        <v>0</v>
      </c>
      <c r="S47" s="27">
        <f t="shared" si="48"/>
        <v>0</v>
      </c>
      <c r="T47" s="27">
        <f t="shared" si="48"/>
        <v>0</v>
      </c>
      <c r="U47" s="27">
        <f t="shared" si="48"/>
        <v>0</v>
      </c>
      <c r="V47" s="27">
        <f t="shared" si="48"/>
        <v>0</v>
      </c>
      <c r="W47" s="27">
        <f t="shared" si="48"/>
        <v>0</v>
      </c>
      <c r="X47" s="27">
        <f t="shared" si="3"/>
        <v>0</v>
      </c>
      <c r="Y47" s="27">
        <f t="shared" si="4"/>
        <v>0</v>
      </c>
    </row>
    <row r="48" ht="14.25" customHeight="1">
      <c r="A48" s="13" t="s">
        <v>41</v>
      </c>
      <c r="B48" s="13" t="s">
        <v>481</v>
      </c>
      <c r="C48" s="13" t="s">
        <v>133</v>
      </c>
      <c r="D48" s="13" t="s">
        <v>133</v>
      </c>
      <c r="E48" s="26">
        <v>20307.0</v>
      </c>
      <c r="F48" s="26">
        <v>2037.0</v>
      </c>
      <c r="G48" s="26">
        <v>2321.0</v>
      </c>
      <c r="H48" s="26">
        <v>2604.0</v>
      </c>
      <c r="I48" s="26">
        <v>3455.0</v>
      </c>
      <c r="J48" s="26">
        <v>3738.0</v>
      </c>
      <c r="K48" s="26">
        <v>4022.0</v>
      </c>
      <c r="L48" s="13">
        <v>0.0</v>
      </c>
      <c r="M48" s="13">
        <v>0.0</v>
      </c>
      <c r="N48" s="13">
        <v>0.0</v>
      </c>
      <c r="O48" s="13">
        <v>0.0</v>
      </c>
      <c r="P48" s="13">
        <v>0.0</v>
      </c>
      <c r="Q48" s="13">
        <v>0.0</v>
      </c>
      <c r="R48" s="27">
        <f t="shared" ref="R48:W48" si="49">(L48/F48)*100000</f>
        <v>0</v>
      </c>
      <c r="S48" s="27">
        <f t="shared" si="49"/>
        <v>0</v>
      </c>
      <c r="T48" s="27">
        <f t="shared" si="49"/>
        <v>0</v>
      </c>
      <c r="U48" s="27">
        <f t="shared" si="49"/>
        <v>0</v>
      </c>
      <c r="V48" s="27">
        <f t="shared" si="49"/>
        <v>0</v>
      </c>
      <c r="W48" s="27">
        <f t="shared" si="49"/>
        <v>0</v>
      </c>
      <c r="X48" s="27">
        <f t="shared" si="3"/>
        <v>0</v>
      </c>
      <c r="Y48" s="27">
        <f t="shared" si="4"/>
        <v>0</v>
      </c>
    </row>
    <row r="49" ht="14.25" customHeight="1">
      <c r="A49" s="13" t="s">
        <v>41</v>
      </c>
      <c r="B49" s="13" t="s">
        <v>481</v>
      </c>
      <c r="C49" s="13" t="s">
        <v>485</v>
      </c>
      <c r="D49" s="13" t="s">
        <v>485</v>
      </c>
      <c r="E49" s="26">
        <v>20308.0</v>
      </c>
      <c r="F49" s="26">
        <v>7601.0</v>
      </c>
      <c r="G49" s="26">
        <v>7663.0</v>
      </c>
      <c r="H49" s="26">
        <v>7725.0</v>
      </c>
      <c r="I49" s="26">
        <v>7912.0</v>
      </c>
      <c r="J49" s="26">
        <v>7975.0</v>
      </c>
      <c r="K49" s="26">
        <v>8037.0</v>
      </c>
      <c r="L49" s="13">
        <v>0.0</v>
      </c>
      <c r="M49" s="13">
        <v>0.0</v>
      </c>
      <c r="N49" s="13">
        <v>1.0</v>
      </c>
      <c r="O49" s="13">
        <v>0.0</v>
      </c>
      <c r="P49" s="13">
        <v>0.0</v>
      </c>
      <c r="Q49" s="13">
        <v>0.0</v>
      </c>
      <c r="R49" s="27">
        <f t="shared" ref="R49:W49" si="50">(L49/F49)*100000</f>
        <v>0</v>
      </c>
      <c r="S49" s="27">
        <f t="shared" si="50"/>
        <v>0</v>
      </c>
      <c r="T49" s="27">
        <f t="shared" si="50"/>
        <v>12.94498382</v>
      </c>
      <c r="U49" s="27">
        <f t="shared" si="50"/>
        <v>0</v>
      </c>
      <c r="V49" s="27">
        <f t="shared" si="50"/>
        <v>0</v>
      </c>
      <c r="W49" s="27">
        <f t="shared" si="50"/>
        <v>0</v>
      </c>
      <c r="X49" s="27">
        <f t="shared" si="3"/>
        <v>4.314994606</v>
      </c>
      <c r="Y49" s="27">
        <f t="shared" si="4"/>
        <v>0</v>
      </c>
    </row>
    <row r="50" ht="14.25" customHeight="1">
      <c r="A50" s="13" t="s">
        <v>41</v>
      </c>
      <c r="B50" s="13" t="s">
        <v>486</v>
      </c>
      <c r="C50" s="13" t="s">
        <v>73</v>
      </c>
      <c r="D50" s="13" t="s">
        <v>73</v>
      </c>
      <c r="E50" s="26">
        <v>20401.0</v>
      </c>
      <c r="F50" s="26">
        <v>12424.0</v>
      </c>
      <c r="G50" s="26">
        <v>12651.0</v>
      </c>
      <c r="H50" s="26">
        <v>12878.0</v>
      </c>
      <c r="I50" s="26">
        <v>13558.0</v>
      </c>
      <c r="J50" s="26">
        <v>13785.0</v>
      </c>
      <c r="K50" s="26">
        <v>14012.0</v>
      </c>
      <c r="L50" s="13">
        <v>0.0</v>
      </c>
      <c r="M50" s="13">
        <v>0.0</v>
      </c>
      <c r="N50" s="13">
        <v>0.0</v>
      </c>
      <c r="O50" s="13">
        <v>0.0</v>
      </c>
      <c r="P50" s="13">
        <v>1.0</v>
      </c>
      <c r="Q50" s="13">
        <v>0.0</v>
      </c>
      <c r="R50" s="27">
        <f t="shared" ref="R50:W50" si="51">(L50/F50)*100000</f>
        <v>0</v>
      </c>
      <c r="S50" s="27">
        <f t="shared" si="51"/>
        <v>0</v>
      </c>
      <c r="T50" s="27">
        <f t="shared" si="51"/>
        <v>0</v>
      </c>
      <c r="U50" s="27">
        <f t="shared" si="51"/>
        <v>0</v>
      </c>
      <c r="V50" s="27">
        <f t="shared" si="51"/>
        <v>7.254261879</v>
      </c>
      <c r="W50" s="27">
        <f t="shared" si="51"/>
        <v>0</v>
      </c>
      <c r="X50" s="27">
        <f t="shared" si="3"/>
        <v>0</v>
      </c>
      <c r="Y50" s="27">
        <f t="shared" si="4"/>
        <v>2.418087293</v>
      </c>
    </row>
    <row r="51" ht="14.25" customHeight="1">
      <c r="A51" s="13" t="s">
        <v>41</v>
      </c>
      <c r="B51" s="13" t="s">
        <v>486</v>
      </c>
      <c r="C51" s="13" t="s">
        <v>487</v>
      </c>
      <c r="D51" s="13" t="s">
        <v>487</v>
      </c>
      <c r="E51" s="26">
        <v>20402.0</v>
      </c>
      <c r="F51" s="26">
        <v>16559.0</v>
      </c>
      <c r="G51" s="26">
        <v>16738.0</v>
      </c>
      <c r="H51" s="26">
        <v>16917.0</v>
      </c>
      <c r="I51" s="26">
        <v>17453.0</v>
      </c>
      <c r="J51" s="26">
        <v>17632.0</v>
      </c>
      <c r="K51" s="26">
        <v>17811.0</v>
      </c>
      <c r="L51" s="13">
        <v>0.0</v>
      </c>
      <c r="M51" s="13">
        <v>0.0</v>
      </c>
      <c r="N51" s="13">
        <v>0.0</v>
      </c>
      <c r="O51" s="13">
        <v>0.0</v>
      </c>
      <c r="P51" s="13">
        <v>0.0</v>
      </c>
      <c r="Q51" s="13">
        <v>0.0</v>
      </c>
      <c r="R51" s="27">
        <f t="shared" ref="R51:W51" si="52">(L51/F51)*100000</f>
        <v>0</v>
      </c>
      <c r="S51" s="27">
        <f t="shared" si="52"/>
        <v>0</v>
      </c>
      <c r="T51" s="27">
        <f t="shared" si="52"/>
        <v>0</v>
      </c>
      <c r="U51" s="27">
        <f t="shared" si="52"/>
        <v>0</v>
      </c>
      <c r="V51" s="27">
        <f t="shared" si="52"/>
        <v>0</v>
      </c>
      <c r="W51" s="27">
        <f t="shared" si="52"/>
        <v>0</v>
      </c>
      <c r="X51" s="27">
        <f t="shared" si="3"/>
        <v>0</v>
      </c>
      <c r="Y51" s="27">
        <f t="shared" si="4"/>
        <v>0</v>
      </c>
    </row>
    <row r="52" ht="14.25" customHeight="1">
      <c r="A52" s="13" t="s">
        <v>41</v>
      </c>
      <c r="B52" s="13" t="s">
        <v>486</v>
      </c>
      <c r="C52" s="13" t="s">
        <v>488</v>
      </c>
      <c r="D52" s="13" t="s">
        <v>489</v>
      </c>
      <c r="E52" s="26">
        <v>20403.0</v>
      </c>
      <c r="F52" s="26">
        <v>15734.0</v>
      </c>
      <c r="G52" s="26">
        <v>15963.0</v>
      </c>
      <c r="H52" s="26">
        <v>16191.0</v>
      </c>
      <c r="I52" s="26">
        <v>16878.0</v>
      </c>
      <c r="J52" s="26">
        <v>17107.0</v>
      </c>
      <c r="K52" s="26">
        <v>17336.0</v>
      </c>
      <c r="L52" s="13">
        <v>0.0</v>
      </c>
      <c r="M52" s="13">
        <v>0.0</v>
      </c>
      <c r="N52" s="13">
        <v>0.0</v>
      </c>
      <c r="O52" s="13">
        <v>0.0</v>
      </c>
      <c r="P52" s="13">
        <v>0.0</v>
      </c>
      <c r="Q52" s="13">
        <v>0.0</v>
      </c>
      <c r="R52" s="27">
        <f t="shared" ref="R52:W52" si="53">(L52/F52)*100000</f>
        <v>0</v>
      </c>
      <c r="S52" s="27">
        <f t="shared" si="53"/>
        <v>0</v>
      </c>
      <c r="T52" s="27">
        <f t="shared" si="53"/>
        <v>0</v>
      </c>
      <c r="U52" s="27">
        <f t="shared" si="53"/>
        <v>0</v>
      </c>
      <c r="V52" s="27">
        <f t="shared" si="53"/>
        <v>0</v>
      </c>
      <c r="W52" s="27">
        <f t="shared" si="53"/>
        <v>0</v>
      </c>
      <c r="X52" s="27">
        <f t="shared" si="3"/>
        <v>0</v>
      </c>
      <c r="Y52" s="27">
        <f t="shared" si="4"/>
        <v>0</v>
      </c>
    </row>
    <row r="53" ht="14.25" customHeight="1">
      <c r="A53" s="13" t="s">
        <v>41</v>
      </c>
      <c r="B53" s="13" t="s">
        <v>486</v>
      </c>
      <c r="C53" s="13" t="s">
        <v>490</v>
      </c>
      <c r="D53" s="13" t="s">
        <v>490</v>
      </c>
      <c r="E53" s="26">
        <v>20404.0</v>
      </c>
      <c r="F53" s="26">
        <v>5474.0</v>
      </c>
      <c r="G53" s="26">
        <v>5500.0</v>
      </c>
      <c r="H53" s="26">
        <v>5526.0</v>
      </c>
      <c r="I53" s="26">
        <v>5605.0</v>
      </c>
      <c r="J53" s="26">
        <v>5632.0</v>
      </c>
      <c r="K53" s="26">
        <v>5658.0</v>
      </c>
      <c r="L53" s="13">
        <v>0.0</v>
      </c>
      <c r="M53" s="13">
        <v>0.0</v>
      </c>
      <c r="N53" s="13">
        <v>0.0</v>
      </c>
      <c r="O53" s="13">
        <v>0.0</v>
      </c>
      <c r="P53" s="13">
        <v>0.0</v>
      </c>
      <c r="Q53" s="13">
        <v>0.0</v>
      </c>
      <c r="R53" s="27">
        <f t="shared" ref="R53:W53" si="54">(L53/F53)*100000</f>
        <v>0</v>
      </c>
      <c r="S53" s="27">
        <f t="shared" si="54"/>
        <v>0</v>
      </c>
      <c r="T53" s="27">
        <f t="shared" si="54"/>
        <v>0</v>
      </c>
      <c r="U53" s="27">
        <f t="shared" si="54"/>
        <v>0</v>
      </c>
      <c r="V53" s="27">
        <f t="shared" si="54"/>
        <v>0</v>
      </c>
      <c r="W53" s="27">
        <f t="shared" si="54"/>
        <v>0</v>
      </c>
      <c r="X53" s="27">
        <f t="shared" si="3"/>
        <v>0</v>
      </c>
      <c r="Y53" s="27">
        <f t="shared" si="4"/>
        <v>0</v>
      </c>
    </row>
    <row r="54" ht="14.25" customHeight="1">
      <c r="A54" s="13" t="s">
        <v>41</v>
      </c>
      <c r="B54" s="13" t="s">
        <v>486</v>
      </c>
      <c r="C54" s="13" t="s">
        <v>491</v>
      </c>
      <c r="D54" s="13" t="s">
        <v>491</v>
      </c>
      <c r="E54" s="26">
        <v>20405.0</v>
      </c>
      <c r="F54" s="26">
        <v>7874.0</v>
      </c>
      <c r="G54" s="26">
        <v>8012.0</v>
      </c>
      <c r="H54" s="26">
        <v>8149.0</v>
      </c>
      <c r="I54" s="26">
        <v>8562.0</v>
      </c>
      <c r="J54" s="26">
        <v>8699.0</v>
      </c>
      <c r="K54" s="26">
        <v>8837.0</v>
      </c>
      <c r="L54" s="13">
        <v>0.0</v>
      </c>
      <c r="M54" s="13">
        <v>0.0</v>
      </c>
      <c r="N54" s="13">
        <v>0.0</v>
      </c>
      <c r="O54" s="13">
        <v>0.0</v>
      </c>
      <c r="P54" s="13">
        <v>0.0</v>
      </c>
      <c r="Q54" s="13">
        <v>0.0</v>
      </c>
      <c r="R54" s="27">
        <f t="shared" ref="R54:W54" si="55">(L54/F54)*100000</f>
        <v>0</v>
      </c>
      <c r="S54" s="27">
        <f t="shared" si="55"/>
        <v>0</v>
      </c>
      <c r="T54" s="27">
        <f t="shared" si="55"/>
        <v>0</v>
      </c>
      <c r="U54" s="27">
        <f t="shared" si="55"/>
        <v>0</v>
      </c>
      <c r="V54" s="27">
        <f t="shared" si="55"/>
        <v>0</v>
      </c>
      <c r="W54" s="27">
        <f t="shared" si="55"/>
        <v>0</v>
      </c>
      <c r="X54" s="27">
        <f t="shared" si="3"/>
        <v>0</v>
      </c>
      <c r="Y54" s="27">
        <f t="shared" si="4"/>
        <v>0</v>
      </c>
    </row>
    <row r="55" ht="14.25" customHeight="1">
      <c r="A55" s="13" t="s">
        <v>41</v>
      </c>
      <c r="B55" s="13" t="s">
        <v>492</v>
      </c>
      <c r="C55" s="13" t="s">
        <v>493</v>
      </c>
      <c r="D55" s="13" t="s">
        <v>493</v>
      </c>
      <c r="E55" s="26">
        <v>20501.0</v>
      </c>
      <c r="F55" s="26">
        <v>14122.0</v>
      </c>
      <c r="G55" s="26">
        <v>14652.0</v>
      </c>
      <c r="H55" s="26">
        <v>15181.0</v>
      </c>
      <c r="I55" s="26">
        <v>16771.0</v>
      </c>
      <c r="J55" s="26">
        <v>17300.0</v>
      </c>
      <c r="K55" s="26">
        <v>17830.0</v>
      </c>
      <c r="L55" s="13">
        <v>0.0</v>
      </c>
      <c r="M55" s="13">
        <v>0.0</v>
      </c>
      <c r="N55" s="13">
        <v>0.0</v>
      </c>
      <c r="O55" s="13">
        <v>0.0</v>
      </c>
      <c r="P55" s="13">
        <v>0.0</v>
      </c>
      <c r="Q55" s="13">
        <v>0.0</v>
      </c>
      <c r="R55" s="27">
        <f t="shared" ref="R55:W55" si="56">(L55/F55)*100000</f>
        <v>0</v>
      </c>
      <c r="S55" s="27">
        <f t="shared" si="56"/>
        <v>0</v>
      </c>
      <c r="T55" s="27">
        <f t="shared" si="56"/>
        <v>0</v>
      </c>
      <c r="U55" s="27">
        <f t="shared" si="56"/>
        <v>0</v>
      </c>
      <c r="V55" s="27">
        <f t="shared" si="56"/>
        <v>0</v>
      </c>
      <c r="W55" s="27">
        <f t="shared" si="56"/>
        <v>0</v>
      </c>
      <c r="X55" s="27">
        <f t="shared" si="3"/>
        <v>0</v>
      </c>
      <c r="Y55" s="27">
        <f t="shared" si="4"/>
        <v>0</v>
      </c>
    </row>
    <row r="56" ht="14.25" customHeight="1">
      <c r="A56" s="13" t="s">
        <v>41</v>
      </c>
      <c r="B56" s="13" t="s">
        <v>492</v>
      </c>
      <c r="C56" s="13" t="s">
        <v>76</v>
      </c>
      <c r="D56" s="13" t="s">
        <v>76</v>
      </c>
      <c r="E56" s="26">
        <v>20502.0</v>
      </c>
      <c r="F56" s="26">
        <v>8668.0</v>
      </c>
      <c r="G56" s="26">
        <v>8720.0</v>
      </c>
      <c r="H56" s="26">
        <v>8771.0</v>
      </c>
      <c r="I56" s="26">
        <v>8926.0</v>
      </c>
      <c r="J56" s="26">
        <v>8977.0</v>
      </c>
      <c r="K56" s="26">
        <v>9029.0</v>
      </c>
      <c r="L56" s="13">
        <v>0.0</v>
      </c>
      <c r="M56" s="13">
        <v>0.0</v>
      </c>
      <c r="N56" s="13">
        <v>0.0</v>
      </c>
      <c r="O56" s="13">
        <v>1.0</v>
      </c>
      <c r="P56" s="13">
        <v>0.0</v>
      </c>
      <c r="Q56" s="13">
        <v>0.0</v>
      </c>
      <c r="R56" s="27">
        <f t="shared" ref="R56:W56" si="57">(L56/F56)*100000</f>
        <v>0</v>
      </c>
      <c r="S56" s="27">
        <f t="shared" si="57"/>
        <v>0</v>
      </c>
      <c r="T56" s="27">
        <f t="shared" si="57"/>
        <v>0</v>
      </c>
      <c r="U56" s="27">
        <f t="shared" si="57"/>
        <v>11.20322653</v>
      </c>
      <c r="V56" s="27">
        <f t="shared" si="57"/>
        <v>0</v>
      </c>
      <c r="W56" s="27">
        <f t="shared" si="57"/>
        <v>0</v>
      </c>
      <c r="X56" s="27">
        <f t="shared" si="3"/>
        <v>0</v>
      </c>
      <c r="Y56" s="27">
        <f t="shared" si="4"/>
        <v>3.734408843</v>
      </c>
    </row>
    <row r="57" ht="14.25" customHeight="1">
      <c r="A57" s="13" t="s">
        <v>41</v>
      </c>
      <c r="B57" s="13" t="s">
        <v>492</v>
      </c>
      <c r="C57" s="13" t="s">
        <v>494</v>
      </c>
      <c r="D57" s="13" t="s">
        <v>494</v>
      </c>
      <c r="E57" s="26">
        <v>20503.0</v>
      </c>
      <c r="F57" s="26">
        <v>6006.0</v>
      </c>
      <c r="G57" s="26">
        <v>6108.0</v>
      </c>
      <c r="H57" s="26">
        <v>6210.0</v>
      </c>
      <c r="I57" s="26">
        <v>6517.0</v>
      </c>
      <c r="J57" s="26">
        <v>6619.0</v>
      </c>
      <c r="K57" s="26">
        <v>6721.0</v>
      </c>
      <c r="L57" s="13">
        <v>0.0</v>
      </c>
      <c r="M57" s="13">
        <v>0.0</v>
      </c>
      <c r="N57" s="13">
        <v>0.0</v>
      </c>
      <c r="O57" s="13">
        <v>0.0</v>
      </c>
      <c r="P57" s="13">
        <v>0.0</v>
      </c>
      <c r="Q57" s="13">
        <v>0.0</v>
      </c>
      <c r="R57" s="27">
        <f t="shared" ref="R57:W57" si="58">(L57/F57)*100000</f>
        <v>0</v>
      </c>
      <c r="S57" s="27">
        <f t="shared" si="58"/>
        <v>0</v>
      </c>
      <c r="T57" s="27">
        <f t="shared" si="58"/>
        <v>0</v>
      </c>
      <c r="U57" s="27">
        <f t="shared" si="58"/>
        <v>0</v>
      </c>
      <c r="V57" s="27">
        <f t="shared" si="58"/>
        <v>0</v>
      </c>
      <c r="W57" s="27">
        <f t="shared" si="58"/>
        <v>0</v>
      </c>
      <c r="X57" s="27">
        <f t="shared" si="3"/>
        <v>0</v>
      </c>
      <c r="Y57" s="27">
        <f t="shared" si="4"/>
        <v>0</v>
      </c>
    </row>
    <row r="58" ht="14.25" customHeight="1">
      <c r="A58" s="13" t="s">
        <v>41</v>
      </c>
      <c r="B58" s="13" t="s">
        <v>495</v>
      </c>
      <c r="C58" s="13" t="s">
        <v>79</v>
      </c>
      <c r="D58" s="13" t="s">
        <v>79</v>
      </c>
      <c r="E58" s="26">
        <v>20601.0</v>
      </c>
      <c r="F58" s="26">
        <v>26250.0</v>
      </c>
      <c r="G58" s="26">
        <v>26798.0</v>
      </c>
      <c r="H58" s="26">
        <v>27345.0</v>
      </c>
      <c r="I58" s="26">
        <v>28988.0</v>
      </c>
      <c r="J58" s="26">
        <v>29535.0</v>
      </c>
      <c r="K58" s="26">
        <v>30083.0</v>
      </c>
      <c r="L58" s="13">
        <v>1.0</v>
      </c>
      <c r="M58" s="13">
        <v>0.0</v>
      </c>
      <c r="N58" s="13">
        <v>0.0</v>
      </c>
      <c r="O58" s="13">
        <v>0.0</v>
      </c>
      <c r="P58" s="13">
        <v>0.0</v>
      </c>
      <c r="Q58" s="13">
        <v>0.0</v>
      </c>
      <c r="R58" s="27">
        <f t="shared" ref="R58:W58" si="59">(L58/F58)*100000</f>
        <v>3.80952381</v>
      </c>
      <c r="S58" s="27">
        <f t="shared" si="59"/>
        <v>0</v>
      </c>
      <c r="T58" s="27">
        <f t="shared" si="59"/>
        <v>0</v>
      </c>
      <c r="U58" s="27">
        <f t="shared" si="59"/>
        <v>0</v>
      </c>
      <c r="V58" s="27">
        <f t="shared" si="59"/>
        <v>0</v>
      </c>
      <c r="W58" s="27">
        <f t="shared" si="59"/>
        <v>0</v>
      </c>
      <c r="X58" s="27">
        <f t="shared" si="3"/>
        <v>1.26984127</v>
      </c>
      <c r="Y58" s="27">
        <f t="shared" si="4"/>
        <v>0</v>
      </c>
    </row>
    <row r="59" ht="14.25" customHeight="1">
      <c r="A59" s="13" t="s">
        <v>41</v>
      </c>
      <c r="B59" s="13" t="s">
        <v>495</v>
      </c>
      <c r="C59" s="13" t="s">
        <v>82</v>
      </c>
      <c r="D59" s="13" t="s">
        <v>82</v>
      </c>
      <c r="E59" s="26">
        <v>20602.0</v>
      </c>
      <c r="F59" s="26">
        <v>15454.0</v>
      </c>
      <c r="G59" s="26">
        <v>15587.0</v>
      </c>
      <c r="H59" s="26">
        <v>15720.0</v>
      </c>
      <c r="I59" s="26">
        <v>16120.0</v>
      </c>
      <c r="J59" s="26">
        <v>16253.0</v>
      </c>
      <c r="K59" s="26">
        <v>16386.0</v>
      </c>
      <c r="L59" s="13">
        <v>0.0</v>
      </c>
      <c r="M59" s="13">
        <v>0.0</v>
      </c>
      <c r="N59" s="13">
        <v>1.0</v>
      </c>
      <c r="O59" s="13">
        <v>0.0</v>
      </c>
      <c r="P59" s="13">
        <v>0.0</v>
      </c>
      <c r="Q59" s="13">
        <v>0.0</v>
      </c>
      <c r="R59" s="27">
        <f t="shared" ref="R59:W59" si="60">(L59/F59)*100000</f>
        <v>0</v>
      </c>
      <c r="S59" s="27">
        <f t="shared" si="60"/>
        <v>0</v>
      </c>
      <c r="T59" s="27">
        <f t="shared" si="60"/>
        <v>6.361323155</v>
      </c>
      <c r="U59" s="27">
        <f t="shared" si="60"/>
        <v>0</v>
      </c>
      <c r="V59" s="27">
        <f t="shared" si="60"/>
        <v>0</v>
      </c>
      <c r="W59" s="27">
        <f t="shared" si="60"/>
        <v>0</v>
      </c>
      <c r="X59" s="27">
        <f t="shared" si="3"/>
        <v>2.120441052</v>
      </c>
      <c r="Y59" s="27">
        <f t="shared" si="4"/>
        <v>0</v>
      </c>
    </row>
    <row r="60" ht="14.25" customHeight="1">
      <c r="A60" s="13" t="s">
        <v>41</v>
      </c>
      <c r="B60" s="13" t="s">
        <v>495</v>
      </c>
      <c r="C60" s="13" t="s">
        <v>85</v>
      </c>
      <c r="D60" s="13" t="s">
        <v>85</v>
      </c>
      <c r="E60" s="26">
        <v>20603.0</v>
      </c>
      <c r="F60" s="26">
        <v>8840.0</v>
      </c>
      <c r="G60" s="26">
        <v>8972.0</v>
      </c>
      <c r="H60" s="26">
        <v>9103.0</v>
      </c>
      <c r="I60" s="26">
        <v>9498.0</v>
      </c>
      <c r="J60" s="26">
        <v>9629.0</v>
      </c>
      <c r="K60" s="26">
        <v>9761.0</v>
      </c>
      <c r="L60" s="13">
        <v>0.0</v>
      </c>
      <c r="M60" s="13">
        <v>0.0</v>
      </c>
      <c r="N60" s="13">
        <v>0.0</v>
      </c>
      <c r="O60" s="13">
        <v>0.0</v>
      </c>
      <c r="P60" s="13">
        <v>0.0</v>
      </c>
      <c r="Q60" s="13">
        <v>0.0</v>
      </c>
      <c r="R60" s="27">
        <f t="shared" ref="R60:W60" si="61">(L60/F60)*100000</f>
        <v>0</v>
      </c>
      <c r="S60" s="27">
        <f t="shared" si="61"/>
        <v>0</v>
      </c>
      <c r="T60" s="27">
        <f t="shared" si="61"/>
        <v>0</v>
      </c>
      <c r="U60" s="27">
        <f t="shared" si="61"/>
        <v>0</v>
      </c>
      <c r="V60" s="27">
        <f t="shared" si="61"/>
        <v>0</v>
      </c>
      <c r="W60" s="27">
        <f t="shared" si="61"/>
        <v>0</v>
      </c>
      <c r="X60" s="27">
        <f t="shared" si="3"/>
        <v>0</v>
      </c>
      <c r="Y60" s="27">
        <f t="shared" si="4"/>
        <v>0</v>
      </c>
    </row>
    <row r="61" ht="14.25" customHeight="1">
      <c r="A61" s="13" t="s">
        <v>41</v>
      </c>
      <c r="B61" s="13" t="s">
        <v>495</v>
      </c>
      <c r="C61" s="13" t="s">
        <v>88</v>
      </c>
      <c r="D61" s="13" t="s">
        <v>88</v>
      </c>
      <c r="E61" s="26">
        <v>20604.0</v>
      </c>
      <c r="F61" s="26">
        <v>3326.0</v>
      </c>
      <c r="G61" s="26">
        <v>3454.0</v>
      </c>
      <c r="H61" s="26">
        <v>3582.0</v>
      </c>
      <c r="I61" s="26">
        <v>3967.0</v>
      </c>
      <c r="J61" s="26">
        <v>4096.0</v>
      </c>
      <c r="K61" s="26">
        <v>4224.0</v>
      </c>
      <c r="L61" s="13">
        <v>0.0</v>
      </c>
      <c r="M61" s="13">
        <v>1.0</v>
      </c>
      <c r="N61" s="13">
        <v>0.0</v>
      </c>
      <c r="O61" s="13">
        <v>0.0</v>
      </c>
      <c r="P61" s="13">
        <v>0.0</v>
      </c>
      <c r="Q61" s="13">
        <v>0.0</v>
      </c>
      <c r="R61" s="27">
        <f t="shared" ref="R61:W61" si="62">(L61/F61)*100000</f>
        <v>0</v>
      </c>
      <c r="S61" s="27">
        <f t="shared" si="62"/>
        <v>28.95193978</v>
      </c>
      <c r="T61" s="27">
        <f t="shared" si="62"/>
        <v>0</v>
      </c>
      <c r="U61" s="27">
        <f t="shared" si="62"/>
        <v>0</v>
      </c>
      <c r="V61" s="27">
        <f t="shared" si="62"/>
        <v>0</v>
      </c>
      <c r="W61" s="27">
        <f t="shared" si="62"/>
        <v>0</v>
      </c>
      <c r="X61" s="27">
        <f t="shared" si="3"/>
        <v>9.650646593</v>
      </c>
      <c r="Y61" s="27">
        <f t="shared" si="4"/>
        <v>0</v>
      </c>
    </row>
    <row r="62" ht="14.25" customHeight="1">
      <c r="A62" s="13" t="s">
        <v>41</v>
      </c>
      <c r="B62" s="13" t="s">
        <v>495</v>
      </c>
      <c r="C62" s="13" t="s">
        <v>496</v>
      </c>
      <c r="D62" s="13" t="s">
        <v>496</v>
      </c>
      <c r="E62" s="26">
        <v>20605.0</v>
      </c>
      <c r="F62" s="26">
        <v>3647.0</v>
      </c>
      <c r="G62" s="26">
        <v>3630.0</v>
      </c>
      <c r="H62" s="26">
        <v>3613.0</v>
      </c>
      <c r="I62" s="26">
        <v>3563.0</v>
      </c>
      <c r="J62" s="26">
        <v>3546.0</v>
      </c>
      <c r="K62" s="26">
        <v>3529.0</v>
      </c>
      <c r="L62" s="13">
        <v>0.0</v>
      </c>
      <c r="M62" s="13">
        <v>0.0</v>
      </c>
      <c r="N62" s="13">
        <v>0.0</v>
      </c>
      <c r="O62" s="13">
        <v>0.0</v>
      </c>
      <c r="P62" s="13">
        <v>0.0</v>
      </c>
      <c r="Q62" s="13">
        <v>0.0</v>
      </c>
      <c r="R62" s="27">
        <f t="shared" ref="R62:W62" si="63">(L62/F62)*100000</f>
        <v>0</v>
      </c>
      <c r="S62" s="27">
        <f t="shared" si="63"/>
        <v>0</v>
      </c>
      <c r="T62" s="27">
        <f t="shared" si="63"/>
        <v>0</v>
      </c>
      <c r="U62" s="27">
        <f t="shared" si="63"/>
        <v>0</v>
      </c>
      <c r="V62" s="27">
        <f t="shared" si="63"/>
        <v>0</v>
      </c>
      <c r="W62" s="27">
        <f t="shared" si="63"/>
        <v>0</v>
      </c>
      <c r="X62" s="27">
        <f t="shared" si="3"/>
        <v>0</v>
      </c>
      <c r="Y62" s="27">
        <f t="shared" si="4"/>
        <v>0</v>
      </c>
    </row>
    <row r="63" ht="14.25" customHeight="1">
      <c r="A63" s="13" t="s">
        <v>41</v>
      </c>
      <c r="B63" s="13" t="s">
        <v>495</v>
      </c>
      <c r="C63" s="13" t="s">
        <v>497</v>
      </c>
      <c r="D63" s="13" t="s">
        <v>497</v>
      </c>
      <c r="E63" s="26">
        <v>20606.0</v>
      </c>
      <c r="F63" s="26">
        <v>9040.0</v>
      </c>
      <c r="G63" s="26">
        <v>8851.0</v>
      </c>
      <c r="H63" s="26">
        <v>8661.0</v>
      </c>
      <c r="I63" s="26">
        <v>8094.0</v>
      </c>
      <c r="J63" s="26">
        <v>7905.0</v>
      </c>
      <c r="K63" s="26">
        <v>7716.0</v>
      </c>
      <c r="L63" s="13">
        <v>0.0</v>
      </c>
      <c r="M63" s="13">
        <v>0.0</v>
      </c>
      <c r="N63" s="13">
        <v>0.0</v>
      </c>
      <c r="O63" s="13">
        <v>0.0</v>
      </c>
      <c r="P63" s="13">
        <v>0.0</v>
      </c>
      <c r="Q63" s="13">
        <v>0.0</v>
      </c>
      <c r="R63" s="27">
        <f t="shared" ref="R63:W63" si="64">(L63/F63)*100000</f>
        <v>0</v>
      </c>
      <c r="S63" s="27">
        <f t="shared" si="64"/>
        <v>0</v>
      </c>
      <c r="T63" s="27">
        <f t="shared" si="64"/>
        <v>0</v>
      </c>
      <c r="U63" s="27">
        <f t="shared" si="64"/>
        <v>0</v>
      </c>
      <c r="V63" s="27">
        <f t="shared" si="64"/>
        <v>0</v>
      </c>
      <c r="W63" s="27">
        <f t="shared" si="64"/>
        <v>0</v>
      </c>
      <c r="X63" s="27">
        <f t="shared" si="3"/>
        <v>0</v>
      </c>
      <c r="Y63" s="27">
        <f t="shared" si="4"/>
        <v>0</v>
      </c>
    </row>
    <row r="64" ht="14.25" customHeight="1">
      <c r="A64" s="13" t="s">
        <v>41</v>
      </c>
      <c r="B64" s="13" t="s">
        <v>495</v>
      </c>
      <c r="C64" s="13" t="s">
        <v>90</v>
      </c>
      <c r="D64" s="13" t="s">
        <v>90</v>
      </c>
      <c r="E64" s="26">
        <v>20607.0</v>
      </c>
      <c r="F64" s="26">
        <v>17204.0</v>
      </c>
      <c r="G64" s="26">
        <v>17867.0</v>
      </c>
      <c r="H64" s="26">
        <v>18530.0</v>
      </c>
      <c r="I64" s="26">
        <v>20518.0</v>
      </c>
      <c r="J64" s="26">
        <v>21180.0</v>
      </c>
      <c r="K64" s="26">
        <v>21843.0</v>
      </c>
      <c r="L64" s="13">
        <v>2.0</v>
      </c>
      <c r="M64" s="13">
        <v>1.0</v>
      </c>
      <c r="N64" s="13">
        <v>0.0</v>
      </c>
      <c r="O64" s="13">
        <v>0.0</v>
      </c>
      <c r="P64" s="13">
        <v>0.0</v>
      </c>
      <c r="Q64" s="13">
        <v>0.0</v>
      </c>
      <c r="R64" s="27">
        <f t="shared" ref="R64:W64" si="65">(L64/F64)*100000</f>
        <v>11.62520344</v>
      </c>
      <c r="S64" s="27">
        <f t="shared" si="65"/>
        <v>5.596910505</v>
      </c>
      <c r="T64" s="27">
        <f t="shared" si="65"/>
        <v>0</v>
      </c>
      <c r="U64" s="27">
        <f t="shared" si="65"/>
        <v>0</v>
      </c>
      <c r="V64" s="27">
        <f t="shared" si="65"/>
        <v>0</v>
      </c>
      <c r="W64" s="27">
        <f t="shared" si="65"/>
        <v>0</v>
      </c>
      <c r="X64" s="27">
        <f t="shared" si="3"/>
        <v>5.740704649</v>
      </c>
      <c r="Y64" s="27">
        <f t="shared" si="4"/>
        <v>0</v>
      </c>
    </row>
    <row r="65" ht="14.25" customHeight="1">
      <c r="A65" s="13" t="s">
        <v>41</v>
      </c>
      <c r="B65" s="13" t="s">
        <v>495</v>
      </c>
      <c r="C65" s="13" t="s">
        <v>93</v>
      </c>
      <c r="D65" s="13" t="s">
        <v>93</v>
      </c>
      <c r="E65" s="26">
        <v>20608.0</v>
      </c>
      <c r="F65" s="26">
        <v>11028.0</v>
      </c>
      <c r="G65" s="26">
        <v>11364.0</v>
      </c>
      <c r="H65" s="26">
        <v>11700.0</v>
      </c>
      <c r="I65" s="26">
        <v>12707.0</v>
      </c>
      <c r="J65" s="26">
        <v>13043.0</v>
      </c>
      <c r="K65" s="26">
        <v>13379.0</v>
      </c>
      <c r="L65" s="13">
        <v>0.0</v>
      </c>
      <c r="M65" s="13">
        <v>0.0</v>
      </c>
      <c r="N65" s="13">
        <v>1.0</v>
      </c>
      <c r="O65" s="13">
        <v>0.0</v>
      </c>
      <c r="P65" s="13">
        <v>0.0</v>
      </c>
      <c r="Q65" s="13">
        <v>0.0</v>
      </c>
      <c r="R65" s="27">
        <f t="shared" ref="R65:W65" si="66">(L65/F65)*100000</f>
        <v>0</v>
      </c>
      <c r="S65" s="27">
        <f t="shared" si="66"/>
        <v>0</v>
      </c>
      <c r="T65" s="27">
        <f t="shared" si="66"/>
        <v>8.547008547</v>
      </c>
      <c r="U65" s="27">
        <f t="shared" si="66"/>
        <v>0</v>
      </c>
      <c r="V65" s="27">
        <f t="shared" si="66"/>
        <v>0</v>
      </c>
      <c r="W65" s="27">
        <f t="shared" si="66"/>
        <v>0</v>
      </c>
      <c r="X65" s="27">
        <f t="shared" si="3"/>
        <v>2.849002849</v>
      </c>
      <c r="Y65" s="27">
        <f t="shared" si="4"/>
        <v>0</v>
      </c>
    </row>
    <row r="66" ht="14.25" customHeight="1">
      <c r="A66" s="13" t="s">
        <v>41</v>
      </c>
      <c r="B66" s="13" t="s">
        <v>498</v>
      </c>
      <c r="C66" s="13" t="s">
        <v>96</v>
      </c>
      <c r="D66" s="13" t="s">
        <v>96</v>
      </c>
      <c r="E66" s="26">
        <v>20701.0</v>
      </c>
      <c r="F66" s="26">
        <v>19828.0</v>
      </c>
      <c r="G66" s="26">
        <v>19732.0</v>
      </c>
      <c r="H66" s="26">
        <v>19636.0</v>
      </c>
      <c r="I66" s="26">
        <v>19348.0</v>
      </c>
      <c r="J66" s="26">
        <v>19252.0</v>
      </c>
      <c r="K66" s="26">
        <v>19156.0</v>
      </c>
      <c r="L66" s="13">
        <v>0.0</v>
      </c>
      <c r="M66" s="13">
        <v>0.0</v>
      </c>
      <c r="N66" s="13">
        <v>0.0</v>
      </c>
      <c r="O66" s="13">
        <v>0.0</v>
      </c>
      <c r="P66" s="13">
        <v>0.0</v>
      </c>
      <c r="Q66" s="13">
        <v>0.0</v>
      </c>
      <c r="R66" s="27">
        <f t="shared" ref="R66:W66" si="67">(L66/F66)*100000</f>
        <v>0</v>
      </c>
      <c r="S66" s="27">
        <f t="shared" si="67"/>
        <v>0</v>
      </c>
      <c r="T66" s="27">
        <f t="shared" si="67"/>
        <v>0</v>
      </c>
      <c r="U66" s="27">
        <f t="shared" si="67"/>
        <v>0</v>
      </c>
      <c r="V66" s="27">
        <f t="shared" si="67"/>
        <v>0</v>
      </c>
      <c r="W66" s="27">
        <f t="shared" si="67"/>
        <v>0</v>
      </c>
      <c r="X66" s="27">
        <f t="shared" si="3"/>
        <v>0</v>
      </c>
      <c r="Y66" s="27">
        <f t="shared" si="4"/>
        <v>0</v>
      </c>
    </row>
    <row r="67" ht="14.25" customHeight="1">
      <c r="A67" s="13" t="s">
        <v>41</v>
      </c>
      <c r="B67" s="13" t="s">
        <v>498</v>
      </c>
      <c r="C67" s="13" t="s">
        <v>99</v>
      </c>
      <c r="D67" s="13" t="s">
        <v>99</v>
      </c>
      <c r="E67" s="26">
        <v>20702.0</v>
      </c>
      <c r="F67" s="26">
        <v>7730.0</v>
      </c>
      <c r="G67" s="26">
        <v>7920.0</v>
      </c>
      <c r="H67" s="26">
        <v>8110.0</v>
      </c>
      <c r="I67" s="26">
        <v>8680.0</v>
      </c>
      <c r="J67" s="26">
        <v>8870.0</v>
      </c>
      <c r="K67" s="26">
        <v>9060.0</v>
      </c>
      <c r="L67" s="13">
        <v>0.0</v>
      </c>
      <c r="M67" s="13">
        <v>0.0</v>
      </c>
      <c r="N67" s="13">
        <v>0.0</v>
      </c>
      <c r="O67" s="13">
        <v>1.0</v>
      </c>
      <c r="P67" s="13">
        <v>0.0</v>
      </c>
      <c r="Q67" s="13">
        <v>0.0</v>
      </c>
      <c r="R67" s="27">
        <f t="shared" ref="R67:W67" si="68">(L67/F67)*100000</f>
        <v>0</v>
      </c>
      <c r="S67" s="27">
        <f t="shared" si="68"/>
        <v>0</v>
      </c>
      <c r="T67" s="27">
        <f t="shared" si="68"/>
        <v>0</v>
      </c>
      <c r="U67" s="27">
        <f t="shared" si="68"/>
        <v>11.52073733</v>
      </c>
      <c r="V67" s="27">
        <f t="shared" si="68"/>
        <v>0</v>
      </c>
      <c r="W67" s="27">
        <f t="shared" si="68"/>
        <v>0</v>
      </c>
      <c r="X67" s="27">
        <f t="shared" si="3"/>
        <v>0</v>
      </c>
      <c r="Y67" s="27">
        <f t="shared" si="4"/>
        <v>3.840245776</v>
      </c>
    </row>
    <row r="68" ht="14.25" customHeight="1">
      <c r="A68" s="13" t="s">
        <v>41</v>
      </c>
      <c r="B68" s="13" t="s">
        <v>499</v>
      </c>
      <c r="C68" s="13" t="s">
        <v>54</v>
      </c>
      <c r="D68" s="13" t="s">
        <v>54</v>
      </c>
      <c r="E68" s="26">
        <v>20801.0</v>
      </c>
      <c r="F68" s="26">
        <v>94403.0</v>
      </c>
      <c r="G68" s="26">
        <v>97139.0</v>
      </c>
      <c r="H68" s="26">
        <v>99875.0</v>
      </c>
      <c r="I68" s="26">
        <v>108082.0</v>
      </c>
      <c r="J68" s="26">
        <v>110818.0</v>
      </c>
      <c r="K68" s="26">
        <v>113554.0</v>
      </c>
      <c r="L68" s="13">
        <v>20.0</v>
      </c>
      <c r="M68" s="13">
        <v>5.0</v>
      </c>
      <c r="N68" s="13">
        <v>8.0</v>
      </c>
      <c r="O68" s="13">
        <v>8.0</v>
      </c>
      <c r="P68" s="13">
        <v>3.0</v>
      </c>
      <c r="Q68" s="13">
        <v>6.0</v>
      </c>
      <c r="R68" s="27">
        <f t="shared" ref="R68:W68" si="69">(L68/F68)*100000</f>
        <v>21.1857674</v>
      </c>
      <c r="S68" s="27">
        <f t="shared" si="69"/>
        <v>5.1472632</v>
      </c>
      <c r="T68" s="27">
        <f t="shared" si="69"/>
        <v>8.010012516</v>
      </c>
      <c r="U68" s="27">
        <f t="shared" si="69"/>
        <v>7.401787532</v>
      </c>
      <c r="V68" s="27">
        <f t="shared" si="69"/>
        <v>2.707141439</v>
      </c>
      <c r="W68" s="27">
        <f t="shared" si="69"/>
        <v>5.28382972</v>
      </c>
      <c r="X68" s="27">
        <f t="shared" si="3"/>
        <v>11.44768104</v>
      </c>
      <c r="Y68" s="27">
        <f t="shared" si="4"/>
        <v>5.130919564</v>
      </c>
    </row>
    <row r="69" ht="14.25" customHeight="1">
      <c r="A69" s="13" t="s">
        <v>41</v>
      </c>
      <c r="B69" s="13" t="s">
        <v>499</v>
      </c>
      <c r="C69" s="13" t="s">
        <v>500</v>
      </c>
      <c r="D69" s="13" t="s">
        <v>501</v>
      </c>
      <c r="E69" s="26">
        <v>20802.0</v>
      </c>
      <c r="F69" s="26">
        <v>7826.0</v>
      </c>
      <c r="G69" s="26">
        <v>7935.0</v>
      </c>
      <c r="H69" s="26">
        <v>8045.0</v>
      </c>
      <c r="I69" s="26">
        <v>8373.0</v>
      </c>
      <c r="J69" s="26">
        <v>8483.0</v>
      </c>
      <c r="K69" s="26">
        <v>8592.0</v>
      </c>
      <c r="L69" s="13">
        <v>0.0</v>
      </c>
      <c r="M69" s="13">
        <v>0.0</v>
      </c>
      <c r="N69" s="13">
        <v>0.0</v>
      </c>
      <c r="O69" s="13">
        <v>0.0</v>
      </c>
      <c r="P69" s="13">
        <v>0.0</v>
      </c>
      <c r="Q69" s="13">
        <v>0.0</v>
      </c>
      <c r="R69" s="27">
        <f t="shared" ref="R69:W69" si="70">(L69/F69)*100000</f>
        <v>0</v>
      </c>
      <c r="S69" s="27">
        <f t="shared" si="70"/>
        <v>0</v>
      </c>
      <c r="T69" s="27">
        <f t="shared" si="70"/>
        <v>0</v>
      </c>
      <c r="U69" s="27">
        <f t="shared" si="70"/>
        <v>0</v>
      </c>
      <c r="V69" s="27">
        <f t="shared" si="70"/>
        <v>0</v>
      </c>
      <c r="W69" s="27">
        <f t="shared" si="70"/>
        <v>0</v>
      </c>
      <c r="X69" s="27">
        <f t="shared" si="3"/>
        <v>0</v>
      </c>
      <c r="Y69" s="27">
        <f t="shared" si="4"/>
        <v>0</v>
      </c>
    </row>
    <row r="70" ht="14.25" customHeight="1">
      <c r="A70" s="13" t="s">
        <v>41</v>
      </c>
      <c r="B70" s="13" t="s">
        <v>499</v>
      </c>
      <c r="C70" s="13" t="s">
        <v>103</v>
      </c>
      <c r="D70" s="13" t="s">
        <v>103</v>
      </c>
      <c r="E70" s="26">
        <v>20803.0</v>
      </c>
      <c r="F70" s="26">
        <v>12797.0</v>
      </c>
      <c r="G70" s="26">
        <v>12919.0</v>
      </c>
      <c r="H70" s="26">
        <v>13040.0</v>
      </c>
      <c r="I70" s="26">
        <v>13405.0</v>
      </c>
      <c r="J70" s="26">
        <v>13526.0</v>
      </c>
      <c r="K70" s="26">
        <v>13648.0</v>
      </c>
      <c r="L70" s="13">
        <v>0.0</v>
      </c>
      <c r="M70" s="13">
        <v>1.0</v>
      </c>
      <c r="N70" s="13">
        <v>0.0</v>
      </c>
      <c r="O70" s="13">
        <v>0.0</v>
      </c>
      <c r="P70" s="13">
        <v>0.0</v>
      </c>
      <c r="Q70" s="13">
        <v>2.0</v>
      </c>
      <c r="R70" s="27">
        <f t="shared" ref="R70:W70" si="71">(L70/F70)*100000</f>
        <v>0</v>
      </c>
      <c r="S70" s="27">
        <f t="shared" si="71"/>
        <v>7.740537193</v>
      </c>
      <c r="T70" s="27">
        <f t="shared" si="71"/>
        <v>0</v>
      </c>
      <c r="U70" s="27">
        <f t="shared" si="71"/>
        <v>0</v>
      </c>
      <c r="V70" s="27">
        <f t="shared" si="71"/>
        <v>0</v>
      </c>
      <c r="W70" s="27">
        <f t="shared" si="71"/>
        <v>14.65416178</v>
      </c>
      <c r="X70" s="27">
        <f t="shared" si="3"/>
        <v>2.580179064</v>
      </c>
      <c r="Y70" s="27">
        <f t="shared" si="4"/>
        <v>4.884720594</v>
      </c>
    </row>
    <row r="71" ht="14.25" customHeight="1">
      <c r="A71" s="13" t="s">
        <v>41</v>
      </c>
      <c r="B71" s="13" t="s">
        <v>499</v>
      </c>
      <c r="C71" s="13" t="s">
        <v>65</v>
      </c>
      <c r="D71" s="13" t="s">
        <v>65</v>
      </c>
      <c r="E71" s="26">
        <v>20804.0</v>
      </c>
      <c r="F71" s="26">
        <v>7366.0</v>
      </c>
      <c r="G71" s="26">
        <v>7442.0</v>
      </c>
      <c r="H71" s="26">
        <v>7518.0</v>
      </c>
      <c r="I71" s="26">
        <v>7745.0</v>
      </c>
      <c r="J71" s="26">
        <v>7821.0</v>
      </c>
      <c r="K71" s="26">
        <v>7897.0</v>
      </c>
      <c r="L71" s="13">
        <v>0.0</v>
      </c>
      <c r="M71" s="13">
        <v>1.0</v>
      </c>
      <c r="N71" s="13">
        <v>2.0</v>
      </c>
      <c r="O71" s="13">
        <v>0.0</v>
      </c>
      <c r="P71" s="13">
        <v>1.0</v>
      </c>
      <c r="Q71" s="13">
        <v>3.0</v>
      </c>
      <c r="R71" s="27">
        <f t="shared" ref="R71:W71" si="72">(L71/F71)*100000</f>
        <v>0</v>
      </c>
      <c r="S71" s="27">
        <f t="shared" si="72"/>
        <v>13.43724805</v>
      </c>
      <c r="T71" s="27">
        <f t="shared" si="72"/>
        <v>26.6028199</v>
      </c>
      <c r="U71" s="27">
        <f t="shared" si="72"/>
        <v>0</v>
      </c>
      <c r="V71" s="27">
        <f t="shared" si="72"/>
        <v>12.78608874</v>
      </c>
      <c r="W71" s="27">
        <f t="shared" si="72"/>
        <v>37.98910979</v>
      </c>
      <c r="X71" s="27">
        <f t="shared" si="3"/>
        <v>13.34668932</v>
      </c>
      <c r="Y71" s="27">
        <f t="shared" si="4"/>
        <v>16.92506617</v>
      </c>
    </row>
    <row r="72" ht="14.25" customHeight="1">
      <c r="A72" s="13" t="s">
        <v>41</v>
      </c>
      <c r="B72" s="13" t="s">
        <v>499</v>
      </c>
      <c r="C72" s="13" t="s">
        <v>502</v>
      </c>
      <c r="D72" s="13" t="s">
        <v>503</v>
      </c>
      <c r="E72" s="26">
        <v>20805.0</v>
      </c>
      <c r="F72" s="26">
        <v>6891.0</v>
      </c>
      <c r="G72" s="26">
        <v>7041.0</v>
      </c>
      <c r="H72" s="26">
        <v>7190.0</v>
      </c>
      <c r="I72" s="26">
        <v>7638.0</v>
      </c>
      <c r="J72" s="26">
        <v>7787.0</v>
      </c>
      <c r="K72" s="26">
        <v>7936.0</v>
      </c>
      <c r="L72" s="13">
        <v>0.0</v>
      </c>
      <c r="M72" s="13">
        <v>0.0</v>
      </c>
      <c r="N72" s="13">
        <v>0.0</v>
      </c>
      <c r="O72" s="13">
        <v>0.0</v>
      </c>
      <c r="P72" s="13">
        <v>0.0</v>
      </c>
      <c r="Q72" s="13">
        <v>0.0</v>
      </c>
      <c r="R72" s="27">
        <f t="shared" ref="R72:W72" si="73">(L72/F72)*100000</f>
        <v>0</v>
      </c>
      <c r="S72" s="27">
        <f t="shared" si="73"/>
        <v>0</v>
      </c>
      <c r="T72" s="27">
        <f t="shared" si="73"/>
        <v>0</v>
      </c>
      <c r="U72" s="27">
        <f t="shared" si="73"/>
        <v>0</v>
      </c>
      <c r="V72" s="27">
        <f t="shared" si="73"/>
        <v>0</v>
      </c>
      <c r="W72" s="27">
        <f t="shared" si="73"/>
        <v>0</v>
      </c>
      <c r="X72" s="27">
        <f t="shared" si="3"/>
        <v>0</v>
      </c>
      <c r="Y72" s="27">
        <f t="shared" si="4"/>
        <v>0</v>
      </c>
    </row>
    <row r="73" ht="14.25" customHeight="1">
      <c r="A73" s="13" t="s">
        <v>41</v>
      </c>
      <c r="B73" s="13" t="s">
        <v>499</v>
      </c>
      <c r="C73" s="13" t="s">
        <v>504</v>
      </c>
      <c r="D73" s="13" t="s">
        <v>505</v>
      </c>
      <c r="E73" s="26">
        <v>20806.0</v>
      </c>
      <c r="F73" s="26">
        <v>15863.0</v>
      </c>
      <c r="G73" s="26">
        <v>16028.0</v>
      </c>
      <c r="H73" s="26">
        <v>16192.0</v>
      </c>
      <c r="I73" s="26">
        <v>16687.0</v>
      </c>
      <c r="J73" s="26">
        <v>16851.0</v>
      </c>
      <c r="K73" s="26">
        <v>17016.0</v>
      </c>
      <c r="L73" s="13">
        <v>0.0</v>
      </c>
      <c r="M73" s="13">
        <v>0.0</v>
      </c>
      <c r="N73" s="13">
        <v>0.0</v>
      </c>
      <c r="O73" s="13">
        <v>0.0</v>
      </c>
      <c r="P73" s="13">
        <v>0.0</v>
      </c>
      <c r="Q73" s="13">
        <v>0.0</v>
      </c>
      <c r="R73" s="27">
        <f t="shared" ref="R73:W73" si="74">(L73/F73)*100000</f>
        <v>0</v>
      </c>
      <c r="S73" s="27">
        <f t="shared" si="74"/>
        <v>0</v>
      </c>
      <c r="T73" s="27">
        <f t="shared" si="74"/>
        <v>0</v>
      </c>
      <c r="U73" s="27">
        <f t="shared" si="74"/>
        <v>0</v>
      </c>
      <c r="V73" s="27">
        <f t="shared" si="74"/>
        <v>0</v>
      </c>
      <c r="W73" s="27">
        <f t="shared" si="74"/>
        <v>0</v>
      </c>
      <c r="X73" s="27">
        <f t="shared" si="3"/>
        <v>0</v>
      </c>
      <c r="Y73" s="27">
        <f t="shared" si="4"/>
        <v>0</v>
      </c>
    </row>
    <row r="74" ht="14.25" customHeight="1">
      <c r="A74" s="13" t="s">
        <v>41</v>
      </c>
      <c r="B74" s="13" t="s">
        <v>499</v>
      </c>
      <c r="C74" s="13" t="s">
        <v>506</v>
      </c>
      <c r="D74" s="13" t="s">
        <v>506</v>
      </c>
      <c r="E74" s="26">
        <v>20807.0</v>
      </c>
      <c r="F74" s="26">
        <v>6993.0</v>
      </c>
      <c r="G74" s="26">
        <v>7072.0</v>
      </c>
      <c r="H74" s="26">
        <v>7150.0</v>
      </c>
      <c r="I74" s="26">
        <v>7384.0</v>
      </c>
      <c r="J74" s="26">
        <v>7462.0</v>
      </c>
      <c r="K74" s="26">
        <v>7540.0</v>
      </c>
      <c r="L74" s="13">
        <v>0.0</v>
      </c>
      <c r="M74" s="13">
        <v>0.0</v>
      </c>
      <c r="N74" s="13">
        <v>0.0</v>
      </c>
      <c r="O74" s="13">
        <v>0.0</v>
      </c>
      <c r="P74" s="13">
        <v>0.0</v>
      </c>
      <c r="Q74" s="13">
        <v>0.0</v>
      </c>
      <c r="R74" s="27">
        <f t="shared" ref="R74:W74" si="75">(L74/F74)*100000</f>
        <v>0</v>
      </c>
      <c r="S74" s="27">
        <f t="shared" si="75"/>
        <v>0</v>
      </c>
      <c r="T74" s="27">
        <f t="shared" si="75"/>
        <v>0</v>
      </c>
      <c r="U74" s="27">
        <f t="shared" si="75"/>
        <v>0</v>
      </c>
      <c r="V74" s="27">
        <f t="shared" si="75"/>
        <v>0</v>
      </c>
      <c r="W74" s="27">
        <f t="shared" si="75"/>
        <v>0</v>
      </c>
      <c r="X74" s="27">
        <f t="shared" si="3"/>
        <v>0</v>
      </c>
      <c r="Y74" s="27">
        <f t="shared" si="4"/>
        <v>0</v>
      </c>
    </row>
    <row r="75" ht="14.25" customHeight="1">
      <c r="A75" s="13" t="s">
        <v>41</v>
      </c>
      <c r="B75" s="13" t="s">
        <v>507</v>
      </c>
      <c r="C75" s="13" t="s">
        <v>508</v>
      </c>
      <c r="D75" s="13" t="s">
        <v>508</v>
      </c>
      <c r="E75" s="26">
        <v>20901.0</v>
      </c>
      <c r="F75" s="26">
        <v>10957.0</v>
      </c>
      <c r="G75" s="26">
        <v>10921.0</v>
      </c>
      <c r="H75" s="26">
        <v>10885.0</v>
      </c>
      <c r="I75" s="26">
        <v>10776.0</v>
      </c>
      <c r="J75" s="26">
        <v>10739.0</v>
      </c>
      <c r="K75" s="26">
        <v>10703.0</v>
      </c>
      <c r="L75" s="13">
        <v>0.0</v>
      </c>
      <c r="M75" s="13">
        <v>0.0</v>
      </c>
      <c r="N75" s="13">
        <v>0.0</v>
      </c>
      <c r="O75" s="13">
        <v>0.0</v>
      </c>
      <c r="P75" s="13">
        <v>0.0</v>
      </c>
      <c r="Q75" s="13">
        <v>0.0</v>
      </c>
      <c r="R75" s="27">
        <f t="shared" ref="R75:W75" si="76">(L75/F75)*100000</f>
        <v>0</v>
      </c>
      <c r="S75" s="27">
        <f t="shared" si="76"/>
        <v>0</v>
      </c>
      <c r="T75" s="27">
        <f t="shared" si="76"/>
        <v>0</v>
      </c>
      <c r="U75" s="27">
        <f t="shared" si="76"/>
        <v>0</v>
      </c>
      <c r="V75" s="27">
        <f t="shared" si="76"/>
        <v>0</v>
      </c>
      <c r="W75" s="27">
        <f t="shared" si="76"/>
        <v>0</v>
      </c>
      <c r="X75" s="27">
        <f t="shared" si="3"/>
        <v>0</v>
      </c>
      <c r="Y75" s="27">
        <f t="shared" si="4"/>
        <v>0</v>
      </c>
    </row>
    <row r="76" ht="14.25" customHeight="1">
      <c r="A76" s="13" t="s">
        <v>41</v>
      </c>
      <c r="B76" s="13" t="s">
        <v>507</v>
      </c>
      <c r="C76" s="13" t="s">
        <v>108</v>
      </c>
      <c r="D76" s="13" t="s">
        <v>108</v>
      </c>
      <c r="E76" s="26">
        <v>20902.0</v>
      </c>
      <c r="F76" s="26">
        <v>14156.0</v>
      </c>
      <c r="G76" s="26">
        <v>14491.0</v>
      </c>
      <c r="H76" s="26">
        <v>14825.0</v>
      </c>
      <c r="I76" s="26">
        <v>15828.0</v>
      </c>
      <c r="J76" s="26">
        <v>16163.0</v>
      </c>
      <c r="K76" s="26">
        <v>16497.0</v>
      </c>
      <c r="L76" s="13">
        <v>0.0</v>
      </c>
      <c r="M76" s="13">
        <v>0.0</v>
      </c>
      <c r="N76" s="13">
        <v>0.0</v>
      </c>
      <c r="O76" s="13">
        <v>0.0</v>
      </c>
      <c r="P76" s="13">
        <v>1.0</v>
      </c>
      <c r="Q76" s="13">
        <v>0.0</v>
      </c>
      <c r="R76" s="27">
        <f t="shared" ref="R76:W76" si="77">(L76/F76)*100000</f>
        <v>0</v>
      </c>
      <c r="S76" s="27">
        <f t="shared" si="77"/>
        <v>0</v>
      </c>
      <c r="T76" s="27">
        <f t="shared" si="77"/>
        <v>0</v>
      </c>
      <c r="U76" s="27">
        <f t="shared" si="77"/>
        <v>0</v>
      </c>
      <c r="V76" s="27">
        <f t="shared" si="77"/>
        <v>6.186970241</v>
      </c>
      <c r="W76" s="27">
        <f t="shared" si="77"/>
        <v>0</v>
      </c>
      <c r="X76" s="27">
        <f t="shared" si="3"/>
        <v>0</v>
      </c>
      <c r="Y76" s="27">
        <f t="shared" si="4"/>
        <v>2.062323414</v>
      </c>
    </row>
    <row r="77" ht="14.25" customHeight="1">
      <c r="A77" s="13" t="s">
        <v>41</v>
      </c>
      <c r="B77" s="13" t="s">
        <v>507</v>
      </c>
      <c r="C77" s="13" t="s">
        <v>509</v>
      </c>
      <c r="D77" s="13" t="s">
        <v>509</v>
      </c>
      <c r="E77" s="26">
        <v>20903.0</v>
      </c>
      <c r="F77" s="26">
        <v>9390.0</v>
      </c>
      <c r="G77" s="26">
        <v>9806.0</v>
      </c>
      <c r="H77" s="26">
        <v>10221.0</v>
      </c>
      <c r="I77" s="26">
        <v>11466.0</v>
      </c>
      <c r="J77" s="26">
        <v>11881.0</v>
      </c>
      <c r="K77" s="26">
        <v>12296.0</v>
      </c>
      <c r="L77" s="13">
        <v>0.0</v>
      </c>
      <c r="M77" s="13">
        <v>0.0</v>
      </c>
      <c r="N77" s="13">
        <v>0.0</v>
      </c>
      <c r="O77" s="13">
        <v>0.0</v>
      </c>
      <c r="P77" s="13">
        <v>0.0</v>
      </c>
      <c r="Q77" s="13">
        <v>0.0</v>
      </c>
      <c r="R77" s="27">
        <f t="shared" ref="R77:W77" si="78">(L77/F77)*100000</f>
        <v>0</v>
      </c>
      <c r="S77" s="27">
        <f t="shared" si="78"/>
        <v>0</v>
      </c>
      <c r="T77" s="27">
        <f t="shared" si="78"/>
        <v>0</v>
      </c>
      <c r="U77" s="27">
        <f t="shared" si="78"/>
        <v>0</v>
      </c>
      <c r="V77" s="27">
        <f t="shared" si="78"/>
        <v>0</v>
      </c>
      <c r="W77" s="27">
        <f t="shared" si="78"/>
        <v>0</v>
      </c>
      <c r="X77" s="27">
        <f t="shared" si="3"/>
        <v>0</v>
      </c>
      <c r="Y77" s="27">
        <f t="shared" si="4"/>
        <v>0</v>
      </c>
    </row>
    <row r="78" ht="14.25" customHeight="1">
      <c r="A78" s="13" t="s">
        <v>41</v>
      </c>
      <c r="B78" s="13" t="s">
        <v>507</v>
      </c>
      <c r="C78" s="13" t="s">
        <v>510</v>
      </c>
      <c r="D78" s="13" t="s">
        <v>510</v>
      </c>
      <c r="E78" s="26">
        <v>20904.0</v>
      </c>
      <c r="F78" s="26">
        <v>5229.0</v>
      </c>
      <c r="G78" s="26">
        <v>5239.0</v>
      </c>
      <c r="H78" s="26">
        <v>5248.0</v>
      </c>
      <c r="I78" s="26">
        <v>5278.0</v>
      </c>
      <c r="J78" s="26">
        <v>5287.0</v>
      </c>
      <c r="K78" s="26">
        <v>5297.0</v>
      </c>
      <c r="L78" s="13">
        <v>0.0</v>
      </c>
      <c r="M78" s="13">
        <v>0.0</v>
      </c>
      <c r="N78" s="13">
        <v>0.0</v>
      </c>
      <c r="O78" s="13">
        <v>0.0</v>
      </c>
      <c r="P78" s="13">
        <v>0.0</v>
      </c>
      <c r="Q78" s="13">
        <v>0.0</v>
      </c>
      <c r="R78" s="27">
        <f t="shared" ref="R78:W78" si="79">(L78/F78)*100000</f>
        <v>0</v>
      </c>
      <c r="S78" s="27">
        <f t="shared" si="79"/>
        <v>0</v>
      </c>
      <c r="T78" s="27">
        <f t="shared" si="79"/>
        <v>0</v>
      </c>
      <c r="U78" s="27">
        <f t="shared" si="79"/>
        <v>0</v>
      </c>
      <c r="V78" s="27">
        <f t="shared" si="79"/>
        <v>0</v>
      </c>
      <c r="W78" s="27">
        <f t="shared" si="79"/>
        <v>0</v>
      </c>
      <c r="X78" s="27">
        <f t="shared" si="3"/>
        <v>0</v>
      </c>
      <c r="Y78" s="27">
        <f t="shared" si="4"/>
        <v>0</v>
      </c>
    </row>
    <row r="79" ht="14.25" customHeight="1">
      <c r="A79" s="13" t="s">
        <v>41</v>
      </c>
      <c r="B79" s="13" t="s">
        <v>507</v>
      </c>
      <c r="C79" s="13" t="s">
        <v>511</v>
      </c>
      <c r="D79" s="13" t="s">
        <v>511</v>
      </c>
      <c r="E79" s="26">
        <v>20905.0</v>
      </c>
      <c r="F79" s="26">
        <v>12290.0</v>
      </c>
      <c r="G79" s="26">
        <v>12477.0</v>
      </c>
      <c r="H79" s="26">
        <v>12663.0</v>
      </c>
      <c r="I79" s="26">
        <v>13224.0</v>
      </c>
      <c r="J79" s="26">
        <v>13411.0</v>
      </c>
      <c r="K79" s="26">
        <v>13598.0</v>
      </c>
      <c r="L79" s="13">
        <v>0.0</v>
      </c>
      <c r="M79" s="13">
        <v>0.0</v>
      </c>
      <c r="N79" s="13">
        <v>0.0</v>
      </c>
      <c r="O79" s="13">
        <v>0.0</v>
      </c>
      <c r="P79" s="13">
        <v>0.0</v>
      </c>
      <c r="Q79" s="13">
        <v>0.0</v>
      </c>
      <c r="R79" s="27">
        <f t="shared" ref="R79:W79" si="80">(L79/F79)*100000</f>
        <v>0</v>
      </c>
      <c r="S79" s="27">
        <f t="shared" si="80"/>
        <v>0</v>
      </c>
      <c r="T79" s="27">
        <f t="shared" si="80"/>
        <v>0</v>
      </c>
      <c r="U79" s="27">
        <f t="shared" si="80"/>
        <v>0</v>
      </c>
      <c r="V79" s="27">
        <f t="shared" si="80"/>
        <v>0</v>
      </c>
      <c r="W79" s="27">
        <f t="shared" si="80"/>
        <v>0</v>
      </c>
      <c r="X79" s="27">
        <f t="shared" si="3"/>
        <v>0</v>
      </c>
      <c r="Y79" s="27">
        <f t="shared" si="4"/>
        <v>0</v>
      </c>
    </row>
    <row r="80" ht="14.25" customHeight="1">
      <c r="A80" s="13" t="s">
        <v>41</v>
      </c>
      <c r="B80" s="13" t="s">
        <v>111</v>
      </c>
      <c r="C80" s="13" t="s">
        <v>111</v>
      </c>
      <c r="D80" s="13" t="s">
        <v>111</v>
      </c>
      <c r="E80" s="26">
        <v>21001.0</v>
      </c>
      <c r="F80" s="26">
        <v>16368.0</v>
      </c>
      <c r="G80" s="26">
        <v>16698.0</v>
      </c>
      <c r="H80" s="26">
        <v>17028.0</v>
      </c>
      <c r="I80" s="26">
        <v>18019.0</v>
      </c>
      <c r="J80" s="26">
        <v>18349.0</v>
      </c>
      <c r="K80" s="26">
        <v>18679.0</v>
      </c>
      <c r="L80" s="13">
        <v>0.0</v>
      </c>
      <c r="M80" s="13">
        <v>0.0</v>
      </c>
      <c r="N80" s="13">
        <v>1.0</v>
      </c>
      <c r="O80" s="13">
        <v>0.0</v>
      </c>
      <c r="P80" s="13">
        <v>0.0</v>
      </c>
      <c r="Q80" s="13">
        <v>0.0</v>
      </c>
      <c r="R80" s="27">
        <f t="shared" ref="R80:W80" si="81">(L80/F80)*100000</f>
        <v>0</v>
      </c>
      <c r="S80" s="27">
        <f t="shared" si="81"/>
        <v>0</v>
      </c>
      <c r="T80" s="27">
        <f t="shared" si="81"/>
        <v>5.872680291</v>
      </c>
      <c r="U80" s="27">
        <f t="shared" si="81"/>
        <v>0</v>
      </c>
      <c r="V80" s="27">
        <f t="shared" si="81"/>
        <v>0</v>
      </c>
      <c r="W80" s="27">
        <f t="shared" si="81"/>
        <v>0</v>
      </c>
      <c r="X80" s="27">
        <f t="shared" si="3"/>
        <v>1.957560097</v>
      </c>
      <c r="Y80" s="27">
        <f t="shared" si="4"/>
        <v>0</v>
      </c>
    </row>
    <row r="81" ht="14.25" customHeight="1">
      <c r="A81" s="13" t="s">
        <v>41</v>
      </c>
      <c r="B81" s="13" t="s">
        <v>111</v>
      </c>
      <c r="C81" s="13" t="s">
        <v>512</v>
      </c>
      <c r="D81" s="13" t="s">
        <v>512</v>
      </c>
      <c r="E81" s="26">
        <v>21002.0</v>
      </c>
      <c r="F81" s="26">
        <v>9358.0</v>
      </c>
      <c r="G81" s="26">
        <v>9577.0</v>
      </c>
      <c r="H81" s="26">
        <v>9795.0</v>
      </c>
      <c r="I81" s="26">
        <v>10450.0</v>
      </c>
      <c r="J81" s="26">
        <v>10669.0</v>
      </c>
      <c r="K81" s="26">
        <v>10887.0</v>
      </c>
      <c r="L81" s="13">
        <v>0.0</v>
      </c>
      <c r="M81" s="13">
        <v>0.0</v>
      </c>
      <c r="N81" s="13">
        <v>0.0</v>
      </c>
      <c r="O81" s="13">
        <v>0.0</v>
      </c>
      <c r="P81" s="13">
        <v>0.0</v>
      </c>
      <c r="Q81" s="13">
        <v>0.0</v>
      </c>
      <c r="R81" s="27">
        <f t="shared" ref="R81:W81" si="82">(L81/F81)*100000</f>
        <v>0</v>
      </c>
      <c r="S81" s="27">
        <f t="shared" si="82"/>
        <v>0</v>
      </c>
      <c r="T81" s="27">
        <f t="shared" si="82"/>
        <v>0</v>
      </c>
      <c r="U81" s="27">
        <f t="shared" si="82"/>
        <v>0</v>
      </c>
      <c r="V81" s="27">
        <f t="shared" si="82"/>
        <v>0</v>
      </c>
      <c r="W81" s="27">
        <f t="shared" si="82"/>
        <v>0</v>
      </c>
      <c r="X81" s="27">
        <f t="shared" si="3"/>
        <v>0</v>
      </c>
      <c r="Y81" s="27">
        <f t="shared" si="4"/>
        <v>0</v>
      </c>
    </row>
    <row r="82" ht="14.25" customHeight="1">
      <c r="A82" s="13" t="s">
        <v>41</v>
      </c>
      <c r="B82" s="13" t="s">
        <v>111</v>
      </c>
      <c r="C82" s="13" t="s">
        <v>109</v>
      </c>
      <c r="D82" s="13" t="s">
        <v>109</v>
      </c>
      <c r="E82" s="26">
        <v>21003.0</v>
      </c>
      <c r="F82" s="26">
        <v>12586.0</v>
      </c>
      <c r="G82" s="26">
        <v>13012.0</v>
      </c>
      <c r="H82" s="26">
        <v>13437.0</v>
      </c>
      <c r="I82" s="26">
        <v>14714.0</v>
      </c>
      <c r="J82" s="26">
        <v>15139.0</v>
      </c>
      <c r="K82" s="26">
        <v>15565.0</v>
      </c>
      <c r="L82" s="13">
        <v>0.0</v>
      </c>
      <c r="M82" s="13">
        <v>0.0</v>
      </c>
      <c r="N82" s="13">
        <v>0.0</v>
      </c>
      <c r="O82" s="13">
        <v>2.0</v>
      </c>
      <c r="P82" s="13">
        <v>0.0</v>
      </c>
      <c r="Q82" s="13">
        <v>0.0</v>
      </c>
      <c r="R82" s="27">
        <f t="shared" ref="R82:W82" si="83">(L82/F82)*100000</f>
        <v>0</v>
      </c>
      <c r="S82" s="27">
        <f t="shared" si="83"/>
        <v>0</v>
      </c>
      <c r="T82" s="27">
        <f t="shared" si="83"/>
        <v>0</v>
      </c>
      <c r="U82" s="27">
        <f t="shared" si="83"/>
        <v>13.59249694</v>
      </c>
      <c r="V82" s="27">
        <f t="shared" si="83"/>
        <v>0</v>
      </c>
      <c r="W82" s="27">
        <f t="shared" si="83"/>
        <v>0</v>
      </c>
      <c r="X82" s="27">
        <f t="shared" si="3"/>
        <v>0</v>
      </c>
      <c r="Y82" s="27">
        <f t="shared" si="4"/>
        <v>4.530832314</v>
      </c>
    </row>
    <row r="83" ht="14.25" customHeight="1">
      <c r="A83" s="13" t="s">
        <v>41</v>
      </c>
      <c r="B83" s="13" t="s">
        <v>111</v>
      </c>
      <c r="C83" s="13" t="s">
        <v>115</v>
      </c>
      <c r="D83" s="13" t="s">
        <v>115</v>
      </c>
      <c r="E83" s="26">
        <v>21004.0</v>
      </c>
      <c r="F83" s="26">
        <v>21239.0</v>
      </c>
      <c r="G83" s="26">
        <v>21563.0</v>
      </c>
      <c r="H83" s="26">
        <v>21886.0</v>
      </c>
      <c r="I83" s="26">
        <v>22858.0</v>
      </c>
      <c r="J83" s="26">
        <v>23181.0</v>
      </c>
      <c r="K83" s="26">
        <v>23505.0</v>
      </c>
      <c r="L83" s="13">
        <v>0.0</v>
      </c>
      <c r="M83" s="13">
        <v>0.0</v>
      </c>
      <c r="N83" s="13">
        <v>1.0</v>
      </c>
      <c r="O83" s="13">
        <v>0.0</v>
      </c>
      <c r="P83" s="13">
        <v>0.0</v>
      </c>
      <c r="Q83" s="13">
        <v>0.0</v>
      </c>
      <c r="R83" s="27">
        <f t="shared" ref="R83:W83" si="84">(L83/F83)*100000</f>
        <v>0</v>
      </c>
      <c r="S83" s="27">
        <f t="shared" si="84"/>
        <v>0</v>
      </c>
      <c r="T83" s="27">
        <f t="shared" si="84"/>
        <v>4.569130951</v>
      </c>
      <c r="U83" s="27">
        <f t="shared" si="84"/>
        <v>0</v>
      </c>
      <c r="V83" s="27">
        <f t="shared" si="84"/>
        <v>0</v>
      </c>
      <c r="W83" s="27">
        <f t="shared" si="84"/>
        <v>0</v>
      </c>
      <c r="X83" s="27">
        <f t="shared" si="3"/>
        <v>1.52304365</v>
      </c>
      <c r="Y83" s="27">
        <f t="shared" si="4"/>
        <v>0</v>
      </c>
    </row>
    <row r="84" ht="14.25" customHeight="1">
      <c r="A84" s="13" t="s">
        <v>41</v>
      </c>
      <c r="B84" s="13" t="s">
        <v>111</v>
      </c>
      <c r="C84" s="13" t="s">
        <v>513</v>
      </c>
      <c r="D84" s="13" t="s">
        <v>513</v>
      </c>
      <c r="E84" s="26">
        <v>21005.0</v>
      </c>
      <c r="F84" s="26">
        <v>8596.0</v>
      </c>
      <c r="G84" s="26">
        <v>8733.0</v>
      </c>
      <c r="H84" s="26">
        <v>8869.0</v>
      </c>
      <c r="I84" s="26">
        <v>9279.0</v>
      </c>
      <c r="J84" s="26">
        <v>9415.0</v>
      </c>
      <c r="K84" s="26">
        <v>9552.0</v>
      </c>
      <c r="L84" s="13">
        <v>0.0</v>
      </c>
      <c r="M84" s="13">
        <v>0.0</v>
      </c>
      <c r="N84" s="13">
        <v>0.0</v>
      </c>
      <c r="O84" s="13">
        <v>0.0</v>
      </c>
      <c r="P84" s="13">
        <v>0.0</v>
      </c>
      <c r="Q84" s="13">
        <v>0.0</v>
      </c>
      <c r="R84" s="27">
        <f t="shared" ref="R84:W84" si="85">(L84/F84)*100000</f>
        <v>0</v>
      </c>
      <c r="S84" s="27">
        <f t="shared" si="85"/>
        <v>0</v>
      </c>
      <c r="T84" s="27">
        <f t="shared" si="85"/>
        <v>0</v>
      </c>
      <c r="U84" s="27">
        <f t="shared" si="85"/>
        <v>0</v>
      </c>
      <c r="V84" s="27">
        <f t="shared" si="85"/>
        <v>0</v>
      </c>
      <c r="W84" s="27">
        <f t="shared" si="85"/>
        <v>0</v>
      </c>
      <c r="X84" s="27">
        <f t="shared" si="3"/>
        <v>0</v>
      </c>
      <c r="Y84" s="27">
        <f t="shared" si="4"/>
        <v>0</v>
      </c>
    </row>
    <row r="85" ht="14.25" customHeight="1">
      <c r="A85" s="13" t="s">
        <v>41</v>
      </c>
      <c r="B85" s="13" t="s">
        <v>111</v>
      </c>
      <c r="C85" s="13" t="s">
        <v>514</v>
      </c>
      <c r="D85" s="13" t="s">
        <v>514</v>
      </c>
      <c r="E85" s="26">
        <v>21006.0</v>
      </c>
      <c r="F85" s="26">
        <v>6483.0</v>
      </c>
      <c r="G85" s="26">
        <v>6683.0</v>
      </c>
      <c r="H85" s="26">
        <v>6882.0</v>
      </c>
      <c r="I85" s="26">
        <v>7479.0</v>
      </c>
      <c r="J85" s="26">
        <v>7678.0</v>
      </c>
      <c r="K85" s="26">
        <v>7877.0</v>
      </c>
      <c r="L85" s="13">
        <v>0.0</v>
      </c>
      <c r="M85" s="13">
        <v>0.0</v>
      </c>
      <c r="N85" s="13">
        <v>0.0</v>
      </c>
      <c r="O85" s="13">
        <v>0.0</v>
      </c>
      <c r="P85" s="13">
        <v>0.0</v>
      </c>
      <c r="Q85" s="13">
        <v>0.0</v>
      </c>
      <c r="R85" s="27">
        <f t="shared" ref="R85:W85" si="86">(L85/F85)*100000</f>
        <v>0</v>
      </c>
      <c r="S85" s="27">
        <f t="shared" si="86"/>
        <v>0</v>
      </c>
      <c r="T85" s="27">
        <f t="shared" si="86"/>
        <v>0</v>
      </c>
      <c r="U85" s="27">
        <f t="shared" si="86"/>
        <v>0</v>
      </c>
      <c r="V85" s="27">
        <f t="shared" si="86"/>
        <v>0</v>
      </c>
      <c r="W85" s="27">
        <f t="shared" si="86"/>
        <v>0</v>
      </c>
      <c r="X85" s="27">
        <f t="shared" si="3"/>
        <v>0</v>
      </c>
      <c r="Y85" s="27">
        <f t="shared" si="4"/>
        <v>0</v>
      </c>
    </row>
    <row r="86" ht="14.25" customHeight="1">
      <c r="A86" s="13" t="s">
        <v>41</v>
      </c>
      <c r="B86" s="13" t="s">
        <v>515</v>
      </c>
      <c r="C86" s="13" t="s">
        <v>83</v>
      </c>
      <c r="D86" s="13" t="s">
        <v>516</v>
      </c>
      <c r="E86" s="26">
        <v>21101.0</v>
      </c>
      <c r="F86" s="26">
        <v>18023.0</v>
      </c>
      <c r="G86" s="26">
        <v>18063.0</v>
      </c>
      <c r="H86" s="26">
        <v>18103.0</v>
      </c>
      <c r="I86" s="26">
        <v>18223.0</v>
      </c>
      <c r="J86" s="26">
        <v>18263.0</v>
      </c>
      <c r="K86" s="26">
        <v>18303.0</v>
      </c>
      <c r="L86" s="13">
        <v>3.0</v>
      </c>
      <c r="M86" s="13">
        <v>1.0</v>
      </c>
      <c r="N86" s="13">
        <v>0.0</v>
      </c>
      <c r="O86" s="13">
        <v>1.0</v>
      </c>
      <c r="P86" s="13">
        <v>0.0</v>
      </c>
      <c r="Q86" s="13">
        <v>0.0</v>
      </c>
      <c r="R86" s="27">
        <f t="shared" ref="R86:W86" si="87">(L86/F86)*100000</f>
        <v>16.64539755</v>
      </c>
      <c r="S86" s="27">
        <f t="shared" si="87"/>
        <v>5.536178929</v>
      </c>
      <c r="T86" s="27">
        <f t="shared" si="87"/>
        <v>0</v>
      </c>
      <c r="U86" s="27">
        <f t="shared" si="87"/>
        <v>5.487570652</v>
      </c>
      <c r="V86" s="27">
        <f t="shared" si="87"/>
        <v>0</v>
      </c>
      <c r="W86" s="27">
        <f t="shared" si="87"/>
        <v>0</v>
      </c>
      <c r="X86" s="27">
        <f t="shared" si="3"/>
        <v>7.393858826</v>
      </c>
      <c r="Y86" s="27">
        <f t="shared" si="4"/>
        <v>1.829190217</v>
      </c>
    </row>
    <row r="87" ht="14.25" customHeight="1">
      <c r="A87" s="13" t="s">
        <v>41</v>
      </c>
      <c r="B87" s="13" t="s">
        <v>515</v>
      </c>
      <c r="C87" s="13" t="s">
        <v>119</v>
      </c>
      <c r="D87" s="13" t="s">
        <v>517</v>
      </c>
      <c r="E87" s="26">
        <v>21102.0</v>
      </c>
      <c r="F87" s="26">
        <v>19777.0</v>
      </c>
      <c r="G87" s="26">
        <v>20278.0</v>
      </c>
      <c r="H87" s="26">
        <v>20778.0</v>
      </c>
      <c r="I87" s="26">
        <v>22279.0</v>
      </c>
      <c r="J87" s="26">
        <v>22779.0</v>
      </c>
      <c r="K87" s="26">
        <v>23279.0</v>
      </c>
      <c r="L87" s="13">
        <v>0.0</v>
      </c>
      <c r="M87" s="13">
        <v>0.0</v>
      </c>
      <c r="N87" s="13">
        <v>0.0</v>
      </c>
      <c r="O87" s="13">
        <v>1.0</v>
      </c>
      <c r="P87" s="13">
        <v>0.0</v>
      </c>
      <c r="Q87" s="13">
        <v>0.0</v>
      </c>
      <c r="R87" s="27">
        <f t="shared" ref="R87:W87" si="88">(L87/F87)*100000</f>
        <v>0</v>
      </c>
      <c r="S87" s="27">
        <f t="shared" si="88"/>
        <v>0</v>
      </c>
      <c r="T87" s="27">
        <f t="shared" si="88"/>
        <v>0</v>
      </c>
      <c r="U87" s="27">
        <f t="shared" si="88"/>
        <v>4.488531801</v>
      </c>
      <c r="V87" s="27">
        <f t="shared" si="88"/>
        <v>0</v>
      </c>
      <c r="W87" s="27">
        <f t="shared" si="88"/>
        <v>0</v>
      </c>
      <c r="X87" s="27">
        <f t="shared" si="3"/>
        <v>0</v>
      </c>
      <c r="Y87" s="27">
        <f t="shared" si="4"/>
        <v>1.496177267</v>
      </c>
    </row>
    <row r="88" ht="14.25" customHeight="1">
      <c r="A88" s="13" t="s">
        <v>41</v>
      </c>
      <c r="B88" s="13" t="s">
        <v>515</v>
      </c>
      <c r="C88" s="13" t="s">
        <v>518</v>
      </c>
      <c r="D88" s="13" t="s">
        <v>518</v>
      </c>
      <c r="E88" s="26">
        <v>21103.0</v>
      </c>
      <c r="F88" s="26">
        <v>6918.0</v>
      </c>
      <c r="G88" s="26">
        <v>7018.0</v>
      </c>
      <c r="H88" s="26">
        <v>7117.0</v>
      </c>
      <c r="I88" s="26">
        <v>7416.0</v>
      </c>
      <c r="J88" s="26">
        <v>7515.0</v>
      </c>
      <c r="K88" s="26">
        <v>7615.0</v>
      </c>
      <c r="L88" s="13">
        <v>0.0</v>
      </c>
      <c r="M88" s="13">
        <v>0.0</v>
      </c>
      <c r="N88" s="13">
        <v>0.0</v>
      </c>
      <c r="O88" s="13">
        <v>0.0</v>
      </c>
      <c r="P88" s="13">
        <v>0.0</v>
      </c>
      <c r="Q88" s="13">
        <v>0.0</v>
      </c>
      <c r="R88" s="27">
        <f t="shared" ref="R88:W88" si="89">(L88/F88)*100000</f>
        <v>0</v>
      </c>
      <c r="S88" s="27">
        <f t="shared" si="89"/>
        <v>0</v>
      </c>
      <c r="T88" s="27">
        <f t="shared" si="89"/>
        <v>0</v>
      </c>
      <c r="U88" s="27">
        <f t="shared" si="89"/>
        <v>0</v>
      </c>
      <c r="V88" s="27">
        <f t="shared" si="89"/>
        <v>0</v>
      </c>
      <c r="W88" s="27">
        <f t="shared" si="89"/>
        <v>0</v>
      </c>
      <c r="X88" s="27">
        <f t="shared" si="3"/>
        <v>0</v>
      </c>
      <c r="Y88" s="27">
        <f t="shared" si="4"/>
        <v>0</v>
      </c>
    </row>
    <row r="89" ht="14.25" customHeight="1">
      <c r="A89" s="13" t="s">
        <v>41</v>
      </c>
      <c r="B89" s="13" t="s">
        <v>515</v>
      </c>
      <c r="C89" s="13" t="s">
        <v>121</v>
      </c>
      <c r="D89" s="13" t="s">
        <v>121</v>
      </c>
      <c r="E89" s="26">
        <v>21104.0</v>
      </c>
      <c r="F89" s="26">
        <v>25734.0</v>
      </c>
      <c r="G89" s="26">
        <v>25934.0</v>
      </c>
      <c r="H89" s="26">
        <v>26135.0</v>
      </c>
      <c r="I89" s="26">
        <v>26736.0</v>
      </c>
      <c r="J89" s="26">
        <v>26937.0</v>
      </c>
      <c r="K89" s="26">
        <v>27137.0</v>
      </c>
      <c r="L89" s="13">
        <v>0.0</v>
      </c>
      <c r="M89" s="13">
        <v>2.0</v>
      </c>
      <c r="N89" s="13">
        <v>1.0</v>
      </c>
      <c r="O89" s="13">
        <v>0.0</v>
      </c>
      <c r="P89" s="13">
        <v>2.0</v>
      </c>
      <c r="Q89" s="13">
        <v>0.0</v>
      </c>
      <c r="R89" s="27">
        <f t="shared" ref="R89:W89" si="90">(L89/F89)*100000</f>
        <v>0</v>
      </c>
      <c r="S89" s="27">
        <f t="shared" si="90"/>
        <v>7.711884013</v>
      </c>
      <c r="T89" s="27">
        <f t="shared" si="90"/>
        <v>3.826286589</v>
      </c>
      <c r="U89" s="27">
        <f t="shared" si="90"/>
        <v>0</v>
      </c>
      <c r="V89" s="27">
        <f t="shared" si="90"/>
        <v>7.424731782</v>
      </c>
      <c r="W89" s="27">
        <f t="shared" si="90"/>
        <v>0</v>
      </c>
      <c r="X89" s="27">
        <f t="shared" si="3"/>
        <v>3.846056867</v>
      </c>
      <c r="Y89" s="27">
        <f t="shared" si="4"/>
        <v>2.474910594</v>
      </c>
    </row>
    <row r="90" ht="14.25" customHeight="1">
      <c r="A90" s="13" t="s">
        <v>41</v>
      </c>
      <c r="B90" s="13" t="s">
        <v>515</v>
      </c>
      <c r="C90" s="13" t="s">
        <v>91</v>
      </c>
      <c r="D90" s="13" t="s">
        <v>91</v>
      </c>
      <c r="E90" s="26">
        <v>21105.0</v>
      </c>
      <c r="F90" s="26">
        <v>42432.0</v>
      </c>
      <c r="G90" s="26">
        <v>42883.0</v>
      </c>
      <c r="H90" s="26">
        <v>43333.0</v>
      </c>
      <c r="I90" s="26">
        <v>44686.0</v>
      </c>
      <c r="J90" s="26">
        <v>45136.0</v>
      </c>
      <c r="K90" s="26">
        <v>45587.0</v>
      </c>
      <c r="L90" s="13">
        <v>0.0</v>
      </c>
      <c r="M90" s="13">
        <v>1.0</v>
      </c>
      <c r="N90" s="13">
        <v>3.0</v>
      </c>
      <c r="O90" s="13">
        <v>1.0</v>
      </c>
      <c r="P90" s="13">
        <v>1.0</v>
      </c>
      <c r="Q90" s="13">
        <v>1.0</v>
      </c>
      <c r="R90" s="27">
        <f t="shared" ref="R90:W90" si="91">(L90/F90)*100000</f>
        <v>0</v>
      </c>
      <c r="S90" s="27">
        <f t="shared" si="91"/>
        <v>2.331926404</v>
      </c>
      <c r="T90" s="27">
        <f t="shared" si="91"/>
        <v>6.923130178</v>
      </c>
      <c r="U90" s="27">
        <f t="shared" si="91"/>
        <v>2.237837354</v>
      </c>
      <c r="V90" s="27">
        <f t="shared" si="91"/>
        <v>2.215526409</v>
      </c>
      <c r="W90" s="27">
        <f t="shared" si="91"/>
        <v>2.193607827</v>
      </c>
      <c r="X90" s="27">
        <f t="shared" si="3"/>
        <v>3.085018861</v>
      </c>
      <c r="Y90" s="27">
        <f t="shared" si="4"/>
        <v>2.215657197</v>
      </c>
    </row>
    <row r="91" ht="14.25" customHeight="1">
      <c r="A91" s="13" t="s">
        <v>41</v>
      </c>
      <c r="B91" s="13" t="s">
        <v>519</v>
      </c>
      <c r="C91" s="13" t="s">
        <v>77</v>
      </c>
      <c r="D91" s="13" t="s">
        <v>77</v>
      </c>
      <c r="E91" s="26">
        <v>21201.0</v>
      </c>
      <c r="F91" s="26">
        <v>38343.0</v>
      </c>
      <c r="G91" s="26">
        <v>39987.0</v>
      </c>
      <c r="H91" s="26">
        <v>41631.0</v>
      </c>
      <c r="I91" s="26">
        <v>46562.0</v>
      </c>
      <c r="J91" s="26">
        <v>48206.0</v>
      </c>
      <c r="K91" s="26">
        <v>49850.0</v>
      </c>
      <c r="L91" s="13">
        <v>2.0</v>
      </c>
      <c r="M91" s="13">
        <v>0.0</v>
      </c>
      <c r="N91" s="13">
        <v>1.0</v>
      </c>
      <c r="O91" s="13">
        <v>3.0</v>
      </c>
      <c r="P91" s="13">
        <v>0.0</v>
      </c>
      <c r="Q91" s="13">
        <v>1.0</v>
      </c>
      <c r="R91" s="27">
        <f t="shared" ref="R91:W91" si="92">(L91/F91)*100000</f>
        <v>5.216075946</v>
      </c>
      <c r="S91" s="27">
        <f t="shared" si="92"/>
        <v>0</v>
      </c>
      <c r="T91" s="27">
        <f t="shared" si="92"/>
        <v>2.40205616</v>
      </c>
      <c r="U91" s="27">
        <f t="shared" si="92"/>
        <v>6.443022207</v>
      </c>
      <c r="V91" s="27">
        <f t="shared" si="92"/>
        <v>0</v>
      </c>
      <c r="W91" s="27">
        <f t="shared" si="92"/>
        <v>2.006018054</v>
      </c>
      <c r="X91" s="27">
        <f t="shared" si="3"/>
        <v>2.539377369</v>
      </c>
      <c r="Y91" s="27">
        <f t="shared" si="4"/>
        <v>2.816346754</v>
      </c>
    </row>
    <row r="92" ht="14.25" customHeight="1">
      <c r="A92" s="13" t="s">
        <v>41</v>
      </c>
      <c r="B92" s="13" t="s">
        <v>519</v>
      </c>
      <c r="C92" s="13" t="s">
        <v>71</v>
      </c>
      <c r="D92" s="13" t="s">
        <v>71</v>
      </c>
      <c r="E92" s="26">
        <v>21202.0</v>
      </c>
      <c r="F92" s="26">
        <v>30415.0</v>
      </c>
      <c r="G92" s="26">
        <v>31592.0</v>
      </c>
      <c r="H92" s="26">
        <v>32768.0</v>
      </c>
      <c r="I92" s="26">
        <v>36299.0</v>
      </c>
      <c r="J92" s="26">
        <v>37475.0</v>
      </c>
      <c r="K92" s="26">
        <v>38652.0</v>
      </c>
      <c r="L92" s="13">
        <v>1.0</v>
      </c>
      <c r="M92" s="13">
        <v>0.0</v>
      </c>
      <c r="N92" s="13">
        <v>2.0</v>
      </c>
      <c r="O92" s="13">
        <v>1.0</v>
      </c>
      <c r="P92" s="13">
        <v>0.0</v>
      </c>
      <c r="Q92" s="13">
        <v>0.0</v>
      </c>
      <c r="R92" s="27">
        <f t="shared" ref="R92:W92" si="93">(L92/F92)*100000</f>
        <v>3.287851389</v>
      </c>
      <c r="S92" s="27">
        <f t="shared" si="93"/>
        <v>0</v>
      </c>
      <c r="T92" s="27">
        <f t="shared" si="93"/>
        <v>6.103515625</v>
      </c>
      <c r="U92" s="27">
        <f t="shared" si="93"/>
        <v>2.754896829</v>
      </c>
      <c r="V92" s="27">
        <f t="shared" si="93"/>
        <v>0</v>
      </c>
      <c r="W92" s="27">
        <f t="shared" si="93"/>
        <v>0</v>
      </c>
      <c r="X92" s="27">
        <f t="shared" si="3"/>
        <v>3.130455671</v>
      </c>
      <c r="Y92" s="27">
        <f t="shared" si="4"/>
        <v>0.918298943</v>
      </c>
    </row>
    <row r="93" ht="14.25" customHeight="1">
      <c r="A93" s="13" t="s">
        <v>41</v>
      </c>
      <c r="B93" s="13" t="s">
        <v>519</v>
      </c>
      <c r="C93" s="13" t="s">
        <v>127</v>
      </c>
      <c r="D93" s="13" t="s">
        <v>127</v>
      </c>
      <c r="E93" s="26">
        <v>21203.0</v>
      </c>
      <c r="F93" s="26">
        <v>18751.0</v>
      </c>
      <c r="G93" s="26">
        <v>19017.0</v>
      </c>
      <c r="H93" s="26">
        <v>19282.0</v>
      </c>
      <c r="I93" s="26">
        <v>20077.0</v>
      </c>
      <c r="J93" s="26">
        <v>20342.0</v>
      </c>
      <c r="K93" s="26">
        <v>20607.0</v>
      </c>
      <c r="L93" s="13">
        <v>1.0</v>
      </c>
      <c r="M93" s="13">
        <v>0.0</v>
      </c>
      <c r="N93" s="13">
        <v>1.0</v>
      </c>
      <c r="O93" s="13">
        <v>1.0</v>
      </c>
      <c r="P93" s="13">
        <v>0.0</v>
      </c>
      <c r="Q93" s="13">
        <v>0.0</v>
      </c>
      <c r="R93" s="27">
        <f t="shared" ref="R93:W93" si="94">(L93/F93)*100000</f>
        <v>5.333048904</v>
      </c>
      <c r="S93" s="27">
        <f t="shared" si="94"/>
        <v>0</v>
      </c>
      <c r="T93" s="27">
        <f t="shared" si="94"/>
        <v>5.186184006</v>
      </c>
      <c r="U93" s="27">
        <f t="shared" si="94"/>
        <v>4.980823828</v>
      </c>
      <c r="V93" s="27">
        <f t="shared" si="94"/>
        <v>0</v>
      </c>
      <c r="W93" s="27">
        <f t="shared" si="94"/>
        <v>0</v>
      </c>
      <c r="X93" s="27">
        <f t="shared" si="3"/>
        <v>3.50641097</v>
      </c>
      <c r="Y93" s="27">
        <f t="shared" si="4"/>
        <v>1.660274609</v>
      </c>
    </row>
    <row r="94" ht="14.25" customHeight="1">
      <c r="A94" s="13" t="s">
        <v>41</v>
      </c>
      <c r="B94" s="13" t="s">
        <v>519</v>
      </c>
      <c r="C94" s="13" t="s">
        <v>520</v>
      </c>
      <c r="D94" s="13" t="s">
        <v>520</v>
      </c>
      <c r="E94" s="26">
        <v>21204.0</v>
      </c>
      <c r="F94" s="26">
        <v>7082.0</v>
      </c>
      <c r="G94" s="26">
        <v>7199.0</v>
      </c>
      <c r="H94" s="26">
        <v>7316.0</v>
      </c>
      <c r="I94" s="26">
        <v>7666.0</v>
      </c>
      <c r="J94" s="26">
        <v>7783.0</v>
      </c>
      <c r="K94" s="26">
        <v>7900.0</v>
      </c>
      <c r="L94" s="13">
        <v>0.0</v>
      </c>
      <c r="M94" s="13">
        <v>0.0</v>
      </c>
      <c r="N94" s="13">
        <v>0.0</v>
      </c>
      <c r="O94" s="13">
        <v>0.0</v>
      </c>
      <c r="P94" s="13">
        <v>0.0</v>
      </c>
      <c r="Q94" s="13">
        <v>0.0</v>
      </c>
      <c r="R94" s="27">
        <f t="shared" ref="R94:W94" si="95">(L94/F94)*100000</f>
        <v>0</v>
      </c>
      <c r="S94" s="27">
        <f t="shared" si="95"/>
        <v>0</v>
      </c>
      <c r="T94" s="27">
        <f t="shared" si="95"/>
        <v>0</v>
      </c>
      <c r="U94" s="27">
        <f t="shared" si="95"/>
        <v>0</v>
      </c>
      <c r="V94" s="27">
        <f t="shared" si="95"/>
        <v>0</v>
      </c>
      <c r="W94" s="27">
        <f t="shared" si="95"/>
        <v>0</v>
      </c>
      <c r="X94" s="27">
        <f t="shared" si="3"/>
        <v>0</v>
      </c>
      <c r="Y94" s="27">
        <f t="shared" si="4"/>
        <v>0</v>
      </c>
    </row>
    <row r="95" ht="14.25" customHeight="1">
      <c r="A95" s="13" t="s">
        <v>41</v>
      </c>
      <c r="B95" s="13" t="s">
        <v>521</v>
      </c>
      <c r="C95" s="13" t="s">
        <v>57</v>
      </c>
      <c r="D95" s="13" t="s">
        <v>522</v>
      </c>
      <c r="E95" s="26">
        <v>21301.0</v>
      </c>
      <c r="F95" s="26">
        <v>32384.0</v>
      </c>
      <c r="G95" s="26">
        <v>32599.0</v>
      </c>
      <c r="H95" s="26">
        <v>32813.0</v>
      </c>
      <c r="I95" s="26">
        <v>33456.0</v>
      </c>
      <c r="J95" s="26">
        <v>33671.0</v>
      </c>
      <c r="K95" s="26">
        <v>33885.0</v>
      </c>
      <c r="L95" s="13">
        <v>2.0</v>
      </c>
      <c r="M95" s="13">
        <v>1.0</v>
      </c>
      <c r="N95" s="13">
        <v>0.0</v>
      </c>
      <c r="O95" s="13">
        <v>4.0</v>
      </c>
      <c r="P95" s="13">
        <v>5.0</v>
      </c>
      <c r="Q95" s="13">
        <v>0.0</v>
      </c>
      <c r="R95" s="27">
        <f t="shared" ref="R95:W95" si="96">(L95/F95)*100000</f>
        <v>6.175889328</v>
      </c>
      <c r="S95" s="27">
        <f t="shared" si="96"/>
        <v>3.06757876</v>
      </c>
      <c r="T95" s="27">
        <f t="shared" si="96"/>
        <v>0</v>
      </c>
      <c r="U95" s="27">
        <f t="shared" si="96"/>
        <v>11.95600191</v>
      </c>
      <c r="V95" s="27">
        <f t="shared" si="96"/>
        <v>14.84957382</v>
      </c>
      <c r="W95" s="27">
        <f t="shared" si="96"/>
        <v>0</v>
      </c>
      <c r="X95" s="27">
        <f t="shared" si="3"/>
        <v>3.081156029</v>
      </c>
      <c r="Y95" s="27">
        <f t="shared" si="4"/>
        <v>8.93519191</v>
      </c>
    </row>
    <row r="96" ht="14.25" customHeight="1">
      <c r="A96" s="13" t="s">
        <v>41</v>
      </c>
      <c r="B96" s="13" t="s">
        <v>521</v>
      </c>
      <c r="C96" s="13" t="s">
        <v>104</v>
      </c>
      <c r="D96" s="13" t="s">
        <v>104</v>
      </c>
      <c r="E96" s="26">
        <v>21302.0</v>
      </c>
      <c r="F96" s="26">
        <v>8986.0</v>
      </c>
      <c r="G96" s="26">
        <v>9003.0</v>
      </c>
      <c r="H96" s="26">
        <v>9019.0</v>
      </c>
      <c r="I96" s="26">
        <v>9069.0</v>
      </c>
      <c r="J96" s="26">
        <v>9085.0</v>
      </c>
      <c r="K96" s="26">
        <v>9102.0</v>
      </c>
      <c r="L96" s="13">
        <v>1.0</v>
      </c>
      <c r="M96" s="13">
        <v>0.0</v>
      </c>
      <c r="N96" s="13">
        <v>0.0</v>
      </c>
      <c r="O96" s="13">
        <v>0.0</v>
      </c>
      <c r="P96" s="13">
        <v>0.0</v>
      </c>
      <c r="Q96" s="13">
        <v>2.0</v>
      </c>
      <c r="R96" s="27">
        <f t="shared" ref="R96:W96" si="97">(L96/F96)*100000</f>
        <v>11.12842199</v>
      </c>
      <c r="S96" s="27">
        <f t="shared" si="97"/>
        <v>0</v>
      </c>
      <c r="T96" s="27">
        <f t="shared" si="97"/>
        <v>0</v>
      </c>
      <c r="U96" s="27">
        <f t="shared" si="97"/>
        <v>0</v>
      </c>
      <c r="V96" s="27">
        <f t="shared" si="97"/>
        <v>0</v>
      </c>
      <c r="W96" s="27">
        <f t="shared" si="97"/>
        <v>21.9731927</v>
      </c>
      <c r="X96" s="27">
        <f t="shared" si="3"/>
        <v>3.709473997</v>
      </c>
      <c r="Y96" s="27">
        <f t="shared" si="4"/>
        <v>7.324397568</v>
      </c>
    </row>
    <row r="97" ht="14.25" customHeight="1">
      <c r="A97" s="13" t="s">
        <v>41</v>
      </c>
      <c r="B97" s="13" t="s">
        <v>521</v>
      </c>
      <c r="C97" s="13" t="s">
        <v>523</v>
      </c>
      <c r="D97" s="13" t="s">
        <v>523</v>
      </c>
      <c r="E97" s="26">
        <v>21303.0</v>
      </c>
      <c r="F97" s="26">
        <v>9240.0</v>
      </c>
      <c r="G97" s="26">
        <v>9528.0</v>
      </c>
      <c r="H97" s="26">
        <v>9816.0</v>
      </c>
      <c r="I97" s="26">
        <v>10681.0</v>
      </c>
      <c r="J97" s="26">
        <v>10970.0</v>
      </c>
      <c r="K97" s="26">
        <v>11258.0</v>
      </c>
      <c r="L97" s="13">
        <v>0.0</v>
      </c>
      <c r="M97" s="13">
        <v>0.0</v>
      </c>
      <c r="N97" s="13">
        <v>0.0</v>
      </c>
      <c r="O97" s="13">
        <v>0.0</v>
      </c>
      <c r="P97" s="13">
        <v>0.0</v>
      </c>
      <c r="Q97" s="13">
        <v>0.0</v>
      </c>
      <c r="R97" s="27">
        <f t="shared" ref="R97:W97" si="98">(L97/F97)*100000</f>
        <v>0</v>
      </c>
      <c r="S97" s="27">
        <f t="shared" si="98"/>
        <v>0</v>
      </c>
      <c r="T97" s="27">
        <f t="shared" si="98"/>
        <v>0</v>
      </c>
      <c r="U97" s="27">
        <f t="shared" si="98"/>
        <v>0</v>
      </c>
      <c r="V97" s="27">
        <f t="shared" si="98"/>
        <v>0</v>
      </c>
      <c r="W97" s="27">
        <f t="shared" si="98"/>
        <v>0</v>
      </c>
      <c r="X97" s="27">
        <f t="shared" si="3"/>
        <v>0</v>
      </c>
      <c r="Y97" s="27">
        <f t="shared" si="4"/>
        <v>0</v>
      </c>
    </row>
    <row r="98" ht="14.25" customHeight="1">
      <c r="A98" s="13" t="s">
        <v>41</v>
      </c>
      <c r="B98" s="13" t="s">
        <v>521</v>
      </c>
      <c r="C98" s="13" t="s">
        <v>94</v>
      </c>
      <c r="D98" s="13" t="s">
        <v>94</v>
      </c>
      <c r="E98" s="26">
        <v>21304.0</v>
      </c>
      <c r="F98" s="26">
        <v>13627.0</v>
      </c>
      <c r="G98" s="26">
        <v>13870.0</v>
      </c>
      <c r="H98" s="26">
        <v>14113.0</v>
      </c>
      <c r="I98" s="26">
        <v>14841.0</v>
      </c>
      <c r="J98" s="26">
        <v>15084.0</v>
      </c>
      <c r="K98" s="26">
        <v>15327.0</v>
      </c>
      <c r="L98" s="13">
        <v>0.0</v>
      </c>
      <c r="M98" s="13">
        <v>1.0</v>
      </c>
      <c r="N98" s="13">
        <v>0.0</v>
      </c>
      <c r="O98" s="13">
        <v>1.0</v>
      </c>
      <c r="P98" s="13">
        <v>0.0</v>
      </c>
      <c r="Q98" s="13">
        <v>0.0</v>
      </c>
      <c r="R98" s="27">
        <f t="shared" ref="R98:W98" si="99">(L98/F98)*100000</f>
        <v>0</v>
      </c>
      <c r="S98" s="27">
        <f t="shared" si="99"/>
        <v>7.209805335</v>
      </c>
      <c r="T98" s="27">
        <f t="shared" si="99"/>
        <v>0</v>
      </c>
      <c r="U98" s="27">
        <f t="shared" si="99"/>
        <v>6.738090425</v>
      </c>
      <c r="V98" s="27">
        <f t="shared" si="99"/>
        <v>0</v>
      </c>
      <c r="W98" s="27">
        <f t="shared" si="99"/>
        <v>0</v>
      </c>
      <c r="X98" s="27">
        <f t="shared" si="3"/>
        <v>2.403268445</v>
      </c>
      <c r="Y98" s="27">
        <f t="shared" si="4"/>
        <v>2.246030142</v>
      </c>
    </row>
    <row r="99" ht="14.25" customHeight="1">
      <c r="A99" s="13" t="s">
        <v>41</v>
      </c>
      <c r="B99" s="13" t="s">
        <v>521</v>
      </c>
      <c r="C99" s="13" t="s">
        <v>74</v>
      </c>
      <c r="D99" s="13" t="s">
        <v>74</v>
      </c>
      <c r="E99" s="26">
        <v>21305.0</v>
      </c>
      <c r="F99" s="26">
        <v>23812.0</v>
      </c>
      <c r="G99" s="26">
        <v>24003.0</v>
      </c>
      <c r="H99" s="26">
        <v>24194.0</v>
      </c>
      <c r="I99" s="26">
        <v>24766.0</v>
      </c>
      <c r="J99" s="26">
        <v>24957.0</v>
      </c>
      <c r="K99" s="26">
        <v>25148.0</v>
      </c>
      <c r="L99" s="13">
        <v>1.0</v>
      </c>
      <c r="M99" s="13">
        <v>2.0</v>
      </c>
      <c r="N99" s="13">
        <v>3.0</v>
      </c>
      <c r="O99" s="13">
        <v>0.0</v>
      </c>
      <c r="P99" s="13">
        <v>1.0</v>
      </c>
      <c r="Q99" s="13">
        <v>1.0</v>
      </c>
      <c r="R99" s="27">
        <f t="shared" ref="R99:W99" si="100">(L99/F99)*100000</f>
        <v>4.199563245</v>
      </c>
      <c r="S99" s="27">
        <f t="shared" si="100"/>
        <v>8.332291797</v>
      </c>
      <c r="T99" s="27">
        <f t="shared" si="100"/>
        <v>12.39976854</v>
      </c>
      <c r="U99" s="27">
        <f t="shared" si="100"/>
        <v>0</v>
      </c>
      <c r="V99" s="27">
        <f t="shared" si="100"/>
        <v>4.006891854</v>
      </c>
      <c r="W99" s="27">
        <f t="shared" si="100"/>
        <v>3.976459361</v>
      </c>
      <c r="X99" s="27">
        <f t="shared" si="3"/>
        <v>8.310541193</v>
      </c>
      <c r="Y99" s="27">
        <f t="shared" si="4"/>
        <v>2.661117072</v>
      </c>
    </row>
    <row r="100" ht="14.25" customHeight="1">
      <c r="A100" s="13" t="s">
        <v>41</v>
      </c>
      <c r="B100" s="13" t="s">
        <v>521</v>
      </c>
      <c r="C100" s="13" t="s">
        <v>135</v>
      </c>
      <c r="D100" s="13" t="s">
        <v>135</v>
      </c>
      <c r="E100" s="26">
        <v>21306.0</v>
      </c>
      <c r="F100" s="26">
        <v>10967.0</v>
      </c>
      <c r="G100" s="26">
        <v>11185.0</v>
      </c>
      <c r="H100" s="26">
        <v>11402.0</v>
      </c>
      <c r="I100" s="26">
        <v>12055.0</v>
      </c>
      <c r="J100" s="26">
        <v>12272.0</v>
      </c>
      <c r="K100" s="26">
        <v>12490.0</v>
      </c>
      <c r="L100" s="13">
        <v>1.0</v>
      </c>
      <c r="M100" s="13">
        <v>0.0</v>
      </c>
      <c r="N100" s="13">
        <v>0.0</v>
      </c>
      <c r="O100" s="13">
        <v>0.0</v>
      </c>
      <c r="P100" s="13">
        <v>0.0</v>
      </c>
      <c r="Q100" s="13">
        <v>0.0</v>
      </c>
      <c r="R100" s="27">
        <f t="shared" ref="R100:W100" si="101">(L100/F100)*100000</f>
        <v>9.118263883</v>
      </c>
      <c r="S100" s="27">
        <f t="shared" si="101"/>
        <v>0</v>
      </c>
      <c r="T100" s="27">
        <f t="shared" si="101"/>
        <v>0</v>
      </c>
      <c r="U100" s="27">
        <f t="shared" si="101"/>
        <v>0</v>
      </c>
      <c r="V100" s="27">
        <f t="shared" si="101"/>
        <v>0</v>
      </c>
      <c r="W100" s="27">
        <f t="shared" si="101"/>
        <v>0</v>
      </c>
      <c r="X100" s="27">
        <f t="shared" si="3"/>
        <v>3.039421294</v>
      </c>
      <c r="Y100" s="27">
        <f t="shared" si="4"/>
        <v>0</v>
      </c>
    </row>
    <row r="101" ht="14.25" customHeight="1">
      <c r="A101" s="13" t="s">
        <v>41</v>
      </c>
      <c r="B101" s="13" t="s">
        <v>521</v>
      </c>
      <c r="C101" s="13" t="s">
        <v>123</v>
      </c>
      <c r="D101" s="13" t="s">
        <v>123</v>
      </c>
      <c r="E101" s="26">
        <v>21307.0</v>
      </c>
      <c r="F101" s="26">
        <v>5244.0</v>
      </c>
      <c r="G101" s="26">
        <v>5284.0</v>
      </c>
      <c r="H101" s="26">
        <v>5324.0</v>
      </c>
      <c r="I101" s="26">
        <v>5445.0</v>
      </c>
      <c r="J101" s="26">
        <v>5486.0</v>
      </c>
      <c r="K101" s="26">
        <v>5526.0</v>
      </c>
      <c r="L101" s="13">
        <v>0.0</v>
      </c>
      <c r="M101" s="13">
        <v>0.0</v>
      </c>
      <c r="N101" s="13">
        <v>2.0</v>
      </c>
      <c r="O101" s="13">
        <v>0.0</v>
      </c>
      <c r="P101" s="13">
        <v>0.0</v>
      </c>
      <c r="Q101" s="13">
        <v>0.0</v>
      </c>
      <c r="R101" s="27">
        <f t="shared" ref="R101:W101" si="102">(L101/F101)*100000</f>
        <v>0</v>
      </c>
      <c r="S101" s="27">
        <f t="shared" si="102"/>
        <v>0</v>
      </c>
      <c r="T101" s="27">
        <f t="shared" si="102"/>
        <v>37.56574005</v>
      </c>
      <c r="U101" s="27">
        <f t="shared" si="102"/>
        <v>0</v>
      </c>
      <c r="V101" s="27">
        <f t="shared" si="102"/>
        <v>0</v>
      </c>
      <c r="W101" s="27">
        <f t="shared" si="102"/>
        <v>0</v>
      </c>
      <c r="X101" s="27">
        <f t="shared" si="3"/>
        <v>12.52191335</v>
      </c>
      <c r="Y101" s="27">
        <f t="shared" si="4"/>
        <v>0</v>
      </c>
    </row>
    <row r="102" ht="14.25" customHeight="1">
      <c r="A102" s="13" t="s">
        <v>41</v>
      </c>
      <c r="B102" s="13" t="s">
        <v>524</v>
      </c>
      <c r="C102" s="13" t="s">
        <v>112</v>
      </c>
      <c r="D102" s="13" t="s">
        <v>112</v>
      </c>
      <c r="E102" s="26">
        <v>21401.0</v>
      </c>
      <c r="F102" s="26">
        <v>22861.0</v>
      </c>
      <c r="G102" s="26">
        <v>23554.0</v>
      </c>
      <c r="H102" s="26">
        <v>24247.0</v>
      </c>
      <c r="I102" s="26">
        <v>26325.0</v>
      </c>
      <c r="J102" s="26">
        <v>27018.0</v>
      </c>
      <c r="K102" s="26">
        <v>27711.0</v>
      </c>
      <c r="L102" s="13">
        <v>2.0</v>
      </c>
      <c r="M102" s="13">
        <v>1.0</v>
      </c>
      <c r="N102" s="13">
        <v>1.0</v>
      </c>
      <c r="O102" s="13">
        <v>1.0</v>
      </c>
      <c r="P102" s="13">
        <v>0.0</v>
      </c>
      <c r="Q102" s="13">
        <v>1.0</v>
      </c>
      <c r="R102" s="27">
        <f t="shared" ref="R102:W102" si="103">(L102/F102)*100000</f>
        <v>8.748523687</v>
      </c>
      <c r="S102" s="27">
        <f t="shared" si="103"/>
        <v>4.245563386</v>
      </c>
      <c r="T102" s="27">
        <f t="shared" si="103"/>
        <v>4.124221553</v>
      </c>
      <c r="U102" s="27">
        <f t="shared" si="103"/>
        <v>3.798670465</v>
      </c>
      <c r="V102" s="27">
        <f t="shared" si="103"/>
        <v>0</v>
      </c>
      <c r="W102" s="27">
        <f t="shared" si="103"/>
        <v>3.608675255</v>
      </c>
      <c r="X102" s="27">
        <f t="shared" si="3"/>
        <v>5.706102875</v>
      </c>
      <c r="Y102" s="27">
        <f t="shared" si="4"/>
        <v>2.46911524</v>
      </c>
    </row>
    <row r="103" ht="14.25" customHeight="1">
      <c r="A103" s="13" t="s">
        <v>41</v>
      </c>
      <c r="B103" s="13" t="s">
        <v>524</v>
      </c>
      <c r="C103" s="13" t="s">
        <v>80</v>
      </c>
      <c r="D103" s="13" t="s">
        <v>80</v>
      </c>
      <c r="E103" s="26">
        <v>21402.0</v>
      </c>
      <c r="F103" s="26">
        <v>19680.0</v>
      </c>
      <c r="G103" s="26">
        <v>20230.0</v>
      </c>
      <c r="H103" s="26">
        <v>20780.0</v>
      </c>
      <c r="I103" s="26">
        <v>22430.0</v>
      </c>
      <c r="J103" s="26">
        <v>22980.0</v>
      </c>
      <c r="K103" s="26">
        <v>23530.0</v>
      </c>
      <c r="L103" s="13">
        <v>0.0</v>
      </c>
      <c r="M103" s="13">
        <v>0.0</v>
      </c>
      <c r="N103" s="13">
        <v>1.0</v>
      </c>
      <c r="O103" s="13">
        <v>0.0</v>
      </c>
      <c r="P103" s="13">
        <v>0.0</v>
      </c>
      <c r="Q103" s="13">
        <v>0.0</v>
      </c>
      <c r="R103" s="27">
        <f t="shared" ref="R103:W103" si="104">(L103/F103)*100000</f>
        <v>0</v>
      </c>
      <c r="S103" s="27">
        <f t="shared" si="104"/>
        <v>0</v>
      </c>
      <c r="T103" s="27">
        <f t="shared" si="104"/>
        <v>4.812319538</v>
      </c>
      <c r="U103" s="27">
        <f t="shared" si="104"/>
        <v>0</v>
      </c>
      <c r="V103" s="27">
        <f t="shared" si="104"/>
        <v>0</v>
      </c>
      <c r="W103" s="27">
        <f t="shared" si="104"/>
        <v>0</v>
      </c>
      <c r="X103" s="27">
        <f t="shared" si="3"/>
        <v>1.604106513</v>
      </c>
      <c r="Y103" s="27">
        <f t="shared" si="4"/>
        <v>0</v>
      </c>
    </row>
    <row r="104" ht="14.25" customHeight="1">
      <c r="A104" s="13" t="s">
        <v>41</v>
      </c>
      <c r="B104" s="13" t="s">
        <v>525</v>
      </c>
      <c r="C104" s="13" t="s">
        <v>117</v>
      </c>
      <c r="D104" s="13" t="s">
        <v>117</v>
      </c>
      <c r="E104" s="26">
        <v>21501.0</v>
      </c>
      <c r="F104" s="26">
        <v>10709.0</v>
      </c>
      <c r="G104" s="26">
        <v>10979.0</v>
      </c>
      <c r="H104" s="26">
        <v>11248.0</v>
      </c>
      <c r="I104" s="26">
        <v>12056.0</v>
      </c>
      <c r="J104" s="26">
        <v>12326.0</v>
      </c>
      <c r="K104" s="26">
        <v>12595.0</v>
      </c>
      <c r="L104" s="13">
        <v>0.0</v>
      </c>
      <c r="M104" s="13">
        <v>0.0</v>
      </c>
      <c r="N104" s="13">
        <v>1.0</v>
      </c>
      <c r="O104" s="13">
        <v>1.0</v>
      </c>
      <c r="P104" s="13">
        <v>0.0</v>
      </c>
      <c r="Q104" s="13">
        <v>1.0</v>
      </c>
      <c r="R104" s="27">
        <f t="shared" ref="R104:W104" si="105">(L104/F104)*100000</f>
        <v>0</v>
      </c>
      <c r="S104" s="27">
        <f t="shared" si="105"/>
        <v>0</v>
      </c>
      <c r="T104" s="27">
        <f t="shared" si="105"/>
        <v>8.890469417</v>
      </c>
      <c r="U104" s="27">
        <f t="shared" si="105"/>
        <v>8.294625083</v>
      </c>
      <c r="V104" s="27">
        <f t="shared" si="105"/>
        <v>0</v>
      </c>
      <c r="W104" s="27">
        <f t="shared" si="105"/>
        <v>7.939658595</v>
      </c>
      <c r="X104" s="27">
        <f t="shared" si="3"/>
        <v>2.963489806</v>
      </c>
      <c r="Y104" s="27">
        <f t="shared" si="4"/>
        <v>5.411427893</v>
      </c>
    </row>
    <row r="105" ht="14.25" customHeight="1">
      <c r="A105" s="13" t="s">
        <v>41</v>
      </c>
      <c r="B105" s="13" t="s">
        <v>525</v>
      </c>
      <c r="C105" s="13" t="s">
        <v>100</v>
      </c>
      <c r="D105" s="13" t="s">
        <v>100</v>
      </c>
      <c r="E105" s="26">
        <v>21502.0</v>
      </c>
      <c r="F105" s="26">
        <v>9292.0</v>
      </c>
      <c r="G105" s="26">
        <v>9408.0</v>
      </c>
      <c r="H105" s="26">
        <v>9524.0</v>
      </c>
      <c r="I105" s="26">
        <v>9873.0</v>
      </c>
      <c r="J105" s="26">
        <v>9989.0</v>
      </c>
      <c r="K105" s="26">
        <v>10105.0</v>
      </c>
      <c r="L105" s="13">
        <v>0.0</v>
      </c>
      <c r="M105" s="13">
        <v>0.0</v>
      </c>
      <c r="N105" s="13">
        <v>0.0</v>
      </c>
      <c r="O105" s="13">
        <v>0.0</v>
      </c>
      <c r="P105" s="13">
        <v>0.0</v>
      </c>
      <c r="Q105" s="13">
        <v>1.0</v>
      </c>
      <c r="R105" s="27">
        <f t="shared" ref="R105:W105" si="106">(L105/F105)*100000</f>
        <v>0</v>
      </c>
      <c r="S105" s="27">
        <f t="shared" si="106"/>
        <v>0</v>
      </c>
      <c r="T105" s="27">
        <f t="shared" si="106"/>
        <v>0</v>
      </c>
      <c r="U105" s="27">
        <f t="shared" si="106"/>
        <v>0</v>
      </c>
      <c r="V105" s="27">
        <f t="shared" si="106"/>
        <v>0</v>
      </c>
      <c r="W105" s="27">
        <f t="shared" si="106"/>
        <v>9.896091044</v>
      </c>
      <c r="X105" s="27">
        <f t="shared" si="3"/>
        <v>0</v>
      </c>
      <c r="Y105" s="27">
        <f t="shared" si="4"/>
        <v>3.298697015</v>
      </c>
    </row>
    <row r="106" ht="14.25" customHeight="1">
      <c r="A106" s="13" t="s">
        <v>41</v>
      </c>
      <c r="B106" s="13" t="s">
        <v>526</v>
      </c>
      <c r="C106" s="13" t="s">
        <v>527</v>
      </c>
      <c r="D106" s="13" t="s">
        <v>528</v>
      </c>
      <c r="E106" s="26">
        <v>21601.0</v>
      </c>
      <c r="F106" s="26">
        <v>14165.0</v>
      </c>
      <c r="G106" s="26">
        <v>14393.0</v>
      </c>
      <c r="H106" s="26">
        <v>14621.0</v>
      </c>
      <c r="I106" s="26">
        <v>15306.0</v>
      </c>
      <c r="J106" s="26">
        <v>15535.0</v>
      </c>
      <c r="K106" s="26">
        <v>15763.0</v>
      </c>
      <c r="L106" s="13">
        <v>0.0</v>
      </c>
      <c r="M106" s="13">
        <v>0.0</v>
      </c>
      <c r="N106" s="13">
        <v>0.0</v>
      </c>
      <c r="O106" s="13">
        <v>0.0</v>
      </c>
      <c r="P106" s="13">
        <v>0.0</v>
      </c>
      <c r="Q106" s="13">
        <v>0.0</v>
      </c>
      <c r="R106" s="27">
        <f t="shared" ref="R106:W106" si="107">(L106/F106)*100000</f>
        <v>0</v>
      </c>
      <c r="S106" s="27">
        <f t="shared" si="107"/>
        <v>0</v>
      </c>
      <c r="T106" s="27">
        <f t="shared" si="107"/>
        <v>0</v>
      </c>
      <c r="U106" s="27">
        <f t="shared" si="107"/>
        <v>0</v>
      </c>
      <c r="V106" s="27">
        <f t="shared" si="107"/>
        <v>0</v>
      </c>
      <c r="W106" s="27">
        <f t="shared" si="107"/>
        <v>0</v>
      </c>
      <c r="X106" s="27">
        <f t="shared" si="3"/>
        <v>0</v>
      </c>
      <c r="Y106" s="27">
        <f t="shared" si="4"/>
        <v>0</v>
      </c>
    </row>
    <row r="107" ht="14.25" customHeight="1">
      <c r="A107" s="13" t="s">
        <v>41</v>
      </c>
      <c r="B107" s="13" t="s">
        <v>526</v>
      </c>
      <c r="C107" s="13" t="s">
        <v>529</v>
      </c>
      <c r="D107" s="13" t="s">
        <v>529</v>
      </c>
      <c r="E107" s="26">
        <v>21602.0</v>
      </c>
      <c r="F107" s="26">
        <v>4671.0</v>
      </c>
      <c r="G107" s="26">
        <v>4948.0</v>
      </c>
      <c r="H107" s="26">
        <v>5225.0</v>
      </c>
      <c r="I107" s="26">
        <v>6057.0</v>
      </c>
      <c r="J107" s="26">
        <v>6334.0</v>
      </c>
      <c r="K107" s="26">
        <v>6611.0</v>
      </c>
      <c r="L107" s="13">
        <v>0.0</v>
      </c>
      <c r="M107" s="13">
        <v>0.0</v>
      </c>
      <c r="N107" s="13">
        <v>0.0</v>
      </c>
      <c r="O107" s="13">
        <v>0.0</v>
      </c>
      <c r="P107" s="13">
        <v>0.0</v>
      </c>
      <c r="Q107" s="13">
        <v>0.0</v>
      </c>
      <c r="R107" s="27">
        <f t="shared" ref="R107:W107" si="108">(L107/F107)*100000</f>
        <v>0</v>
      </c>
      <c r="S107" s="27">
        <f t="shared" si="108"/>
        <v>0</v>
      </c>
      <c r="T107" s="27">
        <f t="shared" si="108"/>
        <v>0</v>
      </c>
      <c r="U107" s="27">
        <f t="shared" si="108"/>
        <v>0</v>
      </c>
      <c r="V107" s="27">
        <f t="shared" si="108"/>
        <v>0</v>
      </c>
      <c r="W107" s="27">
        <f t="shared" si="108"/>
        <v>0</v>
      </c>
      <c r="X107" s="27">
        <f t="shared" si="3"/>
        <v>0</v>
      </c>
      <c r="Y107" s="27">
        <f t="shared" si="4"/>
        <v>0</v>
      </c>
    </row>
    <row r="108" ht="14.25" customHeight="1">
      <c r="A108" s="13" t="s">
        <v>41</v>
      </c>
      <c r="B108" s="13" t="s">
        <v>530</v>
      </c>
      <c r="C108" s="13" t="s">
        <v>68</v>
      </c>
      <c r="D108" s="13" t="s">
        <v>68</v>
      </c>
      <c r="E108" s="26">
        <v>21701.0</v>
      </c>
      <c r="F108" s="26">
        <v>15986.0</v>
      </c>
      <c r="G108" s="26">
        <v>16197.0</v>
      </c>
      <c r="H108" s="26">
        <v>16408.0</v>
      </c>
      <c r="I108" s="26">
        <v>17041.0</v>
      </c>
      <c r="J108" s="26">
        <v>17252.0</v>
      </c>
      <c r="K108" s="26">
        <v>17463.0</v>
      </c>
      <c r="L108" s="13">
        <v>3.0</v>
      </c>
      <c r="M108" s="13">
        <v>4.0</v>
      </c>
      <c r="N108" s="13">
        <v>1.0</v>
      </c>
      <c r="O108" s="13">
        <v>2.0</v>
      </c>
      <c r="P108" s="13">
        <v>0.0</v>
      </c>
      <c r="Q108" s="13">
        <v>0.0</v>
      </c>
      <c r="R108" s="27">
        <f t="shared" ref="R108:W108" si="109">(L108/F108)*100000</f>
        <v>18.76642062</v>
      </c>
      <c r="S108" s="27">
        <f t="shared" si="109"/>
        <v>24.69593135</v>
      </c>
      <c r="T108" s="27">
        <f t="shared" si="109"/>
        <v>6.094588006</v>
      </c>
      <c r="U108" s="27">
        <f t="shared" si="109"/>
        <v>11.73640045</v>
      </c>
      <c r="V108" s="27">
        <f t="shared" si="109"/>
        <v>0</v>
      </c>
      <c r="W108" s="27">
        <f t="shared" si="109"/>
        <v>0</v>
      </c>
      <c r="X108" s="27">
        <f t="shared" si="3"/>
        <v>16.51897999</v>
      </c>
      <c r="Y108" s="27">
        <f t="shared" si="4"/>
        <v>3.912133482</v>
      </c>
    </row>
    <row r="109" ht="14.25" customHeight="1">
      <c r="A109" s="13" t="s">
        <v>41</v>
      </c>
      <c r="B109" s="13" t="s">
        <v>530</v>
      </c>
      <c r="C109" s="13" t="s">
        <v>531</v>
      </c>
      <c r="D109" s="13" t="s">
        <v>531</v>
      </c>
      <c r="E109" s="26">
        <v>21702.0</v>
      </c>
      <c r="F109" s="26">
        <v>7349.0</v>
      </c>
      <c r="G109" s="26">
        <v>7608.0</v>
      </c>
      <c r="H109" s="26">
        <v>7867.0</v>
      </c>
      <c r="I109" s="26">
        <v>8645.0</v>
      </c>
      <c r="J109" s="26">
        <v>8905.0</v>
      </c>
      <c r="K109" s="26">
        <v>9164.0</v>
      </c>
      <c r="L109" s="13">
        <v>0.0</v>
      </c>
      <c r="M109" s="13">
        <v>0.0</v>
      </c>
      <c r="N109" s="13">
        <v>0.0</v>
      </c>
      <c r="O109" s="13">
        <v>0.0</v>
      </c>
      <c r="P109" s="13">
        <v>0.0</v>
      </c>
      <c r="Q109" s="13">
        <v>0.0</v>
      </c>
      <c r="R109" s="27">
        <f t="shared" ref="R109:W109" si="110">(L109/F109)*100000</f>
        <v>0</v>
      </c>
      <c r="S109" s="27">
        <f t="shared" si="110"/>
        <v>0</v>
      </c>
      <c r="T109" s="27">
        <f t="shared" si="110"/>
        <v>0</v>
      </c>
      <c r="U109" s="27">
        <f t="shared" si="110"/>
        <v>0</v>
      </c>
      <c r="V109" s="27">
        <f t="shared" si="110"/>
        <v>0</v>
      </c>
      <c r="W109" s="27">
        <f t="shared" si="110"/>
        <v>0</v>
      </c>
      <c r="X109" s="27">
        <f t="shared" si="3"/>
        <v>0</v>
      </c>
      <c r="Y109" s="27">
        <f t="shared" si="4"/>
        <v>0</v>
      </c>
    </row>
    <row r="110" ht="14.25" customHeight="1">
      <c r="A110" s="13" t="s">
        <v>41</v>
      </c>
      <c r="B110" s="13" t="s">
        <v>530</v>
      </c>
      <c r="C110" s="13" t="s">
        <v>136</v>
      </c>
      <c r="D110" s="13" t="s">
        <v>136</v>
      </c>
      <c r="E110" s="26">
        <v>21703.0</v>
      </c>
      <c r="F110" s="26">
        <v>6788.0</v>
      </c>
      <c r="G110" s="26">
        <v>6893.0</v>
      </c>
      <c r="H110" s="26">
        <v>6998.0</v>
      </c>
      <c r="I110" s="26">
        <v>7314.0</v>
      </c>
      <c r="J110" s="26">
        <v>7420.0</v>
      </c>
      <c r="K110" s="26">
        <v>7525.0</v>
      </c>
      <c r="L110" s="13">
        <v>0.0</v>
      </c>
      <c r="M110" s="13">
        <v>0.0</v>
      </c>
      <c r="N110" s="13">
        <v>0.0</v>
      </c>
      <c r="O110" s="13">
        <v>0.0</v>
      </c>
      <c r="P110" s="13">
        <v>0.0</v>
      </c>
      <c r="Q110" s="13">
        <v>0.0</v>
      </c>
      <c r="R110" s="27">
        <f t="shared" ref="R110:W110" si="111">(L110/F110)*100000</f>
        <v>0</v>
      </c>
      <c r="S110" s="27">
        <f t="shared" si="111"/>
        <v>0</v>
      </c>
      <c r="T110" s="27">
        <f t="shared" si="111"/>
        <v>0</v>
      </c>
      <c r="U110" s="27">
        <f t="shared" si="111"/>
        <v>0</v>
      </c>
      <c r="V110" s="27">
        <f t="shared" si="111"/>
        <v>0</v>
      </c>
      <c r="W110" s="27">
        <f t="shared" si="111"/>
        <v>0</v>
      </c>
      <c r="X110" s="27">
        <f t="shared" si="3"/>
        <v>0</v>
      </c>
      <c r="Y110" s="27">
        <f t="shared" si="4"/>
        <v>0</v>
      </c>
    </row>
    <row r="111" ht="14.25" customHeight="1">
      <c r="A111" s="13" t="s">
        <v>41</v>
      </c>
      <c r="B111" s="13" t="s">
        <v>532</v>
      </c>
      <c r="C111" s="13" t="s">
        <v>533</v>
      </c>
      <c r="D111" s="13" t="s">
        <v>533</v>
      </c>
      <c r="E111" s="26">
        <v>21801.0</v>
      </c>
      <c r="F111" s="26">
        <v>9008.0</v>
      </c>
      <c r="G111" s="26">
        <v>9038.0</v>
      </c>
      <c r="H111" s="26">
        <v>9067.0</v>
      </c>
      <c r="I111" s="26">
        <v>9157.0</v>
      </c>
      <c r="J111" s="26">
        <v>9187.0</v>
      </c>
      <c r="K111" s="26">
        <v>9217.0</v>
      </c>
      <c r="L111" s="13">
        <v>0.0</v>
      </c>
      <c r="M111" s="13">
        <v>0.0</v>
      </c>
      <c r="N111" s="13">
        <v>0.0</v>
      </c>
      <c r="O111" s="13">
        <v>0.0</v>
      </c>
      <c r="P111" s="13">
        <v>0.0</v>
      </c>
      <c r="Q111" s="13">
        <v>1.0</v>
      </c>
      <c r="R111" s="27">
        <f t="shared" ref="R111:W111" si="112">(L111/F111)*100000</f>
        <v>0</v>
      </c>
      <c r="S111" s="27">
        <f t="shared" si="112"/>
        <v>0</v>
      </c>
      <c r="T111" s="27">
        <f t="shared" si="112"/>
        <v>0</v>
      </c>
      <c r="U111" s="27">
        <f t="shared" si="112"/>
        <v>0</v>
      </c>
      <c r="V111" s="27">
        <f t="shared" si="112"/>
        <v>0</v>
      </c>
      <c r="W111" s="27">
        <f t="shared" si="112"/>
        <v>10.8495172</v>
      </c>
      <c r="X111" s="27">
        <f t="shared" si="3"/>
        <v>0</v>
      </c>
      <c r="Y111" s="27">
        <f t="shared" si="4"/>
        <v>3.616505732</v>
      </c>
    </row>
    <row r="112" ht="14.25" customHeight="1">
      <c r="A112" s="13" t="s">
        <v>41</v>
      </c>
      <c r="B112" s="13" t="s">
        <v>534</v>
      </c>
      <c r="C112" s="13" t="s">
        <v>146</v>
      </c>
      <c r="D112" s="13" t="s">
        <v>146</v>
      </c>
      <c r="E112" s="26">
        <v>21802.0</v>
      </c>
      <c r="F112" s="26">
        <v>6856.0</v>
      </c>
      <c r="G112" s="26">
        <v>6826.0</v>
      </c>
      <c r="H112" s="26">
        <v>6797.0</v>
      </c>
      <c r="I112" s="26">
        <v>6708.0</v>
      </c>
      <c r="J112" s="26">
        <v>6679.0</v>
      </c>
      <c r="K112" s="26">
        <v>6649.0</v>
      </c>
      <c r="L112" s="13">
        <v>0.0</v>
      </c>
      <c r="M112" s="13">
        <v>1.0</v>
      </c>
      <c r="N112" s="13">
        <v>0.0</v>
      </c>
      <c r="O112" s="13">
        <v>0.0</v>
      </c>
      <c r="P112" s="13">
        <v>0.0</v>
      </c>
      <c r="Q112" s="13">
        <v>0.0</v>
      </c>
      <c r="R112" s="27">
        <f t="shared" ref="R112:W112" si="113">(L112/F112)*100000</f>
        <v>0</v>
      </c>
      <c r="S112" s="27">
        <f t="shared" si="113"/>
        <v>14.64986815</v>
      </c>
      <c r="T112" s="27">
        <f t="shared" si="113"/>
        <v>0</v>
      </c>
      <c r="U112" s="27">
        <f t="shared" si="113"/>
        <v>0</v>
      </c>
      <c r="V112" s="27">
        <f t="shared" si="113"/>
        <v>0</v>
      </c>
      <c r="W112" s="27">
        <f t="shared" si="113"/>
        <v>0</v>
      </c>
      <c r="X112" s="27">
        <f t="shared" si="3"/>
        <v>4.883289384</v>
      </c>
      <c r="Y112" s="27">
        <f t="shared" si="4"/>
        <v>0</v>
      </c>
    </row>
    <row r="113" ht="14.25" customHeight="1">
      <c r="A113" s="13" t="s">
        <v>41</v>
      </c>
      <c r="B113" s="13" t="s">
        <v>534</v>
      </c>
      <c r="C113" s="13" t="s">
        <v>535</v>
      </c>
      <c r="D113" s="13" t="s">
        <v>535</v>
      </c>
      <c r="E113" s="26">
        <v>21803.0</v>
      </c>
      <c r="F113" s="26">
        <v>2024.0</v>
      </c>
      <c r="G113" s="26">
        <v>2028.0</v>
      </c>
      <c r="H113" s="26">
        <v>2032.0</v>
      </c>
      <c r="I113" s="26">
        <v>2044.0</v>
      </c>
      <c r="J113" s="26">
        <v>2048.0</v>
      </c>
      <c r="K113" s="26">
        <v>2052.0</v>
      </c>
      <c r="L113" s="13">
        <v>0.0</v>
      </c>
      <c r="M113" s="13">
        <v>0.0</v>
      </c>
      <c r="N113" s="13">
        <v>0.0</v>
      </c>
      <c r="O113" s="13">
        <v>0.0</v>
      </c>
      <c r="P113" s="13">
        <v>0.0</v>
      </c>
      <c r="Q113" s="13">
        <v>0.0</v>
      </c>
      <c r="R113" s="27">
        <f t="shared" ref="R113:W113" si="114">(L113/F113)*100000</f>
        <v>0</v>
      </c>
      <c r="S113" s="27">
        <f t="shared" si="114"/>
        <v>0</v>
      </c>
      <c r="T113" s="27">
        <f t="shared" si="114"/>
        <v>0</v>
      </c>
      <c r="U113" s="27">
        <f t="shared" si="114"/>
        <v>0</v>
      </c>
      <c r="V113" s="27">
        <f t="shared" si="114"/>
        <v>0</v>
      </c>
      <c r="W113" s="27">
        <f t="shared" si="114"/>
        <v>0</v>
      </c>
      <c r="X113" s="27">
        <f t="shared" si="3"/>
        <v>0</v>
      </c>
      <c r="Y113" s="27">
        <f t="shared" si="4"/>
        <v>0</v>
      </c>
    </row>
    <row r="114" ht="14.25" customHeight="1">
      <c r="A114" s="13" t="s">
        <v>41</v>
      </c>
      <c r="B114" s="13" t="s">
        <v>536</v>
      </c>
      <c r="C114" s="13" t="s">
        <v>537</v>
      </c>
      <c r="D114" s="13" t="s">
        <v>537</v>
      </c>
      <c r="E114" s="26">
        <v>21901.0</v>
      </c>
      <c r="F114" s="26">
        <v>5515.0</v>
      </c>
      <c r="G114" s="26">
        <v>5699.0</v>
      </c>
      <c r="H114" s="26">
        <v>5883.0</v>
      </c>
      <c r="I114" s="26">
        <v>6436.0</v>
      </c>
      <c r="J114" s="26">
        <v>6621.0</v>
      </c>
      <c r="K114" s="26">
        <v>6805.0</v>
      </c>
      <c r="L114" s="13">
        <v>0.0</v>
      </c>
      <c r="M114" s="13">
        <v>0.0</v>
      </c>
      <c r="N114" s="13">
        <v>0.0</v>
      </c>
      <c r="O114" s="13">
        <v>0.0</v>
      </c>
      <c r="P114" s="13">
        <v>0.0</v>
      </c>
      <c r="Q114" s="13">
        <v>0.0</v>
      </c>
      <c r="R114" s="27">
        <f t="shared" ref="R114:W114" si="115">(L114/F114)*100000</f>
        <v>0</v>
      </c>
      <c r="S114" s="27">
        <f t="shared" si="115"/>
        <v>0</v>
      </c>
      <c r="T114" s="27">
        <f t="shared" si="115"/>
        <v>0</v>
      </c>
      <c r="U114" s="27">
        <f t="shared" si="115"/>
        <v>0</v>
      </c>
      <c r="V114" s="27">
        <f t="shared" si="115"/>
        <v>0</v>
      </c>
      <c r="W114" s="27">
        <f t="shared" si="115"/>
        <v>0</v>
      </c>
      <c r="X114" s="27">
        <f t="shared" si="3"/>
        <v>0</v>
      </c>
      <c r="Y114" s="27">
        <f t="shared" si="4"/>
        <v>0</v>
      </c>
    </row>
    <row r="115" ht="14.25" customHeight="1">
      <c r="A115" s="13" t="s">
        <v>41</v>
      </c>
      <c r="B115" s="13" t="s">
        <v>536</v>
      </c>
      <c r="C115" s="13" t="s">
        <v>538</v>
      </c>
      <c r="D115" s="13" t="s">
        <v>538</v>
      </c>
      <c r="E115" s="26">
        <v>21902.0</v>
      </c>
      <c r="F115" s="26">
        <v>3910.0</v>
      </c>
      <c r="G115" s="26">
        <v>4116.0</v>
      </c>
      <c r="H115" s="26">
        <v>4322.0</v>
      </c>
      <c r="I115" s="26">
        <v>4939.0</v>
      </c>
      <c r="J115" s="26">
        <v>5145.0</v>
      </c>
      <c r="K115" s="26">
        <v>5351.0</v>
      </c>
      <c r="L115" s="13">
        <v>0.0</v>
      </c>
      <c r="M115" s="13">
        <v>0.0</v>
      </c>
      <c r="N115" s="13">
        <v>0.0</v>
      </c>
      <c r="O115" s="13">
        <v>0.0</v>
      </c>
      <c r="P115" s="13">
        <v>0.0</v>
      </c>
      <c r="Q115" s="13">
        <v>0.0</v>
      </c>
      <c r="R115" s="27">
        <f t="shared" ref="R115:W115" si="116">(L115/F115)*100000</f>
        <v>0</v>
      </c>
      <c r="S115" s="27">
        <f t="shared" si="116"/>
        <v>0</v>
      </c>
      <c r="T115" s="27">
        <f t="shared" si="116"/>
        <v>0</v>
      </c>
      <c r="U115" s="27">
        <f t="shared" si="116"/>
        <v>0</v>
      </c>
      <c r="V115" s="27">
        <f t="shared" si="116"/>
        <v>0</v>
      </c>
      <c r="W115" s="27">
        <f t="shared" si="116"/>
        <v>0</v>
      </c>
      <c r="X115" s="27">
        <f t="shared" si="3"/>
        <v>0</v>
      </c>
      <c r="Y115" s="27">
        <f t="shared" si="4"/>
        <v>0</v>
      </c>
    </row>
    <row r="116" ht="14.25" customHeight="1">
      <c r="A116" s="13" t="s">
        <v>41</v>
      </c>
      <c r="B116" s="13" t="s">
        <v>60</v>
      </c>
      <c r="C116" s="13" t="s">
        <v>60</v>
      </c>
      <c r="D116" s="13" t="s">
        <v>60</v>
      </c>
      <c r="E116" s="26">
        <v>22001.0</v>
      </c>
      <c r="F116" s="26">
        <v>54224.0</v>
      </c>
      <c r="G116" s="26">
        <v>55003.0</v>
      </c>
      <c r="H116" s="26">
        <v>55782.0</v>
      </c>
      <c r="I116" s="26">
        <v>58118.0</v>
      </c>
      <c r="J116" s="26">
        <v>58897.0</v>
      </c>
      <c r="K116" s="26">
        <v>59676.0</v>
      </c>
      <c r="L116" s="13">
        <v>3.0</v>
      </c>
      <c r="M116" s="13">
        <v>2.0</v>
      </c>
      <c r="N116" s="13">
        <v>1.0</v>
      </c>
      <c r="O116" s="13">
        <v>2.0</v>
      </c>
      <c r="P116" s="13">
        <v>2.0</v>
      </c>
      <c r="Q116" s="13">
        <v>3.0</v>
      </c>
      <c r="R116" s="27">
        <f t="shared" ref="R116:W116" si="117">(L116/F116)*100000</f>
        <v>5.532605488</v>
      </c>
      <c r="S116" s="27">
        <f t="shared" si="117"/>
        <v>3.6361653</v>
      </c>
      <c r="T116" s="27">
        <f t="shared" si="117"/>
        <v>1.792692983</v>
      </c>
      <c r="U116" s="27">
        <f t="shared" si="117"/>
        <v>3.441274648</v>
      </c>
      <c r="V116" s="27">
        <f t="shared" si="117"/>
        <v>3.395758697</v>
      </c>
      <c r="W116" s="27">
        <f t="shared" si="117"/>
        <v>5.027146592</v>
      </c>
      <c r="X116" s="27">
        <f t="shared" si="3"/>
        <v>3.653821257</v>
      </c>
      <c r="Y116" s="27">
        <f t="shared" si="4"/>
        <v>3.954726646</v>
      </c>
    </row>
    <row r="117" ht="14.25" customHeight="1">
      <c r="A117" s="13" t="s">
        <v>41</v>
      </c>
      <c r="B117" s="13" t="s">
        <v>60</v>
      </c>
      <c r="C117" s="13" t="s">
        <v>539</v>
      </c>
      <c r="D117" s="13" t="s">
        <v>539</v>
      </c>
      <c r="E117" s="26">
        <v>22002.0</v>
      </c>
      <c r="F117" s="26">
        <v>10940.0</v>
      </c>
      <c r="G117" s="26">
        <v>10890.0</v>
      </c>
      <c r="H117" s="26">
        <v>10839.0</v>
      </c>
      <c r="I117" s="26">
        <v>10687.0</v>
      </c>
      <c r="J117" s="26">
        <v>10636.0</v>
      </c>
      <c r="K117" s="26">
        <v>10585.0</v>
      </c>
      <c r="L117" s="13">
        <v>0.0</v>
      </c>
      <c r="M117" s="13">
        <v>0.0</v>
      </c>
      <c r="N117" s="13">
        <v>0.0</v>
      </c>
      <c r="O117" s="13">
        <v>0.0</v>
      </c>
      <c r="P117" s="13">
        <v>0.0</v>
      </c>
      <c r="Q117" s="13">
        <v>0.0</v>
      </c>
      <c r="R117" s="27">
        <f t="shared" ref="R117:W117" si="118">(L117/F117)*100000</f>
        <v>0</v>
      </c>
      <c r="S117" s="27">
        <f t="shared" si="118"/>
        <v>0</v>
      </c>
      <c r="T117" s="27">
        <f t="shared" si="118"/>
        <v>0</v>
      </c>
      <c r="U117" s="27">
        <f t="shared" si="118"/>
        <v>0</v>
      </c>
      <c r="V117" s="27">
        <f t="shared" si="118"/>
        <v>0</v>
      </c>
      <c r="W117" s="27">
        <f t="shared" si="118"/>
        <v>0</v>
      </c>
      <c r="X117" s="27">
        <f t="shared" si="3"/>
        <v>0</v>
      </c>
      <c r="Y117" s="27">
        <f t="shared" si="4"/>
        <v>0</v>
      </c>
    </row>
    <row r="118" ht="14.25" customHeight="1">
      <c r="A118" s="13" t="s">
        <v>147</v>
      </c>
      <c r="B118" s="13" t="s">
        <v>540</v>
      </c>
      <c r="C118" s="13" t="s">
        <v>147</v>
      </c>
      <c r="D118" s="13" t="s">
        <v>147</v>
      </c>
      <c r="E118" s="26">
        <v>30101.0</v>
      </c>
      <c r="F118" s="26">
        <v>645968.0</v>
      </c>
      <c r="G118" s="26">
        <v>648759.0</v>
      </c>
      <c r="H118" s="26">
        <v>651550.0</v>
      </c>
      <c r="I118" s="26">
        <v>659923.0</v>
      </c>
      <c r="J118" s="26">
        <v>662714.0</v>
      </c>
      <c r="K118" s="26">
        <v>665505.0</v>
      </c>
      <c r="L118" s="13">
        <v>23.0</v>
      </c>
      <c r="M118" s="13">
        <v>21.0</v>
      </c>
      <c r="N118" s="13">
        <v>25.0</v>
      </c>
      <c r="O118" s="13">
        <v>19.0</v>
      </c>
      <c r="P118" s="13">
        <v>24.0</v>
      </c>
      <c r="Q118" s="13">
        <v>29.0</v>
      </c>
      <c r="R118" s="27">
        <f t="shared" ref="R118:W118" si="119">(L118/F118)*100000</f>
        <v>3.560547891</v>
      </c>
      <c r="S118" s="27">
        <f t="shared" si="119"/>
        <v>3.236949314</v>
      </c>
      <c r="T118" s="27">
        <f t="shared" si="119"/>
        <v>3.837004067</v>
      </c>
      <c r="U118" s="27">
        <f t="shared" si="119"/>
        <v>2.879123777</v>
      </c>
      <c r="V118" s="27">
        <f t="shared" si="119"/>
        <v>3.621471706</v>
      </c>
      <c r="W118" s="27">
        <f t="shared" si="119"/>
        <v>4.357593106</v>
      </c>
      <c r="X118" s="27">
        <f t="shared" si="3"/>
        <v>3.544833757</v>
      </c>
      <c r="Y118" s="27">
        <f t="shared" si="4"/>
        <v>3.619396196</v>
      </c>
    </row>
    <row r="119" ht="14.25" customHeight="1">
      <c r="A119" s="13" t="s">
        <v>147</v>
      </c>
      <c r="B119" s="13" t="s">
        <v>541</v>
      </c>
      <c r="C119" s="13" t="s">
        <v>542</v>
      </c>
      <c r="D119" s="13" t="s">
        <v>542</v>
      </c>
      <c r="E119" s="26">
        <v>30201.0</v>
      </c>
      <c r="F119" s="26">
        <v>23207.0</v>
      </c>
      <c r="G119" s="26">
        <v>23195.0</v>
      </c>
      <c r="H119" s="26">
        <v>23183.0</v>
      </c>
      <c r="I119" s="26">
        <v>23147.0</v>
      </c>
      <c r="J119" s="26">
        <v>23135.0</v>
      </c>
      <c r="K119" s="26">
        <v>23123.0</v>
      </c>
      <c r="L119" s="13">
        <v>0.0</v>
      </c>
      <c r="M119" s="13">
        <v>0.0</v>
      </c>
      <c r="N119" s="13">
        <v>0.0</v>
      </c>
      <c r="O119" s="13">
        <v>0.0</v>
      </c>
      <c r="P119" s="13">
        <v>0.0</v>
      </c>
      <c r="Q119" s="13">
        <v>0.0</v>
      </c>
      <c r="R119" s="27">
        <f t="shared" ref="R119:W119" si="120">(L119/F119)*100000</f>
        <v>0</v>
      </c>
      <c r="S119" s="27">
        <f t="shared" si="120"/>
        <v>0</v>
      </c>
      <c r="T119" s="27">
        <f t="shared" si="120"/>
        <v>0</v>
      </c>
      <c r="U119" s="27">
        <f t="shared" si="120"/>
        <v>0</v>
      </c>
      <c r="V119" s="27">
        <f t="shared" si="120"/>
        <v>0</v>
      </c>
      <c r="W119" s="27">
        <f t="shared" si="120"/>
        <v>0</v>
      </c>
      <c r="X119" s="27">
        <f t="shared" si="3"/>
        <v>0</v>
      </c>
      <c r="Y119" s="27">
        <f t="shared" si="4"/>
        <v>0</v>
      </c>
    </row>
    <row r="120" ht="14.25" customHeight="1">
      <c r="A120" s="13" t="s">
        <v>147</v>
      </c>
      <c r="B120" s="13" t="s">
        <v>541</v>
      </c>
      <c r="C120" s="13" t="s">
        <v>543</v>
      </c>
      <c r="D120" s="13" t="s">
        <v>543</v>
      </c>
      <c r="E120" s="26">
        <v>30202.0</v>
      </c>
      <c r="F120" s="26">
        <v>6696.0</v>
      </c>
      <c r="G120" s="26">
        <v>6664.0</v>
      </c>
      <c r="H120" s="26">
        <v>6633.0</v>
      </c>
      <c r="I120" s="26">
        <v>6538.0</v>
      </c>
      <c r="J120" s="26">
        <v>6507.0</v>
      </c>
      <c r="K120" s="26">
        <v>6475.0</v>
      </c>
      <c r="L120" s="13">
        <v>0.0</v>
      </c>
      <c r="M120" s="13">
        <v>0.0</v>
      </c>
      <c r="N120" s="13">
        <v>0.0</v>
      </c>
      <c r="O120" s="13">
        <v>0.0</v>
      </c>
      <c r="P120" s="13">
        <v>0.0</v>
      </c>
      <c r="Q120" s="13">
        <v>0.0</v>
      </c>
      <c r="R120" s="27">
        <f t="shared" ref="R120:W120" si="121">(L120/F120)*100000</f>
        <v>0</v>
      </c>
      <c r="S120" s="27">
        <f t="shared" si="121"/>
        <v>0</v>
      </c>
      <c r="T120" s="27">
        <f t="shared" si="121"/>
        <v>0</v>
      </c>
      <c r="U120" s="27">
        <f t="shared" si="121"/>
        <v>0</v>
      </c>
      <c r="V120" s="27">
        <f t="shared" si="121"/>
        <v>0</v>
      </c>
      <c r="W120" s="27">
        <f t="shared" si="121"/>
        <v>0</v>
      </c>
      <c r="X120" s="27">
        <f t="shared" si="3"/>
        <v>0</v>
      </c>
      <c r="Y120" s="27">
        <f t="shared" si="4"/>
        <v>0</v>
      </c>
    </row>
    <row r="121" ht="14.25" customHeight="1">
      <c r="A121" s="13" t="s">
        <v>147</v>
      </c>
      <c r="B121" s="13" t="s">
        <v>541</v>
      </c>
      <c r="C121" s="13" t="s">
        <v>544</v>
      </c>
      <c r="D121" s="13" t="s">
        <v>544</v>
      </c>
      <c r="E121" s="26">
        <v>30203.0</v>
      </c>
      <c r="F121" s="26">
        <v>6083.0</v>
      </c>
      <c r="G121" s="26">
        <v>6172.0</v>
      </c>
      <c r="H121" s="26">
        <v>6260.0</v>
      </c>
      <c r="I121" s="26">
        <v>6524.0</v>
      </c>
      <c r="J121" s="26">
        <v>6612.0</v>
      </c>
      <c r="K121" s="26">
        <v>6700.0</v>
      </c>
      <c r="L121" s="13">
        <v>0.0</v>
      </c>
      <c r="M121" s="13">
        <v>0.0</v>
      </c>
      <c r="N121" s="13">
        <v>0.0</v>
      </c>
      <c r="O121" s="13">
        <v>0.0</v>
      </c>
      <c r="P121" s="13">
        <v>0.0</v>
      </c>
      <c r="Q121" s="13">
        <v>0.0</v>
      </c>
      <c r="R121" s="27">
        <f t="shared" ref="R121:W121" si="122">(L121/F121)*100000</f>
        <v>0</v>
      </c>
      <c r="S121" s="27">
        <f t="shared" si="122"/>
        <v>0</v>
      </c>
      <c r="T121" s="27">
        <f t="shared" si="122"/>
        <v>0</v>
      </c>
      <c r="U121" s="27">
        <f t="shared" si="122"/>
        <v>0</v>
      </c>
      <c r="V121" s="27">
        <f t="shared" si="122"/>
        <v>0</v>
      </c>
      <c r="W121" s="27">
        <f t="shared" si="122"/>
        <v>0</v>
      </c>
      <c r="X121" s="27">
        <f t="shared" si="3"/>
        <v>0</v>
      </c>
      <c r="Y121" s="27">
        <f t="shared" si="4"/>
        <v>0</v>
      </c>
    </row>
    <row r="122" ht="14.25" customHeight="1">
      <c r="A122" s="13" t="s">
        <v>147</v>
      </c>
      <c r="B122" s="13" t="s">
        <v>545</v>
      </c>
      <c r="C122" s="13" t="s">
        <v>546</v>
      </c>
      <c r="D122" s="13" t="s">
        <v>547</v>
      </c>
      <c r="E122" s="26">
        <v>30301.0</v>
      </c>
      <c r="F122" s="26">
        <v>22890.0</v>
      </c>
      <c r="G122" s="26">
        <v>22737.0</v>
      </c>
      <c r="H122" s="26">
        <v>22583.0</v>
      </c>
      <c r="I122" s="26">
        <v>22122.0</v>
      </c>
      <c r="J122" s="26">
        <v>21969.0</v>
      </c>
      <c r="K122" s="26">
        <v>21815.0</v>
      </c>
      <c r="L122" s="13">
        <v>0.0</v>
      </c>
      <c r="M122" s="13">
        <v>0.0</v>
      </c>
      <c r="N122" s="13">
        <v>0.0</v>
      </c>
      <c r="O122" s="13">
        <v>0.0</v>
      </c>
      <c r="P122" s="13">
        <v>0.0</v>
      </c>
      <c r="Q122" s="13">
        <v>0.0</v>
      </c>
      <c r="R122" s="27">
        <f t="shared" ref="R122:W122" si="123">(L122/F122)*100000</f>
        <v>0</v>
      </c>
      <c r="S122" s="27">
        <f t="shared" si="123"/>
        <v>0</v>
      </c>
      <c r="T122" s="27">
        <f t="shared" si="123"/>
        <v>0</v>
      </c>
      <c r="U122" s="27">
        <f t="shared" si="123"/>
        <v>0</v>
      </c>
      <c r="V122" s="27">
        <f t="shared" si="123"/>
        <v>0</v>
      </c>
      <c r="W122" s="27">
        <f t="shared" si="123"/>
        <v>0</v>
      </c>
      <c r="X122" s="27">
        <f t="shared" si="3"/>
        <v>0</v>
      </c>
      <c r="Y122" s="27">
        <f t="shared" si="4"/>
        <v>0</v>
      </c>
    </row>
    <row r="123" ht="14.25" customHeight="1">
      <c r="A123" s="13" t="s">
        <v>147</v>
      </c>
      <c r="B123" s="13" t="s">
        <v>545</v>
      </c>
      <c r="C123" s="13" t="s">
        <v>153</v>
      </c>
      <c r="D123" s="13" t="s">
        <v>153</v>
      </c>
      <c r="E123" s="26">
        <v>30302.0</v>
      </c>
      <c r="F123" s="26">
        <v>13598.0</v>
      </c>
      <c r="G123" s="26">
        <v>13759.0</v>
      </c>
      <c r="H123" s="26">
        <v>13919.0</v>
      </c>
      <c r="I123" s="26">
        <v>14400.0</v>
      </c>
      <c r="J123" s="26">
        <v>14560.0</v>
      </c>
      <c r="K123" s="26">
        <v>14720.0</v>
      </c>
      <c r="L123" s="13">
        <v>0.0</v>
      </c>
      <c r="M123" s="13">
        <v>0.0</v>
      </c>
      <c r="N123" s="13">
        <v>0.0</v>
      </c>
      <c r="O123" s="13">
        <v>0.0</v>
      </c>
      <c r="P123" s="13">
        <v>1.0</v>
      </c>
      <c r="Q123" s="13">
        <v>0.0</v>
      </c>
      <c r="R123" s="27">
        <f t="shared" ref="R123:W123" si="124">(L123/F123)*100000</f>
        <v>0</v>
      </c>
      <c r="S123" s="27">
        <f t="shared" si="124"/>
        <v>0</v>
      </c>
      <c r="T123" s="27">
        <f t="shared" si="124"/>
        <v>0</v>
      </c>
      <c r="U123" s="27">
        <f t="shared" si="124"/>
        <v>0</v>
      </c>
      <c r="V123" s="27">
        <f t="shared" si="124"/>
        <v>6.868131868</v>
      </c>
      <c r="W123" s="27">
        <f t="shared" si="124"/>
        <v>0</v>
      </c>
      <c r="X123" s="27">
        <f t="shared" si="3"/>
        <v>0</v>
      </c>
      <c r="Y123" s="27">
        <f t="shared" si="4"/>
        <v>2.289377289</v>
      </c>
    </row>
    <row r="124" ht="14.25" customHeight="1">
      <c r="A124" s="13" t="s">
        <v>147</v>
      </c>
      <c r="B124" s="13" t="s">
        <v>545</v>
      </c>
      <c r="C124" s="13" t="s">
        <v>548</v>
      </c>
      <c r="D124" s="13" t="s">
        <v>548</v>
      </c>
      <c r="E124" s="26">
        <v>30303.0</v>
      </c>
      <c r="F124" s="26">
        <v>18714.0</v>
      </c>
      <c r="G124" s="26">
        <v>18842.0</v>
      </c>
      <c r="H124" s="26">
        <v>18970.0</v>
      </c>
      <c r="I124" s="26">
        <v>19353.0</v>
      </c>
      <c r="J124" s="26">
        <v>19480.0</v>
      </c>
      <c r="K124" s="26">
        <v>19608.0</v>
      </c>
      <c r="L124" s="13">
        <v>0.0</v>
      </c>
      <c r="M124" s="13">
        <v>0.0</v>
      </c>
      <c r="N124" s="13">
        <v>0.0</v>
      </c>
      <c r="O124" s="13">
        <v>0.0</v>
      </c>
      <c r="P124" s="13">
        <v>0.0</v>
      </c>
      <c r="Q124" s="13">
        <v>0.0</v>
      </c>
      <c r="R124" s="27">
        <f t="shared" ref="R124:W124" si="125">(L124/F124)*100000</f>
        <v>0</v>
      </c>
      <c r="S124" s="27">
        <f t="shared" si="125"/>
        <v>0</v>
      </c>
      <c r="T124" s="27">
        <f t="shared" si="125"/>
        <v>0</v>
      </c>
      <c r="U124" s="27">
        <f t="shared" si="125"/>
        <v>0</v>
      </c>
      <c r="V124" s="27">
        <f t="shared" si="125"/>
        <v>0</v>
      </c>
      <c r="W124" s="27">
        <f t="shared" si="125"/>
        <v>0</v>
      </c>
      <c r="X124" s="27">
        <f t="shared" si="3"/>
        <v>0</v>
      </c>
      <c r="Y124" s="27">
        <f t="shared" si="4"/>
        <v>0</v>
      </c>
    </row>
    <row r="125" ht="14.25" customHeight="1">
      <c r="A125" s="13" t="s">
        <v>147</v>
      </c>
      <c r="B125" s="13" t="s">
        <v>549</v>
      </c>
      <c r="C125" s="13" t="s">
        <v>156</v>
      </c>
      <c r="D125" s="13" t="s">
        <v>156</v>
      </c>
      <c r="E125" s="26">
        <v>30401.0</v>
      </c>
      <c r="F125" s="26">
        <v>9505.0</v>
      </c>
      <c r="G125" s="26">
        <v>9758.0</v>
      </c>
      <c r="H125" s="26">
        <v>10010.0</v>
      </c>
      <c r="I125" s="26">
        <v>10768.0</v>
      </c>
      <c r="J125" s="26">
        <v>11020.0</v>
      </c>
      <c r="K125" s="26">
        <v>11273.0</v>
      </c>
      <c r="L125" s="13">
        <v>2.0</v>
      </c>
      <c r="M125" s="13">
        <v>0.0</v>
      </c>
      <c r="N125" s="13">
        <v>0.0</v>
      </c>
      <c r="O125" s="13">
        <v>0.0</v>
      </c>
      <c r="P125" s="13">
        <v>1.0</v>
      </c>
      <c r="Q125" s="13">
        <v>2.0</v>
      </c>
      <c r="R125" s="27">
        <f t="shared" ref="R125:W125" si="126">(L125/F125)*100000</f>
        <v>21.04155708</v>
      </c>
      <c r="S125" s="27">
        <f t="shared" si="126"/>
        <v>0</v>
      </c>
      <c r="T125" s="27">
        <f t="shared" si="126"/>
        <v>0</v>
      </c>
      <c r="U125" s="27">
        <f t="shared" si="126"/>
        <v>0</v>
      </c>
      <c r="V125" s="27">
        <f t="shared" si="126"/>
        <v>9.074410163</v>
      </c>
      <c r="W125" s="27">
        <f t="shared" si="126"/>
        <v>17.74150625</v>
      </c>
      <c r="X125" s="27">
        <f t="shared" si="3"/>
        <v>7.013852358</v>
      </c>
      <c r="Y125" s="27">
        <f t="shared" si="4"/>
        <v>8.938638806</v>
      </c>
    </row>
    <row r="126" ht="14.25" customHeight="1">
      <c r="A126" s="13" t="s">
        <v>147</v>
      </c>
      <c r="B126" s="13" t="s">
        <v>549</v>
      </c>
      <c r="C126" s="13" t="s">
        <v>159</v>
      </c>
      <c r="D126" s="13" t="s">
        <v>550</v>
      </c>
      <c r="E126" s="26">
        <v>30402.0</v>
      </c>
      <c r="F126" s="26">
        <v>7252.0</v>
      </c>
      <c r="G126" s="26">
        <v>7264.0</v>
      </c>
      <c r="H126" s="26">
        <v>7275.0</v>
      </c>
      <c r="I126" s="26">
        <v>7311.0</v>
      </c>
      <c r="J126" s="26">
        <v>7323.0</v>
      </c>
      <c r="K126" s="26">
        <v>7335.0</v>
      </c>
      <c r="L126" s="13">
        <v>0.0</v>
      </c>
      <c r="M126" s="13">
        <v>0.0</v>
      </c>
      <c r="N126" s="13">
        <v>0.0</v>
      </c>
      <c r="O126" s="13">
        <v>0.0</v>
      </c>
      <c r="P126" s="13">
        <v>0.0</v>
      </c>
      <c r="Q126" s="13">
        <v>1.0</v>
      </c>
      <c r="R126" s="27">
        <f t="shared" ref="R126:W126" si="127">(L126/F126)*100000</f>
        <v>0</v>
      </c>
      <c r="S126" s="27">
        <f t="shared" si="127"/>
        <v>0</v>
      </c>
      <c r="T126" s="27">
        <f t="shared" si="127"/>
        <v>0</v>
      </c>
      <c r="U126" s="27">
        <f t="shared" si="127"/>
        <v>0</v>
      </c>
      <c r="V126" s="27">
        <f t="shared" si="127"/>
        <v>0</v>
      </c>
      <c r="W126" s="27">
        <f t="shared" si="127"/>
        <v>13.63326517</v>
      </c>
      <c r="X126" s="27">
        <f t="shared" si="3"/>
        <v>0</v>
      </c>
      <c r="Y126" s="27">
        <f t="shared" si="4"/>
        <v>4.544421722</v>
      </c>
    </row>
    <row r="127" ht="14.25" customHeight="1">
      <c r="A127" s="13" t="s">
        <v>147</v>
      </c>
      <c r="B127" s="13" t="s">
        <v>549</v>
      </c>
      <c r="C127" s="13" t="s">
        <v>162</v>
      </c>
      <c r="D127" s="13" t="s">
        <v>162</v>
      </c>
      <c r="E127" s="26">
        <v>30403.0</v>
      </c>
      <c r="F127" s="26">
        <v>22416.0</v>
      </c>
      <c r="G127" s="26">
        <v>23410.0</v>
      </c>
      <c r="H127" s="26">
        <v>24404.0</v>
      </c>
      <c r="I127" s="26">
        <v>27387.0</v>
      </c>
      <c r="J127" s="26">
        <v>28381.0</v>
      </c>
      <c r="K127" s="26">
        <v>29375.0</v>
      </c>
      <c r="L127" s="13">
        <v>6.0</v>
      </c>
      <c r="M127" s="13">
        <v>2.0</v>
      </c>
      <c r="N127" s="13">
        <v>1.0</v>
      </c>
      <c r="O127" s="13">
        <v>0.0</v>
      </c>
      <c r="P127" s="13">
        <v>2.0</v>
      </c>
      <c r="Q127" s="13">
        <v>0.0</v>
      </c>
      <c r="R127" s="27">
        <f t="shared" ref="R127:W127" si="128">(L127/F127)*100000</f>
        <v>26.76659529</v>
      </c>
      <c r="S127" s="27">
        <f t="shared" si="128"/>
        <v>8.54335754</v>
      </c>
      <c r="T127" s="27">
        <f t="shared" si="128"/>
        <v>4.097688903</v>
      </c>
      <c r="U127" s="27">
        <f t="shared" si="128"/>
        <v>0</v>
      </c>
      <c r="V127" s="27">
        <f t="shared" si="128"/>
        <v>7.046968042</v>
      </c>
      <c r="W127" s="27">
        <f t="shared" si="128"/>
        <v>0</v>
      </c>
      <c r="X127" s="27">
        <f t="shared" si="3"/>
        <v>13.13588058</v>
      </c>
      <c r="Y127" s="27">
        <f t="shared" si="4"/>
        <v>2.348989347</v>
      </c>
    </row>
    <row r="128" ht="14.25" customHeight="1">
      <c r="A128" s="13" t="s">
        <v>147</v>
      </c>
      <c r="B128" s="13" t="s">
        <v>549</v>
      </c>
      <c r="C128" s="13" t="s">
        <v>551</v>
      </c>
      <c r="D128" s="13" t="s">
        <v>551</v>
      </c>
      <c r="E128" s="26">
        <v>30404.0</v>
      </c>
      <c r="F128" s="26">
        <v>4625.0</v>
      </c>
      <c r="G128" s="26">
        <v>4677.0</v>
      </c>
      <c r="H128" s="26">
        <v>4728.0</v>
      </c>
      <c r="I128" s="26">
        <v>4884.0</v>
      </c>
      <c r="J128" s="26">
        <v>4935.0</v>
      </c>
      <c r="K128" s="26">
        <v>4987.0</v>
      </c>
      <c r="L128" s="13">
        <v>0.0</v>
      </c>
      <c r="M128" s="13">
        <v>0.0</v>
      </c>
      <c r="N128" s="13">
        <v>0.0</v>
      </c>
      <c r="O128" s="13">
        <v>0.0</v>
      </c>
      <c r="P128" s="13">
        <v>0.0</v>
      </c>
      <c r="Q128" s="13">
        <v>0.0</v>
      </c>
      <c r="R128" s="27">
        <f t="shared" ref="R128:W128" si="129">(L128/F128)*100000</f>
        <v>0</v>
      </c>
      <c r="S128" s="27">
        <f t="shared" si="129"/>
        <v>0</v>
      </c>
      <c r="T128" s="27">
        <f t="shared" si="129"/>
        <v>0</v>
      </c>
      <c r="U128" s="27">
        <f t="shared" si="129"/>
        <v>0</v>
      </c>
      <c r="V128" s="27">
        <f t="shared" si="129"/>
        <v>0</v>
      </c>
      <c r="W128" s="27">
        <f t="shared" si="129"/>
        <v>0</v>
      </c>
      <c r="X128" s="27">
        <f t="shared" si="3"/>
        <v>0</v>
      </c>
      <c r="Y128" s="27">
        <f t="shared" si="4"/>
        <v>0</v>
      </c>
    </row>
    <row r="129" ht="14.25" customHeight="1">
      <c r="A129" s="13" t="s">
        <v>147</v>
      </c>
      <c r="B129" s="13" t="s">
        <v>165</v>
      </c>
      <c r="C129" s="13" t="s">
        <v>165</v>
      </c>
      <c r="D129" s="13" t="s">
        <v>165</v>
      </c>
      <c r="E129" s="26">
        <v>30501.0</v>
      </c>
      <c r="F129" s="26">
        <v>10204.0</v>
      </c>
      <c r="G129" s="26">
        <v>10344.0</v>
      </c>
      <c r="H129" s="26">
        <v>10483.0</v>
      </c>
      <c r="I129" s="26">
        <v>10903.0</v>
      </c>
      <c r="J129" s="26">
        <v>11043.0</v>
      </c>
      <c r="K129" s="26">
        <v>11183.0</v>
      </c>
      <c r="L129" s="13">
        <v>1.0</v>
      </c>
      <c r="M129" s="13">
        <v>0.0</v>
      </c>
      <c r="N129" s="13">
        <v>0.0</v>
      </c>
      <c r="O129" s="13">
        <v>2.0</v>
      </c>
      <c r="P129" s="13">
        <v>0.0</v>
      </c>
      <c r="Q129" s="13">
        <v>1.0</v>
      </c>
      <c r="R129" s="27">
        <f t="shared" ref="R129:W129" si="130">(L129/F129)*100000</f>
        <v>9.800078401</v>
      </c>
      <c r="S129" s="27">
        <f t="shared" si="130"/>
        <v>0</v>
      </c>
      <c r="T129" s="27">
        <f t="shared" si="130"/>
        <v>0</v>
      </c>
      <c r="U129" s="27">
        <f t="shared" si="130"/>
        <v>18.34357516</v>
      </c>
      <c r="V129" s="27">
        <f t="shared" si="130"/>
        <v>0</v>
      </c>
      <c r="W129" s="27">
        <f t="shared" si="130"/>
        <v>8.942144326</v>
      </c>
      <c r="X129" s="27">
        <f t="shared" si="3"/>
        <v>3.2666928</v>
      </c>
      <c r="Y129" s="27">
        <f t="shared" si="4"/>
        <v>9.09523983</v>
      </c>
    </row>
    <row r="130" ht="14.25" customHeight="1">
      <c r="A130" s="13" t="s">
        <v>147</v>
      </c>
      <c r="B130" s="13" t="s">
        <v>165</v>
      </c>
      <c r="C130" s="13" t="s">
        <v>168</v>
      </c>
      <c r="D130" s="13" t="s">
        <v>168</v>
      </c>
      <c r="E130" s="26">
        <v>30502.0</v>
      </c>
      <c r="F130" s="26">
        <v>8719.0</v>
      </c>
      <c r="G130" s="26">
        <v>8675.0</v>
      </c>
      <c r="H130" s="26">
        <v>8630.0</v>
      </c>
      <c r="I130" s="26">
        <v>8498.0</v>
      </c>
      <c r="J130" s="26">
        <v>8453.0</v>
      </c>
      <c r="K130" s="26">
        <v>8409.0</v>
      </c>
      <c r="L130" s="13">
        <v>1.0</v>
      </c>
      <c r="M130" s="13">
        <v>0.0</v>
      </c>
      <c r="N130" s="13">
        <v>0.0</v>
      </c>
      <c r="O130" s="13">
        <v>0.0</v>
      </c>
      <c r="P130" s="13">
        <v>0.0</v>
      </c>
      <c r="Q130" s="13">
        <v>1.0</v>
      </c>
      <c r="R130" s="27">
        <f t="shared" ref="R130:W130" si="131">(L130/F130)*100000</f>
        <v>11.46920518</v>
      </c>
      <c r="S130" s="27">
        <f t="shared" si="131"/>
        <v>0</v>
      </c>
      <c r="T130" s="27">
        <f t="shared" si="131"/>
        <v>0</v>
      </c>
      <c r="U130" s="27">
        <f t="shared" si="131"/>
        <v>0</v>
      </c>
      <c r="V130" s="27">
        <f t="shared" si="131"/>
        <v>0</v>
      </c>
      <c r="W130" s="27">
        <f t="shared" si="131"/>
        <v>11.89202045</v>
      </c>
      <c r="X130" s="27">
        <f t="shared" si="3"/>
        <v>3.823068395</v>
      </c>
      <c r="Y130" s="27">
        <f t="shared" si="4"/>
        <v>3.964006818</v>
      </c>
    </row>
    <row r="131" ht="14.25" customHeight="1">
      <c r="A131" s="13" t="s">
        <v>147</v>
      </c>
      <c r="B131" s="13" t="s">
        <v>171</v>
      </c>
      <c r="C131" s="13" t="s">
        <v>171</v>
      </c>
      <c r="D131" s="13" t="s">
        <v>552</v>
      </c>
      <c r="E131" s="26">
        <v>30601.0</v>
      </c>
      <c r="F131" s="26">
        <v>10612.0</v>
      </c>
      <c r="G131" s="26">
        <v>10615.0</v>
      </c>
      <c r="H131" s="26">
        <v>10617.0</v>
      </c>
      <c r="I131" s="26">
        <v>10626.0</v>
      </c>
      <c r="J131" s="26">
        <v>10629.0</v>
      </c>
      <c r="K131" s="26">
        <v>10632.0</v>
      </c>
      <c r="L131" s="13">
        <v>1.0</v>
      </c>
      <c r="M131" s="13">
        <v>0.0</v>
      </c>
      <c r="N131" s="13">
        <v>0.0</v>
      </c>
      <c r="O131" s="13">
        <v>0.0</v>
      </c>
      <c r="P131" s="13">
        <v>0.0</v>
      </c>
      <c r="Q131" s="13">
        <v>0.0</v>
      </c>
      <c r="R131" s="27">
        <f t="shared" ref="R131:W131" si="132">(L131/F131)*100000</f>
        <v>9.423294384</v>
      </c>
      <c r="S131" s="27">
        <f t="shared" si="132"/>
        <v>0</v>
      </c>
      <c r="T131" s="27">
        <f t="shared" si="132"/>
        <v>0</v>
      </c>
      <c r="U131" s="27">
        <f t="shared" si="132"/>
        <v>0</v>
      </c>
      <c r="V131" s="27">
        <f t="shared" si="132"/>
        <v>0</v>
      </c>
      <c r="W131" s="27">
        <f t="shared" si="132"/>
        <v>0</v>
      </c>
      <c r="X131" s="27">
        <f t="shared" si="3"/>
        <v>3.141098128</v>
      </c>
      <c r="Y131" s="27">
        <f t="shared" si="4"/>
        <v>0</v>
      </c>
    </row>
    <row r="132" ht="14.25" customHeight="1">
      <c r="A132" s="13" t="s">
        <v>147</v>
      </c>
      <c r="B132" s="13" t="s">
        <v>171</v>
      </c>
      <c r="C132" s="13" t="s">
        <v>553</v>
      </c>
      <c r="D132" s="13" t="s">
        <v>553</v>
      </c>
      <c r="E132" s="26">
        <v>30602.0</v>
      </c>
      <c r="F132" s="26">
        <v>10460.0</v>
      </c>
      <c r="G132" s="26">
        <v>10502.0</v>
      </c>
      <c r="H132" s="26">
        <v>10543.0</v>
      </c>
      <c r="I132" s="26">
        <v>10667.0</v>
      </c>
      <c r="J132" s="26">
        <v>10709.0</v>
      </c>
      <c r="K132" s="26">
        <v>10750.0</v>
      </c>
      <c r="L132" s="13">
        <v>0.0</v>
      </c>
      <c r="M132" s="13">
        <v>0.0</v>
      </c>
      <c r="N132" s="13">
        <v>0.0</v>
      </c>
      <c r="O132" s="13">
        <v>0.0</v>
      </c>
      <c r="P132" s="13">
        <v>0.0</v>
      </c>
      <c r="Q132" s="13">
        <v>0.0</v>
      </c>
      <c r="R132" s="27">
        <f t="shared" ref="R132:W132" si="133">(L132/F132)*100000</f>
        <v>0</v>
      </c>
      <c r="S132" s="27">
        <f t="shared" si="133"/>
        <v>0</v>
      </c>
      <c r="T132" s="27">
        <f t="shared" si="133"/>
        <v>0</v>
      </c>
      <c r="U132" s="27">
        <f t="shared" si="133"/>
        <v>0</v>
      </c>
      <c r="V132" s="27">
        <f t="shared" si="133"/>
        <v>0</v>
      </c>
      <c r="W132" s="27">
        <f t="shared" si="133"/>
        <v>0</v>
      </c>
      <c r="X132" s="27">
        <f t="shared" si="3"/>
        <v>0</v>
      </c>
      <c r="Y132" s="27">
        <f t="shared" si="4"/>
        <v>0</v>
      </c>
    </row>
    <row r="133" ht="14.25" customHeight="1">
      <c r="A133" s="13" t="s">
        <v>147</v>
      </c>
      <c r="B133" s="13" t="s">
        <v>174</v>
      </c>
      <c r="C133" s="13" t="s">
        <v>174</v>
      </c>
      <c r="D133" s="13" t="s">
        <v>174</v>
      </c>
      <c r="E133" s="26">
        <v>30701.0</v>
      </c>
      <c r="F133" s="26">
        <v>19456.0</v>
      </c>
      <c r="G133" s="26">
        <v>19452.0</v>
      </c>
      <c r="H133" s="26">
        <v>19448.0</v>
      </c>
      <c r="I133" s="26">
        <v>19435.0</v>
      </c>
      <c r="J133" s="26">
        <v>19431.0</v>
      </c>
      <c r="K133" s="26">
        <v>19427.0</v>
      </c>
      <c r="L133" s="13">
        <v>0.0</v>
      </c>
      <c r="M133" s="13">
        <v>0.0</v>
      </c>
      <c r="N133" s="13">
        <v>0.0</v>
      </c>
      <c r="O133" s="13">
        <v>1.0</v>
      </c>
      <c r="P133" s="13">
        <v>0.0</v>
      </c>
      <c r="Q133" s="13">
        <v>1.0</v>
      </c>
      <c r="R133" s="27">
        <f t="shared" ref="R133:W133" si="134">(L133/F133)*100000</f>
        <v>0</v>
      </c>
      <c r="S133" s="27">
        <f t="shared" si="134"/>
        <v>0</v>
      </c>
      <c r="T133" s="27">
        <f t="shared" si="134"/>
        <v>0</v>
      </c>
      <c r="U133" s="27">
        <f t="shared" si="134"/>
        <v>5.145356316</v>
      </c>
      <c r="V133" s="27">
        <f t="shared" si="134"/>
        <v>0</v>
      </c>
      <c r="W133" s="27">
        <f t="shared" si="134"/>
        <v>5.147475163</v>
      </c>
      <c r="X133" s="27">
        <f t="shared" si="3"/>
        <v>0</v>
      </c>
      <c r="Y133" s="27">
        <f t="shared" si="4"/>
        <v>3.430943826</v>
      </c>
    </row>
    <row r="134" ht="14.25" customHeight="1">
      <c r="A134" s="13" t="s">
        <v>147</v>
      </c>
      <c r="B134" s="13" t="s">
        <v>174</v>
      </c>
      <c r="C134" s="13" t="s">
        <v>554</v>
      </c>
      <c r="D134" s="13" t="s">
        <v>555</v>
      </c>
      <c r="E134" s="26">
        <v>30702.0</v>
      </c>
      <c r="F134" s="26">
        <v>7116.0</v>
      </c>
      <c r="G134" s="26">
        <v>7234.0</v>
      </c>
      <c r="H134" s="26">
        <v>7351.0</v>
      </c>
      <c r="I134" s="26">
        <v>7705.0</v>
      </c>
      <c r="J134" s="26">
        <v>7822.0</v>
      </c>
      <c r="K134" s="26">
        <v>7940.0</v>
      </c>
      <c r="L134" s="13">
        <v>0.0</v>
      </c>
      <c r="M134" s="13">
        <v>0.0</v>
      </c>
      <c r="N134" s="13">
        <v>0.0</v>
      </c>
      <c r="O134" s="13">
        <v>0.0</v>
      </c>
      <c r="P134" s="13">
        <v>0.0</v>
      </c>
      <c r="Q134" s="13">
        <v>0.0</v>
      </c>
      <c r="R134" s="27">
        <f t="shared" ref="R134:W134" si="135">(L134/F134)*100000</f>
        <v>0</v>
      </c>
      <c r="S134" s="27">
        <f t="shared" si="135"/>
        <v>0</v>
      </c>
      <c r="T134" s="27">
        <f t="shared" si="135"/>
        <v>0</v>
      </c>
      <c r="U134" s="27">
        <f t="shared" si="135"/>
        <v>0</v>
      </c>
      <c r="V134" s="27">
        <f t="shared" si="135"/>
        <v>0</v>
      </c>
      <c r="W134" s="27">
        <f t="shared" si="135"/>
        <v>0</v>
      </c>
      <c r="X134" s="27">
        <f t="shared" si="3"/>
        <v>0</v>
      </c>
      <c r="Y134" s="27">
        <f t="shared" si="4"/>
        <v>0</v>
      </c>
    </row>
    <row r="135" ht="14.25" customHeight="1">
      <c r="A135" s="13" t="s">
        <v>147</v>
      </c>
      <c r="B135" s="13" t="s">
        <v>174</v>
      </c>
      <c r="C135" s="13" t="s">
        <v>556</v>
      </c>
      <c r="D135" s="13" t="s">
        <v>556</v>
      </c>
      <c r="E135" s="26">
        <v>30703.0</v>
      </c>
      <c r="F135" s="26">
        <v>3840.0</v>
      </c>
      <c r="G135" s="26">
        <v>3860.0</v>
      </c>
      <c r="H135" s="26">
        <v>3880.0</v>
      </c>
      <c r="I135" s="26">
        <v>3940.0</v>
      </c>
      <c r="J135" s="26">
        <v>3960.0</v>
      </c>
      <c r="K135" s="26">
        <v>3980.0</v>
      </c>
      <c r="L135" s="13">
        <v>0.0</v>
      </c>
      <c r="M135" s="13">
        <v>0.0</v>
      </c>
      <c r="N135" s="13">
        <v>0.0</v>
      </c>
      <c r="O135" s="13">
        <v>0.0</v>
      </c>
      <c r="P135" s="13">
        <v>0.0</v>
      </c>
      <c r="Q135" s="13">
        <v>0.0</v>
      </c>
      <c r="R135" s="27">
        <f t="shared" ref="R135:W135" si="136">(L135/F135)*100000</f>
        <v>0</v>
      </c>
      <c r="S135" s="27">
        <f t="shared" si="136"/>
        <v>0</v>
      </c>
      <c r="T135" s="27">
        <f t="shared" si="136"/>
        <v>0</v>
      </c>
      <c r="U135" s="27">
        <f t="shared" si="136"/>
        <v>0</v>
      </c>
      <c r="V135" s="27">
        <f t="shared" si="136"/>
        <v>0</v>
      </c>
      <c r="W135" s="27">
        <f t="shared" si="136"/>
        <v>0</v>
      </c>
      <c r="X135" s="27">
        <f t="shared" si="3"/>
        <v>0</v>
      </c>
      <c r="Y135" s="27">
        <f t="shared" si="4"/>
        <v>0</v>
      </c>
    </row>
    <row r="136" ht="14.25" customHeight="1">
      <c r="A136" s="13" t="s">
        <v>147</v>
      </c>
      <c r="B136" s="13" t="s">
        <v>557</v>
      </c>
      <c r="C136" s="13" t="s">
        <v>177</v>
      </c>
      <c r="D136" s="13" t="s">
        <v>177</v>
      </c>
      <c r="E136" s="26">
        <v>30801.0</v>
      </c>
      <c r="F136" s="26">
        <v>21589.0</v>
      </c>
      <c r="G136" s="26">
        <v>21527.0</v>
      </c>
      <c r="H136" s="26">
        <v>21465.0</v>
      </c>
      <c r="I136" s="26">
        <v>21279.0</v>
      </c>
      <c r="J136" s="26">
        <v>21217.0</v>
      </c>
      <c r="K136" s="26">
        <v>21155.0</v>
      </c>
      <c r="L136" s="13">
        <v>6.0</v>
      </c>
      <c r="M136" s="13">
        <v>3.0</v>
      </c>
      <c r="N136" s="13">
        <v>2.0</v>
      </c>
      <c r="O136" s="13">
        <v>1.0</v>
      </c>
      <c r="P136" s="13">
        <v>0.0</v>
      </c>
      <c r="Q136" s="13">
        <v>1.0</v>
      </c>
      <c r="R136" s="27">
        <f t="shared" ref="R136:W136" si="137">(L136/F136)*100000</f>
        <v>27.79193108</v>
      </c>
      <c r="S136" s="27">
        <f t="shared" si="137"/>
        <v>13.93598736</v>
      </c>
      <c r="T136" s="27">
        <f t="shared" si="137"/>
        <v>9.317493594</v>
      </c>
      <c r="U136" s="27">
        <f t="shared" si="137"/>
        <v>4.69946896</v>
      </c>
      <c r="V136" s="27">
        <f t="shared" si="137"/>
        <v>0</v>
      </c>
      <c r="W136" s="27">
        <f t="shared" si="137"/>
        <v>4.72701489</v>
      </c>
      <c r="X136" s="27">
        <f t="shared" si="3"/>
        <v>17.01513734</v>
      </c>
      <c r="Y136" s="27">
        <f t="shared" si="4"/>
        <v>3.142161283</v>
      </c>
    </row>
    <row r="137" ht="14.25" customHeight="1">
      <c r="A137" s="13" t="s">
        <v>147</v>
      </c>
      <c r="B137" s="13" t="s">
        <v>557</v>
      </c>
      <c r="C137" s="13" t="s">
        <v>558</v>
      </c>
      <c r="D137" s="13" t="s">
        <v>558</v>
      </c>
      <c r="E137" s="26">
        <v>30802.0</v>
      </c>
      <c r="F137" s="26">
        <v>7192.0</v>
      </c>
      <c r="G137" s="26">
        <v>7220.0</v>
      </c>
      <c r="H137" s="26">
        <v>7247.0</v>
      </c>
      <c r="I137" s="26">
        <v>7328.0</v>
      </c>
      <c r="J137" s="26">
        <v>7355.0</v>
      </c>
      <c r="K137" s="26">
        <v>7382.0</v>
      </c>
      <c r="L137" s="13">
        <v>0.0</v>
      </c>
      <c r="M137" s="13">
        <v>0.0</v>
      </c>
      <c r="N137" s="13">
        <v>0.0</v>
      </c>
      <c r="O137" s="13">
        <v>0.0</v>
      </c>
      <c r="P137" s="13">
        <v>0.0</v>
      </c>
      <c r="Q137" s="13">
        <v>0.0</v>
      </c>
      <c r="R137" s="27">
        <f t="shared" ref="R137:W137" si="138">(L137/F137)*100000</f>
        <v>0</v>
      </c>
      <c r="S137" s="27">
        <f t="shared" si="138"/>
        <v>0</v>
      </c>
      <c r="T137" s="27">
        <f t="shared" si="138"/>
        <v>0</v>
      </c>
      <c r="U137" s="27">
        <f t="shared" si="138"/>
        <v>0</v>
      </c>
      <c r="V137" s="27">
        <f t="shared" si="138"/>
        <v>0</v>
      </c>
      <c r="W137" s="27">
        <f t="shared" si="138"/>
        <v>0</v>
      </c>
      <c r="X137" s="27">
        <f t="shared" si="3"/>
        <v>0</v>
      </c>
      <c r="Y137" s="27">
        <f t="shared" si="4"/>
        <v>0</v>
      </c>
    </row>
    <row r="138" ht="14.25" customHeight="1">
      <c r="A138" s="13" t="s">
        <v>147</v>
      </c>
      <c r="B138" s="13" t="s">
        <v>557</v>
      </c>
      <c r="C138" s="13" t="s">
        <v>183</v>
      </c>
      <c r="D138" s="13" t="s">
        <v>183</v>
      </c>
      <c r="E138" s="26">
        <v>30803.0</v>
      </c>
      <c r="F138" s="26">
        <v>6852.0</v>
      </c>
      <c r="G138" s="26">
        <v>7115.0</v>
      </c>
      <c r="H138" s="26">
        <v>7377.0</v>
      </c>
      <c r="I138" s="26">
        <v>8163.0</v>
      </c>
      <c r="J138" s="26">
        <v>8425.0</v>
      </c>
      <c r="K138" s="26">
        <v>8687.0</v>
      </c>
      <c r="L138" s="13">
        <v>0.0</v>
      </c>
      <c r="M138" s="13">
        <v>0.0</v>
      </c>
      <c r="N138" s="13">
        <v>1.0</v>
      </c>
      <c r="O138" s="13">
        <v>0.0</v>
      </c>
      <c r="P138" s="13">
        <v>2.0</v>
      </c>
      <c r="Q138" s="13">
        <v>0.0</v>
      </c>
      <c r="R138" s="27">
        <f t="shared" ref="R138:W138" si="139">(L138/F138)*100000</f>
        <v>0</v>
      </c>
      <c r="S138" s="27">
        <f t="shared" si="139"/>
        <v>0</v>
      </c>
      <c r="T138" s="27">
        <f t="shared" si="139"/>
        <v>13.55564593</v>
      </c>
      <c r="U138" s="27">
        <f t="shared" si="139"/>
        <v>0</v>
      </c>
      <c r="V138" s="27">
        <f t="shared" si="139"/>
        <v>23.7388724</v>
      </c>
      <c r="W138" s="27">
        <f t="shared" si="139"/>
        <v>0</v>
      </c>
      <c r="X138" s="27">
        <f t="shared" si="3"/>
        <v>4.518548642</v>
      </c>
      <c r="Y138" s="27">
        <f t="shared" si="4"/>
        <v>7.912957468</v>
      </c>
    </row>
    <row r="139" ht="14.25" customHeight="1">
      <c r="A139" s="13" t="s">
        <v>147</v>
      </c>
      <c r="B139" s="13" t="s">
        <v>160</v>
      </c>
      <c r="C139" s="13" t="s">
        <v>160</v>
      </c>
      <c r="D139" s="13" t="s">
        <v>160</v>
      </c>
      <c r="E139" s="26">
        <v>30901.0</v>
      </c>
      <c r="F139" s="26">
        <v>149498.0</v>
      </c>
      <c r="G139" s="26">
        <v>151962.0</v>
      </c>
      <c r="H139" s="26">
        <v>154425.0</v>
      </c>
      <c r="I139" s="26">
        <v>161815.0</v>
      </c>
      <c r="J139" s="26">
        <v>164278.0</v>
      </c>
      <c r="K139" s="26">
        <v>166741.0</v>
      </c>
      <c r="L139" s="13">
        <v>19.0</v>
      </c>
      <c r="M139" s="13">
        <v>16.0</v>
      </c>
      <c r="N139" s="13">
        <v>9.0</v>
      </c>
      <c r="O139" s="13">
        <v>6.0</v>
      </c>
      <c r="P139" s="13">
        <v>10.0</v>
      </c>
      <c r="Q139" s="13">
        <v>6.0</v>
      </c>
      <c r="R139" s="27">
        <f t="shared" ref="R139:W139" si="140">(L139/F139)*100000</f>
        <v>12.70920012</v>
      </c>
      <c r="S139" s="27">
        <f t="shared" si="140"/>
        <v>10.52894803</v>
      </c>
      <c r="T139" s="27">
        <f t="shared" si="140"/>
        <v>5.82807188</v>
      </c>
      <c r="U139" s="27">
        <f t="shared" si="140"/>
        <v>3.707938077</v>
      </c>
      <c r="V139" s="27">
        <f t="shared" si="140"/>
        <v>6.087242357</v>
      </c>
      <c r="W139" s="27">
        <f t="shared" si="140"/>
        <v>3.598395116</v>
      </c>
      <c r="X139" s="27">
        <f t="shared" si="3"/>
        <v>9.68874001</v>
      </c>
      <c r="Y139" s="27">
        <f t="shared" si="4"/>
        <v>4.464525184</v>
      </c>
    </row>
    <row r="140" ht="14.25" customHeight="1">
      <c r="A140" s="13" t="s">
        <v>147</v>
      </c>
      <c r="B140" s="13" t="s">
        <v>160</v>
      </c>
      <c r="C140" s="13" t="s">
        <v>559</v>
      </c>
      <c r="D140" s="13" t="s">
        <v>559</v>
      </c>
      <c r="E140" s="26">
        <v>30902.0</v>
      </c>
      <c r="F140" s="26">
        <v>47545.0</v>
      </c>
      <c r="G140" s="26">
        <v>48740.0</v>
      </c>
      <c r="H140" s="26">
        <v>49934.0</v>
      </c>
      <c r="I140" s="26">
        <v>53519.0</v>
      </c>
      <c r="J140" s="26">
        <v>54713.0</v>
      </c>
      <c r="K140" s="26">
        <v>55908.0</v>
      </c>
      <c r="L140" s="13">
        <v>9.0</v>
      </c>
      <c r="M140" s="13">
        <v>2.0</v>
      </c>
      <c r="N140" s="13">
        <v>6.0</v>
      </c>
      <c r="O140" s="13">
        <v>6.0</v>
      </c>
      <c r="P140" s="13">
        <v>2.0</v>
      </c>
      <c r="Q140" s="13">
        <v>9.0</v>
      </c>
      <c r="R140" s="27">
        <f t="shared" ref="R140:W140" si="141">(L140/F140)*100000</f>
        <v>18.92943527</v>
      </c>
      <c r="S140" s="27">
        <f t="shared" si="141"/>
        <v>4.103405827</v>
      </c>
      <c r="T140" s="27">
        <f t="shared" si="141"/>
        <v>12.01586094</v>
      </c>
      <c r="U140" s="27">
        <f t="shared" si="141"/>
        <v>11.2109718</v>
      </c>
      <c r="V140" s="27">
        <f t="shared" si="141"/>
        <v>3.655438378</v>
      </c>
      <c r="W140" s="27">
        <f t="shared" si="141"/>
        <v>16.09787508</v>
      </c>
      <c r="X140" s="27">
        <f t="shared" si="3"/>
        <v>11.68290068</v>
      </c>
      <c r="Y140" s="27">
        <f t="shared" si="4"/>
        <v>10.32142842</v>
      </c>
    </row>
    <row r="141" ht="14.25" customHeight="1">
      <c r="A141" s="13" t="s">
        <v>147</v>
      </c>
      <c r="B141" s="13" t="s">
        <v>160</v>
      </c>
      <c r="C141" s="13" t="s">
        <v>169</v>
      </c>
      <c r="D141" s="13" t="s">
        <v>169</v>
      </c>
      <c r="E141" s="26">
        <v>30903.0</v>
      </c>
      <c r="F141" s="26">
        <v>57211.0</v>
      </c>
      <c r="G141" s="26">
        <v>57872.0</v>
      </c>
      <c r="H141" s="26">
        <v>58533.0</v>
      </c>
      <c r="I141" s="26">
        <v>60517.0</v>
      </c>
      <c r="J141" s="26">
        <v>61179.0</v>
      </c>
      <c r="K141" s="26">
        <v>61840.0</v>
      </c>
      <c r="L141" s="13">
        <v>7.0</v>
      </c>
      <c r="M141" s="13">
        <v>4.0</v>
      </c>
      <c r="N141" s="13">
        <v>3.0</v>
      </c>
      <c r="O141" s="13">
        <v>4.0</v>
      </c>
      <c r="P141" s="13">
        <v>1.0</v>
      </c>
      <c r="Q141" s="13">
        <v>8.0</v>
      </c>
      <c r="R141" s="27">
        <f t="shared" ref="R141:W141" si="142">(L141/F141)*100000</f>
        <v>12.23540927</v>
      </c>
      <c r="S141" s="27">
        <f t="shared" si="142"/>
        <v>6.911805364</v>
      </c>
      <c r="T141" s="27">
        <f t="shared" si="142"/>
        <v>5.125313925</v>
      </c>
      <c r="U141" s="27">
        <f t="shared" si="142"/>
        <v>6.609712973</v>
      </c>
      <c r="V141" s="27">
        <f t="shared" si="142"/>
        <v>1.634547802</v>
      </c>
      <c r="W141" s="27">
        <f t="shared" si="142"/>
        <v>12.93661061</v>
      </c>
      <c r="X141" s="27">
        <f t="shared" si="3"/>
        <v>8.090842854</v>
      </c>
      <c r="Y141" s="27">
        <f t="shared" si="4"/>
        <v>7.060290461</v>
      </c>
    </row>
    <row r="142" ht="14.25" customHeight="1">
      <c r="A142" s="13" t="s">
        <v>147</v>
      </c>
      <c r="B142" s="13" t="s">
        <v>160</v>
      </c>
      <c r="C142" s="13" t="s">
        <v>181</v>
      </c>
      <c r="D142" s="13" t="s">
        <v>181</v>
      </c>
      <c r="E142" s="26">
        <v>30904.0</v>
      </c>
      <c r="F142" s="26">
        <v>53675.0</v>
      </c>
      <c r="G142" s="26">
        <v>54016.0</v>
      </c>
      <c r="H142" s="26">
        <v>54357.0</v>
      </c>
      <c r="I142" s="26">
        <v>55381.0</v>
      </c>
      <c r="J142" s="26">
        <v>55723.0</v>
      </c>
      <c r="K142" s="26">
        <v>56064.0</v>
      </c>
      <c r="L142" s="13">
        <v>6.0</v>
      </c>
      <c r="M142" s="13">
        <v>3.0</v>
      </c>
      <c r="N142" s="13">
        <v>4.0</v>
      </c>
      <c r="O142" s="13">
        <v>1.0</v>
      </c>
      <c r="P142" s="13">
        <v>3.0</v>
      </c>
      <c r="Q142" s="13">
        <v>0.0</v>
      </c>
      <c r="R142" s="27">
        <f t="shared" ref="R142:W142" si="143">(L142/F142)*100000</f>
        <v>11.17838845</v>
      </c>
      <c r="S142" s="27">
        <f t="shared" si="143"/>
        <v>5.553909953</v>
      </c>
      <c r="T142" s="27">
        <f t="shared" si="143"/>
        <v>7.358757842</v>
      </c>
      <c r="U142" s="27">
        <f t="shared" si="143"/>
        <v>1.805673426</v>
      </c>
      <c r="V142" s="27">
        <f t="shared" si="143"/>
        <v>5.383773307</v>
      </c>
      <c r="W142" s="27">
        <f t="shared" si="143"/>
        <v>0</v>
      </c>
      <c r="X142" s="27">
        <f t="shared" si="3"/>
        <v>8.030352081</v>
      </c>
      <c r="Y142" s="27">
        <f t="shared" si="4"/>
        <v>2.396482244</v>
      </c>
    </row>
    <row r="143" ht="14.25" customHeight="1">
      <c r="A143" s="13" t="s">
        <v>147</v>
      </c>
      <c r="B143" s="13" t="s">
        <v>160</v>
      </c>
      <c r="C143" s="13" t="s">
        <v>175</v>
      </c>
      <c r="D143" s="13" t="s">
        <v>175</v>
      </c>
      <c r="E143" s="26">
        <v>30905.0</v>
      </c>
      <c r="F143" s="26">
        <v>58038.0</v>
      </c>
      <c r="G143" s="26">
        <v>59248.0</v>
      </c>
      <c r="H143" s="26">
        <v>60457.0</v>
      </c>
      <c r="I143" s="26">
        <v>64086.0</v>
      </c>
      <c r="J143" s="26">
        <v>65295.0</v>
      </c>
      <c r="K143" s="26">
        <v>66505.0</v>
      </c>
      <c r="L143" s="13">
        <v>3.0</v>
      </c>
      <c r="M143" s="13">
        <v>3.0</v>
      </c>
      <c r="N143" s="13">
        <v>5.0</v>
      </c>
      <c r="O143" s="13">
        <v>2.0</v>
      </c>
      <c r="P143" s="13">
        <v>4.0</v>
      </c>
      <c r="Q143" s="13">
        <v>3.0</v>
      </c>
      <c r="R143" s="27">
        <f t="shared" ref="R143:W143" si="144">(L143/F143)*100000</f>
        <v>5.169027189</v>
      </c>
      <c r="S143" s="27">
        <f t="shared" si="144"/>
        <v>5.063462058</v>
      </c>
      <c r="T143" s="27">
        <f t="shared" si="144"/>
        <v>8.270340903</v>
      </c>
      <c r="U143" s="27">
        <f t="shared" si="144"/>
        <v>3.120806416</v>
      </c>
      <c r="V143" s="27">
        <f t="shared" si="144"/>
        <v>6.126043342</v>
      </c>
      <c r="W143" s="27">
        <f t="shared" si="144"/>
        <v>4.510939027</v>
      </c>
      <c r="X143" s="27">
        <f t="shared" si="3"/>
        <v>6.16761005</v>
      </c>
      <c r="Y143" s="27">
        <f t="shared" si="4"/>
        <v>4.585929595</v>
      </c>
    </row>
    <row r="144" ht="14.25" customHeight="1">
      <c r="A144" s="13" t="s">
        <v>147</v>
      </c>
      <c r="B144" s="13" t="s">
        <v>560</v>
      </c>
      <c r="C144" s="13" t="s">
        <v>151</v>
      </c>
      <c r="D144" s="13" t="s">
        <v>151</v>
      </c>
      <c r="E144" s="26">
        <v>31001.0</v>
      </c>
      <c r="F144" s="26">
        <v>191894.0</v>
      </c>
      <c r="G144" s="26">
        <v>195779.0</v>
      </c>
      <c r="H144" s="26">
        <v>199665.0</v>
      </c>
      <c r="I144" s="26">
        <v>211321.0</v>
      </c>
      <c r="J144" s="26">
        <v>215207.0</v>
      </c>
      <c r="K144" s="26">
        <v>219092.0</v>
      </c>
      <c r="L144" s="13">
        <v>16.0</v>
      </c>
      <c r="M144" s="13">
        <v>15.0</v>
      </c>
      <c r="N144" s="13">
        <v>14.0</v>
      </c>
      <c r="O144" s="13">
        <v>10.0</v>
      </c>
      <c r="P144" s="13">
        <v>12.0</v>
      </c>
      <c r="Q144" s="13">
        <v>20.0</v>
      </c>
      <c r="R144" s="27">
        <f t="shared" ref="R144:W144" si="145">(L144/F144)*100000</f>
        <v>8.337936569</v>
      </c>
      <c r="S144" s="27">
        <f t="shared" si="145"/>
        <v>7.661700182</v>
      </c>
      <c r="T144" s="27">
        <f t="shared" si="145"/>
        <v>7.011744672</v>
      </c>
      <c r="U144" s="27">
        <f t="shared" si="145"/>
        <v>4.732137364</v>
      </c>
      <c r="V144" s="27">
        <f t="shared" si="145"/>
        <v>5.576026802</v>
      </c>
      <c r="W144" s="27">
        <f t="shared" si="145"/>
        <v>9.128585252</v>
      </c>
      <c r="X144" s="27">
        <f t="shared" si="3"/>
        <v>7.670460475</v>
      </c>
      <c r="Y144" s="27">
        <f t="shared" si="4"/>
        <v>6.478916473</v>
      </c>
    </row>
    <row r="145" ht="14.25" customHeight="1">
      <c r="A145" s="13" t="s">
        <v>147</v>
      </c>
      <c r="B145" s="13" t="s">
        <v>560</v>
      </c>
      <c r="C145" s="13" t="s">
        <v>189</v>
      </c>
      <c r="D145" s="13" t="s">
        <v>189</v>
      </c>
      <c r="E145" s="26">
        <v>31002.0</v>
      </c>
      <c r="F145" s="26">
        <v>20352.0</v>
      </c>
      <c r="G145" s="26">
        <v>20566.0</v>
      </c>
      <c r="H145" s="26">
        <v>20779.0</v>
      </c>
      <c r="I145" s="26">
        <v>21419.0</v>
      </c>
      <c r="J145" s="26">
        <v>21633.0</v>
      </c>
      <c r="K145" s="26">
        <v>21846.0</v>
      </c>
      <c r="L145" s="13">
        <v>0.0</v>
      </c>
      <c r="M145" s="13">
        <v>1.0</v>
      </c>
      <c r="N145" s="13">
        <v>1.0</v>
      </c>
      <c r="O145" s="13">
        <v>2.0</v>
      </c>
      <c r="P145" s="13">
        <v>0.0</v>
      </c>
      <c r="Q145" s="13">
        <v>0.0</v>
      </c>
      <c r="R145" s="27">
        <f t="shared" ref="R145:W145" si="146">(L145/F145)*100000</f>
        <v>0</v>
      </c>
      <c r="S145" s="27">
        <f t="shared" si="146"/>
        <v>4.862394243</v>
      </c>
      <c r="T145" s="27">
        <f t="shared" si="146"/>
        <v>4.812551133</v>
      </c>
      <c r="U145" s="27">
        <f t="shared" si="146"/>
        <v>9.337504085</v>
      </c>
      <c r="V145" s="27">
        <f t="shared" si="146"/>
        <v>0</v>
      </c>
      <c r="W145" s="27">
        <f t="shared" si="146"/>
        <v>0</v>
      </c>
      <c r="X145" s="27">
        <f t="shared" si="3"/>
        <v>3.224981792</v>
      </c>
      <c r="Y145" s="27">
        <f t="shared" si="4"/>
        <v>3.112501362</v>
      </c>
    </row>
    <row r="146" ht="14.25" customHeight="1">
      <c r="A146" s="13" t="s">
        <v>147</v>
      </c>
      <c r="B146" s="13" t="s">
        <v>560</v>
      </c>
      <c r="C146" s="13" t="s">
        <v>157</v>
      </c>
      <c r="D146" s="13" t="s">
        <v>157</v>
      </c>
      <c r="E146" s="26">
        <v>31003.0</v>
      </c>
      <c r="F146" s="26">
        <v>80703.0</v>
      </c>
      <c r="G146" s="26">
        <v>82567.0</v>
      </c>
      <c r="H146" s="26">
        <v>84430.0</v>
      </c>
      <c r="I146" s="26">
        <v>90020.0</v>
      </c>
      <c r="J146" s="26">
        <v>91884.0</v>
      </c>
      <c r="K146" s="26">
        <v>93747.0</v>
      </c>
      <c r="L146" s="13">
        <v>4.0</v>
      </c>
      <c r="M146" s="13">
        <v>2.0</v>
      </c>
      <c r="N146" s="13">
        <v>8.0</v>
      </c>
      <c r="O146" s="13">
        <v>11.0</v>
      </c>
      <c r="P146" s="13">
        <v>4.0</v>
      </c>
      <c r="Q146" s="13">
        <v>9.0</v>
      </c>
      <c r="R146" s="27">
        <f t="shared" ref="R146:W146" si="147">(L146/F146)*100000</f>
        <v>4.956445237</v>
      </c>
      <c r="S146" s="27">
        <f t="shared" si="147"/>
        <v>2.422275243</v>
      </c>
      <c r="T146" s="27">
        <f t="shared" si="147"/>
        <v>9.475304986</v>
      </c>
      <c r="U146" s="27">
        <f t="shared" si="147"/>
        <v>12.21950678</v>
      </c>
      <c r="V146" s="27">
        <f t="shared" si="147"/>
        <v>4.353315049</v>
      </c>
      <c r="W146" s="27">
        <f t="shared" si="147"/>
        <v>9.60030721</v>
      </c>
      <c r="X146" s="27">
        <f t="shared" si="3"/>
        <v>5.618008489</v>
      </c>
      <c r="Y146" s="27">
        <f t="shared" si="4"/>
        <v>8.724376345</v>
      </c>
    </row>
    <row r="147" ht="14.25" customHeight="1">
      <c r="A147" s="13" t="s">
        <v>147</v>
      </c>
      <c r="B147" s="13" t="s">
        <v>561</v>
      </c>
      <c r="C147" s="13" t="s">
        <v>561</v>
      </c>
      <c r="D147" s="13" t="s">
        <v>561</v>
      </c>
      <c r="E147" s="26">
        <v>31101.0</v>
      </c>
      <c r="F147" s="26">
        <v>24642.0</v>
      </c>
      <c r="G147" s="26">
        <v>24646.0</v>
      </c>
      <c r="H147" s="26">
        <v>24649.0</v>
      </c>
      <c r="I147" s="26">
        <v>24659.0</v>
      </c>
      <c r="J147" s="26">
        <v>24663.0</v>
      </c>
      <c r="K147" s="26">
        <v>24666.0</v>
      </c>
      <c r="L147" s="13">
        <v>0.0</v>
      </c>
      <c r="M147" s="13">
        <v>0.0</v>
      </c>
      <c r="N147" s="13">
        <v>0.0</v>
      </c>
      <c r="O147" s="13">
        <v>0.0</v>
      </c>
      <c r="P147" s="13">
        <v>0.0</v>
      </c>
      <c r="Q147" s="13">
        <v>0.0</v>
      </c>
      <c r="R147" s="27">
        <f t="shared" ref="R147:W147" si="148">(L147/F147)*100000</f>
        <v>0</v>
      </c>
      <c r="S147" s="27">
        <f t="shared" si="148"/>
        <v>0</v>
      </c>
      <c r="T147" s="27">
        <f t="shared" si="148"/>
        <v>0</v>
      </c>
      <c r="U147" s="27">
        <f t="shared" si="148"/>
        <v>0</v>
      </c>
      <c r="V147" s="27">
        <f t="shared" si="148"/>
        <v>0</v>
      </c>
      <c r="W147" s="27">
        <f t="shared" si="148"/>
        <v>0</v>
      </c>
      <c r="X147" s="27">
        <f t="shared" si="3"/>
        <v>0</v>
      </c>
      <c r="Y147" s="27">
        <f t="shared" si="4"/>
        <v>0</v>
      </c>
    </row>
    <row r="148" ht="14.25" customHeight="1">
      <c r="A148" s="13" t="s">
        <v>147</v>
      </c>
      <c r="B148" s="13" t="s">
        <v>562</v>
      </c>
      <c r="C148" s="13" t="s">
        <v>563</v>
      </c>
      <c r="D148" s="13" t="s">
        <v>563</v>
      </c>
      <c r="E148" s="26">
        <v>31201.0</v>
      </c>
      <c r="F148" s="26">
        <v>14730.0</v>
      </c>
      <c r="G148" s="26">
        <v>14743.0</v>
      </c>
      <c r="H148" s="26">
        <v>14756.0</v>
      </c>
      <c r="I148" s="26">
        <v>14795.0</v>
      </c>
      <c r="J148" s="26">
        <v>14808.0</v>
      </c>
      <c r="K148" s="26">
        <v>14821.0</v>
      </c>
      <c r="L148" s="13">
        <v>0.0</v>
      </c>
      <c r="M148" s="13">
        <v>0.0</v>
      </c>
      <c r="N148" s="13">
        <v>0.0</v>
      </c>
      <c r="O148" s="13">
        <v>0.0</v>
      </c>
      <c r="P148" s="13">
        <v>0.0</v>
      </c>
      <c r="Q148" s="13">
        <v>0.0</v>
      </c>
      <c r="R148" s="27">
        <f t="shared" ref="R148:W148" si="149">(L148/F148)*100000</f>
        <v>0</v>
      </c>
      <c r="S148" s="27">
        <f t="shared" si="149"/>
        <v>0</v>
      </c>
      <c r="T148" s="27">
        <f t="shared" si="149"/>
        <v>0</v>
      </c>
      <c r="U148" s="27">
        <f t="shared" si="149"/>
        <v>0</v>
      </c>
      <c r="V148" s="27">
        <f t="shared" si="149"/>
        <v>0</v>
      </c>
      <c r="W148" s="27">
        <f t="shared" si="149"/>
        <v>0</v>
      </c>
      <c r="X148" s="27">
        <f t="shared" si="3"/>
        <v>0</v>
      </c>
      <c r="Y148" s="27">
        <f t="shared" si="4"/>
        <v>0</v>
      </c>
    </row>
    <row r="149" ht="14.25" customHeight="1">
      <c r="A149" s="13" t="s">
        <v>147</v>
      </c>
      <c r="B149" s="13" t="s">
        <v>562</v>
      </c>
      <c r="C149" s="13" t="s">
        <v>564</v>
      </c>
      <c r="D149" s="13" t="s">
        <v>564</v>
      </c>
      <c r="E149" s="26">
        <v>31202.0</v>
      </c>
      <c r="F149" s="26">
        <v>10868.0</v>
      </c>
      <c r="G149" s="26">
        <v>11011.0</v>
      </c>
      <c r="H149" s="26">
        <v>11153.0</v>
      </c>
      <c r="I149" s="26">
        <v>11580.0</v>
      </c>
      <c r="J149" s="26">
        <v>11723.0</v>
      </c>
      <c r="K149" s="26">
        <v>11865.0</v>
      </c>
      <c r="L149" s="13">
        <v>0.0</v>
      </c>
      <c r="M149" s="13">
        <v>0.0</v>
      </c>
      <c r="N149" s="13">
        <v>0.0</v>
      </c>
      <c r="O149" s="13">
        <v>0.0</v>
      </c>
      <c r="P149" s="13">
        <v>0.0</v>
      </c>
      <c r="Q149" s="13">
        <v>0.0</v>
      </c>
      <c r="R149" s="27">
        <f t="shared" ref="R149:W149" si="150">(L149/F149)*100000</f>
        <v>0</v>
      </c>
      <c r="S149" s="27">
        <f t="shared" si="150"/>
        <v>0</v>
      </c>
      <c r="T149" s="27">
        <f t="shared" si="150"/>
        <v>0</v>
      </c>
      <c r="U149" s="27">
        <f t="shared" si="150"/>
        <v>0</v>
      </c>
      <c r="V149" s="27">
        <f t="shared" si="150"/>
        <v>0</v>
      </c>
      <c r="W149" s="27">
        <f t="shared" si="150"/>
        <v>0</v>
      </c>
      <c r="X149" s="27">
        <f t="shared" si="3"/>
        <v>0</v>
      </c>
      <c r="Y149" s="27">
        <f t="shared" si="4"/>
        <v>0</v>
      </c>
    </row>
    <row r="150" ht="14.25" customHeight="1">
      <c r="A150" s="13" t="s">
        <v>147</v>
      </c>
      <c r="B150" s="13" t="s">
        <v>562</v>
      </c>
      <c r="C150" s="13" t="s">
        <v>196</v>
      </c>
      <c r="D150" s="13" t="s">
        <v>196</v>
      </c>
      <c r="E150" s="26">
        <v>31203.0</v>
      </c>
      <c r="F150" s="26">
        <v>11378.0</v>
      </c>
      <c r="G150" s="26">
        <v>11504.0</v>
      </c>
      <c r="H150" s="26">
        <v>11630.0</v>
      </c>
      <c r="I150" s="26">
        <v>12007.0</v>
      </c>
      <c r="J150" s="26">
        <v>12132.0</v>
      </c>
      <c r="K150" s="26">
        <v>12258.0</v>
      </c>
      <c r="L150" s="13">
        <v>0.0</v>
      </c>
      <c r="M150" s="13">
        <v>0.0</v>
      </c>
      <c r="N150" s="13">
        <v>0.0</v>
      </c>
      <c r="O150" s="13">
        <v>0.0</v>
      </c>
      <c r="P150" s="13">
        <v>0.0</v>
      </c>
      <c r="Q150" s="13">
        <v>1.0</v>
      </c>
      <c r="R150" s="27">
        <f t="shared" ref="R150:W150" si="151">(L150/F150)*100000</f>
        <v>0</v>
      </c>
      <c r="S150" s="27">
        <f t="shared" si="151"/>
        <v>0</v>
      </c>
      <c r="T150" s="27">
        <f t="shared" si="151"/>
        <v>0</v>
      </c>
      <c r="U150" s="27">
        <f t="shared" si="151"/>
        <v>0</v>
      </c>
      <c r="V150" s="27">
        <f t="shared" si="151"/>
        <v>0</v>
      </c>
      <c r="W150" s="27">
        <f t="shared" si="151"/>
        <v>8.157937673</v>
      </c>
      <c r="X150" s="27">
        <f t="shared" si="3"/>
        <v>0</v>
      </c>
      <c r="Y150" s="27">
        <f t="shared" si="4"/>
        <v>2.719312558</v>
      </c>
    </row>
    <row r="151" ht="14.25" customHeight="1">
      <c r="A151" s="13" t="s">
        <v>147</v>
      </c>
      <c r="B151" s="13" t="s">
        <v>562</v>
      </c>
      <c r="C151" s="13" t="s">
        <v>172</v>
      </c>
      <c r="D151" s="13" t="s">
        <v>172</v>
      </c>
      <c r="E151" s="26">
        <v>31204.0</v>
      </c>
      <c r="F151" s="26">
        <v>24146.0</v>
      </c>
      <c r="G151" s="26">
        <v>24629.0</v>
      </c>
      <c r="H151" s="26">
        <v>25111.0</v>
      </c>
      <c r="I151" s="26">
        <v>26557.0</v>
      </c>
      <c r="J151" s="26">
        <v>27039.0</v>
      </c>
      <c r="K151" s="26">
        <v>27521.0</v>
      </c>
      <c r="L151" s="13">
        <v>1.0</v>
      </c>
      <c r="M151" s="13">
        <v>1.0</v>
      </c>
      <c r="N151" s="13">
        <v>1.0</v>
      </c>
      <c r="O151" s="13">
        <v>4.0</v>
      </c>
      <c r="P151" s="13">
        <v>1.0</v>
      </c>
      <c r="Q151" s="13">
        <v>0.0</v>
      </c>
      <c r="R151" s="27">
        <f t="shared" ref="R151:W151" si="152">(L151/F151)*100000</f>
        <v>4.141472708</v>
      </c>
      <c r="S151" s="27">
        <f t="shared" si="152"/>
        <v>4.060254172</v>
      </c>
      <c r="T151" s="27">
        <f t="shared" si="152"/>
        <v>3.982318506</v>
      </c>
      <c r="U151" s="27">
        <f t="shared" si="152"/>
        <v>15.06194224</v>
      </c>
      <c r="V151" s="27">
        <f t="shared" si="152"/>
        <v>3.698361626</v>
      </c>
      <c r="W151" s="27">
        <f t="shared" si="152"/>
        <v>0</v>
      </c>
      <c r="X151" s="27">
        <f t="shared" si="3"/>
        <v>4.061348462</v>
      </c>
      <c r="Y151" s="27">
        <f t="shared" si="4"/>
        <v>6.253434621</v>
      </c>
    </row>
    <row r="152" ht="14.25" customHeight="1">
      <c r="A152" s="13" t="s">
        <v>147</v>
      </c>
      <c r="B152" s="13" t="s">
        <v>562</v>
      </c>
      <c r="C152" s="13" t="s">
        <v>149</v>
      </c>
      <c r="D152" s="13" t="s">
        <v>149</v>
      </c>
      <c r="E152" s="26">
        <v>31205.0</v>
      </c>
      <c r="F152" s="26">
        <v>54114.0</v>
      </c>
      <c r="G152" s="26">
        <v>55611.0</v>
      </c>
      <c r="H152" s="26">
        <v>57108.0</v>
      </c>
      <c r="I152" s="26">
        <v>61600.0</v>
      </c>
      <c r="J152" s="26">
        <v>63098.0</v>
      </c>
      <c r="K152" s="26">
        <v>64595.0</v>
      </c>
      <c r="L152" s="13">
        <v>8.0</v>
      </c>
      <c r="M152" s="13">
        <v>7.0</v>
      </c>
      <c r="N152" s="13">
        <v>8.0</v>
      </c>
      <c r="O152" s="13">
        <v>13.0</v>
      </c>
      <c r="P152" s="13">
        <v>43.0</v>
      </c>
      <c r="Q152" s="13">
        <v>16.0</v>
      </c>
      <c r="R152" s="27">
        <f t="shared" ref="R152:W152" si="153">(L152/F152)*100000</f>
        <v>14.78360498</v>
      </c>
      <c r="S152" s="27">
        <f t="shared" si="153"/>
        <v>12.58743774</v>
      </c>
      <c r="T152" s="27">
        <f t="shared" si="153"/>
        <v>14.00854521</v>
      </c>
      <c r="U152" s="27">
        <f t="shared" si="153"/>
        <v>21.1038961</v>
      </c>
      <c r="V152" s="27">
        <f t="shared" si="153"/>
        <v>68.14796032</v>
      </c>
      <c r="W152" s="27">
        <f t="shared" si="153"/>
        <v>24.76971902</v>
      </c>
      <c r="X152" s="27">
        <f t="shared" si="3"/>
        <v>13.79319598</v>
      </c>
      <c r="Y152" s="27">
        <f t="shared" si="4"/>
        <v>38.00719181</v>
      </c>
    </row>
    <row r="153" ht="14.25" customHeight="1">
      <c r="A153" s="13" t="s">
        <v>147</v>
      </c>
      <c r="B153" s="13" t="s">
        <v>562</v>
      </c>
      <c r="C153" s="13" t="s">
        <v>154</v>
      </c>
      <c r="D153" s="13" t="s">
        <v>154</v>
      </c>
      <c r="E153" s="26">
        <v>31206.0</v>
      </c>
      <c r="F153" s="26">
        <v>37479.0</v>
      </c>
      <c r="G153" s="26">
        <v>38665.0</v>
      </c>
      <c r="H153" s="26">
        <v>39851.0</v>
      </c>
      <c r="I153" s="26">
        <v>43408.0</v>
      </c>
      <c r="J153" s="26">
        <v>44594.0</v>
      </c>
      <c r="K153" s="26">
        <v>45780.0</v>
      </c>
      <c r="L153" s="13">
        <v>0.0</v>
      </c>
      <c r="M153" s="13">
        <v>1.0</v>
      </c>
      <c r="N153" s="13">
        <v>3.0</v>
      </c>
      <c r="O153" s="13">
        <v>10.0</v>
      </c>
      <c r="P153" s="13">
        <v>26.0</v>
      </c>
      <c r="Q153" s="13">
        <v>13.0</v>
      </c>
      <c r="R153" s="27">
        <f t="shared" ref="R153:W153" si="154">(L153/F153)*100000</f>
        <v>0</v>
      </c>
      <c r="S153" s="27">
        <f t="shared" si="154"/>
        <v>2.586318376</v>
      </c>
      <c r="T153" s="27">
        <f t="shared" si="154"/>
        <v>7.528041956</v>
      </c>
      <c r="U153" s="27">
        <f t="shared" si="154"/>
        <v>23.03722816</v>
      </c>
      <c r="V153" s="27">
        <f t="shared" si="154"/>
        <v>58.30380769</v>
      </c>
      <c r="W153" s="27">
        <f t="shared" si="154"/>
        <v>28.39667977</v>
      </c>
      <c r="X153" s="27">
        <f t="shared" si="3"/>
        <v>3.371453444</v>
      </c>
      <c r="Y153" s="27">
        <f t="shared" si="4"/>
        <v>36.57923854</v>
      </c>
    </row>
    <row r="154" ht="14.25" customHeight="1">
      <c r="A154" s="13" t="s">
        <v>147</v>
      </c>
      <c r="B154" s="13" t="s">
        <v>203</v>
      </c>
      <c r="C154" s="13" t="s">
        <v>203</v>
      </c>
      <c r="D154" s="13" t="s">
        <v>203</v>
      </c>
      <c r="E154" s="26">
        <v>31301.0</v>
      </c>
      <c r="F154" s="26">
        <v>19877.0</v>
      </c>
      <c r="G154" s="26">
        <v>19880.0</v>
      </c>
      <c r="H154" s="26">
        <v>19883.0</v>
      </c>
      <c r="I154" s="26">
        <v>19891.0</v>
      </c>
      <c r="J154" s="26">
        <v>19893.0</v>
      </c>
      <c r="K154" s="26">
        <v>19896.0</v>
      </c>
      <c r="L154" s="13">
        <v>0.0</v>
      </c>
      <c r="M154" s="13">
        <v>0.0</v>
      </c>
      <c r="N154" s="13">
        <v>0.0</v>
      </c>
      <c r="O154" s="13">
        <v>0.0</v>
      </c>
      <c r="P154" s="13">
        <v>0.0</v>
      </c>
      <c r="Q154" s="13">
        <v>0.0</v>
      </c>
      <c r="R154" s="27">
        <f t="shared" ref="R154:W154" si="155">(L154/F154)*100000</f>
        <v>0</v>
      </c>
      <c r="S154" s="27">
        <f t="shared" si="155"/>
        <v>0</v>
      </c>
      <c r="T154" s="27">
        <f t="shared" si="155"/>
        <v>0</v>
      </c>
      <c r="U154" s="27">
        <f t="shared" si="155"/>
        <v>0</v>
      </c>
      <c r="V154" s="27">
        <f t="shared" si="155"/>
        <v>0</v>
      </c>
      <c r="W154" s="27">
        <f t="shared" si="155"/>
        <v>0</v>
      </c>
      <c r="X154" s="27">
        <f t="shared" si="3"/>
        <v>0</v>
      </c>
      <c r="Y154" s="27">
        <f t="shared" si="4"/>
        <v>0</v>
      </c>
    </row>
    <row r="155" ht="14.25" customHeight="1">
      <c r="A155" s="13" t="s">
        <v>147</v>
      </c>
      <c r="B155" s="13" t="s">
        <v>203</v>
      </c>
      <c r="C155" s="13" t="s">
        <v>565</v>
      </c>
      <c r="D155" s="13" t="s">
        <v>565</v>
      </c>
      <c r="E155" s="26">
        <v>31302.0</v>
      </c>
      <c r="F155" s="26">
        <v>5369.0</v>
      </c>
      <c r="G155" s="26">
        <v>5352.0</v>
      </c>
      <c r="H155" s="26">
        <v>5334.0</v>
      </c>
      <c r="I155" s="26">
        <v>5280.0</v>
      </c>
      <c r="J155" s="26">
        <v>5262.0</v>
      </c>
      <c r="K155" s="26">
        <v>5244.0</v>
      </c>
      <c r="L155" s="13">
        <v>0.0</v>
      </c>
      <c r="M155" s="13">
        <v>0.0</v>
      </c>
      <c r="N155" s="13">
        <v>0.0</v>
      </c>
      <c r="O155" s="13">
        <v>0.0</v>
      </c>
      <c r="P155" s="13">
        <v>0.0</v>
      </c>
      <c r="Q155" s="13">
        <v>0.0</v>
      </c>
      <c r="R155" s="27">
        <f t="shared" ref="R155:W155" si="156">(L155/F155)*100000</f>
        <v>0</v>
      </c>
      <c r="S155" s="27">
        <f t="shared" si="156"/>
        <v>0</v>
      </c>
      <c r="T155" s="27">
        <f t="shared" si="156"/>
        <v>0</v>
      </c>
      <c r="U155" s="27">
        <f t="shared" si="156"/>
        <v>0</v>
      </c>
      <c r="V155" s="27">
        <f t="shared" si="156"/>
        <v>0</v>
      </c>
      <c r="W155" s="27">
        <f t="shared" si="156"/>
        <v>0</v>
      </c>
      <c r="X155" s="27">
        <f t="shared" si="3"/>
        <v>0</v>
      </c>
      <c r="Y155" s="27">
        <f t="shared" si="4"/>
        <v>0</v>
      </c>
    </row>
    <row r="156" ht="14.25" customHeight="1">
      <c r="A156" s="13" t="s">
        <v>147</v>
      </c>
      <c r="B156" s="13" t="s">
        <v>203</v>
      </c>
      <c r="C156" s="13" t="s">
        <v>566</v>
      </c>
      <c r="D156" s="13" t="s">
        <v>566</v>
      </c>
      <c r="E156" s="26">
        <v>31303.0</v>
      </c>
      <c r="F156" s="26">
        <v>3474.0</v>
      </c>
      <c r="G156" s="26">
        <v>3480.0</v>
      </c>
      <c r="H156" s="26">
        <v>3485.0</v>
      </c>
      <c r="I156" s="26">
        <v>3501.0</v>
      </c>
      <c r="J156" s="26">
        <v>3507.0</v>
      </c>
      <c r="K156" s="26">
        <v>3512.0</v>
      </c>
      <c r="L156" s="13">
        <v>0.0</v>
      </c>
      <c r="M156" s="13">
        <v>0.0</v>
      </c>
      <c r="N156" s="13">
        <v>0.0</v>
      </c>
      <c r="O156" s="13">
        <v>0.0</v>
      </c>
      <c r="P156" s="13">
        <v>0.0</v>
      </c>
      <c r="Q156" s="13">
        <v>0.0</v>
      </c>
      <c r="R156" s="27">
        <f t="shared" ref="R156:W156" si="157">(L156/F156)*100000</f>
        <v>0</v>
      </c>
      <c r="S156" s="27">
        <f t="shared" si="157"/>
        <v>0</v>
      </c>
      <c r="T156" s="27">
        <f t="shared" si="157"/>
        <v>0</v>
      </c>
      <c r="U156" s="27">
        <f t="shared" si="157"/>
        <v>0</v>
      </c>
      <c r="V156" s="27">
        <f t="shared" si="157"/>
        <v>0</v>
      </c>
      <c r="W156" s="27">
        <f t="shared" si="157"/>
        <v>0</v>
      </c>
      <c r="X156" s="27">
        <f t="shared" si="3"/>
        <v>0</v>
      </c>
      <c r="Y156" s="27">
        <f t="shared" si="4"/>
        <v>0</v>
      </c>
    </row>
    <row r="157" ht="14.25" customHeight="1">
      <c r="A157" s="13" t="s">
        <v>147</v>
      </c>
      <c r="B157" s="13" t="s">
        <v>203</v>
      </c>
      <c r="C157" s="13" t="s">
        <v>567</v>
      </c>
      <c r="D157" s="13" t="s">
        <v>568</v>
      </c>
      <c r="E157" s="26">
        <v>31304.0</v>
      </c>
      <c r="F157" s="26">
        <v>7461.0</v>
      </c>
      <c r="G157" s="26">
        <v>7546.0</v>
      </c>
      <c r="H157" s="26">
        <v>7631.0</v>
      </c>
      <c r="I157" s="26">
        <v>7886.0</v>
      </c>
      <c r="J157" s="26">
        <v>7971.0</v>
      </c>
      <c r="K157" s="26">
        <v>8056.0</v>
      </c>
      <c r="L157" s="13">
        <v>0.0</v>
      </c>
      <c r="M157" s="13">
        <v>0.0</v>
      </c>
      <c r="N157" s="13">
        <v>0.0</v>
      </c>
      <c r="O157" s="13">
        <v>0.0</v>
      </c>
      <c r="P157" s="13">
        <v>0.0</v>
      </c>
      <c r="Q157" s="13">
        <v>0.0</v>
      </c>
      <c r="R157" s="27">
        <f t="shared" ref="R157:W157" si="158">(L157/F157)*100000</f>
        <v>0</v>
      </c>
      <c r="S157" s="27">
        <f t="shared" si="158"/>
        <v>0</v>
      </c>
      <c r="T157" s="27">
        <f t="shared" si="158"/>
        <v>0</v>
      </c>
      <c r="U157" s="27">
        <f t="shared" si="158"/>
        <v>0</v>
      </c>
      <c r="V157" s="27">
        <f t="shared" si="158"/>
        <v>0</v>
      </c>
      <c r="W157" s="27">
        <f t="shared" si="158"/>
        <v>0</v>
      </c>
      <c r="X157" s="27">
        <f t="shared" si="3"/>
        <v>0</v>
      </c>
      <c r="Y157" s="27">
        <f t="shared" si="4"/>
        <v>0</v>
      </c>
    </row>
    <row r="158" ht="14.25" customHeight="1">
      <c r="A158" s="13" t="s">
        <v>147</v>
      </c>
      <c r="B158" s="13" t="s">
        <v>166</v>
      </c>
      <c r="C158" s="13" t="s">
        <v>166</v>
      </c>
      <c r="D158" s="13" t="s">
        <v>569</v>
      </c>
      <c r="E158" s="26">
        <v>31401.0</v>
      </c>
      <c r="F158" s="26">
        <v>31537.0</v>
      </c>
      <c r="G158" s="26">
        <v>32068.0</v>
      </c>
      <c r="H158" s="26">
        <v>32598.0</v>
      </c>
      <c r="I158" s="26">
        <v>34188.0</v>
      </c>
      <c r="J158" s="26">
        <v>34718.0</v>
      </c>
      <c r="K158" s="26">
        <v>35248.0</v>
      </c>
      <c r="L158" s="13">
        <v>2.0</v>
      </c>
      <c r="M158" s="13">
        <v>1.0</v>
      </c>
      <c r="N158" s="13">
        <v>3.0</v>
      </c>
      <c r="O158" s="13">
        <v>6.0</v>
      </c>
      <c r="P158" s="13">
        <v>1.0</v>
      </c>
      <c r="Q158" s="13">
        <v>3.0</v>
      </c>
      <c r="R158" s="27">
        <f t="shared" ref="R158:W158" si="159">(L158/F158)*100000</f>
        <v>6.341757301</v>
      </c>
      <c r="S158" s="27">
        <f t="shared" si="159"/>
        <v>3.118373456</v>
      </c>
      <c r="T158" s="27">
        <f t="shared" si="159"/>
        <v>9.20301859</v>
      </c>
      <c r="U158" s="27">
        <f t="shared" si="159"/>
        <v>17.55001755</v>
      </c>
      <c r="V158" s="27">
        <f t="shared" si="159"/>
        <v>2.880350251</v>
      </c>
      <c r="W158" s="27">
        <f t="shared" si="159"/>
        <v>8.511121198</v>
      </c>
      <c r="X158" s="27">
        <f t="shared" si="3"/>
        <v>6.221049782</v>
      </c>
      <c r="Y158" s="27">
        <f t="shared" si="4"/>
        <v>9.647163</v>
      </c>
    </row>
    <row r="159" ht="14.25" customHeight="1">
      <c r="A159" s="13" t="s">
        <v>147</v>
      </c>
      <c r="B159" s="13" t="s">
        <v>166</v>
      </c>
      <c r="C159" s="13" t="s">
        <v>197</v>
      </c>
      <c r="D159" s="13" t="s">
        <v>197</v>
      </c>
      <c r="E159" s="26">
        <v>31402.0</v>
      </c>
      <c r="F159" s="26">
        <v>8328.0</v>
      </c>
      <c r="G159" s="26">
        <v>8367.0</v>
      </c>
      <c r="H159" s="26">
        <v>8406.0</v>
      </c>
      <c r="I159" s="26">
        <v>8522.0</v>
      </c>
      <c r="J159" s="26">
        <v>8560.0</v>
      </c>
      <c r="K159" s="26">
        <v>8599.0</v>
      </c>
      <c r="L159" s="13">
        <v>1.0</v>
      </c>
      <c r="M159" s="13">
        <v>0.0</v>
      </c>
      <c r="N159" s="13">
        <v>0.0</v>
      </c>
      <c r="O159" s="13">
        <v>0.0</v>
      </c>
      <c r="P159" s="13">
        <v>0.0</v>
      </c>
      <c r="Q159" s="13">
        <v>0.0</v>
      </c>
      <c r="R159" s="27">
        <f t="shared" ref="R159:W159" si="160">(L159/F159)*100000</f>
        <v>12.00768492</v>
      </c>
      <c r="S159" s="27">
        <f t="shared" si="160"/>
        <v>0</v>
      </c>
      <c r="T159" s="27">
        <f t="shared" si="160"/>
        <v>0</v>
      </c>
      <c r="U159" s="27">
        <f t="shared" si="160"/>
        <v>0</v>
      </c>
      <c r="V159" s="27">
        <f t="shared" si="160"/>
        <v>0</v>
      </c>
      <c r="W159" s="27">
        <f t="shared" si="160"/>
        <v>0</v>
      </c>
      <c r="X159" s="27">
        <f t="shared" si="3"/>
        <v>4.002561639</v>
      </c>
      <c r="Y159" s="27">
        <f t="shared" si="4"/>
        <v>0</v>
      </c>
    </row>
    <row r="160" ht="14.25" customHeight="1">
      <c r="A160" s="13" t="s">
        <v>147</v>
      </c>
      <c r="B160" s="13" t="s">
        <v>166</v>
      </c>
      <c r="C160" s="13" t="s">
        <v>194</v>
      </c>
      <c r="D160" s="13" t="s">
        <v>570</v>
      </c>
      <c r="E160" s="26">
        <v>31403.0</v>
      </c>
      <c r="F160" s="26">
        <v>13350.0</v>
      </c>
      <c r="G160" s="26">
        <v>13308.0</v>
      </c>
      <c r="H160" s="26">
        <v>13266.0</v>
      </c>
      <c r="I160" s="26">
        <v>13139.0</v>
      </c>
      <c r="J160" s="26">
        <v>13096.0</v>
      </c>
      <c r="K160" s="26">
        <v>13054.0</v>
      </c>
      <c r="L160" s="13">
        <v>0.0</v>
      </c>
      <c r="M160" s="13">
        <v>0.0</v>
      </c>
      <c r="N160" s="13">
        <v>0.0</v>
      </c>
      <c r="O160" s="13">
        <v>2.0</v>
      </c>
      <c r="P160" s="13">
        <v>0.0</v>
      </c>
      <c r="Q160" s="13">
        <v>0.0</v>
      </c>
      <c r="R160" s="27">
        <f t="shared" ref="R160:W160" si="161">(L160/F160)*100000</f>
        <v>0</v>
      </c>
      <c r="S160" s="27">
        <f t="shared" si="161"/>
        <v>0</v>
      </c>
      <c r="T160" s="27">
        <f t="shared" si="161"/>
        <v>0</v>
      </c>
      <c r="U160" s="27">
        <f t="shared" si="161"/>
        <v>15.22185859</v>
      </c>
      <c r="V160" s="27">
        <f t="shared" si="161"/>
        <v>0</v>
      </c>
      <c r="W160" s="27">
        <f t="shared" si="161"/>
        <v>0</v>
      </c>
      <c r="X160" s="27">
        <f t="shared" si="3"/>
        <v>0</v>
      </c>
      <c r="Y160" s="27">
        <f t="shared" si="4"/>
        <v>5.073952863</v>
      </c>
    </row>
    <row r="161" ht="14.25" customHeight="1">
      <c r="A161" s="13" t="s">
        <v>147</v>
      </c>
      <c r="B161" s="13" t="s">
        <v>166</v>
      </c>
      <c r="C161" s="13" t="s">
        <v>205</v>
      </c>
      <c r="D161" s="13" t="s">
        <v>205</v>
      </c>
      <c r="E161" s="26">
        <v>31404.0</v>
      </c>
      <c r="F161" s="26">
        <v>1296.0</v>
      </c>
      <c r="G161" s="26">
        <v>1295.0</v>
      </c>
      <c r="H161" s="26">
        <v>1294.0</v>
      </c>
      <c r="I161" s="26">
        <v>1290.0</v>
      </c>
      <c r="J161" s="26">
        <v>1288.0</v>
      </c>
      <c r="K161" s="26">
        <v>1287.0</v>
      </c>
      <c r="L161" s="13">
        <v>0.0</v>
      </c>
      <c r="M161" s="13">
        <v>0.0</v>
      </c>
      <c r="N161" s="13">
        <v>0.0</v>
      </c>
      <c r="O161" s="13">
        <v>0.0</v>
      </c>
      <c r="P161" s="13">
        <v>0.0</v>
      </c>
      <c r="Q161" s="13">
        <v>1.0</v>
      </c>
      <c r="R161" s="27">
        <f t="shared" ref="R161:W161" si="162">(L161/F161)*100000</f>
        <v>0</v>
      </c>
      <c r="S161" s="27">
        <f t="shared" si="162"/>
        <v>0</v>
      </c>
      <c r="T161" s="27">
        <f t="shared" si="162"/>
        <v>0</v>
      </c>
      <c r="U161" s="27">
        <f t="shared" si="162"/>
        <v>0</v>
      </c>
      <c r="V161" s="27">
        <f t="shared" si="162"/>
        <v>0</v>
      </c>
      <c r="W161" s="27">
        <f t="shared" si="162"/>
        <v>77.7000777</v>
      </c>
      <c r="X161" s="27">
        <f t="shared" si="3"/>
        <v>0</v>
      </c>
      <c r="Y161" s="27">
        <f t="shared" si="4"/>
        <v>25.9000259</v>
      </c>
    </row>
    <row r="162" ht="14.25" customHeight="1">
      <c r="A162" s="13" t="s">
        <v>147</v>
      </c>
      <c r="B162" s="13" t="s">
        <v>166</v>
      </c>
      <c r="C162" s="13" t="s">
        <v>571</v>
      </c>
      <c r="D162" s="13" t="s">
        <v>572</v>
      </c>
      <c r="E162" s="26">
        <v>31405.0</v>
      </c>
      <c r="F162" s="26">
        <v>3207.0</v>
      </c>
      <c r="G162" s="26">
        <v>3295.0</v>
      </c>
      <c r="H162" s="26">
        <v>3383.0</v>
      </c>
      <c r="I162" s="26">
        <v>3646.0</v>
      </c>
      <c r="J162" s="26">
        <v>3734.0</v>
      </c>
      <c r="K162" s="26">
        <v>3822.0</v>
      </c>
      <c r="L162" s="13">
        <v>0.0</v>
      </c>
      <c r="M162" s="13">
        <v>0.0</v>
      </c>
      <c r="N162" s="13">
        <v>0.0</v>
      </c>
      <c r="O162" s="13">
        <v>0.0</v>
      </c>
      <c r="P162" s="13">
        <v>0.0</v>
      </c>
      <c r="Q162" s="13">
        <v>0.0</v>
      </c>
      <c r="R162" s="27">
        <f t="shared" ref="R162:W162" si="163">(L162/F162)*100000</f>
        <v>0</v>
      </c>
      <c r="S162" s="27">
        <f t="shared" si="163"/>
        <v>0</v>
      </c>
      <c r="T162" s="27">
        <f t="shared" si="163"/>
        <v>0</v>
      </c>
      <c r="U162" s="27">
        <f t="shared" si="163"/>
        <v>0</v>
      </c>
      <c r="V162" s="27">
        <f t="shared" si="163"/>
        <v>0</v>
      </c>
      <c r="W162" s="27">
        <f t="shared" si="163"/>
        <v>0</v>
      </c>
      <c r="X162" s="27">
        <f t="shared" si="3"/>
        <v>0</v>
      </c>
      <c r="Y162" s="27">
        <f t="shared" si="4"/>
        <v>0</v>
      </c>
    </row>
    <row r="163" ht="14.25" customHeight="1">
      <c r="A163" s="13" t="s">
        <v>147</v>
      </c>
      <c r="B163" s="13" t="s">
        <v>573</v>
      </c>
      <c r="C163" s="13" t="s">
        <v>573</v>
      </c>
      <c r="D163" s="13" t="s">
        <v>573</v>
      </c>
      <c r="E163" s="26">
        <v>31501.0</v>
      </c>
      <c r="F163" s="26">
        <v>7697.0</v>
      </c>
      <c r="G163" s="26">
        <v>7781.0</v>
      </c>
      <c r="H163" s="26">
        <v>7864.0</v>
      </c>
      <c r="I163" s="26">
        <v>8115.0</v>
      </c>
      <c r="J163" s="26">
        <v>8198.0</v>
      </c>
      <c r="K163" s="26">
        <v>8282.0</v>
      </c>
      <c r="L163" s="13">
        <v>0.0</v>
      </c>
      <c r="M163" s="13">
        <v>0.0</v>
      </c>
      <c r="N163" s="13">
        <v>0.0</v>
      </c>
      <c r="O163" s="13">
        <v>0.0</v>
      </c>
      <c r="P163" s="13">
        <v>0.0</v>
      </c>
      <c r="Q163" s="13">
        <v>0.0</v>
      </c>
      <c r="R163" s="27">
        <f t="shared" ref="R163:W163" si="164">(L163/F163)*100000</f>
        <v>0</v>
      </c>
      <c r="S163" s="27">
        <f t="shared" si="164"/>
        <v>0</v>
      </c>
      <c r="T163" s="27">
        <f t="shared" si="164"/>
        <v>0</v>
      </c>
      <c r="U163" s="27">
        <f t="shared" si="164"/>
        <v>0</v>
      </c>
      <c r="V163" s="27">
        <f t="shared" si="164"/>
        <v>0</v>
      </c>
      <c r="W163" s="27">
        <f t="shared" si="164"/>
        <v>0</v>
      </c>
      <c r="X163" s="27">
        <f t="shared" si="3"/>
        <v>0</v>
      </c>
      <c r="Y163" s="27">
        <f t="shared" si="4"/>
        <v>0</v>
      </c>
    </row>
    <row r="164" ht="14.25" customHeight="1">
      <c r="A164" s="13" t="s">
        <v>147</v>
      </c>
      <c r="B164" s="13" t="s">
        <v>178</v>
      </c>
      <c r="C164" s="13" t="s">
        <v>178</v>
      </c>
      <c r="D164" s="13" t="s">
        <v>178</v>
      </c>
      <c r="E164" s="26">
        <v>31601.0</v>
      </c>
      <c r="F164" s="26">
        <v>20083.0</v>
      </c>
      <c r="G164" s="26">
        <v>19853.0</v>
      </c>
      <c r="H164" s="26">
        <v>19623.0</v>
      </c>
      <c r="I164" s="26">
        <v>18934.0</v>
      </c>
      <c r="J164" s="26">
        <v>18705.0</v>
      </c>
      <c r="K164" s="26">
        <v>18475.0</v>
      </c>
      <c r="L164" s="13">
        <v>3.0</v>
      </c>
      <c r="M164" s="13">
        <v>0.0</v>
      </c>
      <c r="N164" s="13">
        <v>0.0</v>
      </c>
      <c r="O164" s="13">
        <v>1.0</v>
      </c>
      <c r="P164" s="13">
        <v>3.0</v>
      </c>
      <c r="Q164" s="13">
        <v>1.0</v>
      </c>
      <c r="R164" s="27">
        <f t="shared" ref="R164:W164" si="165">(L164/F164)*100000</f>
        <v>14.93800727</v>
      </c>
      <c r="S164" s="27">
        <f t="shared" si="165"/>
        <v>0</v>
      </c>
      <c r="T164" s="27">
        <f t="shared" si="165"/>
        <v>0</v>
      </c>
      <c r="U164" s="27">
        <f t="shared" si="165"/>
        <v>5.281504172</v>
      </c>
      <c r="V164" s="27">
        <f t="shared" si="165"/>
        <v>16.03849238</v>
      </c>
      <c r="W164" s="27">
        <f t="shared" si="165"/>
        <v>5.412719892</v>
      </c>
      <c r="X164" s="27">
        <f t="shared" si="3"/>
        <v>4.979335757</v>
      </c>
      <c r="Y164" s="27">
        <f t="shared" si="4"/>
        <v>8.910905482</v>
      </c>
    </row>
    <row r="165" ht="14.25" customHeight="1">
      <c r="A165" s="13" t="s">
        <v>147</v>
      </c>
      <c r="B165" s="13" t="s">
        <v>178</v>
      </c>
      <c r="C165" s="13" t="s">
        <v>185</v>
      </c>
      <c r="D165" s="13" t="s">
        <v>185</v>
      </c>
      <c r="E165" s="26">
        <v>31602.0</v>
      </c>
      <c r="F165" s="26">
        <v>23479.0</v>
      </c>
      <c r="G165" s="26">
        <v>24007.0</v>
      </c>
      <c r="H165" s="26">
        <v>24534.0</v>
      </c>
      <c r="I165" s="26">
        <v>26117.0</v>
      </c>
      <c r="J165" s="26">
        <v>26644.0</v>
      </c>
      <c r="K165" s="26">
        <v>27172.0</v>
      </c>
      <c r="L165" s="13">
        <v>1.0</v>
      </c>
      <c r="M165" s="13">
        <v>3.0</v>
      </c>
      <c r="N165" s="13">
        <v>2.0</v>
      </c>
      <c r="O165" s="13">
        <v>2.0</v>
      </c>
      <c r="P165" s="13">
        <v>0.0</v>
      </c>
      <c r="Q165" s="13">
        <v>1.0</v>
      </c>
      <c r="R165" s="27">
        <f t="shared" ref="R165:W165" si="166">(L165/F165)*100000</f>
        <v>4.259125176</v>
      </c>
      <c r="S165" s="27">
        <f t="shared" si="166"/>
        <v>12.49635523</v>
      </c>
      <c r="T165" s="27">
        <f t="shared" si="166"/>
        <v>8.151952393</v>
      </c>
      <c r="U165" s="27">
        <f t="shared" si="166"/>
        <v>7.657847379</v>
      </c>
      <c r="V165" s="27">
        <f t="shared" si="166"/>
        <v>0</v>
      </c>
      <c r="W165" s="27">
        <f t="shared" si="166"/>
        <v>3.68025909</v>
      </c>
      <c r="X165" s="27">
        <f t="shared" si="3"/>
        <v>8.302477599</v>
      </c>
      <c r="Y165" s="27">
        <f t="shared" si="4"/>
        <v>3.779368823</v>
      </c>
    </row>
    <row r="166" ht="14.25" customHeight="1">
      <c r="A166" s="13" t="s">
        <v>210</v>
      </c>
      <c r="B166" s="13" t="s">
        <v>540</v>
      </c>
      <c r="C166" s="13" t="s">
        <v>210</v>
      </c>
      <c r="D166" s="13" t="s">
        <v>210</v>
      </c>
      <c r="E166" s="26">
        <v>40101.0</v>
      </c>
      <c r="F166" s="26">
        <v>278863.0</v>
      </c>
      <c r="G166" s="26">
        <v>281647.0</v>
      </c>
      <c r="H166" s="26">
        <v>284430.0</v>
      </c>
      <c r="I166" s="26">
        <v>292782.0</v>
      </c>
      <c r="J166" s="26">
        <v>295566.0</v>
      </c>
      <c r="K166" s="26">
        <v>298350.0</v>
      </c>
      <c r="L166" s="13">
        <v>51.0</v>
      </c>
      <c r="M166" s="13">
        <v>87.0</v>
      </c>
      <c r="N166" s="13">
        <v>19.0</v>
      </c>
      <c r="O166" s="13">
        <v>12.0</v>
      </c>
      <c r="P166" s="13">
        <v>13.0</v>
      </c>
      <c r="Q166" s="13">
        <v>21.0</v>
      </c>
      <c r="R166" s="27">
        <f t="shared" ref="R166:W166" si="167">(L166/F166)*100000</f>
        <v>18.28855029</v>
      </c>
      <c r="S166" s="27">
        <f t="shared" si="167"/>
        <v>30.88973076</v>
      </c>
      <c r="T166" s="27">
        <f t="shared" si="167"/>
        <v>6.68002672</v>
      </c>
      <c r="U166" s="27">
        <f t="shared" si="167"/>
        <v>4.09861262</v>
      </c>
      <c r="V166" s="27">
        <f t="shared" si="167"/>
        <v>4.398340811</v>
      </c>
      <c r="W166" s="27">
        <f t="shared" si="167"/>
        <v>7.038712921</v>
      </c>
      <c r="X166" s="27">
        <f t="shared" si="3"/>
        <v>18.61943592</v>
      </c>
      <c r="Y166" s="27">
        <f t="shared" si="4"/>
        <v>5.17855545</v>
      </c>
    </row>
    <row r="167" ht="14.25" customHeight="1">
      <c r="A167" s="13" t="s">
        <v>210</v>
      </c>
      <c r="B167" s="13" t="s">
        <v>540</v>
      </c>
      <c r="C167" s="13" t="s">
        <v>212</v>
      </c>
      <c r="D167" s="13" t="s">
        <v>212</v>
      </c>
      <c r="E167" s="26">
        <v>40102.0</v>
      </c>
      <c r="F167" s="26">
        <v>23005.0</v>
      </c>
      <c r="G167" s="26">
        <v>22983.0</v>
      </c>
      <c r="H167" s="26">
        <v>22960.0</v>
      </c>
      <c r="I167" s="26">
        <v>22894.0</v>
      </c>
      <c r="J167" s="26">
        <v>22872.0</v>
      </c>
      <c r="K167" s="26">
        <v>22850.0</v>
      </c>
      <c r="L167" s="13">
        <v>1.0</v>
      </c>
      <c r="M167" s="13">
        <v>0.0</v>
      </c>
      <c r="N167" s="13">
        <v>7.0</v>
      </c>
      <c r="O167" s="13">
        <v>0.0</v>
      </c>
      <c r="P167" s="13">
        <v>1.0</v>
      </c>
      <c r="Q167" s="13">
        <v>0.0</v>
      </c>
      <c r="R167" s="27">
        <f t="shared" ref="R167:W167" si="168">(L167/F167)*100000</f>
        <v>4.346881113</v>
      </c>
      <c r="S167" s="27">
        <f t="shared" si="168"/>
        <v>0</v>
      </c>
      <c r="T167" s="27">
        <f t="shared" si="168"/>
        <v>30.48780488</v>
      </c>
      <c r="U167" s="27">
        <f t="shared" si="168"/>
        <v>0</v>
      </c>
      <c r="V167" s="27">
        <f t="shared" si="168"/>
        <v>4.372158097</v>
      </c>
      <c r="W167" s="27">
        <f t="shared" si="168"/>
        <v>0</v>
      </c>
      <c r="X167" s="27">
        <f t="shared" si="3"/>
        <v>11.611562</v>
      </c>
      <c r="Y167" s="27">
        <f t="shared" si="4"/>
        <v>1.457386032</v>
      </c>
    </row>
    <row r="168" ht="14.25" customHeight="1">
      <c r="A168" s="13" t="s">
        <v>210</v>
      </c>
      <c r="B168" s="13" t="s">
        <v>540</v>
      </c>
      <c r="C168" s="13" t="s">
        <v>574</v>
      </c>
      <c r="D168" s="13" t="s">
        <v>574</v>
      </c>
      <c r="E168" s="26">
        <v>40103.0</v>
      </c>
      <c r="F168" s="26">
        <v>9255.0</v>
      </c>
      <c r="G168" s="26">
        <v>9361.0</v>
      </c>
      <c r="H168" s="26">
        <v>9467.0</v>
      </c>
      <c r="I168" s="26">
        <v>9785.0</v>
      </c>
      <c r="J168" s="26">
        <v>9891.0</v>
      </c>
      <c r="K168" s="26">
        <v>9997.0</v>
      </c>
      <c r="L168" s="13">
        <v>0.0</v>
      </c>
      <c r="M168" s="13">
        <v>0.0</v>
      </c>
      <c r="N168" s="13">
        <v>0.0</v>
      </c>
      <c r="O168" s="13">
        <v>0.0</v>
      </c>
      <c r="P168" s="13">
        <v>0.0</v>
      </c>
      <c r="Q168" s="13">
        <v>0.0</v>
      </c>
      <c r="R168" s="27">
        <f t="shared" ref="R168:W168" si="169">(L168/F168)*100000</f>
        <v>0</v>
      </c>
      <c r="S168" s="27">
        <f t="shared" si="169"/>
        <v>0</v>
      </c>
      <c r="T168" s="27">
        <f t="shared" si="169"/>
        <v>0</v>
      </c>
      <c r="U168" s="27">
        <f t="shared" si="169"/>
        <v>0</v>
      </c>
      <c r="V168" s="27">
        <f t="shared" si="169"/>
        <v>0</v>
      </c>
      <c r="W168" s="27">
        <f t="shared" si="169"/>
        <v>0</v>
      </c>
      <c r="X168" s="27">
        <f t="shared" si="3"/>
        <v>0</v>
      </c>
      <c r="Y168" s="27">
        <f t="shared" si="4"/>
        <v>0</v>
      </c>
    </row>
    <row r="169" ht="14.25" customHeight="1">
      <c r="A169" s="13" t="s">
        <v>210</v>
      </c>
      <c r="B169" s="13" t="s">
        <v>540</v>
      </c>
      <c r="C169" s="13" t="s">
        <v>575</v>
      </c>
      <c r="D169" s="13" t="s">
        <v>576</v>
      </c>
      <c r="E169" s="26">
        <v>40104.0</v>
      </c>
      <c r="F169" s="26">
        <v>14062.0</v>
      </c>
      <c r="G169" s="26">
        <v>14305.0</v>
      </c>
      <c r="H169" s="26">
        <v>14548.0</v>
      </c>
      <c r="I169" s="26">
        <v>15278.0</v>
      </c>
      <c r="J169" s="26">
        <v>15521.0</v>
      </c>
      <c r="K169" s="26">
        <v>15764.0</v>
      </c>
      <c r="L169" s="13">
        <v>0.0</v>
      </c>
      <c r="M169" s="13">
        <v>0.0</v>
      </c>
      <c r="N169" s="13">
        <v>0.0</v>
      </c>
      <c r="O169" s="13">
        <v>0.0</v>
      </c>
      <c r="P169" s="13">
        <v>0.0</v>
      </c>
      <c r="Q169" s="13">
        <v>0.0</v>
      </c>
      <c r="R169" s="27">
        <f t="shared" ref="R169:W169" si="170">(L169/F169)*100000</f>
        <v>0</v>
      </c>
      <c r="S169" s="27">
        <f t="shared" si="170"/>
        <v>0</v>
      </c>
      <c r="T169" s="27">
        <f t="shared" si="170"/>
        <v>0</v>
      </c>
      <c r="U169" s="27">
        <f t="shared" si="170"/>
        <v>0</v>
      </c>
      <c r="V169" s="27">
        <f t="shared" si="170"/>
        <v>0</v>
      </c>
      <c r="W169" s="27">
        <f t="shared" si="170"/>
        <v>0</v>
      </c>
      <c r="X169" s="27">
        <f t="shared" si="3"/>
        <v>0</v>
      </c>
      <c r="Y169" s="27">
        <f t="shared" si="4"/>
        <v>0</v>
      </c>
    </row>
    <row r="170" ht="14.25" customHeight="1">
      <c r="A170" s="13" t="s">
        <v>210</v>
      </c>
      <c r="B170" s="13" t="s">
        <v>577</v>
      </c>
      <c r="C170" s="13" t="s">
        <v>215</v>
      </c>
      <c r="D170" s="13" t="s">
        <v>215</v>
      </c>
      <c r="E170" s="26">
        <v>40201.0</v>
      </c>
      <c r="F170" s="26">
        <v>31630.0</v>
      </c>
      <c r="G170" s="26">
        <v>32173.0</v>
      </c>
      <c r="H170" s="26">
        <v>32715.0</v>
      </c>
      <c r="I170" s="26">
        <v>34342.0</v>
      </c>
      <c r="J170" s="26">
        <v>34885.0</v>
      </c>
      <c r="K170" s="26">
        <v>35427.0</v>
      </c>
      <c r="L170" s="13">
        <v>1.0</v>
      </c>
      <c r="M170" s="13">
        <v>2.0</v>
      </c>
      <c r="N170" s="13">
        <v>2.0</v>
      </c>
      <c r="O170" s="13">
        <v>0.0</v>
      </c>
      <c r="P170" s="13">
        <v>1.0</v>
      </c>
      <c r="Q170" s="13">
        <v>2.0</v>
      </c>
      <c r="R170" s="27">
        <f t="shared" ref="R170:W170" si="171">(L170/F170)*100000</f>
        <v>3.161555485</v>
      </c>
      <c r="S170" s="27">
        <f t="shared" si="171"/>
        <v>6.216392627</v>
      </c>
      <c r="T170" s="27">
        <f t="shared" si="171"/>
        <v>6.113403637</v>
      </c>
      <c r="U170" s="27">
        <f t="shared" si="171"/>
        <v>0</v>
      </c>
      <c r="V170" s="27">
        <f t="shared" si="171"/>
        <v>2.866561559</v>
      </c>
      <c r="W170" s="27">
        <f t="shared" si="171"/>
        <v>5.645411692</v>
      </c>
      <c r="X170" s="27">
        <f t="shared" si="3"/>
        <v>5.163783917</v>
      </c>
      <c r="Y170" s="27">
        <f t="shared" si="4"/>
        <v>2.837324417</v>
      </c>
    </row>
    <row r="171" ht="14.25" customHeight="1">
      <c r="A171" s="13" t="s">
        <v>210</v>
      </c>
      <c r="B171" s="13" t="s">
        <v>577</v>
      </c>
      <c r="C171" s="13" t="s">
        <v>578</v>
      </c>
      <c r="D171" s="13" t="s">
        <v>578</v>
      </c>
      <c r="E171" s="26">
        <v>40202.0</v>
      </c>
      <c r="F171" s="26">
        <v>4514.0</v>
      </c>
      <c r="G171" s="26">
        <v>4606.0</v>
      </c>
      <c r="H171" s="26">
        <v>4699.0</v>
      </c>
      <c r="I171" s="26">
        <v>4976.0</v>
      </c>
      <c r="J171" s="26">
        <v>5069.0</v>
      </c>
      <c r="K171" s="26">
        <v>5161.0</v>
      </c>
      <c r="L171" s="13">
        <v>0.0</v>
      </c>
      <c r="M171" s="13">
        <v>0.0</v>
      </c>
      <c r="N171" s="13">
        <v>0.0</v>
      </c>
      <c r="O171" s="13">
        <v>0.0</v>
      </c>
      <c r="P171" s="13">
        <v>0.0</v>
      </c>
      <c r="Q171" s="13">
        <v>0.0</v>
      </c>
      <c r="R171" s="27">
        <f t="shared" ref="R171:W171" si="172">(L171/F171)*100000</f>
        <v>0</v>
      </c>
      <c r="S171" s="27">
        <f t="shared" si="172"/>
        <v>0</v>
      </c>
      <c r="T171" s="27">
        <f t="shared" si="172"/>
        <v>0</v>
      </c>
      <c r="U171" s="27">
        <f t="shared" si="172"/>
        <v>0</v>
      </c>
      <c r="V171" s="27">
        <f t="shared" si="172"/>
        <v>0</v>
      </c>
      <c r="W171" s="27">
        <f t="shared" si="172"/>
        <v>0</v>
      </c>
      <c r="X171" s="27">
        <f t="shared" si="3"/>
        <v>0</v>
      </c>
      <c r="Y171" s="27">
        <f t="shared" si="4"/>
        <v>0</v>
      </c>
    </row>
    <row r="172" ht="14.25" customHeight="1">
      <c r="A172" s="13" t="s">
        <v>210</v>
      </c>
      <c r="B172" s="13" t="s">
        <v>240</v>
      </c>
      <c r="C172" s="13" t="s">
        <v>217</v>
      </c>
      <c r="D172" s="13" t="s">
        <v>217</v>
      </c>
      <c r="E172" s="26">
        <v>40301.0</v>
      </c>
      <c r="F172" s="26">
        <v>12088.0</v>
      </c>
      <c r="G172" s="26">
        <v>12661.0</v>
      </c>
      <c r="H172" s="26">
        <v>13234.0</v>
      </c>
      <c r="I172" s="26">
        <v>14954.0</v>
      </c>
      <c r="J172" s="26">
        <v>15528.0</v>
      </c>
      <c r="K172" s="26">
        <v>16101.0</v>
      </c>
      <c r="L172" s="13">
        <v>0.0</v>
      </c>
      <c r="M172" s="13">
        <v>0.0</v>
      </c>
      <c r="N172" s="13">
        <v>0.0</v>
      </c>
      <c r="O172" s="13">
        <v>0.0</v>
      </c>
      <c r="P172" s="13">
        <v>1.0</v>
      </c>
      <c r="Q172" s="13">
        <v>0.0</v>
      </c>
      <c r="R172" s="27">
        <f t="shared" ref="R172:W172" si="173">(L172/F172)*100000</f>
        <v>0</v>
      </c>
      <c r="S172" s="27">
        <f t="shared" si="173"/>
        <v>0</v>
      </c>
      <c r="T172" s="27">
        <f t="shared" si="173"/>
        <v>0</v>
      </c>
      <c r="U172" s="27">
        <f t="shared" si="173"/>
        <v>0</v>
      </c>
      <c r="V172" s="27">
        <f t="shared" si="173"/>
        <v>6.439979392</v>
      </c>
      <c r="W172" s="27">
        <f t="shared" si="173"/>
        <v>0</v>
      </c>
      <c r="X172" s="27">
        <f t="shared" si="3"/>
        <v>0</v>
      </c>
      <c r="Y172" s="27">
        <f t="shared" si="4"/>
        <v>2.146659797</v>
      </c>
    </row>
    <row r="173" ht="14.25" customHeight="1">
      <c r="A173" s="13" t="s">
        <v>210</v>
      </c>
      <c r="B173" s="13" t="s">
        <v>240</v>
      </c>
      <c r="C173" s="13" t="s">
        <v>579</v>
      </c>
      <c r="D173" s="13" t="s">
        <v>579</v>
      </c>
      <c r="E173" s="26">
        <v>40302.0</v>
      </c>
      <c r="F173" s="26">
        <v>2123.0</v>
      </c>
      <c r="G173" s="26">
        <v>2177.0</v>
      </c>
      <c r="H173" s="26">
        <v>2232.0</v>
      </c>
      <c r="I173" s="26">
        <v>2395.0</v>
      </c>
      <c r="J173" s="26">
        <v>2450.0</v>
      </c>
      <c r="K173" s="26">
        <v>2504.0</v>
      </c>
      <c r="L173" s="13">
        <v>0.0</v>
      </c>
      <c r="M173" s="13">
        <v>0.0</v>
      </c>
      <c r="N173" s="13">
        <v>0.0</v>
      </c>
      <c r="O173" s="13">
        <v>0.0</v>
      </c>
      <c r="P173" s="13">
        <v>0.0</v>
      </c>
      <c r="Q173" s="13">
        <v>0.0</v>
      </c>
      <c r="R173" s="27">
        <f t="shared" ref="R173:W173" si="174">(L173/F173)*100000</f>
        <v>0</v>
      </c>
      <c r="S173" s="27">
        <f t="shared" si="174"/>
        <v>0</v>
      </c>
      <c r="T173" s="27">
        <f t="shared" si="174"/>
        <v>0</v>
      </c>
      <c r="U173" s="27">
        <f t="shared" si="174"/>
        <v>0</v>
      </c>
      <c r="V173" s="27">
        <f t="shared" si="174"/>
        <v>0</v>
      </c>
      <c r="W173" s="27">
        <f t="shared" si="174"/>
        <v>0</v>
      </c>
      <c r="X173" s="27">
        <f t="shared" si="3"/>
        <v>0</v>
      </c>
      <c r="Y173" s="27">
        <f t="shared" si="4"/>
        <v>0</v>
      </c>
    </row>
    <row r="174" ht="14.25" customHeight="1">
      <c r="A174" s="13" t="s">
        <v>210</v>
      </c>
      <c r="B174" s="13" t="s">
        <v>580</v>
      </c>
      <c r="C174" s="13" t="s">
        <v>581</v>
      </c>
      <c r="D174" s="13" t="s">
        <v>581</v>
      </c>
      <c r="E174" s="26">
        <v>40401.0</v>
      </c>
      <c r="F174" s="26">
        <v>5225.0</v>
      </c>
      <c r="G174" s="26">
        <v>5434.0</v>
      </c>
      <c r="H174" s="26">
        <v>5642.0</v>
      </c>
      <c r="I174" s="26">
        <v>6267.0</v>
      </c>
      <c r="J174" s="26">
        <v>6475.0</v>
      </c>
      <c r="K174" s="26">
        <v>6683.0</v>
      </c>
      <c r="L174" s="13">
        <v>0.0</v>
      </c>
      <c r="M174" s="13">
        <v>0.0</v>
      </c>
      <c r="N174" s="13">
        <v>1.0</v>
      </c>
      <c r="O174" s="13">
        <v>0.0</v>
      </c>
      <c r="P174" s="13">
        <v>1.0</v>
      </c>
      <c r="Q174" s="13">
        <v>0.0</v>
      </c>
      <c r="R174" s="27">
        <f t="shared" ref="R174:W174" si="175">(L174/F174)*100000</f>
        <v>0</v>
      </c>
      <c r="S174" s="27">
        <f t="shared" si="175"/>
        <v>0</v>
      </c>
      <c r="T174" s="27">
        <f t="shared" si="175"/>
        <v>17.72421127</v>
      </c>
      <c r="U174" s="27">
        <f t="shared" si="175"/>
        <v>0</v>
      </c>
      <c r="V174" s="27">
        <f t="shared" si="175"/>
        <v>15.44401544</v>
      </c>
      <c r="W174" s="27">
        <f t="shared" si="175"/>
        <v>0</v>
      </c>
      <c r="X174" s="27">
        <f t="shared" si="3"/>
        <v>5.908070424</v>
      </c>
      <c r="Y174" s="27">
        <f t="shared" si="4"/>
        <v>5.148005148</v>
      </c>
    </row>
    <row r="175" ht="14.25" customHeight="1">
      <c r="A175" s="13" t="s">
        <v>210</v>
      </c>
      <c r="B175" s="13" t="s">
        <v>580</v>
      </c>
      <c r="C175" s="13" t="s">
        <v>582</v>
      </c>
      <c r="D175" s="13" t="s">
        <v>582</v>
      </c>
      <c r="E175" s="26">
        <v>40402.0</v>
      </c>
      <c r="F175" s="26">
        <v>5455.0</v>
      </c>
      <c r="G175" s="26">
        <v>5505.0</v>
      </c>
      <c r="H175" s="26">
        <v>5555.0</v>
      </c>
      <c r="I175" s="26">
        <v>5704.0</v>
      </c>
      <c r="J175" s="26">
        <v>5753.0</v>
      </c>
      <c r="K175" s="26">
        <v>5803.0</v>
      </c>
      <c r="L175" s="13">
        <v>0.0</v>
      </c>
      <c r="M175" s="13">
        <v>0.0</v>
      </c>
      <c r="N175" s="13">
        <v>0.0</v>
      </c>
      <c r="O175" s="13">
        <v>0.0</v>
      </c>
      <c r="P175" s="13">
        <v>0.0</v>
      </c>
      <c r="Q175" s="13">
        <v>0.0</v>
      </c>
      <c r="R175" s="27">
        <f t="shared" ref="R175:W175" si="176">(L175/F175)*100000</f>
        <v>0</v>
      </c>
      <c r="S175" s="27">
        <f t="shared" si="176"/>
        <v>0</v>
      </c>
      <c r="T175" s="27">
        <f t="shared" si="176"/>
        <v>0</v>
      </c>
      <c r="U175" s="27">
        <f t="shared" si="176"/>
        <v>0</v>
      </c>
      <c r="V175" s="27">
        <f t="shared" si="176"/>
        <v>0</v>
      </c>
      <c r="W175" s="27">
        <f t="shared" si="176"/>
        <v>0</v>
      </c>
      <c r="X175" s="27">
        <f t="shared" si="3"/>
        <v>0</v>
      </c>
      <c r="Y175" s="27">
        <f t="shared" si="4"/>
        <v>0</v>
      </c>
    </row>
    <row r="176" ht="14.25" customHeight="1">
      <c r="A176" s="13" t="s">
        <v>210</v>
      </c>
      <c r="B176" s="13" t="s">
        <v>583</v>
      </c>
      <c r="C176" s="13" t="s">
        <v>584</v>
      </c>
      <c r="D176" s="13" t="s">
        <v>584</v>
      </c>
      <c r="E176" s="26">
        <v>40501.0</v>
      </c>
      <c r="F176" s="26">
        <v>2256.0</v>
      </c>
      <c r="G176" s="26">
        <v>2507.0</v>
      </c>
      <c r="H176" s="26">
        <v>2758.0</v>
      </c>
      <c r="I176" s="26">
        <v>3510.0</v>
      </c>
      <c r="J176" s="26">
        <v>3760.0</v>
      </c>
      <c r="K176" s="26">
        <v>4011.0</v>
      </c>
      <c r="L176" s="13">
        <v>0.0</v>
      </c>
      <c r="M176" s="13">
        <v>0.0</v>
      </c>
      <c r="N176" s="13">
        <v>0.0</v>
      </c>
      <c r="O176" s="13">
        <v>0.0</v>
      </c>
      <c r="P176" s="13">
        <v>0.0</v>
      </c>
      <c r="Q176" s="13">
        <v>0.0</v>
      </c>
      <c r="R176" s="27">
        <f t="shared" ref="R176:W176" si="177">(L176/F176)*100000</f>
        <v>0</v>
      </c>
      <c r="S176" s="27">
        <f t="shared" si="177"/>
        <v>0</v>
      </c>
      <c r="T176" s="27">
        <f t="shared" si="177"/>
        <v>0</v>
      </c>
      <c r="U176" s="27">
        <f t="shared" si="177"/>
        <v>0</v>
      </c>
      <c r="V176" s="27">
        <f t="shared" si="177"/>
        <v>0</v>
      </c>
      <c r="W176" s="27">
        <f t="shared" si="177"/>
        <v>0</v>
      </c>
      <c r="X176" s="27">
        <f t="shared" si="3"/>
        <v>0</v>
      </c>
      <c r="Y176" s="27">
        <f t="shared" si="4"/>
        <v>0</v>
      </c>
    </row>
    <row r="177" ht="14.25" customHeight="1">
      <c r="A177" s="13" t="s">
        <v>210</v>
      </c>
      <c r="B177" s="13" t="s">
        <v>583</v>
      </c>
      <c r="C177" s="13" t="s">
        <v>585</v>
      </c>
      <c r="D177" s="13" t="s">
        <v>585</v>
      </c>
      <c r="E177" s="26">
        <v>40502.0</v>
      </c>
      <c r="F177" s="26">
        <v>4226.0</v>
      </c>
      <c r="G177" s="26">
        <v>4227.0</v>
      </c>
      <c r="H177" s="26">
        <v>4228.0</v>
      </c>
      <c r="I177" s="26">
        <v>4230.0</v>
      </c>
      <c r="J177" s="26">
        <v>4230.0</v>
      </c>
      <c r="K177" s="26">
        <v>4231.0</v>
      </c>
      <c r="L177" s="13">
        <v>0.0</v>
      </c>
      <c r="M177" s="13">
        <v>0.0</v>
      </c>
      <c r="N177" s="13">
        <v>0.0</v>
      </c>
      <c r="O177" s="13">
        <v>0.0</v>
      </c>
      <c r="P177" s="13">
        <v>0.0</v>
      </c>
      <c r="Q177" s="13">
        <v>0.0</v>
      </c>
      <c r="R177" s="27">
        <f t="shared" ref="R177:W177" si="178">(L177/F177)*100000</f>
        <v>0</v>
      </c>
      <c r="S177" s="27">
        <f t="shared" si="178"/>
        <v>0</v>
      </c>
      <c r="T177" s="27">
        <f t="shared" si="178"/>
        <v>0</v>
      </c>
      <c r="U177" s="27">
        <f t="shared" si="178"/>
        <v>0</v>
      </c>
      <c r="V177" s="27">
        <f t="shared" si="178"/>
        <v>0</v>
      </c>
      <c r="W177" s="27">
        <f t="shared" si="178"/>
        <v>0</v>
      </c>
      <c r="X177" s="27">
        <f t="shared" si="3"/>
        <v>0</v>
      </c>
      <c r="Y177" s="27">
        <f t="shared" si="4"/>
        <v>0</v>
      </c>
    </row>
    <row r="178" ht="14.25" customHeight="1">
      <c r="A178" s="13" t="s">
        <v>210</v>
      </c>
      <c r="B178" s="13" t="s">
        <v>583</v>
      </c>
      <c r="C178" s="13" t="s">
        <v>586</v>
      </c>
      <c r="D178" s="13" t="s">
        <v>586</v>
      </c>
      <c r="E178" s="26">
        <v>40503.0</v>
      </c>
      <c r="F178" s="26">
        <v>1780.0</v>
      </c>
      <c r="G178" s="26">
        <v>1742.0</v>
      </c>
      <c r="H178" s="26">
        <v>1705.0</v>
      </c>
      <c r="I178" s="26">
        <v>1592.0</v>
      </c>
      <c r="J178" s="26">
        <v>1555.0</v>
      </c>
      <c r="K178" s="26">
        <v>1517.0</v>
      </c>
      <c r="L178" s="13">
        <v>0.0</v>
      </c>
      <c r="M178" s="13">
        <v>0.0</v>
      </c>
      <c r="N178" s="13">
        <v>0.0</v>
      </c>
      <c r="O178" s="13">
        <v>0.0</v>
      </c>
      <c r="P178" s="13">
        <v>0.0</v>
      </c>
      <c r="Q178" s="13">
        <v>0.0</v>
      </c>
      <c r="R178" s="27">
        <f t="shared" ref="R178:W178" si="179">(L178/F178)*100000</f>
        <v>0</v>
      </c>
      <c r="S178" s="27">
        <f t="shared" si="179"/>
        <v>0</v>
      </c>
      <c r="T178" s="27">
        <f t="shared" si="179"/>
        <v>0</v>
      </c>
      <c r="U178" s="27">
        <f t="shared" si="179"/>
        <v>0</v>
      </c>
      <c r="V178" s="27">
        <f t="shared" si="179"/>
        <v>0</v>
      </c>
      <c r="W178" s="27">
        <f t="shared" si="179"/>
        <v>0</v>
      </c>
      <c r="X178" s="27">
        <f t="shared" si="3"/>
        <v>0</v>
      </c>
      <c r="Y178" s="27">
        <f t="shared" si="4"/>
        <v>0</v>
      </c>
    </row>
    <row r="179" ht="14.25" customHeight="1">
      <c r="A179" s="13" t="s">
        <v>210</v>
      </c>
      <c r="B179" s="13" t="s">
        <v>583</v>
      </c>
      <c r="C179" s="13" t="s">
        <v>587</v>
      </c>
      <c r="D179" s="13" t="s">
        <v>587</v>
      </c>
      <c r="E179" s="26">
        <v>40504.0</v>
      </c>
      <c r="F179" s="26">
        <v>664.0</v>
      </c>
      <c r="G179" s="26">
        <v>695.0</v>
      </c>
      <c r="H179" s="26">
        <v>725.0</v>
      </c>
      <c r="I179" s="26">
        <v>815.0</v>
      </c>
      <c r="J179" s="26">
        <v>845.0</v>
      </c>
      <c r="K179" s="26">
        <v>875.0</v>
      </c>
      <c r="L179" s="13">
        <v>0.0</v>
      </c>
      <c r="M179" s="13">
        <v>0.0</v>
      </c>
      <c r="N179" s="13">
        <v>0.0</v>
      </c>
      <c r="O179" s="13">
        <v>0.0</v>
      </c>
      <c r="P179" s="13">
        <v>0.0</v>
      </c>
      <c r="Q179" s="13">
        <v>0.0</v>
      </c>
      <c r="R179" s="27">
        <f t="shared" ref="R179:W179" si="180">(L179/F179)*100000</f>
        <v>0</v>
      </c>
      <c r="S179" s="27">
        <f t="shared" si="180"/>
        <v>0</v>
      </c>
      <c r="T179" s="27">
        <f t="shared" si="180"/>
        <v>0</v>
      </c>
      <c r="U179" s="27">
        <f t="shared" si="180"/>
        <v>0</v>
      </c>
      <c r="V179" s="27">
        <f t="shared" si="180"/>
        <v>0</v>
      </c>
      <c r="W179" s="27">
        <f t="shared" si="180"/>
        <v>0</v>
      </c>
      <c r="X179" s="27">
        <f t="shared" si="3"/>
        <v>0</v>
      </c>
      <c r="Y179" s="27">
        <f t="shared" si="4"/>
        <v>0</v>
      </c>
    </row>
    <row r="180" ht="14.25" customHeight="1">
      <c r="A180" s="13" t="s">
        <v>210</v>
      </c>
      <c r="B180" s="13" t="s">
        <v>583</v>
      </c>
      <c r="C180" s="13" t="s">
        <v>588</v>
      </c>
      <c r="D180" s="13" t="s">
        <v>588</v>
      </c>
      <c r="E180" s="26">
        <v>40505.0</v>
      </c>
      <c r="F180" s="26">
        <v>3194.0</v>
      </c>
      <c r="G180" s="26">
        <v>3292.0</v>
      </c>
      <c r="H180" s="26">
        <v>3390.0</v>
      </c>
      <c r="I180" s="26">
        <v>3685.0</v>
      </c>
      <c r="J180" s="26">
        <v>3784.0</v>
      </c>
      <c r="K180" s="26">
        <v>3882.0</v>
      </c>
      <c r="L180" s="13">
        <v>0.0</v>
      </c>
      <c r="M180" s="13">
        <v>0.0</v>
      </c>
      <c r="N180" s="13">
        <v>0.0</v>
      </c>
      <c r="O180" s="13">
        <v>0.0</v>
      </c>
      <c r="P180" s="13">
        <v>0.0</v>
      </c>
      <c r="Q180" s="13">
        <v>0.0</v>
      </c>
      <c r="R180" s="27">
        <f t="shared" ref="R180:W180" si="181">(L180/F180)*100000</f>
        <v>0</v>
      </c>
      <c r="S180" s="27">
        <f t="shared" si="181"/>
        <v>0</v>
      </c>
      <c r="T180" s="27">
        <f t="shared" si="181"/>
        <v>0</v>
      </c>
      <c r="U180" s="27">
        <f t="shared" si="181"/>
        <v>0</v>
      </c>
      <c r="V180" s="27">
        <f t="shared" si="181"/>
        <v>0</v>
      </c>
      <c r="W180" s="27">
        <f t="shared" si="181"/>
        <v>0</v>
      </c>
      <c r="X180" s="27">
        <f t="shared" si="3"/>
        <v>0</v>
      </c>
      <c r="Y180" s="27">
        <f t="shared" si="4"/>
        <v>0</v>
      </c>
    </row>
    <row r="181" ht="14.25" customHeight="1">
      <c r="A181" s="13" t="s">
        <v>210</v>
      </c>
      <c r="B181" s="13" t="s">
        <v>223</v>
      </c>
      <c r="C181" s="13" t="s">
        <v>223</v>
      </c>
      <c r="D181" s="13" t="s">
        <v>589</v>
      </c>
      <c r="E181" s="26">
        <v>40601.0</v>
      </c>
      <c r="F181" s="26">
        <v>8255.0</v>
      </c>
      <c r="G181" s="26">
        <v>8388.0</v>
      </c>
      <c r="H181" s="26">
        <v>8522.0</v>
      </c>
      <c r="I181" s="26">
        <v>8922.0</v>
      </c>
      <c r="J181" s="26">
        <v>9056.0</v>
      </c>
      <c r="K181" s="26">
        <v>9189.0</v>
      </c>
      <c r="L181" s="13">
        <v>0.0</v>
      </c>
      <c r="M181" s="13">
        <v>0.0</v>
      </c>
      <c r="N181" s="13">
        <v>0.0</v>
      </c>
      <c r="O181" s="13">
        <v>0.0</v>
      </c>
      <c r="P181" s="13">
        <v>1.0</v>
      </c>
      <c r="Q181" s="13">
        <v>0.0</v>
      </c>
      <c r="R181" s="27">
        <f t="shared" ref="R181:W181" si="182">(L181/F181)*100000</f>
        <v>0</v>
      </c>
      <c r="S181" s="27">
        <f t="shared" si="182"/>
        <v>0</v>
      </c>
      <c r="T181" s="27">
        <f t="shared" si="182"/>
        <v>0</v>
      </c>
      <c r="U181" s="27">
        <f t="shared" si="182"/>
        <v>0</v>
      </c>
      <c r="V181" s="27">
        <f t="shared" si="182"/>
        <v>11.04240283</v>
      </c>
      <c r="W181" s="27">
        <f t="shared" si="182"/>
        <v>0</v>
      </c>
      <c r="X181" s="27">
        <f t="shared" si="3"/>
        <v>0</v>
      </c>
      <c r="Y181" s="27">
        <f t="shared" si="4"/>
        <v>3.680800942</v>
      </c>
    </row>
    <row r="182" ht="14.25" customHeight="1">
      <c r="A182" s="13" t="s">
        <v>210</v>
      </c>
      <c r="B182" s="13" t="s">
        <v>223</v>
      </c>
      <c r="C182" s="13" t="s">
        <v>247</v>
      </c>
      <c r="D182" s="13" t="s">
        <v>247</v>
      </c>
      <c r="E182" s="26">
        <v>40602.0</v>
      </c>
      <c r="F182" s="26">
        <v>5245.0</v>
      </c>
      <c r="G182" s="26">
        <v>5103.0</v>
      </c>
      <c r="H182" s="26">
        <v>4961.0</v>
      </c>
      <c r="I182" s="26">
        <v>4535.0</v>
      </c>
      <c r="J182" s="26">
        <v>4393.0</v>
      </c>
      <c r="K182" s="26">
        <v>4251.0</v>
      </c>
      <c r="L182" s="13">
        <v>0.0</v>
      </c>
      <c r="M182" s="13">
        <v>0.0</v>
      </c>
      <c r="N182" s="13">
        <v>0.0</v>
      </c>
      <c r="O182" s="13">
        <v>0.0</v>
      </c>
      <c r="P182" s="13">
        <v>0.0</v>
      </c>
      <c r="Q182" s="13">
        <v>1.0</v>
      </c>
      <c r="R182" s="27">
        <f t="shared" ref="R182:W182" si="183">(L182/F182)*100000</f>
        <v>0</v>
      </c>
      <c r="S182" s="27">
        <f t="shared" si="183"/>
        <v>0</v>
      </c>
      <c r="T182" s="27">
        <f t="shared" si="183"/>
        <v>0</v>
      </c>
      <c r="U182" s="27">
        <f t="shared" si="183"/>
        <v>0</v>
      </c>
      <c r="V182" s="27">
        <f t="shared" si="183"/>
        <v>0</v>
      </c>
      <c r="W182" s="27">
        <f t="shared" si="183"/>
        <v>23.52387673</v>
      </c>
      <c r="X182" s="27">
        <f t="shared" si="3"/>
        <v>0</v>
      </c>
      <c r="Y182" s="27">
        <f t="shared" si="4"/>
        <v>7.841292245</v>
      </c>
    </row>
    <row r="183" ht="14.25" customHeight="1">
      <c r="A183" s="13" t="s">
        <v>210</v>
      </c>
      <c r="B183" s="13" t="s">
        <v>223</v>
      </c>
      <c r="C183" s="13" t="s">
        <v>590</v>
      </c>
      <c r="D183" s="13" t="s">
        <v>590</v>
      </c>
      <c r="E183" s="26">
        <v>40603.0</v>
      </c>
      <c r="F183" s="26">
        <v>3432.0</v>
      </c>
      <c r="G183" s="26">
        <v>3465.0</v>
      </c>
      <c r="H183" s="26">
        <v>3499.0</v>
      </c>
      <c r="I183" s="26">
        <v>3599.0</v>
      </c>
      <c r="J183" s="26">
        <v>3633.0</v>
      </c>
      <c r="K183" s="26">
        <v>3666.0</v>
      </c>
      <c r="L183" s="13">
        <v>0.0</v>
      </c>
      <c r="M183" s="13">
        <v>0.0</v>
      </c>
      <c r="N183" s="13">
        <v>0.0</v>
      </c>
      <c r="O183" s="13">
        <v>0.0</v>
      </c>
      <c r="P183" s="13">
        <v>0.0</v>
      </c>
      <c r="Q183" s="13">
        <v>0.0</v>
      </c>
      <c r="R183" s="27">
        <f t="shared" ref="R183:W183" si="184">(L183/F183)*100000</f>
        <v>0</v>
      </c>
      <c r="S183" s="27">
        <f t="shared" si="184"/>
        <v>0</v>
      </c>
      <c r="T183" s="27">
        <f t="shared" si="184"/>
        <v>0</v>
      </c>
      <c r="U183" s="27">
        <f t="shared" si="184"/>
        <v>0</v>
      </c>
      <c r="V183" s="27">
        <f t="shared" si="184"/>
        <v>0</v>
      </c>
      <c r="W183" s="27">
        <f t="shared" si="184"/>
        <v>0</v>
      </c>
      <c r="X183" s="27">
        <f t="shared" si="3"/>
        <v>0</v>
      </c>
      <c r="Y183" s="27">
        <f t="shared" si="4"/>
        <v>0</v>
      </c>
    </row>
    <row r="184" ht="14.25" customHeight="1">
      <c r="A184" s="13" t="s">
        <v>210</v>
      </c>
      <c r="B184" s="13" t="s">
        <v>591</v>
      </c>
      <c r="C184" s="13" t="s">
        <v>213</v>
      </c>
      <c r="D184" s="13" t="s">
        <v>592</v>
      </c>
      <c r="E184" s="26">
        <v>40701.0</v>
      </c>
      <c r="F184" s="26">
        <v>22777.0</v>
      </c>
      <c r="G184" s="26">
        <v>22398.0</v>
      </c>
      <c r="H184" s="26">
        <v>22018.0</v>
      </c>
      <c r="I184" s="26">
        <v>20878.0</v>
      </c>
      <c r="J184" s="26">
        <v>20498.0</v>
      </c>
      <c r="K184" s="26">
        <v>20118.0</v>
      </c>
      <c r="L184" s="13">
        <v>2.0</v>
      </c>
      <c r="M184" s="13">
        <v>13.0</v>
      </c>
      <c r="N184" s="13">
        <v>1.0</v>
      </c>
      <c r="O184" s="13">
        <v>3.0</v>
      </c>
      <c r="P184" s="13">
        <v>1.0</v>
      </c>
      <c r="Q184" s="13">
        <v>3.0</v>
      </c>
      <c r="R184" s="27">
        <f t="shared" ref="R184:W184" si="185">(L184/F184)*100000</f>
        <v>8.780787637</v>
      </c>
      <c r="S184" s="27">
        <f t="shared" si="185"/>
        <v>58.04089651</v>
      </c>
      <c r="T184" s="27">
        <f t="shared" si="185"/>
        <v>4.541738578</v>
      </c>
      <c r="U184" s="27">
        <f t="shared" si="185"/>
        <v>14.36919245</v>
      </c>
      <c r="V184" s="27">
        <f t="shared" si="185"/>
        <v>4.878524734</v>
      </c>
      <c r="W184" s="27">
        <f t="shared" si="185"/>
        <v>14.91201909</v>
      </c>
      <c r="X184" s="27">
        <f t="shared" si="3"/>
        <v>23.78780757</v>
      </c>
      <c r="Y184" s="27">
        <f t="shared" si="4"/>
        <v>11.38657876</v>
      </c>
    </row>
    <row r="185" ht="14.25" customHeight="1">
      <c r="A185" s="13" t="s">
        <v>210</v>
      </c>
      <c r="B185" s="13" t="s">
        <v>591</v>
      </c>
      <c r="C185" s="13" t="s">
        <v>238</v>
      </c>
      <c r="D185" s="13" t="s">
        <v>238</v>
      </c>
      <c r="E185" s="26">
        <v>40702.0</v>
      </c>
      <c r="F185" s="26">
        <v>5362.0</v>
      </c>
      <c r="G185" s="26">
        <v>5470.0</v>
      </c>
      <c r="H185" s="26">
        <v>5578.0</v>
      </c>
      <c r="I185" s="26">
        <v>5903.0</v>
      </c>
      <c r="J185" s="26">
        <v>6012.0</v>
      </c>
      <c r="K185" s="26">
        <v>6120.0</v>
      </c>
      <c r="L185" s="13">
        <v>0.0</v>
      </c>
      <c r="M185" s="13">
        <v>0.0</v>
      </c>
      <c r="N185" s="13">
        <v>0.0</v>
      </c>
      <c r="O185" s="13">
        <v>0.0</v>
      </c>
      <c r="P185" s="13">
        <v>0.0</v>
      </c>
      <c r="Q185" s="13">
        <v>1.0</v>
      </c>
      <c r="R185" s="27">
        <f t="shared" ref="R185:W185" si="186">(L185/F185)*100000</f>
        <v>0</v>
      </c>
      <c r="S185" s="27">
        <f t="shared" si="186"/>
        <v>0</v>
      </c>
      <c r="T185" s="27">
        <f t="shared" si="186"/>
        <v>0</v>
      </c>
      <c r="U185" s="27">
        <f t="shared" si="186"/>
        <v>0</v>
      </c>
      <c r="V185" s="27">
        <f t="shared" si="186"/>
        <v>0</v>
      </c>
      <c r="W185" s="27">
        <f t="shared" si="186"/>
        <v>16.33986928</v>
      </c>
      <c r="X185" s="27">
        <f t="shared" si="3"/>
        <v>0</v>
      </c>
      <c r="Y185" s="27">
        <f t="shared" si="4"/>
        <v>5.446623094</v>
      </c>
    </row>
    <row r="186" ht="14.25" customHeight="1">
      <c r="A186" s="13" t="s">
        <v>210</v>
      </c>
      <c r="B186" s="13" t="s">
        <v>593</v>
      </c>
      <c r="C186" s="13" t="s">
        <v>594</v>
      </c>
      <c r="D186" s="13" t="s">
        <v>594</v>
      </c>
      <c r="E186" s="26">
        <v>40801.0</v>
      </c>
      <c r="F186" s="26">
        <v>13568.0</v>
      </c>
      <c r="G186" s="26">
        <v>13906.0</v>
      </c>
      <c r="H186" s="26">
        <v>14244.0</v>
      </c>
      <c r="I186" s="26">
        <v>15258.0</v>
      </c>
      <c r="J186" s="26">
        <v>15596.0</v>
      </c>
      <c r="K186" s="26">
        <v>15934.0</v>
      </c>
      <c r="L186" s="13">
        <v>0.0</v>
      </c>
      <c r="M186" s="13">
        <v>0.0</v>
      </c>
      <c r="N186" s="13">
        <v>1.0</v>
      </c>
      <c r="O186" s="13">
        <v>0.0</v>
      </c>
      <c r="P186" s="13">
        <v>0.0</v>
      </c>
      <c r="Q186" s="13">
        <v>0.0</v>
      </c>
      <c r="R186" s="27">
        <f t="shared" ref="R186:W186" si="187">(L186/F186)*100000</f>
        <v>0</v>
      </c>
      <c r="S186" s="27">
        <f t="shared" si="187"/>
        <v>0</v>
      </c>
      <c r="T186" s="27">
        <f t="shared" si="187"/>
        <v>7.02049986</v>
      </c>
      <c r="U186" s="27">
        <f t="shared" si="187"/>
        <v>0</v>
      </c>
      <c r="V186" s="27">
        <f t="shared" si="187"/>
        <v>0</v>
      </c>
      <c r="W186" s="27">
        <f t="shared" si="187"/>
        <v>0</v>
      </c>
      <c r="X186" s="27">
        <f t="shared" si="3"/>
        <v>2.34016662</v>
      </c>
      <c r="Y186" s="27">
        <f t="shared" si="4"/>
        <v>0</v>
      </c>
    </row>
    <row r="187" ht="14.25" customHeight="1">
      <c r="A187" s="13" t="s">
        <v>210</v>
      </c>
      <c r="B187" s="13" t="s">
        <v>593</v>
      </c>
      <c r="C187" s="13" t="s">
        <v>221</v>
      </c>
      <c r="D187" s="13" t="s">
        <v>221</v>
      </c>
      <c r="E187" s="26">
        <v>40802.0</v>
      </c>
      <c r="F187" s="26">
        <v>3066.0</v>
      </c>
      <c r="G187" s="26">
        <v>3085.0</v>
      </c>
      <c r="H187" s="26">
        <v>3104.0</v>
      </c>
      <c r="I187" s="26">
        <v>3160.0</v>
      </c>
      <c r="J187" s="26">
        <v>3178.0</v>
      </c>
      <c r="K187" s="26">
        <v>3197.0</v>
      </c>
      <c r="L187" s="13">
        <v>0.0</v>
      </c>
      <c r="M187" s="13">
        <v>0.0</v>
      </c>
      <c r="N187" s="13">
        <v>0.0</v>
      </c>
      <c r="O187" s="13">
        <v>0.0</v>
      </c>
      <c r="P187" s="13">
        <v>2.0</v>
      </c>
      <c r="Q187" s="13">
        <v>0.0</v>
      </c>
      <c r="R187" s="27">
        <f t="shared" ref="R187:W187" si="188">(L187/F187)*100000</f>
        <v>0</v>
      </c>
      <c r="S187" s="27">
        <f t="shared" si="188"/>
        <v>0</v>
      </c>
      <c r="T187" s="27">
        <f t="shared" si="188"/>
        <v>0</v>
      </c>
      <c r="U187" s="27">
        <f t="shared" si="188"/>
        <v>0</v>
      </c>
      <c r="V187" s="27">
        <f t="shared" si="188"/>
        <v>62.93266205</v>
      </c>
      <c r="W187" s="27">
        <f t="shared" si="188"/>
        <v>0</v>
      </c>
      <c r="X187" s="27">
        <f t="shared" si="3"/>
        <v>0</v>
      </c>
      <c r="Y187" s="27">
        <f t="shared" si="4"/>
        <v>20.97755402</v>
      </c>
    </row>
    <row r="188" ht="14.25" customHeight="1">
      <c r="A188" s="13" t="s">
        <v>210</v>
      </c>
      <c r="B188" s="13" t="s">
        <v>218</v>
      </c>
      <c r="C188" s="13" t="s">
        <v>218</v>
      </c>
      <c r="D188" s="13" t="s">
        <v>218</v>
      </c>
      <c r="E188" s="26">
        <v>40901.0</v>
      </c>
      <c r="F188" s="26">
        <v>11137.0</v>
      </c>
      <c r="G188" s="26">
        <v>11761.0</v>
      </c>
      <c r="H188" s="26">
        <v>12385.0</v>
      </c>
      <c r="I188" s="26">
        <v>14256.0</v>
      </c>
      <c r="J188" s="26">
        <v>14880.0</v>
      </c>
      <c r="K188" s="26">
        <v>15504.0</v>
      </c>
      <c r="L188" s="13">
        <v>0.0</v>
      </c>
      <c r="M188" s="13">
        <v>1.0</v>
      </c>
      <c r="N188" s="13">
        <v>0.0</v>
      </c>
      <c r="O188" s="13">
        <v>0.0</v>
      </c>
      <c r="P188" s="13">
        <v>1.0</v>
      </c>
      <c r="Q188" s="13">
        <v>1.0</v>
      </c>
      <c r="R188" s="27">
        <f t="shared" ref="R188:W188" si="189">(L188/F188)*100000</f>
        <v>0</v>
      </c>
      <c r="S188" s="27">
        <f t="shared" si="189"/>
        <v>8.502678344</v>
      </c>
      <c r="T188" s="27">
        <f t="shared" si="189"/>
        <v>0</v>
      </c>
      <c r="U188" s="27">
        <f t="shared" si="189"/>
        <v>0</v>
      </c>
      <c r="V188" s="27">
        <f t="shared" si="189"/>
        <v>6.720430108</v>
      </c>
      <c r="W188" s="27">
        <f t="shared" si="189"/>
        <v>6.4499484</v>
      </c>
      <c r="X188" s="27">
        <f t="shared" si="3"/>
        <v>2.834226115</v>
      </c>
      <c r="Y188" s="27">
        <f t="shared" si="4"/>
        <v>4.390126169</v>
      </c>
    </row>
    <row r="189" ht="14.25" customHeight="1">
      <c r="A189" s="13" t="s">
        <v>210</v>
      </c>
      <c r="B189" s="13" t="s">
        <v>218</v>
      </c>
      <c r="C189" s="13" t="s">
        <v>228</v>
      </c>
      <c r="D189" s="13" t="s">
        <v>228</v>
      </c>
      <c r="E189" s="26">
        <v>40902.0</v>
      </c>
      <c r="F189" s="26">
        <v>1113.0</v>
      </c>
      <c r="G189" s="26">
        <v>1155.0</v>
      </c>
      <c r="H189" s="26">
        <v>1196.0</v>
      </c>
      <c r="I189" s="26">
        <v>1322.0</v>
      </c>
      <c r="J189" s="26">
        <v>1364.0</v>
      </c>
      <c r="K189" s="26">
        <v>1406.0</v>
      </c>
      <c r="L189" s="13">
        <v>0.0</v>
      </c>
      <c r="M189" s="13">
        <v>0.0</v>
      </c>
      <c r="N189" s="13">
        <v>0.0</v>
      </c>
      <c r="O189" s="13">
        <v>0.0</v>
      </c>
      <c r="P189" s="13">
        <v>0.0</v>
      </c>
      <c r="Q189" s="13">
        <v>0.0</v>
      </c>
      <c r="R189" s="27">
        <f t="shared" ref="R189:W189" si="190">(L189/F189)*100000</f>
        <v>0</v>
      </c>
      <c r="S189" s="27">
        <f t="shared" si="190"/>
        <v>0</v>
      </c>
      <c r="T189" s="27">
        <f t="shared" si="190"/>
        <v>0</v>
      </c>
      <c r="U189" s="27">
        <f t="shared" si="190"/>
        <v>0</v>
      </c>
      <c r="V189" s="27">
        <f t="shared" si="190"/>
        <v>0</v>
      </c>
      <c r="W189" s="27">
        <f t="shared" si="190"/>
        <v>0</v>
      </c>
      <c r="X189" s="27">
        <f t="shared" si="3"/>
        <v>0</v>
      </c>
      <c r="Y189" s="27">
        <f t="shared" si="4"/>
        <v>0</v>
      </c>
    </row>
    <row r="190" ht="14.25" customHeight="1">
      <c r="A190" s="13" t="s">
        <v>210</v>
      </c>
      <c r="B190" s="13" t="s">
        <v>218</v>
      </c>
      <c r="C190" s="13" t="s">
        <v>595</v>
      </c>
      <c r="D190" s="13" t="s">
        <v>595</v>
      </c>
      <c r="E190" s="26">
        <v>40903.0</v>
      </c>
      <c r="F190" s="26">
        <v>2150.0</v>
      </c>
      <c r="G190" s="26">
        <v>2179.0</v>
      </c>
      <c r="H190" s="26">
        <v>2208.0</v>
      </c>
      <c r="I190" s="26">
        <v>2296.0</v>
      </c>
      <c r="J190" s="26">
        <v>2326.0</v>
      </c>
      <c r="K190" s="26">
        <v>2355.0</v>
      </c>
      <c r="L190" s="13">
        <v>0.0</v>
      </c>
      <c r="M190" s="13">
        <v>0.0</v>
      </c>
      <c r="N190" s="13">
        <v>0.0</v>
      </c>
      <c r="O190" s="13">
        <v>0.0</v>
      </c>
      <c r="P190" s="13">
        <v>0.0</v>
      </c>
      <c r="Q190" s="13">
        <v>0.0</v>
      </c>
      <c r="R190" s="27">
        <f t="shared" ref="R190:W190" si="191">(L190/F190)*100000</f>
        <v>0</v>
      </c>
      <c r="S190" s="27">
        <f t="shared" si="191"/>
        <v>0</v>
      </c>
      <c r="T190" s="27">
        <f t="shared" si="191"/>
        <v>0</v>
      </c>
      <c r="U190" s="27">
        <f t="shared" si="191"/>
        <v>0</v>
      </c>
      <c r="V190" s="27">
        <f t="shared" si="191"/>
        <v>0</v>
      </c>
      <c r="W190" s="27">
        <f t="shared" si="191"/>
        <v>0</v>
      </c>
      <c r="X190" s="27">
        <f t="shared" si="3"/>
        <v>0</v>
      </c>
      <c r="Y190" s="27">
        <f t="shared" si="4"/>
        <v>0</v>
      </c>
    </row>
    <row r="191" ht="14.25" customHeight="1">
      <c r="A191" s="13" t="s">
        <v>210</v>
      </c>
      <c r="B191" s="13" t="s">
        <v>596</v>
      </c>
      <c r="C191" s="13" t="s">
        <v>225</v>
      </c>
      <c r="D191" s="13" t="s">
        <v>225</v>
      </c>
      <c r="E191" s="26">
        <v>41001.0</v>
      </c>
      <c r="F191" s="26">
        <v>11004.0</v>
      </c>
      <c r="G191" s="26">
        <v>11176.0</v>
      </c>
      <c r="H191" s="26">
        <v>11347.0</v>
      </c>
      <c r="I191" s="26">
        <v>11860.0</v>
      </c>
      <c r="J191" s="26">
        <v>12031.0</v>
      </c>
      <c r="K191" s="26">
        <v>12202.0</v>
      </c>
      <c r="L191" s="13">
        <v>0.0</v>
      </c>
      <c r="M191" s="13">
        <v>1.0</v>
      </c>
      <c r="N191" s="13">
        <v>0.0</v>
      </c>
      <c r="O191" s="13">
        <v>1.0</v>
      </c>
      <c r="P191" s="13">
        <v>0.0</v>
      </c>
      <c r="Q191" s="13">
        <v>0.0</v>
      </c>
      <c r="R191" s="27">
        <f t="shared" ref="R191:W191" si="192">(L191/F191)*100000</f>
        <v>0</v>
      </c>
      <c r="S191" s="27">
        <f t="shared" si="192"/>
        <v>8.947745168</v>
      </c>
      <c r="T191" s="27">
        <f t="shared" si="192"/>
        <v>0</v>
      </c>
      <c r="U191" s="27">
        <f t="shared" si="192"/>
        <v>8.431703204</v>
      </c>
      <c r="V191" s="27">
        <f t="shared" si="192"/>
        <v>0</v>
      </c>
      <c r="W191" s="27">
        <f t="shared" si="192"/>
        <v>0</v>
      </c>
      <c r="X191" s="27">
        <f t="shared" si="3"/>
        <v>2.982581723</v>
      </c>
      <c r="Y191" s="27">
        <f t="shared" si="4"/>
        <v>2.810567735</v>
      </c>
    </row>
    <row r="192" ht="14.25" customHeight="1">
      <c r="A192" s="13" t="s">
        <v>210</v>
      </c>
      <c r="B192" s="13" t="s">
        <v>597</v>
      </c>
      <c r="C192" s="13" t="s">
        <v>598</v>
      </c>
      <c r="D192" s="13" t="s">
        <v>598</v>
      </c>
      <c r="E192" s="26">
        <v>41101.0</v>
      </c>
      <c r="F192" s="26">
        <v>5295.0</v>
      </c>
      <c r="G192" s="26">
        <v>5301.0</v>
      </c>
      <c r="H192" s="26">
        <v>5307.0</v>
      </c>
      <c r="I192" s="26">
        <v>5324.0</v>
      </c>
      <c r="J192" s="26">
        <v>5329.0</v>
      </c>
      <c r="K192" s="26">
        <v>5335.0</v>
      </c>
      <c r="L192" s="13">
        <v>0.0</v>
      </c>
      <c r="M192" s="13">
        <v>0.0</v>
      </c>
      <c r="N192" s="13">
        <v>0.0</v>
      </c>
      <c r="O192" s="13">
        <v>0.0</v>
      </c>
      <c r="P192" s="13">
        <v>0.0</v>
      </c>
      <c r="Q192" s="13">
        <v>0.0</v>
      </c>
      <c r="R192" s="27">
        <f t="shared" ref="R192:W192" si="193">(L192/F192)*100000</f>
        <v>0</v>
      </c>
      <c r="S192" s="27">
        <f t="shared" si="193"/>
        <v>0</v>
      </c>
      <c r="T192" s="27">
        <f t="shared" si="193"/>
        <v>0</v>
      </c>
      <c r="U192" s="27">
        <f t="shared" si="193"/>
        <v>0</v>
      </c>
      <c r="V192" s="27">
        <f t="shared" si="193"/>
        <v>0</v>
      </c>
      <c r="W192" s="27">
        <f t="shared" si="193"/>
        <v>0</v>
      </c>
      <c r="X192" s="27">
        <f t="shared" si="3"/>
        <v>0</v>
      </c>
      <c r="Y192" s="27">
        <f t="shared" si="4"/>
        <v>0</v>
      </c>
    </row>
    <row r="193" ht="14.25" customHeight="1">
      <c r="A193" s="13" t="s">
        <v>210</v>
      </c>
      <c r="B193" s="13" t="s">
        <v>599</v>
      </c>
      <c r="C193" s="13" t="s">
        <v>600</v>
      </c>
      <c r="D193" s="13" t="s">
        <v>601</v>
      </c>
      <c r="E193" s="26">
        <v>41201.0</v>
      </c>
      <c r="F193" s="26">
        <v>5672.0</v>
      </c>
      <c r="G193" s="26">
        <v>5764.0</v>
      </c>
      <c r="H193" s="26">
        <v>5855.0</v>
      </c>
      <c r="I193" s="26">
        <v>6129.0</v>
      </c>
      <c r="J193" s="26">
        <v>6220.0</v>
      </c>
      <c r="K193" s="26">
        <v>6311.0</v>
      </c>
      <c r="L193" s="13">
        <v>0.0</v>
      </c>
      <c r="M193" s="13">
        <v>0.0</v>
      </c>
      <c r="N193" s="13">
        <v>0.0</v>
      </c>
      <c r="O193" s="13">
        <v>0.0</v>
      </c>
      <c r="P193" s="13">
        <v>0.0</v>
      </c>
      <c r="Q193" s="13">
        <v>0.0</v>
      </c>
      <c r="R193" s="27">
        <f t="shared" ref="R193:W193" si="194">(L193/F193)*100000</f>
        <v>0</v>
      </c>
      <c r="S193" s="27">
        <f t="shared" si="194"/>
        <v>0</v>
      </c>
      <c r="T193" s="27">
        <f t="shared" si="194"/>
        <v>0</v>
      </c>
      <c r="U193" s="27">
        <f t="shared" si="194"/>
        <v>0</v>
      </c>
      <c r="V193" s="27">
        <f t="shared" si="194"/>
        <v>0</v>
      </c>
      <c r="W193" s="27">
        <f t="shared" si="194"/>
        <v>0</v>
      </c>
      <c r="X193" s="27">
        <f t="shared" si="3"/>
        <v>0</v>
      </c>
      <c r="Y193" s="27">
        <f t="shared" si="4"/>
        <v>0</v>
      </c>
    </row>
    <row r="194" ht="14.25" customHeight="1">
      <c r="A194" s="13" t="s">
        <v>210</v>
      </c>
      <c r="B194" s="13" t="s">
        <v>599</v>
      </c>
      <c r="C194" s="13" t="s">
        <v>234</v>
      </c>
      <c r="D194" s="13" t="s">
        <v>234</v>
      </c>
      <c r="E194" s="26">
        <v>41202.0</v>
      </c>
      <c r="F194" s="26">
        <v>2451.0</v>
      </c>
      <c r="G194" s="26">
        <v>2539.0</v>
      </c>
      <c r="H194" s="26">
        <v>2626.0</v>
      </c>
      <c r="I194" s="26">
        <v>2887.0</v>
      </c>
      <c r="J194" s="26">
        <v>2974.0</v>
      </c>
      <c r="K194" s="26">
        <v>3061.0</v>
      </c>
      <c r="L194" s="13">
        <v>0.0</v>
      </c>
      <c r="M194" s="13">
        <v>0.0</v>
      </c>
      <c r="N194" s="13">
        <v>0.0</v>
      </c>
      <c r="O194" s="13">
        <v>1.0</v>
      </c>
      <c r="P194" s="13">
        <v>0.0</v>
      </c>
      <c r="Q194" s="13">
        <v>0.0</v>
      </c>
      <c r="R194" s="27">
        <f t="shared" ref="R194:W194" si="195">(L194/F194)*100000</f>
        <v>0</v>
      </c>
      <c r="S194" s="27">
        <f t="shared" si="195"/>
        <v>0</v>
      </c>
      <c r="T194" s="27">
        <f t="shared" si="195"/>
        <v>0</v>
      </c>
      <c r="U194" s="27">
        <f t="shared" si="195"/>
        <v>34.63803256</v>
      </c>
      <c r="V194" s="27">
        <f t="shared" si="195"/>
        <v>0</v>
      </c>
      <c r="W194" s="27">
        <f t="shared" si="195"/>
        <v>0</v>
      </c>
      <c r="X194" s="27">
        <f t="shared" si="3"/>
        <v>0</v>
      </c>
      <c r="Y194" s="27">
        <f t="shared" si="4"/>
        <v>11.54601085</v>
      </c>
    </row>
    <row r="195" ht="14.25" customHeight="1">
      <c r="A195" s="13" t="s">
        <v>210</v>
      </c>
      <c r="B195" s="13" t="s">
        <v>237</v>
      </c>
      <c r="C195" s="13" t="s">
        <v>563</v>
      </c>
      <c r="D195" s="13" t="s">
        <v>563</v>
      </c>
      <c r="E195" s="26">
        <v>41301.0</v>
      </c>
      <c r="F195" s="26">
        <v>5992.0</v>
      </c>
      <c r="G195" s="26">
        <v>6084.0</v>
      </c>
      <c r="H195" s="26">
        <v>6176.0</v>
      </c>
      <c r="I195" s="26">
        <v>6453.0</v>
      </c>
      <c r="J195" s="26">
        <v>6545.0</v>
      </c>
      <c r="K195" s="26">
        <v>6637.0</v>
      </c>
      <c r="L195" s="13">
        <v>0.0</v>
      </c>
      <c r="M195" s="13">
        <v>0.0</v>
      </c>
      <c r="N195" s="13">
        <v>0.0</v>
      </c>
      <c r="O195" s="13">
        <v>0.0</v>
      </c>
      <c r="P195" s="13">
        <v>0.0</v>
      </c>
      <c r="Q195" s="13">
        <v>0.0</v>
      </c>
      <c r="R195" s="27">
        <f t="shared" ref="R195:W195" si="196">(L195/F195)*100000</f>
        <v>0</v>
      </c>
      <c r="S195" s="27">
        <f t="shared" si="196"/>
        <v>0</v>
      </c>
      <c r="T195" s="27">
        <f t="shared" si="196"/>
        <v>0</v>
      </c>
      <c r="U195" s="27">
        <f t="shared" si="196"/>
        <v>0</v>
      </c>
      <c r="V195" s="27">
        <f t="shared" si="196"/>
        <v>0</v>
      </c>
      <c r="W195" s="27">
        <f t="shared" si="196"/>
        <v>0</v>
      </c>
      <c r="X195" s="27">
        <f t="shared" si="3"/>
        <v>0</v>
      </c>
      <c r="Y195" s="27">
        <f t="shared" si="4"/>
        <v>0</v>
      </c>
    </row>
    <row r="196" ht="14.25" customHeight="1">
      <c r="A196" s="13" t="s">
        <v>210</v>
      </c>
      <c r="B196" s="13" t="s">
        <v>602</v>
      </c>
      <c r="C196" s="13" t="s">
        <v>603</v>
      </c>
      <c r="D196" s="13" t="s">
        <v>603</v>
      </c>
      <c r="E196" s="26">
        <v>41401.0</v>
      </c>
      <c r="F196" s="26">
        <v>13374.0</v>
      </c>
      <c r="G196" s="26">
        <v>13393.0</v>
      </c>
      <c r="H196" s="26">
        <v>13411.0</v>
      </c>
      <c r="I196" s="26">
        <v>13466.0</v>
      </c>
      <c r="J196" s="26">
        <v>13484.0</v>
      </c>
      <c r="K196" s="26">
        <v>13502.0</v>
      </c>
      <c r="L196" s="13">
        <v>0.0</v>
      </c>
      <c r="M196" s="13">
        <v>0.0</v>
      </c>
      <c r="N196" s="13">
        <v>0.0</v>
      </c>
      <c r="O196" s="13">
        <v>0.0</v>
      </c>
      <c r="P196" s="13">
        <v>0.0</v>
      </c>
      <c r="Q196" s="13">
        <v>1.0</v>
      </c>
      <c r="R196" s="27">
        <f t="shared" ref="R196:W196" si="197">(L196/F196)*100000</f>
        <v>0</v>
      </c>
      <c r="S196" s="27">
        <f t="shared" si="197"/>
        <v>0</v>
      </c>
      <c r="T196" s="27">
        <f t="shared" si="197"/>
        <v>0</v>
      </c>
      <c r="U196" s="27">
        <f t="shared" si="197"/>
        <v>0</v>
      </c>
      <c r="V196" s="27">
        <f t="shared" si="197"/>
        <v>0</v>
      </c>
      <c r="W196" s="27">
        <f t="shared" si="197"/>
        <v>7.406310176</v>
      </c>
      <c r="X196" s="27">
        <f t="shared" si="3"/>
        <v>0</v>
      </c>
      <c r="Y196" s="27">
        <f t="shared" si="4"/>
        <v>2.468770059</v>
      </c>
    </row>
    <row r="197" ht="14.25" customHeight="1">
      <c r="A197" s="13" t="s">
        <v>210</v>
      </c>
      <c r="B197" s="13" t="s">
        <v>604</v>
      </c>
      <c r="C197" s="13" t="s">
        <v>605</v>
      </c>
      <c r="D197" s="13" t="s">
        <v>605</v>
      </c>
      <c r="E197" s="26">
        <v>41501.0</v>
      </c>
      <c r="F197" s="26">
        <v>823.0</v>
      </c>
      <c r="G197" s="26">
        <v>886.0</v>
      </c>
      <c r="H197" s="26">
        <v>948.0</v>
      </c>
      <c r="I197" s="26">
        <v>1137.0</v>
      </c>
      <c r="J197" s="26">
        <v>1199.0</v>
      </c>
      <c r="K197" s="26">
        <v>1262.0</v>
      </c>
      <c r="L197" s="13">
        <v>0.0</v>
      </c>
      <c r="M197" s="13">
        <v>0.0</v>
      </c>
      <c r="N197" s="13">
        <v>0.0</v>
      </c>
      <c r="O197" s="13">
        <v>0.0</v>
      </c>
      <c r="P197" s="13">
        <v>0.0</v>
      </c>
      <c r="Q197" s="13">
        <v>0.0</v>
      </c>
      <c r="R197" s="27">
        <f t="shared" ref="R197:W197" si="198">(L197/F197)*100000</f>
        <v>0</v>
      </c>
      <c r="S197" s="27">
        <f t="shared" si="198"/>
        <v>0</v>
      </c>
      <c r="T197" s="27">
        <f t="shared" si="198"/>
        <v>0</v>
      </c>
      <c r="U197" s="27">
        <f t="shared" si="198"/>
        <v>0</v>
      </c>
      <c r="V197" s="27">
        <f t="shared" si="198"/>
        <v>0</v>
      </c>
      <c r="W197" s="27">
        <f t="shared" si="198"/>
        <v>0</v>
      </c>
      <c r="X197" s="27">
        <f t="shared" si="3"/>
        <v>0</v>
      </c>
      <c r="Y197" s="27">
        <f t="shared" si="4"/>
        <v>0</v>
      </c>
    </row>
    <row r="198" ht="14.25" customHeight="1">
      <c r="A198" s="13" t="s">
        <v>210</v>
      </c>
      <c r="B198" s="13" t="s">
        <v>604</v>
      </c>
      <c r="C198" s="13" t="s">
        <v>606</v>
      </c>
      <c r="D198" s="13" t="s">
        <v>606</v>
      </c>
      <c r="E198" s="26">
        <v>41502.0</v>
      </c>
      <c r="F198" s="26">
        <v>899.0</v>
      </c>
      <c r="G198" s="26">
        <v>934.0</v>
      </c>
      <c r="H198" s="26">
        <v>968.0</v>
      </c>
      <c r="I198" s="26">
        <v>1071.0</v>
      </c>
      <c r="J198" s="26">
        <v>1106.0</v>
      </c>
      <c r="K198" s="26">
        <v>1140.0</v>
      </c>
      <c r="L198" s="13">
        <v>0.0</v>
      </c>
      <c r="M198" s="13">
        <v>0.0</v>
      </c>
      <c r="N198" s="13">
        <v>0.0</v>
      </c>
      <c r="O198" s="13">
        <v>0.0</v>
      </c>
      <c r="P198" s="13">
        <v>0.0</v>
      </c>
      <c r="Q198" s="13">
        <v>0.0</v>
      </c>
      <c r="R198" s="27">
        <f t="shared" ref="R198:W198" si="199">(L198/F198)*100000</f>
        <v>0</v>
      </c>
      <c r="S198" s="27">
        <f t="shared" si="199"/>
        <v>0</v>
      </c>
      <c r="T198" s="27">
        <f t="shared" si="199"/>
        <v>0</v>
      </c>
      <c r="U198" s="27">
        <f t="shared" si="199"/>
        <v>0</v>
      </c>
      <c r="V198" s="27">
        <f t="shared" si="199"/>
        <v>0</v>
      </c>
      <c r="W198" s="27">
        <f t="shared" si="199"/>
        <v>0</v>
      </c>
      <c r="X198" s="27">
        <f t="shared" si="3"/>
        <v>0</v>
      </c>
      <c r="Y198" s="27">
        <f t="shared" si="4"/>
        <v>0</v>
      </c>
    </row>
    <row r="199" ht="14.25" customHeight="1">
      <c r="A199" s="13" t="s">
        <v>210</v>
      </c>
      <c r="B199" s="13" t="s">
        <v>604</v>
      </c>
      <c r="C199" s="13" t="s">
        <v>240</v>
      </c>
      <c r="D199" s="13" t="s">
        <v>240</v>
      </c>
      <c r="E199" s="26">
        <v>41503.0</v>
      </c>
      <c r="F199" s="26">
        <v>960.0</v>
      </c>
      <c r="G199" s="26">
        <v>985.0</v>
      </c>
      <c r="H199" s="26">
        <v>1009.0</v>
      </c>
      <c r="I199" s="26">
        <v>1081.0</v>
      </c>
      <c r="J199" s="26">
        <v>1105.0</v>
      </c>
      <c r="K199" s="26">
        <v>1129.0</v>
      </c>
      <c r="L199" s="13">
        <v>0.0</v>
      </c>
      <c r="M199" s="13">
        <v>0.0</v>
      </c>
      <c r="N199" s="13">
        <v>0.0</v>
      </c>
      <c r="O199" s="13">
        <v>0.0</v>
      </c>
      <c r="P199" s="13">
        <v>0.0</v>
      </c>
      <c r="Q199" s="13">
        <v>0.0</v>
      </c>
      <c r="R199" s="27">
        <f t="shared" ref="R199:W199" si="200">(L199/F199)*100000</f>
        <v>0</v>
      </c>
      <c r="S199" s="27">
        <f t="shared" si="200"/>
        <v>0</v>
      </c>
      <c r="T199" s="27">
        <f t="shared" si="200"/>
        <v>0</v>
      </c>
      <c r="U199" s="27">
        <f t="shared" si="200"/>
        <v>0</v>
      </c>
      <c r="V199" s="27">
        <f t="shared" si="200"/>
        <v>0</v>
      </c>
      <c r="W199" s="27">
        <f t="shared" si="200"/>
        <v>0</v>
      </c>
      <c r="X199" s="27">
        <f t="shared" si="3"/>
        <v>0</v>
      </c>
      <c r="Y199" s="27">
        <f t="shared" si="4"/>
        <v>0</v>
      </c>
    </row>
    <row r="200" ht="14.25" customHeight="1">
      <c r="A200" s="13" t="s">
        <v>210</v>
      </c>
      <c r="B200" s="13" t="s">
        <v>607</v>
      </c>
      <c r="C200" s="13" t="s">
        <v>235</v>
      </c>
      <c r="D200" s="13" t="s">
        <v>608</v>
      </c>
      <c r="E200" s="26">
        <v>41601.0</v>
      </c>
      <c r="F200" s="26">
        <v>5708.0</v>
      </c>
      <c r="G200" s="26">
        <v>5749.0</v>
      </c>
      <c r="H200" s="26">
        <v>5790.0</v>
      </c>
      <c r="I200" s="26">
        <v>5914.0</v>
      </c>
      <c r="J200" s="26">
        <v>5955.0</v>
      </c>
      <c r="K200" s="26">
        <v>5996.0</v>
      </c>
      <c r="L200" s="13">
        <v>0.0</v>
      </c>
      <c r="M200" s="13">
        <v>0.0</v>
      </c>
      <c r="N200" s="13">
        <v>1.0</v>
      </c>
      <c r="O200" s="13">
        <v>0.0</v>
      </c>
      <c r="P200" s="13">
        <v>0.0</v>
      </c>
      <c r="Q200" s="13">
        <v>0.0</v>
      </c>
      <c r="R200" s="27">
        <f t="shared" ref="R200:W200" si="201">(L200/F200)*100000</f>
        <v>0</v>
      </c>
      <c r="S200" s="27">
        <f t="shared" si="201"/>
        <v>0</v>
      </c>
      <c r="T200" s="27">
        <f t="shared" si="201"/>
        <v>17.27115717</v>
      </c>
      <c r="U200" s="27">
        <f t="shared" si="201"/>
        <v>0</v>
      </c>
      <c r="V200" s="27">
        <f t="shared" si="201"/>
        <v>0</v>
      </c>
      <c r="W200" s="27">
        <f t="shared" si="201"/>
        <v>0</v>
      </c>
      <c r="X200" s="27">
        <f t="shared" si="3"/>
        <v>5.757052389</v>
      </c>
      <c r="Y200" s="27">
        <f t="shared" si="4"/>
        <v>0</v>
      </c>
    </row>
    <row r="201" ht="14.25" customHeight="1">
      <c r="A201" s="13" t="s">
        <v>244</v>
      </c>
      <c r="B201" s="13" t="s">
        <v>609</v>
      </c>
      <c r="C201" s="13" t="s">
        <v>244</v>
      </c>
      <c r="D201" s="13" t="s">
        <v>244</v>
      </c>
      <c r="E201" s="26">
        <v>50101.0</v>
      </c>
      <c r="F201" s="26">
        <v>202719.0</v>
      </c>
      <c r="G201" s="26">
        <v>205002.0</v>
      </c>
      <c r="H201" s="26">
        <v>207285.0</v>
      </c>
      <c r="I201" s="26">
        <v>214135.0</v>
      </c>
      <c r="J201" s="26">
        <v>216419.0</v>
      </c>
      <c r="K201" s="26">
        <v>218702.0</v>
      </c>
      <c r="L201" s="13">
        <v>6.0</v>
      </c>
      <c r="M201" s="13">
        <v>19.0</v>
      </c>
      <c r="N201" s="13">
        <v>12.0</v>
      </c>
      <c r="O201" s="13">
        <v>12.0</v>
      </c>
      <c r="P201" s="13">
        <v>7.0</v>
      </c>
      <c r="Q201" s="13">
        <v>5.0</v>
      </c>
      <c r="R201" s="27">
        <f t="shared" ref="R201:W201" si="202">(L201/F201)*100000</f>
        <v>2.959762035</v>
      </c>
      <c r="S201" s="27">
        <f t="shared" si="202"/>
        <v>9.268202261</v>
      </c>
      <c r="T201" s="27">
        <f t="shared" si="202"/>
        <v>5.789130907</v>
      </c>
      <c r="U201" s="27">
        <f t="shared" si="202"/>
        <v>5.603941439</v>
      </c>
      <c r="V201" s="27">
        <f t="shared" si="202"/>
        <v>3.234466475</v>
      </c>
      <c r="W201" s="27">
        <f t="shared" si="202"/>
        <v>2.286215947</v>
      </c>
      <c r="X201" s="27">
        <f t="shared" si="3"/>
        <v>6.005698401</v>
      </c>
      <c r="Y201" s="27">
        <f t="shared" si="4"/>
        <v>3.708207953</v>
      </c>
    </row>
    <row r="202" ht="14.25" customHeight="1">
      <c r="A202" s="13" t="s">
        <v>244</v>
      </c>
      <c r="B202" s="13" t="s">
        <v>609</v>
      </c>
      <c r="C202" s="13" t="s">
        <v>246</v>
      </c>
      <c r="D202" s="13" t="s">
        <v>246</v>
      </c>
      <c r="E202" s="26">
        <v>50102.0</v>
      </c>
      <c r="F202" s="26">
        <v>27926.0</v>
      </c>
      <c r="G202" s="26">
        <v>28071.0</v>
      </c>
      <c r="H202" s="26">
        <v>28216.0</v>
      </c>
      <c r="I202" s="26">
        <v>28652.0</v>
      </c>
      <c r="J202" s="26">
        <v>28797.0</v>
      </c>
      <c r="K202" s="26">
        <v>28942.0</v>
      </c>
      <c r="L202" s="13">
        <v>0.0</v>
      </c>
      <c r="M202" s="13">
        <v>0.0</v>
      </c>
      <c r="N202" s="13">
        <v>0.0</v>
      </c>
      <c r="O202" s="13">
        <v>1.0</v>
      </c>
      <c r="P202" s="13">
        <v>0.0</v>
      </c>
      <c r="Q202" s="13">
        <v>0.0</v>
      </c>
      <c r="R202" s="27">
        <f t="shared" ref="R202:W202" si="203">(L202/F202)*100000</f>
        <v>0</v>
      </c>
      <c r="S202" s="27">
        <f t="shared" si="203"/>
        <v>0</v>
      </c>
      <c r="T202" s="27">
        <f t="shared" si="203"/>
        <v>0</v>
      </c>
      <c r="U202" s="27">
        <f t="shared" si="203"/>
        <v>3.490157755</v>
      </c>
      <c r="V202" s="27">
        <f t="shared" si="203"/>
        <v>0</v>
      </c>
      <c r="W202" s="27">
        <f t="shared" si="203"/>
        <v>0</v>
      </c>
      <c r="X202" s="27">
        <f t="shared" si="3"/>
        <v>0</v>
      </c>
      <c r="Y202" s="27">
        <f t="shared" si="4"/>
        <v>1.163385918</v>
      </c>
    </row>
    <row r="203" ht="14.25" customHeight="1">
      <c r="A203" s="13" t="s">
        <v>244</v>
      </c>
      <c r="B203" s="13" t="s">
        <v>609</v>
      </c>
      <c r="C203" s="13" t="s">
        <v>610</v>
      </c>
      <c r="D203" s="13" t="s">
        <v>611</v>
      </c>
      <c r="E203" s="26">
        <v>50103.0</v>
      </c>
      <c r="F203" s="26">
        <v>10343.0</v>
      </c>
      <c r="G203" s="26">
        <v>10616.0</v>
      </c>
      <c r="H203" s="26">
        <v>10889.0</v>
      </c>
      <c r="I203" s="26">
        <v>11707.0</v>
      </c>
      <c r="J203" s="26">
        <v>11980.0</v>
      </c>
      <c r="K203" s="26">
        <v>12253.0</v>
      </c>
      <c r="L203" s="13">
        <v>0.0</v>
      </c>
      <c r="M203" s="13">
        <v>0.0</v>
      </c>
      <c r="N203" s="13">
        <v>0.0</v>
      </c>
      <c r="O203" s="13">
        <v>0.0</v>
      </c>
      <c r="P203" s="13">
        <v>0.0</v>
      </c>
      <c r="Q203" s="13">
        <v>0.0</v>
      </c>
      <c r="R203" s="27">
        <f t="shared" ref="R203:W203" si="204">(L203/F203)*100000</f>
        <v>0</v>
      </c>
      <c r="S203" s="27">
        <f t="shared" si="204"/>
        <v>0</v>
      </c>
      <c r="T203" s="27">
        <f t="shared" si="204"/>
        <v>0</v>
      </c>
      <c r="U203" s="27">
        <f t="shared" si="204"/>
        <v>0</v>
      </c>
      <c r="V203" s="27">
        <f t="shared" si="204"/>
        <v>0</v>
      </c>
      <c r="W203" s="27">
        <f t="shared" si="204"/>
        <v>0</v>
      </c>
      <c r="X203" s="27">
        <f t="shared" si="3"/>
        <v>0</v>
      </c>
      <c r="Y203" s="27">
        <f t="shared" si="4"/>
        <v>0</v>
      </c>
    </row>
    <row r="204" ht="14.25" customHeight="1">
      <c r="A204" s="13" t="s">
        <v>244</v>
      </c>
      <c r="B204" s="13" t="s">
        <v>609</v>
      </c>
      <c r="C204" s="13" t="s">
        <v>612</v>
      </c>
      <c r="D204" s="13" t="s">
        <v>613</v>
      </c>
      <c r="E204" s="26">
        <v>50104.0</v>
      </c>
      <c r="F204" s="26">
        <v>2910.0</v>
      </c>
      <c r="G204" s="26">
        <v>2940.0</v>
      </c>
      <c r="H204" s="26">
        <v>2970.0</v>
      </c>
      <c r="I204" s="26">
        <v>3061.0</v>
      </c>
      <c r="J204" s="26">
        <v>3091.0</v>
      </c>
      <c r="K204" s="26">
        <v>3121.0</v>
      </c>
      <c r="L204" s="13">
        <v>0.0</v>
      </c>
      <c r="M204" s="13">
        <v>0.0</v>
      </c>
      <c r="N204" s="13">
        <v>0.0</v>
      </c>
      <c r="O204" s="13">
        <v>0.0</v>
      </c>
      <c r="P204" s="13">
        <v>0.0</v>
      </c>
      <c r="Q204" s="13">
        <v>0.0</v>
      </c>
      <c r="R204" s="27">
        <f t="shared" ref="R204:W204" si="205">(L204/F204)*100000</f>
        <v>0</v>
      </c>
      <c r="S204" s="27">
        <f t="shared" si="205"/>
        <v>0</v>
      </c>
      <c r="T204" s="27">
        <f t="shared" si="205"/>
        <v>0</v>
      </c>
      <c r="U204" s="27">
        <f t="shared" si="205"/>
        <v>0</v>
      </c>
      <c r="V204" s="27">
        <f t="shared" si="205"/>
        <v>0</v>
      </c>
      <c r="W204" s="27">
        <f t="shared" si="205"/>
        <v>0</v>
      </c>
      <c r="X204" s="27">
        <f t="shared" si="3"/>
        <v>0</v>
      </c>
      <c r="Y204" s="27">
        <f t="shared" si="4"/>
        <v>0</v>
      </c>
    </row>
    <row r="205" ht="14.25" customHeight="1">
      <c r="A205" s="13" t="s">
        <v>244</v>
      </c>
      <c r="B205" s="13" t="s">
        <v>614</v>
      </c>
      <c r="C205" s="13" t="s">
        <v>249</v>
      </c>
      <c r="D205" s="13" t="s">
        <v>249</v>
      </c>
      <c r="E205" s="26">
        <v>50201.0</v>
      </c>
      <c r="F205" s="26">
        <v>22332.0</v>
      </c>
      <c r="G205" s="26">
        <v>22394.0</v>
      </c>
      <c r="H205" s="26">
        <v>22456.0</v>
      </c>
      <c r="I205" s="26">
        <v>22643.0</v>
      </c>
      <c r="J205" s="26">
        <v>22706.0</v>
      </c>
      <c r="K205" s="26">
        <v>22768.0</v>
      </c>
      <c r="L205" s="13">
        <v>0.0</v>
      </c>
      <c r="M205" s="13">
        <v>0.0</v>
      </c>
      <c r="N205" s="13">
        <v>0.0</v>
      </c>
      <c r="O205" s="13">
        <v>3.0</v>
      </c>
      <c r="P205" s="13">
        <v>1.0</v>
      </c>
      <c r="Q205" s="13">
        <v>1.0</v>
      </c>
      <c r="R205" s="27">
        <f t="shared" ref="R205:W205" si="206">(L205/F205)*100000</f>
        <v>0</v>
      </c>
      <c r="S205" s="27">
        <f t="shared" si="206"/>
        <v>0</v>
      </c>
      <c r="T205" s="27">
        <f t="shared" si="206"/>
        <v>0</v>
      </c>
      <c r="U205" s="27">
        <f t="shared" si="206"/>
        <v>13.24912777</v>
      </c>
      <c r="V205" s="27">
        <f t="shared" si="206"/>
        <v>4.404122258</v>
      </c>
      <c r="W205" s="27">
        <f t="shared" si="206"/>
        <v>4.392129304</v>
      </c>
      <c r="X205" s="27">
        <f t="shared" si="3"/>
        <v>0</v>
      </c>
      <c r="Y205" s="27">
        <f t="shared" si="4"/>
        <v>7.348459776</v>
      </c>
    </row>
    <row r="206" ht="14.25" customHeight="1">
      <c r="A206" s="13" t="s">
        <v>244</v>
      </c>
      <c r="B206" s="13" t="s">
        <v>614</v>
      </c>
      <c r="C206" s="13" t="s">
        <v>615</v>
      </c>
      <c r="D206" s="13" t="s">
        <v>615</v>
      </c>
      <c r="E206" s="26">
        <v>50202.0</v>
      </c>
      <c r="F206" s="26">
        <v>16084.0</v>
      </c>
      <c r="G206" s="26">
        <v>16075.0</v>
      </c>
      <c r="H206" s="26">
        <v>16066.0</v>
      </c>
      <c r="I206" s="26">
        <v>16039.0</v>
      </c>
      <c r="J206" s="26">
        <v>16030.0</v>
      </c>
      <c r="K206" s="26">
        <v>16021.0</v>
      </c>
      <c r="L206" s="13">
        <v>0.0</v>
      </c>
      <c r="M206" s="13">
        <v>0.0</v>
      </c>
      <c r="N206" s="13">
        <v>0.0</v>
      </c>
      <c r="O206" s="13">
        <v>0.0</v>
      </c>
      <c r="P206" s="13">
        <v>0.0</v>
      </c>
      <c r="Q206" s="13">
        <v>0.0</v>
      </c>
      <c r="R206" s="27">
        <f t="shared" ref="R206:W206" si="207">(L206/F206)*100000</f>
        <v>0</v>
      </c>
      <c r="S206" s="27">
        <f t="shared" si="207"/>
        <v>0</v>
      </c>
      <c r="T206" s="27">
        <f t="shared" si="207"/>
        <v>0</v>
      </c>
      <c r="U206" s="27">
        <f t="shared" si="207"/>
        <v>0</v>
      </c>
      <c r="V206" s="27">
        <f t="shared" si="207"/>
        <v>0</v>
      </c>
      <c r="W206" s="27">
        <f t="shared" si="207"/>
        <v>0</v>
      </c>
      <c r="X206" s="27">
        <f t="shared" si="3"/>
        <v>0</v>
      </c>
      <c r="Y206" s="27">
        <f t="shared" si="4"/>
        <v>0</v>
      </c>
    </row>
    <row r="207" ht="14.25" customHeight="1">
      <c r="A207" s="13" t="s">
        <v>244</v>
      </c>
      <c r="B207" s="13" t="s">
        <v>614</v>
      </c>
      <c r="C207" s="13" t="s">
        <v>252</v>
      </c>
      <c r="D207" s="13" t="s">
        <v>252</v>
      </c>
      <c r="E207" s="26">
        <v>50203.0</v>
      </c>
      <c r="F207" s="26">
        <v>41347.0</v>
      </c>
      <c r="G207" s="26">
        <v>41395.0</v>
      </c>
      <c r="H207" s="26">
        <v>41444.0</v>
      </c>
      <c r="I207" s="26">
        <v>41589.0</v>
      </c>
      <c r="J207" s="26">
        <v>41638.0</v>
      </c>
      <c r="K207" s="26">
        <v>41686.0</v>
      </c>
      <c r="L207" s="13">
        <v>2.0</v>
      </c>
      <c r="M207" s="13">
        <v>3.0</v>
      </c>
      <c r="N207" s="13">
        <v>4.0</v>
      </c>
      <c r="O207" s="13">
        <v>1.0</v>
      </c>
      <c r="P207" s="13">
        <v>9.0</v>
      </c>
      <c r="Q207" s="13">
        <v>0.0</v>
      </c>
      <c r="R207" s="27">
        <f t="shared" ref="R207:W207" si="208">(L207/F207)*100000</f>
        <v>4.83711031</v>
      </c>
      <c r="S207" s="27">
        <f t="shared" si="208"/>
        <v>7.247252084</v>
      </c>
      <c r="T207" s="27">
        <f t="shared" si="208"/>
        <v>9.651578033</v>
      </c>
      <c r="U207" s="27">
        <f t="shared" si="208"/>
        <v>2.404481954</v>
      </c>
      <c r="V207" s="27">
        <f t="shared" si="208"/>
        <v>21.61487103</v>
      </c>
      <c r="W207" s="27">
        <f t="shared" si="208"/>
        <v>0</v>
      </c>
      <c r="X207" s="27">
        <f t="shared" si="3"/>
        <v>7.245313476</v>
      </c>
      <c r="Y207" s="27">
        <f t="shared" si="4"/>
        <v>8.006450995</v>
      </c>
    </row>
    <row r="208" ht="14.25" customHeight="1">
      <c r="A208" s="13" t="s">
        <v>244</v>
      </c>
      <c r="B208" s="13" t="s">
        <v>614</v>
      </c>
      <c r="C208" s="13" t="s">
        <v>616</v>
      </c>
      <c r="D208" s="13" t="s">
        <v>616</v>
      </c>
      <c r="E208" s="26">
        <v>50204.0</v>
      </c>
      <c r="F208" s="26">
        <v>8103.0</v>
      </c>
      <c r="G208" s="26">
        <v>8120.0</v>
      </c>
      <c r="H208" s="26">
        <v>8136.0</v>
      </c>
      <c r="I208" s="26">
        <v>8187.0</v>
      </c>
      <c r="J208" s="26">
        <v>8203.0</v>
      </c>
      <c r="K208" s="26">
        <v>8220.0</v>
      </c>
      <c r="L208" s="13">
        <v>0.0</v>
      </c>
      <c r="M208" s="13">
        <v>0.0</v>
      </c>
      <c r="N208" s="13">
        <v>0.0</v>
      </c>
      <c r="O208" s="13">
        <v>0.0</v>
      </c>
      <c r="P208" s="13">
        <v>0.0</v>
      </c>
      <c r="Q208" s="13">
        <v>0.0</v>
      </c>
      <c r="R208" s="27">
        <f t="shared" ref="R208:W208" si="209">(L208/F208)*100000</f>
        <v>0</v>
      </c>
      <c r="S208" s="27">
        <f t="shared" si="209"/>
        <v>0</v>
      </c>
      <c r="T208" s="27">
        <f t="shared" si="209"/>
        <v>0</v>
      </c>
      <c r="U208" s="27">
        <f t="shared" si="209"/>
        <v>0</v>
      </c>
      <c r="V208" s="27">
        <f t="shared" si="209"/>
        <v>0</v>
      </c>
      <c r="W208" s="27">
        <f t="shared" si="209"/>
        <v>0</v>
      </c>
      <c r="X208" s="27">
        <f t="shared" si="3"/>
        <v>0</v>
      </c>
      <c r="Y208" s="27">
        <f t="shared" si="4"/>
        <v>0</v>
      </c>
    </row>
    <row r="209" ht="14.25" customHeight="1">
      <c r="A209" s="13" t="s">
        <v>244</v>
      </c>
      <c r="B209" s="13" t="s">
        <v>617</v>
      </c>
      <c r="C209" s="13" t="s">
        <v>254</v>
      </c>
      <c r="D209" s="13" t="s">
        <v>618</v>
      </c>
      <c r="E209" s="26">
        <v>50301.0</v>
      </c>
      <c r="F209" s="26">
        <v>33081.0</v>
      </c>
      <c r="G209" s="26">
        <v>32913.0</v>
      </c>
      <c r="H209" s="26">
        <v>32745.0</v>
      </c>
      <c r="I209" s="26">
        <v>32240.0</v>
      </c>
      <c r="J209" s="26">
        <v>32072.0</v>
      </c>
      <c r="K209" s="26">
        <v>31904.0</v>
      </c>
      <c r="L209" s="13">
        <v>0.0</v>
      </c>
      <c r="M209" s="13">
        <v>0.0</v>
      </c>
      <c r="N209" s="13">
        <v>0.0</v>
      </c>
      <c r="O209" s="13">
        <v>1.0</v>
      </c>
      <c r="P209" s="13">
        <v>0.0</v>
      </c>
      <c r="Q209" s="13">
        <v>1.0</v>
      </c>
      <c r="R209" s="27">
        <f t="shared" ref="R209:W209" si="210">(L209/F209)*100000</f>
        <v>0</v>
      </c>
      <c r="S209" s="27">
        <f t="shared" si="210"/>
        <v>0</v>
      </c>
      <c r="T209" s="27">
        <f t="shared" si="210"/>
        <v>0</v>
      </c>
      <c r="U209" s="27">
        <f t="shared" si="210"/>
        <v>3.101736973</v>
      </c>
      <c r="V209" s="27">
        <f t="shared" si="210"/>
        <v>0</v>
      </c>
      <c r="W209" s="27">
        <f t="shared" si="210"/>
        <v>3.13440321</v>
      </c>
      <c r="X209" s="27">
        <f t="shared" si="3"/>
        <v>0</v>
      </c>
      <c r="Y209" s="27">
        <f t="shared" si="4"/>
        <v>2.078713394</v>
      </c>
    </row>
    <row r="210" ht="14.25" customHeight="1">
      <c r="A210" s="13" t="s">
        <v>244</v>
      </c>
      <c r="B210" s="13" t="s">
        <v>617</v>
      </c>
      <c r="C210" s="13" t="s">
        <v>619</v>
      </c>
      <c r="D210" s="13" t="s">
        <v>619</v>
      </c>
      <c r="E210" s="26">
        <v>50302.0</v>
      </c>
      <c r="F210" s="26">
        <v>9650.0</v>
      </c>
      <c r="G210" s="26">
        <v>9598.0</v>
      </c>
      <c r="H210" s="26">
        <v>9545.0</v>
      </c>
      <c r="I210" s="26">
        <v>9389.0</v>
      </c>
      <c r="J210" s="26">
        <v>9337.0</v>
      </c>
      <c r="K210" s="26">
        <v>9285.0</v>
      </c>
      <c r="L210" s="13">
        <v>0.0</v>
      </c>
      <c r="M210" s="13">
        <v>0.0</v>
      </c>
      <c r="N210" s="13">
        <v>0.0</v>
      </c>
      <c r="O210" s="13">
        <v>0.0</v>
      </c>
      <c r="P210" s="13">
        <v>0.0</v>
      </c>
      <c r="Q210" s="13">
        <v>0.0</v>
      </c>
      <c r="R210" s="27">
        <f t="shared" ref="R210:W210" si="211">(L210/F210)*100000</f>
        <v>0</v>
      </c>
      <c r="S210" s="27">
        <f t="shared" si="211"/>
        <v>0</v>
      </c>
      <c r="T210" s="27">
        <f t="shared" si="211"/>
        <v>0</v>
      </c>
      <c r="U210" s="27">
        <f t="shared" si="211"/>
        <v>0</v>
      </c>
      <c r="V210" s="27">
        <f t="shared" si="211"/>
        <v>0</v>
      </c>
      <c r="W210" s="27">
        <f t="shared" si="211"/>
        <v>0</v>
      </c>
      <c r="X210" s="27">
        <f t="shared" si="3"/>
        <v>0</v>
      </c>
      <c r="Y210" s="27">
        <f t="shared" si="4"/>
        <v>0</v>
      </c>
    </row>
    <row r="211" ht="14.25" customHeight="1">
      <c r="A211" s="13" t="s">
        <v>244</v>
      </c>
      <c r="B211" s="13" t="s">
        <v>617</v>
      </c>
      <c r="C211" s="13" t="s">
        <v>620</v>
      </c>
      <c r="D211" s="13" t="s">
        <v>620</v>
      </c>
      <c r="E211" s="26">
        <v>50303.0</v>
      </c>
      <c r="F211" s="26">
        <v>12890.0</v>
      </c>
      <c r="G211" s="26">
        <v>13101.0</v>
      </c>
      <c r="H211" s="26">
        <v>13311.0</v>
      </c>
      <c r="I211" s="26">
        <v>13944.0</v>
      </c>
      <c r="J211" s="26">
        <v>14155.0</v>
      </c>
      <c r="K211" s="26">
        <v>14366.0</v>
      </c>
      <c r="L211" s="13">
        <v>0.0</v>
      </c>
      <c r="M211" s="13">
        <v>0.0</v>
      </c>
      <c r="N211" s="13">
        <v>0.0</v>
      </c>
      <c r="O211" s="13">
        <v>0.0</v>
      </c>
      <c r="P211" s="13">
        <v>0.0</v>
      </c>
      <c r="Q211" s="13">
        <v>0.0</v>
      </c>
      <c r="R211" s="27">
        <f t="shared" ref="R211:W211" si="212">(L211/F211)*100000</f>
        <v>0</v>
      </c>
      <c r="S211" s="27">
        <f t="shared" si="212"/>
        <v>0</v>
      </c>
      <c r="T211" s="27">
        <f t="shared" si="212"/>
        <v>0</v>
      </c>
      <c r="U211" s="27">
        <f t="shared" si="212"/>
        <v>0</v>
      </c>
      <c r="V211" s="27">
        <f t="shared" si="212"/>
        <v>0</v>
      </c>
      <c r="W211" s="27">
        <f t="shared" si="212"/>
        <v>0</v>
      </c>
      <c r="X211" s="27">
        <f t="shared" si="3"/>
        <v>0</v>
      </c>
      <c r="Y211" s="27">
        <f t="shared" si="4"/>
        <v>0</v>
      </c>
    </row>
    <row r="212" ht="14.25" customHeight="1">
      <c r="A212" s="13" t="s">
        <v>244</v>
      </c>
      <c r="B212" s="13" t="s">
        <v>615</v>
      </c>
      <c r="C212" s="13" t="s">
        <v>621</v>
      </c>
      <c r="D212" s="13" t="s">
        <v>621</v>
      </c>
      <c r="E212" s="26">
        <v>50401.0</v>
      </c>
      <c r="F212" s="26">
        <v>15720.0</v>
      </c>
      <c r="G212" s="26">
        <v>15812.0</v>
      </c>
      <c r="H212" s="26">
        <v>15903.0</v>
      </c>
      <c r="I212" s="26">
        <v>16179.0</v>
      </c>
      <c r="J212" s="26">
        <v>16271.0</v>
      </c>
      <c r="K212" s="26">
        <v>16363.0</v>
      </c>
      <c r="L212" s="13">
        <v>0.0</v>
      </c>
      <c r="M212" s="13">
        <v>0.0</v>
      </c>
      <c r="N212" s="13">
        <v>0.0</v>
      </c>
      <c r="O212" s="13">
        <v>0.0</v>
      </c>
      <c r="P212" s="13">
        <v>0.0</v>
      </c>
      <c r="Q212" s="13">
        <v>0.0</v>
      </c>
      <c r="R212" s="27">
        <f t="shared" ref="R212:W212" si="213">(L212/F212)*100000</f>
        <v>0</v>
      </c>
      <c r="S212" s="27">
        <f t="shared" si="213"/>
        <v>0</v>
      </c>
      <c r="T212" s="27">
        <f t="shared" si="213"/>
        <v>0</v>
      </c>
      <c r="U212" s="27">
        <f t="shared" si="213"/>
        <v>0</v>
      </c>
      <c r="V212" s="27">
        <f t="shared" si="213"/>
        <v>0</v>
      </c>
      <c r="W212" s="27">
        <f t="shared" si="213"/>
        <v>0</v>
      </c>
      <c r="X212" s="27">
        <f t="shared" si="3"/>
        <v>0</v>
      </c>
      <c r="Y212" s="27">
        <f t="shared" si="4"/>
        <v>0</v>
      </c>
    </row>
    <row r="213" ht="14.25" customHeight="1">
      <c r="A213" s="13" t="s">
        <v>244</v>
      </c>
      <c r="B213" s="13" t="s">
        <v>615</v>
      </c>
      <c r="C213" s="13" t="s">
        <v>622</v>
      </c>
      <c r="D213" s="13" t="s">
        <v>622</v>
      </c>
      <c r="E213" s="26">
        <v>50402.0</v>
      </c>
      <c r="F213" s="26">
        <v>19420.0</v>
      </c>
      <c r="G213" s="26">
        <v>19061.0</v>
      </c>
      <c r="H213" s="26">
        <v>18702.0</v>
      </c>
      <c r="I213" s="26">
        <v>17626.0</v>
      </c>
      <c r="J213" s="26">
        <v>17268.0</v>
      </c>
      <c r="K213" s="26">
        <v>16909.0</v>
      </c>
      <c r="L213" s="13">
        <v>0.0</v>
      </c>
      <c r="M213" s="13">
        <v>0.0</v>
      </c>
      <c r="N213" s="13">
        <v>0.0</v>
      </c>
      <c r="O213" s="13">
        <v>0.0</v>
      </c>
      <c r="P213" s="13">
        <v>0.0</v>
      </c>
      <c r="Q213" s="13">
        <v>0.0</v>
      </c>
      <c r="R213" s="27">
        <f t="shared" ref="R213:W213" si="214">(L213/F213)*100000</f>
        <v>0</v>
      </c>
      <c r="S213" s="27">
        <f t="shared" si="214"/>
        <v>0</v>
      </c>
      <c r="T213" s="27">
        <f t="shared" si="214"/>
        <v>0</v>
      </c>
      <c r="U213" s="27">
        <f t="shared" si="214"/>
        <v>0</v>
      </c>
      <c r="V213" s="27">
        <f t="shared" si="214"/>
        <v>0</v>
      </c>
      <c r="W213" s="27">
        <f t="shared" si="214"/>
        <v>0</v>
      </c>
      <c r="X213" s="27">
        <f t="shared" si="3"/>
        <v>0</v>
      </c>
      <c r="Y213" s="27">
        <f t="shared" si="4"/>
        <v>0</v>
      </c>
    </row>
    <row r="214" ht="14.25" customHeight="1">
      <c r="A214" s="13" t="s">
        <v>244</v>
      </c>
      <c r="B214" s="13" t="s">
        <v>615</v>
      </c>
      <c r="C214" s="13" t="s">
        <v>277</v>
      </c>
      <c r="D214" s="13" t="s">
        <v>277</v>
      </c>
      <c r="E214" s="26">
        <v>50403.0</v>
      </c>
      <c r="F214" s="26">
        <v>28960.0</v>
      </c>
      <c r="G214" s="26">
        <v>29486.0</v>
      </c>
      <c r="H214" s="26">
        <v>30011.0</v>
      </c>
      <c r="I214" s="26">
        <v>31589.0</v>
      </c>
      <c r="J214" s="26">
        <v>32115.0</v>
      </c>
      <c r="K214" s="26">
        <v>32641.0</v>
      </c>
      <c r="L214" s="13">
        <v>0.0</v>
      </c>
      <c r="M214" s="13">
        <v>0.0</v>
      </c>
      <c r="N214" s="13">
        <v>0.0</v>
      </c>
      <c r="O214" s="13">
        <v>0.0</v>
      </c>
      <c r="P214" s="13">
        <v>0.0</v>
      </c>
      <c r="Q214" s="13">
        <v>0.0</v>
      </c>
      <c r="R214" s="27">
        <f t="shared" ref="R214:W214" si="215">(L214/F214)*100000</f>
        <v>0</v>
      </c>
      <c r="S214" s="27">
        <f t="shared" si="215"/>
        <v>0</v>
      </c>
      <c r="T214" s="27">
        <f t="shared" si="215"/>
        <v>0</v>
      </c>
      <c r="U214" s="27">
        <f t="shared" si="215"/>
        <v>0</v>
      </c>
      <c r="V214" s="27">
        <f t="shared" si="215"/>
        <v>0</v>
      </c>
      <c r="W214" s="27">
        <f t="shared" si="215"/>
        <v>0</v>
      </c>
      <c r="X214" s="27">
        <f t="shared" si="3"/>
        <v>0</v>
      </c>
      <c r="Y214" s="27">
        <f t="shared" si="4"/>
        <v>0</v>
      </c>
    </row>
    <row r="215" ht="14.25" customHeight="1">
      <c r="A215" s="13" t="s">
        <v>244</v>
      </c>
      <c r="B215" s="13" t="s">
        <v>615</v>
      </c>
      <c r="C215" s="13" t="s">
        <v>623</v>
      </c>
      <c r="D215" s="13" t="s">
        <v>623</v>
      </c>
      <c r="E215" s="26">
        <v>50404.0</v>
      </c>
      <c r="F215" s="26">
        <v>15457.0</v>
      </c>
      <c r="G215" s="26">
        <v>15325.0</v>
      </c>
      <c r="H215" s="26">
        <v>15193.0</v>
      </c>
      <c r="I215" s="26">
        <v>14796.0</v>
      </c>
      <c r="J215" s="26">
        <v>14664.0</v>
      </c>
      <c r="K215" s="26">
        <v>14532.0</v>
      </c>
      <c r="L215" s="13">
        <v>0.0</v>
      </c>
      <c r="M215" s="13">
        <v>0.0</v>
      </c>
      <c r="N215" s="13">
        <v>0.0</v>
      </c>
      <c r="O215" s="13">
        <v>0.0</v>
      </c>
      <c r="P215" s="13">
        <v>0.0</v>
      </c>
      <c r="Q215" s="13">
        <v>0.0</v>
      </c>
      <c r="R215" s="27">
        <f t="shared" ref="R215:W215" si="216">(L215/F215)*100000</f>
        <v>0</v>
      </c>
      <c r="S215" s="27">
        <f t="shared" si="216"/>
        <v>0</v>
      </c>
      <c r="T215" s="27">
        <f t="shared" si="216"/>
        <v>0</v>
      </c>
      <c r="U215" s="27">
        <f t="shared" si="216"/>
        <v>0</v>
      </c>
      <c r="V215" s="27">
        <f t="shared" si="216"/>
        <v>0</v>
      </c>
      <c r="W215" s="27">
        <f t="shared" si="216"/>
        <v>0</v>
      </c>
      <c r="X215" s="27">
        <f t="shared" si="3"/>
        <v>0</v>
      </c>
      <c r="Y215" s="27">
        <f t="shared" si="4"/>
        <v>0</v>
      </c>
    </row>
    <row r="216" ht="14.25" customHeight="1">
      <c r="A216" s="13" t="s">
        <v>244</v>
      </c>
      <c r="B216" s="13" t="s">
        <v>615</v>
      </c>
      <c r="C216" s="13" t="s">
        <v>271</v>
      </c>
      <c r="D216" s="13" t="s">
        <v>271</v>
      </c>
      <c r="E216" s="26">
        <v>50405.0</v>
      </c>
      <c r="F216" s="26">
        <v>20386.0</v>
      </c>
      <c r="G216" s="26">
        <v>20475.0</v>
      </c>
      <c r="H216" s="26">
        <v>20564.0</v>
      </c>
      <c r="I216" s="26">
        <v>20832.0</v>
      </c>
      <c r="J216" s="26">
        <v>20922.0</v>
      </c>
      <c r="K216" s="26">
        <v>21011.0</v>
      </c>
      <c r="L216" s="13">
        <v>0.0</v>
      </c>
      <c r="M216" s="13">
        <v>0.0</v>
      </c>
      <c r="N216" s="13">
        <v>0.0</v>
      </c>
      <c r="O216" s="13">
        <v>0.0</v>
      </c>
      <c r="P216" s="13">
        <v>1.0</v>
      </c>
      <c r="Q216" s="13">
        <v>0.0</v>
      </c>
      <c r="R216" s="27">
        <f t="shared" ref="R216:W216" si="217">(L216/F216)*100000</f>
        <v>0</v>
      </c>
      <c r="S216" s="27">
        <f t="shared" si="217"/>
        <v>0</v>
      </c>
      <c r="T216" s="27">
        <f t="shared" si="217"/>
        <v>0</v>
      </c>
      <c r="U216" s="27">
        <f t="shared" si="217"/>
        <v>0</v>
      </c>
      <c r="V216" s="27">
        <f t="shared" si="217"/>
        <v>4.779657777</v>
      </c>
      <c r="W216" s="27">
        <f t="shared" si="217"/>
        <v>0</v>
      </c>
      <c r="X216" s="27">
        <f t="shared" si="3"/>
        <v>0</v>
      </c>
      <c r="Y216" s="27">
        <f t="shared" si="4"/>
        <v>1.593219259</v>
      </c>
    </row>
    <row r="217" ht="14.25" customHeight="1">
      <c r="A217" s="13" t="s">
        <v>244</v>
      </c>
      <c r="B217" s="13" t="s">
        <v>624</v>
      </c>
      <c r="C217" s="13" t="s">
        <v>374</v>
      </c>
      <c r="D217" s="13" t="s">
        <v>374</v>
      </c>
      <c r="E217" s="26">
        <v>50501.0</v>
      </c>
      <c r="F217" s="26">
        <v>29347.0</v>
      </c>
      <c r="G217" s="26">
        <v>29214.0</v>
      </c>
      <c r="H217" s="26">
        <v>29081.0</v>
      </c>
      <c r="I217" s="26">
        <v>28682.0</v>
      </c>
      <c r="J217" s="26">
        <v>28549.0</v>
      </c>
      <c r="K217" s="26">
        <v>28416.0</v>
      </c>
      <c r="L217" s="13">
        <v>0.0</v>
      </c>
      <c r="M217" s="13">
        <v>0.0</v>
      </c>
      <c r="N217" s="13">
        <v>0.0</v>
      </c>
      <c r="O217" s="13">
        <v>0.0</v>
      </c>
      <c r="P217" s="13">
        <v>0.0</v>
      </c>
      <c r="Q217" s="13">
        <v>0.0</v>
      </c>
      <c r="R217" s="27">
        <f t="shared" ref="R217:W217" si="218">(L217/F217)*100000</f>
        <v>0</v>
      </c>
      <c r="S217" s="27">
        <f t="shared" si="218"/>
        <v>0</v>
      </c>
      <c r="T217" s="27">
        <f t="shared" si="218"/>
        <v>0</v>
      </c>
      <c r="U217" s="27">
        <f t="shared" si="218"/>
        <v>0</v>
      </c>
      <c r="V217" s="27">
        <f t="shared" si="218"/>
        <v>0</v>
      </c>
      <c r="W217" s="27">
        <f t="shared" si="218"/>
        <v>0</v>
      </c>
      <c r="X217" s="27">
        <f t="shared" si="3"/>
        <v>0</v>
      </c>
      <c r="Y217" s="27">
        <f t="shared" si="4"/>
        <v>0</v>
      </c>
    </row>
    <row r="218" ht="14.25" customHeight="1">
      <c r="A218" s="13" t="s">
        <v>244</v>
      </c>
      <c r="B218" s="13" t="s">
        <v>624</v>
      </c>
      <c r="C218" s="13" t="s">
        <v>625</v>
      </c>
      <c r="D218" s="13" t="s">
        <v>625</v>
      </c>
      <c r="E218" s="26">
        <v>50502.0</v>
      </c>
      <c r="F218" s="26">
        <v>10805.0</v>
      </c>
      <c r="G218" s="26">
        <v>10792.0</v>
      </c>
      <c r="H218" s="26">
        <v>10779.0</v>
      </c>
      <c r="I218" s="26">
        <v>10740.0</v>
      </c>
      <c r="J218" s="26">
        <v>10727.0</v>
      </c>
      <c r="K218" s="26">
        <v>10714.0</v>
      </c>
      <c r="L218" s="13">
        <v>0.0</v>
      </c>
      <c r="M218" s="13">
        <v>0.0</v>
      </c>
      <c r="N218" s="13">
        <v>0.0</v>
      </c>
      <c r="O218" s="13">
        <v>0.0</v>
      </c>
      <c r="P218" s="13">
        <v>0.0</v>
      </c>
      <c r="Q218" s="13">
        <v>0.0</v>
      </c>
      <c r="R218" s="27">
        <f t="shared" ref="R218:W218" si="219">(L218/F218)*100000</f>
        <v>0</v>
      </c>
      <c r="S218" s="27">
        <f t="shared" si="219"/>
        <v>0</v>
      </c>
      <c r="T218" s="27">
        <f t="shared" si="219"/>
        <v>0</v>
      </c>
      <c r="U218" s="27">
        <f t="shared" si="219"/>
        <v>0</v>
      </c>
      <c r="V218" s="27">
        <f t="shared" si="219"/>
        <v>0</v>
      </c>
      <c r="W218" s="27">
        <f t="shared" si="219"/>
        <v>0</v>
      </c>
      <c r="X218" s="27">
        <f t="shared" si="3"/>
        <v>0</v>
      </c>
      <c r="Y218" s="27">
        <f t="shared" si="4"/>
        <v>0</v>
      </c>
    </row>
    <row r="219" ht="14.25" customHeight="1">
      <c r="A219" s="13" t="s">
        <v>244</v>
      </c>
      <c r="B219" s="13" t="s">
        <v>626</v>
      </c>
      <c r="C219" s="13" t="s">
        <v>259</v>
      </c>
      <c r="D219" s="13" t="s">
        <v>259</v>
      </c>
      <c r="E219" s="26">
        <v>50601.0</v>
      </c>
      <c r="F219" s="26">
        <v>30726.0</v>
      </c>
      <c r="G219" s="26">
        <v>30511.0</v>
      </c>
      <c r="H219" s="26">
        <v>30296.0</v>
      </c>
      <c r="I219" s="26">
        <v>29651.0</v>
      </c>
      <c r="J219" s="26">
        <v>29436.0</v>
      </c>
      <c r="K219" s="26">
        <v>29221.0</v>
      </c>
      <c r="L219" s="13">
        <v>0.0</v>
      </c>
      <c r="M219" s="13">
        <v>0.0</v>
      </c>
      <c r="N219" s="13">
        <v>0.0</v>
      </c>
      <c r="O219" s="13">
        <v>1.0</v>
      </c>
      <c r="P219" s="13">
        <v>1.0</v>
      </c>
      <c r="Q219" s="13">
        <v>1.0</v>
      </c>
      <c r="R219" s="27">
        <f t="shared" ref="R219:W219" si="220">(L219/F219)*100000</f>
        <v>0</v>
      </c>
      <c r="S219" s="27">
        <f t="shared" si="220"/>
        <v>0</v>
      </c>
      <c r="T219" s="27">
        <f t="shared" si="220"/>
        <v>0</v>
      </c>
      <c r="U219" s="27">
        <f t="shared" si="220"/>
        <v>3.372567536</v>
      </c>
      <c r="V219" s="27">
        <f t="shared" si="220"/>
        <v>3.397200707</v>
      </c>
      <c r="W219" s="27">
        <f t="shared" si="220"/>
        <v>3.422196366</v>
      </c>
      <c r="X219" s="27">
        <f t="shared" si="3"/>
        <v>0</v>
      </c>
      <c r="Y219" s="27">
        <f t="shared" si="4"/>
        <v>3.397321536</v>
      </c>
    </row>
    <row r="220" ht="14.25" customHeight="1">
      <c r="A220" s="13" t="s">
        <v>244</v>
      </c>
      <c r="B220" s="13" t="s">
        <v>626</v>
      </c>
      <c r="C220" s="13" t="s">
        <v>627</v>
      </c>
      <c r="D220" s="13" t="s">
        <v>627</v>
      </c>
      <c r="E220" s="26">
        <v>50602.0</v>
      </c>
      <c r="F220" s="26">
        <v>10454.0</v>
      </c>
      <c r="G220" s="26">
        <v>10415.0</v>
      </c>
      <c r="H220" s="26">
        <v>10377.0</v>
      </c>
      <c r="I220" s="26">
        <v>10261.0</v>
      </c>
      <c r="J220" s="26">
        <v>10223.0</v>
      </c>
      <c r="K220" s="26">
        <v>10184.0</v>
      </c>
      <c r="L220" s="13">
        <v>0.0</v>
      </c>
      <c r="M220" s="13">
        <v>0.0</v>
      </c>
      <c r="N220" s="13">
        <v>0.0</v>
      </c>
      <c r="O220" s="13">
        <v>0.0</v>
      </c>
      <c r="P220" s="13">
        <v>0.0</v>
      </c>
      <c r="Q220" s="13">
        <v>1.0</v>
      </c>
      <c r="R220" s="27">
        <f t="shared" ref="R220:W220" si="221">(L220/F220)*100000</f>
        <v>0</v>
      </c>
      <c r="S220" s="27">
        <f t="shared" si="221"/>
        <v>0</v>
      </c>
      <c r="T220" s="27">
        <f t="shared" si="221"/>
        <v>0</v>
      </c>
      <c r="U220" s="27">
        <f t="shared" si="221"/>
        <v>0</v>
      </c>
      <c r="V220" s="27">
        <f t="shared" si="221"/>
        <v>0</v>
      </c>
      <c r="W220" s="27">
        <f t="shared" si="221"/>
        <v>9.81932443</v>
      </c>
      <c r="X220" s="27">
        <f t="shared" si="3"/>
        <v>0</v>
      </c>
      <c r="Y220" s="27">
        <f t="shared" si="4"/>
        <v>3.273108143</v>
      </c>
    </row>
    <row r="221" ht="14.25" customHeight="1">
      <c r="A221" s="13" t="s">
        <v>244</v>
      </c>
      <c r="B221" s="13" t="s">
        <v>628</v>
      </c>
      <c r="C221" s="13" t="s">
        <v>629</v>
      </c>
      <c r="D221" s="13" t="s">
        <v>262</v>
      </c>
      <c r="E221" s="26">
        <v>50701.0</v>
      </c>
      <c r="F221" s="26">
        <v>18609.0</v>
      </c>
      <c r="G221" s="26">
        <v>18408.0</v>
      </c>
      <c r="H221" s="26">
        <v>18208.0</v>
      </c>
      <c r="I221" s="26">
        <v>17606.0</v>
      </c>
      <c r="J221" s="26">
        <v>17406.0</v>
      </c>
      <c r="K221" s="26">
        <v>17205.0</v>
      </c>
      <c r="L221" s="13">
        <v>0.0</v>
      </c>
      <c r="M221" s="13">
        <v>0.0</v>
      </c>
      <c r="N221" s="13">
        <v>0.0</v>
      </c>
      <c r="O221" s="13">
        <v>1.0</v>
      </c>
      <c r="P221" s="13">
        <v>0.0</v>
      </c>
      <c r="Q221" s="13">
        <v>0.0</v>
      </c>
      <c r="R221" s="27">
        <f t="shared" ref="R221:W221" si="222">(L221/F221)*100000</f>
        <v>0</v>
      </c>
      <c r="S221" s="27">
        <f t="shared" si="222"/>
        <v>0</v>
      </c>
      <c r="T221" s="27">
        <f t="shared" si="222"/>
        <v>0</v>
      </c>
      <c r="U221" s="27">
        <f t="shared" si="222"/>
        <v>5.679881858</v>
      </c>
      <c r="V221" s="27">
        <f t="shared" si="222"/>
        <v>0</v>
      </c>
      <c r="W221" s="27">
        <f t="shared" si="222"/>
        <v>0</v>
      </c>
      <c r="X221" s="27">
        <f t="shared" si="3"/>
        <v>0</v>
      </c>
      <c r="Y221" s="27">
        <f t="shared" si="4"/>
        <v>1.893293953</v>
      </c>
    </row>
    <row r="222" ht="14.25" customHeight="1">
      <c r="A222" s="13" t="s">
        <v>244</v>
      </c>
      <c r="B222" s="13" t="s">
        <v>628</v>
      </c>
      <c r="C222" s="13" t="s">
        <v>630</v>
      </c>
      <c r="D222" s="13" t="s">
        <v>630</v>
      </c>
      <c r="E222" s="26">
        <v>50702.0</v>
      </c>
      <c r="F222" s="26">
        <v>8602.0</v>
      </c>
      <c r="G222" s="26">
        <v>8581.0</v>
      </c>
      <c r="H222" s="26">
        <v>8561.0</v>
      </c>
      <c r="I222" s="26">
        <v>8499.0</v>
      </c>
      <c r="J222" s="26">
        <v>8479.0</v>
      </c>
      <c r="K222" s="26">
        <v>8458.0</v>
      </c>
      <c r="L222" s="13">
        <v>0.0</v>
      </c>
      <c r="M222" s="13">
        <v>0.0</v>
      </c>
      <c r="N222" s="13">
        <v>0.0</v>
      </c>
      <c r="O222" s="13">
        <v>0.0</v>
      </c>
      <c r="P222" s="13">
        <v>0.0</v>
      </c>
      <c r="Q222" s="13">
        <v>0.0</v>
      </c>
      <c r="R222" s="27">
        <f t="shared" ref="R222:W222" si="223">(L222/F222)*100000</f>
        <v>0</v>
      </c>
      <c r="S222" s="27">
        <f t="shared" si="223"/>
        <v>0</v>
      </c>
      <c r="T222" s="27">
        <f t="shared" si="223"/>
        <v>0</v>
      </c>
      <c r="U222" s="27">
        <f t="shared" si="223"/>
        <v>0</v>
      </c>
      <c r="V222" s="27">
        <f t="shared" si="223"/>
        <v>0</v>
      </c>
      <c r="W222" s="27">
        <f t="shared" si="223"/>
        <v>0</v>
      </c>
      <c r="X222" s="27">
        <f t="shared" si="3"/>
        <v>0</v>
      </c>
      <c r="Y222" s="27">
        <f t="shared" si="4"/>
        <v>0</v>
      </c>
    </row>
    <row r="223" ht="14.25" customHeight="1">
      <c r="A223" s="13" t="s">
        <v>244</v>
      </c>
      <c r="B223" s="13" t="s">
        <v>631</v>
      </c>
      <c r="C223" s="13" t="s">
        <v>260</v>
      </c>
      <c r="D223" s="13" t="s">
        <v>260</v>
      </c>
      <c r="E223" s="26">
        <v>50801.0</v>
      </c>
      <c r="F223" s="26">
        <v>45137.0</v>
      </c>
      <c r="G223" s="26">
        <v>45202.0</v>
      </c>
      <c r="H223" s="26">
        <v>45267.0</v>
      </c>
      <c r="I223" s="26">
        <v>45461.0</v>
      </c>
      <c r="J223" s="26">
        <v>45525.0</v>
      </c>
      <c r="K223" s="26">
        <v>45590.0</v>
      </c>
      <c r="L223" s="13">
        <v>2.0</v>
      </c>
      <c r="M223" s="13">
        <v>1.0</v>
      </c>
      <c r="N223" s="13">
        <v>0.0</v>
      </c>
      <c r="O223" s="13">
        <v>1.0</v>
      </c>
      <c r="P223" s="13">
        <v>5.0</v>
      </c>
      <c r="Q223" s="13">
        <v>3.0</v>
      </c>
      <c r="R223" s="27">
        <f t="shared" ref="R223:W223" si="224">(L223/F223)*100000</f>
        <v>4.430954649</v>
      </c>
      <c r="S223" s="27">
        <f t="shared" si="224"/>
        <v>2.212291492</v>
      </c>
      <c r="T223" s="27">
        <f t="shared" si="224"/>
        <v>0</v>
      </c>
      <c r="U223" s="27">
        <f t="shared" si="224"/>
        <v>2.199687644</v>
      </c>
      <c r="V223" s="27">
        <f t="shared" si="224"/>
        <v>10.98297639</v>
      </c>
      <c r="W223" s="27">
        <f t="shared" si="224"/>
        <v>6.580390436</v>
      </c>
      <c r="X223" s="27">
        <f t="shared" si="3"/>
        <v>2.21441538</v>
      </c>
      <c r="Y223" s="27">
        <f t="shared" si="4"/>
        <v>6.587684822</v>
      </c>
    </row>
    <row r="224" ht="14.25" customHeight="1">
      <c r="A224" s="13" t="s">
        <v>244</v>
      </c>
      <c r="B224" s="13" t="s">
        <v>631</v>
      </c>
      <c r="C224" s="13" t="s">
        <v>284</v>
      </c>
      <c r="D224" s="13" t="s">
        <v>284</v>
      </c>
      <c r="E224" s="26">
        <v>50802.0</v>
      </c>
      <c r="F224" s="26">
        <v>10557.0</v>
      </c>
      <c r="G224" s="26">
        <v>10422.0</v>
      </c>
      <c r="H224" s="26">
        <v>10287.0</v>
      </c>
      <c r="I224" s="26">
        <v>9881.0</v>
      </c>
      <c r="J224" s="26">
        <v>9745.0</v>
      </c>
      <c r="K224" s="26">
        <v>9610.0</v>
      </c>
      <c r="L224" s="13">
        <v>0.0</v>
      </c>
      <c r="M224" s="13">
        <v>0.0</v>
      </c>
      <c r="N224" s="13">
        <v>0.0</v>
      </c>
      <c r="O224" s="13">
        <v>0.0</v>
      </c>
      <c r="P224" s="13">
        <v>0.0</v>
      </c>
      <c r="Q224" s="13">
        <v>1.0</v>
      </c>
      <c r="R224" s="27">
        <f t="shared" ref="R224:W224" si="225">(L224/F224)*100000</f>
        <v>0</v>
      </c>
      <c r="S224" s="27">
        <f t="shared" si="225"/>
        <v>0</v>
      </c>
      <c r="T224" s="27">
        <f t="shared" si="225"/>
        <v>0</v>
      </c>
      <c r="U224" s="27">
        <f t="shared" si="225"/>
        <v>0</v>
      </c>
      <c r="V224" s="27">
        <f t="shared" si="225"/>
        <v>0</v>
      </c>
      <c r="W224" s="27">
        <f t="shared" si="225"/>
        <v>10.40582726</v>
      </c>
      <c r="X224" s="27">
        <f t="shared" si="3"/>
        <v>0</v>
      </c>
      <c r="Y224" s="27">
        <f t="shared" si="4"/>
        <v>3.468609088</v>
      </c>
    </row>
    <row r="225" ht="14.25" customHeight="1">
      <c r="A225" s="13" t="s">
        <v>244</v>
      </c>
      <c r="B225" s="13" t="s">
        <v>632</v>
      </c>
      <c r="C225" s="13" t="s">
        <v>633</v>
      </c>
      <c r="D225" s="13" t="s">
        <v>634</v>
      </c>
      <c r="E225" s="26">
        <v>50901.0</v>
      </c>
      <c r="F225" s="26">
        <v>12890.0</v>
      </c>
      <c r="G225" s="26">
        <v>12869.0</v>
      </c>
      <c r="H225" s="26">
        <v>12847.0</v>
      </c>
      <c r="I225" s="26">
        <v>12783.0</v>
      </c>
      <c r="J225" s="26">
        <v>12761.0</v>
      </c>
      <c r="K225" s="26">
        <v>12740.0</v>
      </c>
      <c r="L225" s="13">
        <v>0.0</v>
      </c>
      <c r="M225" s="13">
        <v>0.0</v>
      </c>
      <c r="N225" s="13">
        <v>0.0</v>
      </c>
      <c r="O225" s="13">
        <v>0.0</v>
      </c>
      <c r="P225" s="13">
        <v>0.0</v>
      </c>
      <c r="Q225" s="13">
        <v>0.0</v>
      </c>
      <c r="R225" s="27">
        <f t="shared" ref="R225:W225" si="226">(L225/F225)*100000</f>
        <v>0</v>
      </c>
      <c r="S225" s="27">
        <f t="shared" si="226"/>
        <v>0</v>
      </c>
      <c r="T225" s="27">
        <f t="shared" si="226"/>
        <v>0</v>
      </c>
      <c r="U225" s="27">
        <f t="shared" si="226"/>
        <v>0</v>
      </c>
      <c r="V225" s="27">
        <f t="shared" si="226"/>
        <v>0</v>
      </c>
      <c r="W225" s="27">
        <f t="shared" si="226"/>
        <v>0</v>
      </c>
      <c r="X225" s="27">
        <f t="shared" si="3"/>
        <v>0</v>
      </c>
      <c r="Y225" s="27">
        <f t="shared" si="4"/>
        <v>0</v>
      </c>
    </row>
    <row r="226" ht="14.25" customHeight="1">
      <c r="A226" s="13" t="s">
        <v>244</v>
      </c>
      <c r="B226" s="13" t="s">
        <v>632</v>
      </c>
      <c r="C226" s="13" t="s">
        <v>635</v>
      </c>
      <c r="D226" s="13" t="s">
        <v>636</v>
      </c>
      <c r="E226" s="26">
        <v>50902.0</v>
      </c>
      <c r="F226" s="26">
        <v>1294.0</v>
      </c>
      <c r="G226" s="26">
        <v>1341.0</v>
      </c>
      <c r="H226" s="26">
        <v>1387.0</v>
      </c>
      <c r="I226" s="26">
        <v>1528.0</v>
      </c>
      <c r="J226" s="26">
        <v>1574.0</v>
      </c>
      <c r="K226" s="26">
        <v>1621.0</v>
      </c>
      <c r="L226" s="13">
        <v>0.0</v>
      </c>
      <c r="M226" s="13">
        <v>0.0</v>
      </c>
      <c r="N226" s="13">
        <v>0.0</v>
      </c>
      <c r="O226" s="13">
        <v>0.0</v>
      </c>
      <c r="P226" s="13">
        <v>0.0</v>
      </c>
      <c r="Q226" s="13">
        <v>0.0</v>
      </c>
      <c r="R226" s="27">
        <f t="shared" ref="R226:W226" si="227">(L226/F226)*100000</f>
        <v>0</v>
      </c>
      <c r="S226" s="27">
        <f t="shared" si="227"/>
        <v>0</v>
      </c>
      <c r="T226" s="27">
        <f t="shared" si="227"/>
        <v>0</v>
      </c>
      <c r="U226" s="27">
        <f t="shared" si="227"/>
        <v>0</v>
      </c>
      <c r="V226" s="27">
        <f t="shared" si="227"/>
        <v>0</v>
      </c>
      <c r="W226" s="27">
        <f t="shared" si="227"/>
        <v>0</v>
      </c>
      <c r="X226" s="27">
        <f t="shared" si="3"/>
        <v>0</v>
      </c>
      <c r="Y226" s="27">
        <f t="shared" si="4"/>
        <v>0</v>
      </c>
    </row>
    <row r="227" ht="14.25" customHeight="1">
      <c r="A227" s="13" t="s">
        <v>244</v>
      </c>
      <c r="B227" s="13" t="s">
        <v>637</v>
      </c>
      <c r="C227" s="13" t="s">
        <v>638</v>
      </c>
      <c r="D227" s="13" t="s">
        <v>639</v>
      </c>
      <c r="E227" s="26">
        <v>51001.0</v>
      </c>
      <c r="F227" s="26">
        <v>3279.0</v>
      </c>
      <c r="G227" s="26">
        <v>3261.0</v>
      </c>
      <c r="H227" s="26">
        <v>3242.0</v>
      </c>
      <c r="I227" s="26">
        <v>3187.0</v>
      </c>
      <c r="J227" s="26">
        <v>3168.0</v>
      </c>
      <c r="K227" s="26">
        <v>3150.0</v>
      </c>
      <c r="L227" s="13">
        <v>0.0</v>
      </c>
      <c r="M227" s="13">
        <v>0.0</v>
      </c>
      <c r="N227" s="13">
        <v>0.0</v>
      </c>
      <c r="O227" s="13">
        <v>0.0</v>
      </c>
      <c r="P227" s="13">
        <v>0.0</v>
      </c>
      <c r="Q227" s="13">
        <v>0.0</v>
      </c>
      <c r="R227" s="27">
        <f t="shared" ref="R227:W227" si="228">(L227/F227)*100000</f>
        <v>0</v>
      </c>
      <c r="S227" s="27">
        <f t="shared" si="228"/>
        <v>0</v>
      </c>
      <c r="T227" s="27">
        <f t="shared" si="228"/>
        <v>0</v>
      </c>
      <c r="U227" s="27">
        <f t="shared" si="228"/>
        <v>0</v>
      </c>
      <c r="V227" s="27">
        <f t="shared" si="228"/>
        <v>0</v>
      </c>
      <c r="W227" s="27">
        <f t="shared" si="228"/>
        <v>0</v>
      </c>
      <c r="X227" s="27">
        <f t="shared" si="3"/>
        <v>0</v>
      </c>
      <c r="Y227" s="27">
        <f t="shared" si="4"/>
        <v>0</v>
      </c>
    </row>
    <row r="228" ht="14.25" customHeight="1">
      <c r="A228" s="13" t="s">
        <v>244</v>
      </c>
      <c r="B228" s="13" t="s">
        <v>637</v>
      </c>
      <c r="C228" s="13" t="s">
        <v>640</v>
      </c>
      <c r="D228" s="13" t="s">
        <v>640</v>
      </c>
      <c r="E228" s="26">
        <v>51002.0</v>
      </c>
      <c r="F228" s="26">
        <v>1115.0</v>
      </c>
      <c r="G228" s="26">
        <v>1103.0</v>
      </c>
      <c r="H228" s="26">
        <v>1090.0</v>
      </c>
      <c r="I228" s="26">
        <v>1051.0</v>
      </c>
      <c r="J228" s="26">
        <v>1038.0</v>
      </c>
      <c r="K228" s="26">
        <v>1025.0</v>
      </c>
      <c r="L228" s="13">
        <v>0.0</v>
      </c>
      <c r="M228" s="13">
        <v>0.0</v>
      </c>
      <c r="N228" s="13">
        <v>0.0</v>
      </c>
      <c r="O228" s="13">
        <v>0.0</v>
      </c>
      <c r="P228" s="13">
        <v>0.0</v>
      </c>
      <c r="Q228" s="13">
        <v>0.0</v>
      </c>
      <c r="R228" s="27">
        <f t="shared" ref="R228:W228" si="229">(L228/F228)*100000</f>
        <v>0</v>
      </c>
      <c r="S228" s="27">
        <f t="shared" si="229"/>
        <v>0</v>
      </c>
      <c r="T228" s="27">
        <f t="shared" si="229"/>
        <v>0</v>
      </c>
      <c r="U228" s="27">
        <f t="shared" si="229"/>
        <v>0</v>
      </c>
      <c r="V228" s="27">
        <f t="shared" si="229"/>
        <v>0</v>
      </c>
      <c r="W228" s="27">
        <f t="shared" si="229"/>
        <v>0</v>
      </c>
      <c r="X228" s="27">
        <f t="shared" si="3"/>
        <v>0</v>
      </c>
      <c r="Y228" s="27">
        <f t="shared" si="4"/>
        <v>0</v>
      </c>
    </row>
    <row r="229" ht="14.25" customHeight="1">
      <c r="A229" s="13" t="s">
        <v>244</v>
      </c>
      <c r="B229" s="13" t="s">
        <v>637</v>
      </c>
      <c r="C229" s="13" t="s">
        <v>641</v>
      </c>
      <c r="D229" s="13" t="s">
        <v>641</v>
      </c>
      <c r="E229" s="26">
        <v>51003.0</v>
      </c>
      <c r="F229" s="26">
        <v>2139.0</v>
      </c>
      <c r="G229" s="26">
        <v>2110.0</v>
      </c>
      <c r="H229" s="26">
        <v>2081.0</v>
      </c>
      <c r="I229" s="26">
        <v>1994.0</v>
      </c>
      <c r="J229" s="26">
        <v>1965.0</v>
      </c>
      <c r="K229" s="26">
        <v>1936.0</v>
      </c>
      <c r="L229" s="13">
        <v>0.0</v>
      </c>
      <c r="M229" s="13">
        <v>0.0</v>
      </c>
      <c r="N229" s="13">
        <v>0.0</v>
      </c>
      <c r="O229" s="13">
        <v>0.0</v>
      </c>
      <c r="P229" s="13">
        <v>0.0</v>
      </c>
      <c r="Q229" s="13">
        <v>0.0</v>
      </c>
      <c r="R229" s="27">
        <f t="shared" ref="R229:W229" si="230">(L229/F229)*100000</f>
        <v>0</v>
      </c>
      <c r="S229" s="27">
        <f t="shared" si="230"/>
        <v>0</v>
      </c>
      <c r="T229" s="27">
        <f t="shared" si="230"/>
        <v>0</v>
      </c>
      <c r="U229" s="27">
        <f t="shared" si="230"/>
        <v>0</v>
      </c>
      <c r="V229" s="27">
        <f t="shared" si="230"/>
        <v>0</v>
      </c>
      <c r="W229" s="27">
        <f t="shared" si="230"/>
        <v>0</v>
      </c>
      <c r="X229" s="27">
        <f t="shared" si="3"/>
        <v>0</v>
      </c>
      <c r="Y229" s="27">
        <f t="shared" si="4"/>
        <v>0</v>
      </c>
    </row>
    <row r="230" ht="14.25" customHeight="1">
      <c r="A230" s="13" t="s">
        <v>244</v>
      </c>
      <c r="B230" s="13" t="s">
        <v>642</v>
      </c>
      <c r="C230" s="13" t="s">
        <v>266</v>
      </c>
      <c r="D230" s="13" t="s">
        <v>643</v>
      </c>
      <c r="E230" s="26">
        <v>51101.0</v>
      </c>
      <c r="F230" s="26">
        <v>19614.0</v>
      </c>
      <c r="G230" s="26">
        <v>19153.0</v>
      </c>
      <c r="H230" s="26">
        <v>18692.0</v>
      </c>
      <c r="I230" s="26">
        <v>17310.0</v>
      </c>
      <c r="J230" s="26">
        <v>16850.0</v>
      </c>
      <c r="K230" s="26">
        <v>16389.0</v>
      </c>
      <c r="L230" s="13">
        <v>0.0</v>
      </c>
      <c r="M230" s="13">
        <v>0.0</v>
      </c>
      <c r="N230" s="13">
        <v>1.0</v>
      </c>
      <c r="O230" s="13">
        <v>3.0</v>
      </c>
      <c r="P230" s="13">
        <v>1.0</v>
      </c>
      <c r="Q230" s="13">
        <v>1.0</v>
      </c>
      <c r="R230" s="27">
        <f t="shared" ref="R230:W230" si="231">(L230/F230)*100000</f>
        <v>0</v>
      </c>
      <c r="S230" s="27">
        <f t="shared" si="231"/>
        <v>0</v>
      </c>
      <c r="T230" s="27">
        <f t="shared" si="231"/>
        <v>5.349882303</v>
      </c>
      <c r="U230" s="27">
        <f t="shared" si="231"/>
        <v>17.33102253</v>
      </c>
      <c r="V230" s="27">
        <f t="shared" si="231"/>
        <v>5.934718101</v>
      </c>
      <c r="W230" s="27">
        <f t="shared" si="231"/>
        <v>6.101653548</v>
      </c>
      <c r="X230" s="27">
        <f t="shared" si="3"/>
        <v>1.783294101</v>
      </c>
      <c r="Y230" s="27">
        <f t="shared" si="4"/>
        <v>9.789131393</v>
      </c>
    </row>
    <row r="231" ht="14.25" customHeight="1">
      <c r="A231" s="13" t="s">
        <v>244</v>
      </c>
      <c r="B231" s="13" t="s">
        <v>642</v>
      </c>
      <c r="C231" s="13" t="s">
        <v>644</v>
      </c>
      <c r="D231" s="13" t="s">
        <v>644</v>
      </c>
      <c r="E231" s="26">
        <v>51102.0</v>
      </c>
      <c r="F231" s="26">
        <v>12455.0</v>
      </c>
      <c r="G231" s="26">
        <v>12533.0</v>
      </c>
      <c r="H231" s="26">
        <v>12611.0</v>
      </c>
      <c r="I231" s="26">
        <v>12844.0</v>
      </c>
      <c r="J231" s="26">
        <v>12921.0</v>
      </c>
      <c r="K231" s="26">
        <v>12999.0</v>
      </c>
      <c r="L231" s="13">
        <v>0.0</v>
      </c>
      <c r="M231" s="13">
        <v>0.0</v>
      </c>
      <c r="N231" s="13">
        <v>0.0</v>
      </c>
      <c r="O231" s="13">
        <v>0.0</v>
      </c>
      <c r="P231" s="13">
        <v>0.0</v>
      </c>
      <c r="Q231" s="13">
        <v>0.0</v>
      </c>
      <c r="R231" s="27">
        <f t="shared" ref="R231:W231" si="232">(L231/F231)*100000</f>
        <v>0</v>
      </c>
      <c r="S231" s="27">
        <f t="shared" si="232"/>
        <v>0</v>
      </c>
      <c r="T231" s="27">
        <f t="shared" si="232"/>
        <v>0</v>
      </c>
      <c r="U231" s="27">
        <f t="shared" si="232"/>
        <v>0</v>
      </c>
      <c r="V231" s="27">
        <f t="shared" si="232"/>
        <v>0</v>
      </c>
      <c r="W231" s="27">
        <f t="shared" si="232"/>
        <v>0</v>
      </c>
      <c r="X231" s="27">
        <f t="shared" si="3"/>
        <v>0</v>
      </c>
      <c r="Y231" s="27">
        <f t="shared" si="4"/>
        <v>0</v>
      </c>
    </row>
    <row r="232" ht="14.25" customHeight="1">
      <c r="A232" s="13" t="s">
        <v>244</v>
      </c>
      <c r="B232" s="13" t="s">
        <v>642</v>
      </c>
      <c r="C232" s="13" t="s">
        <v>645</v>
      </c>
      <c r="D232" s="13" t="s">
        <v>645</v>
      </c>
      <c r="E232" s="26">
        <v>51103.0</v>
      </c>
      <c r="F232" s="26">
        <v>15198.0</v>
      </c>
      <c r="G232" s="26">
        <v>15075.0</v>
      </c>
      <c r="H232" s="26">
        <v>14952.0</v>
      </c>
      <c r="I232" s="26">
        <v>14584.0</v>
      </c>
      <c r="J232" s="26">
        <v>14461.0</v>
      </c>
      <c r="K232" s="26">
        <v>14338.0</v>
      </c>
      <c r="L232" s="13">
        <v>0.0</v>
      </c>
      <c r="M232" s="13">
        <v>0.0</v>
      </c>
      <c r="N232" s="13">
        <v>0.0</v>
      </c>
      <c r="O232" s="13">
        <v>0.0</v>
      </c>
      <c r="P232" s="13">
        <v>0.0</v>
      </c>
      <c r="Q232" s="13">
        <v>0.0</v>
      </c>
      <c r="R232" s="27">
        <f t="shared" ref="R232:W232" si="233">(L232/F232)*100000</f>
        <v>0</v>
      </c>
      <c r="S232" s="27">
        <f t="shared" si="233"/>
        <v>0</v>
      </c>
      <c r="T232" s="27">
        <f t="shared" si="233"/>
        <v>0</v>
      </c>
      <c r="U232" s="27">
        <f t="shared" si="233"/>
        <v>0</v>
      </c>
      <c r="V232" s="27">
        <f t="shared" si="233"/>
        <v>0</v>
      </c>
      <c r="W232" s="27">
        <f t="shared" si="233"/>
        <v>0</v>
      </c>
      <c r="X232" s="27">
        <f t="shared" si="3"/>
        <v>0</v>
      </c>
      <c r="Y232" s="27">
        <f t="shared" si="4"/>
        <v>0</v>
      </c>
    </row>
    <row r="233" ht="14.25" customHeight="1">
      <c r="A233" s="13" t="s">
        <v>244</v>
      </c>
      <c r="B233" s="13" t="s">
        <v>646</v>
      </c>
      <c r="C233" s="13" t="s">
        <v>264</v>
      </c>
      <c r="D233" s="13" t="s">
        <v>264</v>
      </c>
      <c r="E233" s="26">
        <v>51201.0</v>
      </c>
      <c r="F233" s="26">
        <v>32025.0</v>
      </c>
      <c r="G233" s="26">
        <v>32495.0</v>
      </c>
      <c r="H233" s="26">
        <v>32966.0</v>
      </c>
      <c r="I233" s="26">
        <v>34377.0</v>
      </c>
      <c r="J233" s="26">
        <v>34848.0</v>
      </c>
      <c r="K233" s="26">
        <v>35318.0</v>
      </c>
      <c r="L233" s="13">
        <v>1.0</v>
      </c>
      <c r="M233" s="13">
        <v>4.0</v>
      </c>
      <c r="N233" s="13">
        <v>3.0</v>
      </c>
      <c r="O233" s="13">
        <v>1.0</v>
      </c>
      <c r="P233" s="13">
        <v>0.0</v>
      </c>
      <c r="Q233" s="13">
        <v>0.0</v>
      </c>
      <c r="R233" s="27">
        <f t="shared" ref="R233:W233" si="234">(L233/F233)*100000</f>
        <v>3.1225605</v>
      </c>
      <c r="S233" s="27">
        <f t="shared" si="234"/>
        <v>12.30958609</v>
      </c>
      <c r="T233" s="27">
        <f t="shared" si="234"/>
        <v>9.100285142</v>
      </c>
      <c r="U233" s="27">
        <f t="shared" si="234"/>
        <v>2.908921663</v>
      </c>
      <c r="V233" s="27">
        <f t="shared" si="234"/>
        <v>0</v>
      </c>
      <c r="W233" s="27">
        <f t="shared" si="234"/>
        <v>0</v>
      </c>
      <c r="X233" s="27">
        <f t="shared" si="3"/>
        <v>8.177477244</v>
      </c>
      <c r="Y233" s="27">
        <f t="shared" si="4"/>
        <v>0.9696405542</v>
      </c>
    </row>
    <row r="234" ht="14.25" customHeight="1">
      <c r="A234" s="13" t="s">
        <v>244</v>
      </c>
      <c r="B234" s="13" t="s">
        <v>646</v>
      </c>
      <c r="C234" s="13" t="s">
        <v>647</v>
      </c>
      <c r="D234" s="13" t="s">
        <v>647</v>
      </c>
      <c r="E234" s="26">
        <v>51202.0</v>
      </c>
      <c r="F234" s="26">
        <v>8434.0</v>
      </c>
      <c r="G234" s="26">
        <v>8350.0</v>
      </c>
      <c r="H234" s="26">
        <v>8265.0</v>
      </c>
      <c r="I234" s="26">
        <v>8013.0</v>
      </c>
      <c r="J234" s="26">
        <v>7929.0</v>
      </c>
      <c r="K234" s="26">
        <v>7845.0</v>
      </c>
      <c r="L234" s="13">
        <v>0.0</v>
      </c>
      <c r="M234" s="13">
        <v>0.0</v>
      </c>
      <c r="N234" s="13">
        <v>0.0</v>
      </c>
      <c r="O234" s="13">
        <v>0.0</v>
      </c>
      <c r="P234" s="13">
        <v>0.0</v>
      </c>
      <c r="Q234" s="13">
        <v>0.0</v>
      </c>
      <c r="R234" s="27">
        <f t="shared" ref="R234:W234" si="235">(L234/F234)*100000</f>
        <v>0</v>
      </c>
      <c r="S234" s="27">
        <f t="shared" si="235"/>
        <v>0</v>
      </c>
      <c r="T234" s="27">
        <f t="shared" si="235"/>
        <v>0</v>
      </c>
      <c r="U234" s="27">
        <f t="shared" si="235"/>
        <v>0</v>
      </c>
      <c r="V234" s="27">
        <f t="shared" si="235"/>
        <v>0</v>
      </c>
      <c r="W234" s="27">
        <f t="shared" si="235"/>
        <v>0</v>
      </c>
      <c r="X234" s="27">
        <f t="shared" si="3"/>
        <v>0</v>
      </c>
      <c r="Y234" s="27">
        <f t="shared" si="4"/>
        <v>0</v>
      </c>
    </row>
    <row r="235" ht="14.25" customHeight="1">
      <c r="A235" s="13" t="s">
        <v>244</v>
      </c>
      <c r="B235" s="13" t="s">
        <v>646</v>
      </c>
      <c r="C235" s="13" t="s">
        <v>648</v>
      </c>
      <c r="D235" s="13" t="s">
        <v>648</v>
      </c>
      <c r="E235" s="26">
        <v>51203.0</v>
      </c>
      <c r="F235" s="26">
        <v>12444.0</v>
      </c>
      <c r="G235" s="26">
        <v>12760.0</v>
      </c>
      <c r="H235" s="26">
        <v>13076.0</v>
      </c>
      <c r="I235" s="26">
        <v>14023.0</v>
      </c>
      <c r="J235" s="26">
        <v>14338.0</v>
      </c>
      <c r="K235" s="26">
        <v>14654.0</v>
      </c>
      <c r="L235" s="13">
        <v>0.0</v>
      </c>
      <c r="M235" s="13">
        <v>0.0</v>
      </c>
      <c r="N235" s="13">
        <v>0.0</v>
      </c>
      <c r="O235" s="13">
        <v>0.0</v>
      </c>
      <c r="P235" s="13">
        <v>0.0</v>
      </c>
      <c r="Q235" s="13">
        <v>0.0</v>
      </c>
      <c r="R235" s="27">
        <f t="shared" ref="R235:W235" si="236">(L235/F235)*100000</f>
        <v>0</v>
      </c>
      <c r="S235" s="27">
        <f t="shared" si="236"/>
        <v>0</v>
      </c>
      <c r="T235" s="27">
        <f t="shared" si="236"/>
        <v>0</v>
      </c>
      <c r="U235" s="27">
        <f t="shared" si="236"/>
        <v>0</v>
      </c>
      <c r="V235" s="27">
        <f t="shared" si="236"/>
        <v>0</v>
      </c>
      <c r="W235" s="27">
        <f t="shared" si="236"/>
        <v>0</v>
      </c>
      <c r="X235" s="27">
        <f t="shared" si="3"/>
        <v>0</v>
      </c>
      <c r="Y235" s="27">
        <f t="shared" si="4"/>
        <v>0</v>
      </c>
    </row>
    <row r="236" ht="14.25" customHeight="1">
      <c r="A236" s="13" t="s">
        <v>244</v>
      </c>
      <c r="B236" s="13" t="s">
        <v>647</v>
      </c>
      <c r="C236" s="13" t="s">
        <v>649</v>
      </c>
      <c r="D236" s="13" t="s">
        <v>649</v>
      </c>
      <c r="E236" s="26">
        <v>51204.0</v>
      </c>
      <c r="F236" s="26">
        <v>5887.0</v>
      </c>
      <c r="G236" s="26">
        <v>5877.0</v>
      </c>
      <c r="H236" s="26">
        <v>5867.0</v>
      </c>
      <c r="I236" s="26">
        <v>5838.0</v>
      </c>
      <c r="J236" s="26">
        <v>5829.0</v>
      </c>
      <c r="K236" s="26">
        <v>5819.0</v>
      </c>
      <c r="L236" s="13">
        <v>0.0</v>
      </c>
      <c r="M236" s="13">
        <v>0.0</v>
      </c>
      <c r="N236" s="13">
        <v>0.0</v>
      </c>
      <c r="O236" s="13">
        <v>0.0</v>
      </c>
      <c r="P236" s="13">
        <v>0.0</v>
      </c>
      <c r="Q236" s="13">
        <v>0.0</v>
      </c>
      <c r="R236" s="27">
        <f t="shared" ref="R236:W236" si="237">(L236/F236)*100000</f>
        <v>0</v>
      </c>
      <c r="S236" s="27">
        <f t="shared" si="237"/>
        <v>0</v>
      </c>
      <c r="T236" s="27">
        <f t="shared" si="237"/>
        <v>0</v>
      </c>
      <c r="U236" s="27">
        <f t="shared" si="237"/>
        <v>0</v>
      </c>
      <c r="V236" s="27">
        <f t="shared" si="237"/>
        <v>0</v>
      </c>
      <c r="W236" s="27">
        <f t="shared" si="237"/>
        <v>0</v>
      </c>
      <c r="X236" s="27">
        <f t="shared" si="3"/>
        <v>0</v>
      </c>
      <c r="Y236" s="27">
        <f t="shared" si="4"/>
        <v>0</v>
      </c>
    </row>
    <row r="237" ht="14.25" customHeight="1">
      <c r="A237" s="13" t="s">
        <v>244</v>
      </c>
      <c r="B237" s="13" t="s">
        <v>650</v>
      </c>
      <c r="C237" s="13" t="s">
        <v>651</v>
      </c>
      <c r="D237" s="13" t="s">
        <v>651</v>
      </c>
      <c r="E237" s="26">
        <v>51301.0</v>
      </c>
      <c r="F237" s="26">
        <v>3960.0</v>
      </c>
      <c r="G237" s="26">
        <v>3918.0</v>
      </c>
      <c r="H237" s="26">
        <v>3876.0</v>
      </c>
      <c r="I237" s="26">
        <v>3750.0</v>
      </c>
      <c r="J237" s="26">
        <v>3708.0</v>
      </c>
      <c r="K237" s="26">
        <v>3666.0</v>
      </c>
      <c r="L237" s="13">
        <v>0.0</v>
      </c>
      <c r="M237" s="13">
        <v>0.0</v>
      </c>
      <c r="N237" s="13">
        <v>0.0</v>
      </c>
      <c r="O237" s="13">
        <v>0.0</v>
      </c>
      <c r="P237" s="13">
        <v>0.0</v>
      </c>
      <c r="Q237" s="13">
        <v>0.0</v>
      </c>
      <c r="R237" s="27">
        <f t="shared" ref="R237:W237" si="238">(L237/F237)*100000</f>
        <v>0</v>
      </c>
      <c r="S237" s="27">
        <f t="shared" si="238"/>
        <v>0</v>
      </c>
      <c r="T237" s="27">
        <f t="shared" si="238"/>
        <v>0</v>
      </c>
      <c r="U237" s="27">
        <f t="shared" si="238"/>
        <v>0</v>
      </c>
      <c r="V237" s="27">
        <f t="shared" si="238"/>
        <v>0</v>
      </c>
      <c r="W237" s="27">
        <f t="shared" si="238"/>
        <v>0</v>
      </c>
      <c r="X237" s="27">
        <f t="shared" si="3"/>
        <v>0</v>
      </c>
      <c r="Y237" s="27">
        <f t="shared" si="4"/>
        <v>0</v>
      </c>
    </row>
    <row r="238" ht="14.25" customHeight="1">
      <c r="A238" s="13" t="s">
        <v>244</v>
      </c>
      <c r="B238" s="13" t="s">
        <v>650</v>
      </c>
      <c r="C238" s="13" t="s">
        <v>652</v>
      </c>
      <c r="D238" s="13" t="s">
        <v>652</v>
      </c>
      <c r="E238" s="26">
        <v>51302.0</v>
      </c>
      <c r="F238" s="26">
        <v>5457.0</v>
      </c>
      <c r="G238" s="26">
        <v>5316.0</v>
      </c>
      <c r="H238" s="26">
        <v>5175.0</v>
      </c>
      <c r="I238" s="26">
        <v>4753.0</v>
      </c>
      <c r="J238" s="26">
        <v>4612.0</v>
      </c>
      <c r="K238" s="26">
        <v>4471.0</v>
      </c>
      <c r="L238" s="13">
        <v>0.0</v>
      </c>
      <c r="M238" s="13">
        <v>0.0</v>
      </c>
      <c r="N238" s="13">
        <v>0.0</v>
      </c>
      <c r="O238" s="13">
        <v>0.0</v>
      </c>
      <c r="P238" s="13">
        <v>0.0</v>
      </c>
      <c r="Q238" s="13">
        <v>0.0</v>
      </c>
      <c r="R238" s="27">
        <f t="shared" ref="R238:W238" si="239">(L238/F238)*100000</f>
        <v>0</v>
      </c>
      <c r="S238" s="27">
        <f t="shared" si="239"/>
        <v>0</v>
      </c>
      <c r="T238" s="27">
        <f t="shared" si="239"/>
        <v>0</v>
      </c>
      <c r="U238" s="27">
        <f t="shared" si="239"/>
        <v>0</v>
      </c>
      <c r="V238" s="27">
        <f t="shared" si="239"/>
        <v>0</v>
      </c>
      <c r="W238" s="27">
        <f t="shared" si="239"/>
        <v>0</v>
      </c>
      <c r="X238" s="27">
        <f t="shared" si="3"/>
        <v>0</v>
      </c>
      <c r="Y238" s="27">
        <f t="shared" si="4"/>
        <v>0</v>
      </c>
    </row>
    <row r="239" ht="14.25" customHeight="1">
      <c r="A239" s="13" t="s">
        <v>244</v>
      </c>
      <c r="B239" s="13" t="s">
        <v>653</v>
      </c>
      <c r="C239" s="13" t="s">
        <v>269</v>
      </c>
      <c r="D239" s="13" t="s">
        <v>269</v>
      </c>
      <c r="E239" s="26">
        <v>51401.0</v>
      </c>
      <c r="F239" s="26">
        <v>4165.0</v>
      </c>
      <c r="G239" s="26">
        <v>4169.0</v>
      </c>
      <c r="H239" s="26">
        <v>4172.0</v>
      </c>
      <c r="I239" s="26">
        <v>4181.0</v>
      </c>
      <c r="J239" s="26">
        <v>4184.0</v>
      </c>
      <c r="K239" s="26">
        <v>4187.0</v>
      </c>
      <c r="L239" s="13">
        <v>1.0</v>
      </c>
      <c r="M239" s="13">
        <v>0.0</v>
      </c>
      <c r="N239" s="13">
        <v>1.0</v>
      </c>
      <c r="O239" s="13">
        <v>0.0</v>
      </c>
      <c r="P239" s="13">
        <v>0.0</v>
      </c>
      <c r="Q239" s="13">
        <v>1.0</v>
      </c>
      <c r="R239" s="27">
        <f t="shared" ref="R239:W239" si="240">(L239/F239)*100000</f>
        <v>24.00960384</v>
      </c>
      <c r="S239" s="27">
        <f t="shared" si="240"/>
        <v>0</v>
      </c>
      <c r="T239" s="27">
        <f t="shared" si="240"/>
        <v>23.96931927</v>
      </c>
      <c r="U239" s="27">
        <f t="shared" si="240"/>
        <v>0</v>
      </c>
      <c r="V239" s="27">
        <f t="shared" si="240"/>
        <v>0</v>
      </c>
      <c r="W239" s="27">
        <f t="shared" si="240"/>
        <v>23.88344877</v>
      </c>
      <c r="X239" s="27">
        <f t="shared" si="3"/>
        <v>15.99297437</v>
      </c>
      <c r="Y239" s="27">
        <f t="shared" si="4"/>
        <v>7.96114959</v>
      </c>
    </row>
    <row r="240" ht="14.25" customHeight="1">
      <c r="A240" s="13" t="s">
        <v>244</v>
      </c>
      <c r="B240" s="13" t="s">
        <v>653</v>
      </c>
      <c r="C240" s="13" t="s">
        <v>654</v>
      </c>
      <c r="D240" s="13" t="s">
        <v>654</v>
      </c>
      <c r="E240" s="26">
        <v>51402.0</v>
      </c>
      <c r="F240" s="26">
        <v>1636.0</v>
      </c>
      <c r="G240" s="26">
        <v>1623.0</v>
      </c>
      <c r="H240" s="26">
        <v>1610.0</v>
      </c>
      <c r="I240" s="26">
        <v>1572.0</v>
      </c>
      <c r="J240" s="26">
        <v>1559.0</v>
      </c>
      <c r="K240" s="26">
        <v>1546.0</v>
      </c>
      <c r="L240" s="13">
        <v>0.0</v>
      </c>
      <c r="M240" s="13">
        <v>0.0</v>
      </c>
      <c r="N240" s="13">
        <v>0.0</v>
      </c>
      <c r="O240" s="13">
        <v>0.0</v>
      </c>
      <c r="P240" s="13">
        <v>0.0</v>
      </c>
      <c r="Q240" s="13">
        <v>0.0</v>
      </c>
      <c r="R240" s="27">
        <f t="shared" ref="R240:W240" si="241">(L240/F240)*100000</f>
        <v>0</v>
      </c>
      <c r="S240" s="27">
        <f t="shared" si="241"/>
        <v>0</v>
      </c>
      <c r="T240" s="27">
        <f t="shared" si="241"/>
        <v>0</v>
      </c>
      <c r="U240" s="27">
        <f t="shared" si="241"/>
        <v>0</v>
      </c>
      <c r="V240" s="27">
        <f t="shared" si="241"/>
        <v>0</v>
      </c>
      <c r="W240" s="27">
        <f t="shared" si="241"/>
        <v>0</v>
      </c>
      <c r="X240" s="27">
        <f t="shared" si="3"/>
        <v>0</v>
      </c>
      <c r="Y240" s="27">
        <f t="shared" si="4"/>
        <v>0</v>
      </c>
    </row>
    <row r="241" ht="14.25" customHeight="1">
      <c r="A241" s="13" t="s">
        <v>244</v>
      </c>
      <c r="B241" s="13" t="s">
        <v>655</v>
      </c>
      <c r="C241" s="13" t="s">
        <v>257</v>
      </c>
      <c r="D241" s="13" t="s">
        <v>257</v>
      </c>
      <c r="E241" s="26">
        <v>51501.0</v>
      </c>
      <c r="F241" s="26">
        <v>46754.0</v>
      </c>
      <c r="G241" s="26">
        <v>47123.0</v>
      </c>
      <c r="H241" s="26">
        <v>47493.0</v>
      </c>
      <c r="I241" s="26">
        <v>48601.0</v>
      </c>
      <c r="J241" s="26">
        <v>48971.0</v>
      </c>
      <c r="K241" s="26">
        <v>49340.0</v>
      </c>
      <c r="L241" s="13">
        <v>2.0</v>
      </c>
      <c r="M241" s="13">
        <v>4.0</v>
      </c>
      <c r="N241" s="13">
        <v>5.0</v>
      </c>
      <c r="O241" s="13">
        <v>4.0</v>
      </c>
      <c r="P241" s="13">
        <v>4.0</v>
      </c>
      <c r="Q241" s="13">
        <v>0.0</v>
      </c>
      <c r="R241" s="27">
        <f t="shared" ref="R241:W241" si="242">(L241/F241)*100000</f>
        <v>4.277708859</v>
      </c>
      <c r="S241" s="27">
        <f t="shared" si="242"/>
        <v>8.488423912</v>
      </c>
      <c r="T241" s="27">
        <f t="shared" si="242"/>
        <v>10.52786726</v>
      </c>
      <c r="U241" s="27">
        <f t="shared" si="242"/>
        <v>8.230283328</v>
      </c>
      <c r="V241" s="27">
        <f t="shared" si="242"/>
        <v>8.168099487</v>
      </c>
      <c r="W241" s="27">
        <f t="shared" si="242"/>
        <v>0</v>
      </c>
      <c r="X241" s="27">
        <f t="shared" si="3"/>
        <v>7.764666679</v>
      </c>
      <c r="Y241" s="27">
        <f t="shared" si="4"/>
        <v>5.466127605</v>
      </c>
    </row>
    <row r="242" ht="14.25" customHeight="1">
      <c r="A242" s="13" t="s">
        <v>244</v>
      </c>
      <c r="B242" s="13" t="s">
        <v>656</v>
      </c>
      <c r="C242" s="13" t="s">
        <v>273</v>
      </c>
      <c r="D242" s="13" t="s">
        <v>273</v>
      </c>
      <c r="E242" s="26">
        <v>51601.0</v>
      </c>
      <c r="F242" s="26">
        <v>1868.0</v>
      </c>
      <c r="G242" s="26">
        <v>1905.0</v>
      </c>
      <c r="H242" s="26">
        <v>1942.0</v>
      </c>
      <c r="I242" s="26">
        <v>2052.0</v>
      </c>
      <c r="J242" s="26">
        <v>2089.0</v>
      </c>
      <c r="K242" s="26">
        <v>2126.0</v>
      </c>
      <c r="L242" s="13">
        <v>0.0</v>
      </c>
      <c r="M242" s="13">
        <v>0.0</v>
      </c>
      <c r="N242" s="13">
        <v>0.0</v>
      </c>
      <c r="O242" s="13">
        <v>0.0</v>
      </c>
      <c r="P242" s="13">
        <v>0.0</v>
      </c>
      <c r="Q242" s="13">
        <v>0.0</v>
      </c>
      <c r="R242" s="27">
        <f t="shared" ref="R242:W242" si="243">(L242/F242)*100000</f>
        <v>0</v>
      </c>
      <c r="S242" s="27">
        <f t="shared" si="243"/>
        <v>0</v>
      </c>
      <c r="T242" s="27">
        <f t="shared" si="243"/>
        <v>0</v>
      </c>
      <c r="U242" s="27">
        <f t="shared" si="243"/>
        <v>0</v>
      </c>
      <c r="V242" s="27">
        <f t="shared" si="243"/>
        <v>0</v>
      </c>
      <c r="W242" s="27">
        <f t="shared" si="243"/>
        <v>0</v>
      </c>
      <c r="X242" s="27">
        <f t="shared" si="3"/>
        <v>0</v>
      </c>
      <c r="Y242" s="27">
        <f t="shared" si="4"/>
        <v>0</v>
      </c>
    </row>
    <row r="243" ht="14.25" customHeight="1">
      <c r="A243" s="13" t="s">
        <v>276</v>
      </c>
      <c r="B243" s="13" t="s">
        <v>540</v>
      </c>
      <c r="C243" s="13" t="s">
        <v>276</v>
      </c>
      <c r="D243" s="13" t="s">
        <v>276</v>
      </c>
      <c r="E243" s="26">
        <v>60101.0</v>
      </c>
      <c r="F243" s="26">
        <v>219281.0</v>
      </c>
      <c r="G243" s="26">
        <v>222062.0</v>
      </c>
      <c r="H243" s="26">
        <v>224843.0</v>
      </c>
      <c r="I243" s="26">
        <v>233187.0</v>
      </c>
      <c r="J243" s="26">
        <v>235968.0</v>
      </c>
      <c r="K243" s="26">
        <v>238749.0</v>
      </c>
      <c r="L243" s="13">
        <v>12.0</v>
      </c>
      <c r="M243" s="13">
        <v>13.0</v>
      </c>
      <c r="N243" s="13">
        <v>12.0</v>
      </c>
      <c r="O243" s="13">
        <v>7.0</v>
      </c>
      <c r="P243" s="13">
        <v>10.0</v>
      </c>
      <c r="Q243" s="13">
        <v>12.0</v>
      </c>
      <c r="R243" s="27">
        <f t="shared" ref="R243:W243" si="244">(L243/F243)*100000</f>
        <v>5.472430352</v>
      </c>
      <c r="S243" s="27">
        <f t="shared" si="244"/>
        <v>5.854220893</v>
      </c>
      <c r="T243" s="27">
        <f t="shared" si="244"/>
        <v>5.337057413</v>
      </c>
      <c r="U243" s="27">
        <f t="shared" si="244"/>
        <v>3.001882609</v>
      </c>
      <c r="V243" s="27">
        <f t="shared" si="244"/>
        <v>4.237862761</v>
      </c>
      <c r="W243" s="27">
        <f t="shared" si="244"/>
        <v>5.026199063</v>
      </c>
      <c r="X243" s="27">
        <f t="shared" si="3"/>
        <v>5.554569553</v>
      </c>
      <c r="Y243" s="27">
        <f t="shared" si="4"/>
        <v>4.088648144</v>
      </c>
    </row>
    <row r="244" ht="14.25" customHeight="1">
      <c r="A244" s="13" t="s">
        <v>276</v>
      </c>
      <c r="B244" s="13" t="s">
        <v>657</v>
      </c>
      <c r="C244" s="13" t="s">
        <v>279</v>
      </c>
      <c r="D244" s="13" t="s">
        <v>279</v>
      </c>
      <c r="E244" s="26">
        <v>60201.0</v>
      </c>
      <c r="F244" s="26">
        <v>18321.0</v>
      </c>
      <c r="G244" s="26">
        <v>18249.0</v>
      </c>
      <c r="H244" s="26">
        <v>18177.0</v>
      </c>
      <c r="I244" s="26">
        <v>17961.0</v>
      </c>
      <c r="J244" s="26">
        <v>17889.0</v>
      </c>
      <c r="K244" s="26">
        <v>17817.0</v>
      </c>
      <c r="L244" s="13">
        <v>0.0</v>
      </c>
      <c r="M244" s="13">
        <v>2.0</v>
      </c>
      <c r="N244" s="13">
        <v>0.0</v>
      </c>
      <c r="O244" s="13">
        <v>0.0</v>
      </c>
      <c r="P244" s="13">
        <v>0.0</v>
      </c>
      <c r="Q244" s="13">
        <v>0.0</v>
      </c>
      <c r="R244" s="27">
        <f t="shared" ref="R244:W244" si="245">(L244/F244)*100000</f>
        <v>0</v>
      </c>
      <c r="S244" s="27">
        <f t="shared" si="245"/>
        <v>10.95950463</v>
      </c>
      <c r="T244" s="27">
        <f t="shared" si="245"/>
        <v>0</v>
      </c>
      <c r="U244" s="27">
        <f t="shared" si="245"/>
        <v>0</v>
      </c>
      <c r="V244" s="27">
        <f t="shared" si="245"/>
        <v>0</v>
      </c>
      <c r="W244" s="27">
        <f t="shared" si="245"/>
        <v>0</v>
      </c>
      <c r="X244" s="27">
        <f t="shared" si="3"/>
        <v>3.65316821</v>
      </c>
      <c r="Y244" s="27">
        <f t="shared" si="4"/>
        <v>0</v>
      </c>
    </row>
    <row r="245" ht="14.25" customHeight="1">
      <c r="A245" s="13" t="s">
        <v>276</v>
      </c>
      <c r="B245" s="13" t="s">
        <v>657</v>
      </c>
      <c r="C245" s="13" t="s">
        <v>281</v>
      </c>
      <c r="D245" s="13" t="s">
        <v>281</v>
      </c>
      <c r="E245" s="26">
        <v>60202.0</v>
      </c>
      <c r="F245" s="26">
        <v>35532.0</v>
      </c>
      <c r="G245" s="26">
        <v>35738.0</v>
      </c>
      <c r="H245" s="26">
        <v>35943.0</v>
      </c>
      <c r="I245" s="26">
        <v>36559.0</v>
      </c>
      <c r="J245" s="26">
        <v>36765.0</v>
      </c>
      <c r="K245" s="26">
        <v>36970.0</v>
      </c>
      <c r="L245" s="13">
        <v>3.0</v>
      </c>
      <c r="M245" s="13">
        <v>2.0</v>
      </c>
      <c r="N245" s="13">
        <v>7.0</v>
      </c>
      <c r="O245" s="13">
        <v>4.0</v>
      </c>
      <c r="P245" s="13">
        <v>6.0</v>
      </c>
      <c r="Q245" s="13">
        <v>3.0</v>
      </c>
      <c r="R245" s="27">
        <f t="shared" ref="R245:W245" si="246">(L245/F245)*100000</f>
        <v>8.443093549</v>
      </c>
      <c r="S245" s="27">
        <f t="shared" si="246"/>
        <v>5.596284067</v>
      </c>
      <c r="T245" s="27">
        <f t="shared" si="246"/>
        <v>19.4752803</v>
      </c>
      <c r="U245" s="27">
        <f t="shared" si="246"/>
        <v>10.9412183</v>
      </c>
      <c r="V245" s="27">
        <f t="shared" si="246"/>
        <v>16.31986944</v>
      </c>
      <c r="W245" s="27">
        <f t="shared" si="246"/>
        <v>8.114687585</v>
      </c>
      <c r="X245" s="27">
        <f t="shared" si="3"/>
        <v>11.17155264</v>
      </c>
      <c r="Y245" s="27">
        <f t="shared" si="4"/>
        <v>11.79192511</v>
      </c>
    </row>
    <row r="246" ht="14.25" customHeight="1">
      <c r="A246" s="13" t="s">
        <v>276</v>
      </c>
      <c r="B246" s="13" t="s">
        <v>658</v>
      </c>
      <c r="C246" s="13" t="s">
        <v>283</v>
      </c>
      <c r="D246" s="13" t="s">
        <v>283</v>
      </c>
      <c r="E246" s="26">
        <v>60301.0</v>
      </c>
      <c r="F246" s="26">
        <v>94490.0</v>
      </c>
      <c r="G246" s="26">
        <v>94940.0</v>
      </c>
      <c r="H246" s="26">
        <v>95389.0</v>
      </c>
      <c r="I246" s="26">
        <v>96736.0</v>
      </c>
      <c r="J246" s="26">
        <v>97185.0</v>
      </c>
      <c r="K246" s="26">
        <v>97634.0</v>
      </c>
      <c r="L246" s="13">
        <v>4.0</v>
      </c>
      <c r="M246" s="13">
        <v>8.0</v>
      </c>
      <c r="N246" s="13">
        <v>11.0</v>
      </c>
      <c r="O246" s="13">
        <v>13.0</v>
      </c>
      <c r="P246" s="13">
        <v>3.0</v>
      </c>
      <c r="Q246" s="13">
        <v>8.0</v>
      </c>
      <c r="R246" s="27">
        <f t="shared" ref="R246:W246" si="247">(L246/F246)*100000</f>
        <v>4.233252196</v>
      </c>
      <c r="S246" s="27">
        <f t="shared" si="247"/>
        <v>8.426374552</v>
      </c>
      <c r="T246" s="27">
        <f t="shared" si="247"/>
        <v>11.53172798</v>
      </c>
      <c r="U246" s="27">
        <f t="shared" si="247"/>
        <v>13.43863712</v>
      </c>
      <c r="V246" s="27">
        <f t="shared" si="247"/>
        <v>3.086896126</v>
      </c>
      <c r="W246" s="27">
        <f t="shared" si="247"/>
        <v>8.193866891</v>
      </c>
      <c r="X246" s="27">
        <f t="shared" si="3"/>
        <v>8.063784908</v>
      </c>
      <c r="Y246" s="27">
        <f t="shared" si="4"/>
        <v>8.239800044</v>
      </c>
    </row>
    <row r="247" ht="14.25" customHeight="1">
      <c r="A247" s="13" t="s">
        <v>276</v>
      </c>
      <c r="B247" s="13" t="s">
        <v>658</v>
      </c>
      <c r="C247" s="13" t="s">
        <v>286</v>
      </c>
      <c r="D247" s="13" t="s">
        <v>286</v>
      </c>
      <c r="E247" s="26">
        <v>60302.0</v>
      </c>
      <c r="F247" s="26">
        <v>15446.0</v>
      </c>
      <c r="G247" s="26">
        <v>15463.0</v>
      </c>
      <c r="H247" s="26">
        <v>15479.0</v>
      </c>
      <c r="I247" s="26">
        <v>15527.0</v>
      </c>
      <c r="J247" s="26">
        <v>15543.0</v>
      </c>
      <c r="K247" s="26">
        <v>15559.0</v>
      </c>
      <c r="L247" s="13">
        <v>0.0</v>
      </c>
      <c r="M247" s="13">
        <v>1.0</v>
      </c>
      <c r="N247" s="13">
        <v>2.0</v>
      </c>
      <c r="O247" s="13">
        <v>1.0</v>
      </c>
      <c r="P247" s="13">
        <v>0.0</v>
      </c>
      <c r="Q247" s="13">
        <v>0.0</v>
      </c>
      <c r="R247" s="27">
        <f t="shared" ref="R247:W247" si="248">(L247/F247)*100000</f>
        <v>0</v>
      </c>
      <c r="S247" s="27">
        <f t="shared" si="248"/>
        <v>6.467050378</v>
      </c>
      <c r="T247" s="27">
        <f t="shared" si="248"/>
        <v>12.92073131</v>
      </c>
      <c r="U247" s="27">
        <f t="shared" si="248"/>
        <v>6.440394152</v>
      </c>
      <c r="V247" s="27">
        <f t="shared" si="248"/>
        <v>0</v>
      </c>
      <c r="W247" s="27">
        <f t="shared" si="248"/>
        <v>0</v>
      </c>
      <c r="X247" s="27">
        <f t="shared" si="3"/>
        <v>6.462593897</v>
      </c>
      <c r="Y247" s="27">
        <f t="shared" si="4"/>
        <v>2.146798051</v>
      </c>
    </row>
    <row r="248" ht="14.25" customHeight="1">
      <c r="A248" s="13" t="s">
        <v>276</v>
      </c>
      <c r="B248" s="13" t="s">
        <v>658</v>
      </c>
      <c r="C248" s="13" t="s">
        <v>659</v>
      </c>
      <c r="D248" s="13" t="s">
        <v>659</v>
      </c>
      <c r="E248" s="26">
        <v>60303.0</v>
      </c>
      <c r="F248" s="26">
        <v>42452.0</v>
      </c>
      <c r="G248" s="26">
        <v>42969.0</v>
      </c>
      <c r="H248" s="26">
        <v>43486.0</v>
      </c>
      <c r="I248" s="26">
        <v>45037.0</v>
      </c>
      <c r="J248" s="26">
        <v>45554.0</v>
      </c>
      <c r="K248" s="26">
        <v>46071.0</v>
      </c>
      <c r="L248" s="13">
        <v>2.0</v>
      </c>
      <c r="M248" s="13">
        <v>5.0</v>
      </c>
      <c r="N248" s="13">
        <v>2.0</v>
      </c>
      <c r="O248" s="13">
        <v>4.0</v>
      </c>
      <c r="P248" s="13">
        <v>5.0</v>
      </c>
      <c r="Q248" s="13">
        <v>1.0</v>
      </c>
      <c r="R248" s="27">
        <f t="shared" ref="R248:W248" si="249">(L248/F248)*100000</f>
        <v>4.711203241</v>
      </c>
      <c r="S248" s="27">
        <f t="shared" si="249"/>
        <v>11.63629593</v>
      </c>
      <c r="T248" s="27">
        <f t="shared" si="249"/>
        <v>4.599181346</v>
      </c>
      <c r="U248" s="27">
        <f t="shared" si="249"/>
        <v>8.881586251</v>
      </c>
      <c r="V248" s="27">
        <f t="shared" si="249"/>
        <v>10.97598455</v>
      </c>
      <c r="W248" s="27">
        <f t="shared" si="249"/>
        <v>2.170562827</v>
      </c>
      <c r="X248" s="27">
        <f t="shared" si="3"/>
        <v>6.98222684</v>
      </c>
      <c r="Y248" s="27">
        <f t="shared" si="4"/>
        <v>7.342711208</v>
      </c>
    </row>
    <row r="249" ht="14.25" customHeight="1">
      <c r="A249" s="13" t="s">
        <v>276</v>
      </c>
      <c r="B249" s="13" t="s">
        <v>660</v>
      </c>
      <c r="C249" s="13" t="s">
        <v>290</v>
      </c>
      <c r="D249" s="13" t="s">
        <v>381</v>
      </c>
      <c r="E249" s="26">
        <v>60401.0</v>
      </c>
      <c r="F249" s="26">
        <v>15257.0</v>
      </c>
      <c r="G249" s="26">
        <v>15352.0</v>
      </c>
      <c r="H249" s="26">
        <v>15447.0</v>
      </c>
      <c r="I249" s="26">
        <v>15733.0</v>
      </c>
      <c r="J249" s="26">
        <v>15828.0</v>
      </c>
      <c r="K249" s="26">
        <v>15923.0</v>
      </c>
      <c r="L249" s="13">
        <v>0.0</v>
      </c>
      <c r="M249" s="13">
        <v>0.0</v>
      </c>
      <c r="N249" s="13">
        <v>0.0</v>
      </c>
      <c r="O249" s="13">
        <v>0.0</v>
      </c>
      <c r="P249" s="13">
        <v>1.0</v>
      </c>
      <c r="Q249" s="13">
        <v>3.0</v>
      </c>
      <c r="R249" s="27">
        <f t="shared" ref="R249:W249" si="250">(L249/F249)*100000</f>
        <v>0</v>
      </c>
      <c r="S249" s="27">
        <f t="shared" si="250"/>
        <v>0</v>
      </c>
      <c r="T249" s="27">
        <f t="shared" si="250"/>
        <v>0</v>
      </c>
      <c r="U249" s="27">
        <f t="shared" si="250"/>
        <v>0</v>
      </c>
      <c r="V249" s="27">
        <f t="shared" si="250"/>
        <v>6.317917614</v>
      </c>
      <c r="W249" s="27">
        <f t="shared" si="250"/>
        <v>18.84067073</v>
      </c>
      <c r="X249" s="27">
        <f t="shared" si="3"/>
        <v>0</v>
      </c>
      <c r="Y249" s="27">
        <f t="shared" si="4"/>
        <v>8.386196114</v>
      </c>
    </row>
    <row r="250" ht="14.25" customHeight="1">
      <c r="A250" s="13" t="s">
        <v>276</v>
      </c>
      <c r="B250" s="13" t="s">
        <v>660</v>
      </c>
      <c r="C250" s="13" t="s">
        <v>661</v>
      </c>
      <c r="D250" s="13" t="s">
        <v>661</v>
      </c>
      <c r="E250" s="26">
        <v>60402.0</v>
      </c>
      <c r="F250" s="26">
        <v>5183.0</v>
      </c>
      <c r="G250" s="26">
        <v>5122.0</v>
      </c>
      <c r="H250" s="26">
        <v>5061.0</v>
      </c>
      <c r="I250" s="26">
        <v>4877.0</v>
      </c>
      <c r="J250" s="26">
        <v>4815.0</v>
      </c>
      <c r="K250" s="26">
        <v>4754.0</v>
      </c>
      <c r="L250" s="13">
        <v>0.0</v>
      </c>
      <c r="M250" s="13">
        <v>0.0</v>
      </c>
      <c r="N250" s="13">
        <v>0.0</v>
      </c>
      <c r="O250" s="13">
        <v>0.0</v>
      </c>
      <c r="P250" s="13">
        <v>0.0</v>
      </c>
      <c r="Q250" s="13">
        <v>0.0</v>
      </c>
      <c r="R250" s="27">
        <f t="shared" ref="R250:W250" si="251">(L250/F250)*100000</f>
        <v>0</v>
      </c>
      <c r="S250" s="27">
        <f t="shared" si="251"/>
        <v>0</v>
      </c>
      <c r="T250" s="27">
        <f t="shared" si="251"/>
        <v>0</v>
      </c>
      <c r="U250" s="27">
        <f t="shared" si="251"/>
        <v>0</v>
      </c>
      <c r="V250" s="27">
        <f t="shared" si="251"/>
        <v>0</v>
      </c>
      <c r="W250" s="27">
        <f t="shared" si="251"/>
        <v>0</v>
      </c>
      <c r="X250" s="27">
        <f t="shared" si="3"/>
        <v>0</v>
      </c>
      <c r="Y250" s="27">
        <f t="shared" si="4"/>
        <v>0</v>
      </c>
    </row>
    <row r="251" ht="14.25" customHeight="1">
      <c r="A251" s="13" t="s">
        <v>276</v>
      </c>
      <c r="B251" s="13" t="s">
        <v>662</v>
      </c>
      <c r="C251" s="13" t="s">
        <v>406</v>
      </c>
      <c r="D251" s="13" t="s">
        <v>293</v>
      </c>
      <c r="E251" s="26">
        <v>60501.0</v>
      </c>
      <c r="F251" s="26">
        <v>26564.0</v>
      </c>
      <c r="G251" s="26">
        <v>27105.0</v>
      </c>
      <c r="H251" s="26">
        <v>27645.0</v>
      </c>
      <c r="I251" s="26">
        <v>29266.0</v>
      </c>
      <c r="J251" s="26">
        <v>29806.0</v>
      </c>
      <c r="K251" s="26">
        <v>30346.0</v>
      </c>
      <c r="L251" s="13">
        <v>6.0</v>
      </c>
      <c r="M251" s="13">
        <v>0.0</v>
      </c>
      <c r="N251" s="13">
        <v>1.0</v>
      </c>
      <c r="O251" s="13">
        <v>0.0</v>
      </c>
      <c r="P251" s="13">
        <v>0.0</v>
      </c>
      <c r="Q251" s="13">
        <v>3.0</v>
      </c>
      <c r="R251" s="27">
        <f t="shared" ref="R251:W251" si="252">(L251/F251)*100000</f>
        <v>22.5869598</v>
      </c>
      <c r="S251" s="27">
        <f t="shared" si="252"/>
        <v>0</v>
      </c>
      <c r="T251" s="27">
        <f t="shared" si="252"/>
        <v>3.617290649</v>
      </c>
      <c r="U251" s="27">
        <f t="shared" si="252"/>
        <v>0</v>
      </c>
      <c r="V251" s="27">
        <f t="shared" si="252"/>
        <v>0</v>
      </c>
      <c r="W251" s="27">
        <f t="shared" si="252"/>
        <v>9.885981678</v>
      </c>
      <c r="X251" s="27">
        <f t="shared" si="3"/>
        <v>8.734750148</v>
      </c>
      <c r="Y251" s="27">
        <f t="shared" si="4"/>
        <v>3.295327226</v>
      </c>
    </row>
    <row r="252" ht="14.25" customHeight="1">
      <c r="A252" s="13" t="s">
        <v>276</v>
      </c>
      <c r="B252" s="13" t="s">
        <v>662</v>
      </c>
      <c r="C252" s="13" t="s">
        <v>295</v>
      </c>
      <c r="D252" s="13" t="s">
        <v>295</v>
      </c>
      <c r="E252" s="26">
        <v>60502.0</v>
      </c>
      <c r="F252" s="26">
        <v>10591.0</v>
      </c>
      <c r="G252" s="26">
        <v>10439.0</v>
      </c>
      <c r="H252" s="26">
        <v>10286.0</v>
      </c>
      <c r="I252" s="26">
        <v>9828.0</v>
      </c>
      <c r="J252" s="26">
        <v>9676.0</v>
      </c>
      <c r="K252" s="26">
        <v>9523.0</v>
      </c>
      <c r="L252" s="13">
        <v>0.0</v>
      </c>
      <c r="M252" s="13">
        <v>1.0</v>
      </c>
      <c r="N252" s="13">
        <v>0.0</v>
      </c>
      <c r="O252" s="13">
        <v>0.0</v>
      </c>
      <c r="P252" s="13">
        <v>0.0</v>
      </c>
      <c r="Q252" s="13">
        <v>0.0</v>
      </c>
      <c r="R252" s="27">
        <f t="shared" ref="R252:W252" si="253">(L252/F252)*100000</f>
        <v>0</v>
      </c>
      <c r="S252" s="27">
        <f t="shared" si="253"/>
        <v>9.579461634</v>
      </c>
      <c r="T252" s="27">
        <f t="shared" si="253"/>
        <v>0</v>
      </c>
      <c r="U252" s="27">
        <f t="shared" si="253"/>
        <v>0</v>
      </c>
      <c r="V252" s="27">
        <f t="shared" si="253"/>
        <v>0</v>
      </c>
      <c r="W252" s="27">
        <f t="shared" si="253"/>
        <v>0</v>
      </c>
      <c r="X252" s="27">
        <f t="shared" si="3"/>
        <v>3.193153878</v>
      </c>
      <c r="Y252" s="27">
        <f t="shared" si="4"/>
        <v>0</v>
      </c>
    </row>
    <row r="253" ht="14.25" customHeight="1">
      <c r="A253" s="13" t="s">
        <v>276</v>
      </c>
      <c r="B253" s="13" t="s">
        <v>663</v>
      </c>
      <c r="C253" s="13" t="s">
        <v>154</v>
      </c>
      <c r="D253" s="13" t="s">
        <v>154</v>
      </c>
      <c r="E253" s="26">
        <v>60601.0</v>
      </c>
      <c r="F253" s="26">
        <v>21521.0</v>
      </c>
      <c r="G253" s="26">
        <v>21428.0</v>
      </c>
      <c r="H253" s="26">
        <v>21334.0</v>
      </c>
      <c r="I253" s="26">
        <v>21052.0</v>
      </c>
      <c r="J253" s="26">
        <v>20958.0</v>
      </c>
      <c r="K253" s="26">
        <v>20864.0</v>
      </c>
      <c r="L253" s="13">
        <v>1.0</v>
      </c>
      <c r="M253" s="13">
        <v>1.0</v>
      </c>
      <c r="N253" s="13">
        <v>0.0</v>
      </c>
      <c r="O253" s="13">
        <v>0.0</v>
      </c>
      <c r="P253" s="13">
        <v>0.0</v>
      </c>
      <c r="Q253" s="13">
        <v>0.0</v>
      </c>
      <c r="R253" s="27">
        <f t="shared" ref="R253:W253" si="254">(L253/F253)*100000</f>
        <v>4.646624227</v>
      </c>
      <c r="S253" s="27">
        <f t="shared" si="254"/>
        <v>4.666791114</v>
      </c>
      <c r="T253" s="27">
        <f t="shared" si="254"/>
        <v>0</v>
      </c>
      <c r="U253" s="27">
        <f t="shared" si="254"/>
        <v>0</v>
      </c>
      <c r="V253" s="27">
        <f t="shared" si="254"/>
        <v>0</v>
      </c>
      <c r="W253" s="27">
        <f t="shared" si="254"/>
        <v>0</v>
      </c>
      <c r="X253" s="27">
        <f t="shared" si="3"/>
        <v>3.104471781</v>
      </c>
      <c r="Y253" s="27">
        <f t="shared" si="4"/>
        <v>0</v>
      </c>
    </row>
    <row r="254" ht="14.25" customHeight="1">
      <c r="A254" s="13" t="s">
        <v>664</v>
      </c>
      <c r="B254" s="13" t="s">
        <v>665</v>
      </c>
      <c r="C254" s="13" t="s">
        <v>298</v>
      </c>
      <c r="D254" s="13" t="s">
        <v>298</v>
      </c>
      <c r="E254" s="26">
        <v>70101.0</v>
      </c>
      <c r="F254" s="26">
        <v>1513824.0</v>
      </c>
      <c r="G254" s="26">
        <v>1527704.0</v>
      </c>
      <c r="H254" s="26">
        <v>1541583.0</v>
      </c>
      <c r="I254" s="26">
        <v>1583223.0</v>
      </c>
      <c r="J254" s="26">
        <v>1597102.0</v>
      </c>
      <c r="K254" s="26">
        <v>1610982.0</v>
      </c>
      <c r="L254" s="13">
        <v>88.0</v>
      </c>
      <c r="M254" s="13">
        <v>75.0</v>
      </c>
      <c r="N254" s="13">
        <v>56.0</v>
      </c>
      <c r="O254" s="13">
        <v>27.0</v>
      </c>
      <c r="P254" s="13">
        <v>52.0</v>
      </c>
      <c r="Q254" s="13">
        <v>34.0</v>
      </c>
      <c r="R254" s="27">
        <f t="shared" ref="R254:W254" si="255">(L254/F254)*100000</f>
        <v>5.8130932</v>
      </c>
      <c r="S254" s="27">
        <f t="shared" si="255"/>
        <v>4.909327985</v>
      </c>
      <c r="T254" s="27">
        <f t="shared" si="255"/>
        <v>3.632629576</v>
      </c>
      <c r="U254" s="27">
        <f t="shared" si="255"/>
        <v>1.705381996</v>
      </c>
      <c r="V254" s="27">
        <f t="shared" si="255"/>
        <v>3.255897244</v>
      </c>
      <c r="W254" s="27">
        <f t="shared" si="255"/>
        <v>2.11051396</v>
      </c>
      <c r="X254" s="27">
        <f t="shared" si="3"/>
        <v>4.78501692</v>
      </c>
      <c r="Y254" s="27">
        <f t="shared" si="4"/>
        <v>2.3572644</v>
      </c>
    </row>
    <row r="255" ht="14.25" customHeight="1">
      <c r="A255" s="13" t="s">
        <v>664</v>
      </c>
      <c r="B255" s="13" t="s">
        <v>665</v>
      </c>
      <c r="C255" s="13" t="s">
        <v>300</v>
      </c>
      <c r="D255" s="13" t="s">
        <v>300</v>
      </c>
      <c r="E255" s="26">
        <v>70102.0</v>
      </c>
      <c r="F255" s="26">
        <v>76871.0</v>
      </c>
      <c r="G255" s="26">
        <v>81118.0</v>
      </c>
      <c r="H255" s="26">
        <v>85366.0</v>
      </c>
      <c r="I255" s="26">
        <v>98108.0</v>
      </c>
      <c r="J255" s="26">
        <v>102356.0</v>
      </c>
      <c r="K255" s="26">
        <v>106603.0</v>
      </c>
      <c r="L255" s="13">
        <v>7.0</v>
      </c>
      <c r="M255" s="13">
        <v>1.0</v>
      </c>
      <c r="N255" s="13">
        <v>4.0</v>
      </c>
      <c r="O255" s="13">
        <v>7.0</v>
      </c>
      <c r="P255" s="13">
        <v>18.0</v>
      </c>
      <c r="Q255" s="13">
        <v>9.0</v>
      </c>
      <c r="R255" s="27">
        <f t="shared" ref="R255:W255" si="256">(L255/F255)*100000</f>
        <v>9.106164874</v>
      </c>
      <c r="S255" s="27">
        <f t="shared" si="256"/>
        <v>1.232772011</v>
      </c>
      <c r="T255" s="27">
        <f t="shared" si="256"/>
        <v>4.685706253</v>
      </c>
      <c r="U255" s="27">
        <f t="shared" si="256"/>
        <v>7.134994088</v>
      </c>
      <c r="V255" s="27">
        <f t="shared" si="256"/>
        <v>17.58568135</v>
      </c>
      <c r="W255" s="27">
        <f t="shared" si="256"/>
        <v>8.442539141</v>
      </c>
      <c r="X255" s="27">
        <f t="shared" si="3"/>
        <v>5.008214379</v>
      </c>
      <c r="Y255" s="27">
        <f t="shared" si="4"/>
        <v>11.05440486</v>
      </c>
    </row>
    <row r="256" ht="14.25" customHeight="1">
      <c r="A256" s="13" t="s">
        <v>664</v>
      </c>
      <c r="B256" s="13" t="s">
        <v>665</v>
      </c>
      <c r="C256" s="13" t="s">
        <v>302</v>
      </c>
      <c r="D256" s="13" t="s">
        <v>666</v>
      </c>
      <c r="E256" s="26">
        <v>70103.0</v>
      </c>
      <c r="F256" s="26">
        <v>18571.0</v>
      </c>
      <c r="G256" s="26">
        <v>19222.0</v>
      </c>
      <c r="H256" s="26">
        <v>19872.0</v>
      </c>
      <c r="I256" s="26">
        <v>21825.0</v>
      </c>
      <c r="J256" s="26">
        <v>22475.0</v>
      </c>
      <c r="K256" s="26">
        <v>23126.0</v>
      </c>
      <c r="L256" s="13">
        <v>0.0</v>
      </c>
      <c r="M256" s="13">
        <v>0.0</v>
      </c>
      <c r="N256" s="13">
        <v>0.0</v>
      </c>
      <c r="O256" s="13">
        <v>2.0</v>
      </c>
      <c r="P256" s="13">
        <v>3.0</v>
      </c>
      <c r="Q256" s="13">
        <v>2.0</v>
      </c>
      <c r="R256" s="27">
        <f t="shared" ref="R256:W256" si="257">(L256/F256)*100000</f>
        <v>0</v>
      </c>
      <c r="S256" s="27">
        <f t="shared" si="257"/>
        <v>0</v>
      </c>
      <c r="T256" s="27">
        <f t="shared" si="257"/>
        <v>0</v>
      </c>
      <c r="U256" s="27">
        <f t="shared" si="257"/>
        <v>9.163802978</v>
      </c>
      <c r="V256" s="27">
        <f t="shared" si="257"/>
        <v>13.34816463</v>
      </c>
      <c r="W256" s="27">
        <f t="shared" si="257"/>
        <v>8.648274669</v>
      </c>
      <c r="X256" s="27">
        <f t="shared" si="3"/>
        <v>0</v>
      </c>
      <c r="Y256" s="27">
        <f t="shared" si="4"/>
        <v>10.38674742</v>
      </c>
    </row>
    <row r="257" ht="14.25" customHeight="1">
      <c r="A257" s="13" t="s">
        <v>664</v>
      </c>
      <c r="B257" s="13" t="s">
        <v>665</v>
      </c>
      <c r="C257" s="13" t="s">
        <v>304</v>
      </c>
      <c r="D257" s="13" t="s">
        <v>304</v>
      </c>
      <c r="E257" s="26">
        <v>70104.0</v>
      </c>
      <c r="F257" s="26">
        <v>113635.0</v>
      </c>
      <c r="G257" s="26">
        <v>118505.0</v>
      </c>
      <c r="H257" s="26">
        <v>123375.0</v>
      </c>
      <c r="I257" s="26">
        <v>137986.0</v>
      </c>
      <c r="J257" s="26">
        <v>142856.0</v>
      </c>
      <c r="K257" s="26">
        <v>147726.0</v>
      </c>
      <c r="L257" s="13">
        <v>7.0</v>
      </c>
      <c r="M257" s="13">
        <v>10.0</v>
      </c>
      <c r="N257" s="13">
        <v>8.0</v>
      </c>
      <c r="O257" s="13">
        <v>5.0</v>
      </c>
      <c r="P257" s="13">
        <v>5.0</v>
      </c>
      <c r="Q257" s="13">
        <v>1.0</v>
      </c>
      <c r="R257" s="27">
        <f t="shared" ref="R257:W257" si="258">(L257/F257)*100000</f>
        <v>6.160073921</v>
      </c>
      <c r="S257" s="27">
        <f t="shared" si="258"/>
        <v>8.438462512</v>
      </c>
      <c r="T257" s="27">
        <f t="shared" si="258"/>
        <v>6.484295846</v>
      </c>
      <c r="U257" s="27">
        <f t="shared" si="258"/>
        <v>3.623556013</v>
      </c>
      <c r="V257" s="27">
        <f t="shared" si="258"/>
        <v>3.500028</v>
      </c>
      <c r="W257" s="27">
        <f t="shared" si="258"/>
        <v>0.6769289089</v>
      </c>
      <c r="X257" s="27">
        <f t="shared" si="3"/>
        <v>7.02761076</v>
      </c>
      <c r="Y257" s="27">
        <f t="shared" si="4"/>
        <v>2.600170974</v>
      </c>
    </row>
    <row r="258" ht="14.25" customHeight="1">
      <c r="A258" s="13" t="s">
        <v>664</v>
      </c>
      <c r="B258" s="13" t="s">
        <v>665</v>
      </c>
      <c r="C258" s="13" t="s">
        <v>306</v>
      </c>
      <c r="D258" s="13" t="s">
        <v>306</v>
      </c>
      <c r="E258" s="26">
        <v>70105.0</v>
      </c>
      <c r="F258" s="26">
        <v>52171.0</v>
      </c>
      <c r="G258" s="26">
        <v>52675.0</v>
      </c>
      <c r="H258" s="26">
        <v>53178.0</v>
      </c>
      <c r="I258" s="26">
        <v>54690.0</v>
      </c>
      <c r="J258" s="26">
        <v>55193.0</v>
      </c>
      <c r="K258" s="26">
        <v>55697.0</v>
      </c>
      <c r="L258" s="13">
        <v>7.0</v>
      </c>
      <c r="M258" s="13">
        <v>5.0</v>
      </c>
      <c r="N258" s="13">
        <v>5.0</v>
      </c>
      <c r="O258" s="13">
        <v>2.0</v>
      </c>
      <c r="P258" s="13">
        <v>2.0</v>
      </c>
      <c r="Q258" s="13">
        <v>4.0</v>
      </c>
      <c r="R258" s="27">
        <f t="shared" ref="R258:W258" si="259">(L258/F258)*100000</f>
        <v>13.41741581</v>
      </c>
      <c r="S258" s="27">
        <f t="shared" si="259"/>
        <v>9.492168961</v>
      </c>
      <c r="T258" s="27">
        <f t="shared" si="259"/>
        <v>9.402384445</v>
      </c>
      <c r="U258" s="27">
        <f t="shared" si="259"/>
        <v>3.656975681</v>
      </c>
      <c r="V258" s="27">
        <f t="shared" si="259"/>
        <v>3.623647926</v>
      </c>
      <c r="W258" s="27">
        <f t="shared" si="259"/>
        <v>7.181715353</v>
      </c>
      <c r="X258" s="27">
        <f t="shared" si="3"/>
        <v>10.7706564</v>
      </c>
      <c r="Y258" s="27">
        <f t="shared" si="4"/>
        <v>4.820779653</v>
      </c>
    </row>
    <row r="259" ht="14.25" customHeight="1">
      <c r="A259" s="13" t="s">
        <v>664</v>
      </c>
      <c r="B259" s="13" t="s">
        <v>308</v>
      </c>
      <c r="C259" s="13" t="s">
        <v>308</v>
      </c>
      <c r="D259" s="13" t="s">
        <v>308</v>
      </c>
      <c r="E259" s="26">
        <v>70201.0</v>
      </c>
      <c r="F259" s="26">
        <v>119257.0</v>
      </c>
      <c r="G259" s="26">
        <v>123827.0</v>
      </c>
      <c r="H259" s="26">
        <v>128397.0</v>
      </c>
      <c r="I259" s="26">
        <v>142108.0</v>
      </c>
      <c r="J259" s="26">
        <v>146678.0</v>
      </c>
      <c r="K259" s="26">
        <v>151248.0</v>
      </c>
      <c r="L259" s="13">
        <v>6.0</v>
      </c>
      <c r="M259" s="13">
        <v>7.0</v>
      </c>
      <c r="N259" s="13">
        <v>12.0</v>
      </c>
      <c r="O259" s="13">
        <v>20.0</v>
      </c>
      <c r="P259" s="13">
        <v>39.0</v>
      </c>
      <c r="Q259" s="13">
        <v>23.0</v>
      </c>
      <c r="R259" s="27">
        <f t="shared" ref="R259:W259" si="260">(L259/F259)*100000</f>
        <v>5.031151211</v>
      </c>
      <c r="S259" s="27">
        <f t="shared" si="260"/>
        <v>5.653048204</v>
      </c>
      <c r="T259" s="27">
        <f t="shared" si="260"/>
        <v>9.346012757</v>
      </c>
      <c r="U259" s="27">
        <f t="shared" si="260"/>
        <v>14.07380302</v>
      </c>
      <c r="V259" s="27">
        <f t="shared" si="260"/>
        <v>26.5888545</v>
      </c>
      <c r="W259" s="27">
        <f t="shared" si="260"/>
        <v>15.20681265</v>
      </c>
      <c r="X259" s="27">
        <f t="shared" si="3"/>
        <v>6.676737391</v>
      </c>
      <c r="Y259" s="27">
        <f t="shared" si="4"/>
        <v>18.62315672</v>
      </c>
    </row>
    <row r="260" ht="14.25" customHeight="1">
      <c r="A260" s="13" t="s">
        <v>664</v>
      </c>
      <c r="B260" s="13" t="s">
        <v>308</v>
      </c>
      <c r="C260" s="13" t="s">
        <v>311</v>
      </c>
      <c r="D260" s="13" t="s">
        <v>311</v>
      </c>
      <c r="E260" s="26">
        <v>70202.0</v>
      </c>
      <c r="F260" s="26">
        <v>11725.0</v>
      </c>
      <c r="G260" s="26">
        <v>11574.0</v>
      </c>
      <c r="H260" s="26">
        <v>11422.0</v>
      </c>
      <c r="I260" s="26">
        <v>10968.0</v>
      </c>
      <c r="J260" s="26">
        <v>10816.0</v>
      </c>
      <c r="K260" s="26">
        <v>10665.0</v>
      </c>
      <c r="L260" s="13">
        <v>0.0</v>
      </c>
      <c r="M260" s="13">
        <v>0.0</v>
      </c>
      <c r="N260" s="13">
        <v>0.0</v>
      </c>
      <c r="O260" s="13">
        <v>0.0</v>
      </c>
      <c r="P260" s="13">
        <v>0.0</v>
      </c>
      <c r="Q260" s="13">
        <v>0.0</v>
      </c>
      <c r="R260" s="27">
        <f t="shared" ref="R260:W260" si="261">(L260/F260)*100000</f>
        <v>0</v>
      </c>
      <c r="S260" s="27">
        <f t="shared" si="261"/>
        <v>0</v>
      </c>
      <c r="T260" s="27">
        <f t="shared" si="261"/>
        <v>0</v>
      </c>
      <c r="U260" s="27">
        <f t="shared" si="261"/>
        <v>0</v>
      </c>
      <c r="V260" s="27">
        <f t="shared" si="261"/>
        <v>0</v>
      </c>
      <c r="W260" s="27">
        <f t="shared" si="261"/>
        <v>0</v>
      </c>
      <c r="X260" s="27">
        <f t="shared" si="3"/>
        <v>0</v>
      </c>
      <c r="Y260" s="27">
        <f t="shared" si="4"/>
        <v>0</v>
      </c>
    </row>
    <row r="261" ht="14.25" customHeight="1">
      <c r="A261" s="13" t="s">
        <v>664</v>
      </c>
      <c r="B261" s="13" t="s">
        <v>667</v>
      </c>
      <c r="C261" s="13" t="s">
        <v>313</v>
      </c>
      <c r="D261" s="13" t="s">
        <v>388</v>
      </c>
      <c r="E261" s="26">
        <v>70301.0</v>
      </c>
      <c r="F261" s="26">
        <v>58504.0</v>
      </c>
      <c r="G261" s="26">
        <v>59733.0</v>
      </c>
      <c r="H261" s="26">
        <v>60961.0</v>
      </c>
      <c r="I261" s="26">
        <v>64646.0</v>
      </c>
      <c r="J261" s="26">
        <v>65875.0</v>
      </c>
      <c r="K261" s="26">
        <v>67103.0</v>
      </c>
      <c r="L261" s="13">
        <v>0.0</v>
      </c>
      <c r="M261" s="13">
        <v>3.0</v>
      </c>
      <c r="N261" s="13">
        <v>8.0</v>
      </c>
      <c r="O261" s="13">
        <v>7.0</v>
      </c>
      <c r="P261" s="13">
        <v>6.0</v>
      </c>
      <c r="Q261" s="13">
        <v>6.0</v>
      </c>
      <c r="R261" s="27">
        <f t="shared" ref="R261:W261" si="262">(L261/F261)*100000</f>
        <v>0</v>
      </c>
      <c r="S261" s="27">
        <f t="shared" si="262"/>
        <v>5.022349455</v>
      </c>
      <c r="T261" s="27">
        <f t="shared" si="262"/>
        <v>13.12314431</v>
      </c>
      <c r="U261" s="27">
        <f t="shared" si="262"/>
        <v>10.82820283</v>
      </c>
      <c r="V261" s="27">
        <f t="shared" si="262"/>
        <v>9.108159393</v>
      </c>
      <c r="W261" s="27">
        <f t="shared" si="262"/>
        <v>8.941478026</v>
      </c>
      <c r="X261" s="27">
        <f t="shared" si="3"/>
        <v>6.04849792</v>
      </c>
      <c r="Y261" s="27">
        <f t="shared" si="4"/>
        <v>9.625946749</v>
      </c>
    </row>
    <row r="262" ht="14.25" customHeight="1">
      <c r="A262" s="13" t="s">
        <v>664</v>
      </c>
      <c r="B262" s="13" t="s">
        <v>667</v>
      </c>
      <c r="C262" s="13" t="s">
        <v>315</v>
      </c>
      <c r="D262" s="13" t="s">
        <v>668</v>
      </c>
      <c r="E262" s="26">
        <v>70302.0</v>
      </c>
      <c r="F262" s="26">
        <v>12957.0</v>
      </c>
      <c r="G262" s="26">
        <v>13283.0</v>
      </c>
      <c r="H262" s="26">
        <v>13609.0</v>
      </c>
      <c r="I262" s="26">
        <v>14587.0</v>
      </c>
      <c r="J262" s="26">
        <v>14913.0</v>
      </c>
      <c r="K262" s="26">
        <v>15239.0</v>
      </c>
      <c r="L262" s="13">
        <v>0.0</v>
      </c>
      <c r="M262" s="13">
        <v>1.0</v>
      </c>
      <c r="N262" s="13">
        <v>0.0</v>
      </c>
      <c r="O262" s="13">
        <v>1.0</v>
      </c>
      <c r="P262" s="13">
        <v>0.0</v>
      </c>
      <c r="Q262" s="13">
        <v>0.0</v>
      </c>
      <c r="R262" s="27">
        <f t="shared" ref="R262:W262" si="263">(L262/F262)*100000</f>
        <v>0</v>
      </c>
      <c r="S262" s="27">
        <f t="shared" si="263"/>
        <v>7.528419785</v>
      </c>
      <c r="T262" s="27">
        <f t="shared" si="263"/>
        <v>0</v>
      </c>
      <c r="U262" s="27">
        <f t="shared" si="263"/>
        <v>6.855419209</v>
      </c>
      <c r="V262" s="27">
        <f t="shared" si="263"/>
        <v>0</v>
      </c>
      <c r="W262" s="27">
        <f t="shared" si="263"/>
        <v>0</v>
      </c>
      <c r="X262" s="27">
        <f t="shared" si="3"/>
        <v>2.509473262</v>
      </c>
      <c r="Y262" s="27">
        <f t="shared" si="4"/>
        <v>2.285139736</v>
      </c>
    </row>
    <row r="263" ht="14.25" customHeight="1">
      <c r="A263" s="13" t="s">
        <v>664</v>
      </c>
      <c r="B263" s="13" t="s">
        <v>667</v>
      </c>
      <c r="C263" s="13" t="s">
        <v>318</v>
      </c>
      <c r="D263" s="13" t="s">
        <v>318</v>
      </c>
      <c r="E263" s="26">
        <v>70303.0</v>
      </c>
      <c r="F263" s="26">
        <v>7265.0</v>
      </c>
      <c r="G263" s="26">
        <v>7491.0</v>
      </c>
      <c r="H263" s="26">
        <v>7716.0</v>
      </c>
      <c r="I263" s="26">
        <v>8392.0</v>
      </c>
      <c r="J263" s="26">
        <v>8617.0</v>
      </c>
      <c r="K263" s="26">
        <v>8842.0</v>
      </c>
      <c r="L263" s="13">
        <v>0.0</v>
      </c>
      <c r="M263" s="13">
        <v>0.0</v>
      </c>
      <c r="N263" s="13">
        <v>0.0</v>
      </c>
      <c r="O263" s="13">
        <v>2.0</v>
      </c>
      <c r="P263" s="13">
        <v>0.0</v>
      </c>
      <c r="Q263" s="13">
        <v>0.0</v>
      </c>
      <c r="R263" s="27">
        <f t="shared" ref="R263:W263" si="264">(L263/F263)*100000</f>
        <v>0</v>
      </c>
      <c r="S263" s="27">
        <f t="shared" si="264"/>
        <v>0</v>
      </c>
      <c r="T263" s="27">
        <f t="shared" si="264"/>
        <v>0</v>
      </c>
      <c r="U263" s="27">
        <f t="shared" si="264"/>
        <v>23.83222116</v>
      </c>
      <c r="V263" s="27">
        <f t="shared" si="264"/>
        <v>0</v>
      </c>
      <c r="W263" s="27">
        <f t="shared" si="264"/>
        <v>0</v>
      </c>
      <c r="X263" s="27">
        <f t="shared" si="3"/>
        <v>0</v>
      </c>
      <c r="Y263" s="27">
        <f t="shared" si="4"/>
        <v>7.944073721</v>
      </c>
    </row>
    <row r="264" ht="14.25" customHeight="1">
      <c r="A264" s="13" t="s">
        <v>664</v>
      </c>
      <c r="B264" s="13" t="s">
        <v>669</v>
      </c>
      <c r="C264" s="13" t="s">
        <v>670</v>
      </c>
      <c r="D264" s="13" t="s">
        <v>670</v>
      </c>
      <c r="E264" s="26">
        <v>70401.0</v>
      </c>
      <c r="F264" s="26">
        <v>13201.0</v>
      </c>
      <c r="G264" s="26">
        <v>13265.0</v>
      </c>
      <c r="H264" s="26">
        <v>13329.0</v>
      </c>
      <c r="I264" s="26">
        <v>13522.0</v>
      </c>
      <c r="J264" s="26">
        <v>13587.0</v>
      </c>
      <c r="K264" s="26">
        <v>13651.0</v>
      </c>
      <c r="L264" s="13">
        <v>0.0</v>
      </c>
      <c r="M264" s="13">
        <v>0.0</v>
      </c>
      <c r="N264" s="13">
        <v>0.0</v>
      </c>
      <c r="O264" s="13">
        <v>0.0</v>
      </c>
      <c r="P264" s="13">
        <v>0.0</v>
      </c>
      <c r="Q264" s="13">
        <v>0.0</v>
      </c>
      <c r="R264" s="27">
        <f t="shared" ref="R264:W264" si="265">(L264/F264)*100000</f>
        <v>0</v>
      </c>
      <c r="S264" s="27">
        <f t="shared" si="265"/>
        <v>0</v>
      </c>
      <c r="T264" s="27">
        <f t="shared" si="265"/>
        <v>0</v>
      </c>
      <c r="U264" s="27">
        <f t="shared" si="265"/>
        <v>0</v>
      </c>
      <c r="V264" s="27">
        <f t="shared" si="265"/>
        <v>0</v>
      </c>
      <c r="W264" s="27">
        <f t="shared" si="265"/>
        <v>0</v>
      </c>
      <c r="X264" s="27">
        <f t="shared" si="3"/>
        <v>0</v>
      </c>
      <c r="Y264" s="27">
        <f t="shared" si="4"/>
        <v>0</v>
      </c>
    </row>
    <row r="265" ht="14.25" customHeight="1">
      <c r="A265" s="13" t="s">
        <v>664</v>
      </c>
      <c r="B265" s="13" t="s">
        <v>669</v>
      </c>
      <c r="C265" s="13" t="s">
        <v>321</v>
      </c>
      <c r="D265" s="13" t="s">
        <v>321</v>
      </c>
      <c r="E265" s="26">
        <v>70402.0</v>
      </c>
      <c r="F265" s="26">
        <v>19613.0</v>
      </c>
      <c r="G265" s="26">
        <v>19518.0</v>
      </c>
      <c r="H265" s="26">
        <v>19422.0</v>
      </c>
      <c r="I265" s="26">
        <v>19134.0</v>
      </c>
      <c r="J265" s="26">
        <v>19038.0</v>
      </c>
      <c r="K265" s="26">
        <v>18942.0</v>
      </c>
      <c r="L265" s="13">
        <v>0.0</v>
      </c>
      <c r="M265" s="13">
        <v>0.0</v>
      </c>
      <c r="N265" s="13">
        <v>0.0</v>
      </c>
      <c r="O265" s="13">
        <v>1.0</v>
      </c>
      <c r="P265" s="13">
        <v>0.0</v>
      </c>
      <c r="Q265" s="13">
        <v>0.0</v>
      </c>
      <c r="R265" s="27">
        <f t="shared" ref="R265:W265" si="266">(L265/F265)*100000</f>
        <v>0</v>
      </c>
      <c r="S265" s="27">
        <f t="shared" si="266"/>
        <v>0</v>
      </c>
      <c r="T265" s="27">
        <f t="shared" si="266"/>
        <v>0</v>
      </c>
      <c r="U265" s="27">
        <f t="shared" si="266"/>
        <v>5.226298735</v>
      </c>
      <c r="V265" s="27">
        <f t="shared" si="266"/>
        <v>0</v>
      </c>
      <c r="W265" s="27">
        <f t="shared" si="266"/>
        <v>0</v>
      </c>
      <c r="X265" s="27">
        <f t="shared" si="3"/>
        <v>0</v>
      </c>
      <c r="Y265" s="27">
        <f t="shared" si="4"/>
        <v>1.742099578</v>
      </c>
    </row>
    <row r="266" ht="14.25" customHeight="1">
      <c r="A266" s="13" t="s">
        <v>664</v>
      </c>
      <c r="B266" s="13" t="s">
        <v>669</v>
      </c>
      <c r="C266" s="13" t="s">
        <v>316</v>
      </c>
      <c r="D266" s="13" t="s">
        <v>316</v>
      </c>
      <c r="E266" s="26">
        <v>70403.0</v>
      </c>
      <c r="F266" s="26">
        <v>53573.0</v>
      </c>
      <c r="G266" s="26">
        <v>54176.0</v>
      </c>
      <c r="H266" s="26">
        <v>54779.0</v>
      </c>
      <c r="I266" s="26">
        <v>56588.0</v>
      </c>
      <c r="J266" s="26">
        <v>57191.0</v>
      </c>
      <c r="K266" s="26">
        <v>57794.0</v>
      </c>
      <c r="L266" s="13">
        <v>5.0</v>
      </c>
      <c r="M266" s="13">
        <v>1.0</v>
      </c>
      <c r="N266" s="13">
        <v>10.0</v>
      </c>
      <c r="O266" s="13">
        <v>11.0</v>
      </c>
      <c r="P266" s="13">
        <v>11.0</v>
      </c>
      <c r="Q266" s="13">
        <v>3.0</v>
      </c>
      <c r="R266" s="27">
        <f t="shared" ref="R266:W266" si="267">(L266/F266)*100000</f>
        <v>9.333059564</v>
      </c>
      <c r="S266" s="27">
        <f t="shared" si="267"/>
        <v>1.845835794</v>
      </c>
      <c r="T266" s="27">
        <f t="shared" si="267"/>
        <v>18.25517078</v>
      </c>
      <c r="U266" s="27">
        <f t="shared" si="267"/>
        <v>19.43875027</v>
      </c>
      <c r="V266" s="27">
        <f t="shared" si="267"/>
        <v>19.23379553</v>
      </c>
      <c r="W266" s="27">
        <f t="shared" si="267"/>
        <v>5.190850261</v>
      </c>
      <c r="X266" s="27">
        <f t="shared" si="3"/>
        <v>9.811355378</v>
      </c>
      <c r="Y266" s="27">
        <f t="shared" si="4"/>
        <v>14.62113202</v>
      </c>
    </row>
    <row r="267" ht="14.25" customHeight="1">
      <c r="A267" s="13" t="s">
        <v>664</v>
      </c>
      <c r="B267" s="13" t="s">
        <v>669</v>
      </c>
      <c r="C267" s="13" t="s">
        <v>671</v>
      </c>
      <c r="D267" s="13" t="s">
        <v>671</v>
      </c>
      <c r="E267" s="26">
        <v>70404.0</v>
      </c>
      <c r="F267" s="26">
        <v>9611.0</v>
      </c>
      <c r="G267" s="26">
        <v>9696.0</v>
      </c>
      <c r="H267" s="26">
        <v>9780.0</v>
      </c>
      <c r="I267" s="26">
        <v>10032.0</v>
      </c>
      <c r="J267" s="26">
        <v>10116.0</v>
      </c>
      <c r="K267" s="26">
        <v>10200.0</v>
      </c>
      <c r="L267" s="13">
        <v>0.0</v>
      </c>
      <c r="M267" s="13">
        <v>0.0</v>
      </c>
      <c r="N267" s="13">
        <v>0.0</v>
      </c>
      <c r="O267" s="13">
        <v>0.0</v>
      </c>
      <c r="P267" s="13">
        <v>0.0</v>
      </c>
      <c r="Q267" s="13">
        <v>0.0</v>
      </c>
      <c r="R267" s="27">
        <f t="shared" ref="R267:W267" si="268">(L267/F267)*100000</f>
        <v>0</v>
      </c>
      <c r="S267" s="27">
        <f t="shared" si="268"/>
        <v>0</v>
      </c>
      <c r="T267" s="27">
        <f t="shared" si="268"/>
        <v>0</v>
      </c>
      <c r="U267" s="27">
        <f t="shared" si="268"/>
        <v>0</v>
      </c>
      <c r="V267" s="27">
        <f t="shared" si="268"/>
        <v>0</v>
      </c>
      <c r="W267" s="27">
        <f t="shared" si="268"/>
        <v>0</v>
      </c>
      <c r="X267" s="27">
        <f t="shared" si="3"/>
        <v>0</v>
      </c>
      <c r="Y267" s="27">
        <f t="shared" si="4"/>
        <v>0</v>
      </c>
    </row>
    <row r="268" ht="14.25" customHeight="1">
      <c r="A268" s="13" t="s">
        <v>664</v>
      </c>
      <c r="B268" s="13" t="s">
        <v>672</v>
      </c>
      <c r="C268" s="13" t="s">
        <v>325</v>
      </c>
      <c r="D268" s="13" t="s">
        <v>673</v>
      </c>
      <c r="E268" s="26">
        <v>70501.0</v>
      </c>
      <c r="F268" s="26">
        <v>33944.0</v>
      </c>
      <c r="G268" s="26">
        <v>34948.0</v>
      </c>
      <c r="H268" s="26">
        <v>35952.0</v>
      </c>
      <c r="I268" s="26">
        <v>38965.0</v>
      </c>
      <c r="J268" s="26">
        <v>39970.0</v>
      </c>
      <c r="K268" s="26">
        <v>40974.0</v>
      </c>
      <c r="L268" s="13">
        <v>0.0</v>
      </c>
      <c r="M268" s="13">
        <v>0.0</v>
      </c>
      <c r="N268" s="13">
        <v>0.0</v>
      </c>
      <c r="O268" s="13">
        <v>7.0</v>
      </c>
      <c r="P268" s="13">
        <v>4.0</v>
      </c>
      <c r="Q268" s="13">
        <v>4.0</v>
      </c>
      <c r="R268" s="27">
        <f t="shared" ref="R268:W268" si="269">(L268/F268)*100000</f>
        <v>0</v>
      </c>
      <c r="S268" s="27">
        <f t="shared" si="269"/>
        <v>0</v>
      </c>
      <c r="T268" s="27">
        <f t="shared" si="269"/>
        <v>0</v>
      </c>
      <c r="U268" s="27">
        <f t="shared" si="269"/>
        <v>17.96484024</v>
      </c>
      <c r="V268" s="27">
        <f t="shared" si="269"/>
        <v>10.00750563</v>
      </c>
      <c r="W268" s="27">
        <f t="shared" si="269"/>
        <v>9.76228828</v>
      </c>
      <c r="X268" s="27">
        <f t="shared" si="3"/>
        <v>0</v>
      </c>
      <c r="Y268" s="27">
        <f t="shared" si="4"/>
        <v>12.57821138</v>
      </c>
    </row>
    <row r="269" ht="14.25" customHeight="1">
      <c r="A269" s="13" t="s">
        <v>664</v>
      </c>
      <c r="B269" s="13" t="s">
        <v>672</v>
      </c>
      <c r="C269" s="13" t="s">
        <v>327</v>
      </c>
      <c r="D269" s="13" t="s">
        <v>327</v>
      </c>
      <c r="E269" s="26">
        <v>70502.0</v>
      </c>
      <c r="F269" s="26">
        <v>44795.0</v>
      </c>
      <c r="G269" s="26">
        <v>46181.0</v>
      </c>
      <c r="H269" s="26">
        <v>47566.0</v>
      </c>
      <c r="I269" s="26">
        <v>51724.0</v>
      </c>
      <c r="J269" s="26">
        <v>53109.0</v>
      </c>
      <c r="K269" s="26">
        <v>54495.0</v>
      </c>
      <c r="L269" s="13">
        <v>0.0</v>
      </c>
      <c r="M269" s="13">
        <v>1.0</v>
      </c>
      <c r="N269" s="13">
        <v>1.0</v>
      </c>
      <c r="O269" s="13">
        <v>4.0</v>
      </c>
      <c r="P269" s="13">
        <v>12.0</v>
      </c>
      <c r="Q269" s="13">
        <v>3.0</v>
      </c>
      <c r="R269" s="27">
        <f t="shared" ref="R269:W269" si="270">(L269/F269)*100000</f>
        <v>0</v>
      </c>
      <c r="S269" s="27">
        <f t="shared" si="270"/>
        <v>2.165392694</v>
      </c>
      <c r="T269" s="27">
        <f t="shared" si="270"/>
        <v>2.102342009</v>
      </c>
      <c r="U269" s="27">
        <f t="shared" si="270"/>
        <v>7.733353956</v>
      </c>
      <c r="V269" s="27">
        <f t="shared" si="270"/>
        <v>22.59504039</v>
      </c>
      <c r="W269" s="27">
        <f t="shared" si="270"/>
        <v>5.50509221</v>
      </c>
      <c r="X269" s="27">
        <f t="shared" si="3"/>
        <v>1.422578234</v>
      </c>
      <c r="Y269" s="27">
        <f t="shared" si="4"/>
        <v>11.94449552</v>
      </c>
    </row>
    <row r="270" ht="14.25" customHeight="1">
      <c r="A270" s="13" t="s">
        <v>664</v>
      </c>
      <c r="B270" s="13" t="s">
        <v>672</v>
      </c>
      <c r="C270" s="13" t="s">
        <v>330</v>
      </c>
      <c r="D270" s="13" t="s">
        <v>330</v>
      </c>
      <c r="E270" s="26">
        <v>70503.0</v>
      </c>
      <c r="F270" s="26">
        <v>16942.0</v>
      </c>
      <c r="G270" s="26">
        <v>17202.0</v>
      </c>
      <c r="H270" s="26">
        <v>17462.0</v>
      </c>
      <c r="I270" s="26">
        <v>18243.0</v>
      </c>
      <c r="J270" s="26">
        <v>18503.0</v>
      </c>
      <c r="K270" s="26">
        <v>18763.0</v>
      </c>
      <c r="L270" s="13">
        <v>0.0</v>
      </c>
      <c r="M270" s="13">
        <v>0.0</v>
      </c>
      <c r="N270" s="13">
        <v>0.0</v>
      </c>
      <c r="O270" s="13">
        <v>1.0</v>
      </c>
      <c r="P270" s="13">
        <v>0.0</v>
      </c>
      <c r="Q270" s="13">
        <v>0.0</v>
      </c>
      <c r="R270" s="27">
        <f t="shared" ref="R270:W270" si="271">(L270/F270)*100000</f>
        <v>0</v>
      </c>
      <c r="S270" s="27">
        <f t="shared" si="271"/>
        <v>0</v>
      </c>
      <c r="T270" s="27">
        <f t="shared" si="271"/>
        <v>0</v>
      </c>
      <c r="U270" s="27">
        <f t="shared" si="271"/>
        <v>5.481554569</v>
      </c>
      <c r="V270" s="27">
        <f t="shared" si="271"/>
        <v>0</v>
      </c>
      <c r="W270" s="27">
        <f t="shared" si="271"/>
        <v>0</v>
      </c>
      <c r="X270" s="27">
        <f t="shared" si="3"/>
        <v>0</v>
      </c>
      <c r="Y270" s="27">
        <f t="shared" si="4"/>
        <v>1.827184856</v>
      </c>
    </row>
    <row r="271" ht="14.25" customHeight="1">
      <c r="A271" s="13" t="s">
        <v>664</v>
      </c>
      <c r="B271" s="13" t="s">
        <v>674</v>
      </c>
      <c r="C271" s="13" t="s">
        <v>332</v>
      </c>
      <c r="D271" s="13" t="s">
        <v>332</v>
      </c>
      <c r="E271" s="26">
        <v>70601.0</v>
      </c>
      <c r="F271" s="26">
        <v>19076.0</v>
      </c>
      <c r="G271" s="26">
        <v>19314.0</v>
      </c>
      <c r="H271" s="26">
        <v>19552.0</v>
      </c>
      <c r="I271" s="26">
        <v>20267.0</v>
      </c>
      <c r="J271" s="26">
        <v>20505.0</v>
      </c>
      <c r="K271" s="26">
        <v>20743.0</v>
      </c>
      <c r="L271" s="13">
        <v>1.0</v>
      </c>
      <c r="M271" s="13">
        <v>1.0</v>
      </c>
      <c r="N271" s="13">
        <v>4.0</v>
      </c>
      <c r="O271" s="13">
        <v>4.0</v>
      </c>
      <c r="P271" s="13">
        <v>4.0</v>
      </c>
      <c r="Q271" s="13">
        <v>1.0</v>
      </c>
      <c r="R271" s="27">
        <f t="shared" ref="R271:W271" si="272">(L271/F271)*100000</f>
        <v>5.242189138</v>
      </c>
      <c r="S271" s="27">
        <f t="shared" si="272"/>
        <v>5.177591384</v>
      </c>
      <c r="T271" s="27">
        <f t="shared" si="272"/>
        <v>20.45826514</v>
      </c>
      <c r="U271" s="27">
        <f t="shared" si="272"/>
        <v>19.73651749</v>
      </c>
      <c r="V271" s="27">
        <f t="shared" si="272"/>
        <v>19.50743721</v>
      </c>
      <c r="W271" s="27">
        <f t="shared" si="272"/>
        <v>4.820903437</v>
      </c>
      <c r="X271" s="27">
        <f t="shared" si="3"/>
        <v>10.29268189</v>
      </c>
      <c r="Y271" s="27">
        <f t="shared" si="4"/>
        <v>14.68828605</v>
      </c>
    </row>
    <row r="272" ht="14.25" customHeight="1">
      <c r="A272" s="13" t="s">
        <v>664</v>
      </c>
      <c r="B272" s="13" t="s">
        <v>674</v>
      </c>
      <c r="C272" s="13" t="s">
        <v>335</v>
      </c>
      <c r="D272" s="13" t="s">
        <v>404</v>
      </c>
      <c r="E272" s="26">
        <v>70602.0</v>
      </c>
      <c r="F272" s="26">
        <v>18710.0</v>
      </c>
      <c r="G272" s="26">
        <v>18608.0</v>
      </c>
      <c r="H272" s="26">
        <v>18507.0</v>
      </c>
      <c r="I272" s="26">
        <v>18202.0</v>
      </c>
      <c r="J272" s="26">
        <v>18101.0</v>
      </c>
      <c r="K272" s="26">
        <v>17999.0</v>
      </c>
      <c r="L272" s="13">
        <v>0.0</v>
      </c>
      <c r="M272" s="13">
        <v>0.0</v>
      </c>
      <c r="N272" s="13">
        <v>0.0</v>
      </c>
      <c r="O272" s="13">
        <v>0.0</v>
      </c>
      <c r="P272" s="13">
        <v>1.0</v>
      </c>
      <c r="Q272" s="13">
        <v>0.0</v>
      </c>
      <c r="R272" s="27">
        <f t="shared" ref="R272:W272" si="273">(L272/F272)*100000</f>
        <v>0</v>
      </c>
      <c r="S272" s="27">
        <f t="shared" si="273"/>
        <v>0</v>
      </c>
      <c r="T272" s="27">
        <f t="shared" si="273"/>
        <v>0</v>
      </c>
      <c r="U272" s="27">
        <f t="shared" si="273"/>
        <v>0</v>
      </c>
      <c r="V272" s="27">
        <f t="shared" si="273"/>
        <v>5.524556654</v>
      </c>
      <c r="W272" s="27">
        <f t="shared" si="273"/>
        <v>0</v>
      </c>
      <c r="X272" s="27">
        <f t="shared" si="3"/>
        <v>0</v>
      </c>
      <c r="Y272" s="27">
        <f t="shared" si="4"/>
        <v>1.841518885</v>
      </c>
    </row>
    <row r="273" ht="14.25" customHeight="1">
      <c r="A273" s="13" t="s">
        <v>664</v>
      </c>
      <c r="B273" s="13" t="s">
        <v>674</v>
      </c>
      <c r="C273" s="13" t="s">
        <v>675</v>
      </c>
      <c r="D273" s="13" t="s">
        <v>675</v>
      </c>
      <c r="E273" s="26">
        <v>70603.0</v>
      </c>
      <c r="F273" s="26">
        <v>6043.0</v>
      </c>
      <c r="G273" s="26">
        <v>6038.0</v>
      </c>
      <c r="H273" s="26">
        <v>6033.0</v>
      </c>
      <c r="I273" s="26">
        <v>6017.0</v>
      </c>
      <c r="J273" s="26">
        <v>6012.0</v>
      </c>
      <c r="K273" s="26">
        <v>6007.0</v>
      </c>
      <c r="L273" s="13">
        <v>0.0</v>
      </c>
      <c r="M273" s="13">
        <v>0.0</v>
      </c>
      <c r="N273" s="13">
        <v>0.0</v>
      </c>
      <c r="O273" s="13">
        <v>0.0</v>
      </c>
      <c r="P273" s="13">
        <v>0.0</v>
      </c>
      <c r="Q273" s="13">
        <v>0.0</v>
      </c>
      <c r="R273" s="27">
        <f t="shared" ref="R273:W273" si="274">(L273/F273)*100000</f>
        <v>0</v>
      </c>
      <c r="S273" s="27">
        <f t="shared" si="274"/>
        <v>0</v>
      </c>
      <c r="T273" s="27">
        <f t="shared" si="274"/>
        <v>0</v>
      </c>
      <c r="U273" s="27">
        <f t="shared" si="274"/>
        <v>0</v>
      </c>
      <c r="V273" s="27">
        <f t="shared" si="274"/>
        <v>0</v>
      </c>
      <c r="W273" s="27">
        <f t="shared" si="274"/>
        <v>0</v>
      </c>
      <c r="X273" s="27">
        <f t="shared" si="3"/>
        <v>0</v>
      </c>
      <c r="Y273" s="27">
        <f t="shared" si="4"/>
        <v>0</v>
      </c>
    </row>
    <row r="274" ht="14.25" customHeight="1">
      <c r="A274" s="13" t="s">
        <v>664</v>
      </c>
      <c r="B274" s="13" t="s">
        <v>676</v>
      </c>
      <c r="C274" s="13" t="s">
        <v>677</v>
      </c>
      <c r="D274" s="13" t="s">
        <v>677</v>
      </c>
      <c r="E274" s="26">
        <v>70701.0</v>
      </c>
      <c r="F274" s="26">
        <v>5608.0</v>
      </c>
      <c r="G274" s="26">
        <v>5656.0</v>
      </c>
      <c r="H274" s="26">
        <v>5704.0</v>
      </c>
      <c r="I274" s="26">
        <v>5849.0</v>
      </c>
      <c r="J274" s="26">
        <v>5898.0</v>
      </c>
      <c r="K274" s="26">
        <v>5946.0</v>
      </c>
      <c r="L274" s="13">
        <v>0.0</v>
      </c>
      <c r="M274" s="13">
        <v>0.0</v>
      </c>
      <c r="N274" s="13">
        <v>0.0</v>
      </c>
      <c r="O274" s="13">
        <v>0.0</v>
      </c>
      <c r="P274" s="13">
        <v>0.0</v>
      </c>
      <c r="Q274" s="13">
        <v>0.0</v>
      </c>
      <c r="R274" s="27">
        <f t="shared" ref="R274:W274" si="275">(L274/F274)*100000</f>
        <v>0</v>
      </c>
      <c r="S274" s="27">
        <f t="shared" si="275"/>
        <v>0</v>
      </c>
      <c r="T274" s="27">
        <f t="shared" si="275"/>
        <v>0</v>
      </c>
      <c r="U274" s="27">
        <f t="shared" si="275"/>
        <v>0</v>
      </c>
      <c r="V274" s="27">
        <f t="shared" si="275"/>
        <v>0</v>
      </c>
      <c r="W274" s="27">
        <f t="shared" si="275"/>
        <v>0</v>
      </c>
      <c r="X274" s="27">
        <f t="shared" si="3"/>
        <v>0</v>
      </c>
      <c r="Y274" s="27">
        <f t="shared" si="4"/>
        <v>0</v>
      </c>
    </row>
    <row r="275" ht="14.25" customHeight="1">
      <c r="A275" s="13" t="s">
        <v>664</v>
      </c>
      <c r="B275" s="13" t="s">
        <v>676</v>
      </c>
      <c r="C275" s="13" t="s">
        <v>337</v>
      </c>
      <c r="D275" s="13" t="s">
        <v>337</v>
      </c>
      <c r="E275" s="26">
        <v>70702.0</v>
      </c>
      <c r="F275" s="26">
        <v>34784.0</v>
      </c>
      <c r="G275" s="26">
        <v>35303.0</v>
      </c>
      <c r="H275" s="26">
        <v>35823.0</v>
      </c>
      <c r="I275" s="26">
        <v>37381.0</v>
      </c>
      <c r="J275" s="26">
        <v>37901.0</v>
      </c>
      <c r="K275" s="26">
        <v>38420.0</v>
      </c>
      <c r="L275" s="13">
        <v>1.0</v>
      </c>
      <c r="M275" s="13">
        <v>0.0</v>
      </c>
      <c r="N275" s="13">
        <v>0.0</v>
      </c>
      <c r="O275" s="13">
        <v>1.0</v>
      </c>
      <c r="P275" s="13">
        <v>0.0</v>
      </c>
      <c r="Q275" s="13">
        <v>0.0</v>
      </c>
      <c r="R275" s="27">
        <f t="shared" ref="R275:W275" si="276">(L275/F275)*100000</f>
        <v>2.874885005</v>
      </c>
      <c r="S275" s="27">
        <f t="shared" si="276"/>
        <v>0</v>
      </c>
      <c r="T275" s="27">
        <f t="shared" si="276"/>
        <v>0</v>
      </c>
      <c r="U275" s="27">
        <f t="shared" si="276"/>
        <v>2.675155828</v>
      </c>
      <c r="V275" s="27">
        <f t="shared" si="276"/>
        <v>0</v>
      </c>
      <c r="W275" s="27">
        <f t="shared" si="276"/>
        <v>0</v>
      </c>
      <c r="X275" s="27">
        <f t="shared" si="3"/>
        <v>0.9582950015</v>
      </c>
      <c r="Y275" s="27">
        <f t="shared" si="4"/>
        <v>0.8917186093</v>
      </c>
    </row>
    <row r="276" ht="14.25" customHeight="1">
      <c r="A276" s="13" t="s">
        <v>664</v>
      </c>
      <c r="B276" s="13" t="s">
        <v>676</v>
      </c>
      <c r="C276" s="13" t="s">
        <v>340</v>
      </c>
      <c r="D276" s="13" t="s">
        <v>340</v>
      </c>
      <c r="E276" s="26">
        <v>70703.0</v>
      </c>
      <c r="F276" s="26">
        <v>29154.0</v>
      </c>
      <c r="G276" s="26">
        <v>29698.0</v>
      </c>
      <c r="H276" s="26">
        <v>30241.0</v>
      </c>
      <c r="I276" s="26">
        <v>31873.0</v>
      </c>
      <c r="J276" s="26">
        <v>32417.0</v>
      </c>
      <c r="K276" s="26">
        <v>32961.0</v>
      </c>
      <c r="L276" s="13">
        <v>0.0</v>
      </c>
      <c r="M276" s="13">
        <v>3.0</v>
      </c>
      <c r="N276" s="13">
        <v>1.0</v>
      </c>
      <c r="O276" s="13">
        <v>0.0</v>
      </c>
      <c r="P276" s="13">
        <v>5.0</v>
      </c>
      <c r="Q276" s="13">
        <v>1.0</v>
      </c>
      <c r="R276" s="27">
        <f t="shared" ref="R276:W276" si="277">(L276/F276)*100000</f>
        <v>0</v>
      </c>
      <c r="S276" s="27">
        <f t="shared" si="277"/>
        <v>10.10169035</v>
      </c>
      <c r="T276" s="27">
        <f t="shared" si="277"/>
        <v>3.306768956</v>
      </c>
      <c r="U276" s="27">
        <f t="shared" si="277"/>
        <v>0</v>
      </c>
      <c r="V276" s="27">
        <f t="shared" si="277"/>
        <v>15.42400592</v>
      </c>
      <c r="W276" s="27">
        <f t="shared" si="277"/>
        <v>3.033888535</v>
      </c>
      <c r="X276" s="27">
        <f t="shared" si="3"/>
        <v>4.469486435</v>
      </c>
      <c r="Y276" s="27">
        <f t="shared" si="4"/>
        <v>6.152631486</v>
      </c>
    </row>
    <row r="277" ht="14.25" customHeight="1">
      <c r="A277" s="13" t="s">
        <v>664</v>
      </c>
      <c r="B277" s="13" t="s">
        <v>676</v>
      </c>
      <c r="C277" s="13" t="s">
        <v>678</v>
      </c>
      <c r="D277" s="13" t="s">
        <v>678</v>
      </c>
      <c r="E277" s="26">
        <v>70704.0</v>
      </c>
      <c r="F277" s="26">
        <v>5170.0</v>
      </c>
      <c r="G277" s="26">
        <v>5194.0</v>
      </c>
      <c r="H277" s="26">
        <v>5217.0</v>
      </c>
      <c r="I277" s="26">
        <v>5288.0</v>
      </c>
      <c r="J277" s="26">
        <v>5311.0</v>
      </c>
      <c r="K277" s="26">
        <v>5335.0</v>
      </c>
      <c r="L277" s="13">
        <v>0.0</v>
      </c>
      <c r="M277" s="13">
        <v>0.0</v>
      </c>
      <c r="N277" s="13">
        <v>0.0</v>
      </c>
      <c r="O277" s="13">
        <v>0.0</v>
      </c>
      <c r="P277" s="13">
        <v>0.0</v>
      </c>
      <c r="Q277" s="13">
        <v>0.0</v>
      </c>
      <c r="R277" s="27">
        <f t="shared" ref="R277:W277" si="278">(L277/F277)*100000</f>
        <v>0</v>
      </c>
      <c r="S277" s="27">
        <f t="shared" si="278"/>
        <v>0</v>
      </c>
      <c r="T277" s="27">
        <f t="shared" si="278"/>
        <v>0</v>
      </c>
      <c r="U277" s="27">
        <f t="shared" si="278"/>
        <v>0</v>
      </c>
      <c r="V277" s="27">
        <f t="shared" si="278"/>
        <v>0</v>
      </c>
      <c r="W277" s="27">
        <f t="shared" si="278"/>
        <v>0</v>
      </c>
      <c r="X277" s="27">
        <f t="shared" si="3"/>
        <v>0</v>
      </c>
      <c r="Y277" s="27">
        <f t="shared" si="4"/>
        <v>0</v>
      </c>
    </row>
    <row r="278" ht="14.25" customHeight="1">
      <c r="A278" s="13" t="s">
        <v>664</v>
      </c>
      <c r="B278" s="13" t="s">
        <v>676</v>
      </c>
      <c r="C278" s="13" t="s">
        <v>342</v>
      </c>
      <c r="D278" s="13" t="s">
        <v>342</v>
      </c>
      <c r="E278" s="26">
        <v>70705.0</v>
      </c>
      <c r="F278" s="26">
        <v>13155.0</v>
      </c>
      <c r="G278" s="26">
        <v>13331.0</v>
      </c>
      <c r="H278" s="26">
        <v>13507.0</v>
      </c>
      <c r="I278" s="26">
        <v>14036.0</v>
      </c>
      <c r="J278" s="26">
        <v>14213.0</v>
      </c>
      <c r="K278" s="26">
        <v>14389.0</v>
      </c>
      <c r="L278" s="13">
        <v>0.0</v>
      </c>
      <c r="M278" s="13">
        <v>0.0</v>
      </c>
      <c r="N278" s="13">
        <v>1.0</v>
      </c>
      <c r="O278" s="13">
        <v>0.0</v>
      </c>
      <c r="P278" s="13">
        <v>0.0</v>
      </c>
      <c r="Q278" s="13">
        <v>0.0</v>
      </c>
      <c r="R278" s="27">
        <f t="shared" ref="R278:W278" si="279">(L278/F278)*100000</f>
        <v>0</v>
      </c>
      <c r="S278" s="27">
        <f t="shared" si="279"/>
        <v>0</v>
      </c>
      <c r="T278" s="27">
        <f t="shared" si="279"/>
        <v>7.40356852</v>
      </c>
      <c r="U278" s="27">
        <f t="shared" si="279"/>
        <v>0</v>
      </c>
      <c r="V278" s="27">
        <f t="shared" si="279"/>
        <v>0</v>
      </c>
      <c r="W278" s="27">
        <f t="shared" si="279"/>
        <v>0</v>
      </c>
      <c r="X278" s="27">
        <f t="shared" si="3"/>
        <v>2.467856173</v>
      </c>
      <c r="Y278" s="27">
        <f t="shared" si="4"/>
        <v>0</v>
      </c>
    </row>
    <row r="279" ht="14.25" customHeight="1">
      <c r="A279" s="13" t="s">
        <v>664</v>
      </c>
      <c r="B279" s="13" t="s">
        <v>676</v>
      </c>
      <c r="C279" s="13" t="s">
        <v>344</v>
      </c>
      <c r="D279" s="13" t="s">
        <v>344</v>
      </c>
      <c r="E279" s="26">
        <v>70706.0</v>
      </c>
      <c r="F279" s="26">
        <v>33191.0</v>
      </c>
      <c r="G279" s="26">
        <v>33062.0</v>
      </c>
      <c r="H279" s="26">
        <v>32932.0</v>
      </c>
      <c r="I279" s="26">
        <v>32544.0</v>
      </c>
      <c r="J279" s="26">
        <v>32414.0</v>
      </c>
      <c r="K279" s="26">
        <v>32285.0</v>
      </c>
      <c r="L279" s="13">
        <v>2.0</v>
      </c>
      <c r="M279" s="13">
        <v>2.0</v>
      </c>
      <c r="N279" s="13">
        <v>0.0</v>
      </c>
      <c r="O279" s="13">
        <v>3.0</v>
      </c>
      <c r="P279" s="13">
        <v>5.0</v>
      </c>
      <c r="Q279" s="13">
        <v>2.0</v>
      </c>
      <c r="R279" s="27">
        <f t="shared" ref="R279:W279" si="280">(L279/F279)*100000</f>
        <v>6.025729867</v>
      </c>
      <c r="S279" s="27">
        <f t="shared" si="280"/>
        <v>6.04924082</v>
      </c>
      <c r="T279" s="27">
        <f t="shared" si="280"/>
        <v>0</v>
      </c>
      <c r="U279" s="27">
        <f t="shared" si="280"/>
        <v>9.218289086</v>
      </c>
      <c r="V279" s="27">
        <f t="shared" si="280"/>
        <v>15.42543345</v>
      </c>
      <c r="W279" s="27">
        <f t="shared" si="280"/>
        <v>6.194827319</v>
      </c>
      <c r="X279" s="27">
        <f t="shared" si="3"/>
        <v>4.024990229</v>
      </c>
      <c r="Y279" s="27">
        <f t="shared" si="4"/>
        <v>10.27951662</v>
      </c>
    </row>
    <row r="280" ht="14.25" customHeight="1">
      <c r="A280" s="13" t="s">
        <v>664</v>
      </c>
      <c r="B280" s="13" t="s">
        <v>676</v>
      </c>
      <c r="C280" s="13" t="s">
        <v>679</v>
      </c>
      <c r="D280" s="13" t="s">
        <v>679</v>
      </c>
      <c r="E280" s="26">
        <v>70707.0</v>
      </c>
      <c r="F280" s="26">
        <v>5306.0</v>
      </c>
      <c r="G280" s="26">
        <v>5350.0</v>
      </c>
      <c r="H280" s="26">
        <v>5393.0</v>
      </c>
      <c r="I280" s="26">
        <v>5525.0</v>
      </c>
      <c r="J280" s="26">
        <v>5568.0</v>
      </c>
      <c r="K280" s="26">
        <v>5612.0</v>
      </c>
      <c r="L280" s="13">
        <v>0.0</v>
      </c>
      <c r="M280" s="13">
        <v>0.0</v>
      </c>
      <c r="N280" s="13">
        <v>0.0</v>
      </c>
      <c r="O280" s="13">
        <v>0.0</v>
      </c>
      <c r="P280" s="13">
        <v>0.0</v>
      </c>
      <c r="Q280" s="13">
        <v>0.0</v>
      </c>
      <c r="R280" s="27">
        <f t="shared" ref="R280:W280" si="281">(L280/F280)*100000</f>
        <v>0</v>
      </c>
      <c r="S280" s="27">
        <f t="shared" si="281"/>
        <v>0</v>
      </c>
      <c r="T280" s="27">
        <f t="shared" si="281"/>
        <v>0</v>
      </c>
      <c r="U280" s="27">
        <f t="shared" si="281"/>
        <v>0</v>
      </c>
      <c r="V280" s="27">
        <f t="shared" si="281"/>
        <v>0</v>
      </c>
      <c r="W280" s="27">
        <f t="shared" si="281"/>
        <v>0</v>
      </c>
      <c r="X280" s="27">
        <f t="shared" si="3"/>
        <v>0</v>
      </c>
      <c r="Y280" s="27">
        <f t="shared" si="4"/>
        <v>0</v>
      </c>
    </row>
    <row r="281" ht="14.25" customHeight="1">
      <c r="A281" s="13" t="s">
        <v>664</v>
      </c>
      <c r="B281" s="13" t="s">
        <v>346</v>
      </c>
      <c r="C281" s="13" t="s">
        <v>346</v>
      </c>
      <c r="D281" s="13" t="s">
        <v>346</v>
      </c>
      <c r="E281" s="26">
        <v>70801.0</v>
      </c>
      <c r="F281" s="26">
        <v>17225.0</v>
      </c>
      <c r="G281" s="26">
        <v>17229.0</v>
      </c>
      <c r="H281" s="26">
        <v>17232.0</v>
      </c>
      <c r="I281" s="26">
        <v>17242.0</v>
      </c>
      <c r="J281" s="26">
        <v>17246.0</v>
      </c>
      <c r="K281" s="26">
        <v>17249.0</v>
      </c>
      <c r="L281" s="13">
        <v>2.0</v>
      </c>
      <c r="M281" s="13">
        <v>0.0</v>
      </c>
      <c r="N281" s="13">
        <v>0.0</v>
      </c>
      <c r="O281" s="13">
        <v>0.0</v>
      </c>
      <c r="P281" s="13">
        <v>2.0</v>
      </c>
      <c r="Q281" s="13">
        <v>0.0</v>
      </c>
      <c r="R281" s="27">
        <f t="shared" ref="R281:W281" si="282">(L281/F281)*100000</f>
        <v>11.61103048</v>
      </c>
      <c r="S281" s="27">
        <f t="shared" si="282"/>
        <v>0</v>
      </c>
      <c r="T281" s="27">
        <f t="shared" si="282"/>
        <v>0</v>
      </c>
      <c r="U281" s="27">
        <f t="shared" si="282"/>
        <v>0</v>
      </c>
      <c r="V281" s="27">
        <f t="shared" si="282"/>
        <v>11.59689203</v>
      </c>
      <c r="W281" s="27">
        <f t="shared" si="282"/>
        <v>0</v>
      </c>
      <c r="X281" s="27">
        <f t="shared" si="3"/>
        <v>3.870343493</v>
      </c>
      <c r="Y281" s="27">
        <f t="shared" si="4"/>
        <v>3.865630678</v>
      </c>
    </row>
    <row r="282" ht="14.25" customHeight="1">
      <c r="A282" s="13" t="s">
        <v>664</v>
      </c>
      <c r="B282" s="13" t="s">
        <v>346</v>
      </c>
      <c r="C282" s="13" t="s">
        <v>680</v>
      </c>
      <c r="D282" s="13" t="s">
        <v>680</v>
      </c>
      <c r="E282" s="26">
        <v>70802.0</v>
      </c>
      <c r="F282" s="26">
        <v>2228.0</v>
      </c>
      <c r="G282" s="26">
        <v>2247.0</v>
      </c>
      <c r="H282" s="26">
        <v>2266.0</v>
      </c>
      <c r="I282" s="26">
        <v>2322.0</v>
      </c>
      <c r="J282" s="26">
        <v>2340.0</v>
      </c>
      <c r="K282" s="26">
        <v>2359.0</v>
      </c>
      <c r="L282" s="13">
        <v>0.0</v>
      </c>
      <c r="M282" s="13">
        <v>0.0</v>
      </c>
      <c r="N282" s="13">
        <v>0.0</v>
      </c>
      <c r="O282" s="13">
        <v>0.0</v>
      </c>
      <c r="P282" s="13">
        <v>0.0</v>
      </c>
      <c r="Q282" s="13">
        <v>0.0</v>
      </c>
      <c r="R282" s="27">
        <f t="shared" ref="R282:W282" si="283">(L282/F282)*100000</f>
        <v>0</v>
      </c>
      <c r="S282" s="27">
        <f t="shared" si="283"/>
        <v>0</v>
      </c>
      <c r="T282" s="27">
        <f t="shared" si="283"/>
        <v>0</v>
      </c>
      <c r="U282" s="27">
        <f t="shared" si="283"/>
        <v>0</v>
      </c>
      <c r="V282" s="27">
        <f t="shared" si="283"/>
        <v>0</v>
      </c>
      <c r="W282" s="27">
        <f t="shared" si="283"/>
        <v>0</v>
      </c>
      <c r="X282" s="27">
        <f t="shared" si="3"/>
        <v>0</v>
      </c>
      <c r="Y282" s="27">
        <f t="shared" si="4"/>
        <v>0</v>
      </c>
    </row>
    <row r="283" ht="14.25" customHeight="1">
      <c r="A283" s="13" t="s">
        <v>664</v>
      </c>
      <c r="B283" s="13" t="s">
        <v>346</v>
      </c>
      <c r="C283" s="13" t="s">
        <v>681</v>
      </c>
      <c r="D283" s="13" t="s">
        <v>682</v>
      </c>
      <c r="E283" s="26">
        <v>70803.0</v>
      </c>
      <c r="F283" s="26">
        <v>2778.0</v>
      </c>
      <c r="G283" s="26">
        <v>2780.0</v>
      </c>
      <c r="H283" s="26">
        <v>2782.0</v>
      </c>
      <c r="I283" s="26">
        <v>2789.0</v>
      </c>
      <c r="J283" s="26">
        <v>2791.0</v>
      </c>
      <c r="K283" s="26">
        <v>2793.0</v>
      </c>
      <c r="L283" s="13">
        <v>0.0</v>
      </c>
      <c r="M283" s="13">
        <v>0.0</v>
      </c>
      <c r="N283" s="13">
        <v>0.0</v>
      </c>
      <c r="O283" s="13">
        <v>0.0</v>
      </c>
      <c r="P283" s="13">
        <v>0.0</v>
      </c>
      <c r="Q283" s="13">
        <v>0.0</v>
      </c>
      <c r="R283" s="27">
        <f t="shared" ref="R283:W283" si="284">(L283/F283)*100000</f>
        <v>0</v>
      </c>
      <c r="S283" s="27">
        <f t="shared" si="284"/>
        <v>0</v>
      </c>
      <c r="T283" s="27">
        <f t="shared" si="284"/>
        <v>0</v>
      </c>
      <c r="U283" s="27">
        <f t="shared" si="284"/>
        <v>0</v>
      </c>
      <c r="V283" s="27">
        <f t="shared" si="284"/>
        <v>0</v>
      </c>
      <c r="W283" s="27">
        <f t="shared" si="284"/>
        <v>0</v>
      </c>
      <c r="X283" s="27">
        <f t="shared" si="3"/>
        <v>0</v>
      </c>
      <c r="Y283" s="27">
        <f t="shared" si="4"/>
        <v>0</v>
      </c>
    </row>
    <row r="284" ht="14.25" customHeight="1">
      <c r="A284" s="13" t="s">
        <v>664</v>
      </c>
      <c r="B284" s="13" t="s">
        <v>346</v>
      </c>
      <c r="C284" s="13" t="s">
        <v>683</v>
      </c>
      <c r="D284" s="13" t="s">
        <v>683</v>
      </c>
      <c r="E284" s="26">
        <v>70804.0</v>
      </c>
      <c r="F284" s="26">
        <v>2147.0</v>
      </c>
      <c r="G284" s="26">
        <v>2098.0</v>
      </c>
      <c r="H284" s="26">
        <v>2049.0</v>
      </c>
      <c r="I284" s="26">
        <v>1903.0</v>
      </c>
      <c r="J284" s="26">
        <v>1855.0</v>
      </c>
      <c r="K284" s="26">
        <v>1806.0</v>
      </c>
      <c r="L284" s="13">
        <v>0.0</v>
      </c>
      <c r="M284" s="13">
        <v>0.0</v>
      </c>
      <c r="N284" s="13">
        <v>0.0</v>
      </c>
      <c r="O284" s="13">
        <v>0.0</v>
      </c>
      <c r="P284" s="13">
        <v>0.0</v>
      </c>
      <c r="Q284" s="13">
        <v>0.0</v>
      </c>
      <c r="R284" s="27">
        <f t="shared" ref="R284:W284" si="285">(L284/F284)*100000</f>
        <v>0</v>
      </c>
      <c r="S284" s="27">
        <f t="shared" si="285"/>
        <v>0</v>
      </c>
      <c r="T284" s="27">
        <f t="shared" si="285"/>
        <v>0</v>
      </c>
      <c r="U284" s="27">
        <f t="shared" si="285"/>
        <v>0</v>
      </c>
      <c r="V284" s="27">
        <f t="shared" si="285"/>
        <v>0</v>
      </c>
      <c r="W284" s="27">
        <f t="shared" si="285"/>
        <v>0</v>
      </c>
      <c r="X284" s="27">
        <f t="shared" si="3"/>
        <v>0</v>
      </c>
      <c r="Y284" s="27">
        <f t="shared" si="4"/>
        <v>0</v>
      </c>
    </row>
    <row r="285" ht="14.25" customHeight="1">
      <c r="A285" s="13" t="s">
        <v>664</v>
      </c>
      <c r="B285" s="13" t="s">
        <v>346</v>
      </c>
      <c r="C285" s="13" t="s">
        <v>684</v>
      </c>
      <c r="D285" s="13" t="s">
        <v>684</v>
      </c>
      <c r="E285" s="26">
        <v>70805.0</v>
      </c>
      <c r="F285" s="26">
        <v>2051.0</v>
      </c>
      <c r="G285" s="26">
        <v>2046.0</v>
      </c>
      <c r="H285" s="26">
        <v>2040.0</v>
      </c>
      <c r="I285" s="26">
        <v>2025.0</v>
      </c>
      <c r="J285" s="26">
        <v>2020.0</v>
      </c>
      <c r="K285" s="26">
        <v>2015.0</v>
      </c>
      <c r="L285" s="13">
        <v>0.0</v>
      </c>
      <c r="M285" s="13">
        <v>0.0</v>
      </c>
      <c r="N285" s="13">
        <v>1.0</v>
      </c>
      <c r="O285" s="13">
        <v>0.0</v>
      </c>
      <c r="P285" s="13">
        <v>0.0</v>
      </c>
      <c r="Q285" s="13">
        <v>0.0</v>
      </c>
      <c r="R285" s="27">
        <f t="shared" ref="R285:W285" si="286">(L285/F285)*100000</f>
        <v>0</v>
      </c>
      <c r="S285" s="27">
        <f t="shared" si="286"/>
        <v>0</v>
      </c>
      <c r="T285" s="27">
        <f t="shared" si="286"/>
        <v>49.01960784</v>
      </c>
      <c r="U285" s="27">
        <f t="shared" si="286"/>
        <v>0</v>
      </c>
      <c r="V285" s="27">
        <f t="shared" si="286"/>
        <v>0</v>
      </c>
      <c r="W285" s="27">
        <f t="shared" si="286"/>
        <v>0</v>
      </c>
      <c r="X285" s="27">
        <f t="shared" si="3"/>
        <v>16.33986928</v>
      </c>
      <c r="Y285" s="27">
        <f t="shared" si="4"/>
        <v>0</v>
      </c>
    </row>
    <row r="286" ht="14.25" customHeight="1">
      <c r="A286" s="13" t="s">
        <v>664</v>
      </c>
      <c r="B286" s="13" t="s">
        <v>685</v>
      </c>
      <c r="C286" s="13" t="s">
        <v>363</v>
      </c>
      <c r="D286" s="13" t="s">
        <v>363</v>
      </c>
      <c r="E286" s="26">
        <v>70901.0</v>
      </c>
      <c r="F286" s="26">
        <v>11043.0</v>
      </c>
      <c r="G286" s="26">
        <v>11158.0</v>
      </c>
      <c r="H286" s="26">
        <v>11272.0</v>
      </c>
      <c r="I286" s="26">
        <v>11615.0</v>
      </c>
      <c r="J286" s="26">
        <v>11729.0</v>
      </c>
      <c r="K286" s="26">
        <v>11843.0</v>
      </c>
      <c r="L286" s="13">
        <v>0.0</v>
      </c>
      <c r="M286" s="13">
        <v>0.0</v>
      </c>
      <c r="N286" s="13">
        <v>0.0</v>
      </c>
      <c r="O286" s="13">
        <v>0.0</v>
      </c>
      <c r="P286" s="13">
        <v>0.0</v>
      </c>
      <c r="Q286" s="13">
        <v>1.0</v>
      </c>
      <c r="R286" s="27">
        <f t="shared" ref="R286:W286" si="287">(L286/F286)*100000</f>
        <v>0</v>
      </c>
      <c r="S286" s="27">
        <f t="shared" si="287"/>
        <v>0</v>
      </c>
      <c r="T286" s="27">
        <f t="shared" si="287"/>
        <v>0</v>
      </c>
      <c r="U286" s="27">
        <f t="shared" si="287"/>
        <v>0</v>
      </c>
      <c r="V286" s="27">
        <f t="shared" si="287"/>
        <v>0</v>
      </c>
      <c r="W286" s="27">
        <f t="shared" si="287"/>
        <v>8.443806468</v>
      </c>
      <c r="X286" s="27">
        <f t="shared" si="3"/>
        <v>0</v>
      </c>
      <c r="Y286" s="27">
        <f t="shared" si="4"/>
        <v>2.814602156</v>
      </c>
    </row>
    <row r="287" ht="14.25" customHeight="1">
      <c r="A287" s="13" t="s">
        <v>664</v>
      </c>
      <c r="B287" s="13" t="s">
        <v>685</v>
      </c>
      <c r="C287" s="13" t="s">
        <v>350</v>
      </c>
      <c r="D287" s="13" t="s">
        <v>350</v>
      </c>
      <c r="E287" s="26">
        <v>70902.0</v>
      </c>
      <c r="F287" s="26">
        <v>9404.0</v>
      </c>
      <c r="G287" s="26">
        <v>9445.0</v>
      </c>
      <c r="H287" s="26">
        <v>9486.0</v>
      </c>
      <c r="I287" s="26">
        <v>9610.0</v>
      </c>
      <c r="J287" s="26">
        <v>9651.0</v>
      </c>
      <c r="K287" s="26">
        <v>9692.0</v>
      </c>
      <c r="L287" s="13">
        <v>0.0</v>
      </c>
      <c r="M287" s="13">
        <v>0.0</v>
      </c>
      <c r="N287" s="13">
        <v>0.0</v>
      </c>
      <c r="O287" s="13">
        <v>0.0</v>
      </c>
      <c r="P287" s="13">
        <v>0.0</v>
      </c>
      <c r="Q287" s="13">
        <v>0.0</v>
      </c>
      <c r="R287" s="27">
        <f t="shared" ref="R287:W287" si="288">(L287/F287)*100000</f>
        <v>0</v>
      </c>
      <c r="S287" s="27">
        <f t="shared" si="288"/>
        <v>0</v>
      </c>
      <c r="T287" s="27">
        <f t="shared" si="288"/>
        <v>0</v>
      </c>
      <c r="U287" s="27">
        <f t="shared" si="288"/>
        <v>0</v>
      </c>
      <c r="V287" s="27">
        <f t="shared" si="288"/>
        <v>0</v>
      </c>
      <c r="W287" s="27">
        <f t="shared" si="288"/>
        <v>0</v>
      </c>
      <c r="X287" s="27">
        <f t="shared" si="3"/>
        <v>0</v>
      </c>
      <c r="Y287" s="27">
        <f t="shared" si="4"/>
        <v>0</v>
      </c>
    </row>
    <row r="288" ht="14.25" customHeight="1">
      <c r="A288" s="13" t="s">
        <v>664</v>
      </c>
      <c r="B288" s="13" t="s">
        <v>685</v>
      </c>
      <c r="C288" s="13" t="s">
        <v>353</v>
      </c>
      <c r="D288" s="13" t="s">
        <v>353</v>
      </c>
      <c r="E288" s="26">
        <v>70903.0</v>
      </c>
      <c r="F288" s="26">
        <v>11243.0</v>
      </c>
      <c r="G288" s="26">
        <v>11456.0</v>
      </c>
      <c r="H288" s="26">
        <v>11669.0</v>
      </c>
      <c r="I288" s="26">
        <v>12309.0</v>
      </c>
      <c r="J288" s="26">
        <v>12522.0</v>
      </c>
      <c r="K288" s="26">
        <v>12735.0</v>
      </c>
      <c r="L288" s="13">
        <v>0.0</v>
      </c>
      <c r="M288" s="13">
        <v>0.0</v>
      </c>
      <c r="N288" s="13">
        <v>0.0</v>
      </c>
      <c r="O288" s="13">
        <v>4.0</v>
      </c>
      <c r="P288" s="13">
        <v>0.0</v>
      </c>
      <c r="Q288" s="13">
        <v>0.0</v>
      </c>
      <c r="R288" s="27">
        <f t="shared" ref="R288:W288" si="289">(L288/F288)*100000</f>
        <v>0</v>
      </c>
      <c r="S288" s="27">
        <f t="shared" si="289"/>
        <v>0</v>
      </c>
      <c r="T288" s="27">
        <f t="shared" si="289"/>
        <v>0</v>
      </c>
      <c r="U288" s="27">
        <f t="shared" si="289"/>
        <v>32.49654724</v>
      </c>
      <c r="V288" s="27">
        <f t="shared" si="289"/>
        <v>0</v>
      </c>
      <c r="W288" s="27">
        <f t="shared" si="289"/>
        <v>0</v>
      </c>
      <c r="X288" s="27">
        <f t="shared" si="3"/>
        <v>0</v>
      </c>
      <c r="Y288" s="27">
        <f t="shared" si="4"/>
        <v>10.83218241</v>
      </c>
    </row>
    <row r="289" ht="14.25" customHeight="1">
      <c r="A289" s="13" t="s">
        <v>664</v>
      </c>
      <c r="B289" s="13" t="s">
        <v>685</v>
      </c>
      <c r="C289" s="13" t="s">
        <v>686</v>
      </c>
      <c r="D289" s="13" t="s">
        <v>686</v>
      </c>
      <c r="E289" s="26">
        <v>70904.0</v>
      </c>
      <c r="F289" s="26">
        <v>3033.0</v>
      </c>
      <c r="G289" s="26">
        <v>3041.0</v>
      </c>
      <c r="H289" s="26">
        <v>3048.0</v>
      </c>
      <c r="I289" s="26">
        <v>3071.0</v>
      </c>
      <c r="J289" s="26">
        <v>3078.0</v>
      </c>
      <c r="K289" s="26">
        <v>3086.0</v>
      </c>
      <c r="L289" s="13">
        <v>0.0</v>
      </c>
      <c r="M289" s="13">
        <v>0.0</v>
      </c>
      <c r="N289" s="13">
        <v>0.0</v>
      </c>
      <c r="O289" s="13">
        <v>0.0</v>
      </c>
      <c r="P289" s="13">
        <v>0.0</v>
      </c>
      <c r="Q289" s="13">
        <v>0.0</v>
      </c>
      <c r="R289" s="27">
        <f t="shared" ref="R289:W289" si="290">(L289/F289)*100000</f>
        <v>0</v>
      </c>
      <c r="S289" s="27">
        <f t="shared" si="290"/>
        <v>0</v>
      </c>
      <c r="T289" s="27">
        <f t="shared" si="290"/>
        <v>0</v>
      </c>
      <c r="U289" s="27">
        <f t="shared" si="290"/>
        <v>0</v>
      </c>
      <c r="V289" s="27">
        <f t="shared" si="290"/>
        <v>0</v>
      </c>
      <c r="W289" s="27">
        <f t="shared" si="290"/>
        <v>0</v>
      </c>
      <c r="X289" s="27">
        <f t="shared" si="3"/>
        <v>0</v>
      </c>
      <c r="Y289" s="27">
        <f t="shared" si="4"/>
        <v>0</v>
      </c>
    </row>
    <row r="290" ht="14.25" customHeight="1">
      <c r="A290" s="13" t="s">
        <v>664</v>
      </c>
      <c r="B290" s="13" t="s">
        <v>687</v>
      </c>
      <c r="C290" s="13" t="s">
        <v>319</v>
      </c>
      <c r="D290" s="13" t="s">
        <v>319</v>
      </c>
      <c r="E290" s="26">
        <v>71001.0</v>
      </c>
      <c r="F290" s="26">
        <v>116755.0</v>
      </c>
      <c r="G290" s="26">
        <v>118202.0</v>
      </c>
      <c r="H290" s="26">
        <v>119649.0</v>
      </c>
      <c r="I290" s="26">
        <v>123991.0</v>
      </c>
      <c r="J290" s="26">
        <v>125439.0</v>
      </c>
      <c r="K290" s="26">
        <v>126886.0</v>
      </c>
      <c r="L290" s="13">
        <v>10.0</v>
      </c>
      <c r="M290" s="13">
        <v>9.0</v>
      </c>
      <c r="N290" s="13">
        <v>4.0</v>
      </c>
      <c r="O290" s="13">
        <v>5.0</v>
      </c>
      <c r="P290" s="13">
        <v>7.0</v>
      </c>
      <c r="Q290" s="13">
        <v>12.0</v>
      </c>
      <c r="R290" s="27">
        <f t="shared" ref="R290:W290" si="291">(L290/F290)*100000</f>
        <v>8.564943685</v>
      </c>
      <c r="S290" s="27">
        <f t="shared" si="291"/>
        <v>7.614084364</v>
      </c>
      <c r="T290" s="27">
        <f t="shared" si="291"/>
        <v>3.343111936</v>
      </c>
      <c r="U290" s="27">
        <f t="shared" si="291"/>
        <v>4.03255075</v>
      </c>
      <c r="V290" s="27">
        <f t="shared" si="291"/>
        <v>5.580401629</v>
      </c>
      <c r="W290" s="27">
        <f t="shared" si="291"/>
        <v>9.457308135</v>
      </c>
      <c r="X290" s="27">
        <f t="shared" si="3"/>
        <v>6.507379995</v>
      </c>
      <c r="Y290" s="27">
        <f t="shared" si="4"/>
        <v>6.356753505</v>
      </c>
    </row>
    <row r="291" ht="14.25" customHeight="1">
      <c r="A291" s="13" t="s">
        <v>664</v>
      </c>
      <c r="B291" s="13" t="s">
        <v>687</v>
      </c>
      <c r="C291" s="13" t="s">
        <v>688</v>
      </c>
      <c r="D291" s="13" t="s">
        <v>688</v>
      </c>
      <c r="E291" s="26">
        <v>71002.0</v>
      </c>
      <c r="F291" s="26">
        <v>15204.0</v>
      </c>
      <c r="G291" s="26">
        <v>15404.0</v>
      </c>
      <c r="H291" s="26">
        <v>15603.0</v>
      </c>
      <c r="I291" s="26">
        <v>16200.0</v>
      </c>
      <c r="J291" s="26">
        <v>16399.0</v>
      </c>
      <c r="K291" s="26">
        <v>16598.0</v>
      </c>
      <c r="L291" s="13">
        <v>0.0</v>
      </c>
      <c r="M291" s="13">
        <v>0.0</v>
      </c>
      <c r="N291" s="13">
        <v>0.0</v>
      </c>
      <c r="O291" s="13">
        <v>0.0</v>
      </c>
      <c r="P291" s="13">
        <v>1.0</v>
      </c>
      <c r="Q291" s="13">
        <v>0.0</v>
      </c>
      <c r="R291" s="27">
        <f t="shared" ref="R291:W291" si="292">(L291/F291)*100000</f>
        <v>0</v>
      </c>
      <c r="S291" s="27">
        <f t="shared" si="292"/>
        <v>0</v>
      </c>
      <c r="T291" s="27">
        <f t="shared" si="292"/>
        <v>0</v>
      </c>
      <c r="U291" s="27">
        <f t="shared" si="292"/>
        <v>0</v>
      </c>
      <c r="V291" s="27">
        <f t="shared" si="292"/>
        <v>6.097932801</v>
      </c>
      <c r="W291" s="27">
        <f t="shared" si="292"/>
        <v>0</v>
      </c>
      <c r="X291" s="27">
        <f t="shared" si="3"/>
        <v>0</v>
      </c>
      <c r="Y291" s="27">
        <f t="shared" si="4"/>
        <v>2.032644267</v>
      </c>
    </row>
    <row r="292" ht="14.25" customHeight="1">
      <c r="A292" s="13" t="s">
        <v>664</v>
      </c>
      <c r="B292" s="13" t="s">
        <v>687</v>
      </c>
      <c r="C292" s="13" t="s">
        <v>351</v>
      </c>
      <c r="D292" s="13" t="s">
        <v>351</v>
      </c>
      <c r="E292" s="26">
        <v>71003.0</v>
      </c>
      <c r="F292" s="26">
        <v>23192.0</v>
      </c>
      <c r="G292" s="26">
        <v>23181.0</v>
      </c>
      <c r="H292" s="26">
        <v>23169.0</v>
      </c>
      <c r="I292" s="26">
        <v>23134.0</v>
      </c>
      <c r="J292" s="26">
        <v>23122.0</v>
      </c>
      <c r="K292" s="26">
        <v>23110.0</v>
      </c>
      <c r="L292" s="13">
        <v>0.0</v>
      </c>
      <c r="M292" s="13">
        <v>1.0</v>
      </c>
      <c r="N292" s="13">
        <v>1.0</v>
      </c>
      <c r="O292" s="13">
        <v>2.0</v>
      </c>
      <c r="P292" s="13">
        <v>1.0</v>
      </c>
      <c r="Q292" s="13">
        <v>0.0</v>
      </c>
      <c r="R292" s="27">
        <f t="shared" ref="R292:W292" si="293">(L292/F292)*100000</f>
        <v>0</v>
      </c>
      <c r="S292" s="27">
        <f t="shared" si="293"/>
        <v>4.313877745</v>
      </c>
      <c r="T292" s="27">
        <f t="shared" si="293"/>
        <v>4.316112046</v>
      </c>
      <c r="U292" s="27">
        <f t="shared" si="293"/>
        <v>8.645283998</v>
      </c>
      <c r="V292" s="27">
        <f t="shared" si="293"/>
        <v>4.324885391</v>
      </c>
      <c r="W292" s="27">
        <f t="shared" si="293"/>
        <v>0</v>
      </c>
      <c r="X292" s="27">
        <f t="shared" si="3"/>
        <v>2.876663264</v>
      </c>
      <c r="Y292" s="27">
        <f t="shared" si="4"/>
        <v>4.323389796</v>
      </c>
    </row>
    <row r="293" ht="14.25" customHeight="1">
      <c r="A293" s="13" t="s">
        <v>664</v>
      </c>
      <c r="B293" s="13" t="s">
        <v>687</v>
      </c>
      <c r="C293" s="13" t="s">
        <v>361</v>
      </c>
      <c r="D293" s="13" t="s">
        <v>361</v>
      </c>
      <c r="E293" s="26">
        <v>71004.0</v>
      </c>
      <c r="F293" s="26">
        <v>14906.0</v>
      </c>
      <c r="G293" s="26">
        <v>14864.0</v>
      </c>
      <c r="H293" s="26">
        <v>14821.0</v>
      </c>
      <c r="I293" s="26">
        <v>14695.0</v>
      </c>
      <c r="J293" s="26">
        <v>14652.0</v>
      </c>
      <c r="K293" s="26">
        <v>14610.0</v>
      </c>
      <c r="L293" s="13">
        <v>0.0</v>
      </c>
      <c r="M293" s="13">
        <v>0.0</v>
      </c>
      <c r="N293" s="13">
        <v>0.0</v>
      </c>
      <c r="O293" s="13">
        <v>1.0</v>
      </c>
      <c r="P293" s="13">
        <v>0.0</v>
      </c>
      <c r="Q293" s="13">
        <v>0.0</v>
      </c>
      <c r="R293" s="27">
        <f t="shared" ref="R293:W293" si="294">(L293/F293)*100000</f>
        <v>0</v>
      </c>
      <c r="S293" s="27">
        <f t="shared" si="294"/>
        <v>0</v>
      </c>
      <c r="T293" s="27">
        <f t="shared" si="294"/>
        <v>0</v>
      </c>
      <c r="U293" s="27">
        <f t="shared" si="294"/>
        <v>6.805035726</v>
      </c>
      <c r="V293" s="27">
        <f t="shared" si="294"/>
        <v>0</v>
      </c>
      <c r="W293" s="27">
        <f t="shared" si="294"/>
        <v>0</v>
      </c>
      <c r="X293" s="27">
        <f t="shared" si="3"/>
        <v>0</v>
      </c>
      <c r="Y293" s="27">
        <f t="shared" si="4"/>
        <v>2.268345242</v>
      </c>
    </row>
    <row r="294" ht="14.25" customHeight="1">
      <c r="A294" s="13" t="s">
        <v>664</v>
      </c>
      <c r="B294" s="13" t="s">
        <v>687</v>
      </c>
      <c r="C294" s="13" t="s">
        <v>374</v>
      </c>
      <c r="D294" s="13" t="s">
        <v>374</v>
      </c>
      <c r="E294" s="26">
        <v>71005.0</v>
      </c>
      <c r="F294" s="26">
        <v>17496.0</v>
      </c>
      <c r="G294" s="26">
        <v>17175.0</v>
      </c>
      <c r="H294" s="26">
        <v>16853.0</v>
      </c>
      <c r="I294" s="26">
        <v>15889.0</v>
      </c>
      <c r="J294" s="26">
        <v>15567.0</v>
      </c>
      <c r="K294" s="26">
        <v>15246.0</v>
      </c>
      <c r="L294" s="13">
        <v>0.0</v>
      </c>
      <c r="M294" s="13">
        <v>0.0</v>
      </c>
      <c r="N294" s="13">
        <v>0.0</v>
      </c>
      <c r="O294" s="13">
        <v>0.0</v>
      </c>
      <c r="P294" s="13">
        <v>0.0</v>
      </c>
      <c r="Q294" s="13">
        <v>0.0</v>
      </c>
      <c r="R294" s="27">
        <f t="shared" ref="R294:W294" si="295">(L294/F294)*100000</f>
        <v>0</v>
      </c>
      <c r="S294" s="27">
        <f t="shared" si="295"/>
        <v>0</v>
      </c>
      <c r="T294" s="27">
        <f t="shared" si="295"/>
        <v>0</v>
      </c>
      <c r="U294" s="27">
        <f t="shared" si="295"/>
        <v>0</v>
      </c>
      <c r="V294" s="27">
        <f t="shared" si="295"/>
        <v>0</v>
      </c>
      <c r="W294" s="27">
        <f t="shared" si="295"/>
        <v>0</v>
      </c>
      <c r="X294" s="27">
        <f t="shared" si="3"/>
        <v>0</v>
      </c>
      <c r="Y294" s="27">
        <f t="shared" si="4"/>
        <v>0</v>
      </c>
    </row>
    <row r="295" ht="14.25" customHeight="1">
      <c r="A295" s="13" t="s">
        <v>664</v>
      </c>
      <c r="B295" s="13" t="s">
        <v>689</v>
      </c>
      <c r="C295" s="13" t="s">
        <v>381</v>
      </c>
      <c r="D295" s="13" t="s">
        <v>381</v>
      </c>
      <c r="E295" s="26">
        <v>71101.0</v>
      </c>
      <c r="F295" s="26">
        <v>23516.0</v>
      </c>
      <c r="G295" s="26">
        <v>24459.0</v>
      </c>
      <c r="H295" s="26">
        <v>25402.0</v>
      </c>
      <c r="I295" s="26">
        <v>28232.0</v>
      </c>
      <c r="J295" s="26">
        <v>29175.0</v>
      </c>
      <c r="K295" s="26">
        <v>30118.0</v>
      </c>
      <c r="L295" s="13">
        <v>0.0</v>
      </c>
      <c r="M295" s="13">
        <v>0.0</v>
      </c>
      <c r="N295" s="13">
        <v>0.0</v>
      </c>
      <c r="O295" s="13">
        <v>0.0</v>
      </c>
      <c r="P295" s="13">
        <v>0.0</v>
      </c>
      <c r="Q295" s="13">
        <v>0.0</v>
      </c>
      <c r="R295" s="27">
        <f t="shared" ref="R295:W295" si="296">(L295/F295)*100000</f>
        <v>0</v>
      </c>
      <c r="S295" s="27">
        <f t="shared" si="296"/>
        <v>0</v>
      </c>
      <c r="T295" s="27">
        <f t="shared" si="296"/>
        <v>0</v>
      </c>
      <c r="U295" s="27">
        <f t="shared" si="296"/>
        <v>0</v>
      </c>
      <c r="V295" s="27">
        <f t="shared" si="296"/>
        <v>0</v>
      </c>
      <c r="W295" s="27">
        <f t="shared" si="296"/>
        <v>0</v>
      </c>
      <c r="X295" s="27">
        <f t="shared" si="3"/>
        <v>0</v>
      </c>
      <c r="Y295" s="27">
        <f t="shared" si="4"/>
        <v>0</v>
      </c>
    </row>
    <row r="296" ht="14.25" customHeight="1">
      <c r="A296" s="13" t="s">
        <v>664</v>
      </c>
      <c r="B296" s="13" t="s">
        <v>689</v>
      </c>
      <c r="C296" s="13" t="s">
        <v>690</v>
      </c>
      <c r="D296" s="13" t="s">
        <v>690</v>
      </c>
      <c r="E296" s="26">
        <v>71102.0</v>
      </c>
      <c r="F296" s="26">
        <v>14148.0</v>
      </c>
      <c r="G296" s="26">
        <v>14254.0</v>
      </c>
      <c r="H296" s="26">
        <v>14360.0</v>
      </c>
      <c r="I296" s="26">
        <v>14677.0</v>
      </c>
      <c r="J296" s="26">
        <v>14782.0</v>
      </c>
      <c r="K296" s="26">
        <v>14888.0</v>
      </c>
      <c r="L296" s="13">
        <v>0.0</v>
      </c>
      <c r="M296" s="13">
        <v>0.0</v>
      </c>
      <c r="N296" s="13">
        <v>0.0</v>
      </c>
      <c r="O296" s="13">
        <v>0.0</v>
      </c>
      <c r="P296" s="13">
        <v>0.0</v>
      </c>
      <c r="Q296" s="13">
        <v>0.0</v>
      </c>
      <c r="R296" s="27">
        <f t="shared" ref="R296:W296" si="297">(L296/F296)*100000</f>
        <v>0</v>
      </c>
      <c r="S296" s="27">
        <f t="shared" si="297"/>
        <v>0</v>
      </c>
      <c r="T296" s="27">
        <f t="shared" si="297"/>
        <v>0</v>
      </c>
      <c r="U296" s="27">
        <f t="shared" si="297"/>
        <v>0</v>
      </c>
      <c r="V296" s="27">
        <f t="shared" si="297"/>
        <v>0</v>
      </c>
      <c r="W296" s="27">
        <f t="shared" si="297"/>
        <v>0</v>
      </c>
      <c r="X296" s="27">
        <f t="shared" si="3"/>
        <v>0</v>
      </c>
      <c r="Y296" s="27">
        <f t="shared" si="4"/>
        <v>0</v>
      </c>
    </row>
    <row r="297" ht="14.25" customHeight="1">
      <c r="A297" s="13" t="s">
        <v>664</v>
      </c>
      <c r="B297" s="13" t="s">
        <v>689</v>
      </c>
      <c r="C297" s="13" t="s">
        <v>394</v>
      </c>
      <c r="D297" s="13" t="s">
        <v>394</v>
      </c>
      <c r="E297" s="26">
        <v>71103.0</v>
      </c>
      <c r="F297" s="26">
        <v>7928.0</v>
      </c>
      <c r="G297" s="26">
        <v>8016.0</v>
      </c>
      <c r="H297" s="26">
        <v>8103.0</v>
      </c>
      <c r="I297" s="26">
        <v>8366.0</v>
      </c>
      <c r="J297" s="26">
        <v>8453.0</v>
      </c>
      <c r="K297" s="26">
        <v>8541.0</v>
      </c>
      <c r="L297" s="13">
        <v>0.0</v>
      </c>
      <c r="M297" s="13">
        <v>0.0</v>
      </c>
      <c r="N297" s="13">
        <v>0.0</v>
      </c>
      <c r="O297" s="13">
        <v>0.0</v>
      </c>
      <c r="P297" s="13">
        <v>0.0</v>
      </c>
      <c r="Q297" s="13">
        <v>0.0</v>
      </c>
      <c r="R297" s="27">
        <f t="shared" ref="R297:W297" si="298">(L297/F297)*100000</f>
        <v>0</v>
      </c>
      <c r="S297" s="27">
        <f t="shared" si="298"/>
        <v>0</v>
      </c>
      <c r="T297" s="27">
        <f t="shared" si="298"/>
        <v>0</v>
      </c>
      <c r="U297" s="27">
        <f t="shared" si="298"/>
        <v>0</v>
      </c>
      <c r="V297" s="27">
        <f t="shared" si="298"/>
        <v>0</v>
      </c>
      <c r="W297" s="27">
        <f t="shared" si="298"/>
        <v>0</v>
      </c>
      <c r="X297" s="27">
        <f t="shared" si="3"/>
        <v>0</v>
      </c>
      <c r="Y297" s="27">
        <f t="shared" si="4"/>
        <v>0</v>
      </c>
    </row>
    <row r="298" ht="14.25" customHeight="1">
      <c r="A298" s="13" t="s">
        <v>664</v>
      </c>
      <c r="B298" s="13" t="s">
        <v>689</v>
      </c>
      <c r="C298" s="13" t="s">
        <v>358</v>
      </c>
      <c r="D298" s="13" t="s">
        <v>358</v>
      </c>
      <c r="E298" s="26">
        <v>71104.0</v>
      </c>
      <c r="F298" s="26">
        <v>46371.0</v>
      </c>
      <c r="G298" s="26">
        <v>46163.0</v>
      </c>
      <c r="H298" s="26">
        <v>45954.0</v>
      </c>
      <c r="I298" s="26">
        <v>45327.0</v>
      </c>
      <c r="J298" s="26">
        <v>45118.0</v>
      </c>
      <c r="K298" s="26">
        <v>44909.0</v>
      </c>
      <c r="L298" s="13">
        <v>2.0</v>
      </c>
      <c r="M298" s="13">
        <v>0.0</v>
      </c>
      <c r="N298" s="13">
        <v>0.0</v>
      </c>
      <c r="O298" s="13">
        <v>2.0</v>
      </c>
      <c r="P298" s="13">
        <v>1.0</v>
      </c>
      <c r="Q298" s="13">
        <v>0.0</v>
      </c>
      <c r="R298" s="27">
        <f t="shared" ref="R298:W298" si="299">(L298/F298)*100000</f>
        <v>4.313040478</v>
      </c>
      <c r="S298" s="27">
        <f t="shared" si="299"/>
        <v>0</v>
      </c>
      <c r="T298" s="27">
        <f t="shared" si="299"/>
        <v>0</v>
      </c>
      <c r="U298" s="27">
        <f t="shared" si="299"/>
        <v>4.412381141</v>
      </c>
      <c r="V298" s="27">
        <f t="shared" si="299"/>
        <v>2.216410302</v>
      </c>
      <c r="W298" s="27">
        <f t="shared" si="299"/>
        <v>0</v>
      </c>
      <c r="X298" s="27">
        <f t="shared" si="3"/>
        <v>1.437680159</v>
      </c>
      <c r="Y298" s="27">
        <f t="shared" si="4"/>
        <v>2.209597148</v>
      </c>
    </row>
    <row r="299" ht="14.25" customHeight="1">
      <c r="A299" s="13" t="s">
        <v>664</v>
      </c>
      <c r="B299" s="13" t="s">
        <v>689</v>
      </c>
      <c r="C299" s="13" t="s">
        <v>691</v>
      </c>
      <c r="D299" s="13" t="s">
        <v>691</v>
      </c>
      <c r="E299" s="26">
        <v>71105.0</v>
      </c>
      <c r="F299" s="26">
        <v>6432.0</v>
      </c>
      <c r="G299" s="26">
        <v>6423.0</v>
      </c>
      <c r="H299" s="26">
        <v>6413.0</v>
      </c>
      <c r="I299" s="26">
        <v>6384.0</v>
      </c>
      <c r="J299" s="26">
        <v>6374.0</v>
      </c>
      <c r="K299" s="26">
        <v>6364.0</v>
      </c>
      <c r="L299" s="13">
        <v>0.0</v>
      </c>
      <c r="M299" s="13">
        <v>0.0</v>
      </c>
      <c r="N299" s="13">
        <v>0.0</v>
      </c>
      <c r="O299" s="13">
        <v>0.0</v>
      </c>
      <c r="P299" s="13">
        <v>0.0</v>
      </c>
      <c r="Q299" s="13">
        <v>0.0</v>
      </c>
      <c r="R299" s="27">
        <f t="shared" ref="R299:W299" si="300">(L299/F299)*100000</f>
        <v>0</v>
      </c>
      <c r="S299" s="27">
        <f t="shared" si="300"/>
        <v>0</v>
      </c>
      <c r="T299" s="27">
        <f t="shared" si="300"/>
        <v>0</v>
      </c>
      <c r="U299" s="27">
        <f t="shared" si="300"/>
        <v>0</v>
      </c>
      <c r="V299" s="27">
        <f t="shared" si="300"/>
        <v>0</v>
      </c>
      <c r="W299" s="27">
        <f t="shared" si="300"/>
        <v>0</v>
      </c>
      <c r="X299" s="27">
        <f t="shared" si="3"/>
        <v>0</v>
      </c>
      <c r="Y299" s="27">
        <f t="shared" si="4"/>
        <v>0</v>
      </c>
    </row>
    <row r="300" ht="14.25" customHeight="1">
      <c r="A300" s="13" t="s">
        <v>664</v>
      </c>
      <c r="B300" s="13" t="s">
        <v>689</v>
      </c>
      <c r="C300" s="13" t="s">
        <v>692</v>
      </c>
      <c r="D300" s="13" t="s">
        <v>692</v>
      </c>
      <c r="E300" s="26">
        <v>71106.0</v>
      </c>
      <c r="F300" s="26">
        <v>23850.0</v>
      </c>
      <c r="G300" s="26">
        <v>24052.0</v>
      </c>
      <c r="H300" s="26">
        <v>24253.0</v>
      </c>
      <c r="I300" s="26">
        <v>24856.0</v>
      </c>
      <c r="J300" s="26">
        <v>25057.0</v>
      </c>
      <c r="K300" s="26">
        <v>25258.0</v>
      </c>
      <c r="L300" s="13">
        <v>0.0</v>
      </c>
      <c r="M300" s="13">
        <v>0.0</v>
      </c>
      <c r="N300" s="13">
        <v>0.0</v>
      </c>
      <c r="O300" s="13">
        <v>0.0</v>
      </c>
      <c r="P300" s="13">
        <v>0.0</v>
      </c>
      <c r="Q300" s="13">
        <v>0.0</v>
      </c>
      <c r="R300" s="27">
        <f t="shared" ref="R300:W300" si="301">(L300/F300)*100000</f>
        <v>0</v>
      </c>
      <c r="S300" s="27">
        <f t="shared" si="301"/>
        <v>0</v>
      </c>
      <c r="T300" s="27">
        <f t="shared" si="301"/>
        <v>0</v>
      </c>
      <c r="U300" s="27">
        <f t="shared" si="301"/>
        <v>0</v>
      </c>
      <c r="V300" s="27">
        <f t="shared" si="301"/>
        <v>0</v>
      </c>
      <c r="W300" s="27">
        <f t="shared" si="301"/>
        <v>0</v>
      </c>
      <c r="X300" s="27">
        <f t="shared" si="3"/>
        <v>0</v>
      </c>
      <c r="Y300" s="27">
        <f t="shared" si="4"/>
        <v>0</v>
      </c>
    </row>
    <row r="301" ht="14.25" customHeight="1">
      <c r="A301" s="13" t="s">
        <v>664</v>
      </c>
      <c r="B301" s="13" t="s">
        <v>693</v>
      </c>
      <c r="C301" s="13" t="s">
        <v>333</v>
      </c>
      <c r="D301" s="13" t="s">
        <v>333</v>
      </c>
      <c r="E301" s="26">
        <v>71201.0</v>
      </c>
      <c r="F301" s="26">
        <v>14848.0</v>
      </c>
      <c r="G301" s="26">
        <v>14924.0</v>
      </c>
      <c r="H301" s="26">
        <v>15000.0</v>
      </c>
      <c r="I301" s="26">
        <v>15227.0</v>
      </c>
      <c r="J301" s="26">
        <v>15302.0</v>
      </c>
      <c r="K301" s="26">
        <v>15378.0</v>
      </c>
      <c r="L301" s="13">
        <v>1.0</v>
      </c>
      <c r="M301" s="13">
        <v>3.0</v>
      </c>
      <c r="N301" s="13">
        <v>8.0</v>
      </c>
      <c r="O301" s="13">
        <v>7.0</v>
      </c>
      <c r="P301" s="13">
        <v>9.0</v>
      </c>
      <c r="Q301" s="13">
        <v>3.0</v>
      </c>
      <c r="R301" s="27">
        <f t="shared" ref="R301:W301" si="302">(L301/F301)*100000</f>
        <v>6.734913793</v>
      </c>
      <c r="S301" s="27">
        <f t="shared" si="302"/>
        <v>20.10184937</v>
      </c>
      <c r="T301" s="27">
        <f t="shared" si="302"/>
        <v>53.33333333</v>
      </c>
      <c r="U301" s="27">
        <f t="shared" si="302"/>
        <v>45.97097261</v>
      </c>
      <c r="V301" s="27">
        <f t="shared" si="302"/>
        <v>58.81584107</v>
      </c>
      <c r="W301" s="27">
        <f t="shared" si="302"/>
        <v>19.50838861</v>
      </c>
      <c r="X301" s="27">
        <f t="shared" si="3"/>
        <v>26.7233655</v>
      </c>
      <c r="Y301" s="27">
        <f t="shared" si="4"/>
        <v>41.4317341</v>
      </c>
    </row>
    <row r="302" ht="14.25" customHeight="1">
      <c r="A302" s="13" t="s">
        <v>664</v>
      </c>
      <c r="B302" s="13" t="s">
        <v>694</v>
      </c>
      <c r="C302" s="13" t="s">
        <v>355</v>
      </c>
      <c r="D302" s="13" t="s">
        <v>355</v>
      </c>
      <c r="E302" s="26">
        <v>71301.0</v>
      </c>
      <c r="F302" s="26">
        <v>16451.0</v>
      </c>
      <c r="G302" s="26">
        <v>16557.0</v>
      </c>
      <c r="H302" s="26">
        <v>16663.0</v>
      </c>
      <c r="I302" s="26">
        <v>16982.0</v>
      </c>
      <c r="J302" s="26">
        <v>17089.0</v>
      </c>
      <c r="K302" s="26">
        <v>17195.0</v>
      </c>
      <c r="L302" s="13">
        <v>0.0</v>
      </c>
      <c r="M302" s="13">
        <v>0.0</v>
      </c>
      <c r="N302" s="13">
        <v>0.0</v>
      </c>
      <c r="O302" s="13">
        <v>1.0</v>
      </c>
      <c r="P302" s="13">
        <v>2.0</v>
      </c>
      <c r="Q302" s="13">
        <v>3.0</v>
      </c>
      <c r="R302" s="27">
        <f t="shared" ref="R302:W302" si="303">(L302/F302)*100000</f>
        <v>0</v>
      </c>
      <c r="S302" s="27">
        <f t="shared" si="303"/>
        <v>0</v>
      </c>
      <c r="T302" s="27">
        <f t="shared" si="303"/>
        <v>0</v>
      </c>
      <c r="U302" s="27">
        <f t="shared" si="303"/>
        <v>5.888587917</v>
      </c>
      <c r="V302" s="27">
        <f t="shared" si="303"/>
        <v>11.70343496</v>
      </c>
      <c r="W302" s="27">
        <f t="shared" si="303"/>
        <v>17.44693225</v>
      </c>
      <c r="X302" s="27">
        <f t="shared" si="3"/>
        <v>0</v>
      </c>
      <c r="Y302" s="27">
        <f t="shared" si="4"/>
        <v>11.67965171</v>
      </c>
    </row>
    <row r="303" ht="14.25" customHeight="1">
      <c r="A303" s="13" t="s">
        <v>664</v>
      </c>
      <c r="B303" s="13" t="s">
        <v>694</v>
      </c>
      <c r="C303" s="13" t="s">
        <v>695</v>
      </c>
      <c r="D303" s="13" t="s">
        <v>695</v>
      </c>
      <c r="E303" s="26">
        <v>71302.0</v>
      </c>
      <c r="F303" s="26">
        <v>6831.0</v>
      </c>
      <c r="G303" s="26">
        <v>6719.0</v>
      </c>
      <c r="H303" s="26">
        <v>6607.0</v>
      </c>
      <c r="I303" s="26">
        <v>6272.0</v>
      </c>
      <c r="J303" s="26">
        <v>6160.0</v>
      </c>
      <c r="K303" s="26">
        <v>6048.0</v>
      </c>
      <c r="L303" s="13">
        <v>0.0</v>
      </c>
      <c r="M303" s="13">
        <v>0.0</v>
      </c>
      <c r="N303" s="13">
        <v>0.0</v>
      </c>
      <c r="O303" s="13">
        <v>0.0</v>
      </c>
      <c r="P303" s="13">
        <v>0.0</v>
      </c>
      <c r="Q303" s="13">
        <v>0.0</v>
      </c>
      <c r="R303" s="27">
        <f t="shared" ref="R303:W303" si="304">(L303/F303)*100000</f>
        <v>0</v>
      </c>
      <c r="S303" s="27">
        <f t="shared" si="304"/>
        <v>0</v>
      </c>
      <c r="T303" s="27">
        <f t="shared" si="304"/>
        <v>0</v>
      </c>
      <c r="U303" s="27">
        <f t="shared" si="304"/>
        <v>0</v>
      </c>
      <c r="V303" s="27">
        <f t="shared" si="304"/>
        <v>0</v>
      </c>
      <c r="W303" s="27">
        <f t="shared" si="304"/>
        <v>0</v>
      </c>
      <c r="X303" s="27">
        <f t="shared" si="3"/>
        <v>0</v>
      </c>
      <c r="Y303" s="27">
        <f t="shared" si="4"/>
        <v>0</v>
      </c>
    </row>
    <row r="304" ht="14.25" customHeight="1">
      <c r="A304" s="13" t="s">
        <v>664</v>
      </c>
      <c r="B304" s="13" t="s">
        <v>696</v>
      </c>
      <c r="C304" s="13" t="s">
        <v>328</v>
      </c>
      <c r="D304" s="13" t="s">
        <v>328</v>
      </c>
      <c r="E304" s="26">
        <v>71401.0</v>
      </c>
      <c r="F304" s="26">
        <v>18824.0</v>
      </c>
      <c r="G304" s="26">
        <v>18623.0</v>
      </c>
      <c r="H304" s="26">
        <v>18422.0</v>
      </c>
      <c r="I304" s="26">
        <v>17819.0</v>
      </c>
      <c r="J304" s="26">
        <v>17618.0</v>
      </c>
      <c r="K304" s="26">
        <v>17417.0</v>
      </c>
      <c r="L304" s="13">
        <v>0.0</v>
      </c>
      <c r="M304" s="13">
        <v>1.0</v>
      </c>
      <c r="N304" s="13">
        <v>2.0</v>
      </c>
      <c r="O304" s="13">
        <v>7.0</v>
      </c>
      <c r="P304" s="13">
        <v>7.0</v>
      </c>
      <c r="Q304" s="13">
        <v>7.0</v>
      </c>
      <c r="R304" s="27">
        <f t="shared" ref="R304:W304" si="305">(L304/F304)*100000</f>
        <v>0</v>
      </c>
      <c r="S304" s="27">
        <f t="shared" si="305"/>
        <v>5.369704129</v>
      </c>
      <c r="T304" s="27">
        <f t="shared" si="305"/>
        <v>10.85658452</v>
      </c>
      <c r="U304" s="27">
        <f t="shared" si="305"/>
        <v>39.28391043</v>
      </c>
      <c r="V304" s="27">
        <f t="shared" si="305"/>
        <v>39.73209218</v>
      </c>
      <c r="W304" s="27">
        <f t="shared" si="305"/>
        <v>40.19061836</v>
      </c>
      <c r="X304" s="27">
        <f t="shared" si="3"/>
        <v>5.408762883</v>
      </c>
      <c r="Y304" s="27">
        <f t="shared" si="4"/>
        <v>39.73554032</v>
      </c>
    </row>
    <row r="305" ht="14.25" customHeight="1">
      <c r="A305" s="13" t="s">
        <v>664</v>
      </c>
      <c r="B305" s="13" t="s">
        <v>696</v>
      </c>
      <c r="C305" s="13" t="s">
        <v>323</v>
      </c>
      <c r="D305" s="13" t="s">
        <v>323</v>
      </c>
      <c r="E305" s="26">
        <v>71402.0</v>
      </c>
      <c r="F305" s="26">
        <v>17207.0</v>
      </c>
      <c r="G305" s="26">
        <v>17317.0</v>
      </c>
      <c r="H305" s="26">
        <v>17426.0</v>
      </c>
      <c r="I305" s="26">
        <v>17755.0</v>
      </c>
      <c r="J305" s="26">
        <v>17864.0</v>
      </c>
      <c r="K305" s="26">
        <v>17974.0</v>
      </c>
      <c r="L305" s="13">
        <v>0.0</v>
      </c>
      <c r="M305" s="13">
        <v>1.0</v>
      </c>
      <c r="N305" s="13">
        <v>2.0</v>
      </c>
      <c r="O305" s="13">
        <v>6.0</v>
      </c>
      <c r="P305" s="13">
        <v>15.0</v>
      </c>
      <c r="Q305" s="13">
        <v>11.0</v>
      </c>
      <c r="R305" s="27">
        <f t="shared" ref="R305:W305" si="306">(L305/F305)*100000</f>
        <v>0</v>
      </c>
      <c r="S305" s="27">
        <f t="shared" si="306"/>
        <v>5.774672287</v>
      </c>
      <c r="T305" s="27">
        <f t="shared" si="306"/>
        <v>11.47710318</v>
      </c>
      <c r="U305" s="27">
        <f t="shared" si="306"/>
        <v>33.79329766</v>
      </c>
      <c r="V305" s="27">
        <f t="shared" si="306"/>
        <v>83.96775638</v>
      </c>
      <c r="W305" s="27">
        <f t="shared" si="306"/>
        <v>61.1995104</v>
      </c>
      <c r="X305" s="27">
        <f t="shared" si="3"/>
        <v>5.750591822</v>
      </c>
      <c r="Y305" s="27">
        <f t="shared" si="4"/>
        <v>59.65352148</v>
      </c>
    </row>
    <row r="306" ht="14.25" customHeight="1">
      <c r="A306" s="13" t="s">
        <v>664</v>
      </c>
      <c r="B306" s="13" t="s">
        <v>696</v>
      </c>
      <c r="C306" s="13" t="s">
        <v>697</v>
      </c>
      <c r="D306" s="13" t="s">
        <v>697</v>
      </c>
      <c r="E306" s="26">
        <v>71403.0</v>
      </c>
      <c r="F306" s="26">
        <v>7373.0</v>
      </c>
      <c r="G306" s="26">
        <v>7579.0</v>
      </c>
      <c r="H306" s="26">
        <v>7785.0</v>
      </c>
      <c r="I306" s="26">
        <v>8404.0</v>
      </c>
      <c r="J306" s="26">
        <v>8610.0</v>
      </c>
      <c r="K306" s="26">
        <v>8816.0</v>
      </c>
      <c r="L306" s="13">
        <v>0.0</v>
      </c>
      <c r="M306" s="13">
        <v>0.0</v>
      </c>
      <c r="N306" s="13">
        <v>0.0</v>
      </c>
      <c r="O306" s="13">
        <v>0.0</v>
      </c>
      <c r="P306" s="13">
        <v>0.0</v>
      </c>
      <c r="Q306" s="13">
        <v>0.0</v>
      </c>
      <c r="R306" s="27">
        <f t="shared" ref="R306:W306" si="307">(L306/F306)*100000</f>
        <v>0</v>
      </c>
      <c r="S306" s="27">
        <f t="shared" si="307"/>
        <v>0</v>
      </c>
      <c r="T306" s="27">
        <f t="shared" si="307"/>
        <v>0</v>
      </c>
      <c r="U306" s="27">
        <f t="shared" si="307"/>
        <v>0</v>
      </c>
      <c r="V306" s="27">
        <f t="shared" si="307"/>
        <v>0</v>
      </c>
      <c r="W306" s="27">
        <f t="shared" si="307"/>
        <v>0</v>
      </c>
      <c r="X306" s="27">
        <f t="shared" si="3"/>
        <v>0</v>
      </c>
      <c r="Y306" s="27">
        <f t="shared" si="4"/>
        <v>0</v>
      </c>
    </row>
    <row r="307" ht="14.25" customHeight="1">
      <c r="A307" s="13" t="s">
        <v>664</v>
      </c>
      <c r="B307" s="13" t="s">
        <v>698</v>
      </c>
      <c r="C307" s="13" t="s">
        <v>699</v>
      </c>
      <c r="D307" s="13" t="s">
        <v>699</v>
      </c>
      <c r="E307" s="26">
        <v>71501.0</v>
      </c>
      <c r="F307" s="26">
        <v>29990.0</v>
      </c>
      <c r="G307" s="26">
        <v>30575.0</v>
      </c>
      <c r="H307" s="26">
        <v>31159.0</v>
      </c>
      <c r="I307" s="26">
        <v>32911.0</v>
      </c>
      <c r="J307" s="26">
        <v>33495.0</v>
      </c>
      <c r="K307" s="26">
        <v>34079.0</v>
      </c>
      <c r="L307" s="13">
        <v>1.0</v>
      </c>
      <c r="M307" s="13">
        <v>1.0</v>
      </c>
      <c r="N307" s="13">
        <v>2.0</v>
      </c>
      <c r="O307" s="13">
        <v>1.0</v>
      </c>
      <c r="P307" s="13">
        <v>6.0</v>
      </c>
      <c r="Q307" s="13">
        <v>6.0</v>
      </c>
      <c r="R307" s="27">
        <f t="shared" ref="R307:W307" si="308">(L307/F307)*100000</f>
        <v>3.334444815</v>
      </c>
      <c r="S307" s="27">
        <f t="shared" si="308"/>
        <v>3.270645953</v>
      </c>
      <c r="T307" s="27">
        <f t="shared" si="308"/>
        <v>6.418691229</v>
      </c>
      <c r="U307" s="27">
        <f t="shared" si="308"/>
        <v>3.038497767</v>
      </c>
      <c r="V307" s="27">
        <f t="shared" si="308"/>
        <v>17.91312136</v>
      </c>
      <c r="W307" s="27">
        <f t="shared" si="308"/>
        <v>17.60615042</v>
      </c>
      <c r="X307" s="27">
        <f t="shared" si="3"/>
        <v>4.341260665</v>
      </c>
      <c r="Y307" s="27">
        <f t="shared" si="4"/>
        <v>12.85258985</v>
      </c>
    </row>
    <row r="308" ht="14.25" customHeight="1">
      <c r="A308" s="13" t="s">
        <v>664</v>
      </c>
      <c r="B308" s="13" t="s">
        <v>698</v>
      </c>
      <c r="C308" s="13" t="s">
        <v>700</v>
      </c>
      <c r="D308" s="13" t="s">
        <v>701</v>
      </c>
      <c r="E308" s="26">
        <v>71502.0</v>
      </c>
      <c r="F308" s="26">
        <v>6830.0</v>
      </c>
      <c r="G308" s="26">
        <v>6791.0</v>
      </c>
      <c r="H308" s="26">
        <v>6751.0</v>
      </c>
      <c r="I308" s="26">
        <v>6634.0</v>
      </c>
      <c r="J308" s="26">
        <v>6594.0</v>
      </c>
      <c r="K308" s="26">
        <v>6555.0</v>
      </c>
      <c r="L308" s="13">
        <v>0.0</v>
      </c>
      <c r="M308" s="13">
        <v>0.0</v>
      </c>
      <c r="N308" s="13">
        <v>0.0</v>
      </c>
      <c r="O308" s="13">
        <v>0.0</v>
      </c>
      <c r="P308" s="13">
        <v>0.0</v>
      </c>
      <c r="Q308" s="13">
        <v>0.0</v>
      </c>
      <c r="R308" s="27">
        <f t="shared" ref="R308:W308" si="309">(L308/F308)*100000</f>
        <v>0</v>
      </c>
      <c r="S308" s="27">
        <f t="shared" si="309"/>
        <v>0</v>
      </c>
      <c r="T308" s="27">
        <f t="shared" si="309"/>
        <v>0</v>
      </c>
      <c r="U308" s="27">
        <f t="shared" si="309"/>
        <v>0</v>
      </c>
      <c r="V308" s="27">
        <f t="shared" si="309"/>
        <v>0</v>
      </c>
      <c r="W308" s="27">
        <f t="shared" si="309"/>
        <v>0</v>
      </c>
      <c r="X308" s="27">
        <f t="shared" si="3"/>
        <v>0</v>
      </c>
      <c r="Y308" s="27">
        <f t="shared" si="4"/>
        <v>0</v>
      </c>
    </row>
    <row r="309" ht="14.25" customHeight="1">
      <c r="A309" s="13" t="s">
        <v>664</v>
      </c>
      <c r="B309" s="13" t="s">
        <v>698</v>
      </c>
      <c r="C309" s="13" t="s">
        <v>295</v>
      </c>
      <c r="D309" s="13" t="s">
        <v>295</v>
      </c>
      <c r="E309" s="26">
        <v>71503.0</v>
      </c>
      <c r="F309" s="26">
        <v>15490.0</v>
      </c>
      <c r="G309" s="26">
        <v>15748.0</v>
      </c>
      <c r="H309" s="26">
        <v>16005.0</v>
      </c>
      <c r="I309" s="26">
        <v>16776.0</v>
      </c>
      <c r="J309" s="26">
        <v>17033.0</v>
      </c>
      <c r="K309" s="26">
        <v>17290.0</v>
      </c>
      <c r="L309" s="13">
        <v>1.0</v>
      </c>
      <c r="M309" s="13">
        <v>0.0</v>
      </c>
      <c r="N309" s="13">
        <v>0.0</v>
      </c>
      <c r="O309" s="13">
        <v>0.0</v>
      </c>
      <c r="P309" s="13">
        <v>0.0</v>
      </c>
      <c r="Q309" s="13">
        <v>0.0</v>
      </c>
      <c r="R309" s="27">
        <f t="shared" ref="R309:W309" si="310">(L309/F309)*100000</f>
        <v>6.455777921</v>
      </c>
      <c r="S309" s="27">
        <f t="shared" si="310"/>
        <v>0</v>
      </c>
      <c r="T309" s="27">
        <f t="shared" si="310"/>
        <v>0</v>
      </c>
      <c r="U309" s="27">
        <f t="shared" si="310"/>
        <v>0</v>
      </c>
      <c r="V309" s="27">
        <f t="shared" si="310"/>
        <v>0</v>
      </c>
      <c r="W309" s="27">
        <f t="shared" si="310"/>
        <v>0</v>
      </c>
      <c r="X309" s="27">
        <f t="shared" si="3"/>
        <v>2.151925974</v>
      </c>
      <c r="Y309" s="27">
        <f t="shared" si="4"/>
        <v>0</v>
      </c>
    </row>
    <row r="310" ht="14.25" customHeight="1">
      <c r="A310" s="13" t="s">
        <v>702</v>
      </c>
      <c r="B310" s="13" t="s">
        <v>540</v>
      </c>
      <c r="C310" s="13" t="s">
        <v>371</v>
      </c>
      <c r="D310" s="13" t="s">
        <v>371</v>
      </c>
      <c r="E310" s="26">
        <v>80101.0</v>
      </c>
      <c r="F310" s="26">
        <v>115760.0</v>
      </c>
      <c r="G310" s="26">
        <v>117593.0</v>
      </c>
      <c r="H310" s="26">
        <v>119425.0</v>
      </c>
      <c r="I310" s="26">
        <v>124924.0</v>
      </c>
      <c r="J310" s="26">
        <v>126756.0</v>
      </c>
      <c r="K310" s="26">
        <v>128589.0</v>
      </c>
      <c r="L310" s="13">
        <v>24.0</v>
      </c>
      <c r="M310" s="13">
        <v>16.0</v>
      </c>
      <c r="N310" s="13">
        <v>13.0</v>
      </c>
      <c r="O310" s="13">
        <v>7.0</v>
      </c>
      <c r="P310" s="13">
        <v>5.0</v>
      </c>
      <c r="Q310" s="13">
        <v>2.0</v>
      </c>
      <c r="R310" s="27">
        <f t="shared" ref="R310:W310" si="311">(L310/F310)*100000</f>
        <v>20.7325501</v>
      </c>
      <c r="S310" s="27">
        <f t="shared" si="311"/>
        <v>13.60625207</v>
      </c>
      <c r="T310" s="27">
        <f t="shared" si="311"/>
        <v>10.88549299</v>
      </c>
      <c r="U310" s="27">
        <f t="shared" si="311"/>
        <v>5.603406871</v>
      </c>
      <c r="V310" s="27">
        <f t="shared" si="311"/>
        <v>3.94458645</v>
      </c>
      <c r="W310" s="27">
        <f t="shared" si="311"/>
        <v>1.555342992</v>
      </c>
      <c r="X310" s="27">
        <f t="shared" si="3"/>
        <v>15.07476505</v>
      </c>
      <c r="Y310" s="27">
        <f t="shared" si="4"/>
        <v>3.701112104</v>
      </c>
    </row>
    <row r="311" ht="14.25" customHeight="1">
      <c r="A311" s="13" t="s">
        <v>702</v>
      </c>
      <c r="B311" s="13" t="s">
        <v>540</v>
      </c>
      <c r="C311" s="13" t="s">
        <v>690</v>
      </c>
      <c r="D311" s="13" t="s">
        <v>690</v>
      </c>
      <c r="E311" s="26">
        <v>80102.0</v>
      </c>
      <c r="F311" s="26">
        <v>6375.0</v>
      </c>
      <c r="G311" s="26">
        <v>6595.0</v>
      </c>
      <c r="H311" s="26">
        <v>6815.0</v>
      </c>
      <c r="I311" s="26">
        <v>7474.0</v>
      </c>
      <c r="J311" s="26">
        <v>7693.0</v>
      </c>
      <c r="K311" s="26">
        <v>7913.0</v>
      </c>
      <c r="L311" s="13">
        <v>0.0</v>
      </c>
      <c r="M311" s="13">
        <v>0.0</v>
      </c>
      <c r="N311" s="13">
        <v>0.0</v>
      </c>
      <c r="O311" s="13">
        <v>0.0</v>
      </c>
      <c r="P311" s="13">
        <v>0.0</v>
      </c>
      <c r="Q311" s="13">
        <v>0.0</v>
      </c>
      <c r="R311" s="27">
        <f t="shared" ref="R311:W311" si="312">(L311/F311)*100000</f>
        <v>0</v>
      </c>
      <c r="S311" s="27">
        <f t="shared" si="312"/>
        <v>0</v>
      </c>
      <c r="T311" s="27">
        <f t="shared" si="312"/>
        <v>0</v>
      </c>
      <c r="U311" s="27">
        <f t="shared" si="312"/>
        <v>0</v>
      </c>
      <c r="V311" s="27">
        <f t="shared" si="312"/>
        <v>0</v>
      </c>
      <c r="W311" s="27">
        <f t="shared" si="312"/>
        <v>0</v>
      </c>
      <c r="X311" s="27">
        <f t="shared" si="3"/>
        <v>0</v>
      </c>
      <c r="Y311" s="27">
        <f t="shared" si="4"/>
        <v>0</v>
      </c>
    </row>
    <row r="312" ht="14.25" customHeight="1">
      <c r="A312" s="13" t="s">
        <v>702</v>
      </c>
      <c r="B312" s="13" t="s">
        <v>703</v>
      </c>
      <c r="C312" s="13" t="s">
        <v>373</v>
      </c>
      <c r="D312" s="13" t="s">
        <v>373</v>
      </c>
      <c r="E312" s="26">
        <v>80201.0</v>
      </c>
      <c r="F312" s="26">
        <v>97889.0</v>
      </c>
      <c r="G312" s="26">
        <v>99662.0</v>
      </c>
      <c r="H312" s="26">
        <v>101435.0</v>
      </c>
      <c r="I312" s="26">
        <v>106755.0</v>
      </c>
      <c r="J312" s="26">
        <v>108529.0</v>
      </c>
      <c r="K312" s="26">
        <v>110302.0</v>
      </c>
      <c r="L312" s="13">
        <v>24.0</v>
      </c>
      <c r="M312" s="13">
        <v>5.0</v>
      </c>
      <c r="N312" s="13">
        <v>9.0</v>
      </c>
      <c r="O312" s="13">
        <v>6.0</v>
      </c>
      <c r="P312" s="13">
        <v>11.0</v>
      </c>
      <c r="Q312" s="13">
        <v>12.0</v>
      </c>
      <c r="R312" s="27">
        <f t="shared" ref="R312:W312" si="313">(L312/F312)*100000</f>
        <v>24.51756581</v>
      </c>
      <c r="S312" s="27">
        <f t="shared" si="313"/>
        <v>5.016957316</v>
      </c>
      <c r="T312" s="27">
        <f t="shared" si="313"/>
        <v>8.872677084</v>
      </c>
      <c r="U312" s="27">
        <f t="shared" si="313"/>
        <v>5.620345651</v>
      </c>
      <c r="V312" s="27">
        <f t="shared" si="313"/>
        <v>10.13553981</v>
      </c>
      <c r="W312" s="27">
        <f t="shared" si="313"/>
        <v>10.8792225</v>
      </c>
      <c r="X312" s="27">
        <f t="shared" si="3"/>
        <v>12.80240007</v>
      </c>
      <c r="Y312" s="27">
        <f t="shared" si="4"/>
        <v>8.87836932</v>
      </c>
    </row>
    <row r="313" ht="14.25" customHeight="1">
      <c r="A313" s="13" t="s">
        <v>702</v>
      </c>
      <c r="B313" s="13" t="s">
        <v>703</v>
      </c>
      <c r="C313" s="13" t="s">
        <v>376</v>
      </c>
      <c r="D313" s="13" t="s">
        <v>376</v>
      </c>
      <c r="E313" s="26">
        <v>80202.0</v>
      </c>
      <c r="F313" s="26">
        <v>41904.0</v>
      </c>
      <c r="G313" s="26">
        <v>41923.0</v>
      </c>
      <c r="H313" s="26">
        <v>41941.0</v>
      </c>
      <c r="I313" s="26">
        <v>41995.0</v>
      </c>
      <c r="J313" s="26">
        <v>42013.0</v>
      </c>
      <c r="K313" s="26">
        <v>42031.0</v>
      </c>
      <c r="L313" s="13">
        <v>7.0</v>
      </c>
      <c r="M313" s="13">
        <v>1.0</v>
      </c>
      <c r="N313" s="13">
        <v>5.0</v>
      </c>
      <c r="O313" s="13">
        <v>7.0</v>
      </c>
      <c r="P313" s="13">
        <v>5.0</v>
      </c>
      <c r="Q313" s="13">
        <v>7.0</v>
      </c>
      <c r="R313" s="27">
        <f t="shared" ref="R313:W313" si="314">(L313/F313)*100000</f>
        <v>16.70484918</v>
      </c>
      <c r="S313" s="27">
        <f t="shared" si="314"/>
        <v>2.385325478</v>
      </c>
      <c r="T313" s="27">
        <f t="shared" si="314"/>
        <v>11.92150879</v>
      </c>
      <c r="U313" s="27">
        <f t="shared" si="314"/>
        <v>16.66865103</v>
      </c>
      <c r="V313" s="27">
        <f t="shared" si="314"/>
        <v>11.90107824</v>
      </c>
      <c r="W313" s="27">
        <f t="shared" si="314"/>
        <v>16.65437415</v>
      </c>
      <c r="X313" s="27">
        <f t="shared" si="3"/>
        <v>10.33722781</v>
      </c>
      <c r="Y313" s="27">
        <f t="shared" si="4"/>
        <v>15.07470114</v>
      </c>
    </row>
    <row r="314" ht="14.25" customHeight="1">
      <c r="A314" s="13" t="s">
        <v>702</v>
      </c>
      <c r="B314" s="13" t="s">
        <v>704</v>
      </c>
      <c r="C314" s="13" t="s">
        <v>705</v>
      </c>
      <c r="D314" s="13" t="s">
        <v>705</v>
      </c>
      <c r="E314" s="26">
        <v>80301.0</v>
      </c>
      <c r="F314" s="26">
        <v>12509.0</v>
      </c>
      <c r="G314" s="26">
        <v>12362.0</v>
      </c>
      <c r="H314" s="26">
        <v>12215.0</v>
      </c>
      <c r="I314" s="26">
        <v>11773.0</v>
      </c>
      <c r="J314" s="26">
        <v>11625.0</v>
      </c>
      <c r="K314" s="26">
        <v>11478.0</v>
      </c>
      <c r="L314" s="13">
        <v>0.0</v>
      </c>
      <c r="M314" s="13">
        <v>0.0</v>
      </c>
      <c r="N314" s="13">
        <v>0.0</v>
      </c>
      <c r="O314" s="13">
        <v>0.0</v>
      </c>
      <c r="P314" s="13">
        <v>0.0</v>
      </c>
      <c r="Q314" s="13">
        <v>0.0</v>
      </c>
      <c r="R314" s="27">
        <f t="shared" ref="R314:W314" si="315">(L314/F314)*100000</f>
        <v>0</v>
      </c>
      <c r="S314" s="27">
        <f t="shared" si="315"/>
        <v>0</v>
      </c>
      <c r="T314" s="27">
        <f t="shared" si="315"/>
        <v>0</v>
      </c>
      <c r="U314" s="27">
        <f t="shared" si="315"/>
        <v>0</v>
      </c>
      <c r="V314" s="27">
        <f t="shared" si="315"/>
        <v>0</v>
      </c>
      <c r="W314" s="27">
        <f t="shared" si="315"/>
        <v>0</v>
      </c>
      <c r="X314" s="27">
        <f t="shared" si="3"/>
        <v>0</v>
      </c>
      <c r="Y314" s="27">
        <f t="shared" si="4"/>
        <v>0</v>
      </c>
    </row>
    <row r="315" ht="14.25" customHeight="1">
      <c r="A315" s="13" t="s">
        <v>702</v>
      </c>
      <c r="B315" s="13" t="s">
        <v>704</v>
      </c>
      <c r="C315" s="13" t="s">
        <v>378</v>
      </c>
      <c r="D315" s="13" t="s">
        <v>378</v>
      </c>
      <c r="E315" s="26">
        <v>80302.0</v>
      </c>
      <c r="F315" s="26">
        <v>42920.0</v>
      </c>
      <c r="G315" s="26">
        <v>43331.0</v>
      </c>
      <c r="H315" s="26">
        <v>43742.0</v>
      </c>
      <c r="I315" s="26">
        <v>44976.0</v>
      </c>
      <c r="J315" s="26">
        <v>45387.0</v>
      </c>
      <c r="K315" s="26">
        <v>45798.0</v>
      </c>
      <c r="L315" s="13">
        <v>2.0</v>
      </c>
      <c r="M315" s="13">
        <v>3.0</v>
      </c>
      <c r="N315" s="13">
        <v>2.0</v>
      </c>
      <c r="O315" s="13">
        <v>4.0</v>
      </c>
      <c r="P315" s="13">
        <v>2.0</v>
      </c>
      <c r="Q315" s="13">
        <v>4.0</v>
      </c>
      <c r="R315" s="27">
        <f t="shared" ref="R315:W315" si="316">(L315/F315)*100000</f>
        <v>4.659832246</v>
      </c>
      <c r="S315" s="27">
        <f t="shared" si="316"/>
        <v>6.923449724</v>
      </c>
      <c r="T315" s="27">
        <f t="shared" si="316"/>
        <v>4.572264643</v>
      </c>
      <c r="U315" s="27">
        <f t="shared" si="316"/>
        <v>8.893632159</v>
      </c>
      <c r="V315" s="27">
        <f t="shared" si="316"/>
        <v>4.406548131</v>
      </c>
      <c r="W315" s="27">
        <f t="shared" si="316"/>
        <v>8.734005852</v>
      </c>
      <c r="X315" s="27">
        <f t="shared" si="3"/>
        <v>5.385182204</v>
      </c>
      <c r="Y315" s="27">
        <f t="shared" si="4"/>
        <v>7.344728714</v>
      </c>
    </row>
    <row r="316" ht="14.25" customHeight="1">
      <c r="A316" s="13" t="s">
        <v>702</v>
      </c>
      <c r="B316" s="13" t="s">
        <v>704</v>
      </c>
      <c r="C316" s="13" t="s">
        <v>404</v>
      </c>
      <c r="D316" s="13" t="s">
        <v>404</v>
      </c>
      <c r="E316" s="26">
        <v>80303.0</v>
      </c>
      <c r="F316" s="26">
        <v>10163.0</v>
      </c>
      <c r="G316" s="26">
        <v>10300.0</v>
      </c>
      <c r="H316" s="26">
        <v>10437.0</v>
      </c>
      <c r="I316" s="26">
        <v>10848.0</v>
      </c>
      <c r="J316" s="26">
        <v>10985.0</v>
      </c>
      <c r="K316" s="26">
        <v>11122.0</v>
      </c>
      <c r="L316" s="13">
        <v>0.0</v>
      </c>
      <c r="M316" s="13">
        <v>0.0</v>
      </c>
      <c r="N316" s="13">
        <v>0.0</v>
      </c>
      <c r="O316" s="13">
        <v>0.0</v>
      </c>
      <c r="P316" s="13">
        <v>0.0</v>
      </c>
      <c r="Q316" s="13">
        <v>1.0</v>
      </c>
      <c r="R316" s="27">
        <f t="shared" ref="R316:W316" si="317">(L316/F316)*100000</f>
        <v>0</v>
      </c>
      <c r="S316" s="27">
        <f t="shared" si="317"/>
        <v>0</v>
      </c>
      <c r="T316" s="27">
        <f t="shared" si="317"/>
        <v>0</v>
      </c>
      <c r="U316" s="27">
        <f t="shared" si="317"/>
        <v>0</v>
      </c>
      <c r="V316" s="27">
        <f t="shared" si="317"/>
        <v>0</v>
      </c>
      <c r="W316" s="27">
        <f t="shared" si="317"/>
        <v>8.991188635</v>
      </c>
      <c r="X316" s="27">
        <f t="shared" si="3"/>
        <v>0</v>
      </c>
      <c r="Y316" s="27">
        <f t="shared" si="4"/>
        <v>2.997062878</v>
      </c>
    </row>
    <row r="317" ht="14.25" customHeight="1">
      <c r="A317" s="13" t="s">
        <v>702</v>
      </c>
      <c r="B317" s="13" t="s">
        <v>704</v>
      </c>
      <c r="C317" s="13" t="s">
        <v>706</v>
      </c>
      <c r="D317" s="13" t="s">
        <v>380</v>
      </c>
      <c r="E317" s="26">
        <v>80304.0</v>
      </c>
      <c r="F317" s="26">
        <v>20047.0</v>
      </c>
      <c r="G317" s="26">
        <v>20218.0</v>
      </c>
      <c r="H317" s="26">
        <v>20388.0</v>
      </c>
      <c r="I317" s="26">
        <v>20899.0</v>
      </c>
      <c r="J317" s="26">
        <v>21070.0</v>
      </c>
      <c r="K317" s="26">
        <v>21240.0</v>
      </c>
      <c r="L317" s="13">
        <v>0.0</v>
      </c>
      <c r="M317" s="13">
        <v>0.0</v>
      </c>
      <c r="N317" s="13">
        <v>3.0</v>
      </c>
      <c r="O317" s="13">
        <v>1.0</v>
      </c>
      <c r="P317" s="13">
        <v>4.0</v>
      </c>
      <c r="Q317" s="13">
        <v>4.0</v>
      </c>
      <c r="R317" s="27">
        <f t="shared" ref="R317:W317" si="318">(L317/F317)*100000</f>
        <v>0</v>
      </c>
      <c r="S317" s="27">
        <f t="shared" si="318"/>
        <v>0</v>
      </c>
      <c r="T317" s="27">
        <f t="shared" si="318"/>
        <v>14.71453796</v>
      </c>
      <c r="U317" s="27">
        <f t="shared" si="318"/>
        <v>4.784917939</v>
      </c>
      <c r="V317" s="27">
        <f t="shared" si="318"/>
        <v>18.98433792</v>
      </c>
      <c r="W317" s="27">
        <f t="shared" si="318"/>
        <v>18.83239171</v>
      </c>
      <c r="X317" s="27">
        <f t="shared" si="3"/>
        <v>4.904845988</v>
      </c>
      <c r="Y317" s="27">
        <f t="shared" si="4"/>
        <v>14.20054919</v>
      </c>
    </row>
    <row r="318" ht="14.25" customHeight="1">
      <c r="A318" s="13" t="s">
        <v>702</v>
      </c>
      <c r="B318" s="13" t="s">
        <v>707</v>
      </c>
      <c r="C318" s="13" t="s">
        <v>708</v>
      </c>
      <c r="D318" s="13" t="s">
        <v>383</v>
      </c>
      <c r="E318" s="26">
        <v>80401.0</v>
      </c>
      <c r="F318" s="26">
        <v>17494.0</v>
      </c>
      <c r="G318" s="26">
        <v>17579.0</v>
      </c>
      <c r="H318" s="26">
        <v>17663.0</v>
      </c>
      <c r="I318" s="26">
        <v>17918.0</v>
      </c>
      <c r="J318" s="26">
        <v>18003.0</v>
      </c>
      <c r="K318" s="26">
        <v>18088.0</v>
      </c>
      <c r="L318" s="13">
        <v>1.0</v>
      </c>
      <c r="M318" s="13">
        <v>0.0</v>
      </c>
      <c r="N318" s="13">
        <v>0.0</v>
      </c>
      <c r="O318" s="13">
        <v>1.0</v>
      </c>
      <c r="P318" s="13">
        <v>4.0</v>
      </c>
      <c r="Q318" s="13">
        <v>2.0</v>
      </c>
      <c r="R318" s="27">
        <f t="shared" ref="R318:W318" si="319">(L318/F318)*100000</f>
        <v>5.71624557</v>
      </c>
      <c r="S318" s="27">
        <f t="shared" si="319"/>
        <v>0</v>
      </c>
      <c r="T318" s="27">
        <f t="shared" si="319"/>
        <v>0</v>
      </c>
      <c r="U318" s="27">
        <f t="shared" si="319"/>
        <v>5.58098002</v>
      </c>
      <c r="V318" s="27">
        <f t="shared" si="319"/>
        <v>22.21851914</v>
      </c>
      <c r="W318" s="27">
        <f t="shared" si="319"/>
        <v>11.0570544</v>
      </c>
      <c r="X318" s="27">
        <f t="shared" si="3"/>
        <v>1.90541519</v>
      </c>
      <c r="Y318" s="27">
        <f t="shared" si="4"/>
        <v>12.95218452</v>
      </c>
    </row>
    <row r="319" ht="14.25" customHeight="1">
      <c r="A319" s="13" t="s">
        <v>702</v>
      </c>
      <c r="B319" s="13" t="s">
        <v>707</v>
      </c>
      <c r="C319" s="13" t="s">
        <v>385</v>
      </c>
      <c r="D319" s="13" t="s">
        <v>385</v>
      </c>
      <c r="E319" s="26">
        <v>80402.0</v>
      </c>
      <c r="F319" s="26">
        <v>7050.0</v>
      </c>
      <c r="G319" s="26">
        <v>7187.0</v>
      </c>
      <c r="H319" s="26">
        <v>7325.0</v>
      </c>
      <c r="I319" s="26">
        <v>7737.0</v>
      </c>
      <c r="J319" s="26">
        <v>7875.0</v>
      </c>
      <c r="K319" s="26">
        <v>8012.0</v>
      </c>
      <c r="L319" s="13">
        <v>0.0</v>
      </c>
      <c r="M319" s="13">
        <v>0.0</v>
      </c>
      <c r="N319" s="13">
        <v>0.0</v>
      </c>
      <c r="O319" s="13">
        <v>1.0</v>
      </c>
      <c r="P319" s="13">
        <v>0.0</v>
      </c>
      <c r="Q319" s="13">
        <v>0.0</v>
      </c>
      <c r="R319" s="27">
        <f t="shared" ref="R319:W319" si="320">(L319/F319)*100000</f>
        <v>0</v>
      </c>
      <c r="S319" s="27">
        <f t="shared" si="320"/>
        <v>0</v>
      </c>
      <c r="T319" s="27">
        <f t="shared" si="320"/>
        <v>0</v>
      </c>
      <c r="U319" s="27">
        <f t="shared" si="320"/>
        <v>12.92490629</v>
      </c>
      <c r="V319" s="27">
        <f t="shared" si="320"/>
        <v>0</v>
      </c>
      <c r="W319" s="27">
        <f t="shared" si="320"/>
        <v>0</v>
      </c>
      <c r="X319" s="27">
        <f t="shared" si="3"/>
        <v>0</v>
      </c>
      <c r="Y319" s="27">
        <f t="shared" si="4"/>
        <v>4.308302098</v>
      </c>
    </row>
    <row r="320" ht="14.25" customHeight="1">
      <c r="A320" s="13" t="s">
        <v>702</v>
      </c>
      <c r="B320" s="13" t="s">
        <v>709</v>
      </c>
      <c r="C320" s="13" t="s">
        <v>388</v>
      </c>
      <c r="D320" s="13" t="s">
        <v>388</v>
      </c>
      <c r="E320" s="26">
        <v>80501.0</v>
      </c>
      <c r="F320" s="26">
        <v>20224.0</v>
      </c>
      <c r="G320" s="26">
        <v>20418.0</v>
      </c>
      <c r="H320" s="26">
        <v>20612.0</v>
      </c>
      <c r="I320" s="26">
        <v>21195.0</v>
      </c>
      <c r="J320" s="26">
        <v>21390.0</v>
      </c>
      <c r="K320" s="26">
        <v>21584.0</v>
      </c>
      <c r="L320" s="13">
        <v>0.0</v>
      </c>
      <c r="M320" s="13">
        <v>0.0</v>
      </c>
      <c r="N320" s="13">
        <v>1.0</v>
      </c>
      <c r="O320" s="13">
        <v>0.0</v>
      </c>
      <c r="P320" s="13">
        <v>0.0</v>
      </c>
      <c r="Q320" s="13">
        <v>0.0</v>
      </c>
      <c r="R320" s="27">
        <f t="shared" ref="R320:W320" si="321">(L320/F320)*100000</f>
        <v>0</v>
      </c>
      <c r="S320" s="27">
        <f t="shared" si="321"/>
        <v>0</v>
      </c>
      <c r="T320" s="27">
        <f t="shared" si="321"/>
        <v>4.851542791</v>
      </c>
      <c r="U320" s="27">
        <f t="shared" si="321"/>
        <v>0</v>
      </c>
      <c r="V320" s="27">
        <f t="shared" si="321"/>
        <v>0</v>
      </c>
      <c r="W320" s="27">
        <f t="shared" si="321"/>
        <v>0</v>
      </c>
      <c r="X320" s="27">
        <f t="shared" si="3"/>
        <v>1.61718093</v>
      </c>
      <c r="Y320" s="27">
        <f t="shared" si="4"/>
        <v>0</v>
      </c>
    </row>
    <row r="321" ht="14.25" customHeight="1">
      <c r="A321" s="13" t="s">
        <v>702</v>
      </c>
      <c r="B321" s="13" t="s">
        <v>710</v>
      </c>
      <c r="C321" s="13" t="s">
        <v>390</v>
      </c>
      <c r="D321" s="13" t="s">
        <v>390</v>
      </c>
      <c r="E321" s="26">
        <v>80601.0</v>
      </c>
      <c r="F321" s="26">
        <v>4012.0</v>
      </c>
      <c r="G321" s="26">
        <v>4049.0</v>
      </c>
      <c r="H321" s="26">
        <v>4085.0</v>
      </c>
      <c r="I321" s="26">
        <v>4196.0</v>
      </c>
      <c r="J321" s="26">
        <v>4232.0</v>
      </c>
      <c r="K321" s="26">
        <v>4269.0</v>
      </c>
      <c r="L321" s="13">
        <v>1.0</v>
      </c>
      <c r="M321" s="13">
        <v>0.0</v>
      </c>
      <c r="N321" s="13">
        <v>0.0</v>
      </c>
      <c r="O321" s="13">
        <v>0.0</v>
      </c>
      <c r="P321" s="13">
        <v>0.0</v>
      </c>
      <c r="Q321" s="13">
        <v>0.0</v>
      </c>
      <c r="R321" s="27">
        <f t="shared" ref="R321:W321" si="322">(L321/F321)*100000</f>
        <v>24.92522433</v>
      </c>
      <c r="S321" s="27">
        <f t="shared" si="322"/>
        <v>0</v>
      </c>
      <c r="T321" s="27">
        <f t="shared" si="322"/>
        <v>0</v>
      </c>
      <c r="U321" s="27">
        <f t="shared" si="322"/>
        <v>0</v>
      </c>
      <c r="V321" s="27">
        <f t="shared" si="322"/>
        <v>0</v>
      </c>
      <c r="W321" s="27">
        <f t="shared" si="322"/>
        <v>0</v>
      </c>
      <c r="X321" s="27">
        <f t="shared" si="3"/>
        <v>8.308408109</v>
      </c>
      <c r="Y321" s="27">
        <f t="shared" si="4"/>
        <v>0</v>
      </c>
    </row>
    <row r="322" ht="14.25" customHeight="1">
      <c r="A322" s="13" t="s">
        <v>702</v>
      </c>
      <c r="B322" s="13" t="s">
        <v>710</v>
      </c>
      <c r="C322" s="13" t="s">
        <v>711</v>
      </c>
      <c r="D322" s="13" t="s">
        <v>711</v>
      </c>
      <c r="E322" s="26">
        <v>80602.0</v>
      </c>
      <c r="F322" s="26">
        <v>13781.0</v>
      </c>
      <c r="G322" s="26">
        <v>14037.0</v>
      </c>
      <c r="H322" s="26">
        <v>14292.0</v>
      </c>
      <c r="I322" s="26">
        <v>15059.0</v>
      </c>
      <c r="J322" s="26">
        <v>15314.0</v>
      </c>
      <c r="K322" s="26">
        <v>15570.0</v>
      </c>
      <c r="L322" s="13">
        <v>0.0</v>
      </c>
      <c r="M322" s="13">
        <v>0.0</v>
      </c>
      <c r="N322" s="13">
        <v>0.0</v>
      </c>
      <c r="O322" s="13">
        <v>0.0</v>
      </c>
      <c r="P322" s="13">
        <v>0.0</v>
      </c>
      <c r="Q322" s="13">
        <v>0.0</v>
      </c>
      <c r="R322" s="27">
        <f t="shared" ref="R322:W322" si="323">(L322/F322)*100000</f>
        <v>0</v>
      </c>
      <c r="S322" s="27">
        <f t="shared" si="323"/>
        <v>0</v>
      </c>
      <c r="T322" s="27">
        <f t="shared" si="323"/>
        <v>0</v>
      </c>
      <c r="U322" s="27">
        <f t="shared" si="323"/>
        <v>0</v>
      </c>
      <c r="V322" s="27">
        <f t="shared" si="323"/>
        <v>0</v>
      </c>
      <c r="W322" s="27">
        <f t="shared" si="323"/>
        <v>0</v>
      </c>
      <c r="X322" s="27">
        <f t="shared" si="3"/>
        <v>0</v>
      </c>
      <c r="Y322" s="27">
        <f t="shared" si="4"/>
        <v>0</v>
      </c>
    </row>
    <row r="323" ht="14.25" customHeight="1">
      <c r="A323" s="13" t="s">
        <v>702</v>
      </c>
      <c r="B323" s="13" t="s">
        <v>712</v>
      </c>
      <c r="C323" s="13" t="s">
        <v>392</v>
      </c>
      <c r="D323" s="13" t="s">
        <v>392</v>
      </c>
      <c r="E323" s="26">
        <v>80701.0</v>
      </c>
      <c r="F323" s="26">
        <v>6872.0</v>
      </c>
      <c r="G323" s="26">
        <v>6863.0</v>
      </c>
      <c r="H323" s="26">
        <v>6853.0</v>
      </c>
      <c r="I323" s="26">
        <v>6826.0</v>
      </c>
      <c r="J323" s="26">
        <v>6817.0</v>
      </c>
      <c r="K323" s="26">
        <v>6808.0</v>
      </c>
      <c r="L323" s="13">
        <v>0.0</v>
      </c>
      <c r="M323" s="13">
        <v>0.0</v>
      </c>
      <c r="N323" s="13">
        <v>1.0</v>
      </c>
      <c r="O323" s="13">
        <v>0.0</v>
      </c>
      <c r="P323" s="13">
        <v>0.0</v>
      </c>
      <c r="Q323" s="13">
        <v>0.0</v>
      </c>
      <c r="R323" s="27">
        <f t="shared" ref="R323:W323" si="324">(L323/F323)*100000</f>
        <v>0</v>
      </c>
      <c r="S323" s="27">
        <f t="shared" si="324"/>
        <v>0</v>
      </c>
      <c r="T323" s="27">
        <f t="shared" si="324"/>
        <v>14.59214942</v>
      </c>
      <c r="U323" s="27">
        <f t="shared" si="324"/>
        <v>0</v>
      </c>
      <c r="V323" s="27">
        <f t="shared" si="324"/>
        <v>0</v>
      </c>
      <c r="W323" s="27">
        <f t="shared" si="324"/>
        <v>0</v>
      </c>
      <c r="X323" s="27">
        <f t="shared" si="3"/>
        <v>4.864049808</v>
      </c>
      <c r="Y323" s="27">
        <f t="shared" si="4"/>
        <v>0</v>
      </c>
    </row>
    <row r="324" ht="14.25" customHeight="1">
      <c r="A324" s="13" t="s">
        <v>702</v>
      </c>
      <c r="B324" s="13" t="s">
        <v>712</v>
      </c>
      <c r="C324" s="13" t="s">
        <v>394</v>
      </c>
      <c r="D324" s="13" t="s">
        <v>394</v>
      </c>
      <c r="E324" s="26">
        <v>80702.0</v>
      </c>
      <c r="F324" s="26">
        <v>5178.0</v>
      </c>
      <c r="G324" s="26">
        <v>5222.0</v>
      </c>
      <c r="H324" s="26">
        <v>5267.0</v>
      </c>
      <c r="I324" s="26">
        <v>5400.0</v>
      </c>
      <c r="J324" s="26">
        <v>5445.0</v>
      </c>
      <c r="K324" s="26">
        <v>5489.0</v>
      </c>
      <c r="L324" s="13">
        <v>0.0</v>
      </c>
      <c r="M324" s="13">
        <v>0.0</v>
      </c>
      <c r="N324" s="13">
        <v>0.0</v>
      </c>
      <c r="O324" s="13">
        <v>1.0</v>
      </c>
      <c r="P324" s="13">
        <v>0.0</v>
      </c>
      <c r="Q324" s="13">
        <v>0.0</v>
      </c>
      <c r="R324" s="27">
        <f t="shared" ref="R324:W324" si="325">(L324/F324)*100000</f>
        <v>0</v>
      </c>
      <c r="S324" s="27">
        <f t="shared" si="325"/>
        <v>0</v>
      </c>
      <c r="T324" s="27">
        <f t="shared" si="325"/>
        <v>0</v>
      </c>
      <c r="U324" s="27">
        <f t="shared" si="325"/>
        <v>18.51851852</v>
      </c>
      <c r="V324" s="27">
        <f t="shared" si="325"/>
        <v>0</v>
      </c>
      <c r="W324" s="27">
        <f t="shared" si="325"/>
        <v>0</v>
      </c>
      <c r="X324" s="27">
        <f t="shared" si="3"/>
        <v>0</v>
      </c>
      <c r="Y324" s="27">
        <f t="shared" si="4"/>
        <v>6.172839506</v>
      </c>
    </row>
    <row r="325" ht="14.25" customHeight="1">
      <c r="A325" s="13" t="s">
        <v>702</v>
      </c>
      <c r="B325" s="13" t="s">
        <v>712</v>
      </c>
      <c r="C325" s="13" t="s">
        <v>713</v>
      </c>
      <c r="D325" s="13" t="s">
        <v>713</v>
      </c>
      <c r="E325" s="26">
        <v>80703.0</v>
      </c>
      <c r="F325" s="26">
        <v>1006.0</v>
      </c>
      <c r="G325" s="26">
        <v>1018.0</v>
      </c>
      <c r="H325" s="26">
        <v>1030.0</v>
      </c>
      <c r="I325" s="26">
        <v>1067.0</v>
      </c>
      <c r="J325" s="26">
        <v>1079.0</v>
      </c>
      <c r="K325" s="26">
        <v>1091.0</v>
      </c>
      <c r="L325" s="13">
        <v>0.0</v>
      </c>
      <c r="M325" s="13">
        <v>0.0</v>
      </c>
      <c r="N325" s="13">
        <v>0.0</v>
      </c>
      <c r="O325" s="13">
        <v>0.0</v>
      </c>
      <c r="P325" s="13">
        <v>0.0</v>
      </c>
      <c r="Q325" s="13">
        <v>0.0</v>
      </c>
      <c r="R325" s="27">
        <f t="shared" ref="R325:W325" si="326">(L325/F325)*100000</f>
        <v>0</v>
      </c>
      <c r="S325" s="27">
        <f t="shared" si="326"/>
        <v>0</v>
      </c>
      <c r="T325" s="27">
        <f t="shared" si="326"/>
        <v>0</v>
      </c>
      <c r="U325" s="27">
        <f t="shared" si="326"/>
        <v>0</v>
      </c>
      <c r="V325" s="27">
        <f t="shared" si="326"/>
        <v>0</v>
      </c>
      <c r="W325" s="27">
        <f t="shared" si="326"/>
        <v>0</v>
      </c>
      <c r="X325" s="27">
        <f t="shared" si="3"/>
        <v>0</v>
      </c>
      <c r="Y325" s="27">
        <f t="shared" si="4"/>
        <v>0</v>
      </c>
    </row>
    <row r="326" ht="14.25" customHeight="1">
      <c r="A326" s="13" t="s">
        <v>702</v>
      </c>
      <c r="B326" s="13" t="s">
        <v>714</v>
      </c>
      <c r="C326" s="13" t="s">
        <v>396</v>
      </c>
      <c r="D326" s="13" t="s">
        <v>396</v>
      </c>
      <c r="E326" s="26">
        <v>80801.0</v>
      </c>
      <c r="F326" s="26">
        <v>11964.0</v>
      </c>
      <c r="G326" s="26">
        <v>12081.0</v>
      </c>
      <c r="H326" s="26">
        <v>12198.0</v>
      </c>
      <c r="I326" s="26">
        <v>12550.0</v>
      </c>
      <c r="J326" s="26">
        <v>12668.0</v>
      </c>
      <c r="K326" s="26">
        <v>12785.0</v>
      </c>
      <c r="L326" s="13">
        <v>1.0</v>
      </c>
      <c r="M326" s="13">
        <v>0.0</v>
      </c>
      <c r="N326" s="13">
        <v>0.0</v>
      </c>
      <c r="O326" s="13">
        <v>0.0</v>
      </c>
      <c r="P326" s="13">
        <v>0.0</v>
      </c>
      <c r="Q326" s="13">
        <v>0.0</v>
      </c>
      <c r="R326" s="27">
        <f t="shared" ref="R326:W326" si="327">(L326/F326)*100000</f>
        <v>8.358408559</v>
      </c>
      <c r="S326" s="27">
        <f t="shared" si="327"/>
        <v>0</v>
      </c>
      <c r="T326" s="27">
        <f t="shared" si="327"/>
        <v>0</v>
      </c>
      <c r="U326" s="27">
        <f t="shared" si="327"/>
        <v>0</v>
      </c>
      <c r="V326" s="27">
        <f t="shared" si="327"/>
        <v>0</v>
      </c>
      <c r="W326" s="27">
        <f t="shared" si="327"/>
        <v>0</v>
      </c>
      <c r="X326" s="27">
        <f t="shared" si="3"/>
        <v>2.786136186</v>
      </c>
      <c r="Y326" s="27">
        <f t="shared" si="4"/>
        <v>0</v>
      </c>
    </row>
    <row r="327" ht="14.25" customHeight="1">
      <c r="A327" s="13" t="s">
        <v>702</v>
      </c>
      <c r="B327" s="13" t="s">
        <v>714</v>
      </c>
      <c r="C327" s="13" t="s">
        <v>715</v>
      </c>
      <c r="D327" s="13" t="s">
        <v>715</v>
      </c>
      <c r="E327" s="26">
        <v>80802.0</v>
      </c>
      <c r="F327" s="26">
        <v>6600.0</v>
      </c>
      <c r="G327" s="26">
        <v>6727.0</v>
      </c>
      <c r="H327" s="26">
        <v>6853.0</v>
      </c>
      <c r="I327" s="26">
        <v>7234.0</v>
      </c>
      <c r="J327" s="26">
        <v>7361.0</v>
      </c>
      <c r="K327" s="26">
        <v>7488.0</v>
      </c>
      <c r="L327" s="13">
        <v>0.0</v>
      </c>
      <c r="M327" s="13">
        <v>0.0</v>
      </c>
      <c r="N327" s="13">
        <v>0.0</v>
      </c>
      <c r="O327" s="13">
        <v>0.0</v>
      </c>
      <c r="P327" s="13">
        <v>0.0</v>
      </c>
      <c r="Q327" s="13">
        <v>0.0</v>
      </c>
      <c r="R327" s="27">
        <f t="shared" ref="R327:W327" si="328">(L327/F327)*100000</f>
        <v>0</v>
      </c>
      <c r="S327" s="27">
        <f t="shared" si="328"/>
        <v>0</v>
      </c>
      <c r="T327" s="27">
        <f t="shared" si="328"/>
        <v>0</v>
      </c>
      <c r="U327" s="27">
        <f t="shared" si="328"/>
        <v>0</v>
      </c>
      <c r="V327" s="27">
        <f t="shared" si="328"/>
        <v>0</v>
      </c>
      <c r="W327" s="27">
        <f t="shared" si="328"/>
        <v>0</v>
      </c>
      <c r="X327" s="27">
        <f t="shared" si="3"/>
        <v>0</v>
      </c>
      <c r="Y327" s="27">
        <f t="shared" si="4"/>
        <v>0</v>
      </c>
    </row>
    <row r="328" ht="14.25" customHeight="1">
      <c r="A328" s="13" t="s">
        <v>702</v>
      </c>
      <c r="B328" s="13" t="s">
        <v>714</v>
      </c>
      <c r="C328" s="13" t="s">
        <v>401</v>
      </c>
      <c r="D328" s="13" t="s">
        <v>401</v>
      </c>
      <c r="E328" s="26">
        <v>80803.0</v>
      </c>
      <c r="F328" s="26">
        <v>4327.0</v>
      </c>
      <c r="G328" s="26">
        <v>4371.0</v>
      </c>
      <c r="H328" s="26">
        <v>4414.0</v>
      </c>
      <c r="I328" s="26">
        <v>4544.0</v>
      </c>
      <c r="J328" s="26">
        <v>4587.0</v>
      </c>
      <c r="K328" s="26">
        <v>4630.0</v>
      </c>
      <c r="L328" s="13">
        <v>0.0</v>
      </c>
      <c r="M328" s="13">
        <v>0.0</v>
      </c>
      <c r="N328" s="13">
        <v>0.0</v>
      </c>
      <c r="O328" s="13">
        <v>0.0</v>
      </c>
      <c r="P328" s="13">
        <v>0.0</v>
      </c>
      <c r="Q328" s="13">
        <v>1.0</v>
      </c>
      <c r="R328" s="27">
        <f t="shared" ref="R328:W328" si="329">(L328/F328)*100000</f>
        <v>0</v>
      </c>
      <c r="S328" s="27">
        <f t="shared" si="329"/>
        <v>0</v>
      </c>
      <c r="T328" s="27">
        <f t="shared" si="329"/>
        <v>0</v>
      </c>
      <c r="U328" s="27">
        <f t="shared" si="329"/>
        <v>0</v>
      </c>
      <c r="V328" s="27">
        <f t="shared" si="329"/>
        <v>0</v>
      </c>
      <c r="W328" s="27">
        <f t="shared" si="329"/>
        <v>21.59827214</v>
      </c>
      <c r="X328" s="27">
        <f t="shared" si="3"/>
        <v>0</v>
      </c>
      <c r="Y328" s="27">
        <f t="shared" si="4"/>
        <v>7.199424046</v>
      </c>
    </row>
    <row r="329" ht="14.25" customHeight="1">
      <c r="A329" s="13" t="s">
        <v>702</v>
      </c>
      <c r="B329" s="13" t="s">
        <v>709</v>
      </c>
      <c r="C329" s="13" t="s">
        <v>716</v>
      </c>
      <c r="D329" s="13" t="s">
        <v>716</v>
      </c>
      <c r="E329" s="26">
        <v>80901.0</v>
      </c>
      <c r="F329" s="26">
        <v>3541.0</v>
      </c>
      <c r="G329" s="26">
        <v>3603.0</v>
      </c>
      <c r="H329" s="26">
        <v>3664.0</v>
      </c>
      <c r="I329" s="26">
        <v>3850.0</v>
      </c>
      <c r="J329" s="26">
        <v>3911.0</v>
      </c>
      <c r="K329" s="26">
        <v>3973.0</v>
      </c>
      <c r="L329" s="13">
        <v>0.0</v>
      </c>
      <c r="M329" s="13">
        <v>0.0</v>
      </c>
      <c r="N329" s="13">
        <v>0.0</v>
      </c>
      <c r="O329" s="13">
        <v>0.0</v>
      </c>
      <c r="P329" s="13">
        <v>0.0</v>
      </c>
      <c r="Q329" s="13">
        <v>0.0</v>
      </c>
      <c r="R329" s="27">
        <f t="shared" ref="R329:W329" si="330">(L329/F329)*100000</f>
        <v>0</v>
      </c>
      <c r="S329" s="27">
        <f t="shared" si="330"/>
        <v>0</v>
      </c>
      <c r="T329" s="27">
        <f t="shared" si="330"/>
        <v>0</v>
      </c>
      <c r="U329" s="27">
        <f t="shared" si="330"/>
        <v>0</v>
      </c>
      <c r="V329" s="27">
        <f t="shared" si="330"/>
        <v>0</v>
      </c>
      <c r="W329" s="27">
        <f t="shared" si="330"/>
        <v>0</v>
      </c>
      <c r="X329" s="27">
        <f t="shared" si="3"/>
        <v>0</v>
      </c>
      <c r="Y329" s="27">
        <f t="shared" si="4"/>
        <v>0</v>
      </c>
    </row>
    <row r="330" ht="14.25" customHeight="1">
      <c r="A330" s="13" t="s">
        <v>717</v>
      </c>
      <c r="B330" s="13" t="s">
        <v>718</v>
      </c>
      <c r="C330" s="13" t="s">
        <v>398</v>
      </c>
      <c r="D330" s="13" t="s">
        <v>398</v>
      </c>
      <c r="E330" s="26">
        <v>90101.0</v>
      </c>
      <c r="F330" s="26">
        <v>49953.0</v>
      </c>
      <c r="G330" s="26">
        <v>50691.0</v>
      </c>
      <c r="H330" s="26">
        <v>51428.0</v>
      </c>
      <c r="I330" s="26">
        <v>53640.0</v>
      </c>
      <c r="J330" s="26">
        <v>54377.0</v>
      </c>
      <c r="K330" s="26">
        <v>55114.0</v>
      </c>
      <c r="L330" s="13">
        <v>7.0</v>
      </c>
      <c r="M330" s="13">
        <v>7.0</v>
      </c>
      <c r="N330" s="13">
        <v>13.0</v>
      </c>
      <c r="O330" s="13">
        <v>20.0</v>
      </c>
      <c r="P330" s="13">
        <v>10.0</v>
      </c>
      <c r="Q330" s="13">
        <v>11.0</v>
      </c>
      <c r="R330" s="27">
        <f t="shared" ref="R330:W330" si="331">(L330/F330)*100000</f>
        <v>14.01317238</v>
      </c>
      <c r="S330" s="27">
        <f t="shared" si="331"/>
        <v>13.80915744</v>
      </c>
      <c r="T330" s="27">
        <f t="shared" si="331"/>
        <v>25.27805865</v>
      </c>
      <c r="U330" s="27">
        <f t="shared" si="331"/>
        <v>37.28560776</v>
      </c>
      <c r="V330" s="27">
        <f t="shared" si="331"/>
        <v>18.39012818</v>
      </c>
      <c r="W330" s="27">
        <f t="shared" si="331"/>
        <v>19.9586312</v>
      </c>
      <c r="X330" s="27">
        <f t="shared" si="3"/>
        <v>17.70012949</v>
      </c>
      <c r="Y330" s="27">
        <f t="shared" si="4"/>
        <v>25.21145571</v>
      </c>
    </row>
    <row r="331" ht="14.25" customHeight="1">
      <c r="A331" s="13" t="s">
        <v>717</v>
      </c>
      <c r="B331" s="13" t="s">
        <v>718</v>
      </c>
      <c r="C331" s="13" t="s">
        <v>719</v>
      </c>
      <c r="D331" s="13" t="s">
        <v>719</v>
      </c>
      <c r="E331" s="26">
        <v>90102.0</v>
      </c>
      <c r="F331" s="26">
        <v>8533.0</v>
      </c>
      <c r="G331" s="26">
        <v>8651.0</v>
      </c>
      <c r="H331" s="26">
        <v>8768.0</v>
      </c>
      <c r="I331" s="26">
        <v>9119.0</v>
      </c>
      <c r="J331" s="26">
        <v>9236.0</v>
      </c>
      <c r="K331" s="26">
        <v>9353.0</v>
      </c>
      <c r="L331" s="13">
        <v>0.0</v>
      </c>
      <c r="M331" s="13">
        <v>0.0</v>
      </c>
      <c r="N331" s="13">
        <v>0.0</v>
      </c>
      <c r="O331" s="13">
        <v>0.0</v>
      </c>
      <c r="P331" s="13">
        <v>0.0</v>
      </c>
      <c r="Q331" s="13">
        <v>0.0</v>
      </c>
      <c r="R331" s="27">
        <f t="shared" ref="R331:W331" si="332">(L331/F331)*100000</f>
        <v>0</v>
      </c>
      <c r="S331" s="27">
        <f t="shared" si="332"/>
        <v>0</v>
      </c>
      <c r="T331" s="27">
        <f t="shared" si="332"/>
        <v>0</v>
      </c>
      <c r="U331" s="27">
        <f t="shared" si="332"/>
        <v>0</v>
      </c>
      <c r="V331" s="27">
        <f t="shared" si="332"/>
        <v>0</v>
      </c>
      <c r="W331" s="27">
        <f t="shared" si="332"/>
        <v>0</v>
      </c>
      <c r="X331" s="27">
        <f t="shared" si="3"/>
        <v>0</v>
      </c>
      <c r="Y331" s="27">
        <f t="shared" si="4"/>
        <v>0</v>
      </c>
    </row>
    <row r="332" ht="14.25" customHeight="1">
      <c r="A332" s="13" t="s">
        <v>717</v>
      </c>
      <c r="B332" s="13" t="s">
        <v>718</v>
      </c>
      <c r="C332" s="13" t="s">
        <v>411</v>
      </c>
      <c r="D332" s="13" t="s">
        <v>411</v>
      </c>
      <c r="E332" s="26">
        <v>90103.0</v>
      </c>
      <c r="F332" s="26">
        <v>2283.0</v>
      </c>
      <c r="G332" s="26">
        <v>2305.0</v>
      </c>
      <c r="H332" s="26">
        <v>2327.0</v>
      </c>
      <c r="I332" s="26">
        <v>2393.0</v>
      </c>
      <c r="J332" s="26">
        <v>2415.0</v>
      </c>
      <c r="K332" s="26">
        <v>2437.0</v>
      </c>
      <c r="L332" s="13">
        <v>0.0</v>
      </c>
      <c r="M332" s="13">
        <v>0.0</v>
      </c>
      <c r="N332" s="13">
        <v>0.0</v>
      </c>
      <c r="O332" s="13">
        <v>0.0</v>
      </c>
      <c r="P332" s="13">
        <v>0.0</v>
      </c>
      <c r="Q332" s="13">
        <v>1.0</v>
      </c>
      <c r="R332" s="27">
        <f t="shared" ref="R332:W332" si="333">(L332/F332)*100000</f>
        <v>0</v>
      </c>
      <c r="S332" s="27">
        <f t="shared" si="333"/>
        <v>0</v>
      </c>
      <c r="T332" s="27">
        <f t="shared" si="333"/>
        <v>0</v>
      </c>
      <c r="U332" s="27">
        <f t="shared" si="333"/>
        <v>0</v>
      </c>
      <c r="V332" s="27">
        <f t="shared" si="333"/>
        <v>0</v>
      </c>
      <c r="W332" s="27">
        <f t="shared" si="333"/>
        <v>41.03405827</v>
      </c>
      <c r="X332" s="27">
        <f t="shared" si="3"/>
        <v>0</v>
      </c>
      <c r="Y332" s="27">
        <f t="shared" si="4"/>
        <v>13.67801942</v>
      </c>
    </row>
    <row r="333" ht="14.25" customHeight="1">
      <c r="A333" s="13" t="s">
        <v>717</v>
      </c>
      <c r="B333" s="13" t="s">
        <v>718</v>
      </c>
      <c r="C333" s="13" t="s">
        <v>400</v>
      </c>
      <c r="D333" s="13" t="s">
        <v>400</v>
      </c>
      <c r="E333" s="26">
        <v>90104.0</v>
      </c>
      <c r="F333" s="26">
        <v>3793.0</v>
      </c>
      <c r="G333" s="26">
        <v>3770.0</v>
      </c>
      <c r="H333" s="26">
        <v>3746.0</v>
      </c>
      <c r="I333" s="26">
        <v>3677.0</v>
      </c>
      <c r="J333" s="26">
        <v>3653.0</v>
      </c>
      <c r="K333" s="26">
        <v>3630.0</v>
      </c>
      <c r="L333" s="13">
        <v>0.0</v>
      </c>
      <c r="M333" s="13">
        <v>0.0</v>
      </c>
      <c r="N333" s="13">
        <v>0.0</v>
      </c>
      <c r="O333" s="13">
        <v>1.0</v>
      </c>
      <c r="P333" s="13">
        <v>0.0</v>
      </c>
      <c r="Q333" s="13">
        <v>0.0</v>
      </c>
      <c r="R333" s="27">
        <f t="shared" ref="R333:W333" si="334">(L333/F333)*100000</f>
        <v>0</v>
      </c>
      <c r="S333" s="27">
        <f t="shared" si="334"/>
        <v>0</v>
      </c>
      <c r="T333" s="27">
        <f t="shared" si="334"/>
        <v>0</v>
      </c>
      <c r="U333" s="27">
        <f t="shared" si="334"/>
        <v>27.19608376</v>
      </c>
      <c r="V333" s="27">
        <f t="shared" si="334"/>
        <v>0</v>
      </c>
      <c r="W333" s="27">
        <f t="shared" si="334"/>
        <v>0</v>
      </c>
      <c r="X333" s="27">
        <f t="shared" si="3"/>
        <v>0</v>
      </c>
      <c r="Y333" s="27">
        <f t="shared" si="4"/>
        <v>9.065361255</v>
      </c>
    </row>
    <row r="334" ht="14.25" customHeight="1">
      <c r="A334" s="13" t="s">
        <v>717</v>
      </c>
      <c r="B334" s="13" t="s">
        <v>720</v>
      </c>
      <c r="C334" s="13" t="s">
        <v>403</v>
      </c>
      <c r="D334" s="13" t="s">
        <v>403</v>
      </c>
      <c r="E334" s="26">
        <v>90201.0</v>
      </c>
      <c r="F334" s="26">
        <v>6709.0</v>
      </c>
      <c r="G334" s="26">
        <v>6803.0</v>
      </c>
      <c r="H334" s="26">
        <v>6897.0</v>
      </c>
      <c r="I334" s="26">
        <v>7179.0</v>
      </c>
      <c r="J334" s="26">
        <v>7273.0</v>
      </c>
      <c r="K334" s="26">
        <v>7367.0</v>
      </c>
      <c r="L334" s="13">
        <v>1.0</v>
      </c>
      <c r="M334" s="13">
        <v>0.0</v>
      </c>
      <c r="N334" s="13">
        <v>0.0</v>
      </c>
      <c r="O334" s="13">
        <v>1.0</v>
      </c>
      <c r="P334" s="13">
        <v>0.0</v>
      </c>
      <c r="Q334" s="13">
        <v>0.0</v>
      </c>
      <c r="R334" s="27">
        <f t="shared" ref="R334:W334" si="335">(L334/F334)*100000</f>
        <v>14.90535102</v>
      </c>
      <c r="S334" s="27">
        <f t="shared" si="335"/>
        <v>0</v>
      </c>
      <c r="T334" s="27">
        <f t="shared" si="335"/>
        <v>0</v>
      </c>
      <c r="U334" s="27">
        <f t="shared" si="335"/>
        <v>13.92951665</v>
      </c>
      <c r="V334" s="27">
        <f t="shared" si="335"/>
        <v>0</v>
      </c>
      <c r="W334" s="27">
        <f t="shared" si="335"/>
        <v>0</v>
      </c>
      <c r="X334" s="27">
        <f t="shared" si="3"/>
        <v>4.96845034</v>
      </c>
      <c r="Y334" s="27">
        <f t="shared" si="4"/>
        <v>4.643172215</v>
      </c>
    </row>
    <row r="335" ht="14.25" customHeight="1">
      <c r="A335" s="13" t="s">
        <v>717</v>
      </c>
      <c r="B335" s="13" t="s">
        <v>720</v>
      </c>
      <c r="C335" s="13" t="s">
        <v>374</v>
      </c>
      <c r="D335" s="13" t="s">
        <v>374</v>
      </c>
      <c r="E335" s="26">
        <v>90202.0</v>
      </c>
      <c r="F335" s="26">
        <v>3211.0</v>
      </c>
      <c r="G335" s="26">
        <v>3255.0</v>
      </c>
      <c r="H335" s="26">
        <v>3298.0</v>
      </c>
      <c r="I335" s="26">
        <v>3430.0</v>
      </c>
      <c r="J335" s="26">
        <v>3474.0</v>
      </c>
      <c r="K335" s="26">
        <v>3518.0</v>
      </c>
      <c r="L335" s="13">
        <v>0.0</v>
      </c>
      <c r="M335" s="13">
        <v>0.0</v>
      </c>
      <c r="N335" s="13">
        <v>0.0</v>
      </c>
      <c r="O335" s="13">
        <v>0.0</v>
      </c>
      <c r="P335" s="13">
        <v>0.0</v>
      </c>
      <c r="Q335" s="13">
        <v>0.0</v>
      </c>
      <c r="R335" s="27">
        <f t="shared" ref="R335:W335" si="336">(L335/F335)*100000</f>
        <v>0</v>
      </c>
      <c r="S335" s="27">
        <f t="shared" si="336"/>
        <v>0</v>
      </c>
      <c r="T335" s="27">
        <f t="shared" si="336"/>
        <v>0</v>
      </c>
      <c r="U335" s="27">
        <f t="shared" si="336"/>
        <v>0</v>
      </c>
      <c r="V335" s="27">
        <f t="shared" si="336"/>
        <v>0</v>
      </c>
      <c r="W335" s="27">
        <f t="shared" si="336"/>
        <v>0</v>
      </c>
      <c r="X335" s="27">
        <f t="shared" si="3"/>
        <v>0</v>
      </c>
      <c r="Y335" s="27">
        <f t="shared" si="4"/>
        <v>0</v>
      </c>
    </row>
    <row r="336" ht="14.25" customHeight="1">
      <c r="A336" s="13" t="s">
        <v>717</v>
      </c>
      <c r="B336" s="13" t="s">
        <v>720</v>
      </c>
      <c r="C336" s="13" t="s">
        <v>721</v>
      </c>
      <c r="D336" s="13" t="s">
        <v>721</v>
      </c>
      <c r="E336" s="26">
        <v>90203.0</v>
      </c>
      <c r="F336" s="26">
        <v>6710.0</v>
      </c>
      <c r="G336" s="26">
        <v>6901.0</v>
      </c>
      <c r="H336" s="26">
        <v>7091.0</v>
      </c>
      <c r="I336" s="26">
        <v>7664.0</v>
      </c>
      <c r="J336" s="26">
        <v>7854.0</v>
      </c>
      <c r="K336" s="26">
        <v>8045.0</v>
      </c>
      <c r="L336" s="13">
        <v>0.0</v>
      </c>
      <c r="M336" s="13">
        <v>0.0</v>
      </c>
      <c r="N336" s="13">
        <v>0.0</v>
      </c>
      <c r="O336" s="13">
        <v>0.0</v>
      </c>
      <c r="P336" s="13">
        <v>0.0</v>
      </c>
      <c r="Q336" s="13">
        <v>0.0</v>
      </c>
      <c r="R336" s="27">
        <f t="shared" ref="R336:W336" si="337">(L336/F336)*100000</f>
        <v>0</v>
      </c>
      <c r="S336" s="27">
        <f t="shared" si="337"/>
        <v>0</v>
      </c>
      <c r="T336" s="27">
        <f t="shared" si="337"/>
        <v>0</v>
      </c>
      <c r="U336" s="27">
        <f t="shared" si="337"/>
        <v>0</v>
      </c>
      <c r="V336" s="27">
        <f t="shared" si="337"/>
        <v>0</v>
      </c>
      <c r="W336" s="27">
        <f t="shared" si="337"/>
        <v>0</v>
      </c>
      <c r="X336" s="27">
        <f t="shared" si="3"/>
        <v>0</v>
      </c>
      <c r="Y336" s="27">
        <f t="shared" si="4"/>
        <v>0</v>
      </c>
    </row>
    <row r="337" ht="14.25" customHeight="1">
      <c r="A337" s="13" t="s">
        <v>717</v>
      </c>
      <c r="B337" s="13" t="s">
        <v>722</v>
      </c>
      <c r="C337" s="13" t="s">
        <v>723</v>
      </c>
      <c r="D337" s="13" t="s">
        <v>723</v>
      </c>
      <c r="E337" s="26">
        <v>90301.0</v>
      </c>
      <c r="F337" s="26">
        <v>9940.0</v>
      </c>
      <c r="G337" s="26">
        <v>10296.0</v>
      </c>
      <c r="H337" s="26">
        <v>10651.0</v>
      </c>
      <c r="I337" s="26">
        <v>11719.0</v>
      </c>
      <c r="J337" s="26">
        <v>12075.0</v>
      </c>
      <c r="K337" s="26">
        <v>12431.0</v>
      </c>
      <c r="L337" s="13">
        <v>0.0</v>
      </c>
      <c r="M337" s="13">
        <v>0.0</v>
      </c>
      <c r="N337" s="13">
        <v>0.0</v>
      </c>
      <c r="O337" s="13">
        <v>0.0</v>
      </c>
      <c r="P337" s="13">
        <v>0.0</v>
      </c>
      <c r="Q337" s="13">
        <v>0.0</v>
      </c>
      <c r="R337" s="27">
        <f t="shared" ref="R337:W337" si="338">(L337/F337)*100000</f>
        <v>0</v>
      </c>
      <c r="S337" s="27">
        <f t="shared" si="338"/>
        <v>0</v>
      </c>
      <c r="T337" s="27">
        <f t="shared" si="338"/>
        <v>0</v>
      </c>
      <c r="U337" s="27">
        <f t="shared" si="338"/>
        <v>0</v>
      </c>
      <c r="V337" s="27">
        <f t="shared" si="338"/>
        <v>0</v>
      </c>
      <c r="W337" s="27">
        <f t="shared" si="338"/>
        <v>0</v>
      </c>
      <c r="X337" s="27">
        <f t="shared" si="3"/>
        <v>0</v>
      </c>
      <c r="Y337" s="27">
        <f t="shared" si="4"/>
        <v>0</v>
      </c>
    </row>
    <row r="338" ht="14.25" customHeight="1">
      <c r="A338" s="13" t="s">
        <v>717</v>
      </c>
      <c r="B338" s="13" t="s">
        <v>722</v>
      </c>
      <c r="C338" s="13" t="s">
        <v>406</v>
      </c>
      <c r="D338" s="13" t="s">
        <v>406</v>
      </c>
      <c r="E338" s="26">
        <v>90302.0</v>
      </c>
      <c r="F338" s="26">
        <v>8560.0</v>
      </c>
      <c r="G338" s="26">
        <v>8742.0</v>
      </c>
      <c r="H338" s="26">
        <v>8924.0</v>
      </c>
      <c r="I338" s="26">
        <v>9469.0</v>
      </c>
      <c r="J338" s="26">
        <v>9650.0</v>
      </c>
      <c r="K338" s="26">
        <v>9832.0</v>
      </c>
      <c r="L338" s="13">
        <v>0.0</v>
      </c>
      <c r="M338" s="13">
        <v>0.0</v>
      </c>
      <c r="N338" s="13">
        <v>0.0</v>
      </c>
      <c r="O338" s="13">
        <v>1.0</v>
      </c>
      <c r="P338" s="13">
        <v>0.0</v>
      </c>
      <c r="Q338" s="13">
        <v>0.0</v>
      </c>
      <c r="R338" s="27">
        <f t="shared" ref="R338:W338" si="339">(L338/F338)*100000</f>
        <v>0</v>
      </c>
      <c r="S338" s="27">
        <f t="shared" si="339"/>
        <v>0</v>
      </c>
      <c r="T338" s="27">
        <f t="shared" si="339"/>
        <v>0</v>
      </c>
      <c r="U338" s="27">
        <f t="shared" si="339"/>
        <v>10.56077727</v>
      </c>
      <c r="V338" s="27">
        <f t="shared" si="339"/>
        <v>0</v>
      </c>
      <c r="W338" s="27">
        <f t="shared" si="339"/>
        <v>0</v>
      </c>
      <c r="X338" s="27">
        <f t="shared" si="3"/>
        <v>0</v>
      </c>
      <c r="Y338" s="27">
        <f t="shared" si="4"/>
        <v>3.520259091</v>
      </c>
    </row>
    <row r="339" ht="14.25" customHeight="1">
      <c r="A339" s="13" t="s">
        <v>717</v>
      </c>
      <c r="B339" s="13" t="s">
        <v>722</v>
      </c>
      <c r="C339" s="13" t="s">
        <v>724</v>
      </c>
      <c r="D339" s="13" t="s">
        <v>724</v>
      </c>
      <c r="E339" s="26">
        <v>90303.0</v>
      </c>
      <c r="F339" s="26">
        <v>9201.0</v>
      </c>
      <c r="G339" s="26">
        <v>9390.0</v>
      </c>
      <c r="H339" s="26">
        <v>9579.0</v>
      </c>
      <c r="I339" s="26">
        <v>10145.0</v>
      </c>
      <c r="J339" s="26">
        <v>10333.0</v>
      </c>
      <c r="K339" s="26">
        <v>10522.0</v>
      </c>
      <c r="L339" s="13">
        <v>0.0</v>
      </c>
      <c r="M339" s="13">
        <v>0.0</v>
      </c>
      <c r="N339" s="13">
        <v>0.0</v>
      </c>
      <c r="O339" s="13">
        <v>2.0</v>
      </c>
      <c r="P339" s="13">
        <v>0.0</v>
      </c>
      <c r="Q339" s="13">
        <v>0.0</v>
      </c>
      <c r="R339" s="27">
        <f t="shared" ref="R339:W339" si="340">(L339/F339)*100000</f>
        <v>0</v>
      </c>
      <c r="S339" s="27">
        <f t="shared" si="340"/>
        <v>0</v>
      </c>
      <c r="T339" s="27">
        <f t="shared" si="340"/>
        <v>0</v>
      </c>
      <c r="U339" s="27">
        <f t="shared" si="340"/>
        <v>19.7141449</v>
      </c>
      <c r="V339" s="27">
        <f t="shared" si="340"/>
        <v>0</v>
      </c>
      <c r="W339" s="27">
        <f t="shared" si="340"/>
        <v>0</v>
      </c>
      <c r="X339" s="27">
        <f t="shared" si="3"/>
        <v>0</v>
      </c>
      <c r="Y339" s="27">
        <f t="shared" si="4"/>
        <v>6.571381633</v>
      </c>
    </row>
    <row r="340" ht="14.25" customHeight="1">
      <c r="A340" s="13" t="s">
        <v>717</v>
      </c>
      <c r="B340" s="13" t="s">
        <v>725</v>
      </c>
      <c r="C340" s="13" t="s">
        <v>404</v>
      </c>
      <c r="D340" s="13" t="s">
        <v>404</v>
      </c>
      <c r="E340" s="26">
        <v>90401.0</v>
      </c>
      <c r="F340" s="26">
        <v>2601.0</v>
      </c>
      <c r="G340" s="26">
        <v>2642.0</v>
      </c>
      <c r="H340" s="26">
        <v>2683.0</v>
      </c>
      <c r="I340" s="26">
        <v>2807.0</v>
      </c>
      <c r="J340" s="26">
        <v>2848.0</v>
      </c>
      <c r="K340" s="26">
        <v>2889.0</v>
      </c>
      <c r="L340" s="13">
        <v>0.0</v>
      </c>
      <c r="M340" s="13">
        <v>0.0</v>
      </c>
      <c r="N340" s="13">
        <v>0.0</v>
      </c>
      <c r="O340" s="13">
        <v>0.0</v>
      </c>
      <c r="P340" s="13">
        <v>0.0</v>
      </c>
      <c r="Q340" s="13">
        <v>0.0</v>
      </c>
      <c r="R340" s="27">
        <f t="shared" ref="R340:W340" si="341">(L340/F340)*100000</f>
        <v>0</v>
      </c>
      <c r="S340" s="27">
        <f t="shared" si="341"/>
        <v>0</v>
      </c>
      <c r="T340" s="27">
        <f t="shared" si="341"/>
        <v>0</v>
      </c>
      <c r="U340" s="27">
        <f t="shared" si="341"/>
        <v>0</v>
      </c>
      <c r="V340" s="27">
        <f t="shared" si="341"/>
        <v>0</v>
      </c>
      <c r="W340" s="27">
        <f t="shared" si="341"/>
        <v>0</v>
      </c>
      <c r="X340" s="27">
        <f t="shared" si="3"/>
        <v>0</v>
      </c>
      <c r="Y340" s="27">
        <f t="shared" si="4"/>
        <v>0</v>
      </c>
    </row>
    <row r="341" ht="14.25" customHeight="1">
      <c r="A341" s="13" t="s">
        <v>717</v>
      </c>
      <c r="B341" s="13" t="s">
        <v>725</v>
      </c>
      <c r="C341" s="13" t="s">
        <v>499</v>
      </c>
      <c r="D341" s="13" t="s">
        <v>499</v>
      </c>
      <c r="E341" s="26">
        <v>90402.0</v>
      </c>
      <c r="F341" s="26">
        <v>2048.0</v>
      </c>
      <c r="G341" s="26">
        <v>2127.0</v>
      </c>
      <c r="H341" s="26">
        <v>2206.0</v>
      </c>
      <c r="I341" s="26">
        <v>2442.0</v>
      </c>
      <c r="J341" s="26">
        <v>2521.0</v>
      </c>
      <c r="K341" s="26">
        <v>2600.0</v>
      </c>
      <c r="L341" s="13">
        <v>0.0</v>
      </c>
      <c r="M341" s="13">
        <v>0.0</v>
      </c>
      <c r="N341" s="13">
        <v>0.0</v>
      </c>
      <c r="O341" s="13">
        <v>0.0</v>
      </c>
      <c r="P341" s="13">
        <v>0.0</v>
      </c>
      <c r="Q341" s="13">
        <v>0.0</v>
      </c>
      <c r="R341" s="27">
        <f t="shared" ref="R341:W341" si="342">(L341/F341)*100000</f>
        <v>0</v>
      </c>
      <c r="S341" s="27">
        <f t="shared" si="342"/>
        <v>0</v>
      </c>
      <c r="T341" s="27">
        <f t="shared" si="342"/>
        <v>0</v>
      </c>
      <c r="U341" s="27">
        <f t="shared" si="342"/>
        <v>0</v>
      </c>
      <c r="V341" s="27">
        <f t="shared" si="342"/>
        <v>0</v>
      </c>
      <c r="W341" s="27">
        <f t="shared" si="342"/>
        <v>0</v>
      </c>
      <c r="X341" s="27">
        <f t="shared" si="3"/>
        <v>0</v>
      </c>
      <c r="Y341" s="27">
        <f t="shared" si="4"/>
        <v>0</v>
      </c>
    </row>
    <row r="342" ht="14.25" customHeight="1">
      <c r="A342" s="13" t="s">
        <v>717</v>
      </c>
      <c r="B342" s="13" t="s">
        <v>726</v>
      </c>
      <c r="C342" s="13" t="s">
        <v>727</v>
      </c>
      <c r="D342" s="13" t="s">
        <v>727</v>
      </c>
      <c r="E342" s="26">
        <v>90501.0</v>
      </c>
      <c r="F342" s="26">
        <v>1872.0</v>
      </c>
      <c r="G342" s="26">
        <v>1833.0</v>
      </c>
      <c r="H342" s="26">
        <v>1794.0</v>
      </c>
      <c r="I342" s="26">
        <v>1676.0</v>
      </c>
      <c r="J342" s="26">
        <v>1637.0</v>
      </c>
      <c r="K342" s="26">
        <v>1598.0</v>
      </c>
      <c r="L342" s="13">
        <v>0.0</v>
      </c>
      <c r="M342" s="13">
        <v>0.0</v>
      </c>
      <c r="N342" s="13">
        <v>0.0</v>
      </c>
      <c r="O342" s="13">
        <v>0.0</v>
      </c>
      <c r="P342" s="13">
        <v>0.0</v>
      </c>
      <c r="Q342" s="13">
        <v>0.0</v>
      </c>
      <c r="R342" s="27">
        <f t="shared" ref="R342:W342" si="343">(L342/F342)*100000</f>
        <v>0</v>
      </c>
      <c r="S342" s="27">
        <f t="shared" si="343"/>
        <v>0</v>
      </c>
      <c r="T342" s="27">
        <f t="shared" si="343"/>
        <v>0</v>
      </c>
      <c r="U342" s="27">
        <f t="shared" si="343"/>
        <v>0</v>
      </c>
      <c r="V342" s="27">
        <f t="shared" si="343"/>
        <v>0</v>
      </c>
      <c r="W342" s="27">
        <f t="shared" si="343"/>
        <v>0</v>
      </c>
      <c r="X342" s="27">
        <f t="shared" si="3"/>
        <v>0</v>
      </c>
      <c r="Y342" s="27">
        <f t="shared" si="4"/>
        <v>0</v>
      </c>
    </row>
    <row r="343" ht="14.25" customHeight="1">
      <c r="A343" s="13" t="s">
        <v>717</v>
      </c>
      <c r="B343" s="13" t="s">
        <v>726</v>
      </c>
      <c r="C343" s="13" t="s">
        <v>728</v>
      </c>
      <c r="D343" s="13" t="s">
        <v>729</v>
      </c>
      <c r="E343" s="26">
        <v>90502.0</v>
      </c>
      <c r="F343" s="26">
        <v>2680.0</v>
      </c>
      <c r="G343" s="26">
        <v>2656.0</v>
      </c>
      <c r="H343" s="26">
        <v>2632.0</v>
      </c>
      <c r="I343" s="26">
        <v>2559.0</v>
      </c>
      <c r="J343" s="26">
        <v>2535.0</v>
      </c>
      <c r="K343" s="26">
        <v>2511.0</v>
      </c>
      <c r="L343" s="13">
        <v>0.0</v>
      </c>
      <c r="M343" s="13">
        <v>0.0</v>
      </c>
      <c r="N343" s="13">
        <v>0.0</v>
      </c>
      <c r="O343" s="13">
        <v>0.0</v>
      </c>
      <c r="P343" s="13">
        <v>0.0</v>
      </c>
      <c r="Q343" s="13">
        <v>0.0</v>
      </c>
      <c r="R343" s="27">
        <f t="shared" ref="R343:W343" si="344">(L343/F343)*100000</f>
        <v>0</v>
      </c>
      <c r="S343" s="27">
        <f t="shared" si="344"/>
        <v>0</v>
      </c>
      <c r="T343" s="27">
        <f t="shared" si="344"/>
        <v>0</v>
      </c>
      <c r="U343" s="27">
        <f t="shared" si="344"/>
        <v>0</v>
      </c>
      <c r="V343" s="27">
        <f t="shared" si="344"/>
        <v>0</v>
      </c>
      <c r="W343" s="27">
        <f t="shared" si="344"/>
        <v>0</v>
      </c>
      <c r="X343" s="27">
        <f t="shared" si="3"/>
        <v>0</v>
      </c>
      <c r="Y343" s="27">
        <f t="shared" si="4"/>
        <v>0</v>
      </c>
    </row>
    <row r="344" ht="14.25" customHeight="1">
      <c r="A344" s="13" t="s">
        <v>717</v>
      </c>
      <c r="B344" s="13" t="s">
        <v>726</v>
      </c>
      <c r="C344" s="13" t="s">
        <v>730</v>
      </c>
      <c r="D344" s="13" t="s">
        <v>730</v>
      </c>
      <c r="E344" s="26">
        <v>90503.0</v>
      </c>
      <c r="F344" s="26">
        <v>2241.0</v>
      </c>
      <c r="G344" s="26">
        <v>2256.0</v>
      </c>
      <c r="H344" s="26">
        <v>2271.0</v>
      </c>
      <c r="I344" s="26">
        <v>2317.0</v>
      </c>
      <c r="J344" s="26">
        <v>2332.0</v>
      </c>
      <c r="K344" s="26">
        <v>2347.0</v>
      </c>
      <c r="L344" s="13">
        <v>0.0</v>
      </c>
      <c r="M344" s="13">
        <v>0.0</v>
      </c>
      <c r="N344" s="13">
        <v>0.0</v>
      </c>
      <c r="O344" s="13">
        <v>0.0</v>
      </c>
      <c r="P344" s="13">
        <v>0.0</v>
      </c>
      <c r="Q344" s="13">
        <v>0.0</v>
      </c>
      <c r="R344" s="27">
        <f t="shared" ref="R344:W344" si="345">(L344/F344)*100000</f>
        <v>0</v>
      </c>
      <c r="S344" s="27">
        <f t="shared" si="345"/>
        <v>0</v>
      </c>
      <c r="T344" s="27">
        <f t="shared" si="345"/>
        <v>0</v>
      </c>
      <c r="U344" s="27">
        <f t="shared" si="345"/>
        <v>0</v>
      </c>
      <c r="V344" s="27">
        <f t="shared" si="345"/>
        <v>0</v>
      </c>
      <c r="W344" s="27">
        <f t="shared" si="345"/>
        <v>0</v>
      </c>
      <c r="X344" s="27">
        <f t="shared" si="3"/>
        <v>0</v>
      </c>
      <c r="Y344" s="27">
        <f t="shared" si="4"/>
        <v>0</v>
      </c>
    </row>
    <row r="345" ht="14.25" customHeight="1"/>
    <row r="346" ht="14.25" customHeight="1">
      <c r="W346" s="28" t="s">
        <v>731</v>
      </c>
      <c r="X346" s="29">
        <f>AVERAGE(X2:X344)</f>
        <v>2.347568456</v>
      </c>
      <c r="Y346" s="28" t="s">
        <v>732</v>
      </c>
      <c r="Z346" s="28">
        <f>X347/4</f>
        <v>1.041512465</v>
      </c>
    </row>
    <row r="347" ht="14.25" customHeight="1">
      <c r="W347" s="28" t="s">
        <v>733</v>
      </c>
      <c r="X347" s="29">
        <f>STDEVA(X2:X344)</f>
        <v>4.16604986</v>
      </c>
      <c r="Y347" s="28" t="s">
        <v>734</v>
      </c>
      <c r="Z347" s="29">
        <f>X346-Z346</f>
        <v>1.306055991</v>
      </c>
    </row>
    <row r="348" ht="14.25" customHeight="1">
      <c r="W348" s="28" t="s">
        <v>735</v>
      </c>
      <c r="X348" s="29">
        <f>MAX(X2:X344)</f>
        <v>26.7233655</v>
      </c>
      <c r="Y348" s="28" t="s">
        <v>736</v>
      </c>
      <c r="Z348" s="29">
        <f>X346+Z346</f>
        <v>3.389080921</v>
      </c>
    </row>
    <row r="349" ht="14.25" customHeight="1"/>
    <row r="350" ht="14.25" customHeight="1">
      <c r="W350" s="28" t="s">
        <v>737</v>
      </c>
      <c r="X350" s="28" t="s">
        <v>738</v>
      </c>
      <c r="Y350" s="28" t="s">
        <v>739</v>
      </c>
      <c r="Z350" s="28" t="s">
        <v>740</v>
      </c>
    </row>
    <row r="351" ht="14.25" customHeight="1">
      <c r="W351" s="28" t="s">
        <v>741</v>
      </c>
      <c r="X351" s="28" t="s">
        <v>742</v>
      </c>
      <c r="Y351" s="28" t="s">
        <v>743</v>
      </c>
      <c r="Z351" s="28" t="s">
        <v>744</v>
      </c>
    </row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43"/>
    <col customWidth="1" min="3" max="4" width="24.29"/>
    <col customWidth="1" min="5" max="26" width="10.71"/>
  </cols>
  <sheetData>
    <row r="1" ht="14.25" customHeight="1">
      <c r="A1" s="30" t="s">
        <v>745</v>
      </c>
      <c r="B1" s="30" t="s">
        <v>419</v>
      </c>
      <c r="C1" s="31" t="s">
        <v>440</v>
      </c>
      <c r="D1" s="31" t="s">
        <v>441</v>
      </c>
    </row>
    <row r="2" ht="14.25" customHeight="1">
      <c r="A2" s="26">
        <v>10101.0</v>
      </c>
      <c r="B2" s="13" t="s">
        <v>15</v>
      </c>
      <c r="C2" s="27">
        <v>5.266344119955585</v>
      </c>
      <c r="D2" s="27">
        <v>2.2747908592617554</v>
      </c>
    </row>
    <row r="3" ht="14.25" customHeight="1">
      <c r="A3" s="26">
        <v>10102.0</v>
      </c>
      <c r="B3" s="13" t="s">
        <v>17</v>
      </c>
      <c r="C3" s="27">
        <v>0.0</v>
      </c>
      <c r="D3" s="27">
        <v>3.5880875493362043</v>
      </c>
    </row>
    <row r="4" ht="14.25" customHeight="1">
      <c r="A4" s="26">
        <v>10103.0</v>
      </c>
      <c r="B4" s="13" t="s">
        <v>20</v>
      </c>
      <c r="C4" s="27">
        <v>4.383065941890075</v>
      </c>
      <c r="D4" s="27">
        <v>2.359046945034206</v>
      </c>
    </row>
    <row r="5" ht="14.25" customHeight="1">
      <c r="A5" s="26">
        <v>10201.0</v>
      </c>
      <c r="B5" s="13" t="s">
        <v>445</v>
      </c>
      <c r="C5" s="27">
        <v>0.0</v>
      </c>
      <c r="D5" s="27">
        <v>0.0</v>
      </c>
    </row>
    <row r="6" ht="14.25" customHeight="1">
      <c r="A6" s="26">
        <v>10202.0</v>
      </c>
      <c r="B6" s="13" t="s">
        <v>42</v>
      </c>
      <c r="C6" s="27">
        <v>0.0</v>
      </c>
      <c r="D6" s="27">
        <v>0.0</v>
      </c>
    </row>
    <row r="7" ht="14.25" customHeight="1">
      <c r="A7" s="26">
        <v>10301.0</v>
      </c>
      <c r="B7" s="13" t="s">
        <v>448</v>
      </c>
      <c r="C7" s="27">
        <v>0.0</v>
      </c>
      <c r="D7" s="27">
        <v>0.0</v>
      </c>
    </row>
    <row r="8" ht="14.25" customHeight="1">
      <c r="A8" s="26">
        <v>10302.0</v>
      </c>
      <c r="B8" s="13" t="s">
        <v>450</v>
      </c>
      <c r="C8" s="27">
        <v>0.0</v>
      </c>
      <c r="D8" s="27">
        <v>0.0</v>
      </c>
    </row>
    <row r="9" ht="14.25" customHeight="1">
      <c r="A9" s="26">
        <v>10303.0</v>
      </c>
      <c r="B9" s="13" t="s">
        <v>451</v>
      </c>
      <c r="C9" s="27">
        <v>0.0</v>
      </c>
      <c r="D9" s="27">
        <v>0.0</v>
      </c>
    </row>
    <row r="10" ht="14.25" customHeight="1">
      <c r="A10" s="26">
        <v>10304.0</v>
      </c>
      <c r="B10" s="13" t="s">
        <v>453</v>
      </c>
      <c r="C10" s="27">
        <v>0.0</v>
      </c>
      <c r="D10" s="27">
        <v>0.0</v>
      </c>
    </row>
    <row r="11" ht="14.25" customHeight="1">
      <c r="A11" s="26">
        <v>10401.0</v>
      </c>
      <c r="B11" s="13" t="s">
        <v>23</v>
      </c>
      <c r="C11" s="27">
        <v>3.4055305816646233</v>
      </c>
      <c r="D11" s="27">
        <v>3.626341746446185</v>
      </c>
    </row>
    <row r="12" ht="14.25" customHeight="1">
      <c r="A12" s="26">
        <v>10402.0</v>
      </c>
      <c r="B12" s="13" t="s">
        <v>454</v>
      </c>
      <c r="C12" s="27">
        <v>0.0</v>
      </c>
      <c r="D12" s="27">
        <v>0.0</v>
      </c>
    </row>
    <row r="13" ht="14.25" customHeight="1">
      <c r="A13" s="26">
        <v>10403.0</v>
      </c>
      <c r="B13" s="13" t="s">
        <v>26</v>
      </c>
      <c r="C13" s="27">
        <v>0.0</v>
      </c>
      <c r="D13" s="27">
        <v>0.0</v>
      </c>
    </row>
    <row r="14" ht="14.25" customHeight="1">
      <c r="A14" s="26">
        <v>10404.0</v>
      </c>
      <c r="B14" s="13" t="s">
        <v>457</v>
      </c>
      <c r="C14" s="27">
        <v>0.0</v>
      </c>
      <c r="D14" s="27">
        <v>0.0</v>
      </c>
    </row>
    <row r="15" ht="14.25" customHeight="1">
      <c r="A15" s="26">
        <v>10405.0</v>
      </c>
      <c r="B15" s="13" t="s">
        <v>459</v>
      </c>
      <c r="C15" s="27">
        <v>0.0</v>
      </c>
      <c r="D15" s="27">
        <v>0.0</v>
      </c>
    </row>
    <row r="16" ht="14.25" customHeight="1">
      <c r="A16" s="26">
        <v>10501.0</v>
      </c>
      <c r="B16" s="13" t="s">
        <v>18</v>
      </c>
      <c r="C16" s="27">
        <v>1.3658963011528165</v>
      </c>
      <c r="D16" s="27">
        <v>2.719313010224331</v>
      </c>
    </row>
    <row r="17" ht="14.25" customHeight="1">
      <c r="A17" s="26">
        <v>10502.0</v>
      </c>
      <c r="B17" s="13" t="s">
        <v>461</v>
      </c>
      <c r="C17" s="27">
        <v>0.0</v>
      </c>
      <c r="D17" s="27">
        <v>0.0</v>
      </c>
    </row>
    <row r="18" ht="14.25" customHeight="1">
      <c r="A18" s="26">
        <v>10601.0</v>
      </c>
      <c r="B18" s="13" t="s">
        <v>462</v>
      </c>
      <c r="C18" s="27">
        <v>0.0</v>
      </c>
      <c r="D18" s="27">
        <v>0.0</v>
      </c>
    </row>
    <row r="19" ht="14.25" customHeight="1">
      <c r="A19" s="26">
        <v>10602.0</v>
      </c>
      <c r="B19" s="13" t="s">
        <v>37</v>
      </c>
      <c r="C19" s="27">
        <v>0.0</v>
      </c>
      <c r="D19" s="27">
        <v>3.9308176100628933</v>
      </c>
    </row>
    <row r="20" ht="14.25" customHeight="1">
      <c r="A20" s="26">
        <v>10701.0</v>
      </c>
      <c r="B20" s="13" t="s">
        <v>24</v>
      </c>
      <c r="C20" s="27">
        <v>4.369865408145429</v>
      </c>
      <c r="D20" s="27">
        <v>4.507521525217164</v>
      </c>
    </row>
    <row r="21" ht="14.25" customHeight="1">
      <c r="A21" s="26">
        <v>10702.0</v>
      </c>
      <c r="B21" s="13" t="s">
        <v>21</v>
      </c>
      <c r="C21" s="27">
        <v>1.1073829219405777</v>
      </c>
      <c r="D21" s="27">
        <v>2.4296436704434883</v>
      </c>
    </row>
    <row r="22" ht="14.25" customHeight="1">
      <c r="A22" s="26">
        <v>10703.0</v>
      </c>
      <c r="B22" s="13" t="s">
        <v>31</v>
      </c>
      <c r="C22" s="27">
        <v>0.0</v>
      </c>
      <c r="D22" s="27">
        <v>4.044325810887325</v>
      </c>
    </row>
    <row r="23" ht="14.25" customHeight="1">
      <c r="A23" s="26">
        <v>10704.0</v>
      </c>
      <c r="B23" s="13" t="s">
        <v>36</v>
      </c>
      <c r="C23" s="27">
        <v>0.0</v>
      </c>
      <c r="D23" s="27">
        <v>2.308722353049822</v>
      </c>
    </row>
    <row r="24" ht="14.25" customHeight="1">
      <c r="A24" s="26">
        <v>10801.0</v>
      </c>
      <c r="B24" s="13" t="s">
        <v>465</v>
      </c>
      <c r="C24" s="27">
        <v>0.0</v>
      </c>
      <c r="D24" s="27">
        <v>0.0</v>
      </c>
    </row>
    <row r="25" ht="14.25" customHeight="1">
      <c r="A25" s="26">
        <v>10901.0</v>
      </c>
      <c r="B25" s="13" t="s">
        <v>467</v>
      </c>
      <c r="C25" s="27">
        <v>0.0</v>
      </c>
      <c r="D25" s="27">
        <v>0.0</v>
      </c>
    </row>
    <row r="26" ht="14.25" customHeight="1">
      <c r="A26" s="26">
        <v>10902.0</v>
      </c>
      <c r="B26" s="13" t="s">
        <v>28</v>
      </c>
      <c r="C26" s="27">
        <v>0.0</v>
      </c>
      <c r="D26" s="27">
        <v>0.0</v>
      </c>
    </row>
    <row r="27" ht="14.25" customHeight="1">
      <c r="A27" s="26">
        <v>10903.0</v>
      </c>
      <c r="B27" s="13" t="s">
        <v>468</v>
      </c>
      <c r="C27" s="27">
        <v>0.0</v>
      </c>
      <c r="D27" s="27">
        <v>0.0</v>
      </c>
    </row>
    <row r="28" ht="14.25" customHeight="1">
      <c r="A28" s="26">
        <v>11001.0</v>
      </c>
      <c r="B28" s="13" t="s">
        <v>470</v>
      </c>
      <c r="C28" s="27">
        <v>0.0</v>
      </c>
      <c r="D28" s="27">
        <v>0.0</v>
      </c>
    </row>
    <row r="29" ht="14.25" customHeight="1">
      <c r="A29" s="26">
        <v>11002.0</v>
      </c>
      <c r="B29" s="13" t="s">
        <v>471</v>
      </c>
      <c r="C29" s="27">
        <v>0.0</v>
      </c>
      <c r="D29" s="27">
        <v>0.0</v>
      </c>
    </row>
    <row r="30" ht="14.25" customHeight="1">
      <c r="A30" s="26">
        <v>11003.0</v>
      </c>
      <c r="B30" s="13" t="s">
        <v>33</v>
      </c>
      <c r="C30" s="27">
        <v>0.0</v>
      </c>
      <c r="D30" s="27">
        <v>9.175153683824204</v>
      </c>
    </row>
    <row r="31" ht="14.25" customHeight="1">
      <c r="A31" s="26">
        <v>20101.0</v>
      </c>
      <c r="B31" s="13" t="s">
        <v>475</v>
      </c>
      <c r="C31" s="27">
        <v>5.991758180033188</v>
      </c>
      <c r="D31" s="27">
        <v>2.461501229136052</v>
      </c>
    </row>
    <row r="32" ht="14.25" customHeight="1">
      <c r="A32" s="26">
        <v>20102.0</v>
      </c>
      <c r="B32" s="13" t="s">
        <v>44</v>
      </c>
      <c r="C32" s="27">
        <v>1.738283966068697</v>
      </c>
      <c r="D32" s="27">
        <v>0.0</v>
      </c>
    </row>
    <row r="33" ht="14.25" customHeight="1">
      <c r="A33" s="26">
        <v>20103.0</v>
      </c>
      <c r="B33" s="13" t="s">
        <v>46</v>
      </c>
      <c r="C33" s="27">
        <v>1.8772996921228504</v>
      </c>
      <c r="D33" s="27">
        <v>1.694025173214074</v>
      </c>
    </row>
    <row r="34" ht="14.25" customHeight="1">
      <c r="A34" s="26">
        <v>20104.0</v>
      </c>
      <c r="B34" s="13" t="s">
        <v>49</v>
      </c>
      <c r="C34" s="27">
        <v>7.897790585398618</v>
      </c>
      <c r="D34" s="27">
        <v>0.0</v>
      </c>
    </row>
    <row r="35" ht="14.25" customHeight="1">
      <c r="A35" s="26">
        <v>20105.0</v>
      </c>
      <c r="B35" s="13" t="s">
        <v>50</v>
      </c>
      <c r="C35" s="27">
        <v>11.780467198309353</v>
      </c>
      <c r="D35" s="27">
        <v>2.910265574908761</v>
      </c>
    </row>
    <row r="36" ht="14.25" customHeight="1">
      <c r="A36" s="26">
        <v>20201.0</v>
      </c>
      <c r="B36" s="13" t="s">
        <v>53</v>
      </c>
      <c r="C36" s="27">
        <v>3.5690666409112395</v>
      </c>
      <c r="D36" s="27">
        <v>3.534299604671734</v>
      </c>
    </row>
    <row r="37" ht="14.25" customHeight="1">
      <c r="A37" s="26">
        <v>20202.0</v>
      </c>
      <c r="B37" s="13" t="s">
        <v>56</v>
      </c>
      <c r="C37" s="27">
        <v>2.2155754957350173</v>
      </c>
      <c r="D37" s="27">
        <v>0.0</v>
      </c>
    </row>
    <row r="38" ht="14.25" customHeight="1">
      <c r="A38" s="26">
        <v>20203.0</v>
      </c>
      <c r="B38" s="13" t="s">
        <v>59</v>
      </c>
      <c r="C38" s="27">
        <v>0.0</v>
      </c>
      <c r="D38" s="27">
        <v>0.0</v>
      </c>
    </row>
    <row r="39" ht="14.25" customHeight="1">
      <c r="A39" s="26">
        <v>20204.0</v>
      </c>
      <c r="B39" s="13" t="s">
        <v>478</v>
      </c>
      <c r="C39" s="27">
        <v>0.0</v>
      </c>
      <c r="D39" s="27">
        <v>0.0</v>
      </c>
    </row>
    <row r="40" ht="14.25" customHeight="1">
      <c r="A40" s="26">
        <v>20205.0</v>
      </c>
      <c r="B40" s="13" t="s">
        <v>479</v>
      </c>
      <c r="C40" s="27">
        <v>0.0</v>
      </c>
      <c r="D40" s="27">
        <v>10.76773985140519</v>
      </c>
    </row>
    <row r="41" ht="14.25" customHeight="1">
      <c r="A41" s="26">
        <v>20206.0</v>
      </c>
      <c r="B41" s="13" t="s">
        <v>480</v>
      </c>
      <c r="C41" s="27">
        <v>0.0</v>
      </c>
      <c r="D41" s="27">
        <v>0.0</v>
      </c>
    </row>
    <row r="42" ht="14.25" customHeight="1">
      <c r="A42" s="26">
        <v>20301.0</v>
      </c>
      <c r="B42" s="13" t="s">
        <v>62</v>
      </c>
      <c r="C42" s="27">
        <v>2.811278850749206</v>
      </c>
      <c r="D42" s="27">
        <v>2.4598430620126437</v>
      </c>
    </row>
    <row r="43" ht="14.25" customHeight="1">
      <c r="A43" s="26">
        <v>20302.0</v>
      </c>
      <c r="B43" s="13" t="s">
        <v>64</v>
      </c>
      <c r="C43" s="27">
        <v>2.1926939437793274</v>
      </c>
      <c r="D43" s="27">
        <v>0.0</v>
      </c>
    </row>
    <row r="44" ht="14.25" customHeight="1">
      <c r="A44" s="26">
        <v>20303.0</v>
      </c>
      <c r="B44" s="13" t="s">
        <v>483</v>
      </c>
      <c r="C44" s="27">
        <v>0.0</v>
      </c>
      <c r="D44" s="27">
        <v>0.0</v>
      </c>
    </row>
    <row r="45" ht="14.25" customHeight="1">
      <c r="A45" s="26">
        <v>20304.0</v>
      </c>
      <c r="B45" s="13" t="s">
        <v>484</v>
      </c>
      <c r="C45" s="27">
        <v>0.0</v>
      </c>
      <c r="D45" s="27">
        <v>0.0</v>
      </c>
    </row>
    <row r="46" ht="14.25" customHeight="1">
      <c r="A46" s="26">
        <v>20305.0</v>
      </c>
      <c r="B46" s="13" t="s">
        <v>67</v>
      </c>
      <c r="C46" s="27">
        <v>8.73743993010048</v>
      </c>
      <c r="D46" s="27">
        <v>0.0</v>
      </c>
    </row>
    <row r="47" ht="14.25" customHeight="1">
      <c r="A47" s="26">
        <v>20306.0</v>
      </c>
      <c r="B47" s="13" t="s">
        <v>129</v>
      </c>
      <c r="C47" s="27">
        <v>0.0</v>
      </c>
      <c r="D47" s="27">
        <v>0.0</v>
      </c>
    </row>
    <row r="48" ht="14.25" customHeight="1">
      <c r="A48" s="26">
        <v>20307.0</v>
      </c>
      <c r="B48" s="13" t="s">
        <v>133</v>
      </c>
      <c r="C48" s="27">
        <v>0.0</v>
      </c>
      <c r="D48" s="27">
        <v>0.0</v>
      </c>
    </row>
    <row r="49" ht="14.25" customHeight="1">
      <c r="A49" s="26">
        <v>20308.0</v>
      </c>
      <c r="B49" s="13" t="s">
        <v>485</v>
      </c>
      <c r="C49" s="27">
        <v>4.314994606256742</v>
      </c>
      <c r="D49" s="27">
        <v>0.0</v>
      </c>
    </row>
    <row r="50" ht="14.25" customHeight="1">
      <c r="A50" s="26">
        <v>20401.0</v>
      </c>
      <c r="B50" s="13" t="s">
        <v>73</v>
      </c>
      <c r="C50" s="27">
        <v>0.0</v>
      </c>
      <c r="D50" s="27">
        <v>2.4180872929512756</v>
      </c>
    </row>
    <row r="51" ht="14.25" customHeight="1">
      <c r="A51" s="26">
        <v>20402.0</v>
      </c>
      <c r="B51" s="13" t="s">
        <v>487</v>
      </c>
      <c r="C51" s="27">
        <v>0.0</v>
      </c>
      <c r="D51" s="27">
        <v>0.0</v>
      </c>
    </row>
    <row r="52" ht="14.25" customHeight="1">
      <c r="A52" s="26">
        <v>20403.0</v>
      </c>
      <c r="B52" s="13" t="s">
        <v>488</v>
      </c>
      <c r="C52" s="27">
        <v>0.0</v>
      </c>
      <c r="D52" s="27">
        <v>0.0</v>
      </c>
    </row>
    <row r="53" ht="14.25" customHeight="1">
      <c r="A53" s="26">
        <v>20404.0</v>
      </c>
      <c r="B53" s="13" t="s">
        <v>490</v>
      </c>
      <c r="C53" s="27">
        <v>0.0</v>
      </c>
      <c r="D53" s="27">
        <v>0.0</v>
      </c>
    </row>
    <row r="54" ht="14.25" customHeight="1">
      <c r="A54" s="26">
        <v>20405.0</v>
      </c>
      <c r="B54" s="13" t="s">
        <v>491</v>
      </c>
      <c r="C54" s="27">
        <v>0.0</v>
      </c>
      <c r="D54" s="27">
        <v>0.0</v>
      </c>
    </row>
    <row r="55" ht="14.25" customHeight="1">
      <c r="A55" s="26">
        <v>20501.0</v>
      </c>
      <c r="B55" s="13" t="s">
        <v>493</v>
      </c>
      <c r="C55" s="27">
        <v>0.0</v>
      </c>
      <c r="D55" s="27">
        <v>0.0</v>
      </c>
    </row>
    <row r="56" ht="14.25" customHeight="1">
      <c r="A56" s="26">
        <v>20502.0</v>
      </c>
      <c r="B56" s="13" t="s">
        <v>76</v>
      </c>
      <c r="C56" s="27">
        <v>0.0</v>
      </c>
      <c r="D56" s="27">
        <v>3.7344088430801405</v>
      </c>
    </row>
    <row r="57" ht="14.25" customHeight="1">
      <c r="A57" s="26">
        <v>20503.0</v>
      </c>
      <c r="B57" s="13" t="s">
        <v>494</v>
      </c>
      <c r="C57" s="27">
        <v>0.0</v>
      </c>
      <c r="D57" s="27">
        <v>0.0</v>
      </c>
    </row>
    <row r="58" ht="14.25" customHeight="1">
      <c r="A58" s="26">
        <v>20601.0</v>
      </c>
      <c r="B58" s="13" t="s">
        <v>79</v>
      </c>
      <c r="C58" s="27">
        <v>1.2698412698412698</v>
      </c>
      <c r="D58" s="27">
        <v>0.0</v>
      </c>
    </row>
    <row r="59" ht="14.25" customHeight="1">
      <c r="A59" s="26">
        <v>20602.0</v>
      </c>
      <c r="B59" s="13" t="s">
        <v>82</v>
      </c>
      <c r="C59" s="27">
        <v>2.1204410517387617</v>
      </c>
      <c r="D59" s="27">
        <v>0.0</v>
      </c>
    </row>
    <row r="60" ht="14.25" customHeight="1">
      <c r="A60" s="26">
        <v>20603.0</v>
      </c>
      <c r="B60" s="13" t="s">
        <v>85</v>
      </c>
      <c r="C60" s="27">
        <v>0.0</v>
      </c>
      <c r="D60" s="27">
        <v>0.0</v>
      </c>
    </row>
    <row r="61" ht="14.25" customHeight="1">
      <c r="A61" s="26">
        <v>20604.0</v>
      </c>
      <c r="B61" s="13" t="s">
        <v>88</v>
      </c>
      <c r="C61" s="27">
        <v>9.650646593321751</v>
      </c>
      <c r="D61" s="27">
        <v>0.0</v>
      </c>
    </row>
    <row r="62" ht="14.25" customHeight="1">
      <c r="A62" s="26">
        <v>20605.0</v>
      </c>
      <c r="B62" s="13" t="s">
        <v>496</v>
      </c>
      <c r="C62" s="27">
        <v>0.0</v>
      </c>
      <c r="D62" s="27">
        <v>0.0</v>
      </c>
    </row>
    <row r="63" ht="14.25" customHeight="1">
      <c r="A63" s="26">
        <v>20606.0</v>
      </c>
      <c r="B63" s="13" t="s">
        <v>497</v>
      </c>
      <c r="C63" s="27">
        <v>0.0</v>
      </c>
      <c r="D63" s="27">
        <v>0.0</v>
      </c>
    </row>
    <row r="64" ht="14.25" customHeight="1">
      <c r="A64" s="26">
        <v>20607.0</v>
      </c>
      <c r="B64" s="13" t="s">
        <v>90</v>
      </c>
      <c r="C64" s="27">
        <v>5.7407046488204125</v>
      </c>
      <c r="D64" s="27">
        <v>0.0</v>
      </c>
    </row>
    <row r="65" ht="14.25" customHeight="1">
      <c r="A65" s="26">
        <v>20608.0</v>
      </c>
      <c r="B65" s="13" t="s">
        <v>93</v>
      </c>
      <c r="C65" s="27">
        <v>2.849002849002849</v>
      </c>
      <c r="D65" s="27">
        <v>0.0</v>
      </c>
    </row>
    <row r="66" ht="14.25" customHeight="1">
      <c r="A66" s="26">
        <v>20701.0</v>
      </c>
      <c r="B66" s="13" t="s">
        <v>96</v>
      </c>
      <c r="C66" s="27">
        <v>0.0</v>
      </c>
      <c r="D66" s="27">
        <v>0.0</v>
      </c>
    </row>
    <row r="67" ht="14.25" customHeight="1">
      <c r="A67" s="26">
        <v>20702.0</v>
      </c>
      <c r="B67" s="13" t="s">
        <v>99</v>
      </c>
      <c r="C67" s="27">
        <v>0.0</v>
      </c>
      <c r="D67" s="27">
        <v>3.8402457757296466</v>
      </c>
    </row>
    <row r="68" ht="14.25" customHeight="1">
      <c r="A68" s="26">
        <v>20801.0</v>
      </c>
      <c r="B68" s="13" t="s">
        <v>54</v>
      </c>
      <c r="C68" s="27">
        <v>11.44768103908691</v>
      </c>
      <c r="D68" s="27">
        <v>5.13091956352873</v>
      </c>
    </row>
    <row r="69" ht="14.25" customHeight="1">
      <c r="A69" s="26">
        <v>20802.0</v>
      </c>
      <c r="B69" s="13" t="s">
        <v>500</v>
      </c>
      <c r="C69" s="27">
        <v>0.0</v>
      </c>
      <c r="D69" s="27">
        <v>0.0</v>
      </c>
    </row>
    <row r="70" ht="14.25" customHeight="1">
      <c r="A70" s="26">
        <v>20803.0</v>
      </c>
      <c r="B70" s="13" t="s">
        <v>103</v>
      </c>
      <c r="C70" s="27">
        <v>2.5801790644270715</v>
      </c>
      <c r="D70" s="27">
        <v>4.884720593982023</v>
      </c>
    </row>
    <row r="71" ht="14.25" customHeight="1">
      <c r="A71" s="26">
        <v>20804.0</v>
      </c>
      <c r="B71" s="13" t="s">
        <v>65</v>
      </c>
      <c r="C71" s="27">
        <v>13.346689316836105</v>
      </c>
      <c r="D71" s="27">
        <v>16.925066174661037</v>
      </c>
    </row>
    <row r="72" ht="14.25" customHeight="1">
      <c r="A72" s="26">
        <v>20805.0</v>
      </c>
      <c r="B72" s="13" t="s">
        <v>502</v>
      </c>
      <c r="C72" s="27">
        <v>0.0</v>
      </c>
      <c r="D72" s="27">
        <v>0.0</v>
      </c>
    </row>
    <row r="73" ht="14.25" customHeight="1">
      <c r="A73" s="26">
        <v>20806.0</v>
      </c>
      <c r="B73" s="13" t="s">
        <v>504</v>
      </c>
      <c r="C73" s="27">
        <v>0.0</v>
      </c>
      <c r="D73" s="27">
        <v>0.0</v>
      </c>
    </row>
    <row r="74" ht="14.25" customHeight="1">
      <c r="A74" s="26">
        <v>20807.0</v>
      </c>
      <c r="B74" s="13" t="s">
        <v>506</v>
      </c>
      <c r="C74" s="27">
        <v>0.0</v>
      </c>
      <c r="D74" s="27">
        <v>0.0</v>
      </c>
    </row>
    <row r="75" ht="14.25" customHeight="1">
      <c r="A75" s="26">
        <v>20901.0</v>
      </c>
      <c r="B75" s="13" t="s">
        <v>508</v>
      </c>
      <c r="C75" s="27">
        <v>0.0</v>
      </c>
      <c r="D75" s="27">
        <v>0.0</v>
      </c>
    </row>
    <row r="76" ht="14.25" customHeight="1">
      <c r="A76" s="26">
        <v>20902.0</v>
      </c>
      <c r="B76" s="13" t="s">
        <v>108</v>
      </c>
      <c r="C76" s="27">
        <v>0.0</v>
      </c>
      <c r="D76" s="27">
        <v>2.062323413557714</v>
      </c>
    </row>
    <row r="77" ht="14.25" customHeight="1">
      <c r="A77" s="26">
        <v>20903.0</v>
      </c>
      <c r="B77" s="13" t="s">
        <v>509</v>
      </c>
      <c r="C77" s="27">
        <v>0.0</v>
      </c>
      <c r="D77" s="27">
        <v>0.0</v>
      </c>
    </row>
    <row r="78" ht="14.25" customHeight="1">
      <c r="A78" s="26">
        <v>20904.0</v>
      </c>
      <c r="B78" s="13" t="s">
        <v>510</v>
      </c>
      <c r="C78" s="27">
        <v>0.0</v>
      </c>
      <c r="D78" s="27">
        <v>0.0</v>
      </c>
    </row>
    <row r="79" ht="14.25" customHeight="1">
      <c r="A79" s="26">
        <v>20905.0</v>
      </c>
      <c r="B79" s="13" t="s">
        <v>511</v>
      </c>
      <c r="C79" s="27">
        <v>0.0</v>
      </c>
      <c r="D79" s="27">
        <v>0.0</v>
      </c>
    </row>
    <row r="80" ht="14.25" customHeight="1">
      <c r="A80" s="26">
        <v>21001.0</v>
      </c>
      <c r="B80" s="13" t="s">
        <v>111</v>
      </c>
      <c r="C80" s="27">
        <v>1.957560097094981</v>
      </c>
      <c r="D80" s="27">
        <v>0.0</v>
      </c>
    </row>
    <row r="81" ht="14.25" customHeight="1">
      <c r="A81" s="26">
        <v>21002.0</v>
      </c>
      <c r="B81" s="13" t="s">
        <v>512</v>
      </c>
      <c r="C81" s="27">
        <v>0.0</v>
      </c>
      <c r="D81" s="27">
        <v>0.0</v>
      </c>
    </row>
    <row r="82" ht="14.25" customHeight="1">
      <c r="A82" s="26">
        <v>21003.0</v>
      </c>
      <c r="B82" s="13" t="s">
        <v>109</v>
      </c>
      <c r="C82" s="27">
        <v>0.0</v>
      </c>
      <c r="D82" s="27">
        <v>4.530832313896063</v>
      </c>
    </row>
    <row r="83" ht="14.25" customHeight="1">
      <c r="A83" s="26">
        <v>21004.0</v>
      </c>
      <c r="B83" s="13" t="s">
        <v>115</v>
      </c>
      <c r="C83" s="27">
        <v>1.5230436504310214</v>
      </c>
      <c r="D83" s="27">
        <v>0.0</v>
      </c>
    </row>
    <row r="84" ht="14.25" customHeight="1">
      <c r="A84" s="26">
        <v>21005.0</v>
      </c>
      <c r="B84" s="13" t="s">
        <v>513</v>
      </c>
      <c r="C84" s="27">
        <v>0.0</v>
      </c>
      <c r="D84" s="27">
        <v>0.0</v>
      </c>
    </row>
    <row r="85" ht="14.25" customHeight="1">
      <c r="A85" s="26">
        <v>21006.0</v>
      </c>
      <c r="B85" s="13" t="s">
        <v>514</v>
      </c>
      <c r="C85" s="27">
        <v>0.0</v>
      </c>
      <c r="D85" s="27">
        <v>0.0</v>
      </c>
    </row>
    <row r="86" ht="14.25" customHeight="1">
      <c r="A86" s="26">
        <v>21101.0</v>
      </c>
      <c r="B86" s="13" t="s">
        <v>83</v>
      </c>
      <c r="C86" s="27">
        <v>7.393858825627029</v>
      </c>
      <c r="D86" s="27">
        <v>1.8291902174907169</v>
      </c>
    </row>
    <row r="87" ht="14.25" customHeight="1">
      <c r="A87" s="26">
        <v>21102.0</v>
      </c>
      <c r="B87" s="13" t="s">
        <v>119</v>
      </c>
      <c r="C87" s="27">
        <v>0.0</v>
      </c>
      <c r="D87" s="27">
        <v>1.4961772670826041</v>
      </c>
    </row>
    <row r="88" ht="14.25" customHeight="1">
      <c r="A88" s="26">
        <v>21103.0</v>
      </c>
      <c r="B88" s="13" t="s">
        <v>518</v>
      </c>
      <c r="C88" s="27">
        <v>0.0</v>
      </c>
      <c r="D88" s="27">
        <v>0.0</v>
      </c>
    </row>
    <row r="89" ht="14.25" customHeight="1">
      <c r="A89" s="26">
        <v>21104.0</v>
      </c>
      <c r="B89" s="13" t="s">
        <v>121</v>
      </c>
      <c r="C89" s="27">
        <v>3.846056867376649</v>
      </c>
      <c r="D89" s="27">
        <v>2.4749105938547973</v>
      </c>
    </row>
    <row r="90" ht="14.25" customHeight="1">
      <c r="A90" s="26">
        <v>21105.0</v>
      </c>
      <c r="B90" s="13" t="s">
        <v>91</v>
      </c>
      <c r="C90" s="27">
        <v>3.085018860775707</v>
      </c>
      <c r="D90" s="27">
        <v>2.215657196616212</v>
      </c>
    </row>
    <row r="91" ht="14.25" customHeight="1">
      <c r="A91" s="26">
        <v>21201.0</v>
      </c>
      <c r="B91" s="13" t="s">
        <v>77</v>
      </c>
      <c r="C91" s="27">
        <v>2.5393773687129326</v>
      </c>
      <c r="D91" s="27">
        <v>2.8163467537041202</v>
      </c>
    </row>
    <row r="92" ht="14.25" customHeight="1">
      <c r="A92" s="26">
        <v>21202.0</v>
      </c>
      <c r="B92" s="13" t="s">
        <v>71</v>
      </c>
      <c r="C92" s="27">
        <v>3.130455671372404</v>
      </c>
      <c r="D92" s="27">
        <v>0.9182989430379166</v>
      </c>
    </row>
    <row r="93" ht="14.25" customHeight="1">
      <c r="A93" s="26">
        <v>21203.0</v>
      </c>
      <c r="B93" s="13" t="s">
        <v>127</v>
      </c>
      <c r="C93" s="27">
        <v>3.5064109699556583</v>
      </c>
      <c r="D93" s="27">
        <v>1.6602746094203982</v>
      </c>
    </row>
    <row r="94" ht="14.25" customHeight="1">
      <c r="A94" s="26">
        <v>21204.0</v>
      </c>
      <c r="B94" s="13" t="s">
        <v>520</v>
      </c>
      <c r="C94" s="27">
        <v>0.0</v>
      </c>
      <c r="D94" s="27">
        <v>0.0</v>
      </c>
    </row>
    <row r="95" ht="14.25" customHeight="1">
      <c r="A95" s="26">
        <v>21301.0</v>
      </c>
      <c r="B95" s="13" t="s">
        <v>57</v>
      </c>
      <c r="C95" s="27">
        <v>3.081156029382635</v>
      </c>
      <c r="D95" s="27">
        <v>8.935191910063919</v>
      </c>
    </row>
    <row r="96" ht="14.25" customHeight="1">
      <c r="A96" s="26">
        <v>21302.0</v>
      </c>
      <c r="B96" s="13" t="s">
        <v>104</v>
      </c>
      <c r="C96" s="27">
        <v>3.7094739965872843</v>
      </c>
      <c r="D96" s="27">
        <v>7.324397568300007</v>
      </c>
    </row>
    <row r="97" ht="14.25" customHeight="1">
      <c r="A97" s="26">
        <v>21303.0</v>
      </c>
      <c r="B97" s="13" t="s">
        <v>523</v>
      </c>
      <c r="C97" s="27">
        <v>0.0</v>
      </c>
      <c r="D97" s="27">
        <v>0.0</v>
      </c>
    </row>
    <row r="98" ht="14.25" customHeight="1">
      <c r="A98" s="26">
        <v>21304.0</v>
      </c>
      <c r="B98" s="13" t="s">
        <v>94</v>
      </c>
      <c r="C98" s="27">
        <v>2.4032684450853163</v>
      </c>
      <c r="D98" s="27">
        <v>2.246030141724502</v>
      </c>
    </row>
    <row r="99" ht="14.25" customHeight="1">
      <c r="A99" s="26">
        <v>21305.0</v>
      </c>
      <c r="B99" s="13" t="s">
        <v>74</v>
      </c>
      <c r="C99" s="27">
        <v>8.310541193311723</v>
      </c>
      <c r="D99" s="27">
        <v>2.6611170715247323</v>
      </c>
    </row>
    <row r="100" ht="14.25" customHeight="1">
      <c r="A100" s="26">
        <v>21306.0</v>
      </c>
      <c r="B100" s="13" t="s">
        <v>135</v>
      </c>
      <c r="C100" s="27">
        <v>3.039421294185587</v>
      </c>
      <c r="D100" s="27">
        <v>0.0</v>
      </c>
    </row>
    <row r="101" ht="14.25" customHeight="1">
      <c r="A101" s="26">
        <v>21307.0</v>
      </c>
      <c r="B101" s="13" t="s">
        <v>123</v>
      </c>
      <c r="C101" s="27">
        <v>12.52191334835963</v>
      </c>
      <c r="D101" s="27">
        <v>0.0</v>
      </c>
    </row>
    <row r="102" ht="14.25" customHeight="1">
      <c r="A102" s="26">
        <v>21401.0</v>
      </c>
      <c r="B102" s="13" t="s">
        <v>112</v>
      </c>
      <c r="C102" s="27">
        <v>5.706102875357025</v>
      </c>
      <c r="D102" s="27">
        <v>2.469115240216969</v>
      </c>
    </row>
    <row r="103" ht="14.25" customHeight="1">
      <c r="A103" s="26">
        <v>21402.0</v>
      </c>
      <c r="B103" s="13" t="s">
        <v>80</v>
      </c>
      <c r="C103" s="27">
        <v>1.6041065126724414</v>
      </c>
      <c r="D103" s="27">
        <v>0.0</v>
      </c>
    </row>
    <row r="104" ht="14.25" customHeight="1">
      <c r="A104" s="26">
        <v>21501.0</v>
      </c>
      <c r="B104" s="13" t="s">
        <v>117</v>
      </c>
      <c r="C104" s="27">
        <v>2.963489805595069</v>
      </c>
      <c r="D104" s="27">
        <v>5.411427892542226</v>
      </c>
    </row>
    <row r="105" ht="14.25" customHeight="1">
      <c r="A105" s="26">
        <v>21502.0</v>
      </c>
      <c r="B105" s="13" t="s">
        <v>100</v>
      </c>
      <c r="C105" s="27">
        <v>0.0</v>
      </c>
      <c r="D105" s="27">
        <v>3.298697014679201</v>
      </c>
    </row>
    <row r="106" ht="14.25" customHeight="1">
      <c r="A106" s="26">
        <v>21601.0</v>
      </c>
      <c r="B106" s="13" t="s">
        <v>527</v>
      </c>
      <c r="C106" s="27">
        <v>0.0</v>
      </c>
      <c r="D106" s="27">
        <v>0.0</v>
      </c>
    </row>
    <row r="107" ht="14.25" customHeight="1">
      <c r="A107" s="26">
        <v>21602.0</v>
      </c>
      <c r="B107" s="13" t="s">
        <v>529</v>
      </c>
      <c r="C107" s="27">
        <v>0.0</v>
      </c>
      <c r="D107" s="27">
        <v>0.0</v>
      </c>
    </row>
    <row r="108" ht="14.25" customHeight="1">
      <c r="A108" s="26">
        <v>21701.0</v>
      </c>
      <c r="B108" s="13" t="s">
        <v>68</v>
      </c>
      <c r="C108" s="27">
        <v>16.518979989734152</v>
      </c>
      <c r="D108" s="27">
        <v>3.9121334819944056</v>
      </c>
    </row>
    <row r="109" ht="14.25" customHeight="1">
      <c r="A109" s="26">
        <v>21702.0</v>
      </c>
      <c r="B109" s="13" t="s">
        <v>531</v>
      </c>
      <c r="C109" s="27">
        <v>0.0</v>
      </c>
      <c r="D109" s="27">
        <v>0.0</v>
      </c>
    </row>
    <row r="110" ht="14.25" customHeight="1">
      <c r="A110" s="26">
        <v>21703.0</v>
      </c>
      <c r="B110" s="13" t="s">
        <v>136</v>
      </c>
      <c r="C110" s="27">
        <v>0.0</v>
      </c>
      <c r="D110" s="27">
        <v>0.0</v>
      </c>
    </row>
    <row r="111" ht="14.25" customHeight="1">
      <c r="A111" s="26">
        <v>21801.0</v>
      </c>
      <c r="B111" s="13" t="s">
        <v>533</v>
      </c>
      <c r="C111" s="27">
        <v>0.0</v>
      </c>
      <c r="D111" s="27">
        <v>3.616505732161585</v>
      </c>
    </row>
    <row r="112" ht="14.25" customHeight="1">
      <c r="A112" s="26">
        <v>21802.0</v>
      </c>
      <c r="B112" s="13" t="s">
        <v>146</v>
      </c>
      <c r="C112" s="27">
        <v>4.88328938372888</v>
      </c>
      <c r="D112" s="27">
        <v>0.0</v>
      </c>
    </row>
    <row r="113" ht="14.25" customHeight="1">
      <c r="A113" s="26">
        <v>21803.0</v>
      </c>
      <c r="B113" s="13" t="s">
        <v>535</v>
      </c>
      <c r="C113" s="27">
        <v>0.0</v>
      </c>
      <c r="D113" s="27">
        <v>0.0</v>
      </c>
    </row>
    <row r="114" ht="14.25" customHeight="1">
      <c r="A114" s="26">
        <v>21901.0</v>
      </c>
      <c r="B114" s="13" t="s">
        <v>537</v>
      </c>
      <c r="C114" s="27">
        <v>0.0</v>
      </c>
      <c r="D114" s="27">
        <v>0.0</v>
      </c>
    </row>
    <row r="115" ht="14.25" customHeight="1">
      <c r="A115" s="26">
        <v>21902.0</v>
      </c>
      <c r="B115" s="13" t="s">
        <v>538</v>
      </c>
      <c r="C115" s="27">
        <v>0.0</v>
      </c>
      <c r="D115" s="27">
        <v>0.0</v>
      </c>
    </row>
    <row r="116" ht="14.25" customHeight="1">
      <c r="A116" s="26">
        <v>22001.0</v>
      </c>
      <c r="B116" s="13" t="s">
        <v>60</v>
      </c>
      <c r="C116" s="27">
        <v>3.65382125727295</v>
      </c>
      <c r="D116" s="27">
        <v>3.9547266457037473</v>
      </c>
    </row>
    <row r="117" ht="14.25" customHeight="1">
      <c r="A117" s="26">
        <v>22002.0</v>
      </c>
      <c r="B117" s="13" t="s">
        <v>539</v>
      </c>
      <c r="C117" s="27">
        <v>0.0</v>
      </c>
      <c r="D117" s="27">
        <v>0.0</v>
      </c>
    </row>
    <row r="118" ht="14.25" customHeight="1">
      <c r="A118" s="26">
        <v>30101.0</v>
      </c>
      <c r="B118" s="13" t="s">
        <v>147</v>
      </c>
      <c r="C118" s="27">
        <v>3.5448337573798216</v>
      </c>
      <c r="D118" s="27">
        <v>3.619396196097449</v>
      </c>
    </row>
    <row r="119" ht="14.25" customHeight="1">
      <c r="A119" s="26">
        <v>30201.0</v>
      </c>
      <c r="B119" s="13" t="s">
        <v>542</v>
      </c>
      <c r="C119" s="27">
        <v>0.0</v>
      </c>
      <c r="D119" s="27">
        <v>0.0</v>
      </c>
    </row>
    <row r="120" ht="14.25" customHeight="1">
      <c r="A120" s="26">
        <v>30202.0</v>
      </c>
      <c r="B120" s="13" t="s">
        <v>543</v>
      </c>
      <c r="C120" s="27">
        <v>0.0</v>
      </c>
      <c r="D120" s="27">
        <v>0.0</v>
      </c>
    </row>
    <row r="121" ht="14.25" customHeight="1">
      <c r="A121" s="26">
        <v>30203.0</v>
      </c>
      <c r="B121" s="13" t="s">
        <v>544</v>
      </c>
      <c r="C121" s="27">
        <v>0.0</v>
      </c>
      <c r="D121" s="27">
        <v>0.0</v>
      </c>
    </row>
    <row r="122" ht="14.25" customHeight="1">
      <c r="A122" s="26">
        <v>30301.0</v>
      </c>
      <c r="B122" s="13" t="s">
        <v>546</v>
      </c>
      <c r="C122" s="27">
        <v>0.0</v>
      </c>
      <c r="D122" s="27">
        <v>0.0</v>
      </c>
    </row>
    <row r="123" ht="14.25" customHeight="1">
      <c r="A123" s="26">
        <v>30302.0</v>
      </c>
      <c r="B123" s="13" t="s">
        <v>153</v>
      </c>
      <c r="C123" s="27">
        <v>0.0</v>
      </c>
      <c r="D123" s="27">
        <v>2.2893772893772892</v>
      </c>
    </row>
    <row r="124" ht="14.25" customHeight="1">
      <c r="A124" s="26">
        <v>30303.0</v>
      </c>
      <c r="B124" s="13" t="s">
        <v>548</v>
      </c>
      <c r="C124" s="27">
        <v>0.0</v>
      </c>
      <c r="D124" s="27">
        <v>0.0</v>
      </c>
    </row>
    <row r="125" ht="14.25" customHeight="1">
      <c r="A125" s="26">
        <v>30401.0</v>
      </c>
      <c r="B125" s="13" t="s">
        <v>156</v>
      </c>
      <c r="C125" s="27">
        <v>7.013852358407855</v>
      </c>
      <c r="D125" s="27">
        <v>8.938638805740112</v>
      </c>
    </row>
    <row r="126" ht="14.25" customHeight="1">
      <c r="A126" s="26">
        <v>30402.0</v>
      </c>
      <c r="B126" s="13" t="s">
        <v>159</v>
      </c>
      <c r="C126" s="27">
        <v>0.0</v>
      </c>
      <c r="D126" s="27">
        <v>4.544421722335833</v>
      </c>
    </row>
    <row r="127" ht="14.25" customHeight="1">
      <c r="A127" s="26">
        <v>30403.0</v>
      </c>
      <c r="B127" s="13" t="s">
        <v>162</v>
      </c>
      <c r="C127" s="27">
        <v>13.135880577350235</v>
      </c>
      <c r="D127" s="27">
        <v>2.3489893473333097</v>
      </c>
    </row>
    <row r="128" ht="14.25" customHeight="1">
      <c r="A128" s="26">
        <v>30404.0</v>
      </c>
      <c r="B128" s="13" t="s">
        <v>551</v>
      </c>
      <c r="C128" s="27">
        <v>0.0</v>
      </c>
      <c r="D128" s="27">
        <v>0.0</v>
      </c>
    </row>
    <row r="129" ht="14.25" customHeight="1">
      <c r="A129" s="26">
        <v>30501.0</v>
      </c>
      <c r="B129" s="13" t="s">
        <v>165</v>
      </c>
      <c r="C129" s="27">
        <v>3.2666928002090683</v>
      </c>
      <c r="D129" s="27">
        <v>9.095239829669552</v>
      </c>
    </row>
    <row r="130" ht="14.25" customHeight="1">
      <c r="A130" s="26">
        <v>30502.0</v>
      </c>
      <c r="B130" s="13" t="s">
        <v>168</v>
      </c>
      <c r="C130" s="27">
        <v>3.8230683946935815</v>
      </c>
      <c r="D130" s="27">
        <v>3.964006818091727</v>
      </c>
    </row>
    <row r="131" ht="14.25" customHeight="1">
      <c r="A131" s="26">
        <v>30601.0</v>
      </c>
      <c r="B131" s="13" t="s">
        <v>171</v>
      </c>
      <c r="C131" s="27">
        <v>3.1410981279055155</v>
      </c>
      <c r="D131" s="27">
        <v>0.0</v>
      </c>
    </row>
    <row r="132" ht="14.25" customHeight="1">
      <c r="A132" s="26">
        <v>30602.0</v>
      </c>
      <c r="B132" s="13" t="s">
        <v>553</v>
      </c>
      <c r="C132" s="27">
        <v>0.0</v>
      </c>
      <c r="D132" s="27">
        <v>0.0</v>
      </c>
    </row>
    <row r="133" ht="14.25" customHeight="1">
      <c r="A133" s="26">
        <v>30701.0</v>
      </c>
      <c r="B133" s="13" t="s">
        <v>174</v>
      </c>
      <c r="C133" s="27">
        <v>0.0</v>
      </c>
      <c r="D133" s="27">
        <v>3.430943826452405</v>
      </c>
    </row>
    <row r="134" ht="14.25" customHeight="1">
      <c r="A134" s="26">
        <v>30702.0</v>
      </c>
      <c r="B134" s="13" t="s">
        <v>554</v>
      </c>
      <c r="C134" s="27">
        <v>0.0</v>
      </c>
      <c r="D134" s="27">
        <v>0.0</v>
      </c>
    </row>
    <row r="135" ht="14.25" customHeight="1">
      <c r="A135" s="26">
        <v>30703.0</v>
      </c>
      <c r="B135" s="13" t="s">
        <v>556</v>
      </c>
      <c r="C135" s="27">
        <v>0.0</v>
      </c>
      <c r="D135" s="27">
        <v>0.0</v>
      </c>
    </row>
    <row r="136" ht="14.25" customHeight="1">
      <c r="A136" s="26">
        <v>30801.0</v>
      </c>
      <c r="B136" s="13" t="s">
        <v>177</v>
      </c>
      <c r="C136" s="27">
        <v>17.015137344979625</v>
      </c>
      <c r="D136" s="27">
        <v>3.1421612833681407</v>
      </c>
    </row>
    <row r="137" ht="14.25" customHeight="1">
      <c r="A137" s="26">
        <v>30802.0</v>
      </c>
      <c r="B137" s="13" t="s">
        <v>558</v>
      </c>
      <c r="C137" s="27">
        <v>0.0</v>
      </c>
      <c r="D137" s="27">
        <v>0.0</v>
      </c>
    </row>
    <row r="138" ht="14.25" customHeight="1">
      <c r="A138" s="26">
        <v>30803.0</v>
      </c>
      <c r="B138" s="13" t="s">
        <v>183</v>
      </c>
      <c r="C138" s="27">
        <v>4.518548642176133</v>
      </c>
      <c r="D138" s="27">
        <v>7.912957467853611</v>
      </c>
    </row>
    <row r="139" ht="14.25" customHeight="1">
      <c r="A139" s="26">
        <v>30901.0</v>
      </c>
      <c r="B139" s="13" t="s">
        <v>160</v>
      </c>
      <c r="C139" s="27">
        <v>9.688740009704018</v>
      </c>
      <c r="D139" s="27">
        <v>4.464525183559897</v>
      </c>
    </row>
    <row r="140" ht="14.25" customHeight="1">
      <c r="A140" s="26">
        <v>30902.0</v>
      </c>
      <c r="B140" s="13" t="s">
        <v>559</v>
      </c>
      <c r="C140" s="27">
        <v>11.682900678373363</v>
      </c>
      <c r="D140" s="27">
        <v>10.321428421114273</v>
      </c>
    </row>
    <row r="141" ht="14.25" customHeight="1">
      <c r="A141" s="26">
        <v>30903.0</v>
      </c>
      <c r="B141" s="13" t="s">
        <v>169</v>
      </c>
      <c r="C141" s="27">
        <v>8.090842854493042</v>
      </c>
      <c r="D141" s="27">
        <v>7.060290461195105</v>
      </c>
    </row>
    <row r="142" ht="14.25" customHeight="1">
      <c r="A142" s="26">
        <v>30904.0</v>
      </c>
      <c r="B142" s="13" t="s">
        <v>181</v>
      </c>
      <c r="C142" s="27">
        <v>8.030352081093854</v>
      </c>
      <c r="D142" s="27">
        <v>2.396482244385378</v>
      </c>
    </row>
    <row r="143" ht="14.25" customHeight="1">
      <c r="A143" s="26">
        <v>30905.0</v>
      </c>
      <c r="B143" s="13" t="s">
        <v>175</v>
      </c>
      <c r="C143" s="27">
        <v>6.167610050108678</v>
      </c>
      <c r="D143" s="27">
        <v>4.585929595091817</v>
      </c>
    </row>
    <row r="144" ht="14.25" customHeight="1">
      <c r="A144" s="26">
        <v>31001.0</v>
      </c>
      <c r="B144" s="13" t="s">
        <v>151</v>
      </c>
      <c r="C144" s="27">
        <v>7.670460474607386</v>
      </c>
      <c r="D144" s="27">
        <v>6.478916472814415</v>
      </c>
    </row>
    <row r="145" ht="14.25" customHeight="1">
      <c r="A145" s="26">
        <v>31002.0</v>
      </c>
      <c r="B145" s="13" t="s">
        <v>189</v>
      </c>
      <c r="C145" s="27">
        <v>3.224981792093669</v>
      </c>
      <c r="D145" s="27">
        <v>3.112501361719346</v>
      </c>
    </row>
    <row r="146" ht="14.25" customHeight="1">
      <c r="A146" s="26">
        <v>31003.0</v>
      </c>
      <c r="B146" s="13" t="s">
        <v>157</v>
      </c>
      <c r="C146" s="27">
        <v>5.618008488996936</v>
      </c>
      <c r="D146" s="27">
        <v>8.724376345170926</v>
      </c>
    </row>
    <row r="147" ht="14.25" customHeight="1">
      <c r="A147" s="26">
        <v>31101.0</v>
      </c>
      <c r="B147" s="13" t="s">
        <v>561</v>
      </c>
      <c r="C147" s="27">
        <v>0.0</v>
      </c>
      <c r="D147" s="27">
        <v>0.0</v>
      </c>
    </row>
    <row r="148" ht="14.25" customHeight="1">
      <c r="A148" s="26">
        <v>31201.0</v>
      </c>
      <c r="B148" s="13" t="s">
        <v>563</v>
      </c>
      <c r="C148" s="27">
        <v>0.0</v>
      </c>
      <c r="D148" s="27">
        <v>0.0</v>
      </c>
    </row>
    <row r="149" ht="14.25" customHeight="1">
      <c r="A149" s="26">
        <v>31202.0</v>
      </c>
      <c r="B149" s="13" t="s">
        <v>564</v>
      </c>
      <c r="C149" s="27">
        <v>0.0</v>
      </c>
      <c r="D149" s="27">
        <v>0.0</v>
      </c>
    </row>
    <row r="150" ht="14.25" customHeight="1">
      <c r="A150" s="26">
        <v>31203.0</v>
      </c>
      <c r="B150" s="13" t="s">
        <v>196</v>
      </c>
      <c r="C150" s="27">
        <v>0.0</v>
      </c>
      <c r="D150" s="27">
        <v>2.719312557785392</v>
      </c>
    </row>
    <row r="151" ht="14.25" customHeight="1">
      <c r="A151" s="26">
        <v>31204.0</v>
      </c>
      <c r="B151" s="13" t="s">
        <v>172</v>
      </c>
      <c r="C151" s="27">
        <v>4.061348461813371</v>
      </c>
      <c r="D151" s="27">
        <v>6.2534346210837635</v>
      </c>
    </row>
    <row r="152" ht="14.25" customHeight="1">
      <c r="A152" s="26">
        <v>31205.0</v>
      </c>
      <c r="B152" s="13" t="s">
        <v>149</v>
      </c>
      <c r="C152" s="27">
        <v>13.793195977264295</v>
      </c>
      <c r="D152" s="27">
        <v>38.00719181269846</v>
      </c>
    </row>
    <row r="153" ht="14.25" customHeight="1">
      <c r="A153" s="26">
        <v>31206.0</v>
      </c>
      <c r="B153" s="13" t="s">
        <v>154</v>
      </c>
      <c r="C153" s="27">
        <v>3.3714534440264097</v>
      </c>
      <c r="D153" s="27">
        <v>36.579238540222356</v>
      </c>
    </row>
    <row r="154" ht="14.25" customHeight="1">
      <c r="A154" s="26">
        <v>31301.0</v>
      </c>
      <c r="B154" s="13" t="s">
        <v>203</v>
      </c>
      <c r="C154" s="27">
        <v>0.0</v>
      </c>
      <c r="D154" s="27">
        <v>0.0</v>
      </c>
    </row>
    <row r="155" ht="14.25" customHeight="1">
      <c r="A155" s="26">
        <v>31302.0</v>
      </c>
      <c r="B155" s="13" t="s">
        <v>565</v>
      </c>
      <c r="C155" s="27">
        <v>0.0</v>
      </c>
      <c r="D155" s="27">
        <v>0.0</v>
      </c>
    </row>
    <row r="156" ht="14.25" customHeight="1">
      <c r="A156" s="26">
        <v>31303.0</v>
      </c>
      <c r="B156" s="13" t="s">
        <v>566</v>
      </c>
      <c r="C156" s="27">
        <v>0.0</v>
      </c>
      <c r="D156" s="27">
        <v>0.0</v>
      </c>
    </row>
    <row r="157" ht="14.25" customHeight="1">
      <c r="A157" s="26">
        <v>31304.0</v>
      </c>
      <c r="B157" s="13" t="s">
        <v>567</v>
      </c>
      <c r="C157" s="27">
        <v>0.0</v>
      </c>
      <c r="D157" s="27">
        <v>0.0</v>
      </c>
    </row>
    <row r="158" ht="14.25" customHeight="1">
      <c r="A158" s="26">
        <v>31401.0</v>
      </c>
      <c r="B158" s="13" t="s">
        <v>166</v>
      </c>
      <c r="C158" s="27">
        <v>6.221049782483594</v>
      </c>
      <c r="D158" s="27">
        <v>9.647162999657963</v>
      </c>
    </row>
    <row r="159" ht="14.25" customHeight="1">
      <c r="A159" s="26">
        <v>31402.0</v>
      </c>
      <c r="B159" s="13" t="s">
        <v>197</v>
      </c>
      <c r="C159" s="27">
        <v>4.002561639449247</v>
      </c>
      <c r="D159" s="27">
        <v>0.0</v>
      </c>
    </row>
    <row r="160" ht="14.25" customHeight="1">
      <c r="A160" s="26">
        <v>31403.0</v>
      </c>
      <c r="B160" s="13" t="s">
        <v>194</v>
      </c>
      <c r="C160" s="27">
        <v>0.0</v>
      </c>
      <c r="D160" s="27">
        <v>5.073952862977904</v>
      </c>
    </row>
    <row r="161" ht="14.25" customHeight="1">
      <c r="A161" s="26">
        <v>31404.0</v>
      </c>
      <c r="B161" s="13" t="s">
        <v>205</v>
      </c>
      <c r="C161" s="27">
        <v>0.0</v>
      </c>
      <c r="D161" s="27">
        <v>25.9000259000259</v>
      </c>
    </row>
    <row r="162" ht="14.25" customHeight="1">
      <c r="A162" s="26">
        <v>31405.0</v>
      </c>
      <c r="B162" s="13" t="s">
        <v>571</v>
      </c>
      <c r="C162" s="27">
        <v>0.0</v>
      </c>
      <c r="D162" s="27">
        <v>0.0</v>
      </c>
    </row>
    <row r="163" ht="14.25" customHeight="1">
      <c r="A163" s="26">
        <v>31501.0</v>
      </c>
      <c r="B163" s="13" t="s">
        <v>573</v>
      </c>
      <c r="C163" s="27">
        <v>0.0</v>
      </c>
      <c r="D163" s="27">
        <v>0.0</v>
      </c>
    </row>
    <row r="164" ht="14.25" customHeight="1">
      <c r="A164" s="26">
        <v>31601.0</v>
      </c>
      <c r="B164" s="13" t="s">
        <v>178</v>
      </c>
      <c r="C164" s="27">
        <v>4.979335756610069</v>
      </c>
      <c r="D164" s="27">
        <v>8.910905481950005</v>
      </c>
    </row>
    <row r="165" ht="14.25" customHeight="1">
      <c r="A165" s="26">
        <v>31602.0</v>
      </c>
      <c r="B165" s="13" t="s">
        <v>185</v>
      </c>
      <c r="C165" s="27">
        <v>8.302477599337202</v>
      </c>
      <c r="D165" s="27">
        <v>3.7793688231138964</v>
      </c>
    </row>
    <row r="166" ht="14.25" customHeight="1">
      <c r="A166" s="26">
        <v>40101.0</v>
      </c>
      <c r="B166" s="13" t="s">
        <v>210</v>
      </c>
      <c r="C166" s="27">
        <v>18.619435924697807</v>
      </c>
      <c r="D166" s="27">
        <v>5.1785554504022775</v>
      </c>
    </row>
    <row r="167" ht="14.25" customHeight="1">
      <c r="A167" s="26">
        <v>40102.0</v>
      </c>
      <c r="B167" s="13" t="s">
        <v>212</v>
      </c>
      <c r="C167" s="27">
        <v>11.611561996950115</v>
      </c>
      <c r="D167" s="27">
        <v>1.4573860324122654</v>
      </c>
    </row>
    <row r="168" ht="14.25" customHeight="1">
      <c r="A168" s="26">
        <v>40103.0</v>
      </c>
      <c r="B168" s="13" t="s">
        <v>574</v>
      </c>
      <c r="C168" s="27">
        <v>0.0</v>
      </c>
      <c r="D168" s="27">
        <v>0.0</v>
      </c>
    </row>
    <row r="169" ht="14.25" customHeight="1">
      <c r="A169" s="26">
        <v>40104.0</v>
      </c>
      <c r="B169" s="13" t="s">
        <v>575</v>
      </c>
      <c r="C169" s="27">
        <v>0.0</v>
      </c>
      <c r="D169" s="27">
        <v>0.0</v>
      </c>
    </row>
    <row r="170" ht="14.25" customHeight="1">
      <c r="A170" s="26">
        <v>40201.0</v>
      </c>
      <c r="B170" s="13" t="s">
        <v>215</v>
      </c>
      <c r="C170" s="27">
        <v>5.163783916710758</v>
      </c>
      <c r="D170" s="27">
        <v>2.8373244170190337</v>
      </c>
    </row>
    <row r="171" ht="14.25" customHeight="1">
      <c r="A171" s="26">
        <v>40202.0</v>
      </c>
      <c r="B171" s="13" t="s">
        <v>578</v>
      </c>
      <c r="C171" s="27">
        <v>0.0</v>
      </c>
      <c r="D171" s="27">
        <v>0.0</v>
      </c>
    </row>
    <row r="172" ht="14.25" customHeight="1">
      <c r="A172" s="26">
        <v>40301.0</v>
      </c>
      <c r="B172" s="13" t="s">
        <v>217</v>
      </c>
      <c r="C172" s="27">
        <v>0.0</v>
      </c>
      <c r="D172" s="27">
        <v>2.146659797355315</v>
      </c>
    </row>
    <row r="173" ht="14.25" customHeight="1">
      <c r="A173" s="26">
        <v>40302.0</v>
      </c>
      <c r="B173" s="13" t="s">
        <v>579</v>
      </c>
      <c r="C173" s="27">
        <v>0.0</v>
      </c>
      <c r="D173" s="27">
        <v>0.0</v>
      </c>
    </row>
    <row r="174" ht="14.25" customHeight="1">
      <c r="A174" s="26">
        <v>40401.0</v>
      </c>
      <c r="B174" s="13" t="s">
        <v>581</v>
      </c>
      <c r="C174" s="27">
        <v>5.908070424199457</v>
      </c>
      <c r="D174" s="27">
        <v>5.148005148005148</v>
      </c>
    </row>
    <row r="175" ht="14.25" customHeight="1">
      <c r="A175" s="26">
        <v>40402.0</v>
      </c>
      <c r="B175" s="13" t="s">
        <v>582</v>
      </c>
      <c r="C175" s="27">
        <v>0.0</v>
      </c>
      <c r="D175" s="27">
        <v>0.0</v>
      </c>
    </row>
    <row r="176" ht="14.25" customHeight="1">
      <c r="A176" s="26">
        <v>40501.0</v>
      </c>
      <c r="B176" s="13" t="s">
        <v>584</v>
      </c>
      <c r="C176" s="27">
        <v>0.0</v>
      </c>
      <c r="D176" s="27">
        <v>0.0</v>
      </c>
    </row>
    <row r="177" ht="14.25" customHeight="1">
      <c r="A177" s="26">
        <v>40502.0</v>
      </c>
      <c r="B177" s="13" t="s">
        <v>585</v>
      </c>
      <c r="C177" s="27">
        <v>0.0</v>
      </c>
      <c r="D177" s="27">
        <v>0.0</v>
      </c>
    </row>
    <row r="178" ht="14.25" customHeight="1">
      <c r="A178" s="26">
        <v>40503.0</v>
      </c>
      <c r="B178" s="13" t="s">
        <v>586</v>
      </c>
      <c r="C178" s="27">
        <v>0.0</v>
      </c>
      <c r="D178" s="27">
        <v>0.0</v>
      </c>
    </row>
    <row r="179" ht="14.25" customHeight="1">
      <c r="A179" s="26">
        <v>40504.0</v>
      </c>
      <c r="B179" s="13" t="s">
        <v>587</v>
      </c>
      <c r="C179" s="27">
        <v>0.0</v>
      </c>
      <c r="D179" s="27">
        <v>0.0</v>
      </c>
    </row>
    <row r="180" ht="14.25" customHeight="1">
      <c r="A180" s="26">
        <v>40505.0</v>
      </c>
      <c r="B180" s="13" t="s">
        <v>588</v>
      </c>
      <c r="C180" s="27">
        <v>0.0</v>
      </c>
      <c r="D180" s="27">
        <v>0.0</v>
      </c>
    </row>
    <row r="181" ht="14.25" customHeight="1">
      <c r="A181" s="26">
        <v>40601.0</v>
      </c>
      <c r="B181" s="13" t="s">
        <v>223</v>
      </c>
      <c r="C181" s="27">
        <v>0.0</v>
      </c>
      <c r="D181" s="27">
        <v>3.680800942285041</v>
      </c>
    </row>
    <row r="182" ht="14.25" customHeight="1">
      <c r="A182" s="26">
        <v>40602.0</v>
      </c>
      <c r="B182" s="13" t="s">
        <v>247</v>
      </c>
      <c r="C182" s="27">
        <v>0.0</v>
      </c>
      <c r="D182" s="27">
        <v>7.84129224496197</v>
      </c>
    </row>
    <row r="183" ht="14.25" customHeight="1">
      <c r="A183" s="26">
        <v>40603.0</v>
      </c>
      <c r="B183" s="13" t="s">
        <v>590</v>
      </c>
      <c r="C183" s="27">
        <v>0.0</v>
      </c>
      <c r="D183" s="27">
        <v>0.0</v>
      </c>
    </row>
    <row r="184" ht="14.25" customHeight="1">
      <c r="A184" s="26">
        <v>40701.0</v>
      </c>
      <c r="B184" s="13" t="s">
        <v>213</v>
      </c>
      <c r="C184" s="27">
        <v>23.787807574265113</v>
      </c>
      <c r="D184" s="27">
        <v>11.386578757629687</v>
      </c>
    </row>
    <row r="185" ht="14.25" customHeight="1">
      <c r="A185" s="26">
        <v>40702.0</v>
      </c>
      <c r="B185" s="13" t="s">
        <v>238</v>
      </c>
      <c r="C185" s="27">
        <v>0.0</v>
      </c>
      <c r="D185" s="27">
        <v>5.446623093681917</v>
      </c>
    </row>
    <row r="186" ht="14.25" customHeight="1">
      <c r="A186" s="26">
        <v>40801.0</v>
      </c>
      <c r="B186" s="13" t="s">
        <v>594</v>
      </c>
      <c r="C186" s="27">
        <v>2.3401666198633344</v>
      </c>
      <c r="D186" s="27">
        <v>0.0</v>
      </c>
    </row>
    <row r="187" ht="14.25" customHeight="1">
      <c r="A187" s="26">
        <v>40802.0</v>
      </c>
      <c r="B187" s="13" t="s">
        <v>221</v>
      </c>
      <c r="C187" s="27">
        <v>0.0</v>
      </c>
      <c r="D187" s="27">
        <v>20.977554017201594</v>
      </c>
    </row>
    <row r="188" ht="14.25" customHeight="1">
      <c r="A188" s="26">
        <v>40901.0</v>
      </c>
      <c r="B188" s="13" t="s">
        <v>218</v>
      </c>
      <c r="C188" s="27">
        <v>2.8342261145594194</v>
      </c>
      <c r="D188" s="27">
        <v>4.390126169313226</v>
      </c>
    </row>
    <row r="189" ht="14.25" customHeight="1">
      <c r="A189" s="26">
        <v>40902.0</v>
      </c>
      <c r="B189" s="13" t="s">
        <v>228</v>
      </c>
      <c r="C189" s="27">
        <v>0.0</v>
      </c>
      <c r="D189" s="27">
        <v>0.0</v>
      </c>
    </row>
    <row r="190" ht="14.25" customHeight="1">
      <c r="A190" s="26">
        <v>40903.0</v>
      </c>
      <c r="B190" s="13" t="s">
        <v>595</v>
      </c>
      <c r="C190" s="27">
        <v>0.0</v>
      </c>
      <c r="D190" s="27">
        <v>0.0</v>
      </c>
    </row>
    <row r="191" ht="14.25" customHeight="1">
      <c r="A191" s="26">
        <v>41001.0</v>
      </c>
      <c r="B191" s="13" t="s">
        <v>225</v>
      </c>
      <c r="C191" s="27">
        <v>2.982581722739203</v>
      </c>
      <c r="D191" s="27">
        <v>2.810567734682406</v>
      </c>
    </row>
    <row r="192" ht="14.25" customHeight="1">
      <c r="A192" s="26">
        <v>41101.0</v>
      </c>
      <c r="B192" s="13" t="s">
        <v>598</v>
      </c>
      <c r="C192" s="27">
        <v>0.0</v>
      </c>
      <c r="D192" s="27">
        <v>0.0</v>
      </c>
    </row>
    <row r="193" ht="14.25" customHeight="1">
      <c r="A193" s="26">
        <v>41201.0</v>
      </c>
      <c r="B193" s="13" t="s">
        <v>600</v>
      </c>
      <c r="C193" s="27">
        <v>0.0</v>
      </c>
      <c r="D193" s="27">
        <v>0.0</v>
      </c>
    </row>
    <row r="194" ht="14.25" customHeight="1">
      <c r="A194" s="26">
        <v>41202.0</v>
      </c>
      <c r="B194" s="13" t="s">
        <v>234</v>
      </c>
      <c r="C194" s="27">
        <v>0.0</v>
      </c>
      <c r="D194" s="27">
        <v>11.546010853250202</v>
      </c>
    </row>
    <row r="195" ht="14.25" customHeight="1">
      <c r="A195" s="26">
        <v>41301.0</v>
      </c>
      <c r="B195" s="13" t="s">
        <v>563</v>
      </c>
      <c r="C195" s="27">
        <v>0.0</v>
      </c>
      <c r="D195" s="27">
        <v>0.0</v>
      </c>
    </row>
    <row r="196" ht="14.25" customHeight="1">
      <c r="A196" s="26">
        <v>41401.0</v>
      </c>
      <c r="B196" s="13" t="s">
        <v>603</v>
      </c>
      <c r="C196" s="27">
        <v>0.0</v>
      </c>
      <c r="D196" s="27">
        <v>2.468770058756727</v>
      </c>
    </row>
    <row r="197" ht="14.25" customHeight="1">
      <c r="A197" s="26">
        <v>41501.0</v>
      </c>
      <c r="B197" s="13" t="s">
        <v>605</v>
      </c>
      <c r="C197" s="27">
        <v>0.0</v>
      </c>
      <c r="D197" s="27">
        <v>0.0</v>
      </c>
    </row>
    <row r="198" ht="14.25" customHeight="1">
      <c r="A198" s="26">
        <v>41502.0</v>
      </c>
      <c r="B198" s="13" t="s">
        <v>606</v>
      </c>
      <c r="C198" s="27">
        <v>0.0</v>
      </c>
      <c r="D198" s="27">
        <v>0.0</v>
      </c>
    </row>
    <row r="199" ht="14.25" customHeight="1">
      <c r="A199" s="26">
        <v>41503.0</v>
      </c>
      <c r="B199" s="13" t="s">
        <v>240</v>
      </c>
      <c r="C199" s="27">
        <v>0.0</v>
      </c>
      <c r="D199" s="27">
        <v>0.0</v>
      </c>
    </row>
    <row r="200" ht="14.25" customHeight="1">
      <c r="A200" s="26">
        <v>41601.0</v>
      </c>
      <c r="B200" s="13" t="s">
        <v>235</v>
      </c>
      <c r="C200" s="27">
        <v>5.757052389176741</v>
      </c>
      <c r="D200" s="27">
        <v>0.0</v>
      </c>
    </row>
    <row r="201" ht="14.25" customHeight="1">
      <c r="A201" s="26">
        <v>50101.0</v>
      </c>
      <c r="B201" s="13" t="s">
        <v>244</v>
      </c>
      <c r="C201" s="27">
        <v>6.005698401098786</v>
      </c>
      <c r="D201" s="27">
        <v>3.708207953460142</v>
      </c>
    </row>
    <row r="202" ht="14.25" customHeight="1">
      <c r="A202" s="26">
        <v>50102.0</v>
      </c>
      <c r="B202" s="13" t="s">
        <v>246</v>
      </c>
      <c r="C202" s="27">
        <v>0.0</v>
      </c>
      <c r="D202" s="27">
        <v>1.163385918376844</v>
      </c>
    </row>
    <row r="203" ht="14.25" customHeight="1">
      <c r="A203" s="26">
        <v>50103.0</v>
      </c>
      <c r="B203" s="13" t="s">
        <v>610</v>
      </c>
      <c r="C203" s="27">
        <v>0.0</v>
      </c>
      <c r="D203" s="27">
        <v>0.0</v>
      </c>
    </row>
    <row r="204" ht="14.25" customHeight="1">
      <c r="A204" s="26">
        <v>50104.0</v>
      </c>
      <c r="B204" s="13" t="s">
        <v>612</v>
      </c>
      <c r="C204" s="27">
        <v>0.0</v>
      </c>
      <c r="D204" s="27">
        <v>0.0</v>
      </c>
    </row>
    <row r="205" ht="14.25" customHeight="1">
      <c r="A205" s="26">
        <v>50201.0</v>
      </c>
      <c r="B205" s="13" t="s">
        <v>249</v>
      </c>
      <c r="C205" s="27">
        <v>0.0</v>
      </c>
      <c r="D205" s="27">
        <v>7.348459776158678</v>
      </c>
    </row>
    <row r="206" ht="14.25" customHeight="1">
      <c r="A206" s="26">
        <v>50202.0</v>
      </c>
      <c r="B206" s="13" t="s">
        <v>615</v>
      </c>
      <c r="C206" s="27">
        <v>0.0</v>
      </c>
      <c r="D206" s="27">
        <v>0.0</v>
      </c>
    </row>
    <row r="207" ht="14.25" customHeight="1">
      <c r="A207" s="26">
        <v>50203.0</v>
      </c>
      <c r="B207" s="13" t="s">
        <v>252</v>
      </c>
      <c r="C207" s="27">
        <v>7.245313475631332</v>
      </c>
      <c r="D207" s="27">
        <v>8.006450995210814</v>
      </c>
    </row>
    <row r="208" ht="14.25" customHeight="1">
      <c r="A208" s="26">
        <v>50204.0</v>
      </c>
      <c r="B208" s="13" t="s">
        <v>616</v>
      </c>
      <c r="C208" s="27">
        <v>0.0</v>
      </c>
      <c r="D208" s="27">
        <v>0.0</v>
      </c>
    </row>
    <row r="209" ht="14.25" customHeight="1">
      <c r="A209" s="26">
        <v>50301.0</v>
      </c>
      <c r="B209" s="13" t="s">
        <v>254</v>
      </c>
      <c r="C209" s="27">
        <v>0.0</v>
      </c>
      <c r="D209" s="27">
        <v>2.0787133941112006</v>
      </c>
    </row>
    <row r="210" ht="14.25" customHeight="1">
      <c r="A210" s="26">
        <v>50302.0</v>
      </c>
      <c r="B210" s="13" t="s">
        <v>619</v>
      </c>
      <c r="C210" s="27">
        <v>0.0</v>
      </c>
      <c r="D210" s="27">
        <v>0.0</v>
      </c>
    </row>
    <row r="211" ht="14.25" customHeight="1">
      <c r="A211" s="26">
        <v>50303.0</v>
      </c>
      <c r="B211" s="13" t="s">
        <v>620</v>
      </c>
      <c r="C211" s="27">
        <v>0.0</v>
      </c>
      <c r="D211" s="27">
        <v>0.0</v>
      </c>
    </row>
    <row r="212" ht="14.25" customHeight="1">
      <c r="A212" s="26">
        <v>50401.0</v>
      </c>
      <c r="B212" s="13" t="s">
        <v>621</v>
      </c>
      <c r="C212" s="27">
        <v>0.0</v>
      </c>
      <c r="D212" s="27">
        <v>0.0</v>
      </c>
    </row>
    <row r="213" ht="14.25" customHeight="1">
      <c r="A213" s="26">
        <v>50402.0</v>
      </c>
      <c r="B213" s="13" t="s">
        <v>622</v>
      </c>
      <c r="C213" s="27">
        <v>0.0</v>
      </c>
      <c r="D213" s="27">
        <v>0.0</v>
      </c>
    </row>
    <row r="214" ht="14.25" customHeight="1">
      <c r="A214" s="26">
        <v>50403.0</v>
      </c>
      <c r="B214" s="13" t="s">
        <v>277</v>
      </c>
      <c r="C214" s="27">
        <v>0.0</v>
      </c>
      <c r="D214" s="27">
        <v>0.0</v>
      </c>
    </row>
    <row r="215" ht="14.25" customHeight="1">
      <c r="A215" s="26">
        <v>50404.0</v>
      </c>
      <c r="B215" s="13" t="s">
        <v>623</v>
      </c>
      <c r="C215" s="27">
        <v>0.0</v>
      </c>
      <c r="D215" s="27">
        <v>0.0</v>
      </c>
    </row>
    <row r="216" ht="14.25" customHeight="1">
      <c r="A216" s="26">
        <v>50405.0</v>
      </c>
      <c r="B216" s="13" t="s">
        <v>271</v>
      </c>
      <c r="C216" s="27">
        <v>0.0</v>
      </c>
      <c r="D216" s="27">
        <v>1.5932192588344007</v>
      </c>
    </row>
    <row r="217" ht="14.25" customHeight="1">
      <c r="A217" s="26">
        <v>50501.0</v>
      </c>
      <c r="B217" s="13" t="s">
        <v>374</v>
      </c>
      <c r="C217" s="27">
        <v>0.0</v>
      </c>
      <c r="D217" s="27">
        <v>0.0</v>
      </c>
    </row>
    <row r="218" ht="14.25" customHeight="1">
      <c r="A218" s="26">
        <v>50502.0</v>
      </c>
      <c r="B218" s="13" t="s">
        <v>625</v>
      </c>
      <c r="C218" s="27">
        <v>0.0</v>
      </c>
      <c r="D218" s="27">
        <v>0.0</v>
      </c>
    </row>
    <row r="219" ht="14.25" customHeight="1">
      <c r="A219" s="26">
        <v>50601.0</v>
      </c>
      <c r="B219" s="13" t="s">
        <v>259</v>
      </c>
      <c r="C219" s="27">
        <v>0.0</v>
      </c>
      <c r="D219" s="27">
        <v>3.397321535970036</v>
      </c>
    </row>
    <row r="220" ht="14.25" customHeight="1">
      <c r="A220" s="26">
        <v>50602.0</v>
      </c>
      <c r="B220" s="13" t="s">
        <v>627</v>
      </c>
      <c r="C220" s="27">
        <v>0.0</v>
      </c>
      <c r="D220" s="27">
        <v>3.273108143493061</v>
      </c>
    </row>
    <row r="221" ht="14.25" customHeight="1">
      <c r="A221" s="26">
        <v>50701.0</v>
      </c>
      <c r="B221" s="13" t="s">
        <v>629</v>
      </c>
      <c r="C221" s="27">
        <v>0.0</v>
      </c>
      <c r="D221" s="27">
        <v>1.8932939528191148</v>
      </c>
    </row>
    <row r="222" ht="14.25" customHeight="1">
      <c r="A222" s="26">
        <v>50702.0</v>
      </c>
      <c r="B222" s="13" t="s">
        <v>630</v>
      </c>
      <c r="C222" s="27">
        <v>0.0</v>
      </c>
      <c r="D222" s="27">
        <v>0.0</v>
      </c>
    </row>
    <row r="223" ht="14.25" customHeight="1">
      <c r="A223" s="26">
        <v>50801.0</v>
      </c>
      <c r="B223" s="13" t="s">
        <v>260</v>
      </c>
      <c r="C223" s="27">
        <v>2.2144153802353634</v>
      </c>
      <c r="D223" s="27">
        <v>6.587684822484834</v>
      </c>
    </row>
    <row r="224" ht="14.25" customHeight="1">
      <c r="A224" s="26">
        <v>50802.0</v>
      </c>
      <c r="B224" s="13" t="s">
        <v>284</v>
      </c>
      <c r="C224" s="27">
        <v>0.0</v>
      </c>
      <c r="D224" s="27">
        <v>3.46860908775581</v>
      </c>
    </row>
    <row r="225" ht="14.25" customHeight="1">
      <c r="A225" s="26">
        <v>50901.0</v>
      </c>
      <c r="B225" s="13" t="s">
        <v>633</v>
      </c>
      <c r="C225" s="27">
        <v>0.0</v>
      </c>
      <c r="D225" s="27">
        <v>0.0</v>
      </c>
    </row>
    <row r="226" ht="14.25" customHeight="1">
      <c r="A226" s="26">
        <v>50902.0</v>
      </c>
      <c r="B226" s="13" t="s">
        <v>635</v>
      </c>
      <c r="C226" s="27">
        <v>0.0</v>
      </c>
      <c r="D226" s="27">
        <v>0.0</v>
      </c>
    </row>
    <row r="227" ht="14.25" customHeight="1">
      <c r="A227" s="26">
        <v>51001.0</v>
      </c>
      <c r="B227" s="13" t="s">
        <v>638</v>
      </c>
      <c r="C227" s="27">
        <v>0.0</v>
      </c>
      <c r="D227" s="27">
        <v>0.0</v>
      </c>
    </row>
    <row r="228" ht="14.25" customHeight="1">
      <c r="A228" s="26">
        <v>51002.0</v>
      </c>
      <c r="B228" s="13" t="s">
        <v>640</v>
      </c>
      <c r="C228" s="27">
        <v>0.0</v>
      </c>
      <c r="D228" s="27">
        <v>0.0</v>
      </c>
    </row>
    <row r="229" ht="14.25" customHeight="1">
      <c r="A229" s="26">
        <v>51003.0</v>
      </c>
      <c r="B229" s="13" t="s">
        <v>641</v>
      </c>
      <c r="C229" s="27">
        <v>0.0</v>
      </c>
      <c r="D229" s="27">
        <v>0.0</v>
      </c>
    </row>
    <row r="230" ht="14.25" customHeight="1">
      <c r="A230" s="26">
        <v>51101.0</v>
      </c>
      <c r="B230" s="13" t="s">
        <v>266</v>
      </c>
      <c r="C230" s="27">
        <v>1.7832941008631142</v>
      </c>
      <c r="D230" s="27">
        <v>9.789131393110345</v>
      </c>
    </row>
    <row r="231" ht="14.25" customHeight="1">
      <c r="A231" s="26">
        <v>51102.0</v>
      </c>
      <c r="B231" s="13" t="s">
        <v>644</v>
      </c>
      <c r="C231" s="27">
        <v>0.0</v>
      </c>
      <c r="D231" s="27">
        <v>0.0</v>
      </c>
    </row>
    <row r="232" ht="14.25" customHeight="1">
      <c r="A232" s="26">
        <v>51103.0</v>
      </c>
      <c r="B232" s="13" t="s">
        <v>645</v>
      </c>
      <c r="C232" s="27">
        <v>0.0</v>
      </c>
      <c r="D232" s="27">
        <v>0.0</v>
      </c>
    </row>
    <row r="233" ht="14.25" customHeight="1">
      <c r="A233" s="26">
        <v>51201.0</v>
      </c>
      <c r="B233" s="13" t="s">
        <v>264</v>
      </c>
      <c r="C233" s="27">
        <v>8.177477244015064</v>
      </c>
      <c r="D233" s="27">
        <v>0.9696405542465407</v>
      </c>
    </row>
    <row r="234" ht="14.25" customHeight="1">
      <c r="A234" s="26">
        <v>51202.0</v>
      </c>
      <c r="B234" s="13" t="s">
        <v>647</v>
      </c>
      <c r="C234" s="27">
        <v>0.0</v>
      </c>
      <c r="D234" s="27">
        <v>0.0</v>
      </c>
    </row>
    <row r="235" ht="14.25" customHeight="1">
      <c r="A235" s="26">
        <v>51203.0</v>
      </c>
      <c r="B235" s="13" t="s">
        <v>648</v>
      </c>
      <c r="C235" s="27">
        <v>0.0</v>
      </c>
      <c r="D235" s="27">
        <v>0.0</v>
      </c>
    </row>
    <row r="236" ht="14.25" customHeight="1">
      <c r="A236" s="26">
        <v>51204.0</v>
      </c>
      <c r="B236" s="13" t="s">
        <v>649</v>
      </c>
      <c r="C236" s="27">
        <v>0.0</v>
      </c>
      <c r="D236" s="27">
        <v>0.0</v>
      </c>
    </row>
    <row r="237" ht="14.25" customHeight="1">
      <c r="A237" s="26">
        <v>51301.0</v>
      </c>
      <c r="B237" s="13" t="s">
        <v>651</v>
      </c>
      <c r="C237" s="27">
        <v>0.0</v>
      </c>
      <c r="D237" s="27">
        <v>0.0</v>
      </c>
    </row>
    <row r="238" ht="14.25" customHeight="1">
      <c r="A238" s="26">
        <v>51302.0</v>
      </c>
      <c r="B238" s="13" t="s">
        <v>652</v>
      </c>
      <c r="C238" s="27">
        <v>0.0</v>
      </c>
      <c r="D238" s="27">
        <v>0.0</v>
      </c>
    </row>
    <row r="239" ht="14.25" customHeight="1">
      <c r="A239" s="26">
        <v>51401.0</v>
      </c>
      <c r="B239" s="13" t="s">
        <v>269</v>
      </c>
      <c r="C239" s="27">
        <v>15.992974370956437</v>
      </c>
      <c r="D239" s="27">
        <v>7.9611495900007965</v>
      </c>
    </row>
    <row r="240" ht="14.25" customHeight="1">
      <c r="A240" s="26">
        <v>51402.0</v>
      </c>
      <c r="B240" s="13" t="s">
        <v>654</v>
      </c>
      <c r="C240" s="27">
        <v>0.0</v>
      </c>
      <c r="D240" s="27">
        <v>0.0</v>
      </c>
    </row>
    <row r="241" ht="14.25" customHeight="1">
      <c r="A241" s="26">
        <v>51501.0</v>
      </c>
      <c r="B241" s="13" t="s">
        <v>257</v>
      </c>
      <c r="C241" s="27">
        <v>7.764666678558245</v>
      </c>
      <c r="D241" s="27">
        <v>5.466127604985101</v>
      </c>
    </row>
    <row r="242" ht="14.25" customHeight="1">
      <c r="A242" s="26">
        <v>51601.0</v>
      </c>
      <c r="B242" s="13" t="s">
        <v>273</v>
      </c>
      <c r="C242" s="27">
        <v>0.0</v>
      </c>
      <c r="D242" s="27">
        <v>0.0</v>
      </c>
    </row>
    <row r="243" ht="14.25" customHeight="1">
      <c r="A243" s="26">
        <v>60101.0</v>
      </c>
      <c r="B243" s="13" t="s">
        <v>276</v>
      </c>
      <c r="C243" s="27">
        <v>5.554569552860681</v>
      </c>
      <c r="D243" s="27">
        <v>4.088648144300862</v>
      </c>
    </row>
    <row r="244" ht="14.25" customHeight="1">
      <c r="A244" s="26">
        <v>60201.0</v>
      </c>
      <c r="B244" s="13" t="s">
        <v>279</v>
      </c>
      <c r="C244" s="27">
        <v>3.6531682101302354</v>
      </c>
      <c r="D244" s="27">
        <v>0.0</v>
      </c>
    </row>
    <row r="245" ht="14.25" customHeight="1">
      <c r="A245" s="26">
        <v>60202.0</v>
      </c>
      <c r="B245" s="13" t="s">
        <v>281</v>
      </c>
      <c r="C245" s="27">
        <v>11.171552640594344</v>
      </c>
      <c r="D245" s="27">
        <v>11.791925110076898</v>
      </c>
    </row>
    <row r="246" ht="14.25" customHeight="1">
      <c r="A246" s="26">
        <v>60301.0</v>
      </c>
      <c r="B246" s="13" t="s">
        <v>283</v>
      </c>
      <c r="C246" s="27">
        <v>8.06378490845628</v>
      </c>
      <c r="D246" s="27">
        <v>8.23980004400865</v>
      </c>
    </row>
    <row r="247" ht="14.25" customHeight="1">
      <c r="A247" s="26">
        <v>60302.0</v>
      </c>
      <c r="B247" s="13" t="s">
        <v>286</v>
      </c>
      <c r="C247" s="27">
        <v>6.4625938972382615</v>
      </c>
      <c r="D247" s="27">
        <v>2.14679805070737</v>
      </c>
    </row>
    <row r="248" ht="14.25" customHeight="1">
      <c r="A248" s="26">
        <v>60303.0</v>
      </c>
      <c r="B248" s="13" t="s">
        <v>659</v>
      </c>
      <c r="C248" s="27">
        <v>6.982226840435497</v>
      </c>
      <c r="D248" s="27">
        <v>7.3427112080197565</v>
      </c>
    </row>
    <row r="249" ht="14.25" customHeight="1">
      <c r="A249" s="26">
        <v>60401.0</v>
      </c>
      <c r="B249" s="13" t="s">
        <v>290</v>
      </c>
      <c r="C249" s="27">
        <v>0.0</v>
      </c>
      <c r="D249" s="27">
        <v>8.386196114077407</v>
      </c>
    </row>
    <row r="250" ht="14.25" customHeight="1">
      <c r="A250" s="26">
        <v>60402.0</v>
      </c>
      <c r="B250" s="13" t="s">
        <v>661</v>
      </c>
      <c r="C250" s="27">
        <v>0.0</v>
      </c>
      <c r="D250" s="27">
        <v>0.0</v>
      </c>
    </row>
    <row r="251" ht="14.25" customHeight="1">
      <c r="A251" s="26">
        <v>60501.0</v>
      </c>
      <c r="B251" s="13" t="s">
        <v>406</v>
      </c>
      <c r="C251" s="27">
        <v>8.734750148171747</v>
      </c>
      <c r="D251" s="27">
        <v>3.295327225993541</v>
      </c>
    </row>
    <row r="252" ht="14.25" customHeight="1">
      <c r="A252" s="26">
        <v>60502.0</v>
      </c>
      <c r="B252" s="13" t="s">
        <v>295</v>
      </c>
      <c r="C252" s="27">
        <v>3.193153878085385</v>
      </c>
      <c r="D252" s="27">
        <v>0.0</v>
      </c>
    </row>
    <row r="253" ht="14.25" customHeight="1">
      <c r="A253" s="26">
        <v>60601.0</v>
      </c>
      <c r="B253" s="13" t="s">
        <v>154</v>
      </c>
      <c r="C253" s="27">
        <v>3.1044717806428133</v>
      </c>
      <c r="D253" s="27">
        <v>0.0</v>
      </c>
    </row>
    <row r="254" ht="14.25" customHeight="1">
      <c r="A254" s="26">
        <v>70101.0</v>
      </c>
      <c r="B254" s="13" t="s">
        <v>298</v>
      </c>
      <c r="C254" s="27">
        <v>4.785016920320513</v>
      </c>
      <c r="D254" s="27">
        <v>2.357264399928043</v>
      </c>
    </row>
    <row r="255" ht="14.25" customHeight="1">
      <c r="A255" s="26">
        <v>70102.0</v>
      </c>
      <c r="B255" s="13" t="s">
        <v>300</v>
      </c>
      <c r="C255" s="27">
        <v>5.008214379279565</v>
      </c>
      <c r="D255" s="27">
        <v>11.054404858717085</v>
      </c>
    </row>
    <row r="256" ht="14.25" customHeight="1">
      <c r="A256" s="26">
        <v>70103.0</v>
      </c>
      <c r="B256" s="13" t="s">
        <v>302</v>
      </c>
      <c r="C256" s="27">
        <v>0.0</v>
      </c>
      <c r="D256" s="27">
        <v>10.3867474249344</v>
      </c>
    </row>
    <row r="257" ht="14.25" customHeight="1">
      <c r="A257" s="26">
        <v>70104.0</v>
      </c>
      <c r="B257" s="13" t="s">
        <v>304</v>
      </c>
      <c r="C257" s="27">
        <v>7.027610759671771</v>
      </c>
      <c r="D257" s="27">
        <v>2.600170974026278</v>
      </c>
    </row>
    <row r="258" ht="14.25" customHeight="1">
      <c r="A258" s="26">
        <v>70105.0</v>
      </c>
      <c r="B258" s="13" t="s">
        <v>306</v>
      </c>
      <c r="C258" s="27">
        <v>10.770656403672831</v>
      </c>
      <c r="D258" s="27">
        <v>4.8207796533970635</v>
      </c>
    </row>
    <row r="259" ht="14.25" customHeight="1">
      <c r="A259" s="26">
        <v>70201.0</v>
      </c>
      <c r="B259" s="13" t="s">
        <v>308</v>
      </c>
      <c r="C259" s="27">
        <v>6.676737390968895</v>
      </c>
      <c r="D259" s="27">
        <v>18.623156724242673</v>
      </c>
    </row>
    <row r="260" ht="14.25" customHeight="1">
      <c r="A260" s="26">
        <v>70202.0</v>
      </c>
      <c r="B260" s="13" t="s">
        <v>311</v>
      </c>
      <c r="C260" s="27">
        <v>0.0</v>
      </c>
      <c r="D260" s="27">
        <v>0.0</v>
      </c>
    </row>
    <row r="261" ht="14.25" customHeight="1">
      <c r="A261" s="26">
        <v>70301.0</v>
      </c>
      <c r="B261" s="13" t="s">
        <v>313</v>
      </c>
      <c r="C261" s="27">
        <v>6.048497920150218</v>
      </c>
      <c r="D261" s="27">
        <v>9.625946748938318</v>
      </c>
    </row>
    <row r="262" ht="14.25" customHeight="1">
      <c r="A262" s="26">
        <v>70302.0</v>
      </c>
      <c r="B262" s="13" t="s">
        <v>315</v>
      </c>
      <c r="C262" s="27">
        <v>2.509473261562398</v>
      </c>
      <c r="D262" s="27">
        <v>2.2851397362948744</v>
      </c>
    </row>
    <row r="263" ht="14.25" customHeight="1">
      <c r="A263" s="26">
        <v>70303.0</v>
      </c>
      <c r="B263" s="13" t="s">
        <v>318</v>
      </c>
      <c r="C263" s="27">
        <v>0.0</v>
      </c>
      <c r="D263" s="27">
        <v>7.944073721004131</v>
      </c>
    </row>
    <row r="264" ht="14.25" customHeight="1">
      <c r="A264" s="26">
        <v>70401.0</v>
      </c>
      <c r="B264" s="13" t="s">
        <v>670</v>
      </c>
      <c r="C264" s="27">
        <v>0.0</v>
      </c>
      <c r="D264" s="27">
        <v>0.0</v>
      </c>
    </row>
    <row r="265" ht="14.25" customHeight="1">
      <c r="A265" s="26">
        <v>70402.0</v>
      </c>
      <c r="B265" s="13" t="s">
        <v>321</v>
      </c>
      <c r="C265" s="27">
        <v>0.0</v>
      </c>
      <c r="D265" s="27">
        <v>1.742099578411902</v>
      </c>
    </row>
    <row r="266" ht="14.25" customHeight="1">
      <c r="A266" s="26">
        <v>70403.0</v>
      </c>
      <c r="B266" s="13" t="s">
        <v>316</v>
      </c>
      <c r="C266" s="27">
        <v>9.811355378385494</v>
      </c>
      <c r="D266" s="27">
        <v>14.62113201787165</v>
      </c>
    </row>
    <row r="267" ht="14.25" customHeight="1">
      <c r="A267" s="26">
        <v>70404.0</v>
      </c>
      <c r="B267" s="13" t="s">
        <v>671</v>
      </c>
      <c r="C267" s="27">
        <v>0.0</v>
      </c>
      <c r="D267" s="27">
        <v>0.0</v>
      </c>
    </row>
    <row r="268" ht="14.25" customHeight="1">
      <c r="A268" s="26">
        <v>70501.0</v>
      </c>
      <c r="B268" s="13" t="s">
        <v>325</v>
      </c>
      <c r="C268" s="27">
        <v>0.0</v>
      </c>
      <c r="D268" s="27">
        <v>12.578211383612325</v>
      </c>
    </row>
    <row r="269" ht="14.25" customHeight="1">
      <c r="A269" s="26">
        <v>70502.0</v>
      </c>
      <c r="B269" s="13" t="s">
        <v>327</v>
      </c>
      <c r="C269" s="27">
        <v>1.4225782343210247</v>
      </c>
      <c r="D269" s="27">
        <v>11.94449551817992</v>
      </c>
    </row>
    <row r="270" ht="14.25" customHeight="1">
      <c r="A270" s="26">
        <v>70503.0</v>
      </c>
      <c r="B270" s="13" t="s">
        <v>330</v>
      </c>
      <c r="C270" s="27">
        <v>0.0</v>
      </c>
      <c r="D270" s="27">
        <v>1.827184856291911</v>
      </c>
    </row>
    <row r="271" ht="14.25" customHeight="1">
      <c r="A271" s="26">
        <v>70601.0</v>
      </c>
      <c r="B271" s="13" t="s">
        <v>332</v>
      </c>
      <c r="C271" s="27">
        <v>10.292681887262749</v>
      </c>
      <c r="D271" s="27">
        <v>14.688286046409752</v>
      </c>
    </row>
    <row r="272" ht="14.25" customHeight="1">
      <c r="A272" s="26">
        <v>70602.0</v>
      </c>
      <c r="B272" s="13" t="s">
        <v>335</v>
      </c>
      <c r="C272" s="27">
        <v>0.0</v>
      </c>
      <c r="D272" s="27">
        <v>1.8415188847761632</v>
      </c>
    </row>
    <row r="273" ht="14.25" customHeight="1">
      <c r="A273" s="26">
        <v>70603.0</v>
      </c>
      <c r="B273" s="13" t="s">
        <v>675</v>
      </c>
      <c r="C273" s="27">
        <v>0.0</v>
      </c>
      <c r="D273" s="27">
        <v>0.0</v>
      </c>
    </row>
    <row r="274" ht="14.25" customHeight="1">
      <c r="A274" s="26">
        <v>70701.0</v>
      </c>
      <c r="B274" s="13" t="s">
        <v>677</v>
      </c>
      <c r="C274" s="27">
        <v>0.0</v>
      </c>
      <c r="D274" s="27">
        <v>0.0</v>
      </c>
    </row>
    <row r="275" ht="14.25" customHeight="1">
      <c r="A275" s="26">
        <v>70702.0</v>
      </c>
      <c r="B275" s="13" t="s">
        <v>337</v>
      </c>
      <c r="C275" s="27">
        <v>0.958295001533272</v>
      </c>
      <c r="D275" s="27">
        <v>0.8917186092756569</v>
      </c>
    </row>
    <row r="276" ht="14.25" customHeight="1">
      <c r="A276" s="26">
        <v>70703.0</v>
      </c>
      <c r="B276" s="13" t="s">
        <v>340</v>
      </c>
      <c r="C276" s="27">
        <v>4.469486435190509</v>
      </c>
      <c r="D276" s="27">
        <v>6.152631485917834</v>
      </c>
    </row>
    <row r="277" ht="14.25" customHeight="1">
      <c r="A277" s="26">
        <v>70704.0</v>
      </c>
      <c r="B277" s="13" t="s">
        <v>678</v>
      </c>
      <c r="C277" s="27">
        <v>0.0</v>
      </c>
      <c r="D277" s="27">
        <v>0.0</v>
      </c>
    </row>
    <row r="278" ht="14.25" customHeight="1">
      <c r="A278" s="26">
        <v>70705.0</v>
      </c>
      <c r="B278" s="13" t="s">
        <v>342</v>
      </c>
      <c r="C278" s="27">
        <v>2.4678561733422177</v>
      </c>
      <c r="D278" s="27">
        <v>0.0</v>
      </c>
    </row>
    <row r="279" ht="14.25" customHeight="1">
      <c r="A279" s="26">
        <v>70706.0</v>
      </c>
      <c r="B279" s="13" t="s">
        <v>344</v>
      </c>
      <c r="C279" s="27">
        <v>4.024990228935713</v>
      </c>
      <c r="D279" s="27">
        <v>10.279516619804758</v>
      </c>
    </row>
    <row r="280" ht="14.25" customHeight="1">
      <c r="A280" s="26">
        <v>70707.0</v>
      </c>
      <c r="B280" s="13" t="s">
        <v>679</v>
      </c>
      <c r="C280" s="27">
        <v>0.0</v>
      </c>
      <c r="D280" s="27">
        <v>0.0</v>
      </c>
    </row>
    <row r="281" ht="14.25" customHeight="1">
      <c r="A281" s="26">
        <v>70801.0</v>
      </c>
      <c r="B281" s="13" t="s">
        <v>346</v>
      </c>
      <c r="C281" s="27">
        <v>3.8703434929850022</v>
      </c>
      <c r="D281" s="27">
        <v>3.8656306776450577</v>
      </c>
    </row>
    <row r="282" ht="14.25" customHeight="1">
      <c r="A282" s="26">
        <v>70802.0</v>
      </c>
      <c r="B282" s="13" t="s">
        <v>680</v>
      </c>
      <c r="C282" s="27">
        <v>0.0</v>
      </c>
      <c r="D282" s="27">
        <v>0.0</v>
      </c>
    </row>
    <row r="283" ht="14.25" customHeight="1">
      <c r="A283" s="26">
        <v>70803.0</v>
      </c>
      <c r="B283" s="13" t="s">
        <v>681</v>
      </c>
      <c r="C283" s="27">
        <v>0.0</v>
      </c>
      <c r="D283" s="27">
        <v>0.0</v>
      </c>
    </row>
    <row r="284" ht="14.25" customHeight="1">
      <c r="A284" s="26">
        <v>70804.0</v>
      </c>
      <c r="B284" s="13" t="s">
        <v>683</v>
      </c>
      <c r="C284" s="27">
        <v>0.0</v>
      </c>
      <c r="D284" s="27">
        <v>0.0</v>
      </c>
    </row>
    <row r="285" ht="14.25" customHeight="1">
      <c r="A285" s="26">
        <v>70805.0</v>
      </c>
      <c r="B285" s="13" t="s">
        <v>684</v>
      </c>
      <c r="C285" s="27">
        <v>16.33986928104575</v>
      </c>
      <c r="D285" s="27">
        <v>0.0</v>
      </c>
    </row>
    <row r="286" ht="14.25" customHeight="1">
      <c r="A286" s="26">
        <v>70901.0</v>
      </c>
      <c r="B286" s="13" t="s">
        <v>363</v>
      </c>
      <c r="C286" s="27">
        <v>0.0</v>
      </c>
      <c r="D286" s="27">
        <v>2.8146021559852517</v>
      </c>
    </row>
    <row r="287" ht="14.25" customHeight="1">
      <c r="A287" s="26">
        <v>70902.0</v>
      </c>
      <c r="B287" s="13" t="s">
        <v>350</v>
      </c>
      <c r="C287" s="27">
        <v>0.0</v>
      </c>
      <c r="D287" s="27">
        <v>0.0</v>
      </c>
    </row>
    <row r="288" ht="14.25" customHeight="1">
      <c r="A288" s="26">
        <v>70903.0</v>
      </c>
      <c r="B288" s="13" t="s">
        <v>353</v>
      </c>
      <c r="C288" s="27">
        <v>0.0</v>
      </c>
      <c r="D288" s="27">
        <v>10.83218241395185</v>
      </c>
    </row>
    <row r="289" ht="14.25" customHeight="1">
      <c r="A289" s="26">
        <v>70904.0</v>
      </c>
      <c r="B289" s="13" t="s">
        <v>686</v>
      </c>
      <c r="C289" s="27">
        <v>0.0</v>
      </c>
      <c r="D289" s="27">
        <v>0.0</v>
      </c>
    </row>
    <row r="290" ht="14.25" customHeight="1">
      <c r="A290" s="26">
        <v>71001.0</v>
      </c>
      <c r="B290" s="13" t="s">
        <v>319</v>
      </c>
      <c r="C290" s="27">
        <v>6.507379995098469</v>
      </c>
      <c r="D290" s="27">
        <v>6.356753504663224</v>
      </c>
    </row>
    <row r="291" ht="14.25" customHeight="1">
      <c r="A291" s="26">
        <v>71002.0</v>
      </c>
      <c r="B291" s="13" t="s">
        <v>688</v>
      </c>
      <c r="C291" s="27">
        <v>0.0</v>
      </c>
      <c r="D291" s="27">
        <v>2.032644266926845</v>
      </c>
    </row>
    <row r="292" ht="14.25" customHeight="1">
      <c r="A292" s="26">
        <v>71003.0</v>
      </c>
      <c r="B292" s="13" t="s">
        <v>351</v>
      </c>
      <c r="C292" s="27">
        <v>2.876663263657812</v>
      </c>
      <c r="D292" s="27">
        <v>4.323389796038824</v>
      </c>
    </row>
    <row r="293" ht="14.25" customHeight="1">
      <c r="A293" s="26">
        <v>71004.0</v>
      </c>
      <c r="B293" s="13" t="s">
        <v>361</v>
      </c>
      <c r="C293" s="27">
        <v>0.0</v>
      </c>
      <c r="D293" s="27">
        <v>2.2683452421458545</v>
      </c>
    </row>
    <row r="294" ht="14.25" customHeight="1">
      <c r="A294" s="26">
        <v>71005.0</v>
      </c>
      <c r="B294" s="13" t="s">
        <v>374</v>
      </c>
      <c r="C294" s="27">
        <v>0.0</v>
      </c>
      <c r="D294" s="27">
        <v>0.0</v>
      </c>
    </row>
    <row r="295" ht="14.25" customHeight="1">
      <c r="A295" s="26">
        <v>71101.0</v>
      </c>
      <c r="B295" s="13" t="s">
        <v>381</v>
      </c>
      <c r="C295" s="27">
        <v>0.0</v>
      </c>
      <c r="D295" s="27">
        <v>0.0</v>
      </c>
    </row>
    <row r="296" ht="14.25" customHeight="1">
      <c r="A296" s="26">
        <v>71102.0</v>
      </c>
      <c r="B296" s="13" t="s">
        <v>690</v>
      </c>
      <c r="C296" s="27">
        <v>0.0</v>
      </c>
      <c r="D296" s="27">
        <v>0.0</v>
      </c>
    </row>
    <row r="297" ht="14.25" customHeight="1">
      <c r="A297" s="26">
        <v>71103.0</v>
      </c>
      <c r="B297" s="13" t="s">
        <v>394</v>
      </c>
      <c r="C297" s="27">
        <v>0.0</v>
      </c>
      <c r="D297" s="27">
        <v>0.0</v>
      </c>
    </row>
    <row r="298" ht="14.25" customHeight="1">
      <c r="A298" s="26">
        <v>71104.0</v>
      </c>
      <c r="B298" s="13" t="s">
        <v>358</v>
      </c>
      <c r="C298" s="27">
        <v>1.4376801592949615</v>
      </c>
      <c r="D298" s="27">
        <v>2.209597147786028</v>
      </c>
    </row>
    <row r="299" ht="14.25" customHeight="1">
      <c r="A299" s="26">
        <v>71105.0</v>
      </c>
      <c r="B299" s="13" t="s">
        <v>691</v>
      </c>
      <c r="C299" s="27">
        <v>0.0</v>
      </c>
      <c r="D299" s="27">
        <v>0.0</v>
      </c>
    </row>
    <row r="300" ht="14.25" customHeight="1">
      <c r="A300" s="26">
        <v>71106.0</v>
      </c>
      <c r="B300" s="13" t="s">
        <v>692</v>
      </c>
      <c r="C300" s="27">
        <v>0.0</v>
      </c>
      <c r="D300" s="27">
        <v>0.0</v>
      </c>
    </row>
    <row r="301" ht="14.25" customHeight="1">
      <c r="A301" s="26">
        <v>71201.0</v>
      </c>
      <c r="B301" s="13" t="s">
        <v>333</v>
      </c>
      <c r="C301" s="27">
        <v>26.72336549885961</v>
      </c>
      <c r="D301" s="27">
        <v>41.43173409602106</v>
      </c>
    </row>
    <row r="302" ht="14.25" customHeight="1">
      <c r="A302" s="26">
        <v>71301.0</v>
      </c>
      <c r="B302" s="13" t="s">
        <v>355</v>
      </c>
      <c r="C302" s="27">
        <v>0.0</v>
      </c>
      <c r="D302" s="27">
        <v>11.679651707508084</v>
      </c>
    </row>
    <row r="303" ht="14.25" customHeight="1">
      <c r="A303" s="26">
        <v>71302.0</v>
      </c>
      <c r="B303" s="13" t="s">
        <v>695</v>
      </c>
      <c r="C303" s="27">
        <v>0.0</v>
      </c>
      <c r="D303" s="27">
        <v>0.0</v>
      </c>
    </row>
    <row r="304" ht="14.25" customHeight="1">
      <c r="A304" s="26">
        <v>71401.0</v>
      </c>
      <c r="B304" s="13" t="s">
        <v>328</v>
      </c>
      <c r="C304" s="27">
        <v>5.408762882604318</v>
      </c>
      <c r="D304" s="27">
        <v>39.73554032416971</v>
      </c>
    </row>
    <row r="305" ht="14.25" customHeight="1">
      <c r="A305" s="26">
        <v>71402.0</v>
      </c>
      <c r="B305" s="13" t="s">
        <v>323</v>
      </c>
      <c r="C305" s="27">
        <v>5.750591822168424</v>
      </c>
      <c r="D305" s="27">
        <v>59.65352148269883</v>
      </c>
    </row>
    <row r="306" ht="14.25" customHeight="1">
      <c r="A306" s="26">
        <v>71403.0</v>
      </c>
      <c r="B306" s="13" t="s">
        <v>697</v>
      </c>
      <c r="C306" s="27">
        <v>0.0</v>
      </c>
      <c r="D306" s="27">
        <v>0.0</v>
      </c>
    </row>
    <row r="307" ht="14.25" customHeight="1">
      <c r="A307" s="26">
        <v>71501.0</v>
      </c>
      <c r="B307" s="13" t="s">
        <v>699</v>
      </c>
      <c r="C307" s="27">
        <v>4.341260665457461</v>
      </c>
      <c r="D307" s="27">
        <v>12.852589847771027</v>
      </c>
    </row>
    <row r="308" ht="14.25" customHeight="1">
      <c r="A308" s="26">
        <v>71502.0</v>
      </c>
      <c r="B308" s="13" t="s">
        <v>700</v>
      </c>
      <c r="C308" s="27">
        <v>0.0</v>
      </c>
      <c r="D308" s="27">
        <v>0.0</v>
      </c>
    </row>
    <row r="309" ht="14.25" customHeight="1">
      <c r="A309" s="26">
        <v>71503.0</v>
      </c>
      <c r="B309" s="13" t="s">
        <v>295</v>
      </c>
      <c r="C309" s="27">
        <v>2.1519259737465033</v>
      </c>
      <c r="D309" s="27">
        <v>0.0</v>
      </c>
    </row>
    <row r="310" ht="14.25" customHeight="1">
      <c r="A310" s="26">
        <v>80101.0</v>
      </c>
      <c r="B310" s="13" t="s">
        <v>371</v>
      </c>
      <c r="C310" s="27">
        <v>15.074765054573566</v>
      </c>
      <c r="D310" s="27">
        <v>3.701112104315914</v>
      </c>
    </row>
    <row r="311" ht="14.25" customHeight="1">
      <c r="A311" s="26">
        <v>80102.0</v>
      </c>
      <c r="B311" s="13" t="s">
        <v>690</v>
      </c>
      <c r="C311" s="27">
        <v>0.0</v>
      </c>
      <c r="D311" s="27">
        <v>0.0</v>
      </c>
    </row>
    <row r="312" ht="14.25" customHeight="1">
      <c r="A312" s="26">
        <v>80201.0</v>
      </c>
      <c r="B312" s="13" t="s">
        <v>373</v>
      </c>
      <c r="C312" s="27">
        <v>12.802400071304897</v>
      </c>
      <c r="D312" s="27">
        <v>8.878369319708604</v>
      </c>
    </row>
    <row r="313" ht="14.25" customHeight="1">
      <c r="A313" s="26">
        <v>80202.0</v>
      </c>
      <c r="B313" s="13" t="s">
        <v>376</v>
      </c>
      <c r="C313" s="27">
        <v>10.337227814296462</v>
      </c>
      <c r="D313" s="27">
        <v>15.07470113999472</v>
      </c>
    </row>
    <row r="314" ht="14.25" customHeight="1">
      <c r="A314" s="26">
        <v>80301.0</v>
      </c>
      <c r="B314" s="13" t="s">
        <v>705</v>
      </c>
      <c r="C314" s="27">
        <v>0.0</v>
      </c>
      <c r="D314" s="27">
        <v>0.0</v>
      </c>
    </row>
    <row r="315" ht="14.25" customHeight="1">
      <c r="A315" s="26">
        <v>80302.0</v>
      </c>
      <c r="B315" s="13" t="s">
        <v>378</v>
      </c>
      <c r="C315" s="27">
        <v>5.385182204310859</v>
      </c>
      <c r="D315" s="27">
        <v>7.344728713893255</v>
      </c>
    </row>
    <row r="316" ht="14.25" customHeight="1">
      <c r="A316" s="26">
        <v>80303.0</v>
      </c>
      <c r="B316" s="13" t="s">
        <v>404</v>
      </c>
      <c r="C316" s="27">
        <v>0.0</v>
      </c>
      <c r="D316" s="27">
        <v>2.997062878379188</v>
      </c>
    </row>
    <row r="317" ht="14.25" customHeight="1">
      <c r="A317" s="26">
        <v>80304.0</v>
      </c>
      <c r="B317" s="13" t="s">
        <v>706</v>
      </c>
      <c r="C317" s="27">
        <v>4.904845987835982</v>
      </c>
      <c r="D317" s="27">
        <v>14.200549191206667</v>
      </c>
    </row>
    <row r="318" ht="14.25" customHeight="1">
      <c r="A318" s="26">
        <v>80401.0</v>
      </c>
      <c r="B318" s="13" t="s">
        <v>708</v>
      </c>
      <c r="C318" s="27">
        <v>1.9054151899698943</v>
      </c>
      <c r="D318" s="27">
        <v>12.952184518832928</v>
      </c>
    </row>
    <row r="319" ht="14.25" customHeight="1">
      <c r="A319" s="26">
        <v>80402.0</v>
      </c>
      <c r="B319" s="13" t="s">
        <v>385</v>
      </c>
      <c r="C319" s="27">
        <v>0.0</v>
      </c>
      <c r="D319" s="27">
        <v>4.308302098143122</v>
      </c>
    </row>
    <row r="320" ht="14.25" customHeight="1">
      <c r="A320" s="26">
        <v>80501.0</v>
      </c>
      <c r="B320" s="13" t="s">
        <v>388</v>
      </c>
      <c r="C320" s="27">
        <v>1.6171809302024711</v>
      </c>
      <c r="D320" s="27">
        <v>0.0</v>
      </c>
    </row>
    <row r="321" ht="14.25" customHeight="1">
      <c r="A321" s="26">
        <v>80601.0</v>
      </c>
      <c r="B321" s="13" t="s">
        <v>390</v>
      </c>
      <c r="C321" s="27">
        <v>8.308408109006313</v>
      </c>
      <c r="D321" s="27">
        <v>0.0</v>
      </c>
    </row>
    <row r="322" ht="14.25" customHeight="1">
      <c r="A322" s="26">
        <v>80602.0</v>
      </c>
      <c r="B322" s="13" t="s">
        <v>711</v>
      </c>
      <c r="C322" s="27">
        <v>0.0</v>
      </c>
      <c r="D322" s="27">
        <v>0.0</v>
      </c>
    </row>
    <row r="323" ht="14.25" customHeight="1">
      <c r="A323" s="26">
        <v>80701.0</v>
      </c>
      <c r="B323" s="13" t="s">
        <v>392</v>
      </c>
      <c r="C323" s="27">
        <v>4.864049807870033</v>
      </c>
      <c r="D323" s="27">
        <v>0.0</v>
      </c>
    </row>
    <row r="324" ht="14.25" customHeight="1">
      <c r="A324" s="26">
        <v>80702.0</v>
      </c>
      <c r="B324" s="13" t="s">
        <v>394</v>
      </c>
      <c r="C324" s="27">
        <v>0.0</v>
      </c>
      <c r="D324" s="27">
        <v>6.172839506172839</v>
      </c>
    </row>
    <row r="325" ht="14.25" customHeight="1">
      <c r="A325" s="26">
        <v>80703.0</v>
      </c>
      <c r="B325" s="13" t="s">
        <v>713</v>
      </c>
      <c r="C325" s="27">
        <v>0.0</v>
      </c>
      <c r="D325" s="27">
        <v>0.0</v>
      </c>
    </row>
    <row r="326" ht="14.25" customHeight="1">
      <c r="A326" s="26">
        <v>80801.0</v>
      </c>
      <c r="B326" s="13" t="s">
        <v>396</v>
      </c>
      <c r="C326" s="27">
        <v>2.786136186336788</v>
      </c>
      <c r="D326" s="27">
        <v>0.0</v>
      </c>
    </row>
    <row r="327" ht="14.25" customHeight="1">
      <c r="A327" s="26">
        <v>80802.0</v>
      </c>
      <c r="B327" s="13" t="s">
        <v>715</v>
      </c>
      <c r="C327" s="27">
        <v>0.0</v>
      </c>
      <c r="D327" s="27">
        <v>0.0</v>
      </c>
    </row>
    <row r="328" ht="14.25" customHeight="1">
      <c r="A328" s="26">
        <v>80803.0</v>
      </c>
      <c r="B328" s="13" t="s">
        <v>401</v>
      </c>
      <c r="C328" s="27">
        <v>0.0</v>
      </c>
      <c r="D328" s="27">
        <v>7.199424046076314</v>
      </c>
    </row>
    <row r="329" ht="14.25" customHeight="1">
      <c r="A329" s="26">
        <v>80901.0</v>
      </c>
      <c r="B329" s="13" t="s">
        <v>716</v>
      </c>
      <c r="C329" s="27">
        <v>0.0</v>
      </c>
      <c r="D329" s="27">
        <v>0.0</v>
      </c>
    </row>
    <row r="330" ht="14.25" customHeight="1">
      <c r="A330" s="26">
        <v>90101.0</v>
      </c>
      <c r="B330" s="13" t="s">
        <v>398</v>
      </c>
      <c r="C330" s="27">
        <v>17.700129490419133</v>
      </c>
      <c r="D330" s="27">
        <v>25.211455711794553</v>
      </c>
    </row>
    <row r="331" ht="14.25" customHeight="1">
      <c r="A331" s="26">
        <v>90102.0</v>
      </c>
      <c r="B331" s="13" t="s">
        <v>719</v>
      </c>
      <c r="C331" s="27">
        <v>0.0</v>
      </c>
      <c r="D331" s="27">
        <v>0.0</v>
      </c>
    </row>
    <row r="332" ht="14.25" customHeight="1">
      <c r="A332" s="26">
        <v>90103.0</v>
      </c>
      <c r="B332" s="13" t="s">
        <v>411</v>
      </c>
      <c r="C332" s="27">
        <v>0.0</v>
      </c>
      <c r="D332" s="27">
        <v>13.67801942278758</v>
      </c>
    </row>
    <row r="333" ht="14.25" customHeight="1">
      <c r="A333" s="26">
        <v>90104.0</v>
      </c>
      <c r="B333" s="13" t="s">
        <v>400</v>
      </c>
      <c r="C333" s="27">
        <v>0.0</v>
      </c>
      <c r="D333" s="27">
        <v>9.065361254645998</v>
      </c>
    </row>
    <row r="334" ht="14.25" customHeight="1">
      <c r="A334" s="26">
        <v>90201.0</v>
      </c>
      <c r="B334" s="13" t="s">
        <v>403</v>
      </c>
      <c r="C334" s="27">
        <v>4.9684503403388485</v>
      </c>
      <c r="D334" s="27">
        <v>4.643172215257464</v>
      </c>
    </row>
    <row r="335" ht="14.25" customHeight="1">
      <c r="A335" s="26">
        <v>90202.0</v>
      </c>
      <c r="B335" s="13" t="s">
        <v>374</v>
      </c>
      <c r="C335" s="27">
        <v>0.0</v>
      </c>
      <c r="D335" s="27">
        <v>0.0</v>
      </c>
    </row>
    <row r="336" ht="14.25" customHeight="1">
      <c r="A336" s="26">
        <v>90203.0</v>
      </c>
      <c r="B336" s="13" t="s">
        <v>721</v>
      </c>
      <c r="C336" s="27">
        <v>0.0</v>
      </c>
      <c r="D336" s="27">
        <v>0.0</v>
      </c>
    </row>
    <row r="337" ht="14.25" customHeight="1">
      <c r="A337" s="26">
        <v>90301.0</v>
      </c>
      <c r="B337" s="13" t="s">
        <v>723</v>
      </c>
      <c r="C337" s="27">
        <v>0.0</v>
      </c>
      <c r="D337" s="27">
        <v>0.0</v>
      </c>
    </row>
    <row r="338" ht="14.25" customHeight="1">
      <c r="A338" s="26">
        <v>90302.0</v>
      </c>
      <c r="B338" s="13" t="s">
        <v>406</v>
      </c>
      <c r="C338" s="27">
        <v>0.0</v>
      </c>
      <c r="D338" s="27">
        <v>3.5202590910691023</v>
      </c>
    </row>
    <row r="339" ht="14.25" customHeight="1">
      <c r="A339" s="26">
        <v>90303.0</v>
      </c>
      <c r="B339" s="13" t="s">
        <v>724</v>
      </c>
      <c r="C339" s="27">
        <v>0.0</v>
      </c>
      <c r="D339" s="27">
        <v>6.571381632988335</v>
      </c>
    </row>
    <row r="340" ht="14.25" customHeight="1">
      <c r="A340" s="26">
        <v>90401.0</v>
      </c>
      <c r="B340" s="13" t="s">
        <v>404</v>
      </c>
      <c r="C340" s="27">
        <v>0.0</v>
      </c>
      <c r="D340" s="27">
        <v>0.0</v>
      </c>
    </row>
    <row r="341" ht="14.25" customHeight="1">
      <c r="A341" s="26">
        <v>90402.0</v>
      </c>
      <c r="B341" s="13" t="s">
        <v>499</v>
      </c>
      <c r="C341" s="27">
        <v>0.0</v>
      </c>
      <c r="D341" s="27">
        <v>0.0</v>
      </c>
    </row>
    <row r="342" ht="14.25" customHeight="1">
      <c r="A342" s="26">
        <v>90501.0</v>
      </c>
      <c r="B342" s="13" t="s">
        <v>727</v>
      </c>
      <c r="C342" s="27">
        <v>0.0</v>
      </c>
      <c r="D342" s="27">
        <v>0.0</v>
      </c>
    </row>
    <row r="343" ht="14.25" customHeight="1">
      <c r="A343" s="26">
        <v>90502.0</v>
      </c>
      <c r="B343" s="13" t="s">
        <v>728</v>
      </c>
      <c r="C343" s="27">
        <v>0.0</v>
      </c>
      <c r="D343" s="27">
        <v>0.0</v>
      </c>
    </row>
    <row r="344" ht="14.25" customHeight="1">
      <c r="A344" s="26">
        <v>90503.0</v>
      </c>
      <c r="B344" s="13" t="s">
        <v>730</v>
      </c>
      <c r="C344" s="27">
        <v>0.0</v>
      </c>
      <c r="D344" s="27">
        <v>0.0</v>
      </c>
    </row>
    <row r="345" ht="14.25" customHeight="1">
      <c r="C345" s="29"/>
      <c r="D345" s="29"/>
    </row>
    <row r="346" ht="14.25" customHeight="1">
      <c r="C346" s="29"/>
      <c r="D346" s="29"/>
    </row>
    <row r="347" ht="14.25" customHeight="1">
      <c r="C347" s="29"/>
      <c r="D347" s="29"/>
    </row>
    <row r="348" ht="14.25" customHeight="1">
      <c r="C348" s="29"/>
      <c r="D348" s="29"/>
    </row>
    <row r="349" ht="14.25" customHeight="1">
      <c r="C349" s="29"/>
      <c r="D349" s="29"/>
    </row>
    <row r="350" ht="14.25" customHeight="1">
      <c r="C350" s="29"/>
      <c r="D350" s="29"/>
    </row>
    <row r="351" ht="14.25" customHeight="1">
      <c r="C351" s="29"/>
      <c r="D351" s="29"/>
    </row>
    <row r="352" ht="14.25" customHeight="1">
      <c r="C352" s="29"/>
      <c r="D352" s="29"/>
    </row>
    <row r="353" ht="14.25" customHeight="1">
      <c r="C353" s="29"/>
      <c r="D353" s="29"/>
    </row>
    <row r="354" ht="14.25" customHeight="1">
      <c r="C354" s="29"/>
      <c r="D354" s="29"/>
    </row>
    <row r="355" ht="14.25" customHeight="1">
      <c r="C355" s="29"/>
      <c r="D355" s="29"/>
    </row>
    <row r="356" ht="14.25" customHeight="1">
      <c r="C356" s="29"/>
      <c r="D356" s="29"/>
    </row>
    <row r="357" ht="14.25" customHeight="1">
      <c r="C357" s="29"/>
      <c r="D357" s="29"/>
    </row>
    <row r="358" ht="14.25" customHeight="1">
      <c r="C358" s="29"/>
      <c r="D358" s="29"/>
    </row>
    <row r="359" ht="14.25" customHeight="1">
      <c r="C359" s="29"/>
      <c r="D359" s="29"/>
    </row>
    <row r="360" ht="14.25" customHeight="1">
      <c r="C360" s="29"/>
      <c r="D360" s="29"/>
    </row>
    <row r="361" ht="14.25" customHeight="1">
      <c r="C361" s="29"/>
      <c r="D361" s="29"/>
    </row>
    <row r="362" ht="14.25" customHeight="1">
      <c r="C362" s="29"/>
      <c r="D362" s="29"/>
    </row>
    <row r="363" ht="14.25" customHeight="1">
      <c r="C363" s="29"/>
      <c r="D363" s="29"/>
    </row>
    <row r="364" ht="14.25" customHeight="1">
      <c r="C364" s="29"/>
      <c r="D364" s="29"/>
    </row>
    <row r="365" ht="14.25" customHeight="1">
      <c r="C365" s="29"/>
      <c r="D365" s="29"/>
    </row>
    <row r="366" ht="14.25" customHeight="1">
      <c r="C366" s="29"/>
      <c r="D366" s="29"/>
    </row>
    <row r="367" ht="14.25" customHeight="1">
      <c r="C367" s="29"/>
      <c r="D367" s="29"/>
    </row>
    <row r="368" ht="14.25" customHeight="1">
      <c r="C368" s="29"/>
      <c r="D368" s="29"/>
    </row>
    <row r="369" ht="14.25" customHeight="1">
      <c r="C369" s="29"/>
      <c r="D369" s="29"/>
    </row>
    <row r="370" ht="14.25" customHeight="1">
      <c r="C370" s="29"/>
      <c r="D370" s="29"/>
    </row>
    <row r="371" ht="14.25" customHeight="1">
      <c r="C371" s="29"/>
      <c r="D371" s="29"/>
    </row>
    <row r="372" ht="14.25" customHeight="1">
      <c r="C372" s="29"/>
      <c r="D372" s="29"/>
    </row>
    <row r="373" ht="14.25" customHeight="1">
      <c r="C373" s="29"/>
      <c r="D373" s="29"/>
    </row>
    <row r="374" ht="14.25" customHeight="1">
      <c r="C374" s="29"/>
      <c r="D374" s="29"/>
    </row>
    <row r="375" ht="14.25" customHeight="1">
      <c r="C375" s="29"/>
      <c r="D375" s="29"/>
    </row>
    <row r="376" ht="14.25" customHeight="1">
      <c r="C376" s="29"/>
      <c r="D376" s="29"/>
    </row>
    <row r="377" ht="14.25" customHeight="1">
      <c r="C377" s="29"/>
      <c r="D377" s="29"/>
    </row>
    <row r="378" ht="14.25" customHeight="1">
      <c r="C378" s="29"/>
      <c r="D378" s="29"/>
    </row>
    <row r="379" ht="14.25" customHeight="1">
      <c r="C379" s="29"/>
      <c r="D379" s="29"/>
    </row>
    <row r="380" ht="14.25" customHeight="1">
      <c r="C380" s="29"/>
      <c r="D380" s="29"/>
    </row>
    <row r="381" ht="14.25" customHeight="1">
      <c r="C381" s="29"/>
      <c r="D381" s="29"/>
    </row>
    <row r="382" ht="14.25" customHeight="1">
      <c r="C382" s="29"/>
      <c r="D382" s="29"/>
    </row>
    <row r="383" ht="14.25" customHeight="1">
      <c r="C383" s="29"/>
      <c r="D383" s="29"/>
    </row>
    <row r="384" ht="14.25" customHeight="1">
      <c r="C384" s="29"/>
      <c r="D384" s="29"/>
    </row>
    <row r="385" ht="14.25" customHeight="1">
      <c r="C385" s="29"/>
      <c r="D385" s="29"/>
    </row>
    <row r="386" ht="14.25" customHeight="1">
      <c r="C386" s="29"/>
      <c r="D386" s="29"/>
    </row>
    <row r="387" ht="14.25" customHeight="1">
      <c r="C387" s="29"/>
      <c r="D387" s="29"/>
    </row>
    <row r="388" ht="14.25" customHeight="1">
      <c r="C388" s="29"/>
      <c r="D388" s="29"/>
    </row>
    <row r="389" ht="14.25" customHeight="1">
      <c r="C389" s="29"/>
      <c r="D389" s="29"/>
    </row>
    <row r="390" ht="14.25" customHeight="1">
      <c r="C390" s="29"/>
      <c r="D390" s="29"/>
    </row>
    <row r="391" ht="14.25" customHeight="1">
      <c r="C391" s="29"/>
      <c r="D391" s="29"/>
    </row>
    <row r="392" ht="14.25" customHeight="1">
      <c r="C392" s="29"/>
      <c r="D392" s="29"/>
    </row>
    <row r="393" ht="14.25" customHeight="1">
      <c r="C393" s="29"/>
      <c r="D393" s="29"/>
    </row>
    <row r="394" ht="14.25" customHeight="1">
      <c r="C394" s="29"/>
      <c r="D394" s="29"/>
    </row>
    <row r="395" ht="14.25" customHeight="1">
      <c r="C395" s="29"/>
      <c r="D395" s="29"/>
    </row>
    <row r="396" ht="14.25" customHeight="1">
      <c r="C396" s="29"/>
      <c r="D396" s="29"/>
    </row>
    <row r="397" ht="14.25" customHeight="1">
      <c r="C397" s="29"/>
      <c r="D397" s="29"/>
    </row>
    <row r="398" ht="14.25" customHeight="1">
      <c r="C398" s="29"/>
      <c r="D398" s="29"/>
    </row>
    <row r="399" ht="14.25" customHeight="1">
      <c r="C399" s="29"/>
      <c r="D399" s="29"/>
    </row>
    <row r="400" ht="14.25" customHeight="1">
      <c r="C400" s="29"/>
      <c r="D400" s="29"/>
    </row>
    <row r="401" ht="14.25" customHeight="1">
      <c r="C401" s="29"/>
      <c r="D401" s="29"/>
    </row>
    <row r="402" ht="14.25" customHeight="1">
      <c r="C402" s="29"/>
      <c r="D402" s="29"/>
    </row>
    <row r="403" ht="14.25" customHeight="1">
      <c r="C403" s="29"/>
      <c r="D403" s="29"/>
    </row>
    <row r="404" ht="14.25" customHeight="1">
      <c r="C404" s="29"/>
      <c r="D404" s="29"/>
    </row>
    <row r="405" ht="14.25" customHeight="1">
      <c r="C405" s="29"/>
      <c r="D405" s="29"/>
    </row>
    <row r="406" ht="14.25" customHeight="1">
      <c r="C406" s="29"/>
      <c r="D406" s="29"/>
    </row>
    <row r="407" ht="14.25" customHeight="1">
      <c r="C407" s="29"/>
      <c r="D407" s="29"/>
    </row>
    <row r="408" ht="14.25" customHeight="1">
      <c r="C408" s="29"/>
      <c r="D408" s="29"/>
    </row>
    <row r="409" ht="14.25" customHeight="1">
      <c r="C409" s="29"/>
      <c r="D409" s="29"/>
    </row>
    <row r="410" ht="14.25" customHeight="1">
      <c r="C410" s="29"/>
      <c r="D410" s="29"/>
    </row>
    <row r="411" ht="14.25" customHeight="1">
      <c r="C411" s="29"/>
      <c r="D411" s="29"/>
    </row>
    <row r="412" ht="14.25" customHeight="1">
      <c r="C412" s="29"/>
      <c r="D412" s="29"/>
    </row>
    <row r="413" ht="14.25" customHeight="1">
      <c r="C413" s="29"/>
      <c r="D413" s="29"/>
    </row>
    <row r="414" ht="14.25" customHeight="1">
      <c r="C414" s="29"/>
      <c r="D414" s="29"/>
    </row>
    <row r="415" ht="14.25" customHeight="1">
      <c r="C415" s="29"/>
      <c r="D415" s="29"/>
    </row>
    <row r="416" ht="14.25" customHeight="1">
      <c r="C416" s="29"/>
      <c r="D416" s="29"/>
    </row>
    <row r="417" ht="14.25" customHeight="1">
      <c r="C417" s="29"/>
      <c r="D417" s="29"/>
    </row>
    <row r="418" ht="14.25" customHeight="1">
      <c r="C418" s="29"/>
      <c r="D418" s="29"/>
    </row>
    <row r="419" ht="14.25" customHeight="1">
      <c r="C419" s="29"/>
      <c r="D419" s="29"/>
    </row>
    <row r="420" ht="14.25" customHeight="1">
      <c r="C420" s="29"/>
      <c r="D420" s="29"/>
    </row>
    <row r="421" ht="14.25" customHeight="1">
      <c r="C421" s="29"/>
      <c r="D421" s="29"/>
    </row>
    <row r="422" ht="14.25" customHeight="1">
      <c r="C422" s="29"/>
      <c r="D422" s="29"/>
    </row>
    <row r="423" ht="14.25" customHeight="1">
      <c r="C423" s="29"/>
      <c r="D423" s="29"/>
    </row>
    <row r="424" ht="14.25" customHeight="1">
      <c r="C424" s="29"/>
      <c r="D424" s="29"/>
    </row>
    <row r="425" ht="14.25" customHeight="1">
      <c r="C425" s="29"/>
      <c r="D425" s="29"/>
    </row>
    <row r="426" ht="14.25" customHeight="1">
      <c r="C426" s="29"/>
      <c r="D426" s="29"/>
    </row>
    <row r="427" ht="14.25" customHeight="1">
      <c r="C427" s="29"/>
      <c r="D427" s="29"/>
    </row>
    <row r="428" ht="14.25" customHeight="1">
      <c r="C428" s="29"/>
      <c r="D428" s="29"/>
    </row>
    <row r="429" ht="14.25" customHeight="1">
      <c r="C429" s="29"/>
      <c r="D429" s="29"/>
    </row>
    <row r="430" ht="14.25" customHeight="1">
      <c r="C430" s="29"/>
      <c r="D430" s="29"/>
    </row>
    <row r="431" ht="14.25" customHeight="1">
      <c r="C431" s="29"/>
      <c r="D431" s="29"/>
    </row>
    <row r="432" ht="14.25" customHeight="1">
      <c r="C432" s="29"/>
      <c r="D432" s="29"/>
    </row>
    <row r="433" ht="14.25" customHeight="1">
      <c r="C433" s="29"/>
      <c r="D433" s="29"/>
    </row>
    <row r="434" ht="14.25" customHeight="1">
      <c r="C434" s="29"/>
      <c r="D434" s="29"/>
    </row>
    <row r="435" ht="14.25" customHeight="1">
      <c r="C435" s="29"/>
      <c r="D435" s="29"/>
    </row>
    <row r="436" ht="14.25" customHeight="1">
      <c r="C436" s="29"/>
      <c r="D436" s="29"/>
    </row>
    <row r="437" ht="14.25" customHeight="1">
      <c r="C437" s="29"/>
      <c r="D437" s="29"/>
    </row>
    <row r="438" ht="14.25" customHeight="1">
      <c r="C438" s="29"/>
      <c r="D438" s="29"/>
    </row>
    <row r="439" ht="14.25" customHeight="1">
      <c r="C439" s="29"/>
      <c r="D439" s="29"/>
    </row>
    <row r="440" ht="14.25" customHeight="1">
      <c r="C440" s="29"/>
      <c r="D440" s="29"/>
    </row>
    <row r="441" ht="14.25" customHeight="1">
      <c r="C441" s="29"/>
      <c r="D441" s="29"/>
    </row>
    <row r="442" ht="14.25" customHeight="1">
      <c r="C442" s="29"/>
      <c r="D442" s="29"/>
    </row>
    <row r="443" ht="14.25" customHeight="1">
      <c r="C443" s="29"/>
      <c r="D443" s="29"/>
    </row>
    <row r="444" ht="14.25" customHeight="1">
      <c r="C444" s="29"/>
      <c r="D444" s="29"/>
    </row>
    <row r="445" ht="14.25" customHeight="1">
      <c r="C445" s="29"/>
      <c r="D445" s="29"/>
    </row>
    <row r="446" ht="14.25" customHeight="1">
      <c r="C446" s="29"/>
      <c r="D446" s="29"/>
    </row>
    <row r="447" ht="14.25" customHeight="1">
      <c r="C447" s="29"/>
      <c r="D447" s="29"/>
    </row>
    <row r="448" ht="14.25" customHeight="1">
      <c r="C448" s="29"/>
      <c r="D448" s="29"/>
    </row>
    <row r="449" ht="14.25" customHeight="1">
      <c r="C449" s="29"/>
      <c r="D449" s="29"/>
    </row>
    <row r="450" ht="14.25" customHeight="1">
      <c r="C450" s="29"/>
      <c r="D450" s="29"/>
    </row>
    <row r="451" ht="14.25" customHeight="1">
      <c r="C451" s="29"/>
      <c r="D451" s="29"/>
    </row>
    <row r="452" ht="14.25" customHeight="1">
      <c r="C452" s="29"/>
      <c r="D452" s="29"/>
    </row>
    <row r="453" ht="14.25" customHeight="1">
      <c r="C453" s="29"/>
      <c r="D453" s="29"/>
    </row>
    <row r="454" ht="14.25" customHeight="1">
      <c r="C454" s="29"/>
      <c r="D454" s="29"/>
    </row>
    <row r="455" ht="14.25" customHeight="1">
      <c r="C455" s="29"/>
      <c r="D455" s="29"/>
    </row>
    <row r="456" ht="14.25" customHeight="1">
      <c r="C456" s="29"/>
      <c r="D456" s="29"/>
    </row>
    <row r="457" ht="14.25" customHeight="1">
      <c r="C457" s="29"/>
      <c r="D457" s="29"/>
    </row>
    <row r="458" ht="14.25" customHeight="1">
      <c r="C458" s="29"/>
      <c r="D458" s="29"/>
    </row>
    <row r="459" ht="14.25" customHeight="1">
      <c r="C459" s="29"/>
      <c r="D459" s="29"/>
    </row>
    <row r="460" ht="14.25" customHeight="1">
      <c r="C460" s="29"/>
      <c r="D460" s="29"/>
    </row>
    <row r="461" ht="14.25" customHeight="1">
      <c r="C461" s="29"/>
      <c r="D461" s="29"/>
    </row>
    <row r="462" ht="14.25" customHeight="1">
      <c r="C462" s="29"/>
      <c r="D462" s="29"/>
    </row>
    <row r="463" ht="14.25" customHeight="1">
      <c r="C463" s="29"/>
      <c r="D463" s="29"/>
    </row>
    <row r="464" ht="14.25" customHeight="1">
      <c r="C464" s="29"/>
      <c r="D464" s="29"/>
    </row>
    <row r="465" ht="14.25" customHeight="1">
      <c r="C465" s="29"/>
      <c r="D465" s="29"/>
    </row>
    <row r="466" ht="14.25" customHeight="1">
      <c r="C466" s="29"/>
      <c r="D466" s="29"/>
    </row>
    <row r="467" ht="14.25" customHeight="1">
      <c r="C467" s="29"/>
      <c r="D467" s="29"/>
    </row>
    <row r="468" ht="14.25" customHeight="1">
      <c r="C468" s="29"/>
      <c r="D468" s="29"/>
    </row>
    <row r="469" ht="14.25" customHeight="1">
      <c r="C469" s="29"/>
      <c r="D469" s="29"/>
    </row>
    <row r="470" ht="14.25" customHeight="1">
      <c r="C470" s="29"/>
      <c r="D470" s="29"/>
    </row>
    <row r="471" ht="14.25" customHeight="1">
      <c r="C471" s="29"/>
      <c r="D471" s="29"/>
    </row>
    <row r="472" ht="14.25" customHeight="1">
      <c r="C472" s="29"/>
      <c r="D472" s="29"/>
    </row>
    <row r="473" ht="14.25" customHeight="1">
      <c r="C473" s="29"/>
      <c r="D473" s="29"/>
    </row>
    <row r="474" ht="14.25" customHeight="1">
      <c r="C474" s="29"/>
      <c r="D474" s="29"/>
    </row>
    <row r="475" ht="14.25" customHeight="1">
      <c r="C475" s="29"/>
      <c r="D475" s="29"/>
    </row>
    <row r="476" ht="14.25" customHeight="1">
      <c r="C476" s="29"/>
      <c r="D476" s="29"/>
    </row>
    <row r="477" ht="14.25" customHeight="1">
      <c r="C477" s="29"/>
      <c r="D477" s="29"/>
    </row>
    <row r="478" ht="14.25" customHeight="1">
      <c r="C478" s="29"/>
      <c r="D478" s="29"/>
    </row>
    <row r="479" ht="14.25" customHeight="1">
      <c r="C479" s="29"/>
      <c r="D479" s="29"/>
    </row>
    <row r="480" ht="14.25" customHeight="1">
      <c r="C480" s="29"/>
      <c r="D480" s="29"/>
    </row>
    <row r="481" ht="14.25" customHeight="1">
      <c r="C481" s="29"/>
      <c r="D481" s="29"/>
    </row>
    <row r="482" ht="14.25" customHeight="1">
      <c r="C482" s="29"/>
      <c r="D482" s="29"/>
    </row>
    <row r="483" ht="14.25" customHeight="1">
      <c r="C483" s="29"/>
      <c r="D483" s="29"/>
    </row>
    <row r="484" ht="14.25" customHeight="1">
      <c r="C484" s="29"/>
      <c r="D484" s="29"/>
    </row>
    <row r="485" ht="14.25" customHeight="1">
      <c r="C485" s="29"/>
      <c r="D485" s="29"/>
    </row>
    <row r="486" ht="14.25" customHeight="1">
      <c r="C486" s="29"/>
      <c r="D486" s="29"/>
    </row>
    <row r="487" ht="14.25" customHeight="1">
      <c r="C487" s="29"/>
      <c r="D487" s="29"/>
    </row>
    <row r="488" ht="14.25" customHeight="1">
      <c r="C488" s="29"/>
      <c r="D488" s="29"/>
    </row>
    <row r="489" ht="14.25" customHeight="1">
      <c r="C489" s="29"/>
      <c r="D489" s="29"/>
    </row>
    <row r="490" ht="14.25" customHeight="1">
      <c r="C490" s="29"/>
      <c r="D490" s="29"/>
    </row>
    <row r="491" ht="14.25" customHeight="1">
      <c r="C491" s="29"/>
      <c r="D491" s="29"/>
    </row>
    <row r="492" ht="14.25" customHeight="1">
      <c r="C492" s="29"/>
      <c r="D492" s="29"/>
    </row>
    <row r="493" ht="14.25" customHeight="1">
      <c r="C493" s="29"/>
      <c r="D493" s="29"/>
    </row>
    <row r="494" ht="14.25" customHeight="1">
      <c r="C494" s="29"/>
      <c r="D494" s="29"/>
    </row>
    <row r="495" ht="14.25" customHeight="1">
      <c r="C495" s="29"/>
      <c r="D495" s="29"/>
    </row>
    <row r="496" ht="14.25" customHeight="1">
      <c r="C496" s="29"/>
      <c r="D496" s="29"/>
    </row>
    <row r="497" ht="14.25" customHeight="1">
      <c r="C497" s="29"/>
      <c r="D497" s="29"/>
    </row>
    <row r="498" ht="14.25" customHeight="1">
      <c r="C498" s="29"/>
      <c r="D498" s="29"/>
    </row>
    <row r="499" ht="14.25" customHeight="1">
      <c r="C499" s="29"/>
      <c r="D499" s="29"/>
    </row>
    <row r="500" ht="14.25" customHeight="1">
      <c r="C500" s="29"/>
      <c r="D500" s="29"/>
    </row>
    <row r="501" ht="14.25" customHeight="1">
      <c r="C501" s="29"/>
      <c r="D501" s="29"/>
    </row>
    <row r="502" ht="14.25" customHeight="1">
      <c r="C502" s="29"/>
      <c r="D502" s="29"/>
    </row>
    <row r="503" ht="14.25" customHeight="1">
      <c r="C503" s="29"/>
      <c r="D503" s="29"/>
    </row>
    <row r="504" ht="14.25" customHeight="1">
      <c r="C504" s="29"/>
      <c r="D504" s="29"/>
    </row>
    <row r="505" ht="14.25" customHeight="1">
      <c r="C505" s="29"/>
      <c r="D505" s="29"/>
    </row>
    <row r="506" ht="14.25" customHeight="1">
      <c r="C506" s="29"/>
      <c r="D506" s="29"/>
    </row>
    <row r="507" ht="14.25" customHeight="1">
      <c r="C507" s="29"/>
      <c r="D507" s="29"/>
    </row>
    <row r="508" ht="14.25" customHeight="1">
      <c r="C508" s="29"/>
      <c r="D508" s="29"/>
    </row>
    <row r="509" ht="14.25" customHeight="1">
      <c r="C509" s="29"/>
      <c r="D509" s="29"/>
    </row>
    <row r="510" ht="14.25" customHeight="1">
      <c r="C510" s="29"/>
      <c r="D510" s="29"/>
    </row>
    <row r="511" ht="14.25" customHeight="1">
      <c r="C511" s="29"/>
      <c r="D511" s="29"/>
    </row>
    <row r="512" ht="14.25" customHeight="1">
      <c r="C512" s="29"/>
      <c r="D512" s="29"/>
    </row>
    <row r="513" ht="14.25" customHeight="1">
      <c r="C513" s="29"/>
      <c r="D513" s="29"/>
    </row>
    <row r="514" ht="14.25" customHeight="1">
      <c r="C514" s="29"/>
      <c r="D514" s="29"/>
    </row>
    <row r="515" ht="14.25" customHeight="1">
      <c r="C515" s="29"/>
      <c r="D515" s="29"/>
    </row>
    <row r="516" ht="14.25" customHeight="1">
      <c r="C516" s="29"/>
      <c r="D516" s="29"/>
    </row>
    <row r="517" ht="14.25" customHeight="1">
      <c r="C517" s="29"/>
      <c r="D517" s="29"/>
    </row>
    <row r="518" ht="14.25" customHeight="1">
      <c r="C518" s="29"/>
      <c r="D518" s="29"/>
    </row>
    <row r="519" ht="14.25" customHeight="1">
      <c r="C519" s="29"/>
      <c r="D519" s="29"/>
    </row>
    <row r="520" ht="14.25" customHeight="1">
      <c r="C520" s="29"/>
      <c r="D520" s="29"/>
    </row>
    <row r="521" ht="14.25" customHeight="1">
      <c r="C521" s="29"/>
      <c r="D521" s="29"/>
    </row>
    <row r="522" ht="14.25" customHeight="1">
      <c r="C522" s="29"/>
      <c r="D522" s="29"/>
    </row>
    <row r="523" ht="14.25" customHeight="1">
      <c r="C523" s="29"/>
      <c r="D523" s="29"/>
    </row>
    <row r="524" ht="14.25" customHeight="1">
      <c r="C524" s="29"/>
      <c r="D524" s="29"/>
    </row>
    <row r="525" ht="14.25" customHeight="1">
      <c r="C525" s="29"/>
      <c r="D525" s="29"/>
    </row>
    <row r="526" ht="14.25" customHeight="1">
      <c r="C526" s="29"/>
      <c r="D526" s="29"/>
    </row>
    <row r="527" ht="14.25" customHeight="1">
      <c r="C527" s="29"/>
      <c r="D527" s="29"/>
    </row>
    <row r="528" ht="14.25" customHeight="1">
      <c r="C528" s="29"/>
      <c r="D528" s="29"/>
    </row>
    <row r="529" ht="14.25" customHeight="1">
      <c r="C529" s="29"/>
      <c r="D529" s="29"/>
    </row>
    <row r="530" ht="14.25" customHeight="1">
      <c r="C530" s="29"/>
      <c r="D530" s="29"/>
    </row>
    <row r="531" ht="14.25" customHeight="1">
      <c r="C531" s="29"/>
      <c r="D531" s="29"/>
    </row>
    <row r="532" ht="14.25" customHeight="1">
      <c r="C532" s="29"/>
      <c r="D532" s="29"/>
    </row>
    <row r="533" ht="14.25" customHeight="1">
      <c r="C533" s="29"/>
      <c r="D533" s="29"/>
    </row>
    <row r="534" ht="14.25" customHeight="1">
      <c r="C534" s="29"/>
      <c r="D534" s="29"/>
    </row>
    <row r="535" ht="14.25" customHeight="1">
      <c r="C535" s="29"/>
      <c r="D535" s="29"/>
    </row>
    <row r="536" ht="14.25" customHeight="1">
      <c r="C536" s="29"/>
      <c r="D536" s="29"/>
    </row>
    <row r="537" ht="14.25" customHeight="1">
      <c r="C537" s="29"/>
      <c r="D537" s="29"/>
    </row>
    <row r="538" ht="14.25" customHeight="1">
      <c r="C538" s="29"/>
      <c r="D538" s="29"/>
    </row>
    <row r="539" ht="14.25" customHeight="1">
      <c r="C539" s="29"/>
      <c r="D539" s="29"/>
    </row>
    <row r="540" ht="14.25" customHeight="1">
      <c r="C540" s="29"/>
      <c r="D540" s="29"/>
    </row>
    <row r="541" ht="14.25" customHeight="1">
      <c r="C541" s="29"/>
      <c r="D541" s="29"/>
    </row>
    <row r="542" ht="14.25" customHeight="1">
      <c r="C542" s="29"/>
      <c r="D542" s="29"/>
    </row>
    <row r="543" ht="14.25" customHeight="1">
      <c r="C543" s="29"/>
      <c r="D543" s="29"/>
    </row>
    <row r="544" ht="14.25" customHeight="1">
      <c r="C544" s="29"/>
      <c r="D544" s="29"/>
    </row>
    <row r="545" ht="14.25" customHeight="1">
      <c r="C545" s="29"/>
      <c r="D545" s="29"/>
    </row>
    <row r="546" ht="14.25" customHeight="1">
      <c r="C546" s="29"/>
      <c r="D546" s="29"/>
    </row>
    <row r="547" ht="14.25" customHeight="1">
      <c r="C547" s="29"/>
      <c r="D547" s="29"/>
    </row>
    <row r="548" ht="14.25" customHeight="1">
      <c r="C548" s="29"/>
      <c r="D548" s="29"/>
    </row>
    <row r="549" ht="14.25" customHeight="1">
      <c r="C549" s="29"/>
      <c r="D549" s="29"/>
    </row>
    <row r="550" ht="14.25" customHeight="1">
      <c r="C550" s="29"/>
      <c r="D550" s="29"/>
    </row>
    <row r="551" ht="14.25" customHeight="1">
      <c r="C551" s="29"/>
      <c r="D551" s="29"/>
    </row>
    <row r="552" ht="14.25" customHeight="1">
      <c r="C552" s="29"/>
      <c r="D552" s="29"/>
    </row>
    <row r="553" ht="14.25" customHeight="1">
      <c r="C553" s="29"/>
      <c r="D553" s="29"/>
    </row>
    <row r="554" ht="14.25" customHeight="1">
      <c r="C554" s="29"/>
      <c r="D554" s="29"/>
    </row>
    <row r="555" ht="14.25" customHeight="1">
      <c r="C555" s="29"/>
      <c r="D555" s="29"/>
    </row>
    <row r="556" ht="14.25" customHeight="1">
      <c r="C556" s="29"/>
      <c r="D556" s="29"/>
    </row>
    <row r="557" ht="14.25" customHeight="1">
      <c r="C557" s="29"/>
      <c r="D557" s="29"/>
    </row>
    <row r="558" ht="14.25" customHeight="1">
      <c r="C558" s="29"/>
      <c r="D558" s="29"/>
    </row>
    <row r="559" ht="14.25" customHeight="1">
      <c r="C559" s="29"/>
      <c r="D559" s="29"/>
    </row>
    <row r="560" ht="14.25" customHeight="1">
      <c r="C560" s="29"/>
      <c r="D560" s="29"/>
    </row>
    <row r="561" ht="14.25" customHeight="1">
      <c r="C561" s="29"/>
      <c r="D561" s="29"/>
    </row>
    <row r="562" ht="14.25" customHeight="1">
      <c r="C562" s="29"/>
      <c r="D562" s="29"/>
    </row>
    <row r="563" ht="14.25" customHeight="1">
      <c r="C563" s="29"/>
      <c r="D563" s="29"/>
    </row>
    <row r="564" ht="14.25" customHeight="1">
      <c r="C564" s="29"/>
      <c r="D564" s="29"/>
    </row>
    <row r="565" ht="14.25" customHeight="1">
      <c r="C565" s="29"/>
      <c r="D565" s="29"/>
    </row>
    <row r="566" ht="14.25" customHeight="1">
      <c r="C566" s="29"/>
      <c r="D566" s="29"/>
    </row>
    <row r="567" ht="14.25" customHeight="1">
      <c r="C567" s="29"/>
      <c r="D567" s="29"/>
    </row>
    <row r="568" ht="14.25" customHeight="1">
      <c r="C568" s="29"/>
      <c r="D568" s="29"/>
    </row>
    <row r="569" ht="14.25" customHeight="1">
      <c r="C569" s="29"/>
      <c r="D569" s="29"/>
    </row>
    <row r="570" ht="14.25" customHeight="1">
      <c r="C570" s="29"/>
      <c r="D570" s="29"/>
    </row>
    <row r="571" ht="14.25" customHeight="1">
      <c r="C571" s="29"/>
      <c r="D571" s="29"/>
    </row>
    <row r="572" ht="14.25" customHeight="1">
      <c r="C572" s="29"/>
      <c r="D572" s="29"/>
    </row>
    <row r="573" ht="14.25" customHeight="1">
      <c r="C573" s="29"/>
      <c r="D573" s="29"/>
    </row>
    <row r="574" ht="14.25" customHeight="1">
      <c r="C574" s="29"/>
      <c r="D574" s="29"/>
    </row>
    <row r="575" ht="14.25" customHeight="1">
      <c r="C575" s="29"/>
      <c r="D575" s="29"/>
    </row>
    <row r="576" ht="14.25" customHeight="1">
      <c r="C576" s="29"/>
      <c r="D576" s="29"/>
    </row>
    <row r="577" ht="14.25" customHeight="1">
      <c r="C577" s="29"/>
      <c r="D577" s="29"/>
    </row>
    <row r="578" ht="14.25" customHeight="1">
      <c r="C578" s="29"/>
      <c r="D578" s="29"/>
    </row>
    <row r="579" ht="14.25" customHeight="1">
      <c r="C579" s="29"/>
      <c r="D579" s="29"/>
    </row>
    <row r="580" ht="14.25" customHeight="1">
      <c r="C580" s="29"/>
      <c r="D580" s="29"/>
    </row>
    <row r="581" ht="14.25" customHeight="1">
      <c r="C581" s="29"/>
      <c r="D581" s="29"/>
    </row>
    <row r="582" ht="14.25" customHeight="1">
      <c r="C582" s="29"/>
      <c r="D582" s="29"/>
    </row>
    <row r="583" ht="14.25" customHeight="1">
      <c r="C583" s="29"/>
      <c r="D583" s="29"/>
    </row>
    <row r="584" ht="14.25" customHeight="1">
      <c r="C584" s="29"/>
      <c r="D584" s="29"/>
    </row>
    <row r="585" ht="14.25" customHeight="1">
      <c r="C585" s="29"/>
      <c r="D585" s="29"/>
    </row>
    <row r="586" ht="14.25" customHeight="1">
      <c r="C586" s="29"/>
      <c r="D586" s="29"/>
    </row>
    <row r="587" ht="14.25" customHeight="1">
      <c r="C587" s="29"/>
      <c r="D587" s="29"/>
    </row>
    <row r="588" ht="14.25" customHeight="1">
      <c r="C588" s="29"/>
      <c r="D588" s="29"/>
    </row>
    <row r="589" ht="14.25" customHeight="1">
      <c r="C589" s="29"/>
      <c r="D589" s="29"/>
    </row>
    <row r="590" ht="14.25" customHeight="1">
      <c r="C590" s="29"/>
      <c r="D590" s="29"/>
    </row>
    <row r="591" ht="14.25" customHeight="1">
      <c r="C591" s="29"/>
      <c r="D591" s="29"/>
    </row>
    <row r="592" ht="14.25" customHeight="1">
      <c r="C592" s="29"/>
      <c r="D592" s="29"/>
    </row>
    <row r="593" ht="14.25" customHeight="1">
      <c r="C593" s="29"/>
      <c r="D593" s="29"/>
    </row>
    <row r="594" ht="14.25" customHeight="1">
      <c r="C594" s="29"/>
      <c r="D594" s="29"/>
    </row>
    <row r="595" ht="14.25" customHeight="1">
      <c r="C595" s="29"/>
      <c r="D595" s="29"/>
    </row>
    <row r="596" ht="14.25" customHeight="1">
      <c r="C596" s="29"/>
      <c r="D596" s="29"/>
    </row>
    <row r="597" ht="14.25" customHeight="1">
      <c r="C597" s="29"/>
      <c r="D597" s="29"/>
    </row>
    <row r="598" ht="14.25" customHeight="1">
      <c r="C598" s="29"/>
      <c r="D598" s="29"/>
    </row>
    <row r="599" ht="14.25" customHeight="1">
      <c r="C599" s="29"/>
      <c r="D599" s="29"/>
    </row>
    <row r="600" ht="14.25" customHeight="1">
      <c r="C600" s="29"/>
      <c r="D600" s="29"/>
    </row>
    <row r="601" ht="14.25" customHeight="1">
      <c r="C601" s="29"/>
      <c r="D601" s="29"/>
    </row>
    <row r="602" ht="14.25" customHeight="1">
      <c r="C602" s="29"/>
      <c r="D602" s="29"/>
    </row>
    <row r="603" ht="14.25" customHeight="1">
      <c r="C603" s="29"/>
      <c r="D603" s="29"/>
    </row>
    <row r="604" ht="14.25" customHeight="1">
      <c r="C604" s="29"/>
      <c r="D604" s="29"/>
    </row>
    <row r="605" ht="14.25" customHeight="1">
      <c r="C605" s="29"/>
      <c r="D605" s="29"/>
    </row>
    <row r="606" ht="14.25" customHeight="1">
      <c r="C606" s="29"/>
      <c r="D606" s="29"/>
    </row>
    <row r="607" ht="14.25" customHeight="1">
      <c r="C607" s="29"/>
      <c r="D607" s="29"/>
    </row>
    <row r="608" ht="14.25" customHeight="1">
      <c r="C608" s="29"/>
      <c r="D608" s="29"/>
    </row>
    <row r="609" ht="14.25" customHeight="1">
      <c r="C609" s="29"/>
      <c r="D609" s="29"/>
    </row>
    <row r="610" ht="14.25" customHeight="1">
      <c r="C610" s="29"/>
      <c r="D610" s="29"/>
    </row>
    <row r="611" ht="14.25" customHeight="1">
      <c r="C611" s="29"/>
      <c r="D611" s="29"/>
    </row>
    <row r="612" ht="14.25" customHeight="1">
      <c r="C612" s="29"/>
      <c r="D612" s="29"/>
    </row>
    <row r="613" ht="14.25" customHeight="1">
      <c r="C613" s="29"/>
      <c r="D613" s="29"/>
    </row>
    <row r="614" ht="14.25" customHeight="1">
      <c r="C614" s="29"/>
      <c r="D614" s="29"/>
    </row>
    <row r="615" ht="14.25" customHeight="1">
      <c r="C615" s="29"/>
      <c r="D615" s="29"/>
    </row>
    <row r="616" ht="14.25" customHeight="1">
      <c r="C616" s="29"/>
      <c r="D616" s="29"/>
    </row>
    <row r="617" ht="14.25" customHeight="1">
      <c r="C617" s="29"/>
      <c r="D617" s="29"/>
    </row>
    <row r="618" ht="14.25" customHeight="1">
      <c r="C618" s="29"/>
      <c r="D618" s="29"/>
    </row>
    <row r="619" ht="14.25" customHeight="1">
      <c r="C619" s="29"/>
      <c r="D619" s="29"/>
    </row>
    <row r="620" ht="14.25" customHeight="1">
      <c r="C620" s="29"/>
      <c r="D620" s="29"/>
    </row>
    <row r="621" ht="14.25" customHeight="1">
      <c r="C621" s="29"/>
      <c r="D621" s="29"/>
    </row>
    <row r="622" ht="14.25" customHeight="1">
      <c r="C622" s="29"/>
      <c r="D622" s="29"/>
    </row>
    <row r="623" ht="14.25" customHeight="1">
      <c r="C623" s="29"/>
      <c r="D623" s="29"/>
    </row>
    <row r="624" ht="14.25" customHeight="1">
      <c r="C624" s="29"/>
      <c r="D624" s="29"/>
    </row>
    <row r="625" ht="14.25" customHeight="1">
      <c r="C625" s="29"/>
      <c r="D625" s="29"/>
    </row>
    <row r="626" ht="14.25" customHeight="1">
      <c r="C626" s="29"/>
      <c r="D626" s="29"/>
    </row>
    <row r="627" ht="14.25" customHeight="1">
      <c r="C627" s="29"/>
      <c r="D627" s="29"/>
    </row>
    <row r="628" ht="14.25" customHeight="1">
      <c r="C628" s="29"/>
      <c r="D628" s="29"/>
    </row>
    <row r="629" ht="14.25" customHeight="1">
      <c r="C629" s="29"/>
      <c r="D629" s="29"/>
    </row>
    <row r="630" ht="14.25" customHeight="1">
      <c r="C630" s="29"/>
      <c r="D630" s="29"/>
    </row>
    <row r="631" ht="14.25" customHeight="1">
      <c r="C631" s="29"/>
      <c r="D631" s="29"/>
    </row>
    <row r="632" ht="14.25" customHeight="1">
      <c r="C632" s="29"/>
      <c r="D632" s="29"/>
    </row>
    <row r="633" ht="14.25" customHeight="1">
      <c r="C633" s="29"/>
      <c r="D633" s="29"/>
    </row>
    <row r="634" ht="14.25" customHeight="1">
      <c r="C634" s="29"/>
      <c r="D634" s="29"/>
    </row>
    <row r="635" ht="14.25" customHeight="1">
      <c r="C635" s="29"/>
      <c r="D635" s="29"/>
    </row>
    <row r="636" ht="14.25" customHeight="1">
      <c r="C636" s="29"/>
      <c r="D636" s="29"/>
    </row>
    <row r="637" ht="14.25" customHeight="1">
      <c r="C637" s="29"/>
      <c r="D637" s="29"/>
    </row>
    <row r="638" ht="14.25" customHeight="1">
      <c r="C638" s="29"/>
      <c r="D638" s="29"/>
    </row>
    <row r="639" ht="14.25" customHeight="1">
      <c r="C639" s="29"/>
      <c r="D639" s="29"/>
    </row>
    <row r="640" ht="14.25" customHeight="1">
      <c r="C640" s="29"/>
      <c r="D640" s="29"/>
    </row>
    <row r="641" ht="14.25" customHeight="1">
      <c r="C641" s="29"/>
      <c r="D641" s="29"/>
    </row>
    <row r="642" ht="14.25" customHeight="1">
      <c r="C642" s="29"/>
      <c r="D642" s="29"/>
    </row>
    <row r="643" ht="14.25" customHeight="1">
      <c r="C643" s="29"/>
      <c r="D643" s="29"/>
    </row>
    <row r="644" ht="14.25" customHeight="1">
      <c r="C644" s="29"/>
      <c r="D644" s="29"/>
    </row>
    <row r="645" ht="14.25" customHeight="1">
      <c r="C645" s="29"/>
      <c r="D645" s="29"/>
    </row>
    <row r="646" ht="14.25" customHeight="1">
      <c r="C646" s="29"/>
      <c r="D646" s="29"/>
    </row>
    <row r="647" ht="14.25" customHeight="1">
      <c r="C647" s="29"/>
      <c r="D647" s="29"/>
    </row>
    <row r="648" ht="14.25" customHeight="1">
      <c r="C648" s="29"/>
      <c r="D648" s="29"/>
    </row>
    <row r="649" ht="14.25" customHeight="1">
      <c r="C649" s="29"/>
      <c r="D649" s="29"/>
    </row>
    <row r="650" ht="14.25" customHeight="1">
      <c r="C650" s="29"/>
      <c r="D650" s="29"/>
    </row>
    <row r="651" ht="14.25" customHeight="1">
      <c r="C651" s="29"/>
      <c r="D651" s="29"/>
    </row>
    <row r="652" ht="14.25" customHeight="1">
      <c r="C652" s="29"/>
      <c r="D652" s="29"/>
    </row>
    <row r="653" ht="14.25" customHeight="1">
      <c r="C653" s="29"/>
      <c r="D653" s="29"/>
    </row>
    <row r="654" ht="14.25" customHeight="1">
      <c r="C654" s="29"/>
      <c r="D654" s="29"/>
    </row>
    <row r="655" ht="14.25" customHeight="1">
      <c r="C655" s="29"/>
      <c r="D655" s="29"/>
    </row>
    <row r="656" ht="14.25" customHeight="1">
      <c r="C656" s="29"/>
      <c r="D656" s="29"/>
    </row>
    <row r="657" ht="14.25" customHeight="1">
      <c r="C657" s="29"/>
      <c r="D657" s="29"/>
    </row>
    <row r="658" ht="14.25" customHeight="1">
      <c r="C658" s="29"/>
      <c r="D658" s="29"/>
    </row>
    <row r="659" ht="14.25" customHeight="1">
      <c r="C659" s="29"/>
      <c r="D659" s="29"/>
    </row>
    <row r="660" ht="14.25" customHeight="1">
      <c r="C660" s="29"/>
      <c r="D660" s="29"/>
    </row>
    <row r="661" ht="14.25" customHeight="1">
      <c r="C661" s="29"/>
      <c r="D661" s="29"/>
    </row>
    <row r="662" ht="14.25" customHeight="1">
      <c r="C662" s="29"/>
      <c r="D662" s="29"/>
    </row>
    <row r="663" ht="14.25" customHeight="1">
      <c r="C663" s="29"/>
      <c r="D663" s="29"/>
    </row>
    <row r="664" ht="14.25" customHeight="1">
      <c r="C664" s="29"/>
      <c r="D664" s="29"/>
    </row>
    <row r="665" ht="14.25" customHeight="1">
      <c r="C665" s="29"/>
      <c r="D665" s="29"/>
    </row>
    <row r="666" ht="14.25" customHeight="1">
      <c r="C666" s="29"/>
      <c r="D666" s="29"/>
    </row>
    <row r="667" ht="14.25" customHeight="1">
      <c r="C667" s="29"/>
      <c r="D667" s="29"/>
    </row>
    <row r="668" ht="14.25" customHeight="1">
      <c r="C668" s="29"/>
      <c r="D668" s="29"/>
    </row>
    <row r="669" ht="14.25" customHeight="1">
      <c r="C669" s="29"/>
      <c r="D669" s="29"/>
    </row>
    <row r="670" ht="14.25" customHeight="1">
      <c r="C670" s="29"/>
      <c r="D670" s="29"/>
    </row>
    <row r="671" ht="14.25" customHeight="1">
      <c r="C671" s="29"/>
      <c r="D671" s="29"/>
    </row>
    <row r="672" ht="14.25" customHeight="1">
      <c r="C672" s="29"/>
      <c r="D672" s="29"/>
    </row>
    <row r="673" ht="14.25" customHeight="1">
      <c r="C673" s="29"/>
      <c r="D673" s="29"/>
    </row>
    <row r="674" ht="14.25" customHeight="1">
      <c r="C674" s="29"/>
      <c r="D674" s="29"/>
    </row>
    <row r="675" ht="14.25" customHeight="1">
      <c r="C675" s="29"/>
      <c r="D675" s="29"/>
    </row>
    <row r="676" ht="14.25" customHeight="1">
      <c r="C676" s="29"/>
      <c r="D676" s="29"/>
    </row>
    <row r="677" ht="14.25" customHeight="1">
      <c r="C677" s="29"/>
      <c r="D677" s="29"/>
    </row>
    <row r="678" ht="14.25" customHeight="1">
      <c r="C678" s="29"/>
      <c r="D678" s="29"/>
    </row>
    <row r="679" ht="14.25" customHeight="1">
      <c r="C679" s="29"/>
      <c r="D679" s="29"/>
    </row>
    <row r="680" ht="14.25" customHeight="1">
      <c r="C680" s="29"/>
      <c r="D680" s="29"/>
    </row>
    <row r="681" ht="14.25" customHeight="1">
      <c r="C681" s="29"/>
      <c r="D681" s="29"/>
    </row>
    <row r="682" ht="14.25" customHeight="1">
      <c r="C682" s="29"/>
      <c r="D682" s="29"/>
    </row>
    <row r="683" ht="14.25" customHeight="1">
      <c r="C683" s="29"/>
      <c r="D683" s="29"/>
    </row>
    <row r="684" ht="14.25" customHeight="1">
      <c r="C684" s="29"/>
      <c r="D684" s="29"/>
    </row>
    <row r="685" ht="14.25" customHeight="1">
      <c r="C685" s="29"/>
      <c r="D685" s="29"/>
    </row>
    <row r="686" ht="14.25" customHeight="1">
      <c r="C686" s="29"/>
      <c r="D686" s="29"/>
    </row>
    <row r="687" ht="14.25" customHeight="1">
      <c r="C687" s="29"/>
      <c r="D687" s="29"/>
    </row>
    <row r="688" ht="14.25" customHeight="1">
      <c r="C688" s="29"/>
      <c r="D688" s="29"/>
    </row>
    <row r="689" ht="14.25" customHeight="1">
      <c r="C689" s="29"/>
      <c r="D689" s="29"/>
    </row>
    <row r="690" ht="14.25" customHeight="1">
      <c r="C690" s="29"/>
      <c r="D690" s="29"/>
    </row>
    <row r="691" ht="14.25" customHeight="1">
      <c r="C691" s="29"/>
      <c r="D691" s="29"/>
    </row>
    <row r="692" ht="14.25" customHeight="1">
      <c r="C692" s="29"/>
      <c r="D692" s="29"/>
    </row>
    <row r="693" ht="14.25" customHeight="1">
      <c r="C693" s="29"/>
      <c r="D693" s="29"/>
    </row>
    <row r="694" ht="14.25" customHeight="1">
      <c r="C694" s="29"/>
      <c r="D694" s="29"/>
    </row>
    <row r="695" ht="14.25" customHeight="1">
      <c r="C695" s="29"/>
      <c r="D695" s="29"/>
    </row>
    <row r="696" ht="14.25" customHeight="1">
      <c r="C696" s="29"/>
      <c r="D696" s="29"/>
    </row>
    <row r="697" ht="14.25" customHeight="1">
      <c r="C697" s="29"/>
      <c r="D697" s="29"/>
    </row>
    <row r="698" ht="14.25" customHeight="1">
      <c r="C698" s="29"/>
      <c r="D698" s="29"/>
    </row>
    <row r="699" ht="14.25" customHeight="1">
      <c r="C699" s="29"/>
      <c r="D699" s="29"/>
    </row>
    <row r="700" ht="14.25" customHeight="1">
      <c r="C700" s="29"/>
      <c r="D700" s="29"/>
    </row>
    <row r="701" ht="14.25" customHeight="1">
      <c r="C701" s="29"/>
      <c r="D701" s="29"/>
    </row>
    <row r="702" ht="14.25" customHeight="1">
      <c r="C702" s="29"/>
      <c r="D702" s="29"/>
    </row>
    <row r="703" ht="14.25" customHeight="1">
      <c r="C703" s="29"/>
      <c r="D703" s="29"/>
    </row>
    <row r="704" ht="14.25" customHeight="1">
      <c r="C704" s="29"/>
      <c r="D704" s="29"/>
    </row>
    <row r="705" ht="14.25" customHeight="1">
      <c r="C705" s="29"/>
      <c r="D705" s="29"/>
    </row>
    <row r="706" ht="14.25" customHeight="1">
      <c r="C706" s="29"/>
      <c r="D706" s="29"/>
    </row>
    <row r="707" ht="14.25" customHeight="1">
      <c r="C707" s="29"/>
      <c r="D707" s="29"/>
    </row>
    <row r="708" ht="14.25" customHeight="1">
      <c r="C708" s="29"/>
      <c r="D708" s="29"/>
    </row>
    <row r="709" ht="14.25" customHeight="1">
      <c r="C709" s="29"/>
      <c r="D709" s="29"/>
    </row>
    <row r="710" ht="14.25" customHeight="1">
      <c r="C710" s="29"/>
      <c r="D710" s="29"/>
    </row>
    <row r="711" ht="14.25" customHeight="1">
      <c r="C711" s="29"/>
      <c r="D711" s="29"/>
    </row>
    <row r="712" ht="14.25" customHeight="1">
      <c r="C712" s="29"/>
      <c r="D712" s="29"/>
    </row>
    <row r="713" ht="14.25" customHeight="1">
      <c r="C713" s="29"/>
      <c r="D713" s="29"/>
    </row>
    <row r="714" ht="14.25" customHeight="1">
      <c r="C714" s="29"/>
      <c r="D714" s="29"/>
    </row>
    <row r="715" ht="14.25" customHeight="1">
      <c r="C715" s="29"/>
      <c r="D715" s="29"/>
    </row>
    <row r="716" ht="14.25" customHeight="1">
      <c r="C716" s="29"/>
      <c r="D716" s="29"/>
    </row>
    <row r="717" ht="14.25" customHeight="1">
      <c r="C717" s="29"/>
      <c r="D717" s="29"/>
    </row>
    <row r="718" ht="14.25" customHeight="1">
      <c r="C718" s="29"/>
      <c r="D718" s="29"/>
    </row>
    <row r="719" ht="14.25" customHeight="1">
      <c r="C719" s="29"/>
      <c r="D719" s="29"/>
    </row>
    <row r="720" ht="14.25" customHeight="1">
      <c r="C720" s="29"/>
      <c r="D720" s="29"/>
    </row>
    <row r="721" ht="14.25" customHeight="1">
      <c r="C721" s="29"/>
      <c r="D721" s="29"/>
    </row>
    <row r="722" ht="14.25" customHeight="1">
      <c r="C722" s="29"/>
      <c r="D722" s="29"/>
    </row>
    <row r="723" ht="14.25" customHeight="1">
      <c r="C723" s="29"/>
      <c r="D723" s="29"/>
    </row>
    <row r="724" ht="14.25" customHeight="1">
      <c r="C724" s="29"/>
      <c r="D724" s="29"/>
    </row>
    <row r="725" ht="14.25" customHeight="1">
      <c r="C725" s="29"/>
      <c r="D725" s="29"/>
    </row>
    <row r="726" ht="14.25" customHeight="1">
      <c r="C726" s="29"/>
      <c r="D726" s="29"/>
    </row>
    <row r="727" ht="14.25" customHeight="1">
      <c r="C727" s="29"/>
      <c r="D727" s="29"/>
    </row>
    <row r="728" ht="14.25" customHeight="1">
      <c r="C728" s="29"/>
      <c r="D728" s="29"/>
    </row>
    <row r="729" ht="14.25" customHeight="1">
      <c r="C729" s="29"/>
      <c r="D729" s="29"/>
    </row>
    <row r="730" ht="14.25" customHeight="1">
      <c r="C730" s="29"/>
      <c r="D730" s="29"/>
    </row>
    <row r="731" ht="14.25" customHeight="1">
      <c r="C731" s="29"/>
      <c r="D731" s="29"/>
    </row>
    <row r="732" ht="14.25" customHeight="1">
      <c r="C732" s="29"/>
      <c r="D732" s="29"/>
    </row>
    <row r="733" ht="14.25" customHeight="1">
      <c r="C733" s="29"/>
      <c r="D733" s="29"/>
    </row>
    <row r="734" ht="14.25" customHeight="1">
      <c r="C734" s="29"/>
      <c r="D734" s="29"/>
    </row>
    <row r="735" ht="14.25" customHeight="1">
      <c r="C735" s="29"/>
      <c r="D735" s="29"/>
    </row>
    <row r="736" ht="14.25" customHeight="1">
      <c r="C736" s="29"/>
      <c r="D736" s="29"/>
    </row>
    <row r="737" ht="14.25" customHeight="1">
      <c r="C737" s="29"/>
      <c r="D737" s="29"/>
    </row>
    <row r="738" ht="14.25" customHeight="1">
      <c r="C738" s="29"/>
      <c r="D738" s="29"/>
    </row>
    <row r="739" ht="14.25" customHeight="1">
      <c r="C739" s="29"/>
      <c r="D739" s="29"/>
    </row>
    <row r="740" ht="14.25" customHeight="1">
      <c r="C740" s="29"/>
      <c r="D740" s="29"/>
    </row>
    <row r="741" ht="14.25" customHeight="1">
      <c r="C741" s="29"/>
      <c r="D741" s="29"/>
    </row>
    <row r="742" ht="14.25" customHeight="1">
      <c r="C742" s="29"/>
      <c r="D742" s="29"/>
    </row>
    <row r="743" ht="14.25" customHeight="1">
      <c r="C743" s="29"/>
      <c r="D743" s="29"/>
    </row>
    <row r="744" ht="14.25" customHeight="1">
      <c r="C744" s="29"/>
      <c r="D744" s="29"/>
    </row>
    <row r="745" ht="14.25" customHeight="1">
      <c r="C745" s="29"/>
      <c r="D745" s="29"/>
    </row>
    <row r="746" ht="14.25" customHeight="1">
      <c r="C746" s="29"/>
      <c r="D746" s="29"/>
    </row>
    <row r="747" ht="14.25" customHeight="1">
      <c r="C747" s="29"/>
      <c r="D747" s="29"/>
    </row>
    <row r="748" ht="14.25" customHeight="1">
      <c r="C748" s="29"/>
      <c r="D748" s="29"/>
    </row>
    <row r="749" ht="14.25" customHeight="1">
      <c r="C749" s="29"/>
      <c r="D749" s="29"/>
    </row>
    <row r="750" ht="14.25" customHeight="1">
      <c r="C750" s="29"/>
      <c r="D750" s="29"/>
    </row>
    <row r="751" ht="14.25" customHeight="1">
      <c r="C751" s="29"/>
      <c r="D751" s="29"/>
    </row>
    <row r="752" ht="14.25" customHeight="1">
      <c r="C752" s="29"/>
      <c r="D752" s="29"/>
    </row>
    <row r="753" ht="14.25" customHeight="1">
      <c r="C753" s="29"/>
      <c r="D753" s="29"/>
    </row>
    <row r="754" ht="14.25" customHeight="1">
      <c r="C754" s="29"/>
      <c r="D754" s="29"/>
    </row>
    <row r="755" ht="14.25" customHeight="1">
      <c r="C755" s="29"/>
      <c r="D755" s="29"/>
    </row>
    <row r="756" ht="14.25" customHeight="1">
      <c r="C756" s="29"/>
      <c r="D756" s="29"/>
    </row>
    <row r="757" ht="14.25" customHeight="1">
      <c r="C757" s="29"/>
      <c r="D757" s="29"/>
    </row>
    <row r="758" ht="14.25" customHeight="1">
      <c r="C758" s="29"/>
      <c r="D758" s="29"/>
    </row>
    <row r="759" ht="14.25" customHeight="1">
      <c r="C759" s="29"/>
      <c r="D759" s="29"/>
    </row>
    <row r="760" ht="14.25" customHeight="1">
      <c r="C760" s="29"/>
      <c r="D760" s="29"/>
    </row>
    <row r="761" ht="14.25" customHeight="1">
      <c r="C761" s="29"/>
      <c r="D761" s="29"/>
    </row>
    <row r="762" ht="14.25" customHeight="1">
      <c r="C762" s="29"/>
      <c r="D762" s="29"/>
    </row>
    <row r="763" ht="14.25" customHeight="1">
      <c r="C763" s="29"/>
      <c r="D763" s="29"/>
    </row>
    <row r="764" ht="14.25" customHeight="1">
      <c r="C764" s="29"/>
      <c r="D764" s="29"/>
    </row>
    <row r="765" ht="14.25" customHeight="1">
      <c r="C765" s="29"/>
      <c r="D765" s="29"/>
    </row>
    <row r="766" ht="14.25" customHeight="1">
      <c r="C766" s="29"/>
      <c r="D766" s="29"/>
    </row>
    <row r="767" ht="14.25" customHeight="1">
      <c r="C767" s="29"/>
      <c r="D767" s="29"/>
    </row>
    <row r="768" ht="14.25" customHeight="1">
      <c r="C768" s="29"/>
      <c r="D768" s="29"/>
    </row>
    <row r="769" ht="14.25" customHeight="1">
      <c r="C769" s="29"/>
      <c r="D769" s="29"/>
    </row>
    <row r="770" ht="14.25" customHeight="1">
      <c r="C770" s="29"/>
      <c r="D770" s="29"/>
    </row>
    <row r="771" ht="14.25" customHeight="1">
      <c r="C771" s="29"/>
      <c r="D771" s="29"/>
    </row>
    <row r="772" ht="14.25" customHeight="1">
      <c r="C772" s="29"/>
      <c r="D772" s="29"/>
    </row>
    <row r="773" ht="14.25" customHeight="1">
      <c r="C773" s="29"/>
      <c r="D773" s="29"/>
    </row>
    <row r="774" ht="14.25" customHeight="1">
      <c r="C774" s="29"/>
      <c r="D774" s="29"/>
    </row>
    <row r="775" ht="14.25" customHeight="1">
      <c r="C775" s="29"/>
      <c r="D775" s="29"/>
    </row>
    <row r="776" ht="14.25" customHeight="1">
      <c r="C776" s="29"/>
      <c r="D776" s="29"/>
    </row>
    <row r="777" ht="14.25" customHeight="1">
      <c r="C777" s="29"/>
      <c r="D777" s="29"/>
    </row>
    <row r="778" ht="14.25" customHeight="1">
      <c r="C778" s="29"/>
      <c r="D778" s="29"/>
    </row>
    <row r="779" ht="14.25" customHeight="1">
      <c r="C779" s="29"/>
      <c r="D779" s="29"/>
    </row>
    <row r="780" ht="14.25" customHeight="1">
      <c r="C780" s="29"/>
      <c r="D780" s="29"/>
    </row>
    <row r="781" ht="14.25" customHeight="1">
      <c r="C781" s="29"/>
      <c r="D781" s="29"/>
    </row>
    <row r="782" ht="14.25" customHeight="1">
      <c r="C782" s="29"/>
      <c r="D782" s="29"/>
    </row>
    <row r="783" ht="14.25" customHeight="1">
      <c r="C783" s="29"/>
      <c r="D783" s="29"/>
    </row>
    <row r="784" ht="14.25" customHeight="1">
      <c r="C784" s="29"/>
      <c r="D784" s="29"/>
    </row>
    <row r="785" ht="14.25" customHeight="1">
      <c r="C785" s="29"/>
      <c r="D785" s="29"/>
    </row>
    <row r="786" ht="14.25" customHeight="1">
      <c r="C786" s="29"/>
      <c r="D786" s="29"/>
    </row>
    <row r="787" ht="14.25" customHeight="1">
      <c r="C787" s="29"/>
      <c r="D787" s="29"/>
    </row>
    <row r="788" ht="14.25" customHeight="1">
      <c r="C788" s="29"/>
      <c r="D788" s="29"/>
    </row>
    <row r="789" ht="14.25" customHeight="1">
      <c r="C789" s="29"/>
      <c r="D789" s="29"/>
    </row>
    <row r="790" ht="14.25" customHeight="1">
      <c r="C790" s="29"/>
      <c r="D790" s="29"/>
    </row>
    <row r="791" ht="14.25" customHeight="1">
      <c r="C791" s="29"/>
      <c r="D791" s="29"/>
    </row>
    <row r="792" ht="14.25" customHeight="1">
      <c r="C792" s="29"/>
      <c r="D792" s="29"/>
    </row>
    <row r="793" ht="14.25" customHeight="1">
      <c r="C793" s="29"/>
      <c r="D793" s="29"/>
    </row>
    <row r="794" ht="14.25" customHeight="1">
      <c r="C794" s="29"/>
      <c r="D794" s="29"/>
    </row>
    <row r="795" ht="14.25" customHeight="1">
      <c r="C795" s="29"/>
      <c r="D795" s="29"/>
    </row>
    <row r="796" ht="14.25" customHeight="1">
      <c r="C796" s="29"/>
      <c r="D796" s="29"/>
    </row>
    <row r="797" ht="14.25" customHeight="1">
      <c r="C797" s="29"/>
      <c r="D797" s="29"/>
    </row>
    <row r="798" ht="14.25" customHeight="1">
      <c r="C798" s="29"/>
      <c r="D798" s="29"/>
    </row>
    <row r="799" ht="14.25" customHeight="1">
      <c r="C799" s="29"/>
      <c r="D799" s="29"/>
    </row>
    <row r="800" ht="14.25" customHeight="1">
      <c r="C800" s="29"/>
      <c r="D800" s="29"/>
    </row>
    <row r="801" ht="14.25" customHeight="1">
      <c r="C801" s="29"/>
      <c r="D801" s="29"/>
    </row>
    <row r="802" ht="14.25" customHeight="1">
      <c r="C802" s="29"/>
      <c r="D802" s="29"/>
    </row>
    <row r="803" ht="14.25" customHeight="1">
      <c r="C803" s="29"/>
      <c r="D803" s="29"/>
    </row>
    <row r="804" ht="14.25" customHeight="1">
      <c r="C804" s="29"/>
      <c r="D804" s="29"/>
    </row>
    <row r="805" ht="14.25" customHeight="1">
      <c r="C805" s="29"/>
      <c r="D805" s="29"/>
    </row>
    <row r="806" ht="14.25" customHeight="1">
      <c r="C806" s="29"/>
      <c r="D806" s="29"/>
    </row>
    <row r="807" ht="14.25" customHeight="1">
      <c r="C807" s="29"/>
      <c r="D807" s="29"/>
    </row>
    <row r="808" ht="14.25" customHeight="1">
      <c r="C808" s="29"/>
      <c r="D808" s="29"/>
    </row>
    <row r="809" ht="14.25" customHeight="1">
      <c r="C809" s="29"/>
      <c r="D809" s="29"/>
    </row>
    <row r="810" ht="14.25" customHeight="1">
      <c r="C810" s="29"/>
      <c r="D810" s="29"/>
    </row>
    <row r="811" ht="14.25" customHeight="1">
      <c r="C811" s="29"/>
      <c r="D811" s="29"/>
    </row>
    <row r="812" ht="14.25" customHeight="1">
      <c r="C812" s="29"/>
      <c r="D812" s="29"/>
    </row>
    <row r="813" ht="14.25" customHeight="1">
      <c r="C813" s="29"/>
      <c r="D813" s="29"/>
    </row>
    <row r="814" ht="14.25" customHeight="1">
      <c r="C814" s="29"/>
      <c r="D814" s="29"/>
    </row>
    <row r="815" ht="14.25" customHeight="1">
      <c r="C815" s="29"/>
      <c r="D815" s="29"/>
    </row>
    <row r="816" ht="14.25" customHeight="1">
      <c r="C816" s="29"/>
      <c r="D816" s="29"/>
    </row>
    <row r="817" ht="14.25" customHeight="1">
      <c r="C817" s="29"/>
      <c r="D817" s="29"/>
    </row>
    <row r="818" ht="14.25" customHeight="1">
      <c r="C818" s="29"/>
      <c r="D818" s="29"/>
    </row>
    <row r="819" ht="14.25" customHeight="1">
      <c r="C819" s="29"/>
      <c r="D819" s="29"/>
    </row>
    <row r="820" ht="14.25" customHeight="1">
      <c r="C820" s="29"/>
      <c r="D820" s="29"/>
    </row>
    <row r="821" ht="14.25" customHeight="1">
      <c r="C821" s="29"/>
      <c r="D821" s="29"/>
    </row>
    <row r="822" ht="14.25" customHeight="1">
      <c r="C822" s="29"/>
      <c r="D822" s="29"/>
    </row>
    <row r="823" ht="14.25" customHeight="1">
      <c r="C823" s="29"/>
      <c r="D823" s="29"/>
    </row>
    <row r="824" ht="14.25" customHeight="1">
      <c r="C824" s="29"/>
      <c r="D824" s="29"/>
    </row>
    <row r="825" ht="14.25" customHeight="1">
      <c r="C825" s="29"/>
      <c r="D825" s="29"/>
    </row>
    <row r="826" ht="14.25" customHeight="1">
      <c r="C826" s="29"/>
      <c r="D826" s="29"/>
    </row>
    <row r="827" ht="14.25" customHeight="1">
      <c r="C827" s="29"/>
      <c r="D827" s="29"/>
    </row>
    <row r="828" ht="14.25" customHeight="1">
      <c r="C828" s="29"/>
      <c r="D828" s="29"/>
    </row>
    <row r="829" ht="14.25" customHeight="1">
      <c r="C829" s="29"/>
      <c r="D829" s="29"/>
    </row>
    <row r="830" ht="14.25" customHeight="1">
      <c r="C830" s="29"/>
      <c r="D830" s="29"/>
    </row>
    <row r="831" ht="14.25" customHeight="1">
      <c r="C831" s="29"/>
      <c r="D831" s="29"/>
    </row>
    <row r="832" ht="14.25" customHeight="1">
      <c r="C832" s="29"/>
      <c r="D832" s="29"/>
    </row>
    <row r="833" ht="14.25" customHeight="1">
      <c r="C833" s="29"/>
      <c r="D833" s="29"/>
    </row>
    <row r="834" ht="14.25" customHeight="1">
      <c r="C834" s="29"/>
      <c r="D834" s="29"/>
    </row>
    <row r="835" ht="14.25" customHeight="1">
      <c r="C835" s="29"/>
      <c r="D835" s="29"/>
    </row>
    <row r="836" ht="14.25" customHeight="1">
      <c r="C836" s="29"/>
      <c r="D836" s="29"/>
    </row>
    <row r="837" ht="14.25" customHeight="1">
      <c r="C837" s="29"/>
      <c r="D837" s="29"/>
    </row>
    <row r="838" ht="14.25" customHeight="1">
      <c r="C838" s="29"/>
      <c r="D838" s="29"/>
    </row>
    <row r="839" ht="14.25" customHeight="1">
      <c r="C839" s="29"/>
      <c r="D839" s="29"/>
    </row>
    <row r="840" ht="14.25" customHeight="1">
      <c r="C840" s="29"/>
      <c r="D840" s="29"/>
    </row>
    <row r="841" ht="14.25" customHeight="1">
      <c r="C841" s="29"/>
      <c r="D841" s="29"/>
    </row>
    <row r="842" ht="14.25" customHeight="1">
      <c r="C842" s="29"/>
      <c r="D842" s="29"/>
    </row>
    <row r="843" ht="14.25" customHeight="1">
      <c r="C843" s="29"/>
      <c r="D843" s="29"/>
    </row>
    <row r="844" ht="14.25" customHeight="1">
      <c r="C844" s="29"/>
      <c r="D844" s="29"/>
    </row>
    <row r="845" ht="14.25" customHeight="1">
      <c r="C845" s="29"/>
      <c r="D845" s="29"/>
    </row>
    <row r="846" ht="14.25" customHeight="1">
      <c r="C846" s="29"/>
      <c r="D846" s="29"/>
    </row>
    <row r="847" ht="14.25" customHeight="1">
      <c r="C847" s="29"/>
      <c r="D847" s="29"/>
    </row>
    <row r="848" ht="14.25" customHeight="1">
      <c r="C848" s="29"/>
      <c r="D848" s="29"/>
    </row>
    <row r="849" ht="14.25" customHeight="1">
      <c r="C849" s="29"/>
      <c r="D849" s="29"/>
    </row>
    <row r="850" ht="14.25" customHeight="1">
      <c r="C850" s="29"/>
      <c r="D850" s="29"/>
    </row>
    <row r="851" ht="14.25" customHeight="1">
      <c r="C851" s="29"/>
      <c r="D851" s="29"/>
    </row>
    <row r="852" ht="14.25" customHeight="1">
      <c r="C852" s="29"/>
      <c r="D852" s="29"/>
    </row>
    <row r="853" ht="14.25" customHeight="1">
      <c r="C853" s="29"/>
      <c r="D853" s="29"/>
    </row>
    <row r="854" ht="14.25" customHeight="1">
      <c r="C854" s="29"/>
      <c r="D854" s="29"/>
    </row>
    <row r="855" ht="14.25" customHeight="1">
      <c r="C855" s="29"/>
      <c r="D855" s="29"/>
    </row>
    <row r="856" ht="14.25" customHeight="1">
      <c r="C856" s="29"/>
      <c r="D856" s="29"/>
    </row>
    <row r="857" ht="14.25" customHeight="1">
      <c r="C857" s="29"/>
      <c r="D857" s="29"/>
    </row>
    <row r="858" ht="14.25" customHeight="1">
      <c r="C858" s="29"/>
      <c r="D858" s="29"/>
    </row>
    <row r="859" ht="14.25" customHeight="1">
      <c r="C859" s="29"/>
      <c r="D859" s="29"/>
    </row>
    <row r="860" ht="14.25" customHeight="1">
      <c r="C860" s="29"/>
      <c r="D860" s="29"/>
    </row>
    <row r="861" ht="14.25" customHeight="1">
      <c r="C861" s="29"/>
      <c r="D861" s="29"/>
    </row>
    <row r="862" ht="14.25" customHeight="1">
      <c r="C862" s="29"/>
      <c r="D862" s="29"/>
    </row>
    <row r="863" ht="14.25" customHeight="1">
      <c r="C863" s="29"/>
      <c r="D863" s="29"/>
    </row>
    <row r="864" ht="14.25" customHeight="1">
      <c r="C864" s="29"/>
      <c r="D864" s="29"/>
    </row>
    <row r="865" ht="14.25" customHeight="1">
      <c r="C865" s="29"/>
      <c r="D865" s="29"/>
    </row>
    <row r="866" ht="14.25" customHeight="1">
      <c r="C866" s="29"/>
      <c r="D866" s="29"/>
    </row>
    <row r="867" ht="14.25" customHeight="1">
      <c r="C867" s="29"/>
      <c r="D867" s="29"/>
    </row>
    <row r="868" ht="14.25" customHeight="1">
      <c r="C868" s="29"/>
      <c r="D868" s="29"/>
    </row>
    <row r="869" ht="14.25" customHeight="1">
      <c r="C869" s="29"/>
      <c r="D869" s="29"/>
    </row>
    <row r="870" ht="14.25" customHeight="1">
      <c r="C870" s="29"/>
      <c r="D870" s="29"/>
    </row>
    <row r="871" ht="14.25" customHeight="1">
      <c r="C871" s="29"/>
      <c r="D871" s="29"/>
    </row>
    <row r="872" ht="14.25" customHeight="1">
      <c r="C872" s="29"/>
      <c r="D872" s="29"/>
    </row>
    <row r="873" ht="14.25" customHeight="1">
      <c r="C873" s="29"/>
      <c r="D873" s="29"/>
    </row>
    <row r="874" ht="14.25" customHeight="1">
      <c r="C874" s="29"/>
      <c r="D874" s="29"/>
    </row>
    <row r="875" ht="14.25" customHeight="1">
      <c r="C875" s="29"/>
      <c r="D875" s="29"/>
    </row>
    <row r="876" ht="14.25" customHeight="1">
      <c r="C876" s="29"/>
      <c r="D876" s="29"/>
    </row>
    <row r="877" ht="14.25" customHeight="1">
      <c r="C877" s="29"/>
      <c r="D877" s="29"/>
    </row>
    <row r="878" ht="14.25" customHeight="1">
      <c r="C878" s="29"/>
      <c r="D878" s="29"/>
    </row>
    <row r="879" ht="14.25" customHeight="1">
      <c r="C879" s="29"/>
      <c r="D879" s="29"/>
    </row>
    <row r="880" ht="14.25" customHeight="1">
      <c r="C880" s="29"/>
      <c r="D880" s="29"/>
    </row>
    <row r="881" ht="14.25" customHeight="1">
      <c r="C881" s="29"/>
      <c r="D881" s="29"/>
    </row>
    <row r="882" ht="14.25" customHeight="1">
      <c r="C882" s="29"/>
      <c r="D882" s="29"/>
    </row>
    <row r="883" ht="14.25" customHeight="1">
      <c r="C883" s="29"/>
      <c r="D883" s="29"/>
    </row>
    <row r="884" ht="14.25" customHeight="1">
      <c r="C884" s="29"/>
      <c r="D884" s="29"/>
    </row>
    <row r="885" ht="14.25" customHeight="1">
      <c r="C885" s="29"/>
      <c r="D885" s="29"/>
    </row>
    <row r="886" ht="14.25" customHeight="1">
      <c r="C886" s="29"/>
      <c r="D886" s="29"/>
    </row>
    <row r="887" ht="14.25" customHeight="1">
      <c r="C887" s="29"/>
      <c r="D887" s="29"/>
    </row>
    <row r="888" ht="14.25" customHeight="1">
      <c r="C888" s="29"/>
      <c r="D888" s="29"/>
    </row>
    <row r="889" ht="14.25" customHeight="1">
      <c r="C889" s="29"/>
      <c r="D889" s="29"/>
    </row>
    <row r="890" ht="14.25" customHeight="1">
      <c r="C890" s="29"/>
      <c r="D890" s="29"/>
    </row>
    <row r="891" ht="14.25" customHeight="1">
      <c r="C891" s="29"/>
      <c r="D891" s="29"/>
    </row>
    <row r="892" ht="14.25" customHeight="1">
      <c r="C892" s="29"/>
      <c r="D892" s="29"/>
    </row>
    <row r="893" ht="14.25" customHeight="1">
      <c r="C893" s="29"/>
      <c r="D893" s="29"/>
    </row>
    <row r="894" ht="14.25" customHeight="1">
      <c r="C894" s="29"/>
      <c r="D894" s="29"/>
    </row>
    <row r="895" ht="14.25" customHeight="1">
      <c r="C895" s="29"/>
      <c r="D895" s="29"/>
    </row>
    <row r="896" ht="14.25" customHeight="1">
      <c r="C896" s="29"/>
      <c r="D896" s="29"/>
    </row>
    <row r="897" ht="14.25" customHeight="1">
      <c r="C897" s="29"/>
      <c r="D897" s="29"/>
    </row>
    <row r="898" ht="14.25" customHeight="1">
      <c r="C898" s="29"/>
      <c r="D898" s="29"/>
    </row>
    <row r="899" ht="14.25" customHeight="1">
      <c r="C899" s="29"/>
      <c r="D899" s="29"/>
    </row>
    <row r="900" ht="14.25" customHeight="1">
      <c r="C900" s="29"/>
      <c r="D900" s="29"/>
    </row>
    <row r="901" ht="14.25" customHeight="1">
      <c r="C901" s="29"/>
      <c r="D901" s="29"/>
    </row>
    <row r="902" ht="14.25" customHeight="1">
      <c r="C902" s="29"/>
      <c r="D902" s="29"/>
    </row>
    <row r="903" ht="14.25" customHeight="1">
      <c r="C903" s="29"/>
      <c r="D903" s="29"/>
    </row>
    <row r="904" ht="14.25" customHeight="1">
      <c r="C904" s="29"/>
      <c r="D904" s="29"/>
    </row>
    <row r="905" ht="14.25" customHeight="1">
      <c r="C905" s="29"/>
      <c r="D905" s="29"/>
    </row>
    <row r="906" ht="14.25" customHeight="1">
      <c r="C906" s="29"/>
      <c r="D906" s="29"/>
    </row>
    <row r="907" ht="14.25" customHeight="1">
      <c r="C907" s="29"/>
      <c r="D907" s="29"/>
    </row>
    <row r="908" ht="14.25" customHeight="1">
      <c r="C908" s="29"/>
      <c r="D908" s="29"/>
    </row>
    <row r="909" ht="14.25" customHeight="1">
      <c r="C909" s="29"/>
      <c r="D909" s="29"/>
    </row>
    <row r="910" ht="14.25" customHeight="1">
      <c r="C910" s="29"/>
      <c r="D910" s="29"/>
    </row>
    <row r="911" ht="14.25" customHeight="1">
      <c r="C911" s="29"/>
      <c r="D911" s="29"/>
    </row>
    <row r="912" ht="14.25" customHeight="1">
      <c r="C912" s="29"/>
      <c r="D912" s="29"/>
    </row>
    <row r="913" ht="14.25" customHeight="1">
      <c r="C913" s="29"/>
      <c r="D913" s="29"/>
    </row>
    <row r="914" ht="14.25" customHeight="1">
      <c r="C914" s="29"/>
      <c r="D914" s="29"/>
    </row>
    <row r="915" ht="14.25" customHeight="1">
      <c r="C915" s="29"/>
      <c r="D915" s="29"/>
    </row>
    <row r="916" ht="14.25" customHeight="1">
      <c r="C916" s="29"/>
      <c r="D916" s="29"/>
    </row>
    <row r="917" ht="14.25" customHeight="1">
      <c r="C917" s="29"/>
      <c r="D917" s="29"/>
    </row>
    <row r="918" ht="14.25" customHeight="1">
      <c r="C918" s="29"/>
      <c r="D918" s="29"/>
    </row>
    <row r="919" ht="14.25" customHeight="1">
      <c r="C919" s="29"/>
      <c r="D919" s="29"/>
    </row>
    <row r="920" ht="14.25" customHeight="1">
      <c r="C920" s="29"/>
      <c r="D920" s="29"/>
    </row>
    <row r="921" ht="14.25" customHeight="1">
      <c r="C921" s="29"/>
      <c r="D921" s="29"/>
    </row>
    <row r="922" ht="14.25" customHeight="1">
      <c r="C922" s="29"/>
      <c r="D922" s="29"/>
    </row>
    <row r="923" ht="14.25" customHeight="1">
      <c r="C923" s="29"/>
      <c r="D923" s="29"/>
    </row>
    <row r="924" ht="14.25" customHeight="1">
      <c r="C924" s="29"/>
      <c r="D924" s="29"/>
    </row>
    <row r="925" ht="14.25" customHeight="1">
      <c r="C925" s="29"/>
      <c r="D925" s="29"/>
    </row>
    <row r="926" ht="14.25" customHeight="1">
      <c r="C926" s="29"/>
      <c r="D926" s="29"/>
    </row>
    <row r="927" ht="14.25" customHeight="1">
      <c r="C927" s="29"/>
      <c r="D927" s="29"/>
    </row>
    <row r="928" ht="14.25" customHeight="1">
      <c r="C928" s="29"/>
      <c r="D928" s="29"/>
    </row>
    <row r="929" ht="14.25" customHeight="1">
      <c r="C929" s="29"/>
      <c r="D929" s="29"/>
    </row>
    <row r="930" ht="14.25" customHeight="1">
      <c r="C930" s="29"/>
      <c r="D930" s="29"/>
    </row>
    <row r="931" ht="14.25" customHeight="1">
      <c r="C931" s="29"/>
      <c r="D931" s="29"/>
    </row>
    <row r="932" ht="14.25" customHeight="1">
      <c r="C932" s="29"/>
      <c r="D932" s="29"/>
    </row>
    <row r="933" ht="14.25" customHeight="1">
      <c r="C933" s="29"/>
      <c r="D933" s="29"/>
    </row>
    <row r="934" ht="14.25" customHeight="1">
      <c r="C934" s="29"/>
      <c r="D934" s="29"/>
    </row>
    <row r="935" ht="14.25" customHeight="1">
      <c r="C935" s="29"/>
      <c r="D935" s="29"/>
    </row>
    <row r="936" ht="14.25" customHeight="1">
      <c r="C936" s="29"/>
      <c r="D936" s="29"/>
    </row>
    <row r="937" ht="14.25" customHeight="1">
      <c r="C937" s="29"/>
      <c r="D937" s="29"/>
    </row>
    <row r="938" ht="14.25" customHeight="1">
      <c r="C938" s="29"/>
      <c r="D938" s="29"/>
    </row>
    <row r="939" ht="14.25" customHeight="1">
      <c r="C939" s="29"/>
      <c r="D939" s="29"/>
    </row>
    <row r="940" ht="14.25" customHeight="1">
      <c r="C940" s="29"/>
      <c r="D940" s="29"/>
    </row>
    <row r="941" ht="14.25" customHeight="1">
      <c r="C941" s="29"/>
      <c r="D941" s="29"/>
    </row>
    <row r="942" ht="14.25" customHeight="1">
      <c r="C942" s="29"/>
      <c r="D942" s="29"/>
    </row>
    <row r="943" ht="14.25" customHeight="1">
      <c r="C943" s="29"/>
      <c r="D943" s="29"/>
    </row>
    <row r="944" ht="14.25" customHeight="1">
      <c r="C944" s="29"/>
      <c r="D944" s="29"/>
    </row>
    <row r="945" ht="14.25" customHeight="1">
      <c r="C945" s="29"/>
      <c r="D945" s="29"/>
    </row>
    <row r="946" ht="14.25" customHeight="1">
      <c r="C946" s="29"/>
      <c r="D946" s="29"/>
    </row>
    <row r="947" ht="14.25" customHeight="1">
      <c r="C947" s="29"/>
      <c r="D947" s="29"/>
    </row>
    <row r="948" ht="14.25" customHeight="1">
      <c r="C948" s="29"/>
      <c r="D948" s="29"/>
    </row>
    <row r="949" ht="14.25" customHeight="1">
      <c r="C949" s="29"/>
      <c r="D949" s="29"/>
    </row>
    <row r="950" ht="14.25" customHeight="1">
      <c r="C950" s="29"/>
      <c r="D950" s="29"/>
    </row>
    <row r="951" ht="14.25" customHeight="1">
      <c r="C951" s="29"/>
      <c r="D951" s="29"/>
    </row>
    <row r="952" ht="14.25" customHeight="1">
      <c r="C952" s="29"/>
      <c r="D952" s="29"/>
    </row>
    <row r="953" ht="14.25" customHeight="1">
      <c r="C953" s="29"/>
      <c r="D953" s="29"/>
    </row>
    <row r="954" ht="14.25" customHeight="1">
      <c r="C954" s="29"/>
      <c r="D954" s="29"/>
    </row>
    <row r="955" ht="14.25" customHeight="1">
      <c r="C955" s="29"/>
      <c r="D955" s="29"/>
    </row>
    <row r="956" ht="14.25" customHeight="1">
      <c r="C956" s="29"/>
      <c r="D956" s="29"/>
    </row>
    <row r="957" ht="14.25" customHeight="1">
      <c r="C957" s="29"/>
      <c r="D957" s="29"/>
    </row>
    <row r="958" ht="14.25" customHeight="1">
      <c r="C958" s="29"/>
      <c r="D958" s="29"/>
    </row>
    <row r="959" ht="14.25" customHeight="1">
      <c r="C959" s="29"/>
      <c r="D959" s="29"/>
    </row>
    <row r="960" ht="14.25" customHeight="1">
      <c r="C960" s="29"/>
      <c r="D960" s="29"/>
    </row>
    <row r="961" ht="14.25" customHeight="1">
      <c r="C961" s="29"/>
      <c r="D961" s="29"/>
    </row>
    <row r="962" ht="14.25" customHeight="1">
      <c r="C962" s="29"/>
      <c r="D962" s="29"/>
    </row>
    <row r="963" ht="14.25" customHeight="1">
      <c r="C963" s="29"/>
      <c r="D963" s="29"/>
    </row>
    <row r="964" ht="14.25" customHeight="1">
      <c r="C964" s="29"/>
      <c r="D964" s="29"/>
    </row>
    <row r="965" ht="14.25" customHeight="1">
      <c r="C965" s="29"/>
      <c r="D965" s="29"/>
    </row>
    <row r="966" ht="14.25" customHeight="1">
      <c r="C966" s="29"/>
      <c r="D966" s="29"/>
    </row>
    <row r="967" ht="14.25" customHeight="1">
      <c r="C967" s="29"/>
      <c r="D967" s="29"/>
    </row>
    <row r="968" ht="14.25" customHeight="1">
      <c r="C968" s="29"/>
      <c r="D968" s="29"/>
    </row>
    <row r="969" ht="14.25" customHeight="1">
      <c r="C969" s="29"/>
      <c r="D969" s="29"/>
    </row>
    <row r="970" ht="14.25" customHeight="1">
      <c r="C970" s="29"/>
      <c r="D970" s="29"/>
    </row>
    <row r="971" ht="14.25" customHeight="1">
      <c r="C971" s="29"/>
      <c r="D971" s="29"/>
    </row>
    <row r="972" ht="14.25" customHeight="1">
      <c r="C972" s="29"/>
      <c r="D972" s="29"/>
    </row>
    <row r="973" ht="14.25" customHeight="1">
      <c r="C973" s="29"/>
      <c r="D973" s="29"/>
    </row>
    <row r="974" ht="14.25" customHeight="1">
      <c r="C974" s="29"/>
      <c r="D974" s="29"/>
    </row>
    <row r="975" ht="14.25" customHeight="1">
      <c r="C975" s="29"/>
      <c r="D975" s="29"/>
    </row>
    <row r="976" ht="14.25" customHeight="1">
      <c r="C976" s="29"/>
      <c r="D976" s="29"/>
    </row>
    <row r="977" ht="14.25" customHeight="1">
      <c r="C977" s="29"/>
      <c r="D977" s="29"/>
    </row>
    <row r="978" ht="14.25" customHeight="1">
      <c r="C978" s="29"/>
      <c r="D978" s="29"/>
    </row>
    <row r="979" ht="14.25" customHeight="1">
      <c r="C979" s="29"/>
      <c r="D979" s="29"/>
    </row>
    <row r="980" ht="14.25" customHeight="1">
      <c r="C980" s="29"/>
      <c r="D980" s="29"/>
    </row>
    <row r="981" ht="14.25" customHeight="1">
      <c r="C981" s="29"/>
      <c r="D981" s="29"/>
    </row>
    <row r="982" ht="14.25" customHeight="1">
      <c r="C982" s="29"/>
      <c r="D982" s="29"/>
    </row>
    <row r="983" ht="14.25" customHeight="1">
      <c r="C983" s="29"/>
      <c r="D983" s="29"/>
    </row>
    <row r="984" ht="14.25" customHeight="1">
      <c r="C984" s="29"/>
      <c r="D984" s="29"/>
    </row>
    <row r="985" ht="14.25" customHeight="1">
      <c r="C985" s="29"/>
      <c r="D985" s="29"/>
    </row>
    <row r="986" ht="14.25" customHeight="1">
      <c r="C986" s="29"/>
      <c r="D986" s="29"/>
    </row>
    <row r="987" ht="14.25" customHeight="1">
      <c r="C987" s="29"/>
      <c r="D987" s="29"/>
    </row>
    <row r="988" ht="14.25" customHeight="1">
      <c r="C988" s="29"/>
      <c r="D988" s="29"/>
    </row>
    <row r="989" ht="14.25" customHeight="1">
      <c r="C989" s="29"/>
      <c r="D989" s="29"/>
    </row>
    <row r="990" ht="14.25" customHeight="1">
      <c r="C990" s="29"/>
      <c r="D990" s="29"/>
    </row>
    <row r="991" ht="14.25" customHeight="1">
      <c r="C991" s="29"/>
      <c r="D991" s="29"/>
    </row>
    <row r="992" ht="14.25" customHeight="1">
      <c r="C992" s="29"/>
      <c r="D992" s="29"/>
    </row>
    <row r="993" ht="14.25" customHeight="1">
      <c r="C993" s="29"/>
      <c r="D993" s="29"/>
    </row>
    <row r="994" ht="14.25" customHeight="1">
      <c r="C994" s="29"/>
      <c r="D994" s="29"/>
    </row>
    <row r="995" ht="14.25" customHeight="1">
      <c r="C995" s="29"/>
      <c r="D995" s="29"/>
    </row>
    <row r="996" ht="14.25" customHeight="1">
      <c r="C996" s="29"/>
      <c r="D996" s="29"/>
    </row>
    <row r="997" ht="14.25" customHeight="1">
      <c r="C997" s="29"/>
      <c r="D997" s="29"/>
    </row>
    <row r="998" ht="14.25" customHeight="1">
      <c r="C998" s="29"/>
      <c r="D998" s="29"/>
    </row>
    <row r="999" ht="14.25" customHeight="1">
      <c r="C999" s="29"/>
      <c r="D999" s="29"/>
    </row>
    <row r="1000" ht="14.25" customHeight="1">
      <c r="C1000" s="29"/>
      <c r="D1000" s="29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43"/>
    <col customWidth="1" min="3" max="3" width="28.71"/>
    <col customWidth="1" min="4" max="4" width="28.57"/>
    <col customWidth="1" min="5" max="26" width="10.71"/>
  </cols>
  <sheetData>
    <row r="1" ht="14.25" customHeight="1">
      <c r="A1" s="30" t="s">
        <v>745</v>
      </c>
      <c r="B1" s="30" t="s">
        <v>419</v>
      </c>
      <c r="C1" s="24" t="s">
        <v>746</v>
      </c>
      <c r="D1" s="24" t="s">
        <v>747</v>
      </c>
    </row>
    <row r="2" ht="14.25" customHeight="1">
      <c r="A2" s="26">
        <v>10101.0</v>
      </c>
      <c r="B2" s="13" t="s">
        <v>15</v>
      </c>
      <c r="C2" s="13">
        <v>15.0</v>
      </c>
      <c r="D2" s="13">
        <v>7.0</v>
      </c>
    </row>
    <row r="3" ht="14.25" customHeight="1">
      <c r="A3" s="26">
        <v>10102.0</v>
      </c>
      <c r="B3" s="13" t="s">
        <v>17</v>
      </c>
      <c r="C3" s="13">
        <v>0.0</v>
      </c>
      <c r="D3" s="13">
        <v>0.0</v>
      </c>
    </row>
    <row r="4" ht="14.25" customHeight="1">
      <c r="A4" s="26">
        <v>10103.0</v>
      </c>
      <c r="B4" s="13" t="s">
        <v>20</v>
      </c>
      <c r="C4" s="13">
        <v>1.0</v>
      </c>
      <c r="D4" s="13">
        <v>0.0</v>
      </c>
    </row>
    <row r="5" ht="14.25" customHeight="1">
      <c r="A5" s="26">
        <v>10201.0</v>
      </c>
      <c r="B5" s="13" t="s">
        <v>445</v>
      </c>
      <c r="C5" s="13">
        <v>0.0</v>
      </c>
      <c r="D5" s="13">
        <v>0.0</v>
      </c>
    </row>
    <row r="6" ht="14.25" customHeight="1">
      <c r="A6" s="26">
        <v>10202.0</v>
      </c>
      <c r="B6" s="13" t="s">
        <v>42</v>
      </c>
      <c r="C6" s="13">
        <v>0.0</v>
      </c>
      <c r="D6" s="13">
        <v>0.0</v>
      </c>
    </row>
    <row r="7" ht="14.25" customHeight="1">
      <c r="A7" s="26">
        <v>10301.0</v>
      </c>
      <c r="B7" s="13" t="s">
        <v>448</v>
      </c>
      <c r="C7" s="13">
        <v>0.0</v>
      </c>
      <c r="D7" s="13">
        <v>0.0</v>
      </c>
    </row>
    <row r="8" ht="14.25" customHeight="1">
      <c r="A8" s="26">
        <v>10302.0</v>
      </c>
      <c r="B8" s="13" t="s">
        <v>450</v>
      </c>
      <c r="C8" s="13">
        <v>0.0</v>
      </c>
      <c r="D8" s="13">
        <v>0.0</v>
      </c>
    </row>
    <row r="9" ht="14.25" customHeight="1">
      <c r="A9" s="26">
        <v>10303.0</v>
      </c>
      <c r="B9" s="13" t="s">
        <v>451</v>
      </c>
      <c r="C9" s="13">
        <v>0.0</v>
      </c>
      <c r="D9" s="13">
        <v>0.0</v>
      </c>
    </row>
    <row r="10" ht="14.25" customHeight="1">
      <c r="A10" s="26">
        <v>10304.0</v>
      </c>
      <c r="B10" s="13" t="s">
        <v>453</v>
      </c>
      <c r="C10" s="13">
        <v>0.0</v>
      </c>
      <c r="D10" s="13">
        <v>0.0</v>
      </c>
    </row>
    <row r="11" ht="14.25" customHeight="1">
      <c r="A11" s="26">
        <v>10401.0</v>
      </c>
      <c r="B11" s="13" t="s">
        <v>23</v>
      </c>
      <c r="C11" s="13">
        <v>0.0</v>
      </c>
      <c r="D11" s="13">
        <v>0.0</v>
      </c>
    </row>
    <row r="12" ht="14.25" customHeight="1">
      <c r="A12" s="26">
        <v>10402.0</v>
      </c>
      <c r="B12" s="13" t="s">
        <v>454</v>
      </c>
      <c r="C12" s="13">
        <v>0.0</v>
      </c>
      <c r="D12" s="13">
        <v>0.0</v>
      </c>
    </row>
    <row r="13" ht="14.25" customHeight="1">
      <c r="A13" s="26">
        <v>10403.0</v>
      </c>
      <c r="B13" s="13" t="s">
        <v>26</v>
      </c>
      <c r="C13" s="13">
        <v>0.0</v>
      </c>
      <c r="D13" s="13">
        <v>0.0</v>
      </c>
    </row>
    <row r="14" ht="14.25" customHeight="1">
      <c r="A14" s="26">
        <v>10404.0</v>
      </c>
      <c r="B14" s="13" t="s">
        <v>457</v>
      </c>
      <c r="C14" s="13">
        <v>0.0</v>
      </c>
      <c r="D14" s="13">
        <v>0.0</v>
      </c>
    </row>
    <row r="15" ht="14.25" customHeight="1">
      <c r="A15" s="26">
        <v>10405.0</v>
      </c>
      <c r="B15" s="13" t="s">
        <v>459</v>
      </c>
      <c r="C15" s="13">
        <v>0.0</v>
      </c>
      <c r="D15" s="13">
        <v>0.0</v>
      </c>
    </row>
    <row r="16" ht="14.25" customHeight="1">
      <c r="A16" s="26">
        <v>10501.0</v>
      </c>
      <c r="B16" s="13" t="s">
        <v>18</v>
      </c>
      <c r="C16" s="13">
        <v>0.0</v>
      </c>
      <c r="D16" s="13">
        <v>1.0</v>
      </c>
    </row>
    <row r="17" ht="14.25" customHeight="1">
      <c r="A17" s="26">
        <v>10502.0</v>
      </c>
      <c r="B17" s="13" t="s">
        <v>461</v>
      </c>
      <c r="C17" s="13">
        <v>0.0</v>
      </c>
      <c r="D17" s="13">
        <v>0.0</v>
      </c>
    </row>
    <row r="18" ht="14.25" customHeight="1">
      <c r="A18" s="26">
        <v>10601.0</v>
      </c>
      <c r="B18" s="13" t="s">
        <v>462</v>
      </c>
      <c r="C18" s="13">
        <v>0.0</v>
      </c>
      <c r="D18" s="13">
        <v>0.0</v>
      </c>
    </row>
    <row r="19" ht="14.25" customHeight="1">
      <c r="A19" s="26">
        <v>10602.0</v>
      </c>
      <c r="B19" s="13" t="s">
        <v>37</v>
      </c>
      <c r="C19" s="13">
        <v>0.0</v>
      </c>
      <c r="D19" s="13">
        <v>0.0</v>
      </c>
    </row>
    <row r="20" ht="14.25" customHeight="1">
      <c r="A20" s="26">
        <v>10701.0</v>
      </c>
      <c r="B20" s="13" t="s">
        <v>24</v>
      </c>
      <c r="C20" s="13">
        <v>1.0</v>
      </c>
      <c r="D20" s="13">
        <v>1.0</v>
      </c>
    </row>
    <row r="21" ht="14.25" customHeight="1">
      <c r="A21" s="26">
        <v>10702.0</v>
      </c>
      <c r="B21" s="13" t="s">
        <v>21</v>
      </c>
      <c r="C21" s="13">
        <v>0.0</v>
      </c>
      <c r="D21" s="13">
        <v>1.0</v>
      </c>
    </row>
    <row r="22" ht="14.25" customHeight="1">
      <c r="A22" s="26">
        <v>10703.0</v>
      </c>
      <c r="B22" s="13" t="s">
        <v>31</v>
      </c>
      <c r="C22" s="13">
        <v>0.0</v>
      </c>
      <c r="D22" s="13">
        <v>1.0</v>
      </c>
    </row>
    <row r="23" ht="14.25" customHeight="1">
      <c r="A23" s="26">
        <v>10704.0</v>
      </c>
      <c r="B23" s="13" t="s">
        <v>36</v>
      </c>
      <c r="C23" s="13">
        <v>0.0</v>
      </c>
      <c r="D23" s="13">
        <v>0.0</v>
      </c>
    </row>
    <row r="24" ht="14.25" customHeight="1">
      <c r="A24" s="26">
        <v>10801.0</v>
      </c>
      <c r="B24" s="13" t="s">
        <v>465</v>
      </c>
      <c r="C24" s="13">
        <v>0.0</v>
      </c>
      <c r="D24" s="13">
        <v>0.0</v>
      </c>
    </row>
    <row r="25" ht="14.25" customHeight="1">
      <c r="A25" s="26">
        <v>10901.0</v>
      </c>
      <c r="B25" s="13" t="s">
        <v>467</v>
      </c>
      <c r="C25" s="13">
        <v>0.0</v>
      </c>
      <c r="D25" s="13">
        <v>0.0</v>
      </c>
    </row>
    <row r="26" ht="14.25" customHeight="1">
      <c r="A26" s="26">
        <v>10902.0</v>
      </c>
      <c r="B26" s="13" t="s">
        <v>28</v>
      </c>
      <c r="C26" s="13">
        <v>0.0</v>
      </c>
      <c r="D26" s="13">
        <v>0.0</v>
      </c>
    </row>
    <row r="27" ht="14.25" customHeight="1">
      <c r="A27" s="26">
        <v>10903.0</v>
      </c>
      <c r="B27" s="13" t="s">
        <v>468</v>
      </c>
      <c r="C27" s="13">
        <v>0.0</v>
      </c>
      <c r="D27" s="13">
        <v>0.0</v>
      </c>
    </row>
    <row r="28" ht="14.25" customHeight="1">
      <c r="A28" s="26">
        <v>11001.0</v>
      </c>
      <c r="B28" s="13" t="s">
        <v>470</v>
      </c>
      <c r="C28" s="13">
        <v>0.0</v>
      </c>
      <c r="D28" s="13">
        <v>0.0</v>
      </c>
    </row>
    <row r="29" ht="14.25" customHeight="1">
      <c r="A29" s="26">
        <v>11002.0</v>
      </c>
      <c r="B29" s="13" t="s">
        <v>471</v>
      </c>
      <c r="C29" s="13">
        <v>0.0</v>
      </c>
      <c r="D29" s="13">
        <v>0.0</v>
      </c>
    </row>
    <row r="30" ht="14.25" customHeight="1">
      <c r="A30" s="26">
        <v>11003.0</v>
      </c>
      <c r="B30" s="13" t="s">
        <v>33</v>
      </c>
      <c r="C30" s="13">
        <v>0.0</v>
      </c>
      <c r="D30" s="13">
        <v>1.0</v>
      </c>
    </row>
    <row r="31" ht="14.25" customHeight="1">
      <c r="A31" s="26">
        <v>20101.0</v>
      </c>
      <c r="B31" s="13" t="s">
        <v>475</v>
      </c>
      <c r="C31" s="13">
        <v>46.0</v>
      </c>
      <c r="D31" s="13">
        <v>19.0</v>
      </c>
    </row>
    <row r="32" ht="14.25" customHeight="1">
      <c r="A32" s="26">
        <v>20102.0</v>
      </c>
      <c r="B32" s="13" t="s">
        <v>44</v>
      </c>
      <c r="C32" s="13">
        <v>0.0</v>
      </c>
      <c r="D32" s="13">
        <v>0.0</v>
      </c>
    </row>
    <row r="33" ht="14.25" customHeight="1">
      <c r="A33" s="26">
        <v>20103.0</v>
      </c>
      <c r="B33" s="13" t="s">
        <v>46</v>
      </c>
      <c r="C33" s="13">
        <v>0.0</v>
      </c>
      <c r="D33" s="13">
        <v>0.0</v>
      </c>
    </row>
    <row r="34" ht="14.25" customHeight="1">
      <c r="A34" s="26">
        <v>20104.0</v>
      </c>
      <c r="B34" s="13" t="s">
        <v>49</v>
      </c>
      <c r="C34" s="13">
        <v>3.0</v>
      </c>
      <c r="D34" s="13">
        <v>0.0</v>
      </c>
    </row>
    <row r="35" ht="14.25" customHeight="1">
      <c r="A35" s="26">
        <v>20105.0</v>
      </c>
      <c r="B35" s="13" t="s">
        <v>50</v>
      </c>
      <c r="C35" s="13">
        <v>102.0</v>
      </c>
      <c r="D35" s="13">
        <v>26.0</v>
      </c>
    </row>
    <row r="36" ht="14.25" customHeight="1">
      <c r="A36" s="26">
        <v>20201.0</v>
      </c>
      <c r="B36" s="13" t="s">
        <v>53</v>
      </c>
      <c r="C36" s="13">
        <v>2.0</v>
      </c>
      <c r="D36" s="13">
        <v>2.0</v>
      </c>
    </row>
    <row r="37" ht="14.25" customHeight="1">
      <c r="A37" s="26">
        <v>20202.0</v>
      </c>
      <c r="B37" s="13" t="s">
        <v>56</v>
      </c>
      <c r="C37" s="13">
        <v>0.0</v>
      </c>
      <c r="D37" s="13">
        <v>0.0</v>
      </c>
    </row>
    <row r="38" ht="14.25" customHeight="1">
      <c r="A38" s="26">
        <v>20203.0</v>
      </c>
      <c r="B38" s="13" t="s">
        <v>59</v>
      </c>
      <c r="C38" s="13">
        <v>0.0</v>
      </c>
      <c r="D38" s="13">
        <v>0.0</v>
      </c>
    </row>
    <row r="39" ht="14.25" customHeight="1">
      <c r="A39" s="26">
        <v>20204.0</v>
      </c>
      <c r="B39" s="13" t="s">
        <v>478</v>
      </c>
      <c r="C39" s="13">
        <v>0.0</v>
      </c>
      <c r="D39" s="13">
        <v>0.0</v>
      </c>
    </row>
    <row r="40" ht="14.25" customHeight="1">
      <c r="A40" s="26">
        <v>20205.0</v>
      </c>
      <c r="B40" s="13" t="s">
        <v>479</v>
      </c>
      <c r="C40" s="13">
        <v>0.0</v>
      </c>
      <c r="D40" s="13">
        <v>1.0</v>
      </c>
    </row>
    <row r="41" ht="14.25" customHeight="1">
      <c r="A41" s="26">
        <v>20206.0</v>
      </c>
      <c r="B41" s="13" t="s">
        <v>480</v>
      </c>
      <c r="C41" s="13">
        <v>0.0</v>
      </c>
      <c r="D41" s="13">
        <v>0.0</v>
      </c>
    </row>
    <row r="42" ht="14.25" customHeight="1">
      <c r="A42" s="26">
        <v>20301.0</v>
      </c>
      <c r="B42" s="13" t="s">
        <v>62</v>
      </c>
      <c r="C42" s="13">
        <v>0.0</v>
      </c>
      <c r="D42" s="13">
        <v>0.0</v>
      </c>
    </row>
    <row r="43" ht="14.25" customHeight="1">
      <c r="A43" s="26">
        <v>20302.0</v>
      </c>
      <c r="B43" s="13" t="s">
        <v>64</v>
      </c>
      <c r="C43" s="13">
        <v>0.0</v>
      </c>
      <c r="D43" s="13">
        <v>0.0</v>
      </c>
    </row>
    <row r="44" ht="14.25" customHeight="1">
      <c r="A44" s="26">
        <v>20303.0</v>
      </c>
      <c r="B44" s="13" t="s">
        <v>483</v>
      </c>
      <c r="C44" s="13">
        <v>0.0</v>
      </c>
      <c r="D44" s="13">
        <v>0.0</v>
      </c>
    </row>
    <row r="45" ht="14.25" customHeight="1">
      <c r="A45" s="26">
        <v>20304.0</v>
      </c>
      <c r="B45" s="13" t="s">
        <v>484</v>
      </c>
      <c r="C45" s="13">
        <v>0.0</v>
      </c>
      <c r="D45" s="13">
        <v>0.0</v>
      </c>
    </row>
    <row r="46" ht="14.25" customHeight="1">
      <c r="A46" s="26">
        <v>20305.0</v>
      </c>
      <c r="B46" s="13" t="s">
        <v>67</v>
      </c>
      <c r="C46" s="13">
        <v>0.0</v>
      </c>
      <c r="D46" s="13">
        <v>0.0</v>
      </c>
    </row>
    <row r="47" ht="14.25" customHeight="1">
      <c r="A47" s="26">
        <v>20306.0</v>
      </c>
      <c r="B47" s="13" t="s">
        <v>129</v>
      </c>
      <c r="C47" s="13">
        <v>0.0</v>
      </c>
      <c r="D47" s="13">
        <v>0.0</v>
      </c>
    </row>
    <row r="48" ht="14.25" customHeight="1">
      <c r="A48" s="26">
        <v>20307.0</v>
      </c>
      <c r="B48" s="13" t="s">
        <v>133</v>
      </c>
      <c r="C48" s="13">
        <v>0.0</v>
      </c>
      <c r="D48" s="13">
        <v>0.0</v>
      </c>
    </row>
    <row r="49" ht="14.25" customHeight="1">
      <c r="A49" s="26">
        <v>20308.0</v>
      </c>
      <c r="B49" s="13" t="s">
        <v>485</v>
      </c>
      <c r="C49" s="13">
        <v>0.0</v>
      </c>
      <c r="D49" s="13">
        <v>0.0</v>
      </c>
    </row>
    <row r="50" ht="14.25" customHeight="1">
      <c r="A50" s="26">
        <v>20401.0</v>
      </c>
      <c r="B50" s="13" t="s">
        <v>73</v>
      </c>
      <c r="C50" s="13">
        <v>0.0</v>
      </c>
      <c r="D50" s="13">
        <v>0.0</v>
      </c>
    </row>
    <row r="51" ht="14.25" customHeight="1">
      <c r="A51" s="26">
        <v>20402.0</v>
      </c>
      <c r="B51" s="13" t="s">
        <v>487</v>
      </c>
      <c r="C51" s="13">
        <v>0.0</v>
      </c>
      <c r="D51" s="13">
        <v>0.0</v>
      </c>
    </row>
    <row r="52" ht="14.25" customHeight="1">
      <c r="A52" s="26">
        <v>20403.0</v>
      </c>
      <c r="B52" s="13" t="s">
        <v>488</v>
      </c>
      <c r="C52" s="13">
        <v>0.0</v>
      </c>
      <c r="D52" s="13">
        <v>0.0</v>
      </c>
    </row>
    <row r="53" ht="14.25" customHeight="1">
      <c r="A53" s="26">
        <v>20404.0</v>
      </c>
      <c r="B53" s="13" t="s">
        <v>490</v>
      </c>
      <c r="C53" s="13">
        <v>0.0</v>
      </c>
      <c r="D53" s="13">
        <v>0.0</v>
      </c>
    </row>
    <row r="54" ht="14.25" customHeight="1">
      <c r="A54" s="26">
        <v>20405.0</v>
      </c>
      <c r="B54" s="13" t="s">
        <v>491</v>
      </c>
      <c r="C54" s="13">
        <v>0.0</v>
      </c>
      <c r="D54" s="13">
        <v>0.0</v>
      </c>
    </row>
    <row r="55" ht="14.25" customHeight="1">
      <c r="A55" s="26">
        <v>20501.0</v>
      </c>
      <c r="B55" s="13" t="s">
        <v>493</v>
      </c>
      <c r="C55" s="13">
        <v>0.0</v>
      </c>
      <c r="D55" s="13">
        <v>0.0</v>
      </c>
    </row>
    <row r="56" ht="14.25" customHeight="1">
      <c r="A56" s="26">
        <v>20502.0</v>
      </c>
      <c r="B56" s="13" t="s">
        <v>76</v>
      </c>
      <c r="C56" s="13">
        <v>0.0</v>
      </c>
      <c r="D56" s="13">
        <v>0.0</v>
      </c>
    </row>
    <row r="57" ht="14.25" customHeight="1">
      <c r="A57" s="26">
        <v>20503.0</v>
      </c>
      <c r="B57" s="13" t="s">
        <v>494</v>
      </c>
      <c r="C57" s="13">
        <v>0.0</v>
      </c>
      <c r="D57" s="13">
        <v>0.0</v>
      </c>
    </row>
    <row r="58" ht="14.25" customHeight="1">
      <c r="A58" s="26">
        <v>20601.0</v>
      </c>
      <c r="B58" s="13" t="s">
        <v>79</v>
      </c>
      <c r="C58" s="13">
        <v>0.0</v>
      </c>
      <c r="D58" s="13">
        <v>0.0</v>
      </c>
    </row>
    <row r="59" ht="14.25" customHeight="1">
      <c r="A59" s="26">
        <v>20602.0</v>
      </c>
      <c r="B59" s="13" t="s">
        <v>82</v>
      </c>
      <c r="C59" s="13">
        <v>0.0</v>
      </c>
      <c r="D59" s="13">
        <v>0.0</v>
      </c>
    </row>
    <row r="60" ht="14.25" customHeight="1">
      <c r="A60" s="26">
        <v>20603.0</v>
      </c>
      <c r="B60" s="13" t="s">
        <v>85</v>
      </c>
      <c r="C60" s="13">
        <v>0.0</v>
      </c>
      <c r="D60" s="13">
        <v>0.0</v>
      </c>
    </row>
    <row r="61" ht="14.25" customHeight="1">
      <c r="A61" s="26">
        <v>20604.0</v>
      </c>
      <c r="B61" s="13" t="s">
        <v>88</v>
      </c>
      <c r="C61" s="13">
        <v>0.0</v>
      </c>
      <c r="D61" s="13">
        <v>0.0</v>
      </c>
    </row>
    <row r="62" ht="14.25" customHeight="1">
      <c r="A62" s="26">
        <v>20605.0</v>
      </c>
      <c r="B62" s="13" t="s">
        <v>496</v>
      </c>
      <c r="C62" s="13">
        <v>0.0</v>
      </c>
      <c r="D62" s="13">
        <v>0.0</v>
      </c>
    </row>
    <row r="63" ht="14.25" customHeight="1">
      <c r="A63" s="26">
        <v>20606.0</v>
      </c>
      <c r="B63" s="13" t="s">
        <v>497</v>
      </c>
      <c r="C63" s="13">
        <v>0.0</v>
      </c>
      <c r="D63" s="13">
        <v>0.0</v>
      </c>
    </row>
    <row r="64" ht="14.25" customHeight="1">
      <c r="A64" s="26">
        <v>20607.0</v>
      </c>
      <c r="B64" s="13" t="s">
        <v>90</v>
      </c>
      <c r="C64" s="13">
        <v>1.0</v>
      </c>
      <c r="D64" s="13">
        <v>0.0</v>
      </c>
    </row>
    <row r="65" ht="14.25" customHeight="1">
      <c r="A65" s="26">
        <v>20608.0</v>
      </c>
      <c r="B65" s="13" t="s">
        <v>93</v>
      </c>
      <c r="C65" s="13">
        <v>0.0</v>
      </c>
      <c r="D65" s="13">
        <v>0.0</v>
      </c>
    </row>
    <row r="66" ht="14.25" customHeight="1">
      <c r="A66" s="26">
        <v>20701.0</v>
      </c>
      <c r="B66" s="13" t="s">
        <v>96</v>
      </c>
      <c r="C66" s="13">
        <v>0.0</v>
      </c>
      <c r="D66" s="13">
        <v>0.0</v>
      </c>
    </row>
    <row r="67" ht="14.25" customHeight="1">
      <c r="A67" s="26">
        <v>20702.0</v>
      </c>
      <c r="B67" s="13" t="s">
        <v>99</v>
      </c>
      <c r="C67" s="13">
        <v>0.0</v>
      </c>
      <c r="D67" s="13">
        <v>0.0</v>
      </c>
    </row>
    <row r="68" ht="14.25" customHeight="1">
      <c r="A68" s="26">
        <v>20801.0</v>
      </c>
      <c r="B68" s="13" t="s">
        <v>54</v>
      </c>
      <c r="C68" s="13">
        <v>11.0</v>
      </c>
      <c r="D68" s="13">
        <v>6.0</v>
      </c>
    </row>
    <row r="69" ht="14.25" customHeight="1">
      <c r="A69" s="26">
        <v>20802.0</v>
      </c>
      <c r="B69" s="13" t="s">
        <v>500</v>
      </c>
      <c r="C69" s="13">
        <v>0.0</v>
      </c>
      <c r="D69" s="13">
        <v>0.0</v>
      </c>
    </row>
    <row r="70" ht="14.25" customHeight="1">
      <c r="A70" s="26">
        <v>20803.0</v>
      </c>
      <c r="B70" s="13" t="s">
        <v>103</v>
      </c>
      <c r="C70" s="13">
        <v>0.0</v>
      </c>
      <c r="D70" s="13">
        <v>1.0</v>
      </c>
    </row>
    <row r="71" ht="14.25" customHeight="1">
      <c r="A71" s="26">
        <v>20804.0</v>
      </c>
      <c r="B71" s="13" t="s">
        <v>65</v>
      </c>
      <c r="C71" s="13">
        <v>1.0</v>
      </c>
      <c r="D71" s="13">
        <v>1.0</v>
      </c>
    </row>
    <row r="72" ht="14.25" customHeight="1">
      <c r="A72" s="26">
        <v>20805.0</v>
      </c>
      <c r="B72" s="13" t="s">
        <v>502</v>
      </c>
      <c r="C72" s="13">
        <v>0.0</v>
      </c>
      <c r="D72" s="13">
        <v>0.0</v>
      </c>
    </row>
    <row r="73" ht="14.25" customHeight="1">
      <c r="A73" s="26">
        <v>20806.0</v>
      </c>
      <c r="B73" s="13" t="s">
        <v>504</v>
      </c>
      <c r="C73" s="13">
        <v>0.0</v>
      </c>
      <c r="D73" s="13">
        <v>0.0</v>
      </c>
    </row>
    <row r="74" ht="14.25" customHeight="1">
      <c r="A74" s="26">
        <v>20807.0</v>
      </c>
      <c r="B74" s="13" t="s">
        <v>506</v>
      </c>
      <c r="C74" s="13">
        <v>0.0</v>
      </c>
      <c r="D74" s="13">
        <v>0.0</v>
      </c>
    </row>
    <row r="75" ht="14.25" customHeight="1">
      <c r="A75" s="26">
        <v>20901.0</v>
      </c>
      <c r="B75" s="13" t="s">
        <v>508</v>
      </c>
      <c r="C75" s="13">
        <v>0.0</v>
      </c>
      <c r="D75" s="13">
        <v>0.0</v>
      </c>
    </row>
    <row r="76" ht="14.25" customHeight="1">
      <c r="A76" s="26">
        <v>20902.0</v>
      </c>
      <c r="B76" s="13" t="s">
        <v>108</v>
      </c>
      <c r="C76" s="13">
        <v>0.0</v>
      </c>
      <c r="D76" s="13">
        <v>0.0</v>
      </c>
    </row>
    <row r="77" ht="14.25" customHeight="1">
      <c r="A77" s="26">
        <v>20903.0</v>
      </c>
      <c r="B77" s="13" t="s">
        <v>509</v>
      </c>
      <c r="C77" s="13">
        <v>0.0</v>
      </c>
      <c r="D77" s="13">
        <v>0.0</v>
      </c>
    </row>
    <row r="78" ht="14.25" customHeight="1">
      <c r="A78" s="26">
        <v>20904.0</v>
      </c>
      <c r="B78" s="13" t="s">
        <v>510</v>
      </c>
      <c r="C78" s="13">
        <v>0.0</v>
      </c>
      <c r="D78" s="13">
        <v>0.0</v>
      </c>
    </row>
    <row r="79" ht="14.25" customHeight="1">
      <c r="A79" s="26">
        <v>20905.0</v>
      </c>
      <c r="B79" s="13" t="s">
        <v>511</v>
      </c>
      <c r="C79" s="13">
        <v>0.0</v>
      </c>
      <c r="D79" s="13">
        <v>0.0</v>
      </c>
    </row>
    <row r="80" ht="14.25" customHeight="1">
      <c r="A80" s="26">
        <v>21001.0</v>
      </c>
      <c r="B80" s="13" t="s">
        <v>111</v>
      </c>
      <c r="C80" s="13">
        <v>0.0</v>
      </c>
      <c r="D80" s="13">
        <v>0.0</v>
      </c>
    </row>
    <row r="81" ht="14.25" customHeight="1">
      <c r="A81" s="26">
        <v>21002.0</v>
      </c>
      <c r="B81" s="13" t="s">
        <v>512</v>
      </c>
      <c r="C81" s="13">
        <v>0.0</v>
      </c>
      <c r="D81" s="13">
        <v>0.0</v>
      </c>
    </row>
    <row r="82" ht="14.25" customHeight="1">
      <c r="A82" s="26">
        <v>21003.0</v>
      </c>
      <c r="B82" s="13" t="s">
        <v>109</v>
      </c>
      <c r="C82" s="13">
        <v>0.0</v>
      </c>
      <c r="D82" s="13">
        <v>1.0</v>
      </c>
    </row>
    <row r="83" ht="14.25" customHeight="1">
      <c r="A83" s="26">
        <v>21004.0</v>
      </c>
      <c r="B83" s="13" t="s">
        <v>115</v>
      </c>
      <c r="C83" s="13">
        <v>0.0</v>
      </c>
      <c r="D83" s="13">
        <v>0.0</v>
      </c>
    </row>
    <row r="84" ht="14.25" customHeight="1">
      <c r="A84" s="26">
        <v>21005.0</v>
      </c>
      <c r="B84" s="13" t="s">
        <v>513</v>
      </c>
      <c r="C84" s="13">
        <v>0.0</v>
      </c>
      <c r="D84" s="13">
        <v>0.0</v>
      </c>
    </row>
    <row r="85" ht="14.25" customHeight="1">
      <c r="A85" s="26">
        <v>21006.0</v>
      </c>
      <c r="B85" s="13" t="s">
        <v>514</v>
      </c>
      <c r="C85" s="13">
        <v>0.0</v>
      </c>
      <c r="D85" s="13">
        <v>0.0</v>
      </c>
    </row>
    <row r="86" ht="14.25" customHeight="1">
      <c r="A86" s="26">
        <v>21101.0</v>
      </c>
      <c r="B86" s="13" t="s">
        <v>83</v>
      </c>
      <c r="C86" s="13">
        <v>1.0</v>
      </c>
      <c r="D86" s="13">
        <v>0.0</v>
      </c>
    </row>
    <row r="87" ht="14.25" customHeight="1">
      <c r="A87" s="26">
        <v>21102.0</v>
      </c>
      <c r="B87" s="13" t="s">
        <v>119</v>
      </c>
      <c r="C87" s="13">
        <v>0.0</v>
      </c>
      <c r="D87" s="13">
        <v>0.0</v>
      </c>
    </row>
    <row r="88" ht="14.25" customHeight="1">
      <c r="A88" s="26">
        <v>21103.0</v>
      </c>
      <c r="B88" s="13" t="s">
        <v>518</v>
      </c>
      <c r="C88" s="13">
        <v>0.0</v>
      </c>
      <c r="D88" s="13">
        <v>0.0</v>
      </c>
    </row>
    <row r="89" ht="14.25" customHeight="1">
      <c r="A89" s="26">
        <v>21104.0</v>
      </c>
      <c r="B89" s="13" t="s">
        <v>121</v>
      </c>
      <c r="C89" s="13">
        <v>1.0</v>
      </c>
      <c r="D89" s="13">
        <v>1.0</v>
      </c>
    </row>
    <row r="90" ht="14.25" customHeight="1">
      <c r="A90" s="26">
        <v>21105.0</v>
      </c>
      <c r="B90" s="13" t="s">
        <v>91</v>
      </c>
      <c r="C90" s="13">
        <v>1.0</v>
      </c>
      <c r="D90" s="13">
        <v>1.0</v>
      </c>
    </row>
    <row r="91" ht="14.25" customHeight="1">
      <c r="A91" s="26">
        <v>21201.0</v>
      </c>
      <c r="B91" s="13" t="s">
        <v>77</v>
      </c>
      <c r="C91" s="13">
        <v>1.0</v>
      </c>
      <c r="D91" s="13">
        <v>1.0</v>
      </c>
    </row>
    <row r="92" ht="14.25" customHeight="1">
      <c r="A92" s="26">
        <v>21202.0</v>
      </c>
      <c r="B92" s="13" t="s">
        <v>71</v>
      </c>
      <c r="C92" s="13">
        <v>1.0</v>
      </c>
      <c r="D92" s="13">
        <v>0.0</v>
      </c>
    </row>
    <row r="93" ht="14.25" customHeight="1">
      <c r="A93" s="26">
        <v>21203.0</v>
      </c>
      <c r="B93" s="13" t="s">
        <v>127</v>
      </c>
      <c r="C93" s="13">
        <v>1.0</v>
      </c>
      <c r="D93" s="13">
        <v>0.0</v>
      </c>
    </row>
    <row r="94" ht="14.25" customHeight="1">
      <c r="A94" s="26">
        <v>21204.0</v>
      </c>
      <c r="B94" s="13" t="s">
        <v>520</v>
      </c>
      <c r="C94" s="13">
        <v>0.0</v>
      </c>
      <c r="D94" s="13">
        <v>0.0</v>
      </c>
    </row>
    <row r="95" ht="14.25" customHeight="1">
      <c r="A95" s="26">
        <v>21301.0</v>
      </c>
      <c r="B95" s="13" t="s">
        <v>57</v>
      </c>
      <c r="C95" s="13">
        <v>1.0</v>
      </c>
      <c r="D95" s="13">
        <v>3.0</v>
      </c>
    </row>
    <row r="96" ht="14.25" customHeight="1">
      <c r="A96" s="26">
        <v>21302.0</v>
      </c>
      <c r="B96" s="13" t="s">
        <v>104</v>
      </c>
      <c r="C96" s="13">
        <v>0.0</v>
      </c>
      <c r="D96" s="13">
        <v>1.0</v>
      </c>
    </row>
    <row r="97" ht="14.25" customHeight="1">
      <c r="A97" s="26">
        <v>21303.0</v>
      </c>
      <c r="B97" s="13" t="s">
        <v>523</v>
      </c>
      <c r="C97" s="13">
        <v>0.0</v>
      </c>
      <c r="D97" s="13">
        <v>0.0</v>
      </c>
    </row>
    <row r="98" ht="14.25" customHeight="1">
      <c r="A98" s="26">
        <v>21304.0</v>
      </c>
      <c r="B98" s="13" t="s">
        <v>94</v>
      </c>
      <c r="C98" s="13">
        <v>0.0</v>
      </c>
      <c r="D98" s="13">
        <v>0.0</v>
      </c>
    </row>
    <row r="99" ht="14.25" customHeight="1">
      <c r="A99" s="26">
        <v>21305.0</v>
      </c>
      <c r="B99" s="13" t="s">
        <v>74</v>
      </c>
      <c r="C99" s="13">
        <v>2.0</v>
      </c>
      <c r="D99" s="13">
        <v>1.0</v>
      </c>
    </row>
    <row r="100" ht="14.25" customHeight="1">
      <c r="A100" s="26">
        <v>21306.0</v>
      </c>
      <c r="B100" s="13" t="s">
        <v>135</v>
      </c>
      <c r="C100" s="13">
        <v>0.0</v>
      </c>
      <c r="D100" s="13">
        <v>0.0</v>
      </c>
    </row>
    <row r="101" ht="14.25" customHeight="1">
      <c r="A101" s="26">
        <v>21307.0</v>
      </c>
      <c r="B101" s="13" t="s">
        <v>123</v>
      </c>
      <c r="C101" s="13">
        <v>1.0</v>
      </c>
      <c r="D101" s="13">
        <v>0.0</v>
      </c>
    </row>
    <row r="102" ht="14.25" customHeight="1">
      <c r="A102" s="26">
        <v>21401.0</v>
      </c>
      <c r="B102" s="13" t="s">
        <v>112</v>
      </c>
      <c r="C102" s="13">
        <v>1.0</v>
      </c>
      <c r="D102" s="13">
        <v>1.0</v>
      </c>
    </row>
    <row r="103" ht="14.25" customHeight="1">
      <c r="A103" s="26">
        <v>21402.0</v>
      </c>
      <c r="B103" s="13" t="s">
        <v>80</v>
      </c>
      <c r="C103" s="13">
        <v>0.0</v>
      </c>
      <c r="D103" s="13">
        <v>0.0</v>
      </c>
    </row>
    <row r="104" ht="14.25" customHeight="1">
      <c r="A104" s="26">
        <v>21501.0</v>
      </c>
      <c r="B104" s="13" t="s">
        <v>117</v>
      </c>
      <c r="C104" s="13">
        <v>0.0</v>
      </c>
      <c r="D104" s="13">
        <v>1.0</v>
      </c>
    </row>
    <row r="105" ht="14.25" customHeight="1">
      <c r="A105" s="26">
        <v>21502.0</v>
      </c>
      <c r="B105" s="13" t="s">
        <v>100</v>
      </c>
      <c r="C105" s="13">
        <v>0.0</v>
      </c>
      <c r="D105" s="13">
        <v>0.0</v>
      </c>
    </row>
    <row r="106" ht="14.25" customHeight="1">
      <c r="A106" s="26">
        <v>21601.0</v>
      </c>
      <c r="B106" s="13" t="s">
        <v>527</v>
      </c>
      <c r="C106" s="13">
        <v>0.0</v>
      </c>
      <c r="D106" s="13">
        <v>0.0</v>
      </c>
    </row>
    <row r="107" ht="14.25" customHeight="1">
      <c r="A107" s="26">
        <v>21602.0</v>
      </c>
      <c r="B107" s="13" t="s">
        <v>529</v>
      </c>
      <c r="C107" s="13">
        <v>0.0</v>
      </c>
      <c r="D107" s="13">
        <v>0.0</v>
      </c>
    </row>
    <row r="108" ht="14.25" customHeight="1">
      <c r="A108" s="26">
        <v>21701.0</v>
      </c>
      <c r="B108" s="13" t="s">
        <v>68</v>
      </c>
      <c r="C108" s="13">
        <v>3.0</v>
      </c>
      <c r="D108" s="13">
        <v>1.0</v>
      </c>
    </row>
    <row r="109" ht="14.25" customHeight="1">
      <c r="A109" s="26">
        <v>21702.0</v>
      </c>
      <c r="B109" s="13" t="s">
        <v>531</v>
      </c>
      <c r="C109" s="13">
        <v>0.0</v>
      </c>
      <c r="D109" s="13">
        <v>0.0</v>
      </c>
    </row>
    <row r="110" ht="14.25" customHeight="1">
      <c r="A110" s="26">
        <v>21703.0</v>
      </c>
      <c r="B110" s="13" t="s">
        <v>136</v>
      </c>
      <c r="C110" s="13">
        <v>0.0</v>
      </c>
      <c r="D110" s="13">
        <v>0.0</v>
      </c>
    </row>
    <row r="111" ht="14.25" customHeight="1">
      <c r="A111" s="26">
        <v>21801.0</v>
      </c>
      <c r="B111" s="13" t="s">
        <v>533</v>
      </c>
      <c r="C111" s="13">
        <v>0.0</v>
      </c>
      <c r="D111" s="13">
        <v>0.0</v>
      </c>
    </row>
    <row r="112" ht="14.25" customHeight="1">
      <c r="A112" s="26">
        <v>21802.0</v>
      </c>
      <c r="B112" s="13" t="s">
        <v>146</v>
      </c>
      <c r="C112" s="13">
        <v>0.0</v>
      </c>
      <c r="D112" s="13">
        <v>0.0</v>
      </c>
    </row>
    <row r="113" ht="14.25" customHeight="1">
      <c r="A113" s="26">
        <v>21803.0</v>
      </c>
      <c r="B113" s="13" t="s">
        <v>535</v>
      </c>
      <c r="C113" s="13">
        <v>0.0</v>
      </c>
      <c r="D113" s="13">
        <v>0.0</v>
      </c>
    </row>
    <row r="114" ht="14.25" customHeight="1">
      <c r="A114" s="26">
        <v>21901.0</v>
      </c>
      <c r="B114" s="13" t="s">
        <v>537</v>
      </c>
      <c r="C114" s="13">
        <v>0.0</v>
      </c>
      <c r="D114" s="13">
        <v>0.0</v>
      </c>
    </row>
    <row r="115" ht="14.25" customHeight="1">
      <c r="A115" s="26">
        <v>21902.0</v>
      </c>
      <c r="B115" s="13" t="s">
        <v>538</v>
      </c>
      <c r="C115" s="13">
        <v>0.0</v>
      </c>
      <c r="D115" s="13">
        <v>0.0</v>
      </c>
    </row>
    <row r="116" ht="14.25" customHeight="1">
      <c r="A116" s="26">
        <v>22001.0</v>
      </c>
      <c r="B116" s="13" t="s">
        <v>60</v>
      </c>
      <c r="C116" s="13">
        <v>2.0</v>
      </c>
      <c r="D116" s="13">
        <v>2.0</v>
      </c>
    </row>
    <row r="117" ht="14.25" customHeight="1">
      <c r="A117" s="26">
        <v>22002.0</v>
      </c>
      <c r="B117" s="13" t="s">
        <v>539</v>
      </c>
      <c r="C117" s="13">
        <v>0.0</v>
      </c>
      <c r="D117" s="13">
        <v>0.0</v>
      </c>
    </row>
    <row r="118" ht="14.25" customHeight="1">
      <c r="A118" s="26">
        <v>30101.0</v>
      </c>
      <c r="B118" s="13" t="s">
        <v>147</v>
      </c>
      <c r="C118" s="13">
        <v>23.0</v>
      </c>
      <c r="D118" s="13">
        <v>24.0</v>
      </c>
    </row>
    <row r="119" ht="14.25" customHeight="1">
      <c r="A119" s="26">
        <v>30201.0</v>
      </c>
      <c r="B119" s="13" t="s">
        <v>542</v>
      </c>
      <c r="C119" s="13">
        <v>0.0</v>
      </c>
      <c r="D119" s="13">
        <v>0.0</v>
      </c>
    </row>
    <row r="120" ht="14.25" customHeight="1">
      <c r="A120" s="26">
        <v>30202.0</v>
      </c>
      <c r="B120" s="13" t="s">
        <v>543</v>
      </c>
      <c r="C120" s="13">
        <v>0.0</v>
      </c>
      <c r="D120" s="13">
        <v>0.0</v>
      </c>
    </row>
    <row r="121" ht="14.25" customHeight="1">
      <c r="A121" s="26">
        <v>30203.0</v>
      </c>
      <c r="B121" s="13" t="s">
        <v>544</v>
      </c>
      <c r="C121" s="13">
        <v>0.0</v>
      </c>
      <c r="D121" s="13">
        <v>0.0</v>
      </c>
    </row>
    <row r="122" ht="14.25" customHeight="1">
      <c r="A122" s="26">
        <v>30301.0</v>
      </c>
      <c r="B122" s="13" t="s">
        <v>546</v>
      </c>
      <c r="C122" s="13">
        <v>0.0</v>
      </c>
      <c r="D122" s="13">
        <v>0.0</v>
      </c>
    </row>
    <row r="123" ht="14.25" customHeight="1">
      <c r="A123" s="26">
        <v>30302.0</v>
      </c>
      <c r="B123" s="13" t="s">
        <v>153</v>
      </c>
      <c r="C123" s="13">
        <v>0.0</v>
      </c>
      <c r="D123" s="13">
        <v>0.0</v>
      </c>
    </row>
    <row r="124" ht="14.25" customHeight="1">
      <c r="A124" s="26">
        <v>30303.0</v>
      </c>
      <c r="B124" s="13" t="s">
        <v>548</v>
      </c>
      <c r="C124" s="13">
        <v>0.0</v>
      </c>
      <c r="D124" s="13">
        <v>0.0</v>
      </c>
    </row>
    <row r="125" ht="14.25" customHeight="1">
      <c r="A125" s="26">
        <v>30401.0</v>
      </c>
      <c r="B125" s="13" t="s">
        <v>156</v>
      </c>
      <c r="C125" s="13">
        <v>1.0</v>
      </c>
      <c r="D125" s="13">
        <v>1.0</v>
      </c>
    </row>
    <row r="126" ht="14.25" customHeight="1">
      <c r="A126" s="26">
        <v>30402.0</v>
      </c>
      <c r="B126" s="13" t="s">
        <v>159</v>
      </c>
      <c r="C126" s="13">
        <v>0.0</v>
      </c>
      <c r="D126" s="13">
        <v>0.0</v>
      </c>
    </row>
    <row r="127" ht="14.25" customHeight="1">
      <c r="A127" s="26">
        <v>30403.0</v>
      </c>
      <c r="B127" s="13" t="s">
        <v>162</v>
      </c>
      <c r="C127" s="13">
        <v>3.0</v>
      </c>
      <c r="D127" s="13">
        <v>1.0</v>
      </c>
    </row>
    <row r="128" ht="14.25" customHeight="1">
      <c r="A128" s="26">
        <v>30404.0</v>
      </c>
      <c r="B128" s="13" t="s">
        <v>551</v>
      </c>
      <c r="C128" s="13">
        <v>0.0</v>
      </c>
      <c r="D128" s="13">
        <v>0.0</v>
      </c>
    </row>
    <row r="129" ht="14.25" customHeight="1">
      <c r="A129" s="26">
        <v>30501.0</v>
      </c>
      <c r="B129" s="13" t="s">
        <v>165</v>
      </c>
      <c r="C129" s="13">
        <v>0.0</v>
      </c>
      <c r="D129" s="13">
        <v>1.0</v>
      </c>
    </row>
    <row r="130" ht="14.25" customHeight="1">
      <c r="A130" s="26">
        <v>30502.0</v>
      </c>
      <c r="B130" s="13" t="s">
        <v>168</v>
      </c>
      <c r="C130" s="13">
        <v>0.0</v>
      </c>
      <c r="D130" s="13">
        <v>0.0</v>
      </c>
    </row>
    <row r="131" ht="14.25" customHeight="1">
      <c r="A131" s="26">
        <v>30601.0</v>
      </c>
      <c r="B131" s="13" t="s">
        <v>171</v>
      </c>
      <c r="C131" s="13">
        <v>0.0</v>
      </c>
      <c r="D131" s="13">
        <v>0.0</v>
      </c>
    </row>
    <row r="132" ht="14.25" customHeight="1">
      <c r="A132" s="26">
        <v>30602.0</v>
      </c>
      <c r="B132" s="13" t="s">
        <v>553</v>
      </c>
      <c r="C132" s="13">
        <v>0.0</v>
      </c>
      <c r="D132" s="13">
        <v>0.0</v>
      </c>
    </row>
    <row r="133" ht="14.25" customHeight="1">
      <c r="A133" s="26">
        <v>30701.0</v>
      </c>
      <c r="B133" s="13" t="s">
        <v>174</v>
      </c>
      <c r="C133" s="13">
        <v>0.0</v>
      </c>
      <c r="D133" s="13">
        <v>1.0</v>
      </c>
    </row>
    <row r="134" ht="14.25" customHeight="1">
      <c r="A134" s="26">
        <v>30702.0</v>
      </c>
      <c r="B134" s="13" t="s">
        <v>554</v>
      </c>
      <c r="C134" s="13">
        <v>0.0</v>
      </c>
      <c r="D134" s="13">
        <v>0.0</v>
      </c>
    </row>
    <row r="135" ht="14.25" customHeight="1">
      <c r="A135" s="26">
        <v>30703.0</v>
      </c>
      <c r="B135" s="13" t="s">
        <v>556</v>
      </c>
      <c r="C135" s="13">
        <v>0.0</v>
      </c>
      <c r="D135" s="13">
        <v>0.0</v>
      </c>
    </row>
    <row r="136" ht="14.25" customHeight="1">
      <c r="A136" s="26">
        <v>30801.0</v>
      </c>
      <c r="B136" s="13" t="s">
        <v>177</v>
      </c>
      <c r="C136" s="13">
        <v>4.0</v>
      </c>
      <c r="D136" s="13">
        <v>1.0</v>
      </c>
    </row>
    <row r="137" ht="14.25" customHeight="1">
      <c r="A137" s="26">
        <v>30802.0</v>
      </c>
      <c r="B137" s="13" t="s">
        <v>558</v>
      </c>
      <c r="C137" s="13">
        <v>0.0</v>
      </c>
      <c r="D137" s="13">
        <v>0.0</v>
      </c>
    </row>
    <row r="138" ht="14.25" customHeight="1">
      <c r="A138" s="26">
        <v>30803.0</v>
      </c>
      <c r="B138" s="13" t="s">
        <v>183</v>
      </c>
      <c r="C138" s="13">
        <v>0.0</v>
      </c>
      <c r="D138" s="13">
        <v>1.0</v>
      </c>
    </row>
    <row r="139" ht="14.25" customHeight="1">
      <c r="A139" s="26">
        <v>30901.0</v>
      </c>
      <c r="B139" s="13" t="s">
        <v>160</v>
      </c>
      <c r="C139" s="13">
        <v>15.0</v>
      </c>
      <c r="D139" s="13">
        <v>7.0</v>
      </c>
    </row>
    <row r="140" ht="14.25" customHeight="1">
      <c r="A140" s="26">
        <v>30902.0</v>
      </c>
      <c r="B140" s="13" t="s">
        <v>559</v>
      </c>
      <c r="C140" s="13">
        <v>6.0</v>
      </c>
      <c r="D140" s="13">
        <v>6.0</v>
      </c>
    </row>
    <row r="141" ht="14.25" customHeight="1">
      <c r="A141" s="26">
        <v>30903.0</v>
      </c>
      <c r="B141" s="13" t="s">
        <v>169</v>
      </c>
      <c r="C141" s="13">
        <v>5.0</v>
      </c>
      <c r="D141" s="13">
        <v>4.0</v>
      </c>
    </row>
    <row r="142" ht="14.25" customHeight="1">
      <c r="A142" s="26">
        <v>30904.0</v>
      </c>
      <c r="B142" s="13" t="s">
        <v>181</v>
      </c>
      <c r="C142" s="13">
        <v>4.0</v>
      </c>
      <c r="D142" s="13">
        <v>1.0</v>
      </c>
    </row>
    <row r="143" ht="14.25" customHeight="1">
      <c r="A143" s="26">
        <v>30905.0</v>
      </c>
      <c r="B143" s="13" t="s">
        <v>175</v>
      </c>
      <c r="C143" s="13">
        <v>4.0</v>
      </c>
      <c r="D143" s="13">
        <v>3.0</v>
      </c>
    </row>
    <row r="144" ht="14.25" customHeight="1">
      <c r="A144" s="26">
        <v>31001.0</v>
      </c>
      <c r="B144" s="13" t="s">
        <v>151</v>
      </c>
      <c r="C144" s="13">
        <v>15.0</v>
      </c>
      <c r="D144" s="13">
        <v>14.0</v>
      </c>
    </row>
    <row r="145" ht="14.25" customHeight="1">
      <c r="A145" s="26">
        <v>31002.0</v>
      </c>
      <c r="B145" s="13" t="s">
        <v>189</v>
      </c>
      <c r="C145" s="13">
        <v>1.0</v>
      </c>
      <c r="D145" s="13">
        <v>1.0</v>
      </c>
    </row>
    <row r="146" ht="14.25" customHeight="1">
      <c r="A146" s="26">
        <v>31003.0</v>
      </c>
      <c r="B146" s="13" t="s">
        <v>157</v>
      </c>
      <c r="C146" s="13">
        <v>5.0</v>
      </c>
      <c r="D146" s="13">
        <v>8.0</v>
      </c>
    </row>
    <row r="147" ht="14.25" customHeight="1">
      <c r="A147" s="26">
        <v>31101.0</v>
      </c>
      <c r="B147" s="13" t="s">
        <v>561</v>
      </c>
      <c r="C147" s="13">
        <v>0.0</v>
      </c>
      <c r="D147" s="13">
        <v>0.0</v>
      </c>
    </row>
    <row r="148" ht="14.25" customHeight="1">
      <c r="A148" s="26">
        <v>31201.0</v>
      </c>
      <c r="B148" s="13" t="s">
        <v>563</v>
      </c>
      <c r="C148" s="13">
        <v>0.0</v>
      </c>
      <c r="D148" s="13">
        <v>0.0</v>
      </c>
    </row>
    <row r="149" ht="14.25" customHeight="1">
      <c r="A149" s="26">
        <v>31202.0</v>
      </c>
      <c r="B149" s="13" t="s">
        <v>564</v>
      </c>
      <c r="C149" s="13">
        <v>0.0</v>
      </c>
      <c r="D149" s="13">
        <v>0.0</v>
      </c>
    </row>
    <row r="150" ht="14.25" customHeight="1">
      <c r="A150" s="26">
        <v>31203.0</v>
      </c>
      <c r="B150" s="13" t="s">
        <v>196</v>
      </c>
      <c r="C150" s="13">
        <v>0.0</v>
      </c>
      <c r="D150" s="13">
        <v>0.0</v>
      </c>
    </row>
    <row r="151" ht="14.25" customHeight="1">
      <c r="A151" s="26">
        <v>31204.0</v>
      </c>
      <c r="B151" s="13" t="s">
        <v>172</v>
      </c>
      <c r="C151" s="13">
        <v>1.0</v>
      </c>
      <c r="D151" s="13">
        <v>2.0</v>
      </c>
    </row>
    <row r="152" ht="14.25" customHeight="1">
      <c r="A152" s="26">
        <v>31205.0</v>
      </c>
      <c r="B152" s="13" t="s">
        <v>149</v>
      </c>
      <c r="C152" s="13">
        <v>8.0</v>
      </c>
      <c r="D152" s="13">
        <v>24.0</v>
      </c>
    </row>
    <row r="153" ht="14.25" customHeight="1">
      <c r="A153" s="26">
        <v>31206.0</v>
      </c>
      <c r="B153" s="13" t="s">
        <v>154</v>
      </c>
      <c r="C153" s="13">
        <v>1.0</v>
      </c>
      <c r="D153" s="13">
        <v>16.0</v>
      </c>
    </row>
    <row r="154" ht="14.25" customHeight="1">
      <c r="A154" s="26">
        <v>31301.0</v>
      </c>
      <c r="B154" s="13" t="s">
        <v>203</v>
      </c>
      <c r="C154" s="13">
        <v>0.0</v>
      </c>
      <c r="D154" s="13">
        <v>0.0</v>
      </c>
    </row>
    <row r="155" ht="14.25" customHeight="1">
      <c r="A155" s="26">
        <v>31302.0</v>
      </c>
      <c r="B155" s="13" t="s">
        <v>565</v>
      </c>
      <c r="C155" s="13">
        <v>0.0</v>
      </c>
      <c r="D155" s="13">
        <v>0.0</v>
      </c>
    </row>
    <row r="156" ht="14.25" customHeight="1">
      <c r="A156" s="26">
        <v>31303.0</v>
      </c>
      <c r="B156" s="13" t="s">
        <v>566</v>
      </c>
      <c r="C156" s="13">
        <v>0.0</v>
      </c>
      <c r="D156" s="13">
        <v>0.0</v>
      </c>
    </row>
    <row r="157" ht="14.25" customHeight="1">
      <c r="A157" s="26">
        <v>31304.0</v>
      </c>
      <c r="B157" s="13" t="s">
        <v>567</v>
      </c>
      <c r="C157" s="13">
        <v>0.0</v>
      </c>
      <c r="D157" s="13">
        <v>0.0</v>
      </c>
    </row>
    <row r="158" ht="14.25" customHeight="1">
      <c r="A158" s="26">
        <v>31401.0</v>
      </c>
      <c r="B158" s="13" t="s">
        <v>166</v>
      </c>
      <c r="C158" s="13">
        <v>2.0</v>
      </c>
      <c r="D158" s="13">
        <v>3.0</v>
      </c>
    </row>
    <row r="159" ht="14.25" customHeight="1">
      <c r="A159" s="26">
        <v>31402.0</v>
      </c>
      <c r="B159" s="13" t="s">
        <v>197</v>
      </c>
      <c r="C159" s="13">
        <v>0.0</v>
      </c>
      <c r="D159" s="13">
        <v>0.0</v>
      </c>
    </row>
    <row r="160" ht="14.25" customHeight="1">
      <c r="A160" s="26">
        <v>31403.0</v>
      </c>
      <c r="B160" s="13" t="s">
        <v>194</v>
      </c>
      <c r="C160" s="13">
        <v>0.0</v>
      </c>
      <c r="D160" s="13">
        <v>1.0</v>
      </c>
    </row>
    <row r="161" ht="14.25" customHeight="1">
      <c r="A161" s="26">
        <v>31404.0</v>
      </c>
      <c r="B161" s="13" t="s">
        <v>205</v>
      </c>
      <c r="C161" s="13">
        <v>0.0</v>
      </c>
      <c r="D161" s="13">
        <v>0.0</v>
      </c>
    </row>
    <row r="162" ht="14.25" customHeight="1">
      <c r="A162" s="26">
        <v>31405.0</v>
      </c>
      <c r="B162" s="13" t="s">
        <v>571</v>
      </c>
      <c r="C162" s="13">
        <v>0.0</v>
      </c>
      <c r="D162" s="13">
        <v>0.0</v>
      </c>
    </row>
    <row r="163" ht="14.25" customHeight="1">
      <c r="A163" s="26">
        <v>31501.0</v>
      </c>
      <c r="B163" s="13" t="s">
        <v>573</v>
      </c>
      <c r="C163" s="13">
        <v>0.0</v>
      </c>
      <c r="D163" s="13">
        <v>0.0</v>
      </c>
    </row>
    <row r="164" ht="14.25" customHeight="1">
      <c r="A164" s="26">
        <v>31601.0</v>
      </c>
      <c r="B164" s="13" t="s">
        <v>178</v>
      </c>
      <c r="C164" s="13">
        <v>1.0</v>
      </c>
      <c r="D164" s="13">
        <v>2.0</v>
      </c>
    </row>
    <row r="165" ht="14.25" customHeight="1">
      <c r="A165" s="26">
        <v>31602.0</v>
      </c>
      <c r="B165" s="13" t="s">
        <v>185</v>
      </c>
      <c r="C165" s="13">
        <v>2.0</v>
      </c>
      <c r="D165" s="13">
        <v>1.0</v>
      </c>
    </row>
    <row r="166" ht="14.25" customHeight="1">
      <c r="A166" s="26">
        <v>40101.0</v>
      </c>
      <c r="B166" s="13" t="s">
        <v>210</v>
      </c>
      <c r="C166" s="13">
        <v>52.0</v>
      </c>
      <c r="D166" s="13">
        <v>15.0</v>
      </c>
    </row>
    <row r="167" ht="14.25" customHeight="1">
      <c r="A167" s="26">
        <v>40102.0</v>
      </c>
      <c r="B167" s="13" t="s">
        <v>212</v>
      </c>
      <c r="C167" s="13">
        <v>3.0</v>
      </c>
      <c r="D167" s="13">
        <v>0.0</v>
      </c>
    </row>
    <row r="168" ht="14.25" customHeight="1">
      <c r="A168" s="26">
        <v>40103.0</v>
      </c>
      <c r="B168" s="13" t="s">
        <v>574</v>
      </c>
      <c r="C168" s="13">
        <v>0.0</v>
      </c>
      <c r="D168" s="13">
        <v>0.0</v>
      </c>
    </row>
    <row r="169" ht="14.25" customHeight="1">
      <c r="A169" s="26">
        <v>40104.0</v>
      </c>
      <c r="B169" s="13" t="s">
        <v>575</v>
      </c>
      <c r="C169" s="13">
        <v>0.0</v>
      </c>
      <c r="D169" s="13">
        <v>0.0</v>
      </c>
    </row>
    <row r="170" ht="14.25" customHeight="1">
      <c r="A170" s="26">
        <v>40201.0</v>
      </c>
      <c r="B170" s="13" t="s">
        <v>215</v>
      </c>
      <c r="C170" s="13">
        <v>2.0</v>
      </c>
      <c r="D170" s="13">
        <v>1.0</v>
      </c>
    </row>
    <row r="171" ht="14.25" customHeight="1">
      <c r="A171" s="26">
        <v>40202.0</v>
      </c>
      <c r="B171" s="13" t="s">
        <v>578</v>
      </c>
      <c r="C171" s="13">
        <v>0.0</v>
      </c>
      <c r="D171" s="13">
        <v>0.0</v>
      </c>
    </row>
    <row r="172" ht="14.25" customHeight="1">
      <c r="A172" s="26">
        <v>40301.0</v>
      </c>
      <c r="B172" s="13" t="s">
        <v>217</v>
      </c>
      <c r="C172" s="13">
        <v>0.0</v>
      </c>
      <c r="D172" s="13">
        <v>0.0</v>
      </c>
    </row>
    <row r="173" ht="14.25" customHeight="1">
      <c r="A173" s="26">
        <v>40302.0</v>
      </c>
      <c r="B173" s="13" t="s">
        <v>579</v>
      </c>
      <c r="C173" s="13">
        <v>0.0</v>
      </c>
      <c r="D173" s="13">
        <v>0.0</v>
      </c>
    </row>
    <row r="174" ht="14.25" customHeight="1">
      <c r="A174" s="26">
        <v>40401.0</v>
      </c>
      <c r="B174" s="13" t="s">
        <v>581</v>
      </c>
      <c r="C174" s="13">
        <v>0.0</v>
      </c>
      <c r="D174" s="13">
        <v>0.0</v>
      </c>
    </row>
    <row r="175" ht="14.25" customHeight="1">
      <c r="A175" s="26">
        <v>40402.0</v>
      </c>
      <c r="B175" s="13" t="s">
        <v>582</v>
      </c>
      <c r="C175" s="13">
        <v>0.0</v>
      </c>
      <c r="D175" s="13">
        <v>0.0</v>
      </c>
    </row>
    <row r="176" ht="14.25" customHeight="1">
      <c r="A176" s="26">
        <v>40501.0</v>
      </c>
      <c r="B176" s="13" t="s">
        <v>584</v>
      </c>
      <c r="C176" s="13">
        <v>0.0</v>
      </c>
      <c r="D176" s="13">
        <v>0.0</v>
      </c>
    </row>
    <row r="177" ht="14.25" customHeight="1">
      <c r="A177" s="26">
        <v>40502.0</v>
      </c>
      <c r="B177" s="13" t="s">
        <v>585</v>
      </c>
      <c r="C177" s="13">
        <v>0.0</v>
      </c>
      <c r="D177" s="13">
        <v>0.0</v>
      </c>
    </row>
    <row r="178" ht="14.25" customHeight="1">
      <c r="A178" s="26">
        <v>40503.0</v>
      </c>
      <c r="B178" s="13" t="s">
        <v>586</v>
      </c>
      <c r="C178" s="13">
        <v>0.0</v>
      </c>
      <c r="D178" s="13">
        <v>0.0</v>
      </c>
    </row>
    <row r="179" ht="14.25" customHeight="1">
      <c r="A179" s="26">
        <v>40504.0</v>
      </c>
      <c r="B179" s="13" t="s">
        <v>587</v>
      </c>
      <c r="C179" s="13">
        <v>0.0</v>
      </c>
      <c r="D179" s="13">
        <v>0.0</v>
      </c>
    </row>
    <row r="180" ht="14.25" customHeight="1">
      <c r="A180" s="26">
        <v>40505.0</v>
      </c>
      <c r="B180" s="13" t="s">
        <v>588</v>
      </c>
      <c r="C180" s="13">
        <v>0.0</v>
      </c>
      <c r="D180" s="13">
        <v>0.0</v>
      </c>
    </row>
    <row r="181" ht="14.25" customHeight="1">
      <c r="A181" s="26">
        <v>40601.0</v>
      </c>
      <c r="B181" s="13" t="s">
        <v>223</v>
      </c>
      <c r="C181" s="13">
        <v>0.0</v>
      </c>
      <c r="D181" s="13">
        <v>0.0</v>
      </c>
    </row>
    <row r="182" ht="14.25" customHeight="1">
      <c r="A182" s="26">
        <v>40602.0</v>
      </c>
      <c r="B182" s="13" t="s">
        <v>247</v>
      </c>
      <c r="C182" s="13">
        <v>0.0</v>
      </c>
      <c r="D182" s="13">
        <v>0.0</v>
      </c>
    </row>
    <row r="183" ht="14.25" customHeight="1">
      <c r="A183" s="26">
        <v>40603.0</v>
      </c>
      <c r="B183" s="13" t="s">
        <v>590</v>
      </c>
      <c r="C183" s="13">
        <v>0.0</v>
      </c>
      <c r="D183" s="13">
        <v>0.0</v>
      </c>
    </row>
    <row r="184" ht="14.25" customHeight="1">
      <c r="A184" s="26">
        <v>40701.0</v>
      </c>
      <c r="B184" s="13" t="s">
        <v>213</v>
      </c>
      <c r="C184" s="13">
        <v>5.0</v>
      </c>
      <c r="D184" s="13">
        <v>2.0</v>
      </c>
    </row>
    <row r="185" ht="14.25" customHeight="1">
      <c r="A185" s="26">
        <v>40702.0</v>
      </c>
      <c r="B185" s="13" t="s">
        <v>238</v>
      </c>
      <c r="C185" s="13">
        <v>0.0</v>
      </c>
      <c r="D185" s="13">
        <v>0.0</v>
      </c>
    </row>
    <row r="186" ht="14.25" customHeight="1">
      <c r="A186" s="26">
        <v>40801.0</v>
      </c>
      <c r="B186" s="13" t="s">
        <v>594</v>
      </c>
      <c r="C186" s="13">
        <v>0.0</v>
      </c>
      <c r="D186" s="13">
        <v>0.0</v>
      </c>
    </row>
    <row r="187" ht="14.25" customHeight="1">
      <c r="A187" s="26">
        <v>40802.0</v>
      </c>
      <c r="B187" s="13" t="s">
        <v>221</v>
      </c>
      <c r="C187" s="13">
        <v>0.0</v>
      </c>
      <c r="D187" s="13">
        <v>1.0</v>
      </c>
    </row>
    <row r="188" ht="14.25" customHeight="1">
      <c r="A188" s="26">
        <v>40901.0</v>
      </c>
      <c r="B188" s="13" t="s">
        <v>218</v>
      </c>
      <c r="C188" s="13">
        <v>0.0</v>
      </c>
      <c r="D188" s="13">
        <v>1.0</v>
      </c>
    </row>
    <row r="189" ht="14.25" customHeight="1">
      <c r="A189" s="26">
        <v>40902.0</v>
      </c>
      <c r="B189" s="13" t="s">
        <v>228</v>
      </c>
      <c r="C189" s="13">
        <v>0.0</v>
      </c>
      <c r="D189" s="13">
        <v>0.0</v>
      </c>
    </row>
    <row r="190" ht="14.25" customHeight="1">
      <c r="A190" s="26">
        <v>40903.0</v>
      </c>
      <c r="B190" s="13" t="s">
        <v>595</v>
      </c>
      <c r="C190" s="13">
        <v>0.0</v>
      </c>
      <c r="D190" s="13">
        <v>0.0</v>
      </c>
    </row>
    <row r="191" ht="14.25" customHeight="1">
      <c r="A191" s="26">
        <v>41001.0</v>
      </c>
      <c r="B191" s="13" t="s">
        <v>225</v>
      </c>
      <c r="C191" s="13">
        <v>0.0</v>
      </c>
      <c r="D191" s="13">
        <v>0.0</v>
      </c>
    </row>
    <row r="192" ht="14.25" customHeight="1">
      <c r="A192" s="26">
        <v>41101.0</v>
      </c>
      <c r="B192" s="13" t="s">
        <v>598</v>
      </c>
      <c r="C192" s="13">
        <v>0.0</v>
      </c>
      <c r="D192" s="13">
        <v>0.0</v>
      </c>
    </row>
    <row r="193" ht="14.25" customHeight="1">
      <c r="A193" s="26">
        <v>41201.0</v>
      </c>
      <c r="B193" s="13" t="s">
        <v>600</v>
      </c>
      <c r="C193" s="13">
        <v>0.0</v>
      </c>
      <c r="D193" s="13">
        <v>0.0</v>
      </c>
    </row>
    <row r="194" ht="14.25" customHeight="1">
      <c r="A194" s="26">
        <v>41202.0</v>
      </c>
      <c r="B194" s="13" t="s">
        <v>234</v>
      </c>
      <c r="C194" s="13">
        <v>0.0</v>
      </c>
      <c r="D194" s="13">
        <v>0.0</v>
      </c>
    </row>
    <row r="195" ht="14.25" customHeight="1">
      <c r="A195" s="26">
        <v>41301.0</v>
      </c>
      <c r="B195" s="13" t="s">
        <v>563</v>
      </c>
      <c r="C195" s="13">
        <v>0.0</v>
      </c>
      <c r="D195" s="13">
        <v>0.0</v>
      </c>
    </row>
    <row r="196" ht="14.25" customHeight="1">
      <c r="A196" s="26">
        <v>41401.0</v>
      </c>
      <c r="B196" s="13" t="s">
        <v>603</v>
      </c>
      <c r="C196" s="13">
        <v>0.0</v>
      </c>
      <c r="D196" s="13">
        <v>0.0</v>
      </c>
    </row>
    <row r="197" ht="14.25" customHeight="1">
      <c r="A197" s="26">
        <v>41501.0</v>
      </c>
      <c r="B197" s="13" t="s">
        <v>605</v>
      </c>
      <c r="C197" s="13">
        <v>0.0</v>
      </c>
      <c r="D197" s="13">
        <v>0.0</v>
      </c>
    </row>
    <row r="198" ht="14.25" customHeight="1">
      <c r="A198" s="26">
        <v>41502.0</v>
      </c>
      <c r="B198" s="13" t="s">
        <v>606</v>
      </c>
      <c r="C198" s="13">
        <v>0.0</v>
      </c>
      <c r="D198" s="13">
        <v>0.0</v>
      </c>
    </row>
    <row r="199" ht="14.25" customHeight="1">
      <c r="A199" s="26">
        <v>41503.0</v>
      </c>
      <c r="B199" s="13" t="s">
        <v>240</v>
      </c>
      <c r="C199" s="13">
        <v>0.0</v>
      </c>
      <c r="D199" s="13">
        <v>0.0</v>
      </c>
    </row>
    <row r="200" ht="14.25" customHeight="1">
      <c r="A200" s="26">
        <v>41601.0</v>
      </c>
      <c r="B200" s="13" t="s">
        <v>235</v>
      </c>
      <c r="C200" s="13">
        <v>0.0</v>
      </c>
      <c r="D200" s="13">
        <v>0.0</v>
      </c>
    </row>
    <row r="201" ht="14.25" customHeight="1">
      <c r="A201" s="26">
        <v>50101.0</v>
      </c>
      <c r="B201" s="13" t="s">
        <v>244</v>
      </c>
      <c r="C201" s="13">
        <v>12.0</v>
      </c>
      <c r="D201" s="13">
        <v>8.0</v>
      </c>
    </row>
    <row r="202" ht="14.25" customHeight="1">
      <c r="A202" s="26">
        <v>50102.0</v>
      </c>
      <c r="B202" s="13" t="s">
        <v>246</v>
      </c>
      <c r="C202" s="13">
        <v>0.0</v>
      </c>
      <c r="D202" s="13">
        <v>0.0</v>
      </c>
    </row>
    <row r="203" ht="14.25" customHeight="1">
      <c r="A203" s="26">
        <v>50103.0</v>
      </c>
      <c r="B203" s="13" t="s">
        <v>610</v>
      </c>
      <c r="C203" s="13">
        <v>0.0</v>
      </c>
      <c r="D203" s="13">
        <v>0.0</v>
      </c>
    </row>
    <row r="204" ht="14.25" customHeight="1">
      <c r="A204" s="26">
        <v>50104.0</v>
      </c>
      <c r="B204" s="13" t="s">
        <v>612</v>
      </c>
      <c r="C204" s="13">
        <v>0.0</v>
      </c>
      <c r="D204" s="13">
        <v>0.0</v>
      </c>
    </row>
    <row r="205" ht="14.25" customHeight="1">
      <c r="A205" s="26">
        <v>50201.0</v>
      </c>
      <c r="B205" s="13" t="s">
        <v>249</v>
      </c>
      <c r="C205" s="13">
        <v>0.0</v>
      </c>
      <c r="D205" s="13">
        <v>2.0</v>
      </c>
    </row>
    <row r="206" ht="14.25" customHeight="1">
      <c r="A206" s="26">
        <v>50202.0</v>
      </c>
      <c r="B206" s="13" t="s">
        <v>615</v>
      </c>
      <c r="C206" s="13">
        <v>0.0</v>
      </c>
      <c r="D206" s="13">
        <v>0.0</v>
      </c>
    </row>
    <row r="207" ht="14.25" customHeight="1">
      <c r="A207" s="26">
        <v>50203.0</v>
      </c>
      <c r="B207" s="13" t="s">
        <v>252</v>
      </c>
      <c r="C207" s="13">
        <v>3.0</v>
      </c>
      <c r="D207" s="13">
        <v>3.0</v>
      </c>
    </row>
    <row r="208" ht="14.25" customHeight="1">
      <c r="A208" s="26">
        <v>50204.0</v>
      </c>
      <c r="B208" s="13" t="s">
        <v>616</v>
      </c>
      <c r="C208" s="13">
        <v>0.0</v>
      </c>
      <c r="D208" s="13">
        <v>0.0</v>
      </c>
    </row>
    <row r="209" ht="14.25" customHeight="1">
      <c r="A209" s="26">
        <v>50301.0</v>
      </c>
      <c r="B209" s="13" t="s">
        <v>254</v>
      </c>
      <c r="C209" s="13">
        <v>0.0</v>
      </c>
      <c r="D209" s="13">
        <v>1.0</v>
      </c>
    </row>
    <row r="210" ht="14.25" customHeight="1">
      <c r="A210" s="26">
        <v>50302.0</v>
      </c>
      <c r="B210" s="13" t="s">
        <v>619</v>
      </c>
      <c r="C210" s="13">
        <v>0.0</v>
      </c>
      <c r="D210" s="13">
        <v>0.0</v>
      </c>
    </row>
    <row r="211" ht="14.25" customHeight="1">
      <c r="A211" s="26">
        <v>50303.0</v>
      </c>
      <c r="B211" s="13" t="s">
        <v>620</v>
      </c>
      <c r="C211" s="13">
        <v>0.0</v>
      </c>
      <c r="D211" s="13">
        <v>0.0</v>
      </c>
    </row>
    <row r="212" ht="14.25" customHeight="1">
      <c r="A212" s="26">
        <v>50401.0</v>
      </c>
      <c r="B212" s="13" t="s">
        <v>621</v>
      </c>
      <c r="C212" s="13">
        <v>0.0</v>
      </c>
      <c r="D212" s="13">
        <v>0.0</v>
      </c>
    </row>
    <row r="213" ht="14.25" customHeight="1">
      <c r="A213" s="26">
        <v>50402.0</v>
      </c>
      <c r="B213" s="13" t="s">
        <v>622</v>
      </c>
      <c r="C213" s="13">
        <v>0.0</v>
      </c>
      <c r="D213" s="13">
        <v>0.0</v>
      </c>
    </row>
    <row r="214" ht="14.25" customHeight="1">
      <c r="A214" s="26">
        <v>50403.0</v>
      </c>
      <c r="B214" s="13" t="s">
        <v>277</v>
      </c>
      <c r="C214" s="13">
        <v>0.0</v>
      </c>
      <c r="D214" s="13">
        <v>0.0</v>
      </c>
    </row>
    <row r="215" ht="14.25" customHeight="1">
      <c r="A215" s="26">
        <v>50404.0</v>
      </c>
      <c r="B215" s="13" t="s">
        <v>623</v>
      </c>
      <c r="C215" s="13">
        <v>0.0</v>
      </c>
      <c r="D215" s="13">
        <v>0.0</v>
      </c>
    </row>
    <row r="216" ht="14.25" customHeight="1">
      <c r="A216" s="26">
        <v>50405.0</v>
      </c>
      <c r="B216" s="13" t="s">
        <v>271</v>
      </c>
      <c r="C216" s="13">
        <v>0.0</v>
      </c>
      <c r="D216" s="13">
        <v>0.0</v>
      </c>
    </row>
    <row r="217" ht="14.25" customHeight="1">
      <c r="A217" s="26">
        <v>50501.0</v>
      </c>
      <c r="B217" s="13" t="s">
        <v>374</v>
      </c>
      <c r="C217" s="13">
        <v>0.0</v>
      </c>
      <c r="D217" s="13">
        <v>0.0</v>
      </c>
    </row>
    <row r="218" ht="14.25" customHeight="1">
      <c r="A218" s="26">
        <v>50502.0</v>
      </c>
      <c r="B218" s="13" t="s">
        <v>625</v>
      </c>
      <c r="C218" s="13">
        <v>0.0</v>
      </c>
      <c r="D218" s="13">
        <v>0.0</v>
      </c>
    </row>
    <row r="219" ht="14.25" customHeight="1">
      <c r="A219" s="26">
        <v>50601.0</v>
      </c>
      <c r="B219" s="13" t="s">
        <v>259</v>
      </c>
      <c r="C219" s="13">
        <v>0.0</v>
      </c>
      <c r="D219" s="13">
        <v>1.0</v>
      </c>
    </row>
    <row r="220" ht="14.25" customHeight="1">
      <c r="A220" s="26">
        <v>50602.0</v>
      </c>
      <c r="B220" s="13" t="s">
        <v>627</v>
      </c>
      <c r="C220" s="13">
        <v>0.0</v>
      </c>
      <c r="D220" s="13">
        <v>0.0</v>
      </c>
    </row>
    <row r="221" ht="14.25" customHeight="1">
      <c r="A221" s="26">
        <v>50701.0</v>
      </c>
      <c r="B221" s="13" t="s">
        <v>629</v>
      </c>
      <c r="C221" s="13">
        <v>0.0</v>
      </c>
      <c r="D221" s="13">
        <v>0.0</v>
      </c>
    </row>
    <row r="222" ht="14.25" customHeight="1">
      <c r="A222" s="26">
        <v>50702.0</v>
      </c>
      <c r="B222" s="13" t="s">
        <v>630</v>
      </c>
      <c r="C222" s="13">
        <v>0.0</v>
      </c>
      <c r="D222" s="13">
        <v>0.0</v>
      </c>
    </row>
    <row r="223" ht="14.25" customHeight="1">
      <c r="A223" s="26">
        <v>50801.0</v>
      </c>
      <c r="B223" s="13" t="s">
        <v>260</v>
      </c>
      <c r="C223" s="13">
        <v>1.0</v>
      </c>
      <c r="D223" s="13">
        <v>3.0</v>
      </c>
    </row>
    <row r="224" ht="14.25" customHeight="1">
      <c r="A224" s="26">
        <v>50802.0</v>
      </c>
      <c r="B224" s="13" t="s">
        <v>284</v>
      </c>
      <c r="C224" s="13">
        <v>0.0</v>
      </c>
      <c r="D224" s="13">
        <v>0.0</v>
      </c>
    </row>
    <row r="225" ht="14.25" customHeight="1">
      <c r="A225" s="26">
        <v>50901.0</v>
      </c>
      <c r="B225" s="13" t="s">
        <v>633</v>
      </c>
      <c r="C225" s="13">
        <v>0.0</v>
      </c>
      <c r="D225" s="13">
        <v>0.0</v>
      </c>
    </row>
    <row r="226" ht="14.25" customHeight="1">
      <c r="A226" s="26">
        <v>50902.0</v>
      </c>
      <c r="B226" s="13" t="s">
        <v>635</v>
      </c>
      <c r="C226" s="13">
        <v>0.0</v>
      </c>
      <c r="D226" s="13">
        <v>0.0</v>
      </c>
    </row>
    <row r="227" ht="14.25" customHeight="1">
      <c r="A227" s="26">
        <v>51001.0</v>
      </c>
      <c r="B227" s="13" t="s">
        <v>638</v>
      </c>
      <c r="C227" s="13">
        <v>0.0</v>
      </c>
      <c r="D227" s="13">
        <v>0.0</v>
      </c>
    </row>
    <row r="228" ht="14.25" customHeight="1">
      <c r="A228" s="26">
        <v>51002.0</v>
      </c>
      <c r="B228" s="13" t="s">
        <v>640</v>
      </c>
      <c r="C228" s="13">
        <v>0.0</v>
      </c>
      <c r="D228" s="13">
        <v>0.0</v>
      </c>
    </row>
    <row r="229" ht="14.25" customHeight="1">
      <c r="A229" s="26">
        <v>51003.0</v>
      </c>
      <c r="B229" s="13" t="s">
        <v>641</v>
      </c>
      <c r="C229" s="13">
        <v>0.0</v>
      </c>
      <c r="D229" s="13">
        <v>0.0</v>
      </c>
    </row>
    <row r="230" ht="14.25" customHeight="1">
      <c r="A230" s="26">
        <v>51101.0</v>
      </c>
      <c r="B230" s="13" t="s">
        <v>266</v>
      </c>
      <c r="C230" s="13">
        <v>0.0</v>
      </c>
      <c r="D230" s="13">
        <v>2.0</v>
      </c>
    </row>
    <row r="231" ht="14.25" customHeight="1">
      <c r="A231" s="26">
        <v>51102.0</v>
      </c>
      <c r="B231" s="13" t="s">
        <v>644</v>
      </c>
      <c r="C231" s="13">
        <v>0.0</v>
      </c>
      <c r="D231" s="13">
        <v>0.0</v>
      </c>
    </row>
    <row r="232" ht="14.25" customHeight="1">
      <c r="A232" s="26">
        <v>51103.0</v>
      </c>
      <c r="B232" s="13" t="s">
        <v>645</v>
      </c>
      <c r="C232" s="13">
        <v>0.0</v>
      </c>
      <c r="D232" s="13">
        <v>0.0</v>
      </c>
    </row>
    <row r="233" ht="14.25" customHeight="1">
      <c r="A233" s="26">
        <v>51201.0</v>
      </c>
      <c r="B233" s="13" t="s">
        <v>264</v>
      </c>
      <c r="C233" s="13">
        <v>3.0</v>
      </c>
      <c r="D233" s="13">
        <v>0.0</v>
      </c>
    </row>
    <row r="234" ht="14.25" customHeight="1">
      <c r="A234" s="26">
        <v>51202.0</v>
      </c>
      <c r="B234" s="13" t="s">
        <v>647</v>
      </c>
      <c r="C234" s="13">
        <v>0.0</v>
      </c>
      <c r="D234" s="13">
        <v>0.0</v>
      </c>
    </row>
    <row r="235" ht="14.25" customHeight="1">
      <c r="A235" s="26">
        <v>51203.0</v>
      </c>
      <c r="B235" s="13" t="s">
        <v>648</v>
      </c>
      <c r="C235" s="13">
        <v>0.0</v>
      </c>
      <c r="D235" s="13">
        <v>0.0</v>
      </c>
    </row>
    <row r="236" ht="14.25" customHeight="1">
      <c r="A236" s="26">
        <v>51204.0</v>
      </c>
      <c r="B236" s="13" t="s">
        <v>649</v>
      </c>
      <c r="C236" s="13">
        <v>0.0</v>
      </c>
      <c r="D236" s="13">
        <v>0.0</v>
      </c>
    </row>
    <row r="237" ht="14.25" customHeight="1">
      <c r="A237" s="26">
        <v>51301.0</v>
      </c>
      <c r="B237" s="13" t="s">
        <v>651</v>
      </c>
      <c r="C237" s="13">
        <v>0.0</v>
      </c>
      <c r="D237" s="13">
        <v>0.0</v>
      </c>
    </row>
    <row r="238" ht="14.25" customHeight="1">
      <c r="A238" s="26">
        <v>51302.0</v>
      </c>
      <c r="B238" s="13" t="s">
        <v>652</v>
      </c>
      <c r="C238" s="13">
        <v>0.0</v>
      </c>
      <c r="D238" s="13">
        <v>0.0</v>
      </c>
    </row>
    <row r="239" ht="14.25" customHeight="1">
      <c r="A239" s="26">
        <v>51401.0</v>
      </c>
      <c r="B239" s="13" t="s">
        <v>269</v>
      </c>
      <c r="C239" s="13">
        <v>1.0</v>
      </c>
      <c r="D239" s="13">
        <v>0.0</v>
      </c>
    </row>
    <row r="240" ht="14.25" customHeight="1">
      <c r="A240" s="26">
        <v>51402.0</v>
      </c>
      <c r="B240" s="13" t="s">
        <v>654</v>
      </c>
      <c r="C240" s="13">
        <v>0.0</v>
      </c>
      <c r="D240" s="13">
        <v>0.0</v>
      </c>
    </row>
    <row r="241" ht="14.25" customHeight="1">
      <c r="A241" s="26">
        <v>51501.0</v>
      </c>
      <c r="B241" s="13" t="s">
        <v>257</v>
      </c>
      <c r="C241" s="13">
        <v>4.0</v>
      </c>
      <c r="D241" s="13">
        <v>3.0</v>
      </c>
    </row>
    <row r="242" ht="14.25" customHeight="1">
      <c r="A242" s="26">
        <v>51601.0</v>
      </c>
      <c r="B242" s="13" t="s">
        <v>273</v>
      </c>
      <c r="C242" s="13">
        <v>0.0</v>
      </c>
      <c r="D242" s="13">
        <v>0.0</v>
      </c>
    </row>
    <row r="243" ht="14.25" customHeight="1">
      <c r="A243" s="26">
        <v>60101.0</v>
      </c>
      <c r="B243" s="13" t="s">
        <v>276</v>
      </c>
      <c r="C243" s="13">
        <v>12.0</v>
      </c>
      <c r="D243" s="13">
        <v>10.0</v>
      </c>
    </row>
    <row r="244" ht="14.25" customHeight="1">
      <c r="A244" s="26">
        <v>60201.0</v>
      </c>
      <c r="B244" s="13" t="s">
        <v>279</v>
      </c>
      <c r="C244" s="13">
        <v>1.0</v>
      </c>
      <c r="D244" s="13">
        <v>0.0</v>
      </c>
    </row>
    <row r="245" ht="14.25" customHeight="1">
      <c r="A245" s="26">
        <v>60202.0</v>
      </c>
      <c r="B245" s="13" t="s">
        <v>281</v>
      </c>
      <c r="C245" s="13">
        <v>4.0</v>
      </c>
      <c r="D245" s="13">
        <v>4.0</v>
      </c>
    </row>
    <row r="246" ht="14.25" customHeight="1">
      <c r="A246" s="26">
        <v>60301.0</v>
      </c>
      <c r="B246" s="13" t="s">
        <v>283</v>
      </c>
      <c r="C246" s="13">
        <v>8.0</v>
      </c>
      <c r="D246" s="13">
        <v>8.0</v>
      </c>
    </row>
    <row r="247" ht="14.25" customHeight="1">
      <c r="A247" s="26">
        <v>60302.0</v>
      </c>
      <c r="B247" s="13" t="s">
        <v>286</v>
      </c>
      <c r="C247" s="13">
        <v>1.0</v>
      </c>
      <c r="D247" s="13">
        <v>0.0</v>
      </c>
    </row>
    <row r="248" ht="14.25" customHeight="1">
      <c r="A248" s="26">
        <v>60303.0</v>
      </c>
      <c r="B248" s="13" t="s">
        <v>659</v>
      </c>
      <c r="C248" s="13">
        <v>3.0</v>
      </c>
      <c r="D248" s="13">
        <v>3.0</v>
      </c>
    </row>
    <row r="249" ht="14.25" customHeight="1">
      <c r="A249" s="26">
        <v>60401.0</v>
      </c>
      <c r="B249" s="13" t="s">
        <v>290</v>
      </c>
      <c r="C249" s="13">
        <v>0.0</v>
      </c>
      <c r="D249" s="13">
        <v>1.0</v>
      </c>
    </row>
    <row r="250" ht="14.25" customHeight="1">
      <c r="A250" s="26">
        <v>60402.0</v>
      </c>
      <c r="B250" s="13" t="s">
        <v>661</v>
      </c>
      <c r="C250" s="13">
        <v>0.0</v>
      </c>
      <c r="D250" s="13">
        <v>0.0</v>
      </c>
    </row>
    <row r="251" ht="14.25" customHeight="1">
      <c r="A251" s="26">
        <v>60501.0</v>
      </c>
      <c r="B251" s="13" t="s">
        <v>406</v>
      </c>
      <c r="C251" s="13">
        <v>2.0</v>
      </c>
      <c r="D251" s="13">
        <v>1.0</v>
      </c>
    </row>
    <row r="252" ht="14.25" customHeight="1">
      <c r="A252" s="26">
        <v>60502.0</v>
      </c>
      <c r="B252" s="13" t="s">
        <v>295</v>
      </c>
      <c r="C252" s="13">
        <v>0.0</v>
      </c>
      <c r="D252" s="13">
        <v>0.0</v>
      </c>
    </row>
    <row r="253" ht="14.25" customHeight="1">
      <c r="A253" s="26">
        <v>60601.0</v>
      </c>
      <c r="B253" s="13" t="s">
        <v>154</v>
      </c>
      <c r="C253" s="13">
        <v>1.0</v>
      </c>
      <c r="D253" s="13">
        <v>0.0</v>
      </c>
    </row>
    <row r="254" ht="14.25" customHeight="1">
      <c r="A254" s="26">
        <v>70101.0</v>
      </c>
      <c r="B254" s="13" t="s">
        <v>298</v>
      </c>
      <c r="C254" s="13">
        <v>73.0</v>
      </c>
      <c r="D254" s="13">
        <v>38.0</v>
      </c>
    </row>
    <row r="255" ht="14.25" customHeight="1">
      <c r="A255" s="26">
        <v>70102.0</v>
      </c>
      <c r="B255" s="13" t="s">
        <v>300</v>
      </c>
      <c r="C255" s="13">
        <v>4.0</v>
      </c>
      <c r="D255" s="13">
        <v>11.0</v>
      </c>
    </row>
    <row r="256" ht="14.25" customHeight="1">
      <c r="A256" s="26">
        <v>70103.0</v>
      </c>
      <c r="B256" s="13" t="s">
        <v>302</v>
      </c>
      <c r="C256" s="13">
        <v>0.0</v>
      </c>
      <c r="D256" s="13">
        <v>2.0</v>
      </c>
    </row>
    <row r="257" ht="14.25" customHeight="1">
      <c r="A257" s="26">
        <v>70104.0</v>
      </c>
      <c r="B257" s="13" t="s">
        <v>304</v>
      </c>
      <c r="C257" s="13">
        <v>8.0</v>
      </c>
      <c r="D257" s="13">
        <v>4.0</v>
      </c>
    </row>
    <row r="258" ht="14.25" customHeight="1">
      <c r="A258" s="26">
        <v>70105.0</v>
      </c>
      <c r="B258" s="13" t="s">
        <v>306</v>
      </c>
      <c r="C258" s="13">
        <v>6.0</v>
      </c>
      <c r="D258" s="13">
        <v>3.0</v>
      </c>
    </row>
    <row r="259" ht="14.25" customHeight="1">
      <c r="A259" s="26">
        <v>70201.0</v>
      </c>
      <c r="B259" s="13" t="s">
        <v>308</v>
      </c>
      <c r="C259" s="13">
        <v>8.0</v>
      </c>
      <c r="D259" s="13">
        <v>27.0</v>
      </c>
    </row>
    <row r="260" ht="14.25" customHeight="1">
      <c r="A260" s="26">
        <v>70202.0</v>
      </c>
      <c r="B260" s="13" t="s">
        <v>311</v>
      </c>
      <c r="C260" s="13">
        <v>0.0</v>
      </c>
      <c r="D260" s="13">
        <v>0.0</v>
      </c>
    </row>
    <row r="261" ht="14.25" customHeight="1">
      <c r="A261" s="26">
        <v>70301.0</v>
      </c>
      <c r="B261" s="13" t="s">
        <v>313</v>
      </c>
      <c r="C261" s="13">
        <v>4.0</v>
      </c>
      <c r="D261" s="13">
        <v>6.0</v>
      </c>
    </row>
    <row r="262" ht="14.25" customHeight="1">
      <c r="A262" s="26">
        <v>70302.0</v>
      </c>
      <c r="B262" s="13" t="s">
        <v>315</v>
      </c>
      <c r="C262" s="13">
        <v>0.0</v>
      </c>
      <c r="D262" s="13">
        <v>0.0</v>
      </c>
    </row>
    <row r="263" ht="14.25" customHeight="1">
      <c r="A263" s="26">
        <v>70303.0</v>
      </c>
      <c r="B263" s="13" t="s">
        <v>318</v>
      </c>
      <c r="C263" s="13">
        <v>0.0</v>
      </c>
      <c r="D263" s="13">
        <v>1.0</v>
      </c>
    </row>
    <row r="264" ht="14.25" customHeight="1">
      <c r="A264" s="26">
        <v>70401.0</v>
      </c>
      <c r="B264" s="13" t="s">
        <v>670</v>
      </c>
      <c r="C264" s="13">
        <v>0.0</v>
      </c>
      <c r="D264" s="13">
        <v>0.0</v>
      </c>
    </row>
    <row r="265" ht="14.25" customHeight="1">
      <c r="A265" s="26">
        <v>70402.0</v>
      </c>
      <c r="B265" s="13" t="s">
        <v>321</v>
      </c>
      <c r="C265" s="13">
        <v>0.0</v>
      </c>
      <c r="D265" s="13">
        <v>0.0</v>
      </c>
    </row>
    <row r="266" ht="14.25" customHeight="1">
      <c r="A266" s="26">
        <v>70403.0</v>
      </c>
      <c r="B266" s="13" t="s">
        <v>316</v>
      </c>
      <c r="C266" s="13">
        <v>5.0</v>
      </c>
      <c r="D266" s="13">
        <v>8.0</v>
      </c>
    </row>
    <row r="267" ht="14.25" customHeight="1">
      <c r="A267" s="26">
        <v>70404.0</v>
      </c>
      <c r="B267" s="13" t="s">
        <v>671</v>
      </c>
      <c r="C267" s="13">
        <v>0.0</v>
      </c>
      <c r="D267" s="13">
        <v>0.0</v>
      </c>
    </row>
    <row r="268" ht="14.25" customHeight="1">
      <c r="A268" s="26">
        <v>70501.0</v>
      </c>
      <c r="B268" s="13" t="s">
        <v>325</v>
      </c>
      <c r="C268" s="13">
        <v>0.0</v>
      </c>
      <c r="D268" s="13">
        <v>5.0</v>
      </c>
    </row>
    <row r="269" ht="14.25" customHeight="1">
      <c r="A269" s="26">
        <v>70502.0</v>
      </c>
      <c r="B269" s="13" t="s">
        <v>327</v>
      </c>
      <c r="C269" s="13">
        <v>1.0</v>
      </c>
      <c r="D269" s="13">
        <v>6.0</v>
      </c>
    </row>
    <row r="270" ht="14.25" customHeight="1">
      <c r="A270" s="26">
        <v>70503.0</v>
      </c>
      <c r="B270" s="13" t="s">
        <v>330</v>
      </c>
      <c r="C270" s="13">
        <v>0.0</v>
      </c>
      <c r="D270" s="13">
        <v>0.0</v>
      </c>
    </row>
    <row r="271" ht="14.25" customHeight="1">
      <c r="A271" s="26">
        <v>70601.0</v>
      </c>
      <c r="B271" s="13" t="s">
        <v>332</v>
      </c>
      <c r="C271" s="13">
        <v>2.0</v>
      </c>
      <c r="D271" s="13">
        <v>3.0</v>
      </c>
    </row>
    <row r="272" ht="14.25" customHeight="1">
      <c r="A272" s="26">
        <v>70602.0</v>
      </c>
      <c r="B272" s="13" t="s">
        <v>335</v>
      </c>
      <c r="C272" s="13">
        <v>0.0</v>
      </c>
      <c r="D272" s="13">
        <v>0.0</v>
      </c>
    </row>
    <row r="273" ht="14.25" customHeight="1">
      <c r="A273" s="26">
        <v>70603.0</v>
      </c>
      <c r="B273" s="13" t="s">
        <v>675</v>
      </c>
      <c r="C273" s="13">
        <v>0.0</v>
      </c>
      <c r="D273" s="13">
        <v>0.0</v>
      </c>
    </row>
    <row r="274" ht="14.25" customHeight="1">
      <c r="A274" s="26">
        <v>70701.0</v>
      </c>
      <c r="B274" s="13" t="s">
        <v>677</v>
      </c>
      <c r="C274" s="13">
        <v>0.0</v>
      </c>
      <c r="D274" s="13">
        <v>0.0</v>
      </c>
    </row>
    <row r="275" ht="14.25" customHeight="1">
      <c r="A275" s="26">
        <v>70702.0</v>
      </c>
      <c r="B275" s="13" t="s">
        <v>337</v>
      </c>
      <c r="C275" s="13">
        <v>0.0</v>
      </c>
      <c r="D275" s="13">
        <v>0.0</v>
      </c>
    </row>
    <row r="276" ht="14.25" customHeight="1">
      <c r="A276" s="26">
        <v>70703.0</v>
      </c>
      <c r="B276" s="13" t="s">
        <v>340</v>
      </c>
      <c r="C276" s="13">
        <v>1.0</v>
      </c>
      <c r="D276" s="13">
        <v>2.0</v>
      </c>
    </row>
    <row r="277" ht="14.25" customHeight="1">
      <c r="A277" s="26">
        <v>70704.0</v>
      </c>
      <c r="B277" s="13" t="s">
        <v>678</v>
      </c>
      <c r="C277" s="13">
        <v>0.0</v>
      </c>
      <c r="D277" s="13">
        <v>0.0</v>
      </c>
    </row>
    <row r="278" ht="14.25" customHeight="1">
      <c r="A278" s="26">
        <v>70705.0</v>
      </c>
      <c r="B278" s="13" t="s">
        <v>342</v>
      </c>
      <c r="C278" s="13">
        <v>0.0</v>
      </c>
      <c r="D278" s="13">
        <v>0.0</v>
      </c>
    </row>
    <row r="279" ht="14.25" customHeight="1">
      <c r="A279" s="26">
        <v>70706.0</v>
      </c>
      <c r="B279" s="13" t="s">
        <v>344</v>
      </c>
      <c r="C279" s="13">
        <v>1.0</v>
      </c>
      <c r="D279" s="13">
        <v>3.0</v>
      </c>
    </row>
    <row r="280" ht="14.25" customHeight="1">
      <c r="A280" s="26">
        <v>70707.0</v>
      </c>
      <c r="B280" s="13" t="s">
        <v>679</v>
      </c>
      <c r="C280" s="13">
        <v>0.0</v>
      </c>
      <c r="D280" s="13">
        <v>0.0</v>
      </c>
    </row>
    <row r="281" ht="14.25" customHeight="1">
      <c r="A281" s="26">
        <v>70801.0</v>
      </c>
      <c r="B281" s="13" t="s">
        <v>346</v>
      </c>
      <c r="C281" s="13">
        <v>1.0</v>
      </c>
      <c r="D281" s="13">
        <v>1.0</v>
      </c>
    </row>
    <row r="282" ht="14.25" customHeight="1">
      <c r="A282" s="26">
        <v>70802.0</v>
      </c>
      <c r="B282" s="13" t="s">
        <v>680</v>
      </c>
      <c r="C282" s="13">
        <v>0.0</v>
      </c>
      <c r="D282" s="13">
        <v>0.0</v>
      </c>
    </row>
    <row r="283" ht="14.25" customHeight="1">
      <c r="A283" s="26">
        <v>70803.0</v>
      </c>
      <c r="B283" s="13" t="s">
        <v>681</v>
      </c>
      <c r="C283" s="13">
        <v>0.0</v>
      </c>
      <c r="D283" s="13">
        <v>0.0</v>
      </c>
    </row>
    <row r="284" ht="14.25" customHeight="1">
      <c r="A284" s="26">
        <v>70804.0</v>
      </c>
      <c r="B284" s="13" t="s">
        <v>683</v>
      </c>
      <c r="C284" s="13">
        <v>0.0</v>
      </c>
      <c r="D284" s="13">
        <v>0.0</v>
      </c>
    </row>
    <row r="285" ht="14.25" customHeight="1">
      <c r="A285" s="26">
        <v>70805.0</v>
      </c>
      <c r="B285" s="13" t="s">
        <v>684</v>
      </c>
      <c r="C285" s="13">
        <v>0.0</v>
      </c>
      <c r="D285" s="13">
        <v>0.0</v>
      </c>
    </row>
    <row r="286" ht="14.25" customHeight="1">
      <c r="A286" s="26">
        <v>70901.0</v>
      </c>
      <c r="B286" s="13" t="s">
        <v>363</v>
      </c>
      <c r="C286" s="13">
        <v>0.0</v>
      </c>
      <c r="D286" s="13">
        <v>0.0</v>
      </c>
    </row>
    <row r="287" ht="14.25" customHeight="1">
      <c r="A287" s="26">
        <v>70902.0</v>
      </c>
      <c r="B287" s="13" t="s">
        <v>350</v>
      </c>
      <c r="C287" s="13">
        <v>0.0</v>
      </c>
      <c r="D287" s="13">
        <v>0.0</v>
      </c>
    </row>
    <row r="288" ht="14.25" customHeight="1">
      <c r="A288" s="26">
        <v>70903.0</v>
      </c>
      <c r="B288" s="13" t="s">
        <v>353</v>
      </c>
      <c r="C288" s="13">
        <v>0.0</v>
      </c>
      <c r="D288" s="13">
        <v>1.0</v>
      </c>
    </row>
    <row r="289" ht="14.25" customHeight="1">
      <c r="A289" s="26">
        <v>70904.0</v>
      </c>
      <c r="B289" s="13" t="s">
        <v>686</v>
      </c>
      <c r="C289" s="13">
        <v>0.0</v>
      </c>
      <c r="D289" s="13">
        <v>0.0</v>
      </c>
    </row>
    <row r="290" ht="14.25" customHeight="1">
      <c r="A290" s="26">
        <v>71001.0</v>
      </c>
      <c r="B290" s="13" t="s">
        <v>319</v>
      </c>
      <c r="C290" s="13">
        <v>8.0</v>
      </c>
      <c r="D290" s="13">
        <v>8.0</v>
      </c>
    </row>
    <row r="291" ht="14.25" customHeight="1">
      <c r="A291" s="26">
        <v>71002.0</v>
      </c>
      <c r="B291" s="13" t="s">
        <v>688</v>
      </c>
      <c r="C291" s="13">
        <v>0.0</v>
      </c>
      <c r="D291" s="13">
        <v>0.0</v>
      </c>
    </row>
    <row r="292" ht="14.25" customHeight="1">
      <c r="A292" s="26">
        <v>71003.0</v>
      </c>
      <c r="B292" s="13" t="s">
        <v>351</v>
      </c>
      <c r="C292" s="13">
        <v>1.0</v>
      </c>
      <c r="D292" s="13">
        <v>1.0</v>
      </c>
    </row>
    <row r="293" ht="14.25" customHeight="1">
      <c r="A293" s="26">
        <v>71004.0</v>
      </c>
      <c r="B293" s="13" t="s">
        <v>361</v>
      </c>
      <c r="C293" s="13">
        <v>0.0</v>
      </c>
      <c r="D293" s="13">
        <v>0.0</v>
      </c>
    </row>
    <row r="294" ht="14.25" customHeight="1">
      <c r="A294" s="26">
        <v>71005.0</v>
      </c>
      <c r="B294" s="13" t="s">
        <v>374</v>
      </c>
      <c r="C294" s="13">
        <v>0.0</v>
      </c>
      <c r="D294" s="13">
        <v>0.0</v>
      </c>
    </row>
    <row r="295" ht="14.25" customHeight="1">
      <c r="A295" s="26">
        <v>71101.0</v>
      </c>
      <c r="B295" s="13" t="s">
        <v>381</v>
      </c>
      <c r="C295" s="13">
        <v>0.0</v>
      </c>
      <c r="D295" s="13">
        <v>0.0</v>
      </c>
    </row>
    <row r="296" ht="14.25" customHeight="1">
      <c r="A296" s="26">
        <v>71102.0</v>
      </c>
      <c r="B296" s="13" t="s">
        <v>690</v>
      </c>
      <c r="C296" s="13">
        <v>0.0</v>
      </c>
      <c r="D296" s="13">
        <v>0.0</v>
      </c>
    </row>
    <row r="297" ht="14.25" customHeight="1">
      <c r="A297" s="26">
        <v>71103.0</v>
      </c>
      <c r="B297" s="13" t="s">
        <v>394</v>
      </c>
      <c r="C297" s="13">
        <v>0.0</v>
      </c>
      <c r="D297" s="13">
        <v>0.0</v>
      </c>
    </row>
    <row r="298" ht="14.25" customHeight="1">
      <c r="A298" s="26">
        <v>71104.0</v>
      </c>
      <c r="B298" s="13" t="s">
        <v>358</v>
      </c>
      <c r="C298" s="13">
        <v>1.0</v>
      </c>
      <c r="D298" s="13">
        <v>1.0</v>
      </c>
    </row>
    <row r="299" ht="14.25" customHeight="1">
      <c r="A299" s="26">
        <v>71105.0</v>
      </c>
      <c r="B299" s="13" t="s">
        <v>691</v>
      </c>
      <c r="C299" s="13">
        <v>0.0</v>
      </c>
      <c r="D299" s="13">
        <v>0.0</v>
      </c>
    </row>
    <row r="300" ht="14.25" customHeight="1">
      <c r="A300" s="26">
        <v>71106.0</v>
      </c>
      <c r="B300" s="13" t="s">
        <v>692</v>
      </c>
      <c r="C300" s="13">
        <v>0.0</v>
      </c>
      <c r="D300" s="13">
        <v>0.0</v>
      </c>
    </row>
    <row r="301" ht="14.25" customHeight="1">
      <c r="A301" s="26">
        <v>71201.0</v>
      </c>
      <c r="B301" s="13" t="s">
        <v>333</v>
      </c>
      <c r="C301" s="13">
        <v>4.0</v>
      </c>
      <c r="D301" s="13">
        <v>6.0</v>
      </c>
    </row>
    <row r="302" ht="14.25" customHeight="1">
      <c r="A302" s="26">
        <v>71301.0</v>
      </c>
      <c r="B302" s="13" t="s">
        <v>355</v>
      </c>
      <c r="C302" s="13">
        <v>0.0</v>
      </c>
      <c r="D302" s="13">
        <v>2.0</v>
      </c>
    </row>
    <row r="303" ht="14.25" customHeight="1">
      <c r="A303" s="26">
        <v>71302.0</v>
      </c>
      <c r="B303" s="13" t="s">
        <v>695</v>
      </c>
      <c r="C303" s="13">
        <v>0.0</v>
      </c>
      <c r="D303" s="13">
        <v>0.0</v>
      </c>
    </row>
    <row r="304" ht="14.25" customHeight="1">
      <c r="A304" s="26">
        <v>71401.0</v>
      </c>
      <c r="B304" s="13" t="s">
        <v>328</v>
      </c>
      <c r="C304" s="13">
        <v>1.0</v>
      </c>
      <c r="D304" s="13">
        <v>7.0</v>
      </c>
    </row>
    <row r="305" ht="14.25" customHeight="1">
      <c r="A305" s="26">
        <v>71402.0</v>
      </c>
      <c r="B305" s="13" t="s">
        <v>323</v>
      </c>
      <c r="C305" s="13">
        <v>1.0</v>
      </c>
      <c r="D305" s="13">
        <v>11.0</v>
      </c>
    </row>
    <row r="306" ht="14.25" customHeight="1">
      <c r="A306" s="26">
        <v>71403.0</v>
      </c>
      <c r="B306" s="13" t="s">
        <v>697</v>
      </c>
      <c r="C306" s="13">
        <v>0.0</v>
      </c>
      <c r="D306" s="13">
        <v>0.0</v>
      </c>
    </row>
    <row r="307" ht="14.25" customHeight="1">
      <c r="A307" s="26">
        <v>71501.0</v>
      </c>
      <c r="B307" s="13" t="s">
        <v>699</v>
      </c>
      <c r="C307" s="13">
        <v>1.0</v>
      </c>
      <c r="D307" s="13">
        <v>4.0</v>
      </c>
    </row>
    <row r="308" ht="14.25" customHeight="1">
      <c r="A308" s="26">
        <v>71502.0</v>
      </c>
      <c r="B308" s="13" t="s">
        <v>700</v>
      </c>
      <c r="C308" s="13">
        <v>0.0</v>
      </c>
      <c r="D308" s="13">
        <v>0.0</v>
      </c>
    </row>
    <row r="309" ht="14.25" customHeight="1">
      <c r="A309" s="26">
        <v>71503.0</v>
      </c>
      <c r="B309" s="13" t="s">
        <v>295</v>
      </c>
      <c r="C309" s="13">
        <v>0.0</v>
      </c>
      <c r="D309" s="13">
        <v>0.0</v>
      </c>
    </row>
    <row r="310" ht="14.25" customHeight="1">
      <c r="A310" s="26">
        <v>80101.0</v>
      </c>
      <c r="B310" s="13" t="s">
        <v>371</v>
      </c>
      <c r="C310" s="13">
        <v>18.0</v>
      </c>
      <c r="D310" s="13">
        <v>5.0</v>
      </c>
    </row>
    <row r="311" ht="14.25" customHeight="1">
      <c r="A311" s="26">
        <v>80102.0</v>
      </c>
      <c r="B311" s="13" t="s">
        <v>690</v>
      </c>
      <c r="C311" s="13">
        <v>0.0</v>
      </c>
      <c r="D311" s="13">
        <v>0.0</v>
      </c>
    </row>
    <row r="312" ht="14.25" customHeight="1">
      <c r="A312" s="26">
        <v>80201.0</v>
      </c>
      <c r="B312" s="13" t="s">
        <v>373</v>
      </c>
      <c r="C312" s="13">
        <v>13.0</v>
      </c>
      <c r="D312" s="13">
        <v>10.0</v>
      </c>
    </row>
    <row r="313" ht="14.25" customHeight="1">
      <c r="A313" s="26">
        <v>80202.0</v>
      </c>
      <c r="B313" s="13" t="s">
        <v>376</v>
      </c>
      <c r="C313" s="13">
        <v>4.0</v>
      </c>
      <c r="D313" s="13">
        <v>6.0</v>
      </c>
    </row>
    <row r="314" ht="14.25" customHeight="1">
      <c r="A314" s="26">
        <v>80301.0</v>
      </c>
      <c r="B314" s="13" t="s">
        <v>705</v>
      </c>
      <c r="C314" s="13">
        <v>0.0</v>
      </c>
      <c r="D314" s="13">
        <v>0.0</v>
      </c>
    </row>
    <row r="315" ht="14.25" customHeight="1">
      <c r="A315" s="26">
        <v>80302.0</v>
      </c>
      <c r="B315" s="13" t="s">
        <v>378</v>
      </c>
      <c r="C315" s="13">
        <v>2.0</v>
      </c>
      <c r="D315" s="13">
        <v>3.0</v>
      </c>
    </row>
    <row r="316" ht="14.25" customHeight="1">
      <c r="A316" s="26">
        <v>80303.0</v>
      </c>
      <c r="B316" s="13" t="s">
        <v>404</v>
      </c>
      <c r="C316" s="13">
        <v>0.0</v>
      </c>
      <c r="D316" s="13">
        <v>0.0</v>
      </c>
    </row>
    <row r="317" ht="14.25" customHeight="1">
      <c r="A317" s="26">
        <v>80304.0</v>
      </c>
      <c r="B317" s="13" t="s">
        <v>706</v>
      </c>
      <c r="C317" s="13">
        <v>1.0</v>
      </c>
      <c r="D317" s="13">
        <v>3.0</v>
      </c>
    </row>
    <row r="318" ht="14.25" customHeight="1">
      <c r="A318" s="26">
        <v>80401.0</v>
      </c>
      <c r="B318" s="13" t="s">
        <v>708</v>
      </c>
      <c r="C318" s="13">
        <v>0.0</v>
      </c>
      <c r="D318" s="13">
        <v>2.0</v>
      </c>
    </row>
    <row r="319" ht="14.25" customHeight="1">
      <c r="A319" s="26">
        <v>80402.0</v>
      </c>
      <c r="B319" s="13" t="s">
        <v>385</v>
      </c>
      <c r="C319" s="13">
        <v>0.0</v>
      </c>
      <c r="D319" s="13">
        <v>0.0</v>
      </c>
    </row>
    <row r="320" ht="14.25" customHeight="1">
      <c r="A320" s="26">
        <v>80501.0</v>
      </c>
      <c r="B320" s="13" t="s">
        <v>388</v>
      </c>
      <c r="C320" s="13">
        <v>0.0</v>
      </c>
      <c r="D320" s="13">
        <v>0.0</v>
      </c>
    </row>
    <row r="321" ht="14.25" customHeight="1">
      <c r="A321" s="26">
        <v>80601.0</v>
      </c>
      <c r="B321" s="13" t="s">
        <v>390</v>
      </c>
      <c r="C321" s="13">
        <v>0.0</v>
      </c>
      <c r="D321" s="13">
        <v>0.0</v>
      </c>
    </row>
    <row r="322" ht="14.25" customHeight="1">
      <c r="A322" s="26">
        <v>80602.0</v>
      </c>
      <c r="B322" s="13" t="s">
        <v>711</v>
      </c>
      <c r="C322" s="13">
        <v>0.0</v>
      </c>
      <c r="D322" s="13">
        <v>0.0</v>
      </c>
    </row>
    <row r="323" ht="14.25" customHeight="1">
      <c r="A323" s="26">
        <v>80701.0</v>
      </c>
      <c r="B323" s="13" t="s">
        <v>392</v>
      </c>
      <c r="C323" s="13">
        <v>0.0</v>
      </c>
      <c r="D323" s="13">
        <v>0.0</v>
      </c>
    </row>
    <row r="324" ht="14.25" customHeight="1">
      <c r="A324" s="26">
        <v>80702.0</v>
      </c>
      <c r="B324" s="13" t="s">
        <v>394</v>
      </c>
      <c r="C324" s="13">
        <v>0.0</v>
      </c>
      <c r="D324" s="13">
        <v>0.0</v>
      </c>
    </row>
    <row r="325" ht="14.25" customHeight="1">
      <c r="A325" s="26">
        <v>80703.0</v>
      </c>
      <c r="B325" s="13" t="s">
        <v>713</v>
      </c>
      <c r="C325" s="13">
        <v>0.0</v>
      </c>
      <c r="D325" s="13">
        <v>0.0</v>
      </c>
    </row>
    <row r="326" ht="14.25" customHeight="1">
      <c r="A326" s="26">
        <v>80801.0</v>
      </c>
      <c r="B326" s="13" t="s">
        <v>396</v>
      </c>
      <c r="C326" s="13">
        <v>0.0</v>
      </c>
      <c r="D326" s="13">
        <v>0.0</v>
      </c>
    </row>
    <row r="327" ht="14.25" customHeight="1">
      <c r="A327" s="26">
        <v>80802.0</v>
      </c>
      <c r="B327" s="13" t="s">
        <v>715</v>
      </c>
      <c r="C327" s="13">
        <v>0.0</v>
      </c>
      <c r="D327" s="13">
        <v>0.0</v>
      </c>
    </row>
    <row r="328" ht="14.25" customHeight="1">
      <c r="A328" s="26">
        <v>80803.0</v>
      </c>
      <c r="B328" s="13" t="s">
        <v>401</v>
      </c>
      <c r="C328" s="13">
        <v>0.0</v>
      </c>
      <c r="D328" s="13">
        <v>0.0</v>
      </c>
    </row>
    <row r="329" ht="14.25" customHeight="1">
      <c r="A329" s="26">
        <v>80901.0</v>
      </c>
      <c r="B329" s="13" t="s">
        <v>716</v>
      </c>
      <c r="C329" s="13">
        <v>0.0</v>
      </c>
      <c r="D329" s="13">
        <v>0.0</v>
      </c>
    </row>
    <row r="330" ht="14.25" customHeight="1">
      <c r="A330" s="26">
        <v>90101.0</v>
      </c>
      <c r="B330" s="13" t="s">
        <v>398</v>
      </c>
      <c r="C330" s="13">
        <v>9.0</v>
      </c>
      <c r="D330" s="13">
        <v>14.0</v>
      </c>
    </row>
    <row r="331" ht="14.25" customHeight="1">
      <c r="A331" s="26">
        <v>90102.0</v>
      </c>
      <c r="B331" s="13" t="s">
        <v>719</v>
      </c>
      <c r="C331" s="13">
        <v>0.0</v>
      </c>
      <c r="D331" s="13">
        <v>0.0</v>
      </c>
    </row>
    <row r="332" ht="14.25" customHeight="1">
      <c r="A332" s="26">
        <v>90103.0</v>
      </c>
      <c r="B332" s="13" t="s">
        <v>411</v>
      </c>
      <c r="C332" s="13">
        <v>0.0</v>
      </c>
      <c r="D332" s="13">
        <v>0.0</v>
      </c>
    </row>
    <row r="333" ht="14.25" customHeight="1">
      <c r="A333" s="26">
        <v>90104.0</v>
      </c>
      <c r="B333" s="13" t="s">
        <v>400</v>
      </c>
      <c r="C333" s="13">
        <v>0.0</v>
      </c>
      <c r="D333" s="13">
        <v>0.0</v>
      </c>
    </row>
    <row r="334" ht="14.25" customHeight="1">
      <c r="A334" s="26">
        <v>90201.0</v>
      </c>
      <c r="B334" s="13" t="s">
        <v>403</v>
      </c>
      <c r="C334" s="13">
        <v>0.0</v>
      </c>
      <c r="D334" s="13">
        <v>0.0</v>
      </c>
    </row>
    <row r="335" ht="14.25" customHeight="1">
      <c r="A335" s="26">
        <v>90202.0</v>
      </c>
      <c r="B335" s="13" t="s">
        <v>374</v>
      </c>
      <c r="C335" s="13">
        <v>0.0</v>
      </c>
      <c r="D335" s="13">
        <v>0.0</v>
      </c>
    </row>
    <row r="336" ht="14.25" customHeight="1">
      <c r="A336" s="26">
        <v>90203.0</v>
      </c>
      <c r="B336" s="13" t="s">
        <v>721</v>
      </c>
      <c r="C336" s="13">
        <v>0.0</v>
      </c>
      <c r="D336" s="13">
        <v>0.0</v>
      </c>
    </row>
    <row r="337" ht="14.25" customHeight="1">
      <c r="A337" s="26">
        <v>90301.0</v>
      </c>
      <c r="B337" s="13" t="s">
        <v>723</v>
      </c>
      <c r="C337" s="13">
        <v>0.0</v>
      </c>
      <c r="D337" s="13">
        <v>0.0</v>
      </c>
    </row>
    <row r="338" ht="14.25" customHeight="1">
      <c r="A338" s="26">
        <v>90302.0</v>
      </c>
      <c r="B338" s="13" t="s">
        <v>406</v>
      </c>
      <c r="C338" s="13">
        <v>0.0</v>
      </c>
      <c r="D338" s="13">
        <v>0.0</v>
      </c>
    </row>
    <row r="339" ht="14.25" customHeight="1">
      <c r="A339" s="26">
        <v>90303.0</v>
      </c>
      <c r="B339" s="13" t="s">
        <v>724</v>
      </c>
      <c r="C339" s="13">
        <v>0.0</v>
      </c>
      <c r="D339" s="13">
        <v>1.0</v>
      </c>
    </row>
    <row r="340" ht="14.25" customHeight="1">
      <c r="A340" s="26">
        <v>90401.0</v>
      </c>
      <c r="B340" s="13" t="s">
        <v>404</v>
      </c>
      <c r="C340" s="13">
        <v>0.0</v>
      </c>
      <c r="D340" s="13">
        <v>0.0</v>
      </c>
    </row>
    <row r="341" ht="14.25" customHeight="1">
      <c r="A341" s="26">
        <v>90402.0</v>
      </c>
      <c r="B341" s="13" t="s">
        <v>499</v>
      </c>
      <c r="C341" s="13">
        <v>0.0</v>
      </c>
      <c r="D341" s="13">
        <v>0.0</v>
      </c>
    </row>
    <row r="342" ht="14.25" customHeight="1">
      <c r="A342" s="26">
        <v>90501.0</v>
      </c>
      <c r="B342" s="13" t="s">
        <v>727</v>
      </c>
      <c r="C342" s="13">
        <v>0.0</v>
      </c>
      <c r="D342" s="13">
        <v>0.0</v>
      </c>
    </row>
    <row r="343" ht="14.25" customHeight="1">
      <c r="A343" s="26">
        <v>90502.0</v>
      </c>
      <c r="B343" s="13" t="s">
        <v>728</v>
      </c>
      <c r="C343" s="13">
        <v>0.0</v>
      </c>
      <c r="D343" s="13">
        <v>0.0</v>
      </c>
    </row>
    <row r="344" ht="14.25" customHeight="1">
      <c r="A344" s="26">
        <v>90503.0</v>
      </c>
      <c r="B344" s="13" t="s">
        <v>730</v>
      </c>
      <c r="C344" s="13">
        <v>0.0</v>
      </c>
      <c r="D344" s="13">
        <v>0.0</v>
      </c>
    </row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57"/>
    <col customWidth="1" min="2" max="2" width="13.86"/>
    <col customWidth="1" min="3" max="3" width="25.71"/>
    <col customWidth="1" min="4" max="4" width="25.0"/>
    <col customWidth="1" min="5" max="5" width="7.57"/>
    <col customWidth="1" min="6" max="6" width="12.43"/>
    <col customWidth="1" min="7" max="7" width="7.57"/>
    <col customWidth="1" min="8" max="26" width="10.71"/>
  </cols>
  <sheetData>
    <row r="1" ht="14.25" customHeight="1">
      <c r="A1" s="32" t="s">
        <v>748</v>
      </c>
      <c r="B1" s="32" t="s">
        <v>749</v>
      </c>
      <c r="C1" s="24" t="s">
        <v>440</v>
      </c>
      <c r="D1" s="24" t="s">
        <v>441</v>
      </c>
      <c r="E1" s="33"/>
      <c r="F1" s="33"/>
      <c r="G1" s="33"/>
    </row>
    <row r="2" ht="14.25" customHeight="1">
      <c r="A2" s="13">
        <v>1.0</v>
      </c>
      <c r="B2" s="13" t="s">
        <v>442</v>
      </c>
      <c r="C2" s="27">
        <v>2.8674662685355075</v>
      </c>
      <c r="D2" s="27">
        <v>1.9331237102077197</v>
      </c>
      <c r="G2" s="29"/>
    </row>
    <row r="3" ht="14.25" customHeight="1">
      <c r="A3" s="13">
        <v>2.0</v>
      </c>
      <c r="B3" s="13" t="s">
        <v>41</v>
      </c>
      <c r="C3" s="27">
        <v>6.545937700301031</v>
      </c>
      <c r="D3" s="27">
        <v>2.3774377386170347</v>
      </c>
      <c r="G3" s="29"/>
    </row>
    <row r="4" ht="14.25" customHeight="1">
      <c r="A4" s="13">
        <v>3.0</v>
      </c>
      <c r="B4" s="13" t="s">
        <v>147</v>
      </c>
      <c r="C4" s="27">
        <v>5.315081532538286</v>
      </c>
      <c r="D4" s="27">
        <v>6.177607890399088</v>
      </c>
      <c r="G4" s="29"/>
    </row>
    <row r="5" ht="14.25" customHeight="1">
      <c r="A5" s="13">
        <v>4.0</v>
      </c>
      <c r="B5" s="13" t="s">
        <v>210</v>
      </c>
      <c r="C5" s="27">
        <v>11.9622863058727</v>
      </c>
      <c r="D5" s="27">
        <v>4.061980895800624</v>
      </c>
      <c r="G5" s="29"/>
    </row>
    <row r="6" ht="14.25" customHeight="1">
      <c r="A6" s="13">
        <v>5.0</v>
      </c>
      <c r="B6" s="13" t="s">
        <v>244</v>
      </c>
      <c r="C6" s="27">
        <v>2.799579553612079</v>
      </c>
      <c r="D6" s="27">
        <v>2.835943349899315</v>
      </c>
      <c r="G6" s="29"/>
    </row>
    <row r="7" ht="14.25" customHeight="1">
      <c r="A7" s="13">
        <v>6.0</v>
      </c>
      <c r="B7" s="13" t="s">
        <v>276</v>
      </c>
      <c r="C7" s="27">
        <v>6.2849807540115314</v>
      </c>
      <c r="D7" s="27">
        <v>5.282886383887864</v>
      </c>
      <c r="G7" s="29"/>
    </row>
    <row r="8" ht="14.25" customHeight="1">
      <c r="A8" s="13">
        <v>7.0</v>
      </c>
      <c r="B8" s="13" t="s">
        <v>664</v>
      </c>
      <c r="C8" s="27">
        <v>4.580970542877901</v>
      </c>
      <c r="D8" s="27">
        <v>5.351568929814776</v>
      </c>
      <c r="G8" s="29"/>
    </row>
    <row r="9" ht="14.25" customHeight="1">
      <c r="A9" s="13">
        <v>8.0</v>
      </c>
      <c r="B9" s="13" t="s">
        <v>702</v>
      </c>
      <c r="C9" s="27">
        <v>8.739453018229687</v>
      </c>
      <c r="D9" s="27">
        <v>6.349228422762043</v>
      </c>
      <c r="G9" s="29"/>
    </row>
    <row r="10" ht="14.25" customHeight="1">
      <c r="A10" s="13">
        <v>9.0</v>
      </c>
      <c r="B10" s="13" t="s">
        <v>717</v>
      </c>
      <c r="C10" s="27">
        <v>7.609961401854593</v>
      </c>
      <c r="D10" s="27">
        <v>11.900583866918524</v>
      </c>
      <c r="G10" s="29"/>
    </row>
    <row r="11" ht="14.25" customHeight="1">
      <c r="A11" s="13">
        <v>10.0</v>
      </c>
      <c r="B11" s="13" t="s">
        <v>658</v>
      </c>
      <c r="C11" s="27">
        <v>7.594457315657171</v>
      </c>
      <c r="D11" s="27">
        <v>7.382789051265377</v>
      </c>
    </row>
    <row r="12" ht="14.25" customHeight="1">
      <c r="A12" s="13">
        <v>11.0</v>
      </c>
      <c r="B12" s="13" t="s">
        <v>750</v>
      </c>
      <c r="C12" s="27">
        <v>5.662062995350642</v>
      </c>
      <c r="D12" s="27">
        <v>4.380844879563072</v>
      </c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57"/>
    <col customWidth="1" min="2" max="2" width="13.86"/>
    <col customWidth="1" min="3" max="4" width="31.43"/>
    <col customWidth="1" min="5" max="26" width="10.71"/>
  </cols>
  <sheetData>
    <row r="1" ht="14.25" customHeight="1">
      <c r="A1" s="32" t="s">
        <v>748</v>
      </c>
      <c r="B1" s="32" t="s">
        <v>749</v>
      </c>
      <c r="C1" s="24" t="s">
        <v>746</v>
      </c>
      <c r="D1" s="24" t="s">
        <v>747</v>
      </c>
    </row>
    <row r="2" ht="14.25" customHeight="1">
      <c r="A2" s="13">
        <v>1.0</v>
      </c>
      <c r="B2" s="13" t="s">
        <v>442</v>
      </c>
      <c r="C2" s="13">
        <v>17.0</v>
      </c>
      <c r="D2" s="13">
        <v>12.0</v>
      </c>
    </row>
    <row r="3" ht="14.25" customHeight="1">
      <c r="A3" s="13">
        <v>2.0</v>
      </c>
      <c r="B3" s="13" t="s">
        <v>41</v>
      </c>
      <c r="C3" s="13">
        <v>188.0</v>
      </c>
      <c r="D3" s="13">
        <v>71.0</v>
      </c>
    </row>
    <row r="4" ht="14.25" customHeight="1">
      <c r="A4" s="13">
        <v>3.0</v>
      </c>
      <c r="B4" s="13" t="s">
        <v>147</v>
      </c>
      <c r="C4" s="13">
        <v>100.0</v>
      </c>
      <c r="D4" s="13">
        <v>123.0</v>
      </c>
    </row>
    <row r="5" ht="14.25" customHeight="1">
      <c r="A5" s="13">
        <v>4.0</v>
      </c>
      <c r="B5" s="13" t="s">
        <v>210</v>
      </c>
      <c r="C5" s="13">
        <v>64.0</v>
      </c>
      <c r="D5" s="13">
        <v>23.0</v>
      </c>
    </row>
    <row r="6" ht="14.25" customHeight="1">
      <c r="A6" s="13">
        <v>5.0</v>
      </c>
      <c r="B6" s="13" t="s">
        <v>244</v>
      </c>
      <c r="C6" s="13">
        <v>24.0</v>
      </c>
      <c r="D6" s="13">
        <v>24.0</v>
      </c>
    </row>
    <row r="7" ht="14.25" customHeight="1">
      <c r="A7" s="13">
        <v>6.0</v>
      </c>
      <c r="B7" s="13" t="s">
        <v>276</v>
      </c>
      <c r="C7" s="13">
        <v>32.0</v>
      </c>
      <c r="D7" s="13">
        <v>28.0</v>
      </c>
    </row>
    <row r="8" ht="14.25" customHeight="1">
      <c r="A8" s="13">
        <v>7.0</v>
      </c>
      <c r="B8" s="13" t="s">
        <v>664</v>
      </c>
      <c r="C8" s="13">
        <v>132.0</v>
      </c>
      <c r="D8" s="13">
        <v>165.0</v>
      </c>
    </row>
    <row r="9" ht="14.25" customHeight="1">
      <c r="A9" s="13">
        <v>8.0</v>
      </c>
      <c r="B9" s="13" t="s">
        <v>702</v>
      </c>
      <c r="C9" s="13">
        <v>40.0</v>
      </c>
      <c r="D9" s="13">
        <v>31.0</v>
      </c>
    </row>
    <row r="10" ht="14.25" customHeight="1">
      <c r="A10" s="13">
        <v>9.0</v>
      </c>
      <c r="B10" s="13" t="s">
        <v>717</v>
      </c>
      <c r="C10" s="13">
        <v>9.0</v>
      </c>
      <c r="D10" s="13">
        <v>16.0</v>
      </c>
    </row>
    <row r="11" ht="14.25" customHeight="1">
      <c r="A11" s="13">
        <v>10.0</v>
      </c>
      <c r="B11" s="13" t="s">
        <v>658</v>
      </c>
      <c r="C11" s="13">
        <v>12.0</v>
      </c>
      <c r="D11" s="13">
        <v>12.0</v>
      </c>
    </row>
    <row r="12" ht="14.25" customHeight="1">
      <c r="A12" s="13">
        <v>11.0</v>
      </c>
      <c r="B12" s="13" t="s">
        <v>750</v>
      </c>
      <c r="C12" s="13">
        <v>606.0</v>
      </c>
      <c r="D12" s="13">
        <v>493.0</v>
      </c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0" width="10.71"/>
    <col customWidth="1" min="11" max="11" width="26.57"/>
    <col customWidth="1" min="12" max="26" width="10.71"/>
  </cols>
  <sheetData>
    <row r="1" ht="14.25" customHeight="1">
      <c r="A1" s="34" t="s">
        <v>751</v>
      </c>
      <c r="B1" s="34" t="s">
        <v>752</v>
      </c>
      <c r="C1" s="35" t="s">
        <v>753</v>
      </c>
      <c r="D1" s="35" t="s">
        <v>754</v>
      </c>
      <c r="E1" s="36" t="s">
        <v>755</v>
      </c>
      <c r="F1" s="36" t="s">
        <v>756</v>
      </c>
      <c r="G1" s="37" t="s">
        <v>757</v>
      </c>
      <c r="H1" s="37" t="s">
        <v>758</v>
      </c>
      <c r="I1" s="38" t="s">
        <v>759</v>
      </c>
      <c r="J1" s="38" t="s">
        <v>760</v>
      </c>
      <c r="K1" s="39" t="s">
        <v>761</v>
      </c>
    </row>
    <row r="2" ht="14.25" customHeight="1">
      <c r="A2" s="13">
        <v>16.0</v>
      </c>
      <c r="B2" s="13" t="s">
        <v>762</v>
      </c>
      <c r="C2" s="13">
        <v>0.0</v>
      </c>
      <c r="D2" s="40">
        <v>1.5</v>
      </c>
      <c r="E2" s="40">
        <v>1.5</v>
      </c>
      <c r="F2" s="40">
        <v>2.75</v>
      </c>
      <c r="G2" s="41">
        <v>2.75</v>
      </c>
      <c r="H2" s="41">
        <v>4.0</v>
      </c>
      <c r="I2" s="41">
        <v>4.0</v>
      </c>
      <c r="J2" s="13">
        <v>60.0</v>
      </c>
      <c r="K2" s="42" t="s">
        <v>763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2026-04-15T18:25:25Z</dcterms:created>
  <dc:creator>ALVARO MUÑOS</dc:creator>
</cp:coreProperties>
</file>